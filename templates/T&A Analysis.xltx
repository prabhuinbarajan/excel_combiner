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13_ncr:11_{32319B75-5BDF-4754-A529-57608882B9DF}" xr6:coauthVersionLast="45" xr6:coauthVersionMax="45" xr10:uidLastSave="{00000000-0000-0000-0000-000000000000}"/>
  <bookViews>
    <workbookView xWindow="-110" yWindow="-110" windowWidth="19420" windowHeight="10420" firstSheet="2" activeTab="3" xr2:uid="{00000000-000D-0000-FFFF-FFFF00000000}"/>
  </bookViews>
  <sheets>
    <sheet name="Table7 ProgFee_2014" sheetId="1" state="hidden" r:id="rId1"/>
    <sheet name="Table17 GAAP GA Line" sheetId="2" state="hidden" r:id="rId2"/>
    <sheet name="XCEL" sheetId="6" r:id="rId3"/>
    <sheet name="Metadata" sheetId="7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new1" localSheetId="1">[1]Sheet2!#REF!</definedName>
    <definedName name="_new1" localSheetId="0">[1]Sheet2!#REF!</definedName>
    <definedName name="_new1" localSheetId="2">[1]Sheet2!#REF!</definedName>
    <definedName name="_Order1" hidden="1">255</definedName>
    <definedName name="_Order2" hidden="1">255</definedName>
    <definedName name="_pe1">[2]TB!$A$1:$D$65536</definedName>
    <definedName name="_pe10">[2]TB!$AT$1:$AW$65536</definedName>
    <definedName name="_pe11">[2]TB!$AY$1:$BB$65536</definedName>
    <definedName name="_pe12">[2]TB!$BD$1:$BG$65536</definedName>
    <definedName name="_pe13">[2]TB!$BI$1:$BL$65536</definedName>
    <definedName name="_pe2">[2]TB!$F$1:$I$65536</definedName>
    <definedName name="_pe3">[2]TB!$K$1:$N$65536</definedName>
    <definedName name="_pe4">[2]TB!$P$1:$S$65536</definedName>
    <definedName name="_pe5">[2]TB!$U$1:$X$65536</definedName>
    <definedName name="_pe6">[2]TB!$Z$1:$AC$65536</definedName>
    <definedName name="_pe7">[2]TB!$AE$1:$AH$65536</definedName>
    <definedName name="_pe8">[2]TB!$AJ$1:$AM$65536</definedName>
    <definedName name="_pe9">[2]TB!$AO$1:$AR$65536</definedName>
    <definedName name="Act_Top50_data">'[3]2009 Actual'!$A$509:$E$751</definedName>
    <definedName name="ACTUALS" localSheetId="1">#REF!</definedName>
    <definedName name="ACTUALS" localSheetId="0">#REF!</definedName>
    <definedName name="ACTUALS" localSheetId="2">#REF!</definedName>
    <definedName name="ANALYTICAL">#N/A</definedName>
    <definedName name="ARA_Threshold">[4]Lead!$S$2</definedName>
    <definedName name="ARP_Threshold">[4]Lead!$R$2</definedName>
    <definedName name="AS2DocOpenMode" hidden="1">"AS2DocumentBrowse"</definedName>
    <definedName name="AS2NamedRange" hidden="1">22</definedName>
    <definedName name="AS2ReportLS" hidden="1">1</definedName>
    <definedName name="AS2SyncStepLS" hidden="1">0</definedName>
    <definedName name="AS2VersionLS" hidden="1">300</definedName>
    <definedName name="ASCII" localSheetId="1">#N/A</definedName>
    <definedName name="ASCII" localSheetId="0">#N/A</definedName>
    <definedName name="ASCII" localSheetId="2">#N/A</definedName>
    <definedName name="ASCII">[0]!ASCII</definedName>
    <definedName name="ASP">'[5]US Indirect COR and Prog Exp'!$C$70</definedName>
    <definedName name="BG_Del" hidden="1">15</definedName>
    <definedName name="BG_Ins" hidden="1">4</definedName>
    <definedName name="BG_Mod" hidden="1">6</definedName>
    <definedName name="CL">'[5]US Indirect COR and Prog Exp'!$C$66</definedName>
    <definedName name="Clear_Area_CPQ_Alliance_Ticket_Card_Ranking" localSheetId="1">#REF!</definedName>
    <definedName name="Clear_Area_CPQ_Alliance_Ticket_Card_Ranking" localSheetId="0">#REF!</definedName>
    <definedName name="Clear_Area_CPQ_Alliance_Ticket_Card_Ranking" localSheetId="2">#REF!</definedName>
    <definedName name="Clear_Area_CPQ_Overall_PPD_Ranking" localSheetId="1">#REF!</definedName>
    <definedName name="Clear_Area_CPQ_Overall_PPD_Ranking" localSheetId="0">#REF!</definedName>
    <definedName name="Clear_Area_CPQ_Overall_PPD_Ranking" localSheetId="2">#REF!</definedName>
    <definedName name="Clear_Area_CPQ_Overall_Telecom_Ranking" localSheetId="1">#REF!</definedName>
    <definedName name="Clear_Area_CPQ_Overall_Telecom_Ranking" localSheetId="0">#REF!</definedName>
    <definedName name="Clear_Area_CPQ_Overall_Telecom_Ranking" localSheetId="2">#REF!</definedName>
    <definedName name="Clear_Area_CPQ_Overall_Ticket_Ranking" localSheetId="1">#REF!</definedName>
    <definedName name="Clear_Area_CPQ_Overall_Ticket_Ranking" localSheetId="0">#REF!</definedName>
    <definedName name="Clear_Area_CPQ_Overall_Ticket_Ranking" localSheetId="2">#REF!</definedName>
    <definedName name="Clear_Area_CPQ_Safeway_PPD_Card_Ranking" localSheetId="1">#REF!</definedName>
    <definedName name="Clear_Area_CPQ_Safeway_PPD_Card_Ranking" localSheetId="0">#REF!</definedName>
    <definedName name="Clear_Area_CPQ_Safeway_PPD_Card_Ranking" localSheetId="2">#REF!</definedName>
    <definedName name="Clear_Area_CPQ_Safeway_Telecom_Ranking" localSheetId="1">#REF!</definedName>
    <definedName name="Clear_Area_CPQ_Safeway_Telecom_Ranking" localSheetId="0">#REF!</definedName>
    <definedName name="Clear_Area_CPQ_Safeway_Telecom_Ranking" localSheetId="2">#REF!</definedName>
    <definedName name="Clear_Area_CPQ_Safeway_Ticket_Card_Ranking" localSheetId="1">#REF!</definedName>
    <definedName name="Clear_Area_CPQ_Safeway_Ticket_Card_Ranking" localSheetId="0">#REF!</definedName>
    <definedName name="Clear_Area_CPQ_Safeway_Ticket_Card_Ranking" localSheetId="2">#REF!</definedName>
    <definedName name="Clear_Area_CPW_Alliance_PPD_Card_Ranking" localSheetId="1">#REF!</definedName>
    <definedName name="Clear_Area_CPW_Alliance_PPD_Card_Ranking" localSheetId="0">#REF!</definedName>
    <definedName name="Clear_Area_CPW_Alliance_PPD_Card_Ranking" localSheetId="2">#REF!</definedName>
    <definedName name="Clear_Area_CPW_Alliance_Telecom_Ranking" localSheetId="1">#REF!</definedName>
    <definedName name="Clear_Area_CPW_Alliance_Telecom_Ranking" localSheetId="0">#REF!</definedName>
    <definedName name="Clear_Area_CPW_Alliance_Telecom_Ranking" localSheetId="2">#REF!</definedName>
    <definedName name="Clear_Area_CPW_Alliance_Ticket_Card_Ranking" localSheetId="1">#REF!</definedName>
    <definedName name="Clear_Area_CPW_Alliance_Ticket_Card_Ranking" localSheetId="0">#REF!</definedName>
    <definedName name="Clear_Area_CPW_Alliance_Ticket_Card_Ranking" localSheetId="2">#REF!</definedName>
    <definedName name="Clear_Area_CPW_Overall_PPD_Ranking" localSheetId="1">#REF!</definedName>
    <definedName name="Clear_Area_CPW_Overall_PPD_Ranking" localSheetId="0">#REF!</definedName>
    <definedName name="Clear_Area_CPW_Overall_PPD_Ranking" localSheetId="2">#REF!</definedName>
    <definedName name="Clear_Area_CPW_Overall_Telecom_Ranking" localSheetId="1">#REF!</definedName>
    <definedName name="Clear_Area_CPW_Overall_Telecom_Ranking" localSheetId="0">#REF!</definedName>
    <definedName name="Clear_Area_CPW_Overall_Telecom_Ranking" localSheetId="2">#REF!</definedName>
    <definedName name="Clear_Area_CPW_Overall_Ticket_Ranking" localSheetId="1">#REF!</definedName>
    <definedName name="Clear_Area_CPW_Overall_Ticket_Ranking" localSheetId="0">#REF!</definedName>
    <definedName name="Clear_Area_CPW_Overall_Ticket_Ranking" localSheetId="2">#REF!</definedName>
    <definedName name="Clear_Area_CPW_Safeway_PPD_Card_Ranking" localSheetId="1">#REF!</definedName>
    <definedName name="Clear_Area_CPW_Safeway_PPD_Card_Ranking" localSheetId="0">#REF!</definedName>
    <definedName name="Clear_Area_CPW_Safeway_PPD_Card_Ranking" localSheetId="2">#REF!</definedName>
    <definedName name="Clear_Area_CPW_Safeway_Sports_Card_Ranking" localSheetId="1">#REF!</definedName>
    <definedName name="Clear_Area_CPW_Safeway_Sports_Card_Ranking" localSheetId="0">#REF!</definedName>
    <definedName name="Clear_Area_CPW_Safeway_Sports_Card_Ranking" localSheetId="2">#REF!</definedName>
    <definedName name="Clear_Area_CPW_Safeway_Ticket_Card_Ranking" localSheetId="1">#REF!</definedName>
    <definedName name="Clear_Area_CPW_Safeway_Ticket_Card_Ranking" localSheetId="0">#REF!</definedName>
    <definedName name="Clear_Area_CPW_Safeway_Ticket_Card_Ranking" localSheetId="2">#REF!</definedName>
    <definedName name="Clear_Area_CPW_Telecom_Ranking" localSheetId="1">#REF!</definedName>
    <definedName name="Clear_Area_CPW_Telecom_Ranking" localSheetId="0">#REF!</definedName>
    <definedName name="Clear_Area_CPW_Telecom_Ranking" localSheetId="2">#REF!</definedName>
    <definedName name="Clear_ChannelbyPG" localSheetId="1">#REF!</definedName>
    <definedName name="Clear_ChannelbyPG" localSheetId="0">#REF!</definedName>
    <definedName name="Clear_ChannelbyPG" localSheetId="2">#REF!</definedName>
    <definedName name="Clear_Detail" localSheetId="1">#REF!</definedName>
    <definedName name="Clear_Detail" localSheetId="0">#REF!</definedName>
    <definedName name="Clear_Detail" localSheetId="2">#REF!</definedName>
    <definedName name="Clear_Dist" localSheetId="1">#REF!</definedName>
    <definedName name="Clear_Dist" localSheetId="0">#REF!</definedName>
    <definedName name="Clear_Dist" localSheetId="2">#REF!</definedName>
    <definedName name="Clear_Dist_LARC" localSheetId="1">#REF!</definedName>
    <definedName name="Clear_Dist_LARC" localSheetId="0">#REF!</definedName>
    <definedName name="Clear_Dist_LARC" localSheetId="2">#REF!</definedName>
    <definedName name="Clear_Dist_PART" localSheetId="1">#REF!</definedName>
    <definedName name="Clear_Dist_PART" localSheetId="0">#REF!</definedName>
    <definedName name="Clear_Dist_PART" localSheetId="2">#REF!</definedName>
    <definedName name="Clear_Dist_PRED" localSheetId="1">#REF!</definedName>
    <definedName name="Clear_Dist_PRED" localSheetId="0">#REF!</definedName>
    <definedName name="Clear_Dist_PRED" localSheetId="2">#REF!</definedName>
    <definedName name="Clear_Dist_PREG" localSheetId="1">#REF!</definedName>
    <definedName name="Clear_Dist_PREG" localSheetId="0">#REF!</definedName>
    <definedName name="Clear_Dist_PREG" localSheetId="2">#REF!</definedName>
    <definedName name="Clear_Dist_SPRT" localSheetId="1">#REF!</definedName>
    <definedName name="Clear_Dist_SPRT" localSheetId="0">#REF!</definedName>
    <definedName name="Clear_Dist_SPRT" localSheetId="2">#REF!</definedName>
    <definedName name="Clear_Dist_TELE" localSheetId="1">#REF!</definedName>
    <definedName name="Clear_Dist_TELE" localSheetId="0">#REF!</definedName>
    <definedName name="Clear_Dist_TELE" localSheetId="2">#REF!</definedName>
    <definedName name="Clear_Dist_TICK" localSheetId="1">#REF!</definedName>
    <definedName name="Clear_Dist_TICK" localSheetId="0">#REF!</definedName>
    <definedName name="Clear_Dist_TICK" localSheetId="2">#REF!</definedName>
    <definedName name="Clear_INTL" localSheetId="1">#REF!</definedName>
    <definedName name="Clear_INTL" localSheetId="0">#REF!</definedName>
    <definedName name="Clear_INTL" localSheetId="2">#REF!</definedName>
    <definedName name="Clear_PGbyChannel" localSheetId="1">#REF!</definedName>
    <definedName name="Clear_PGbyChannel" localSheetId="0">#REF!</definedName>
    <definedName name="Clear_PGbyChannel" localSheetId="2">#REF!</definedName>
    <definedName name="Clear_SWY" localSheetId="1">#REF!</definedName>
    <definedName name="Clear_SWY" localSheetId="0">#REF!</definedName>
    <definedName name="Clear_SWY" localSheetId="2">#REF!</definedName>
    <definedName name="Clear_SWY_LARC" localSheetId="1">#REF!</definedName>
    <definedName name="Clear_SWY_LARC" localSheetId="0">#REF!</definedName>
    <definedName name="Clear_SWY_LARC" localSheetId="2">#REF!</definedName>
    <definedName name="Clear_SWY_PART" localSheetId="1">#REF!</definedName>
    <definedName name="Clear_SWY_PART" localSheetId="0">#REF!</definedName>
    <definedName name="Clear_SWY_PART" localSheetId="2">#REF!</definedName>
    <definedName name="Clear_SWY_PRED" localSheetId="1">#REF!</definedName>
    <definedName name="Clear_SWY_PRED" localSheetId="0">#REF!</definedName>
    <definedName name="Clear_SWY_PRED" localSheetId="2">#REF!</definedName>
    <definedName name="Clear_SWY_PREG" localSheetId="1">#REF!</definedName>
    <definedName name="Clear_SWY_PREG" localSheetId="0">#REF!</definedName>
    <definedName name="Clear_SWY_PREG" localSheetId="2">#REF!</definedName>
    <definedName name="Clear_SWY_SPRT" localSheetId="1">#REF!</definedName>
    <definedName name="Clear_SWY_SPRT" localSheetId="0">#REF!</definedName>
    <definedName name="Clear_SWY_SPRT" localSheetId="2">#REF!</definedName>
    <definedName name="Clear_SWY_TELE" localSheetId="1">#REF!</definedName>
    <definedName name="Clear_SWY_TELE" localSheetId="0">#REF!</definedName>
    <definedName name="Clear_SWY_TELE" localSheetId="2">#REF!</definedName>
    <definedName name="Clear_SWY_TICK" localSheetId="1">#REF!</definedName>
    <definedName name="Clear_SWY_TICK" localSheetId="0">#REF!</definedName>
    <definedName name="Clear_SWY_TICK" localSheetId="2">#REF!</definedName>
    <definedName name="Clear_Top100" localSheetId="1">#REF!</definedName>
    <definedName name="Clear_Top100" localSheetId="0">#REF!</definedName>
    <definedName name="Clear_Top100" localSheetId="2">#REF!</definedName>
    <definedName name="Clear_Total" localSheetId="1">#REF!</definedName>
    <definedName name="Clear_Total" localSheetId="0">#REF!</definedName>
    <definedName name="Clear_Total" localSheetId="2">#REF!</definedName>
    <definedName name="Clear_Total_LARC" localSheetId="1">#REF!</definedName>
    <definedName name="Clear_Total_LARC" localSheetId="0">#REF!</definedName>
    <definedName name="Clear_Total_LARC" localSheetId="2">#REF!</definedName>
    <definedName name="Clear_Total_PART" localSheetId="1">#REF!</definedName>
    <definedName name="Clear_Total_PART" localSheetId="0">#REF!</definedName>
    <definedName name="Clear_Total_PART" localSheetId="2">#REF!</definedName>
    <definedName name="Clear_Total_PRED" localSheetId="1">#REF!</definedName>
    <definedName name="Clear_Total_PRED" localSheetId="0">#REF!</definedName>
    <definedName name="Clear_Total_PRED" localSheetId="2">#REF!</definedName>
    <definedName name="Clear_Total_PREG" localSheetId="1">#REF!</definedName>
    <definedName name="Clear_Total_PREG" localSheetId="0">#REF!</definedName>
    <definedName name="Clear_Total_PREG" localSheetId="2">#REF!</definedName>
    <definedName name="Clear_Total_SPRT" localSheetId="1">#REF!</definedName>
    <definedName name="Clear_Total_SPRT" localSheetId="0">#REF!</definedName>
    <definedName name="Clear_Total_SPRT" localSheetId="2">#REF!</definedName>
    <definedName name="Clear_Total_TELE" localSheetId="1">#REF!</definedName>
    <definedName name="Clear_Total_TELE" localSheetId="0">#REF!</definedName>
    <definedName name="Clear_Total_TELE" localSheetId="2">#REF!</definedName>
    <definedName name="Clear_Total_TICK" localSheetId="1">#REF!</definedName>
    <definedName name="Clear_Total_TICK" localSheetId="0">#REF!</definedName>
    <definedName name="Clear_Total_TICK" localSheetId="2">#REF!</definedName>
    <definedName name="Corp_1510">[6]FATS_GL_ALL!$CE$4:$CN$14</definedName>
    <definedName name="csAllowLocalConsolidation">TRUE</definedName>
    <definedName name="csAppName">"BudgetWeb"</definedName>
    <definedName name="csDesignMode">1</definedName>
    <definedName name="csKeepAlive">5</definedName>
    <definedName name="csLocalConsolidationOnSubmit">TRUE</definedName>
    <definedName name="csMIS_OPINC_SCHED_D_Dim01">"="</definedName>
    <definedName name="csMIS_OPINC_SCHED_D_Dim02">"="</definedName>
    <definedName name="csMIS_OPINC_SCHED_D_Dim03">"="</definedName>
    <definedName name="csMIS_OPINC_SCHED_D_Dim04">"="</definedName>
    <definedName name="csMIS_OPINC_SCHED_D_Dim05">"="</definedName>
    <definedName name="csMIS_OPINC_SCHED_D_Dim06">"="</definedName>
    <definedName name="csMIS_OPINC_SCHED_D_Dim07">"="</definedName>
    <definedName name="csMNC_CH_EXPENSE_SCHEDB7_Dim01">"="</definedName>
    <definedName name="csMNC_CH_EXPENSE_SCHEDB7_Dim02">"="</definedName>
    <definedName name="csMNC_CH_EXPENSE_SCHEDB7_Dim03">[7]Location!$AA$7:$AB$7</definedName>
    <definedName name="csMNC_CH_EXPENSE_SCHEDB7_Dim04">"="</definedName>
    <definedName name="csMNC_CH_EXPENSE_SCHEDB7_Dim05">"="</definedName>
    <definedName name="csMNC_CH_EXPENSE_SCHEDB7_Dim06">"="</definedName>
    <definedName name="csMNC_CH_EXPENSE_SCHEDB7_Dim07">[7]Location!$AA$8:$AB$8</definedName>
    <definedName name="csMNC_CH_EXPENSE_SCHEDB7_Dim08">"="</definedName>
    <definedName name="csMNC_CH_EXPENSE_SCHEDB7Anchor">[7]Location!$AA$10</definedName>
    <definedName name="csMNC_DEPREC_BYMONTH_SCHEDB11_Dim01">"="</definedName>
    <definedName name="csMNC_DEPREC_BYMONTH_SCHEDB11_Dim02">"="</definedName>
    <definedName name="csMNC_DEPREC_BYMONTH_SCHEDB11_Dim04">"="</definedName>
    <definedName name="csMNC_DEPREC_BYMONTH_SCHEDB11_Dim05">"="</definedName>
    <definedName name="csMNC_DEPREC_BYMONTH_SCHEDB11_Dim06">"="</definedName>
    <definedName name="csMNC_DEPREC_BYMONTH_SCHEDB11_Dim07">"="</definedName>
    <definedName name="csMNC_DEPREC_BYMONTH_SCHEDB11_Dim08">"="</definedName>
    <definedName name="csMNC_DEPREC_BYSERVICE_SCHEDB11_Dim01">"="</definedName>
    <definedName name="csMNC_DEPREC_BYSERVICE_SCHEDB11_Dim02">"="</definedName>
    <definedName name="csMNC_DEPREC_BYSERVICE_SCHEDB11_Dim03">"="</definedName>
    <definedName name="csMNC_DEPREC_BYSERVICE_SCHEDB11_Dim05">"="</definedName>
    <definedName name="csMNC_DEPREC_BYSERVICE_SCHEDB11_Dim06">"="</definedName>
    <definedName name="csMNC_DEPREC_BYSERVICE_SCHEDB11_Dim07">"="</definedName>
    <definedName name="csMNC_GAEXPENSE_SCHEDB12_Dim01">"="</definedName>
    <definedName name="csMNC_GAEXPENSE_SCHEDB12_Dim02">"="</definedName>
    <definedName name="csMNC_GAEXPENSE_SCHEDB12_Dim03">"="</definedName>
    <definedName name="csMNC_GAEXPENSE_SCHEDB12_Dim04">"="</definedName>
    <definedName name="csMNC_GAEXPENSE_SCHEDB12_Dim05">"="</definedName>
    <definedName name="csMNC_GAEXPENSE_SCHEDB12_Dim06">"="</definedName>
    <definedName name="csMNC_GAEXPENSE_SCHEDB12_Dim07">"="</definedName>
    <definedName name="csMNC_GAEXPENSE_SCHEDB12_Dim08">"="</definedName>
    <definedName name="csMNC_OPINC_SCHED_B_Dim01">"="</definedName>
    <definedName name="csMNC_OPINC_SCHED_B_Dim02">"="</definedName>
    <definedName name="csMNC_OPINC_SCHED_B_Dim04">"="</definedName>
    <definedName name="csMNC_OPINC_SCHED_B_Dim05">"="</definedName>
    <definedName name="csMNC_OPINC_SCHED_B_Dim06">"="</definedName>
    <definedName name="csMNC_OPINC_SCHED_B_Dim07">"="</definedName>
    <definedName name="csMNC_OPINC_SCHED_B_Dim08">"="</definedName>
    <definedName name="csMNC_OPINC_SCHEDB2_5_Dim01">"="</definedName>
    <definedName name="csMNC_OPINC_SCHEDB2_5_Dim02">"="</definedName>
    <definedName name="csMNC_OPINC_SCHEDB2_5_Dim04">"="</definedName>
    <definedName name="csMNC_OPINC_SCHEDB2_5_Dim05">"="</definedName>
    <definedName name="csMNC_OPINC_SCHEDB2_5_Dim06">"="</definedName>
    <definedName name="csMNC_OPINC_SCHEDB2_5_Dim07">"="</definedName>
    <definedName name="csMNC_OPINC_SCHEDB2_5_Dim08">"="</definedName>
    <definedName name="csMNC_OPINC_SCHEDB2_Guam_Dim01">"="</definedName>
    <definedName name="csMNC_OPINC_SCHEDB2_Guam_Dim02">"="</definedName>
    <definedName name="csMNC_OPINC_SCHEDB2_Guam_Dim03">"="</definedName>
    <definedName name="csMNC_OPINC_SCHEDB2_Guam_Dim04">"="</definedName>
    <definedName name="csMNC_OPINC_SCHEDB2_Guam_Dim05">"="</definedName>
    <definedName name="csMNC_OPINC_SCHEDB2_Guam_Dim06">"="</definedName>
    <definedName name="csMNC_OPINC_SCHEDB2_Guam_Dim07">"="</definedName>
    <definedName name="csMNC_OPINC_SCHEDB2_MPS_Dim01">"="</definedName>
    <definedName name="csMNC_OPINC_SCHEDB2_MPS_Dim02">"="</definedName>
    <definedName name="csMNC_OPINC_SCHEDB2_MPS_Dim03">"="</definedName>
    <definedName name="csMNC_OPINC_SCHEDB2_MPS_Dim04">"="</definedName>
    <definedName name="csMNC_OPINC_SCHEDB2_MPS_Dim05">"="</definedName>
    <definedName name="csMNC_OPINC_SCHEDB2_MPS_Dim06">"="</definedName>
    <definedName name="csMNC_OPINC_SCHEDB2_MPS_Dim07">"="</definedName>
    <definedName name="csMNC_OPINC_SCHEDB6_Dim01">"="</definedName>
    <definedName name="csMNC_OPINC_SCHEDB6_Dim02">"="</definedName>
    <definedName name="csMNC_OPINC_SCHEDB6_Dim03">"="</definedName>
    <definedName name="csMNC_OPINC_SCHEDB6_Dim04">"="</definedName>
    <definedName name="csMNC_OPINC_SCHEDB6_Dim05">"="</definedName>
    <definedName name="csMNC_OPINC_SCHEDB6_Dim06">"="</definedName>
    <definedName name="csMNC_OPINC_SCHEDB6_Dim07">"="</definedName>
    <definedName name="csMNC_OPOH_BYMONTH_SCHEDB9_Dim01">"="</definedName>
    <definedName name="csMNC_OPOH_BYMONTH_SCHEDB9_Dim02">'[7]OP OH'!$AL$10:$AM$10</definedName>
    <definedName name="csMNC_OPOH_BYMONTH_SCHEDB9_Dim03">"="</definedName>
    <definedName name="csMNC_OPOH_BYMONTH_SCHEDB9_Dim04">"="</definedName>
    <definedName name="csMNC_OPOH_BYMONTH_SCHEDB9_Dim05">"="</definedName>
    <definedName name="csMNC_OPOH_BYMONTH_SCHEDB9_Dim06">"="</definedName>
    <definedName name="csMNC_OPOH_BYMONTH_SCHEDB9_Dim07">"="</definedName>
    <definedName name="csMNC_OPOH_BYMONTH_SCHEDB9_Dim08">"="</definedName>
    <definedName name="csMNC_OPOH_BYMONTH_SCHEDB9Anchor">'[7]OP OH'!$AL$12</definedName>
    <definedName name="csMNC_OPOH_BYSERVICE_SCHEDB9_Dim01">"="</definedName>
    <definedName name="csMNC_OPOH_BYSERVICE_SCHEDB9_Dim02">"="</definedName>
    <definedName name="csMNC_OPOH_BYSERVICE_SCHEDB9_Dim03">'[7]OP OH'!$AL$30:$AM$30</definedName>
    <definedName name="csMNC_OPOH_BYSERVICE_SCHEDB9_Dim04">"="</definedName>
    <definedName name="csMNC_OPOH_BYSERVICE_SCHEDB9_Dim05">"="</definedName>
    <definedName name="csMNC_OPOH_BYSERVICE_SCHEDB9_Dim06">"="</definedName>
    <definedName name="csMNC_OPOH_BYSERVICE_SCHEDB9_Dim07">'[7]OP OH'!$AL$31:$AM$31</definedName>
    <definedName name="csMNC_OPOH_BYSERVICE_SCHEDB9_Dim08">"="</definedName>
    <definedName name="csMNC_OPOH_BYSERVICE_SCHEDB9Anchor">'[7]OP OH'!$AL$33</definedName>
    <definedName name="csMNC_OTHINC_BYMONTH_SCHEDB13_Dim01">"="</definedName>
    <definedName name="csMNC_OTHINC_BYMONTH_SCHEDB13_Dim02">"="</definedName>
    <definedName name="csMNC_OTHINC_BYMONTH_SCHEDB13_Dim04">"="</definedName>
    <definedName name="csMNC_OTHINC_BYMONTH_SCHEDB13_Dim05">"="</definedName>
    <definedName name="csMNC_OTHINC_BYMONTH_SCHEDB13_Dim06">"="</definedName>
    <definedName name="csMNC_OTHINC_BYMONTH_SCHEDB13_Dim07">"="</definedName>
    <definedName name="csMNC_OTHINC_BYMONTH_SCHEDB13_Dim08">"="</definedName>
    <definedName name="csMNC_VOE_BYVESSEL_SCHEDB8_Dim01">"="</definedName>
    <definedName name="csMNC_VOE_BYVESSEL_SCHEDB8_Dim02">"="</definedName>
    <definedName name="csMNC_VOE_BYVESSEL_SCHEDB8_Dim03">"="</definedName>
    <definedName name="csMNC_VOE_BYVESSEL_SCHEDB8_Dim04">"="</definedName>
    <definedName name="csMNC_VOE_BYVESSEL_SCHEDB8_Dim05">"="</definedName>
    <definedName name="csMNC_VOE_BYVESSEL_SCHEDB8_Dim06">"="</definedName>
    <definedName name="csMNC_VOE_BYVESSEL_SCHEDB8_Dim07">"="</definedName>
    <definedName name="csMNC_VOE_BYVESSEL_SCHEDB8_Dim08">"="</definedName>
    <definedName name="csMNC_VOE_BYVESSEL_SCHEDB8Anchor">[7]VesselsOperating!$BA$12</definedName>
    <definedName name="csMNC_VOH_BYMONTH_SCHEDB10_Dim01">"="</definedName>
    <definedName name="csMNC_VOH_BYMONTH_SCHEDB10_Dim02">"="</definedName>
    <definedName name="csMNC_VOH_BYMONTH_SCHEDB10_Dim04">"="</definedName>
    <definedName name="csMNC_VOH_BYMONTH_SCHEDB10_Dim05">"="</definedName>
    <definedName name="csMNC_VOH_BYMONTH_SCHEDB10_Dim06">"="</definedName>
    <definedName name="csMNC_VOH_BYMONTH_SCHEDB10_Dim07">"="</definedName>
    <definedName name="csMNC_VOH_BYMONTH_SCHEDB10_Dim08">"="</definedName>
    <definedName name="csMNC_VOH_BYVESSEL_SCHEDB10_Dim01">"="</definedName>
    <definedName name="csMNC_VOH_BYVESSEL_SCHEDB10_Dim02">"="</definedName>
    <definedName name="csMNC_VOH_BYVESSEL_SCHEDB10_Dim03">"="</definedName>
    <definedName name="csMNC_VOH_BYVESSEL_SCHEDB10_Dim05">"="</definedName>
    <definedName name="csMNC_VOH_BYVESSEL_SCHEDB10_Dim06">"="</definedName>
    <definedName name="csMNC_VOH_BYVESSEL_SCHEDB10_Dim07">"="</definedName>
    <definedName name="csMTI_OPINC_SCHED_C_Dim01">"="</definedName>
    <definedName name="csMTI_OPINC_SCHED_C_Dim02">"="</definedName>
    <definedName name="csMTI_OPINC_SCHED_C_Dim03">"="</definedName>
    <definedName name="csMTI_OPINC_SCHED_C_Dim04">"="</definedName>
    <definedName name="csMTI_OPINC_SCHED_C_Dim05">"="</definedName>
    <definedName name="csMTI_OPINC_SCHED_C_Dim06">"="</definedName>
    <definedName name="csMTI_OPINC_SCHED_C_Dim07">"="</definedName>
    <definedName name="csMTI_OPINC_SCHED_C_Dim08">"="</definedName>
    <definedName name="csRefreshOnOpen">TRUE</definedName>
    <definedName name="csRefreshOnRotate">TRUE</definedName>
    <definedName name="deno" localSheetId="1">#REF!</definedName>
    <definedName name="deno" localSheetId="0">#REF!</definedName>
    <definedName name="deno" localSheetId="2">#REF!</definedName>
    <definedName name="Dimensions_T_BoldTypeface" localSheetId="1">#REF!</definedName>
    <definedName name="Dimensions_T_BoldTypeface" localSheetId="0">#REF!</definedName>
    <definedName name="Dimensions_T_BoldTypeface" localSheetId="2">#REF!</definedName>
    <definedName name="Dimensions_T_Closed" localSheetId="1">#REF!</definedName>
    <definedName name="Dimensions_T_Closed" localSheetId="0">#REF!</definedName>
    <definedName name="Dimensions_T_Closed" localSheetId="2">#REF!</definedName>
    <definedName name="Dimensions_T_Column" localSheetId="1">#REF!</definedName>
    <definedName name="Dimensions_T_Column" localSheetId="0">#REF!</definedName>
    <definedName name="Dimensions_T_Column" localSheetId="2">#REF!</definedName>
    <definedName name="Dimensions_T_CompanyGroup" localSheetId="1">#REF!</definedName>
    <definedName name="Dimensions_T_CompanyGroup" localSheetId="0">#REF!</definedName>
    <definedName name="Dimensions_T_CompanyGroup" localSheetId="2">#REF!</definedName>
    <definedName name="Dimensions_T_COSBlockAllocation" localSheetId="1">#REF!</definedName>
    <definedName name="Dimensions_T_COSBlockAllocation" localSheetId="0">#REF!</definedName>
    <definedName name="Dimensions_T_COSBlockAllocation" localSheetId="2">#REF!</definedName>
    <definedName name="Dimensions_T_COSBlockDistribution" localSheetId="1">#REF!</definedName>
    <definedName name="Dimensions_T_COSBlockDistribution" localSheetId="0">#REF!</definedName>
    <definedName name="Dimensions_T_COSBlockDistribution" localSheetId="2">#REF!</definedName>
    <definedName name="Dimensions_T_COSBlockPostCost" localSheetId="1">#REF!</definedName>
    <definedName name="Dimensions_T_COSBlockPostCost" localSheetId="0">#REF!</definedName>
    <definedName name="Dimensions_T_COSBlockPostCost" localSheetId="2">#REF!</definedName>
    <definedName name="Dimensions_T_COSBlockPostWork" localSheetId="1">#REF!</definedName>
    <definedName name="Dimensions_T_COSBlockPostWork" localSheetId="0">#REF!</definedName>
    <definedName name="Dimensions_T_COSBlockPostWork" localSheetId="2">#REF!</definedName>
    <definedName name="Dimensions_T_COSValidFrom" localSheetId="1">#REF!</definedName>
    <definedName name="Dimensions_T_COSValidFrom" localSheetId="0">#REF!</definedName>
    <definedName name="Dimensions_T_COSValidFrom" localSheetId="2">#REF!</definedName>
    <definedName name="Dimensions_T_COSValidUntil" localSheetId="1">#REF!</definedName>
    <definedName name="Dimensions_T_COSValidUntil" localSheetId="0">#REF!</definedName>
    <definedName name="Dimensions_T_COSValidUntil" localSheetId="2">#REF!</definedName>
    <definedName name="Dimensions_T_Description" localSheetId="1">#REF!</definedName>
    <definedName name="Dimensions_T_Description" localSheetId="0">#REF!</definedName>
    <definedName name="Dimensions_T_Description" localSheetId="2">#REF!</definedName>
    <definedName name="Dimensions_T_DimensionCode" localSheetId="1">#REF!</definedName>
    <definedName name="Dimensions_T_DimensionCode" localSheetId="0">#REF!</definedName>
    <definedName name="Dimensions_T_DimensionCode" localSheetId="2">#REF!</definedName>
    <definedName name="Dimensions_T_InCharge" localSheetId="1">#REF!</definedName>
    <definedName name="Dimensions_T_InCharge" localSheetId="0">#REF!</definedName>
    <definedName name="Dimensions_T_InCharge" localSheetId="2">#REF!</definedName>
    <definedName name="Dimensions_T_Italic" localSheetId="1">#REF!</definedName>
    <definedName name="Dimensions_T_Italic" localSheetId="0">#REF!</definedName>
    <definedName name="Dimensions_T_Italic" localSheetId="2">#REF!</definedName>
    <definedName name="Dimensions_T_LineExceed" localSheetId="1">#REF!</definedName>
    <definedName name="Dimensions_T_LineExceed" localSheetId="0">#REF!</definedName>
    <definedName name="Dimensions_T_LineExceed" localSheetId="2">#REF!</definedName>
    <definedName name="Dimensions_T_LineSub" localSheetId="1">#REF!</definedName>
    <definedName name="Dimensions_T_LineSub" localSheetId="0">#REF!</definedName>
    <definedName name="Dimensions_T_LineSub" localSheetId="2">#REF!</definedName>
    <definedName name="Dimensions_T_Num" localSheetId="1">#REF!</definedName>
    <definedName name="Dimensions_T_Num" localSheetId="0">#REF!</definedName>
    <definedName name="Dimensions_T_Num" localSheetId="2">#REF!</definedName>
    <definedName name="Dimensions_T_ReverseSign" localSheetId="1">#REF!</definedName>
    <definedName name="Dimensions_T_ReverseSign" localSheetId="0">#REF!</definedName>
    <definedName name="Dimensions_T_ReverseSign" localSheetId="2">#REF!</definedName>
    <definedName name="Dimensions_T_UnderlineNumerals" localSheetId="1">#REF!</definedName>
    <definedName name="Dimensions_T_UnderlineNumerals" localSheetId="0">#REF!</definedName>
    <definedName name="Dimensions_T_UnderlineNumerals" localSheetId="2">#REF!</definedName>
    <definedName name="Dimensions_T_UnderLineTxt" localSheetId="1">#REF!</definedName>
    <definedName name="Dimensions_T_UnderLineTxt" localSheetId="0">#REF!</definedName>
    <definedName name="Dimensions_T_UnderLineTxt" localSheetId="2">#REF!</definedName>
    <definedName name="domair">[8]Assumptions!$B$19</definedName>
    <definedName name="domlodg">[8]Assumptions!$C$19</definedName>
    <definedName name="dommeal">[8]Assumptions!$D$19</definedName>
    <definedName name="domtran">[8]Assumptions!$E$19</definedName>
    <definedName name="Enum326">'[9]#Lookup'!$A$2:$A$6</definedName>
    <definedName name="Enum61469">'[9]#Lookup'!$B$2:$B$3</definedName>
    <definedName name="FieldListDet">[10]Setup!$K$2:$K$200</definedName>
    <definedName name="FS">'[5]US Indirect COR and Prog Exp'!$C$68</definedName>
    <definedName name="Gegenkonto">[11]Gegenkonto!$C$7:$D$153</definedName>
    <definedName name="Hide_INTL" localSheetId="1">#REF!</definedName>
    <definedName name="Hide_INTL" localSheetId="0">#REF!</definedName>
    <definedName name="Hide_INTL" localSheetId="2">#REF!</definedName>
    <definedName name="Hide_LARC_Dist" localSheetId="1">#REF!</definedName>
    <definedName name="Hide_LARC_Dist" localSheetId="0">#REF!</definedName>
    <definedName name="Hide_LARC_Dist" localSheetId="2">#REF!</definedName>
    <definedName name="Hide_LARC_Swy" localSheetId="1">#REF!</definedName>
    <definedName name="Hide_LARC_Swy" localSheetId="0">#REF!</definedName>
    <definedName name="Hide_LARC_Swy" localSheetId="2">#REF!</definedName>
    <definedName name="Hide_LARC_Total" localSheetId="1">#REF!</definedName>
    <definedName name="Hide_LARC_Total" localSheetId="0">#REF!</definedName>
    <definedName name="Hide_LARC_Total" localSheetId="2">#REF!</definedName>
    <definedName name="Hide_PART_Dist" localSheetId="1">#REF!</definedName>
    <definedName name="Hide_PART_Dist" localSheetId="0">#REF!</definedName>
    <definedName name="Hide_PART_Dist" localSheetId="2">#REF!</definedName>
    <definedName name="Hide_PART_Swy" localSheetId="1">#REF!</definedName>
    <definedName name="Hide_PART_Swy" localSheetId="0">#REF!</definedName>
    <definedName name="Hide_PART_Swy" localSheetId="2">#REF!</definedName>
    <definedName name="Hide_PART_Total" localSheetId="1">#REF!</definedName>
    <definedName name="Hide_PART_Total" localSheetId="0">#REF!</definedName>
    <definedName name="Hide_PART_Total" localSheetId="2">#REF!</definedName>
    <definedName name="Hide_PG_DIST" localSheetId="1">#REF!</definedName>
    <definedName name="Hide_PG_DIST" localSheetId="0">#REF!</definedName>
    <definedName name="Hide_PG_DIST" localSheetId="2">#REF!</definedName>
    <definedName name="Hide_PG_SWY" localSheetId="1">#REF!</definedName>
    <definedName name="Hide_PG_SWY" localSheetId="0">#REF!</definedName>
    <definedName name="Hide_PG_SWY" localSheetId="2">#REF!</definedName>
    <definedName name="Hide_PG_Total" localSheetId="1">#REF!</definedName>
    <definedName name="Hide_PG_Total" localSheetId="0">#REF!</definedName>
    <definedName name="Hide_PG_Total" localSheetId="2">#REF!</definedName>
    <definedName name="Hide_PRED_Dist" localSheetId="1">#REF!</definedName>
    <definedName name="Hide_PRED_Dist" localSheetId="0">#REF!</definedName>
    <definedName name="Hide_PRED_Dist" localSheetId="2">#REF!</definedName>
    <definedName name="Hide_PRED_Swy" localSheetId="1">#REF!</definedName>
    <definedName name="Hide_PRED_Swy" localSheetId="0">#REF!</definedName>
    <definedName name="Hide_PRED_Swy" localSheetId="2">#REF!</definedName>
    <definedName name="Hide_PRED_Total" localSheetId="1">#REF!</definedName>
    <definedName name="Hide_PRED_Total" localSheetId="0">#REF!</definedName>
    <definedName name="Hide_PRED_Total" localSheetId="2">#REF!</definedName>
    <definedName name="Hide_PREG_Dist" localSheetId="1">#REF!</definedName>
    <definedName name="Hide_PREG_Dist" localSheetId="0">#REF!</definedName>
    <definedName name="Hide_PREG_Dist" localSheetId="2">#REF!</definedName>
    <definedName name="Hide_PREG_Swy" localSheetId="1">#REF!</definedName>
    <definedName name="Hide_PREG_Swy" localSheetId="0">#REF!</definedName>
    <definedName name="Hide_PREG_Swy" localSheetId="2">#REF!</definedName>
    <definedName name="Hide_PREG_Total" localSheetId="1">#REF!</definedName>
    <definedName name="Hide_PREG_Total" localSheetId="0">#REF!</definedName>
    <definedName name="Hide_PREG_Total" localSheetId="2">#REF!</definedName>
    <definedName name="Hide_SPRT_Dist" localSheetId="1">#REF!</definedName>
    <definedName name="Hide_SPRT_Dist" localSheetId="0">#REF!</definedName>
    <definedName name="Hide_SPRT_Dist" localSheetId="2">#REF!</definedName>
    <definedName name="Hide_SPRT_Swy" localSheetId="1">#REF!</definedName>
    <definedName name="Hide_SPRT_Swy" localSheetId="0">#REF!</definedName>
    <definedName name="Hide_SPRT_Swy" localSheetId="2">#REF!</definedName>
    <definedName name="Hide_SPRT_Total" localSheetId="1">#REF!</definedName>
    <definedName name="Hide_SPRT_Total" localSheetId="0">#REF!</definedName>
    <definedName name="Hide_SPRT_Total" localSheetId="2">#REF!</definedName>
    <definedName name="Hide_TELE_Dist" localSheetId="1">#REF!</definedName>
    <definedName name="Hide_TELE_Dist" localSheetId="0">#REF!</definedName>
    <definedName name="Hide_TELE_Dist" localSheetId="2">#REF!</definedName>
    <definedName name="Hide_TELE_Swy" localSheetId="1">#REF!</definedName>
    <definedName name="Hide_TELE_Swy" localSheetId="0">#REF!</definedName>
    <definedName name="Hide_TELE_Swy" localSheetId="2">#REF!</definedName>
    <definedName name="Hide_TELE_Total" localSheetId="1">#REF!</definedName>
    <definedName name="Hide_TELE_Total" localSheetId="0">#REF!</definedName>
    <definedName name="Hide_TELE_Total" localSheetId="2">#REF!</definedName>
    <definedName name="Hide_TICK_Dist" localSheetId="1">#REF!</definedName>
    <definedName name="Hide_TICK_Dist" localSheetId="0">#REF!</definedName>
    <definedName name="Hide_TICK_Dist" localSheetId="2">#REF!</definedName>
    <definedName name="Hide_TICK_Swy" localSheetId="1">#REF!</definedName>
    <definedName name="Hide_TICK_Swy" localSheetId="0">#REF!</definedName>
    <definedName name="Hide_TICK_Swy" localSheetId="2">#REF!</definedName>
    <definedName name="Hide_TICK_Total" localSheetId="1">#REF!</definedName>
    <definedName name="Hide_TICK_Total" localSheetId="0">#REF!</definedName>
    <definedName name="Hide_TICK_Total" localSheetId="2">#REF!</definedName>
    <definedName name="Hide_Top100" localSheetId="1">#REF!</definedName>
    <definedName name="Hide_Top100" localSheetId="0">#REF!</definedName>
    <definedName name="Hide_Top100" localSheetId="2">#REF!</definedName>
    <definedName name="Hide_Total" localSheetId="1">#REF!</definedName>
    <definedName name="Hide_Total" localSheetId="0">#REF!</definedName>
    <definedName name="Hide_Total" localSheetId="2">#REF!</definedName>
    <definedName name="Hide_Total_DIst" localSheetId="1">#REF!</definedName>
    <definedName name="Hide_Total_DIst" localSheetId="0">#REF!</definedName>
    <definedName name="Hide_Total_DIst" localSheetId="2">#REF!</definedName>
    <definedName name="Hide_Total_LARC" localSheetId="1">#REF!</definedName>
    <definedName name="Hide_Total_LARC" localSheetId="0">#REF!</definedName>
    <definedName name="Hide_Total_LARC" localSheetId="2">#REF!</definedName>
    <definedName name="intair">[8]Assumptions!$B$20</definedName>
    <definedName name="intlodg">[8]Assumptions!$C$20</definedName>
    <definedName name="intmeal">[8]Assumptions!$D$20</definedName>
    <definedName name="inttran">[8]Assumptions!$E$20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" hidden="1">"c6240"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39056.5286574074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oy" localSheetId="1">#REF!</definedName>
    <definedName name="joy" localSheetId="0">#REF!</definedName>
    <definedName name="joy" localSheetId="2">#REF!</definedName>
    <definedName name="kjh" localSheetId="1">#REF!</definedName>
    <definedName name="kjh" localSheetId="0">#REF!</definedName>
    <definedName name="kjh" localSheetId="2">#REF!</definedName>
    <definedName name="Konto">[12]Konten!$C$113:$D$157</definedName>
    <definedName name="L_Adjust">[4]Links!$H$1:$H$65536</definedName>
    <definedName name="L_AJE_Tot">[4]Links!$G$1:$G$65536</definedName>
    <definedName name="L_CY_Beg">[4]Links!$F$1:$F$65536</definedName>
    <definedName name="L_CY_End">[4]Links!$J$1:$J$65536</definedName>
    <definedName name="L_PY_End">[4]Links!$K$1:$K$65536</definedName>
    <definedName name="L_RJE_Tot">[4]Links!$I$1:$I$65536</definedName>
    <definedName name="LAST_YEAR">'[13]2008 Actual'!$A$2:$BB$502</definedName>
    <definedName name="Mapping2">'[14]GL Detail_Period'!$A$1:$M$348</definedName>
    <definedName name="MARGIN">'[15]MNC Marg (2)'!$A$1:$K$28</definedName>
    <definedName name="mil">'[16]FV by Product Detail $'!$Y$3</definedName>
    <definedName name="My" localSheetId="1">#REF!</definedName>
    <definedName name="My" localSheetId="0">#REF!</definedName>
    <definedName name="My" localSheetId="2">#REF!</definedName>
    <definedName name="MyAffilate1" localSheetId="1">#REF!</definedName>
    <definedName name="MyAffilate1" localSheetId="0">#REF!</definedName>
    <definedName name="MyAffilate1" localSheetId="2">#REF!</definedName>
    <definedName name="MyAffiliate" localSheetId="1">#REF!</definedName>
    <definedName name="MyAffiliate" localSheetId="0">#REF!</definedName>
    <definedName name="MyAffiliate" localSheetId="2">#REF!</definedName>
    <definedName name="MyAffiliate1" localSheetId="1">#REF!</definedName>
    <definedName name="MyAffiliate1" localSheetId="0">#REF!</definedName>
    <definedName name="MyAffiliate1" localSheetId="2">#REF!</definedName>
    <definedName name="MyAffiliate2" localSheetId="1">#REF!</definedName>
    <definedName name="MyAffiliate2" localSheetId="0">#REF!</definedName>
    <definedName name="MyAffiliate2" localSheetId="2">#REF!</definedName>
    <definedName name="MyAffiliate3" localSheetId="1">#REF!</definedName>
    <definedName name="MyAffiliate3" localSheetId="0">#REF!</definedName>
    <definedName name="MyAffiliate3" localSheetId="2">#REF!</definedName>
    <definedName name="New" localSheetId="1">[1]Sheet2!#REF!</definedName>
    <definedName name="New" localSheetId="0">[1]Sheet2!#REF!</definedName>
    <definedName name="New" localSheetId="2">[1]Sheet2!#REF!</definedName>
    <definedName name="OG">'[5]US Indirect COR and Prog Exp'!$C$67</definedName>
    <definedName name="oops">'[17]Detail GL Accts w.Acct Unit'!$A$3:$C$7038</definedName>
    <definedName name="Paste_Area_CPW_Overall_Ticket_Ranking" localSheetId="1">#REF!</definedName>
    <definedName name="Paste_Area_CPW_Overall_Ticket_Ranking" localSheetId="0">#REF!</definedName>
    <definedName name="Paste_Area_CPW_Overall_Ticket_Ranking" localSheetId="2">#REF!</definedName>
    <definedName name="Paste_Area_CPW_Safeway_Ticket_Card_Ranking" localSheetId="1">#REF!</definedName>
    <definedName name="Paste_Area_CPW_Safeway_Ticket_Card_Ranking" localSheetId="0">#REF!</definedName>
    <definedName name="Paste_Area_CPW_Safeway_Ticket_Card_Ranking" localSheetId="2">#REF!</definedName>
    <definedName name="Plan">[3]Plan!$A$2:$BB$502</definedName>
    <definedName name="PLAN_PTD">[3]Plan!$A$561:$BB$610</definedName>
    <definedName name="PLAN_QTD">[3]Plan!$A$613:$BB$662</definedName>
    <definedName name="PLAN_YTD">[3]Plan!$A$665:$BC$714</definedName>
    <definedName name="_xlnm.Print_Area" localSheetId="1">#REF!</definedName>
    <definedName name="_xlnm.Print_Area" localSheetId="0">'Table7 ProgFee_2014'!$A$1:$AB$133</definedName>
    <definedName name="_xlnm.Print_Area" localSheetId="2">#REF!</definedName>
    <definedName name="_xlnm.Print_Area">#REF!</definedName>
    <definedName name="_xlnm.Print_Titles" localSheetId="1">#REF!</definedName>
    <definedName name="_xlnm.Print_Titles" localSheetId="0">'Table7 ProgFee_2014'!$1:$11</definedName>
    <definedName name="_xlnm.Print_Titles" localSheetId="2">#REF!</definedName>
    <definedName name="_xlnm.Print_Titles">#REF!</definedName>
    <definedName name="PS">'[5]US Indirect COR and Prog Exp'!$C$69</definedName>
    <definedName name="Ref_7">[18]Tickmarks!$A$14</definedName>
    <definedName name="REVENUE">#N/A</definedName>
    <definedName name="S_Adjust_Data">[4]Lead!$M$1:$M$20</definedName>
    <definedName name="S_AJE_Tot_Data">[4]Lead!$J$1:$J$20</definedName>
    <definedName name="S_AJE_Tot_GT">[19]Lead!$I$204</definedName>
    <definedName name="S_CY_Beg_Data">[4]Lead!$F$1:$F$20</definedName>
    <definedName name="S_CY_Beg_GT">[19]Lead!$F$204</definedName>
    <definedName name="S_CY_End_Data">[4]Lead!$O$1:$O$20</definedName>
    <definedName name="S_CY_End_GT">[19]Lead!$N$204</definedName>
    <definedName name="S_PY_End_Data">[4]Lead!$Q$1:$Q$20</definedName>
    <definedName name="S_RJE_Tot_Data">[4]Lead!$N$1:$N$20</definedName>
    <definedName name="sdfg">'[20].0 Lead'!$L$171</definedName>
    <definedName name="Table221Field1" localSheetId="1">#REF!</definedName>
    <definedName name="Table221Field1" localSheetId="0">#REF!</definedName>
    <definedName name="Table221Field1" localSheetId="2">#REF!</definedName>
    <definedName name="TextRefCopy4" localSheetId="1">#REF!</definedName>
    <definedName name="TextRefCopy4" localSheetId="0">#REF!</definedName>
    <definedName name="TextRefCopy4" localSheetId="2">#REF!</definedName>
    <definedName name="TextRefCopyRangeCount" hidden="1">23</definedName>
    <definedName name="THIS_YEAR">'[3]2009 Actual'!$A$2:$BB$502</definedName>
    <definedName name="TICKMARK">'[15]MNC Marg (2)'!$K$74:$X$145</definedName>
    <definedName name="Total_Amount">'[21]9. Additions Xfer CMA'!$D$953</definedName>
    <definedName name="Total_PART" localSheetId="1">#REF!</definedName>
    <definedName name="Total_PART" localSheetId="0">#REF!</definedName>
    <definedName name="Total_PART" localSheetId="2">#REF!</definedName>
    <definedName name="unit">'[22]FV by Product $$'!$S$6</definedName>
    <definedName name="Units" localSheetId="1">[3]Week!#REF!</definedName>
    <definedName name="Units" localSheetId="0">[3]Week!#REF!</definedName>
    <definedName name="Units" localSheetId="2">[3]Week!#REF!</definedName>
    <definedName name="WEEK">[13]data!$B$5</definedName>
    <definedName name="XRefColumnsCount" hidden="1">11</definedName>
    <definedName name="XRefCopyRangeCount" hidden="1">8</definedName>
    <definedName name="XRefPasteRangeCount" hidden="1">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6" l="1"/>
  <c r="AB400" i="2" l="1"/>
  <c r="Y400" i="2"/>
  <c r="V400" i="2"/>
  <c r="U400" i="2"/>
  <c r="R400" i="2"/>
  <c r="O400" i="2"/>
  <c r="N400" i="2"/>
  <c r="K400" i="2"/>
  <c r="H400" i="2"/>
  <c r="G400" i="2"/>
  <c r="AB399" i="2"/>
  <c r="Y399" i="2"/>
  <c r="V399" i="2"/>
  <c r="U399" i="2"/>
  <c r="R399" i="2"/>
  <c r="O399" i="2"/>
  <c r="N399" i="2"/>
  <c r="K399" i="2"/>
  <c r="H399" i="2"/>
  <c r="G399" i="2"/>
  <c r="AB398" i="2"/>
  <c r="Y398" i="2"/>
  <c r="V398" i="2"/>
  <c r="V401" i="2" s="1"/>
  <c r="U398" i="2"/>
  <c r="R398" i="2"/>
  <c r="O398" i="2"/>
  <c r="N398" i="2"/>
  <c r="K398" i="2"/>
  <c r="H398" i="2"/>
  <c r="G398" i="2"/>
  <c r="AB358" i="2"/>
  <c r="Y358" i="2"/>
  <c r="V358" i="2"/>
  <c r="U358" i="2"/>
  <c r="W358" i="2" s="1"/>
  <c r="X358" i="2" s="1"/>
  <c r="R358" i="2"/>
  <c r="O358" i="2"/>
  <c r="N358" i="2"/>
  <c r="P358" i="2" s="1"/>
  <c r="Q358" i="2" s="1"/>
  <c r="K358" i="2"/>
  <c r="H358" i="2"/>
  <c r="G358" i="2"/>
  <c r="AB354" i="2"/>
  <c r="Y354" i="2"/>
  <c r="V354" i="2"/>
  <c r="U354" i="2"/>
  <c r="W354" i="2" s="1"/>
  <c r="X354" i="2" s="1"/>
  <c r="R354" i="2"/>
  <c r="O354" i="2"/>
  <c r="N354" i="2"/>
  <c r="P354" i="2" s="1"/>
  <c r="Q354" i="2" s="1"/>
  <c r="L354" i="2"/>
  <c r="M354" i="2" s="1"/>
  <c r="K354" i="2"/>
  <c r="H354" i="2"/>
  <c r="I354" i="2" s="1"/>
  <c r="J354" i="2" s="1"/>
  <c r="G354" i="2"/>
  <c r="AB353" i="2"/>
  <c r="Z353" i="2"/>
  <c r="AA353" i="2" s="1"/>
  <c r="Y353" i="2"/>
  <c r="V353" i="2"/>
  <c r="W353" i="2" s="1"/>
  <c r="X353" i="2" s="1"/>
  <c r="U353" i="2"/>
  <c r="R353" i="2"/>
  <c r="O353" i="2"/>
  <c r="N353" i="2"/>
  <c r="K353" i="2"/>
  <c r="L353" i="2" s="1"/>
  <c r="M353" i="2" s="1"/>
  <c r="H353" i="2"/>
  <c r="G353" i="2"/>
  <c r="AB352" i="2"/>
  <c r="Y352" i="2"/>
  <c r="V352" i="2"/>
  <c r="U352" i="2"/>
  <c r="R352" i="2"/>
  <c r="O352" i="2"/>
  <c r="N352" i="2"/>
  <c r="K352" i="2"/>
  <c r="H352" i="2"/>
  <c r="G352" i="2"/>
  <c r="AB351" i="2"/>
  <c r="Y351" i="2"/>
  <c r="V351" i="2"/>
  <c r="U351" i="2"/>
  <c r="W351" i="2" s="1"/>
  <c r="X351" i="2" s="1"/>
  <c r="R351" i="2"/>
  <c r="O351" i="2"/>
  <c r="O350" i="2" s="1"/>
  <c r="N351" i="2"/>
  <c r="K351" i="2"/>
  <c r="H351" i="2"/>
  <c r="G351" i="2"/>
  <c r="Y350" i="2"/>
  <c r="U350" i="2"/>
  <c r="AB347" i="2"/>
  <c r="Y347" i="2"/>
  <c r="Z347" i="2" s="1"/>
  <c r="AA347" i="2" s="1"/>
  <c r="V347" i="2"/>
  <c r="U347" i="2"/>
  <c r="R347" i="2"/>
  <c r="O347" i="2"/>
  <c r="P347" i="2" s="1"/>
  <c r="Q347" i="2" s="1"/>
  <c r="N347" i="2"/>
  <c r="S347" i="2" s="1"/>
  <c r="T347" i="2" s="1"/>
  <c r="K347" i="2"/>
  <c r="L347" i="2" s="1"/>
  <c r="M347" i="2" s="1"/>
  <c r="H347" i="2"/>
  <c r="G347" i="2"/>
  <c r="AB346" i="2"/>
  <c r="Y346" i="2"/>
  <c r="V346" i="2"/>
  <c r="U346" i="2"/>
  <c r="R346" i="2"/>
  <c r="O346" i="2"/>
  <c r="N346" i="2"/>
  <c r="P346" i="2" s="1"/>
  <c r="Q346" i="2" s="1"/>
  <c r="K346" i="2"/>
  <c r="L346" i="2" s="1"/>
  <c r="M346" i="2" s="1"/>
  <c r="H346" i="2"/>
  <c r="G346" i="2"/>
  <c r="AB345" i="2"/>
  <c r="Y345" i="2"/>
  <c r="Z345" i="2" s="1"/>
  <c r="AA345" i="2" s="1"/>
  <c r="V345" i="2"/>
  <c r="W345" i="2" s="1"/>
  <c r="X345" i="2" s="1"/>
  <c r="U345" i="2"/>
  <c r="R345" i="2"/>
  <c r="O345" i="2"/>
  <c r="N345" i="2"/>
  <c r="P345" i="2" s="1"/>
  <c r="Q345" i="2" s="1"/>
  <c r="K345" i="2"/>
  <c r="H345" i="2"/>
  <c r="G345" i="2"/>
  <c r="L345" i="2" s="1"/>
  <c r="M345" i="2" s="1"/>
  <c r="AB344" i="2"/>
  <c r="Y344" i="2"/>
  <c r="V344" i="2"/>
  <c r="U344" i="2"/>
  <c r="W344" i="2" s="1"/>
  <c r="X344" i="2" s="1"/>
  <c r="R344" i="2"/>
  <c r="O344" i="2"/>
  <c r="N344" i="2"/>
  <c r="K344" i="2"/>
  <c r="H344" i="2"/>
  <c r="G344" i="2"/>
  <c r="AB340" i="2"/>
  <c r="AB339" i="2" s="1"/>
  <c r="Y340" i="2"/>
  <c r="Y339" i="2" s="1"/>
  <c r="V340" i="2"/>
  <c r="V339" i="2" s="1"/>
  <c r="U340" i="2"/>
  <c r="R340" i="2"/>
  <c r="O340" i="2"/>
  <c r="N340" i="2"/>
  <c r="K340" i="2"/>
  <c r="H340" i="2"/>
  <c r="G340" i="2"/>
  <c r="O339" i="2"/>
  <c r="G339" i="2"/>
  <c r="AB336" i="2"/>
  <c r="Y336" i="2"/>
  <c r="V336" i="2"/>
  <c r="U336" i="2"/>
  <c r="R336" i="2"/>
  <c r="O336" i="2"/>
  <c r="N336" i="2"/>
  <c r="K336" i="2"/>
  <c r="L336" i="2" s="1"/>
  <c r="M336" i="2" s="1"/>
  <c r="H336" i="2"/>
  <c r="G336" i="2"/>
  <c r="AB333" i="2"/>
  <c r="Y333" i="2"/>
  <c r="V333" i="2"/>
  <c r="U333" i="2"/>
  <c r="W333" i="2" s="1"/>
  <c r="X333" i="2" s="1"/>
  <c r="R333" i="2"/>
  <c r="O333" i="2"/>
  <c r="N333" i="2"/>
  <c r="K333" i="2"/>
  <c r="L333" i="2" s="1"/>
  <c r="M333" i="2" s="1"/>
  <c r="H333" i="2"/>
  <c r="G333" i="2"/>
  <c r="I333" i="2" s="1"/>
  <c r="J333" i="2" s="1"/>
  <c r="AB330" i="2"/>
  <c r="Y330" i="2"/>
  <c r="V330" i="2"/>
  <c r="U330" i="2"/>
  <c r="R330" i="2"/>
  <c r="R328" i="2" s="1"/>
  <c r="O330" i="2"/>
  <c r="N330" i="2"/>
  <c r="K330" i="2"/>
  <c r="H330" i="2"/>
  <c r="G330" i="2"/>
  <c r="AB329" i="2"/>
  <c r="AB328" i="2" s="1"/>
  <c r="Y329" i="2"/>
  <c r="V329" i="2"/>
  <c r="V328" i="2" s="1"/>
  <c r="U329" i="2"/>
  <c r="R329" i="2"/>
  <c r="O329" i="2"/>
  <c r="N329" i="2"/>
  <c r="P329" i="2" s="1"/>
  <c r="Q329" i="2" s="1"/>
  <c r="K329" i="2"/>
  <c r="H329" i="2"/>
  <c r="G329" i="2"/>
  <c r="L329" i="2" s="1"/>
  <c r="M329" i="2" s="1"/>
  <c r="AB325" i="2"/>
  <c r="Y325" i="2"/>
  <c r="V325" i="2"/>
  <c r="U325" i="2"/>
  <c r="W325" i="2" s="1"/>
  <c r="X325" i="2" s="1"/>
  <c r="R325" i="2"/>
  <c r="O325" i="2"/>
  <c r="N325" i="2"/>
  <c r="K325" i="2"/>
  <c r="H325" i="2"/>
  <c r="G325" i="2"/>
  <c r="AB324" i="2"/>
  <c r="Y324" i="2"/>
  <c r="V324" i="2"/>
  <c r="U324" i="2"/>
  <c r="R324" i="2"/>
  <c r="S324" i="2" s="1"/>
  <c r="T324" i="2" s="1"/>
  <c r="O324" i="2"/>
  <c r="N324" i="2"/>
  <c r="P324" i="2" s="1"/>
  <c r="Q324" i="2" s="1"/>
  <c r="K324" i="2"/>
  <c r="H324" i="2"/>
  <c r="G324" i="2"/>
  <c r="AB323" i="2"/>
  <c r="Y323" i="2"/>
  <c r="Z323" i="2" s="1"/>
  <c r="AA323" i="2" s="1"/>
  <c r="X323" i="2"/>
  <c r="V323" i="2"/>
  <c r="U323" i="2"/>
  <c r="W323" i="2" s="1"/>
  <c r="R323" i="2"/>
  <c r="O323" i="2"/>
  <c r="P323" i="2" s="1"/>
  <c r="Q323" i="2" s="1"/>
  <c r="N323" i="2"/>
  <c r="L323" i="2"/>
  <c r="M323" i="2" s="1"/>
  <c r="K323" i="2"/>
  <c r="H323" i="2"/>
  <c r="G323" i="2"/>
  <c r="AB322" i="2"/>
  <c r="Y322" i="2"/>
  <c r="V322" i="2"/>
  <c r="U322" i="2"/>
  <c r="W322" i="2" s="1"/>
  <c r="X322" i="2" s="1"/>
  <c r="R322" i="2"/>
  <c r="O322" i="2"/>
  <c r="N322" i="2"/>
  <c r="K322" i="2"/>
  <c r="H322" i="2"/>
  <c r="I322" i="2" s="1"/>
  <c r="J322" i="2" s="1"/>
  <c r="G322" i="2"/>
  <c r="G321" i="2"/>
  <c r="AB318" i="2"/>
  <c r="Y318" i="2"/>
  <c r="Z318" i="2" s="1"/>
  <c r="AA318" i="2" s="1"/>
  <c r="V318" i="2"/>
  <c r="U318" i="2"/>
  <c r="R318" i="2"/>
  <c r="O318" i="2"/>
  <c r="N318" i="2"/>
  <c r="K318" i="2"/>
  <c r="H318" i="2"/>
  <c r="G318" i="2"/>
  <c r="AB315" i="2"/>
  <c r="Y315" i="2"/>
  <c r="Z315" i="2" s="1"/>
  <c r="AA315" i="2" s="1"/>
  <c r="V315" i="2"/>
  <c r="U315" i="2"/>
  <c r="W315" i="2" s="1"/>
  <c r="X315" i="2" s="1"/>
  <c r="R315" i="2"/>
  <c r="S315" i="2" s="1"/>
  <c r="T315" i="2" s="1"/>
  <c r="O315" i="2"/>
  <c r="N315" i="2"/>
  <c r="K315" i="2"/>
  <c r="H315" i="2"/>
  <c r="G315" i="2"/>
  <c r="AB314" i="2"/>
  <c r="Y314" i="2"/>
  <c r="Z314" i="2" s="1"/>
  <c r="AA314" i="2" s="1"/>
  <c r="V314" i="2"/>
  <c r="U314" i="2"/>
  <c r="R314" i="2"/>
  <c r="O314" i="2"/>
  <c r="N314" i="2"/>
  <c r="K314" i="2"/>
  <c r="H314" i="2"/>
  <c r="G314" i="2"/>
  <c r="I314" i="2" s="1"/>
  <c r="J314" i="2" s="1"/>
  <c r="AB313" i="2"/>
  <c r="Y313" i="2"/>
  <c r="V313" i="2"/>
  <c r="U313" i="2"/>
  <c r="R313" i="2"/>
  <c r="S313" i="2" s="1"/>
  <c r="T313" i="2" s="1"/>
  <c r="O313" i="2"/>
  <c r="N313" i="2"/>
  <c r="P313" i="2" s="1"/>
  <c r="Q313" i="2" s="1"/>
  <c r="K313" i="2"/>
  <c r="H313" i="2"/>
  <c r="G313" i="2"/>
  <c r="AB312" i="2"/>
  <c r="Y312" i="2"/>
  <c r="V312" i="2"/>
  <c r="U312" i="2"/>
  <c r="Z312" i="2" s="1"/>
  <c r="AA312" i="2" s="1"/>
  <c r="R312" i="2"/>
  <c r="O312" i="2"/>
  <c r="N312" i="2"/>
  <c r="P312" i="2" s="1"/>
  <c r="Q312" i="2" s="1"/>
  <c r="K312" i="2"/>
  <c r="L312" i="2" s="1"/>
  <c r="M312" i="2" s="1"/>
  <c r="H312" i="2"/>
  <c r="I312" i="2" s="1"/>
  <c r="J312" i="2" s="1"/>
  <c r="G312" i="2"/>
  <c r="AB311" i="2"/>
  <c r="Z311" i="2"/>
  <c r="AA311" i="2" s="1"/>
  <c r="Y311" i="2"/>
  <c r="V311" i="2"/>
  <c r="W311" i="2" s="1"/>
  <c r="X311" i="2" s="1"/>
  <c r="U311" i="2"/>
  <c r="R311" i="2"/>
  <c r="O311" i="2"/>
  <c r="N311" i="2"/>
  <c r="K311" i="2"/>
  <c r="L311" i="2" s="1"/>
  <c r="M311" i="2" s="1"/>
  <c r="H311" i="2"/>
  <c r="G311" i="2"/>
  <c r="AB310" i="2"/>
  <c r="Y310" i="2"/>
  <c r="V310" i="2"/>
  <c r="U310" i="2"/>
  <c r="R310" i="2"/>
  <c r="O310" i="2"/>
  <c r="N310" i="2"/>
  <c r="K310" i="2"/>
  <c r="H310" i="2"/>
  <c r="G310" i="2"/>
  <c r="AB309" i="2"/>
  <c r="Y309" i="2"/>
  <c r="Z309" i="2" s="1"/>
  <c r="AA309" i="2" s="1"/>
  <c r="V309" i="2"/>
  <c r="W309" i="2" s="1"/>
  <c r="X309" i="2" s="1"/>
  <c r="U309" i="2"/>
  <c r="R309" i="2"/>
  <c r="O309" i="2"/>
  <c r="N309" i="2"/>
  <c r="K309" i="2"/>
  <c r="L309" i="2" s="1"/>
  <c r="M309" i="2" s="1"/>
  <c r="H309" i="2"/>
  <c r="G309" i="2"/>
  <c r="I309" i="2" s="1"/>
  <c r="J309" i="2" s="1"/>
  <c r="AB308" i="2"/>
  <c r="Y308" i="2"/>
  <c r="V308" i="2"/>
  <c r="U308" i="2"/>
  <c r="R308" i="2"/>
  <c r="S308" i="2" s="1"/>
  <c r="T308" i="2" s="1"/>
  <c r="O308" i="2"/>
  <c r="N308" i="2"/>
  <c r="K308" i="2"/>
  <c r="J308" i="2"/>
  <c r="H308" i="2"/>
  <c r="G308" i="2"/>
  <c r="I308" i="2" s="1"/>
  <c r="AB307" i="2"/>
  <c r="Y307" i="2"/>
  <c r="Z307" i="2" s="1"/>
  <c r="AA307" i="2" s="1"/>
  <c r="V307" i="2"/>
  <c r="U307" i="2"/>
  <c r="R307" i="2"/>
  <c r="S307" i="2" s="1"/>
  <c r="T307" i="2" s="1"/>
  <c r="O307" i="2"/>
  <c r="P307" i="2" s="1"/>
  <c r="Q307" i="2" s="1"/>
  <c r="N307" i="2"/>
  <c r="K307" i="2"/>
  <c r="H307" i="2"/>
  <c r="G307" i="2"/>
  <c r="L307" i="2" s="1"/>
  <c r="M307" i="2" s="1"/>
  <c r="AB306" i="2"/>
  <c r="Y306" i="2"/>
  <c r="Z306" i="2" s="1"/>
  <c r="AA306" i="2" s="1"/>
  <c r="V306" i="2"/>
  <c r="U306" i="2"/>
  <c r="R306" i="2"/>
  <c r="O306" i="2"/>
  <c r="N306" i="2"/>
  <c r="L306" i="2"/>
  <c r="M306" i="2" s="1"/>
  <c r="K306" i="2"/>
  <c r="H306" i="2"/>
  <c r="I306" i="2" s="1"/>
  <c r="J306" i="2" s="1"/>
  <c r="G306" i="2"/>
  <c r="AB305" i="2"/>
  <c r="Y305" i="2"/>
  <c r="V305" i="2"/>
  <c r="W305" i="2" s="1"/>
  <c r="X305" i="2" s="1"/>
  <c r="U305" i="2"/>
  <c r="R305" i="2"/>
  <c r="S305" i="2" s="1"/>
  <c r="T305" i="2" s="1"/>
  <c r="O305" i="2"/>
  <c r="N305" i="2"/>
  <c r="K305" i="2"/>
  <c r="H305" i="2"/>
  <c r="G305" i="2"/>
  <c r="AB304" i="2"/>
  <c r="Y304" i="2"/>
  <c r="Z304" i="2" s="1"/>
  <c r="AA304" i="2" s="1"/>
  <c r="V304" i="2"/>
  <c r="U304" i="2"/>
  <c r="R304" i="2"/>
  <c r="O304" i="2"/>
  <c r="N304" i="2"/>
  <c r="L304" i="2"/>
  <c r="M304" i="2" s="1"/>
  <c r="K304" i="2"/>
  <c r="H304" i="2"/>
  <c r="G304" i="2"/>
  <c r="AB300" i="2"/>
  <c r="Y300" i="2"/>
  <c r="V300" i="2"/>
  <c r="U300" i="2"/>
  <c r="Z300" i="2" s="1"/>
  <c r="AA300" i="2" s="1"/>
  <c r="R300" i="2"/>
  <c r="O300" i="2"/>
  <c r="N300" i="2"/>
  <c r="P300" i="2" s="1"/>
  <c r="Q300" i="2" s="1"/>
  <c r="L300" i="2"/>
  <c r="M300" i="2" s="1"/>
  <c r="K300" i="2"/>
  <c r="H300" i="2"/>
  <c r="I300" i="2" s="1"/>
  <c r="J300" i="2" s="1"/>
  <c r="G300" i="2"/>
  <c r="AB299" i="2"/>
  <c r="Z299" i="2"/>
  <c r="AA299" i="2" s="1"/>
  <c r="Y299" i="2"/>
  <c r="V299" i="2"/>
  <c r="W299" i="2" s="1"/>
  <c r="X299" i="2" s="1"/>
  <c r="U299" i="2"/>
  <c r="R299" i="2"/>
  <c r="O299" i="2"/>
  <c r="N299" i="2"/>
  <c r="L299" i="2"/>
  <c r="M299" i="2" s="1"/>
  <c r="K299" i="2"/>
  <c r="H299" i="2"/>
  <c r="G299" i="2"/>
  <c r="AB298" i="2"/>
  <c r="Y298" i="2"/>
  <c r="V298" i="2"/>
  <c r="U298" i="2"/>
  <c r="R298" i="2"/>
  <c r="O298" i="2"/>
  <c r="N298" i="2"/>
  <c r="K298" i="2"/>
  <c r="I298" i="2"/>
  <c r="J298" i="2" s="1"/>
  <c r="H298" i="2"/>
  <c r="G298" i="2"/>
  <c r="AB297" i="2"/>
  <c r="Y297" i="2"/>
  <c r="V297" i="2"/>
  <c r="U297" i="2"/>
  <c r="S297" i="2"/>
  <c r="T297" i="2" s="1"/>
  <c r="R297" i="2"/>
  <c r="O297" i="2"/>
  <c r="N297" i="2"/>
  <c r="K297" i="2"/>
  <c r="H297" i="2"/>
  <c r="G297" i="2"/>
  <c r="AB296" i="2"/>
  <c r="Y296" i="2"/>
  <c r="Z296" i="2" s="1"/>
  <c r="AA296" i="2" s="1"/>
  <c r="V296" i="2"/>
  <c r="U296" i="2"/>
  <c r="R296" i="2"/>
  <c r="O296" i="2"/>
  <c r="N296" i="2"/>
  <c r="P296" i="2" s="1"/>
  <c r="Q296" i="2" s="1"/>
  <c r="K296" i="2"/>
  <c r="H296" i="2"/>
  <c r="G296" i="2"/>
  <c r="AB295" i="2"/>
  <c r="Y295" i="2"/>
  <c r="V295" i="2"/>
  <c r="U295" i="2"/>
  <c r="T295" i="2"/>
  <c r="R295" i="2"/>
  <c r="S295" i="2" s="1"/>
  <c r="O295" i="2"/>
  <c r="N295" i="2"/>
  <c r="K295" i="2"/>
  <c r="L295" i="2" s="1"/>
  <c r="M295" i="2" s="1"/>
  <c r="H295" i="2"/>
  <c r="G295" i="2"/>
  <c r="AB294" i="2"/>
  <c r="Y294" i="2"/>
  <c r="Z294" i="2" s="1"/>
  <c r="AA294" i="2" s="1"/>
  <c r="V294" i="2"/>
  <c r="U294" i="2"/>
  <c r="R294" i="2"/>
  <c r="O294" i="2"/>
  <c r="N294" i="2"/>
  <c r="K294" i="2"/>
  <c r="H294" i="2"/>
  <c r="I294" i="2" s="1"/>
  <c r="J294" i="2" s="1"/>
  <c r="G294" i="2"/>
  <c r="L294" i="2" s="1"/>
  <c r="M294" i="2" s="1"/>
  <c r="AB293" i="2"/>
  <c r="Y293" i="2"/>
  <c r="V293" i="2"/>
  <c r="U293" i="2"/>
  <c r="R293" i="2"/>
  <c r="O293" i="2"/>
  <c r="N293" i="2"/>
  <c r="P293" i="2" s="1"/>
  <c r="Q293" i="2" s="1"/>
  <c r="K293" i="2"/>
  <c r="L293" i="2" s="1"/>
  <c r="M293" i="2" s="1"/>
  <c r="H293" i="2"/>
  <c r="G293" i="2"/>
  <c r="AB292" i="2"/>
  <c r="Y292" i="2"/>
  <c r="Z292" i="2" s="1"/>
  <c r="AA292" i="2" s="1"/>
  <c r="V292" i="2"/>
  <c r="U292" i="2"/>
  <c r="R292" i="2"/>
  <c r="O292" i="2"/>
  <c r="N292" i="2"/>
  <c r="K292" i="2"/>
  <c r="H292" i="2"/>
  <c r="G292" i="2"/>
  <c r="L292" i="2" s="1"/>
  <c r="M292" i="2" s="1"/>
  <c r="AB286" i="2"/>
  <c r="Y286" i="2"/>
  <c r="X286" i="2"/>
  <c r="W286" i="2"/>
  <c r="V286" i="2"/>
  <c r="U286" i="2"/>
  <c r="Z286" i="2" s="1"/>
  <c r="AA286" i="2" s="1"/>
  <c r="S286" i="2"/>
  <c r="T286" i="2" s="1"/>
  <c r="R286" i="2"/>
  <c r="O286" i="2"/>
  <c r="N286" i="2"/>
  <c r="K286" i="2"/>
  <c r="H286" i="2"/>
  <c r="G286" i="2"/>
  <c r="AB282" i="2"/>
  <c r="Y282" i="2"/>
  <c r="V282" i="2"/>
  <c r="U282" i="2"/>
  <c r="R282" i="2"/>
  <c r="O282" i="2"/>
  <c r="N282" i="2"/>
  <c r="K282" i="2"/>
  <c r="L282" i="2" s="1"/>
  <c r="M282" i="2" s="1"/>
  <c r="H282" i="2"/>
  <c r="G282" i="2"/>
  <c r="AB281" i="2"/>
  <c r="Y281" i="2"/>
  <c r="V281" i="2"/>
  <c r="U281" i="2"/>
  <c r="W281" i="2" s="1"/>
  <c r="X281" i="2" s="1"/>
  <c r="R281" i="2"/>
  <c r="O281" i="2"/>
  <c r="N281" i="2"/>
  <c r="K281" i="2"/>
  <c r="H281" i="2"/>
  <c r="G281" i="2"/>
  <c r="AB280" i="2"/>
  <c r="Y280" i="2"/>
  <c r="V280" i="2"/>
  <c r="U280" i="2"/>
  <c r="R280" i="2"/>
  <c r="O280" i="2"/>
  <c r="N280" i="2"/>
  <c r="K280" i="2"/>
  <c r="H280" i="2"/>
  <c r="G280" i="2"/>
  <c r="AB279" i="2"/>
  <c r="Y279" i="2"/>
  <c r="Z279" i="2" s="1"/>
  <c r="AA279" i="2" s="1"/>
  <c r="V279" i="2"/>
  <c r="U279" i="2"/>
  <c r="W279" i="2" s="1"/>
  <c r="X279" i="2" s="1"/>
  <c r="R279" i="2"/>
  <c r="O279" i="2"/>
  <c r="N279" i="2"/>
  <c r="K279" i="2"/>
  <c r="H279" i="2"/>
  <c r="G279" i="2"/>
  <c r="AB275" i="2"/>
  <c r="Y275" i="2"/>
  <c r="V275" i="2"/>
  <c r="U275" i="2"/>
  <c r="W275" i="2" s="1"/>
  <c r="X275" i="2" s="1"/>
  <c r="R275" i="2"/>
  <c r="O275" i="2"/>
  <c r="N275" i="2"/>
  <c r="K275" i="2"/>
  <c r="H275" i="2"/>
  <c r="G275" i="2"/>
  <c r="AB274" i="2"/>
  <c r="Y274" i="2"/>
  <c r="Z274" i="2" s="1"/>
  <c r="AA274" i="2" s="1"/>
  <c r="V274" i="2"/>
  <c r="U274" i="2"/>
  <c r="R274" i="2"/>
  <c r="S274" i="2" s="1"/>
  <c r="T274" i="2" s="1"/>
  <c r="O274" i="2"/>
  <c r="N274" i="2"/>
  <c r="K274" i="2"/>
  <c r="I274" i="2"/>
  <c r="J274" i="2" s="1"/>
  <c r="H274" i="2"/>
  <c r="G274" i="2"/>
  <c r="AB273" i="2"/>
  <c r="Y273" i="2"/>
  <c r="V273" i="2"/>
  <c r="U273" i="2"/>
  <c r="S273" i="2"/>
  <c r="T273" i="2" s="1"/>
  <c r="R273" i="2"/>
  <c r="O273" i="2"/>
  <c r="N273" i="2"/>
  <c r="K273" i="2"/>
  <c r="H273" i="2"/>
  <c r="G273" i="2"/>
  <c r="AB272" i="2"/>
  <c r="Y272" i="2"/>
  <c r="V272" i="2"/>
  <c r="U272" i="2"/>
  <c r="W272" i="2" s="1"/>
  <c r="X272" i="2" s="1"/>
  <c r="R272" i="2"/>
  <c r="O272" i="2"/>
  <c r="N272" i="2"/>
  <c r="K272" i="2"/>
  <c r="L272" i="2" s="1"/>
  <c r="M272" i="2" s="1"/>
  <c r="H272" i="2"/>
  <c r="G272" i="2"/>
  <c r="AB271" i="2"/>
  <c r="Y271" i="2"/>
  <c r="V271" i="2"/>
  <c r="U271" i="2"/>
  <c r="W271" i="2" s="1"/>
  <c r="X271" i="2" s="1"/>
  <c r="R271" i="2"/>
  <c r="S271" i="2" s="1"/>
  <c r="T271" i="2" s="1"/>
  <c r="O271" i="2"/>
  <c r="N271" i="2"/>
  <c r="K271" i="2"/>
  <c r="H271" i="2"/>
  <c r="G271" i="2"/>
  <c r="AB270" i="2"/>
  <c r="Y270" i="2"/>
  <c r="Z270" i="2" s="1"/>
  <c r="AA270" i="2" s="1"/>
  <c r="V270" i="2"/>
  <c r="U270" i="2"/>
  <c r="R270" i="2"/>
  <c r="O270" i="2"/>
  <c r="N270" i="2"/>
  <c r="P270" i="2" s="1"/>
  <c r="Q270" i="2" s="1"/>
  <c r="K270" i="2"/>
  <c r="L270" i="2" s="1"/>
  <c r="M270" i="2" s="1"/>
  <c r="H270" i="2"/>
  <c r="G270" i="2"/>
  <c r="AB269" i="2"/>
  <c r="Y269" i="2"/>
  <c r="Z269" i="2" s="1"/>
  <c r="AA269" i="2" s="1"/>
  <c r="V269" i="2"/>
  <c r="U269" i="2"/>
  <c r="R269" i="2"/>
  <c r="O269" i="2"/>
  <c r="N269" i="2"/>
  <c r="K269" i="2"/>
  <c r="L269" i="2" s="1"/>
  <c r="M269" i="2" s="1"/>
  <c r="H269" i="2"/>
  <c r="G269" i="2"/>
  <c r="AB268" i="2"/>
  <c r="Y268" i="2"/>
  <c r="V268" i="2"/>
  <c r="U268" i="2"/>
  <c r="R268" i="2"/>
  <c r="O268" i="2"/>
  <c r="N268" i="2"/>
  <c r="K268" i="2"/>
  <c r="H268" i="2"/>
  <c r="G268" i="2"/>
  <c r="AB264" i="2"/>
  <c r="Y264" i="2"/>
  <c r="V264" i="2"/>
  <c r="U264" i="2"/>
  <c r="R264" i="2"/>
  <c r="O264" i="2"/>
  <c r="N264" i="2"/>
  <c r="K264" i="2"/>
  <c r="I264" i="2"/>
  <c r="J264" i="2" s="1"/>
  <c r="H264" i="2"/>
  <c r="G264" i="2"/>
  <c r="AB261" i="2"/>
  <c r="AB260" i="2" s="1"/>
  <c r="Y261" i="2"/>
  <c r="Y260" i="2" s="1"/>
  <c r="V261" i="2"/>
  <c r="U261" i="2"/>
  <c r="R261" i="2"/>
  <c r="R260" i="2" s="1"/>
  <c r="P261" i="2"/>
  <c r="Q261" i="2" s="1"/>
  <c r="O261" i="2"/>
  <c r="O260" i="2" s="1"/>
  <c r="N261" i="2"/>
  <c r="K261" i="2"/>
  <c r="H261" i="2"/>
  <c r="H260" i="2" s="1"/>
  <c r="G261" i="2"/>
  <c r="V260" i="2"/>
  <c r="N260" i="2"/>
  <c r="AB257" i="2"/>
  <c r="Y257" i="2"/>
  <c r="V257" i="2"/>
  <c r="U257" i="2"/>
  <c r="W257" i="2" s="1"/>
  <c r="X257" i="2" s="1"/>
  <c r="R257" i="2"/>
  <c r="O257" i="2"/>
  <c r="N257" i="2"/>
  <c r="P257" i="2" s="1"/>
  <c r="Q257" i="2" s="1"/>
  <c r="K257" i="2"/>
  <c r="L257" i="2" s="1"/>
  <c r="M257" i="2" s="1"/>
  <c r="H257" i="2"/>
  <c r="G257" i="2"/>
  <c r="AB254" i="2"/>
  <c r="AB253" i="2" s="1"/>
  <c r="Y254" i="2"/>
  <c r="V254" i="2"/>
  <c r="V253" i="2" s="1"/>
  <c r="U254" i="2"/>
  <c r="R254" i="2"/>
  <c r="O254" i="2"/>
  <c r="O253" i="2" s="1"/>
  <c r="N254" i="2"/>
  <c r="K254" i="2"/>
  <c r="K253" i="2" s="1"/>
  <c r="L253" i="2" s="1"/>
  <c r="M253" i="2" s="1"/>
  <c r="H254" i="2"/>
  <c r="H253" i="2" s="1"/>
  <c r="G254" i="2"/>
  <c r="G253" i="2"/>
  <c r="AB250" i="2"/>
  <c r="Y250" i="2"/>
  <c r="V250" i="2"/>
  <c r="U250" i="2"/>
  <c r="W250" i="2" s="1"/>
  <c r="X250" i="2" s="1"/>
  <c r="R250" i="2"/>
  <c r="S250" i="2" s="1"/>
  <c r="T250" i="2" s="1"/>
  <c r="O250" i="2"/>
  <c r="N250" i="2"/>
  <c r="K250" i="2"/>
  <c r="H250" i="2"/>
  <c r="G250" i="2"/>
  <c r="AB249" i="2"/>
  <c r="Y249" i="2"/>
  <c r="W249" i="2"/>
  <c r="X249" i="2" s="1"/>
  <c r="V249" i="2"/>
  <c r="U249" i="2"/>
  <c r="R249" i="2"/>
  <c r="O249" i="2"/>
  <c r="N249" i="2"/>
  <c r="K249" i="2"/>
  <c r="H249" i="2"/>
  <c r="G249" i="2"/>
  <c r="AB248" i="2"/>
  <c r="Y248" i="2"/>
  <c r="V248" i="2"/>
  <c r="U248" i="2"/>
  <c r="R248" i="2"/>
  <c r="O248" i="2"/>
  <c r="N248" i="2"/>
  <c r="K248" i="2"/>
  <c r="L248" i="2" s="1"/>
  <c r="M248" i="2" s="1"/>
  <c r="H248" i="2"/>
  <c r="G248" i="2"/>
  <c r="AB244" i="2"/>
  <c r="Z244" i="2"/>
  <c r="AA244" i="2" s="1"/>
  <c r="Y244" i="2"/>
  <c r="V244" i="2"/>
  <c r="U244" i="2"/>
  <c r="R244" i="2"/>
  <c r="O244" i="2"/>
  <c r="N244" i="2"/>
  <c r="K244" i="2"/>
  <c r="H244" i="2"/>
  <c r="G244" i="2"/>
  <c r="I244" i="2" s="1"/>
  <c r="J244" i="2" s="1"/>
  <c r="AB241" i="2"/>
  <c r="Y241" i="2"/>
  <c r="V241" i="2"/>
  <c r="U241" i="2"/>
  <c r="R241" i="2"/>
  <c r="O241" i="2"/>
  <c r="N241" i="2"/>
  <c r="P241" i="2" s="1"/>
  <c r="Q241" i="2" s="1"/>
  <c r="L241" i="2"/>
  <c r="M241" i="2" s="1"/>
  <c r="K241" i="2"/>
  <c r="H241" i="2"/>
  <c r="G241" i="2"/>
  <c r="AB240" i="2"/>
  <c r="Z240" i="2"/>
  <c r="AA240" i="2" s="1"/>
  <c r="Y240" i="2"/>
  <c r="V240" i="2"/>
  <c r="U240" i="2"/>
  <c r="R240" i="2"/>
  <c r="O240" i="2"/>
  <c r="N240" i="2"/>
  <c r="K240" i="2"/>
  <c r="H240" i="2"/>
  <c r="G240" i="2"/>
  <c r="I240" i="2" s="1"/>
  <c r="J240" i="2" s="1"/>
  <c r="AB239" i="2"/>
  <c r="Y239" i="2"/>
  <c r="V239" i="2"/>
  <c r="W239" i="2" s="1"/>
  <c r="X239" i="2" s="1"/>
  <c r="U239" i="2"/>
  <c r="Z239" i="2" s="1"/>
  <c r="AA239" i="2" s="1"/>
  <c r="R239" i="2"/>
  <c r="S239" i="2" s="1"/>
  <c r="T239" i="2" s="1"/>
  <c r="O239" i="2"/>
  <c r="N239" i="2"/>
  <c r="P239" i="2" s="1"/>
  <c r="Q239" i="2" s="1"/>
  <c r="K239" i="2"/>
  <c r="H239" i="2"/>
  <c r="G239" i="2"/>
  <c r="AB238" i="2"/>
  <c r="Y238" i="2"/>
  <c r="Z238" i="2" s="1"/>
  <c r="AA238" i="2" s="1"/>
  <c r="V238" i="2"/>
  <c r="U238" i="2"/>
  <c r="R238" i="2"/>
  <c r="O238" i="2"/>
  <c r="N238" i="2"/>
  <c r="K238" i="2"/>
  <c r="L238" i="2" s="1"/>
  <c r="M238" i="2" s="1"/>
  <c r="H238" i="2"/>
  <c r="I238" i="2" s="1"/>
  <c r="J238" i="2" s="1"/>
  <c r="G238" i="2"/>
  <c r="AB237" i="2"/>
  <c r="Y237" i="2"/>
  <c r="Z237" i="2" s="1"/>
  <c r="AA237" i="2" s="1"/>
  <c r="V237" i="2"/>
  <c r="U237" i="2"/>
  <c r="W237" i="2" s="1"/>
  <c r="X237" i="2" s="1"/>
  <c r="R237" i="2"/>
  <c r="O237" i="2"/>
  <c r="N237" i="2"/>
  <c r="L237" i="2"/>
  <c r="M237" i="2" s="1"/>
  <c r="K237" i="2"/>
  <c r="H237" i="2"/>
  <c r="G237" i="2"/>
  <c r="AB236" i="2"/>
  <c r="Y236" i="2"/>
  <c r="Z236" i="2" s="1"/>
  <c r="AA236" i="2" s="1"/>
  <c r="V236" i="2"/>
  <c r="U236" i="2"/>
  <c r="R236" i="2"/>
  <c r="O236" i="2"/>
  <c r="N236" i="2"/>
  <c r="K236" i="2"/>
  <c r="H236" i="2"/>
  <c r="G236" i="2"/>
  <c r="AB235" i="2"/>
  <c r="Y235" i="2"/>
  <c r="V235" i="2"/>
  <c r="U235" i="2"/>
  <c r="R235" i="2"/>
  <c r="S235" i="2" s="1"/>
  <c r="T235" i="2" s="1"/>
  <c r="P235" i="2"/>
  <c r="Q235" i="2" s="1"/>
  <c r="O235" i="2"/>
  <c r="N235" i="2"/>
  <c r="K235" i="2"/>
  <c r="H235" i="2"/>
  <c r="G235" i="2"/>
  <c r="AB234" i="2"/>
  <c r="Z234" i="2"/>
  <c r="AA234" i="2" s="1"/>
  <c r="Y234" i="2"/>
  <c r="V234" i="2"/>
  <c r="U234" i="2"/>
  <c r="R234" i="2"/>
  <c r="O234" i="2"/>
  <c r="N234" i="2"/>
  <c r="K234" i="2"/>
  <c r="H234" i="2"/>
  <c r="G234" i="2"/>
  <c r="AB230" i="2"/>
  <c r="Y230" i="2"/>
  <c r="V230" i="2"/>
  <c r="U230" i="2"/>
  <c r="R230" i="2"/>
  <c r="O230" i="2"/>
  <c r="N230" i="2"/>
  <c r="K230" i="2"/>
  <c r="L230" i="2" s="1"/>
  <c r="M230" i="2" s="1"/>
  <c r="H230" i="2"/>
  <c r="G230" i="2"/>
  <c r="I230" i="2" s="1"/>
  <c r="J230" i="2" s="1"/>
  <c r="AB229" i="2"/>
  <c r="Y229" i="2"/>
  <c r="V229" i="2"/>
  <c r="U229" i="2"/>
  <c r="W229" i="2" s="1"/>
  <c r="X229" i="2" s="1"/>
  <c r="R229" i="2"/>
  <c r="S229" i="2" s="1"/>
  <c r="T229" i="2" s="1"/>
  <c r="O229" i="2"/>
  <c r="N229" i="2"/>
  <c r="P229" i="2" s="1"/>
  <c r="Q229" i="2" s="1"/>
  <c r="K229" i="2"/>
  <c r="L229" i="2" s="1"/>
  <c r="M229" i="2" s="1"/>
  <c r="H229" i="2"/>
  <c r="G229" i="2"/>
  <c r="I229" i="2" s="1"/>
  <c r="J229" i="2" s="1"/>
  <c r="AB228" i="2"/>
  <c r="Y228" i="2"/>
  <c r="Z228" i="2" s="1"/>
  <c r="AA228" i="2" s="1"/>
  <c r="V228" i="2"/>
  <c r="U228" i="2"/>
  <c r="R228" i="2"/>
  <c r="O228" i="2"/>
  <c r="N228" i="2"/>
  <c r="K228" i="2"/>
  <c r="H228" i="2"/>
  <c r="G228" i="2"/>
  <c r="I228" i="2" s="1"/>
  <c r="J228" i="2" s="1"/>
  <c r="AB227" i="2"/>
  <c r="Z227" i="2"/>
  <c r="AA227" i="2" s="1"/>
  <c r="Y227" i="2"/>
  <c r="V227" i="2"/>
  <c r="U227" i="2"/>
  <c r="R227" i="2"/>
  <c r="O227" i="2"/>
  <c r="P227" i="2" s="1"/>
  <c r="Q227" i="2" s="1"/>
  <c r="N227" i="2"/>
  <c r="L227" i="2"/>
  <c r="M227" i="2" s="1"/>
  <c r="K227" i="2"/>
  <c r="H227" i="2"/>
  <c r="G227" i="2"/>
  <c r="I227" i="2" s="1"/>
  <c r="J227" i="2" s="1"/>
  <c r="AB226" i="2"/>
  <c r="Y226" i="2"/>
  <c r="Z226" i="2" s="1"/>
  <c r="AA226" i="2" s="1"/>
  <c r="V226" i="2"/>
  <c r="U226" i="2"/>
  <c r="W226" i="2" s="1"/>
  <c r="X226" i="2" s="1"/>
  <c r="R226" i="2"/>
  <c r="O226" i="2"/>
  <c r="N226" i="2"/>
  <c r="P226" i="2" s="1"/>
  <c r="Q226" i="2" s="1"/>
  <c r="K226" i="2"/>
  <c r="L226" i="2" s="1"/>
  <c r="M226" i="2" s="1"/>
  <c r="H226" i="2"/>
  <c r="G226" i="2"/>
  <c r="AB225" i="2"/>
  <c r="Y225" i="2"/>
  <c r="V225" i="2"/>
  <c r="U225" i="2"/>
  <c r="R225" i="2"/>
  <c r="O225" i="2"/>
  <c r="N225" i="2"/>
  <c r="K225" i="2"/>
  <c r="H225" i="2"/>
  <c r="G225" i="2"/>
  <c r="AB219" i="2"/>
  <c r="Y219" i="2"/>
  <c r="Z219" i="2" s="1"/>
  <c r="AA219" i="2" s="1"/>
  <c r="V219" i="2"/>
  <c r="U219" i="2"/>
  <c r="R219" i="2"/>
  <c r="S219" i="2" s="1"/>
  <c r="T219" i="2" s="1"/>
  <c r="O219" i="2"/>
  <c r="N219" i="2"/>
  <c r="K219" i="2"/>
  <c r="H219" i="2"/>
  <c r="G219" i="2"/>
  <c r="L219" i="2" s="1"/>
  <c r="M219" i="2" s="1"/>
  <c r="AB215" i="2"/>
  <c r="AB214" i="2" s="1"/>
  <c r="Y215" i="2"/>
  <c r="Z215" i="2" s="1"/>
  <c r="AA215" i="2" s="1"/>
  <c r="V215" i="2"/>
  <c r="V214" i="2" s="1"/>
  <c r="U215" i="2"/>
  <c r="R215" i="2"/>
  <c r="O215" i="2"/>
  <c r="O214" i="2" s="1"/>
  <c r="N215" i="2"/>
  <c r="N214" i="2" s="1"/>
  <c r="P214" i="2" s="1"/>
  <c r="Q214" i="2" s="1"/>
  <c r="K215" i="2"/>
  <c r="K214" i="2" s="1"/>
  <c r="H215" i="2"/>
  <c r="H214" i="2" s="1"/>
  <c r="G215" i="2"/>
  <c r="R214" i="2"/>
  <c r="AB211" i="2"/>
  <c r="Y211" i="2"/>
  <c r="Z211" i="2" s="1"/>
  <c r="AA211" i="2" s="1"/>
  <c r="V211" i="2"/>
  <c r="U211" i="2"/>
  <c r="W211" i="2" s="1"/>
  <c r="X211" i="2" s="1"/>
  <c r="R211" i="2"/>
  <c r="S211" i="2" s="1"/>
  <c r="T211" i="2" s="1"/>
  <c r="O211" i="2"/>
  <c r="N211" i="2"/>
  <c r="K211" i="2"/>
  <c r="H211" i="2"/>
  <c r="G211" i="2"/>
  <c r="AB210" i="2"/>
  <c r="Y210" i="2"/>
  <c r="Z210" i="2" s="1"/>
  <c r="AA210" i="2" s="1"/>
  <c r="V210" i="2"/>
  <c r="U210" i="2"/>
  <c r="R210" i="2"/>
  <c r="O210" i="2"/>
  <c r="N210" i="2"/>
  <c r="K210" i="2"/>
  <c r="H210" i="2"/>
  <c r="G210" i="2"/>
  <c r="AB209" i="2"/>
  <c r="Y209" i="2"/>
  <c r="V209" i="2"/>
  <c r="U209" i="2"/>
  <c r="R209" i="2"/>
  <c r="S209" i="2" s="1"/>
  <c r="T209" i="2" s="1"/>
  <c r="O209" i="2"/>
  <c r="N209" i="2"/>
  <c r="K209" i="2"/>
  <c r="H209" i="2"/>
  <c r="G209" i="2"/>
  <c r="AB208" i="2"/>
  <c r="Y208" i="2"/>
  <c r="Z208" i="2" s="1"/>
  <c r="AA208" i="2" s="1"/>
  <c r="V208" i="2"/>
  <c r="U208" i="2"/>
  <c r="R208" i="2"/>
  <c r="O208" i="2"/>
  <c r="N208" i="2"/>
  <c r="K208" i="2"/>
  <c r="H208" i="2"/>
  <c r="G208" i="2"/>
  <c r="AB207" i="2"/>
  <c r="Y207" i="2"/>
  <c r="V207" i="2"/>
  <c r="U207" i="2"/>
  <c r="R207" i="2"/>
  <c r="O207" i="2"/>
  <c r="O206" i="2" s="1"/>
  <c r="N207" i="2"/>
  <c r="S207" i="2" s="1"/>
  <c r="T207" i="2" s="1"/>
  <c r="K207" i="2"/>
  <c r="H207" i="2"/>
  <c r="G207" i="2"/>
  <c r="AB203" i="2"/>
  <c r="AB202" i="2" s="1"/>
  <c r="Y203" i="2"/>
  <c r="V203" i="2"/>
  <c r="V202" i="2" s="1"/>
  <c r="U203" i="2"/>
  <c r="R203" i="2"/>
  <c r="S203" i="2" s="1"/>
  <c r="T203" i="2" s="1"/>
  <c r="O203" i="2"/>
  <c r="O202" i="2" s="1"/>
  <c r="N203" i="2"/>
  <c r="K203" i="2"/>
  <c r="K202" i="2" s="1"/>
  <c r="H203" i="2"/>
  <c r="H202" i="2" s="1"/>
  <c r="G203" i="2"/>
  <c r="Y202" i="2"/>
  <c r="N202" i="2"/>
  <c r="P202" i="2" s="1"/>
  <c r="Q202" i="2" s="1"/>
  <c r="AB199" i="2"/>
  <c r="Y199" i="2"/>
  <c r="V199" i="2"/>
  <c r="U199" i="2"/>
  <c r="W199" i="2" s="1"/>
  <c r="X199" i="2" s="1"/>
  <c r="R199" i="2"/>
  <c r="S199" i="2" s="1"/>
  <c r="T199" i="2" s="1"/>
  <c r="O199" i="2"/>
  <c r="N199" i="2"/>
  <c r="K199" i="2"/>
  <c r="H199" i="2"/>
  <c r="G199" i="2"/>
  <c r="AB198" i="2"/>
  <c r="Y198" i="2"/>
  <c r="Z198" i="2" s="1"/>
  <c r="AA198" i="2" s="1"/>
  <c r="V198" i="2"/>
  <c r="U198" i="2"/>
  <c r="R198" i="2"/>
  <c r="O198" i="2"/>
  <c r="N198" i="2"/>
  <c r="P198" i="2" s="1"/>
  <c r="Q198" i="2" s="1"/>
  <c r="K198" i="2"/>
  <c r="H198" i="2"/>
  <c r="G198" i="2"/>
  <c r="AB197" i="2"/>
  <c r="Y197" i="2"/>
  <c r="Z197" i="2" s="1"/>
  <c r="AA197" i="2" s="1"/>
  <c r="W197" i="2"/>
  <c r="X197" i="2" s="1"/>
  <c r="V197" i="2"/>
  <c r="U197" i="2"/>
  <c r="R197" i="2"/>
  <c r="S197" i="2" s="1"/>
  <c r="T197" i="2" s="1"/>
  <c r="O197" i="2"/>
  <c r="N197" i="2"/>
  <c r="K197" i="2"/>
  <c r="H197" i="2"/>
  <c r="G197" i="2"/>
  <c r="AB196" i="2"/>
  <c r="Y196" i="2"/>
  <c r="V196" i="2"/>
  <c r="U196" i="2"/>
  <c r="R196" i="2"/>
  <c r="S196" i="2" s="1"/>
  <c r="T196" i="2" s="1"/>
  <c r="O196" i="2"/>
  <c r="N196" i="2"/>
  <c r="K196" i="2"/>
  <c r="L196" i="2" s="1"/>
  <c r="M196" i="2" s="1"/>
  <c r="I196" i="2"/>
  <c r="J196" i="2" s="1"/>
  <c r="H196" i="2"/>
  <c r="G196" i="2"/>
  <c r="AB195" i="2"/>
  <c r="Y195" i="2"/>
  <c r="Z195" i="2" s="1"/>
  <c r="AA195" i="2" s="1"/>
  <c r="V195" i="2"/>
  <c r="W195" i="2" s="1"/>
  <c r="X195" i="2" s="1"/>
  <c r="U195" i="2"/>
  <c r="R195" i="2"/>
  <c r="S195" i="2" s="1"/>
  <c r="T195" i="2" s="1"/>
  <c r="O195" i="2"/>
  <c r="N195" i="2"/>
  <c r="K195" i="2"/>
  <c r="H195" i="2"/>
  <c r="H192" i="2" s="1"/>
  <c r="G195" i="2"/>
  <c r="AB194" i="2"/>
  <c r="Y194" i="2"/>
  <c r="V194" i="2"/>
  <c r="U194" i="2"/>
  <c r="R194" i="2"/>
  <c r="O194" i="2"/>
  <c r="N194" i="2"/>
  <c r="K194" i="2"/>
  <c r="H194" i="2"/>
  <c r="G194" i="2"/>
  <c r="L194" i="2" s="1"/>
  <c r="M194" i="2" s="1"/>
  <c r="AB193" i="2"/>
  <c r="Y193" i="2"/>
  <c r="Z193" i="2" s="1"/>
  <c r="AA193" i="2" s="1"/>
  <c r="V193" i="2"/>
  <c r="U193" i="2"/>
  <c r="R193" i="2"/>
  <c r="O193" i="2"/>
  <c r="N193" i="2"/>
  <c r="K193" i="2"/>
  <c r="H193" i="2"/>
  <c r="G193" i="2"/>
  <c r="AB189" i="2"/>
  <c r="Y189" i="2"/>
  <c r="V189" i="2"/>
  <c r="U189" i="2"/>
  <c r="W189" i="2" s="1"/>
  <c r="X189" i="2" s="1"/>
  <c r="R189" i="2"/>
  <c r="O189" i="2"/>
  <c r="N189" i="2"/>
  <c r="S189" i="2" s="1"/>
  <c r="T189" i="2" s="1"/>
  <c r="K189" i="2"/>
  <c r="L189" i="2" s="1"/>
  <c r="M189" i="2" s="1"/>
  <c r="H189" i="2"/>
  <c r="G189" i="2"/>
  <c r="AB186" i="2"/>
  <c r="AB185" i="2" s="1"/>
  <c r="Y186" i="2"/>
  <c r="V186" i="2"/>
  <c r="V185" i="2" s="1"/>
  <c r="U186" i="2"/>
  <c r="R186" i="2"/>
  <c r="O186" i="2"/>
  <c r="O185" i="2" s="1"/>
  <c r="N186" i="2"/>
  <c r="K186" i="2"/>
  <c r="K185" i="2" s="1"/>
  <c r="H186" i="2"/>
  <c r="H185" i="2" s="1"/>
  <c r="G186" i="2"/>
  <c r="L186" i="2" s="1"/>
  <c r="M186" i="2" s="1"/>
  <c r="Y185" i="2"/>
  <c r="R185" i="2"/>
  <c r="AB182" i="2"/>
  <c r="Y182" i="2"/>
  <c r="V182" i="2"/>
  <c r="U182" i="2"/>
  <c r="W182" i="2" s="1"/>
  <c r="X182" i="2" s="1"/>
  <c r="R182" i="2"/>
  <c r="S182" i="2" s="1"/>
  <c r="T182" i="2" s="1"/>
  <c r="O182" i="2"/>
  <c r="N182" i="2"/>
  <c r="P182" i="2" s="1"/>
  <c r="Q182" i="2" s="1"/>
  <c r="K182" i="2"/>
  <c r="L182" i="2" s="1"/>
  <c r="M182" i="2" s="1"/>
  <c r="H182" i="2"/>
  <c r="G182" i="2"/>
  <c r="AB181" i="2"/>
  <c r="AB180" i="2" s="1"/>
  <c r="Y181" i="2"/>
  <c r="Y180" i="2" s="1"/>
  <c r="V181" i="2"/>
  <c r="U181" i="2"/>
  <c r="R181" i="2"/>
  <c r="O181" i="2"/>
  <c r="O180" i="2" s="1"/>
  <c r="N181" i="2"/>
  <c r="K181" i="2"/>
  <c r="H181" i="2"/>
  <c r="G181" i="2"/>
  <c r="AB177" i="2"/>
  <c r="Y177" i="2"/>
  <c r="V177" i="2"/>
  <c r="U177" i="2"/>
  <c r="R177" i="2"/>
  <c r="O177" i="2"/>
  <c r="N177" i="2"/>
  <c r="K177" i="2"/>
  <c r="H177" i="2"/>
  <c r="I177" i="2" s="1"/>
  <c r="J177" i="2" s="1"/>
  <c r="G177" i="2"/>
  <c r="AB174" i="2"/>
  <c r="Y174" i="2"/>
  <c r="Z174" i="2" s="1"/>
  <c r="AA174" i="2" s="1"/>
  <c r="V174" i="2"/>
  <c r="U174" i="2"/>
  <c r="W174" i="2" s="1"/>
  <c r="X174" i="2" s="1"/>
  <c r="R174" i="2"/>
  <c r="O174" i="2"/>
  <c r="N174" i="2"/>
  <c r="K174" i="2"/>
  <c r="H174" i="2"/>
  <c r="G174" i="2"/>
  <c r="AB173" i="2"/>
  <c r="Z173" i="2"/>
  <c r="AA173" i="2" s="1"/>
  <c r="Y173" i="2"/>
  <c r="V173" i="2"/>
  <c r="U173" i="2"/>
  <c r="R173" i="2"/>
  <c r="O173" i="2"/>
  <c r="N173" i="2"/>
  <c r="K173" i="2"/>
  <c r="H173" i="2"/>
  <c r="G173" i="2"/>
  <c r="AB172" i="2"/>
  <c r="Y172" i="2"/>
  <c r="V172" i="2"/>
  <c r="U172" i="2"/>
  <c r="R172" i="2"/>
  <c r="S172" i="2" s="1"/>
  <c r="T172" i="2" s="1"/>
  <c r="O172" i="2"/>
  <c r="N172" i="2"/>
  <c r="P172" i="2" s="1"/>
  <c r="Q172" i="2" s="1"/>
  <c r="K172" i="2"/>
  <c r="L172" i="2" s="1"/>
  <c r="M172" i="2" s="1"/>
  <c r="H172" i="2"/>
  <c r="G172" i="2"/>
  <c r="I172" i="2" s="1"/>
  <c r="J172" i="2" s="1"/>
  <c r="AB171" i="2"/>
  <c r="Y171" i="2"/>
  <c r="V171" i="2"/>
  <c r="U171" i="2"/>
  <c r="R171" i="2"/>
  <c r="O171" i="2"/>
  <c r="N171" i="2"/>
  <c r="P171" i="2" s="1"/>
  <c r="Q171" i="2" s="1"/>
  <c r="K171" i="2"/>
  <c r="H171" i="2"/>
  <c r="G171" i="2"/>
  <c r="I171" i="2" s="1"/>
  <c r="J171" i="2" s="1"/>
  <c r="AB170" i="2"/>
  <c r="Y170" i="2"/>
  <c r="V170" i="2"/>
  <c r="W170" i="2" s="1"/>
  <c r="X170" i="2" s="1"/>
  <c r="U170" i="2"/>
  <c r="R170" i="2"/>
  <c r="S170" i="2" s="1"/>
  <c r="T170" i="2" s="1"/>
  <c r="O170" i="2"/>
  <c r="N170" i="2"/>
  <c r="P170" i="2" s="1"/>
  <c r="Q170" i="2" s="1"/>
  <c r="K170" i="2"/>
  <c r="L170" i="2" s="1"/>
  <c r="M170" i="2" s="1"/>
  <c r="H170" i="2"/>
  <c r="G170" i="2"/>
  <c r="AB169" i="2"/>
  <c r="Y169" i="2"/>
  <c r="Z169" i="2" s="1"/>
  <c r="AA169" i="2" s="1"/>
  <c r="V169" i="2"/>
  <c r="U169" i="2"/>
  <c r="R169" i="2"/>
  <c r="O169" i="2"/>
  <c r="N169" i="2"/>
  <c r="P169" i="2" s="1"/>
  <c r="Q169" i="2" s="1"/>
  <c r="K169" i="2"/>
  <c r="H169" i="2"/>
  <c r="G169" i="2"/>
  <c r="AB168" i="2"/>
  <c r="Y168" i="2"/>
  <c r="V168" i="2"/>
  <c r="U168" i="2"/>
  <c r="W168" i="2" s="1"/>
  <c r="X168" i="2" s="1"/>
  <c r="S168" i="2"/>
  <c r="T168" i="2" s="1"/>
  <c r="R168" i="2"/>
  <c r="O168" i="2"/>
  <c r="P168" i="2" s="1"/>
  <c r="Q168" i="2" s="1"/>
  <c r="N168" i="2"/>
  <c r="K168" i="2"/>
  <c r="H168" i="2"/>
  <c r="G168" i="2"/>
  <c r="AB167" i="2"/>
  <c r="Y167" i="2"/>
  <c r="V167" i="2"/>
  <c r="U167" i="2"/>
  <c r="W167" i="2" s="1"/>
  <c r="X167" i="2" s="1"/>
  <c r="R167" i="2"/>
  <c r="O167" i="2"/>
  <c r="N167" i="2"/>
  <c r="K167" i="2"/>
  <c r="H167" i="2"/>
  <c r="I167" i="2" s="1"/>
  <c r="J167" i="2" s="1"/>
  <c r="G167" i="2"/>
  <c r="AB166" i="2"/>
  <c r="Y166" i="2"/>
  <c r="V166" i="2"/>
  <c r="U166" i="2"/>
  <c r="W166" i="2" s="1"/>
  <c r="X166" i="2" s="1"/>
  <c r="R166" i="2"/>
  <c r="O166" i="2"/>
  <c r="N166" i="2"/>
  <c r="K166" i="2"/>
  <c r="H166" i="2"/>
  <c r="G166" i="2"/>
  <c r="AB165" i="2"/>
  <c r="Y165" i="2"/>
  <c r="V165" i="2"/>
  <c r="U165" i="2"/>
  <c r="W165" i="2" s="1"/>
  <c r="X165" i="2" s="1"/>
  <c r="R165" i="2"/>
  <c r="O165" i="2"/>
  <c r="N165" i="2"/>
  <c r="P165" i="2" s="1"/>
  <c r="Q165" i="2" s="1"/>
  <c r="K165" i="2"/>
  <c r="L165" i="2" s="1"/>
  <c r="M165" i="2" s="1"/>
  <c r="H165" i="2"/>
  <c r="G165" i="2"/>
  <c r="AB164" i="2"/>
  <c r="Y164" i="2"/>
  <c r="V164" i="2"/>
  <c r="U164" i="2"/>
  <c r="W164" i="2" s="1"/>
  <c r="X164" i="2" s="1"/>
  <c r="R164" i="2"/>
  <c r="O164" i="2"/>
  <c r="N164" i="2"/>
  <c r="P164" i="2" s="1"/>
  <c r="Q164" i="2" s="1"/>
  <c r="K164" i="2"/>
  <c r="L164" i="2" s="1"/>
  <c r="M164" i="2" s="1"/>
  <c r="H164" i="2"/>
  <c r="G164" i="2"/>
  <c r="AB163" i="2"/>
  <c r="Y163" i="2"/>
  <c r="V163" i="2"/>
  <c r="U163" i="2"/>
  <c r="R163" i="2"/>
  <c r="O163" i="2"/>
  <c r="N163" i="2"/>
  <c r="K163" i="2"/>
  <c r="H163" i="2"/>
  <c r="G163" i="2"/>
  <c r="AB162" i="2"/>
  <c r="Y162" i="2"/>
  <c r="V162" i="2"/>
  <c r="U162" i="2"/>
  <c r="R162" i="2"/>
  <c r="O162" i="2"/>
  <c r="N162" i="2"/>
  <c r="P162" i="2" s="1"/>
  <c r="Q162" i="2" s="1"/>
  <c r="K162" i="2"/>
  <c r="H162" i="2"/>
  <c r="G162" i="2"/>
  <c r="AB161" i="2"/>
  <c r="Y161" i="2"/>
  <c r="Z161" i="2" s="1"/>
  <c r="AA161" i="2" s="1"/>
  <c r="V161" i="2"/>
  <c r="U161" i="2"/>
  <c r="R161" i="2"/>
  <c r="O161" i="2"/>
  <c r="N161" i="2"/>
  <c r="K161" i="2"/>
  <c r="H161" i="2"/>
  <c r="I161" i="2" s="1"/>
  <c r="J161" i="2" s="1"/>
  <c r="G161" i="2"/>
  <c r="AB160" i="2"/>
  <c r="Y160" i="2"/>
  <c r="V160" i="2"/>
  <c r="U160" i="2"/>
  <c r="W160" i="2" s="1"/>
  <c r="X160" i="2" s="1"/>
  <c r="R160" i="2"/>
  <c r="O160" i="2"/>
  <c r="N160" i="2"/>
  <c r="K160" i="2"/>
  <c r="H160" i="2"/>
  <c r="G160" i="2"/>
  <c r="I160" i="2" s="1"/>
  <c r="J160" i="2" s="1"/>
  <c r="AB156" i="2"/>
  <c r="Y156" i="2"/>
  <c r="V156" i="2"/>
  <c r="U156" i="2"/>
  <c r="W156" i="2" s="1"/>
  <c r="X156" i="2" s="1"/>
  <c r="R156" i="2"/>
  <c r="O156" i="2"/>
  <c r="N156" i="2"/>
  <c r="K156" i="2"/>
  <c r="H156" i="2"/>
  <c r="G156" i="2"/>
  <c r="AB155" i="2"/>
  <c r="Y155" i="2"/>
  <c r="Z155" i="2" s="1"/>
  <c r="AA155" i="2" s="1"/>
  <c r="V155" i="2"/>
  <c r="U155" i="2"/>
  <c r="R155" i="2"/>
  <c r="S155" i="2" s="1"/>
  <c r="T155" i="2" s="1"/>
  <c r="O155" i="2"/>
  <c r="N155" i="2"/>
  <c r="K155" i="2"/>
  <c r="H155" i="2"/>
  <c r="G155" i="2"/>
  <c r="I155" i="2" s="1"/>
  <c r="J155" i="2" s="1"/>
  <c r="AB154" i="2"/>
  <c r="AB153" i="2" s="1"/>
  <c r="Y154" i="2"/>
  <c r="V154" i="2"/>
  <c r="U154" i="2"/>
  <c r="R154" i="2"/>
  <c r="O154" i="2"/>
  <c r="N154" i="2"/>
  <c r="K154" i="2"/>
  <c r="H154" i="2"/>
  <c r="G154" i="2"/>
  <c r="R153" i="2"/>
  <c r="AB148" i="2"/>
  <c r="Y148" i="2"/>
  <c r="V148" i="2"/>
  <c r="V374" i="2" s="1"/>
  <c r="U148" i="2"/>
  <c r="R148" i="2"/>
  <c r="O148" i="2"/>
  <c r="N148" i="2"/>
  <c r="K148" i="2"/>
  <c r="H148" i="2"/>
  <c r="G148" i="2"/>
  <c r="G374" i="2" s="1"/>
  <c r="AB144" i="2"/>
  <c r="Y144" i="2"/>
  <c r="Z144" i="2" s="1"/>
  <c r="AA144" i="2" s="1"/>
  <c r="W144" i="2"/>
  <c r="X144" i="2" s="1"/>
  <c r="V144" i="2"/>
  <c r="U144" i="2"/>
  <c r="R144" i="2"/>
  <c r="O144" i="2"/>
  <c r="N144" i="2"/>
  <c r="K144" i="2"/>
  <c r="H144" i="2"/>
  <c r="G144" i="2"/>
  <c r="AB143" i="2"/>
  <c r="Y143" i="2"/>
  <c r="V143" i="2"/>
  <c r="U143" i="2"/>
  <c r="R143" i="2"/>
  <c r="O143" i="2"/>
  <c r="N143" i="2"/>
  <c r="K143" i="2"/>
  <c r="H143" i="2"/>
  <c r="I143" i="2" s="1"/>
  <c r="J143" i="2" s="1"/>
  <c r="G143" i="2"/>
  <c r="AB142" i="2"/>
  <c r="Y142" i="2"/>
  <c r="V142" i="2"/>
  <c r="U142" i="2"/>
  <c r="R142" i="2"/>
  <c r="S142" i="2" s="1"/>
  <c r="T142" i="2" s="1"/>
  <c r="P142" i="2"/>
  <c r="Q142" i="2" s="1"/>
  <c r="O142" i="2"/>
  <c r="N142" i="2"/>
  <c r="K142" i="2"/>
  <c r="H142" i="2"/>
  <c r="G142" i="2"/>
  <c r="AB141" i="2"/>
  <c r="Z141" i="2"/>
  <c r="AA141" i="2" s="1"/>
  <c r="Y141" i="2"/>
  <c r="V141" i="2"/>
  <c r="U141" i="2"/>
  <c r="R141" i="2"/>
  <c r="O141" i="2"/>
  <c r="N141" i="2"/>
  <c r="K141" i="2"/>
  <c r="L141" i="2" s="1"/>
  <c r="M141" i="2" s="1"/>
  <c r="J141" i="2"/>
  <c r="I141" i="2"/>
  <c r="H141" i="2"/>
  <c r="G141" i="2"/>
  <c r="AB140" i="2"/>
  <c r="Y140" i="2"/>
  <c r="V140" i="2"/>
  <c r="U140" i="2"/>
  <c r="R140" i="2"/>
  <c r="S140" i="2" s="1"/>
  <c r="T140" i="2" s="1"/>
  <c r="O140" i="2"/>
  <c r="N140" i="2"/>
  <c r="K140" i="2"/>
  <c r="H140" i="2"/>
  <c r="G140" i="2"/>
  <c r="AB139" i="2"/>
  <c r="Y139" i="2"/>
  <c r="V139" i="2"/>
  <c r="U139" i="2"/>
  <c r="R139" i="2"/>
  <c r="O139" i="2"/>
  <c r="N139" i="2"/>
  <c r="P139" i="2" s="1"/>
  <c r="Q139" i="2" s="1"/>
  <c r="K139" i="2"/>
  <c r="H139" i="2"/>
  <c r="G139" i="2"/>
  <c r="AB138" i="2"/>
  <c r="Y138" i="2"/>
  <c r="V138" i="2"/>
  <c r="W138" i="2" s="1"/>
  <c r="X138" i="2" s="1"/>
  <c r="U138" i="2"/>
  <c r="R138" i="2"/>
  <c r="O138" i="2"/>
  <c r="N138" i="2"/>
  <c r="K138" i="2"/>
  <c r="H138" i="2"/>
  <c r="G138" i="2"/>
  <c r="AB137" i="2"/>
  <c r="Y137" i="2"/>
  <c r="V137" i="2"/>
  <c r="U137" i="2"/>
  <c r="R137" i="2"/>
  <c r="O137" i="2"/>
  <c r="N137" i="2"/>
  <c r="K137" i="2"/>
  <c r="H137" i="2"/>
  <c r="G137" i="2"/>
  <c r="AB136" i="2"/>
  <c r="Y136" i="2"/>
  <c r="V136" i="2"/>
  <c r="U136" i="2"/>
  <c r="S136" i="2"/>
  <c r="T136" i="2" s="1"/>
  <c r="R136" i="2"/>
  <c r="O136" i="2"/>
  <c r="P136" i="2" s="1"/>
  <c r="Q136" i="2" s="1"/>
  <c r="N136" i="2"/>
  <c r="K136" i="2"/>
  <c r="H136" i="2"/>
  <c r="G136" i="2"/>
  <c r="I136" i="2" s="1"/>
  <c r="J136" i="2" s="1"/>
  <c r="AB135" i="2"/>
  <c r="Z135" i="2"/>
  <c r="AA135" i="2" s="1"/>
  <c r="Y135" i="2"/>
  <c r="V135" i="2"/>
  <c r="U135" i="2"/>
  <c r="R135" i="2"/>
  <c r="O135" i="2"/>
  <c r="N135" i="2"/>
  <c r="P135" i="2" s="1"/>
  <c r="Q135" i="2" s="1"/>
  <c r="K135" i="2"/>
  <c r="L135" i="2" s="1"/>
  <c r="M135" i="2" s="1"/>
  <c r="H135" i="2"/>
  <c r="I135" i="2" s="1"/>
  <c r="J135" i="2" s="1"/>
  <c r="G135" i="2"/>
  <c r="AB134" i="2"/>
  <c r="Y134" i="2"/>
  <c r="V134" i="2"/>
  <c r="U134" i="2"/>
  <c r="R134" i="2"/>
  <c r="O134" i="2"/>
  <c r="N134" i="2"/>
  <c r="K134" i="2"/>
  <c r="L134" i="2" s="1"/>
  <c r="M134" i="2" s="1"/>
  <c r="H134" i="2"/>
  <c r="G134" i="2"/>
  <c r="AB133" i="2"/>
  <c r="Y133" i="2"/>
  <c r="V133" i="2"/>
  <c r="U133" i="2"/>
  <c r="R133" i="2"/>
  <c r="S133" i="2" s="1"/>
  <c r="T133" i="2" s="1"/>
  <c r="O133" i="2"/>
  <c r="N133" i="2"/>
  <c r="K133" i="2"/>
  <c r="H133" i="2"/>
  <c r="G133" i="2"/>
  <c r="AB132" i="2"/>
  <c r="Y132" i="2"/>
  <c r="Z132" i="2" s="1"/>
  <c r="AA132" i="2" s="1"/>
  <c r="V132" i="2"/>
  <c r="W132" i="2" s="1"/>
  <c r="X132" i="2" s="1"/>
  <c r="U132" i="2"/>
  <c r="R132" i="2"/>
  <c r="O132" i="2"/>
  <c r="N132" i="2"/>
  <c r="K132" i="2"/>
  <c r="H132" i="2"/>
  <c r="G132" i="2"/>
  <c r="AB131" i="2"/>
  <c r="Y131" i="2"/>
  <c r="V131" i="2"/>
  <c r="U131" i="2"/>
  <c r="Z131" i="2" s="1"/>
  <c r="AA131" i="2" s="1"/>
  <c r="R131" i="2"/>
  <c r="O131" i="2"/>
  <c r="N131" i="2"/>
  <c r="K131" i="2"/>
  <c r="H131" i="2"/>
  <c r="G131" i="2"/>
  <c r="AB130" i="2"/>
  <c r="Y130" i="2"/>
  <c r="V130" i="2"/>
  <c r="U130" i="2"/>
  <c r="W130" i="2" s="1"/>
  <c r="X130" i="2" s="1"/>
  <c r="R130" i="2"/>
  <c r="S130" i="2" s="1"/>
  <c r="T130" i="2" s="1"/>
  <c r="O130" i="2"/>
  <c r="N130" i="2"/>
  <c r="K130" i="2"/>
  <c r="H130" i="2"/>
  <c r="G130" i="2"/>
  <c r="AB129" i="2"/>
  <c r="Y129" i="2"/>
  <c r="Z129" i="2" s="1"/>
  <c r="AA129" i="2" s="1"/>
  <c r="V129" i="2"/>
  <c r="U129" i="2"/>
  <c r="R129" i="2"/>
  <c r="O129" i="2"/>
  <c r="N129" i="2"/>
  <c r="K129" i="2"/>
  <c r="H129" i="2"/>
  <c r="G129" i="2"/>
  <c r="I129" i="2" s="1"/>
  <c r="J129" i="2" s="1"/>
  <c r="AB128" i="2"/>
  <c r="Y128" i="2"/>
  <c r="Z128" i="2" s="1"/>
  <c r="AA128" i="2" s="1"/>
  <c r="V128" i="2"/>
  <c r="W128" i="2" s="1"/>
  <c r="X128" i="2" s="1"/>
  <c r="U128" i="2"/>
  <c r="R128" i="2"/>
  <c r="O128" i="2"/>
  <c r="N128" i="2"/>
  <c r="L128" i="2"/>
  <c r="M128" i="2" s="1"/>
  <c r="K128" i="2"/>
  <c r="H128" i="2"/>
  <c r="G128" i="2"/>
  <c r="AB127" i="2"/>
  <c r="Y127" i="2"/>
  <c r="V127" i="2"/>
  <c r="U127" i="2"/>
  <c r="R127" i="2"/>
  <c r="O127" i="2"/>
  <c r="N127" i="2"/>
  <c r="K127" i="2"/>
  <c r="L127" i="2" s="1"/>
  <c r="M127" i="2" s="1"/>
  <c r="H127" i="2"/>
  <c r="G127" i="2"/>
  <c r="AB126" i="2"/>
  <c r="Y126" i="2"/>
  <c r="V126" i="2"/>
  <c r="U126" i="2"/>
  <c r="R126" i="2"/>
  <c r="O126" i="2"/>
  <c r="N126" i="2"/>
  <c r="S126" i="2" s="1"/>
  <c r="T126" i="2" s="1"/>
  <c r="K126" i="2"/>
  <c r="H126" i="2"/>
  <c r="G126" i="2"/>
  <c r="AB125" i="2"/>
  <c r="Y125" i="2"/>
  <c r="V125" i="2"/>
  <c r="U125" i="2"/>
  <c r="R125" i="2"/>
  <c r="O125" i="2"/>
  <c r="N125" i="2"/>
  <c r="P125" i="2" s="1"/>
  <c r="Q125" i="2" s="1"/>
  <c r="K125" i="2"/>
  <c r="H125" i="2"/>
  <c r="G125" i="2"/>
  <c r="AB124" i="2"/>
  <c r="Y124" i="2"/>
  <c r="V124" i="2"/>
  <c r="U124" i="2"/>
  <c r="R124" i="2"/>
  <c r="O124" i="2"/>
  <c r="N124" i="2"/>
  <c r="K124" i="2"/>
  <c r="H124" i="2"/>
  <c r="G124" i="2"/>
  <c r="AB123" i="2"/>
  <c r="Y123" i="2"/>
  <c r="V123" i="2"/>
  <c r="U123" i="2"/>
  <c r="R123" i="2"/>
  <c r="O123" i="2"/>
  <c r="N123" i="2"/>
  <c r="P123" i="2" s="1"/>
  <c r="Q123" i="2" s="1"/>
  <c r="K123" i="2"/>
  <c r="L123" i="2" s="1"/>
  <c r="M123" i="2" s="1"/>
  <c r="H123" i="2"/>
  <c r="G123" i="2"/>
  <c r="AB122" i="2"/>
  <c r="Y122" i="2"/>
  <c r="Z122" i="2" s="1"/>
  <c r="AA122" i="2" s="1"/>
  <c r="W122" i="2"/>
  <c r="X122" i="2" s="1"/>
  <c r="V122" i="2"/>
  <c r="U122" i="2"/>
  <c r="R122" i="2"/>
  <c r="O122" i="2"/>
  <c r="N122" i="2"/>
  <c r="K122" i="2"/>
  <c r="H122" i="2"/>
  <c r="G122" i="2"/>
  <c r="I122" i="2" s="1"/>
  <c r="J122" i="2" s="1"/>
  <c r="AB121" i="2"/>
  <c r="Y121" i="2"/>
  <c r="V121" i="2"/>
  <c r="U121" i="2"/>
  <c r="R121" i="2"/>
  <c r="O121" i="2"/>
  <c r="N121" i="2"/>
  <c r="K121" i="2"/>
  <c r="H121" i="2"/>
  <c r="G121" i="2"/>
  <c r="I121" i="2" s="1"/>
  <c r="J121" i="2" s="1"/>
  <c r="AB120" i="2"/>
  <c r="Y120" i="2"/>
  <c r="V120" i="2"/>
  <c r="U120" i="2"/>
  <c r="W120" i="2" s="1"/>
  <c r="X120" i="2" s="1"/>
  <c r="R120" i="2"/>
  <c r="O120" i="2"/>
  <c r="N120" i="2"/>
  <c r="P120" i="2" s="1"/>
  <c r="Q120" i="2" s="1"/>
  <c r="K120" i="2"/>
  <c r="L120" i="2" s="1"/>
  <c r="M120" i="2" s="1"/>
  <c r="H120" i="2"/>
  <c r="G120" i="2"/>
  <c r="AB119" i="2"/>
  <c r="Y119" i="2"/>
  <c r="V119" i="2"/>
  <c r="U119" i="2"/>
  <c r="R119" i="2"/>
  <c r="O119" i="2"/>
  <c r="N119" i="2"/>
  <c r="K119" i="2"/>
  <c r="H119" i="2"/>
  <c r="G119" i="2"/>
  <c r="AB115" i="2"/>
  <c r="Y115" i="2"/>
  <c r="V115" i="2"/>
  <c r="U115" i="2"/>
  <c r="R115" i="2"/>
  <c r="O115" i="2"/>
  <c r="N115" i="2"/>
  <c r="P115" i="2" s="1"/>
  <c r="Q115" i="2" s="1"/>
  <c r="K115" i="2"/>
  <c r="H115" i="2"/>
  <c r="G115" i="2"/>
  <c r="I115" i="2" s="1"/>
  <c r="J115" i="2" s="1"/>
  <c r="AB114" i="2"/>
  <c r="Y114" i="2"/>
  <c r="Z114" i="2" s="1"/>
  <c r="AA114" i="2" s="1"/>
  <c r="V114" i="2"/>
  <c r="U114" i="2"/>
  <c r="R114" i="2"/>
  <c r="O114" i="2"/>
  <c r="N114" i="2"/>
  <c r="K114" i="2"/>
  <c r="L114" i="2" s="1"/>
  <c r="M114" i="2" s="1"/>
  <c r="H114" i="2"/>
  <c r="G114" i="2"/>
  <c r="AB113" i="2"/>
  <c r="Y113" i="2"/>
  <c r="V113" i="2"/>
  <c r="W113" i="2" s="1"/>
  <c r="X113" i="2" s="1"/>
  <c r="U113" i="2"/>
  <c r="R113" i="2"/>
  <c r="O113" i="2"/>
  <c r="N113" i="2"/>
  <c r="P113" i="2" s="1"/>
  <c r="Q113" i="2" s="1"/>
  <c r="K113" i="2"/>
  <c r="H113" i="2"/>
  <c r="G113" i="2"/>
  <c r="AB112" i="2"/>
  <c r="Y112" i="2"/>
  <c r="Z112" i="2" s="1"/>
  <c r="AA112" i="2" s="1"/>
  <c r="V112" i="2"/>
  <c r="U112" i="2"/>
  <c r="R112" i="2"/>
  <c r="S112" i="2" s="1"/>
  <c r="T112" i="2" s="1"/>
  <c r="O112" i="2"/>
  <c r="N112" i="2"/>
  <c r="P112" i="2" s="1"/>
  <c r="Q112" i="2" s="1"/>
  <c r="K112" i="2"/>
  <c r="H112" i="2"/>
  <c r="G112" i="2"/>
  <c r="L112" i="2" s="1"/>
  <c r="M112" i="2" s="1"/>
  <c r="AB111" i="2"/>
  <c r="Y111" i="2"/>
  <c r="Z111" i="2" s="1"/>
  <c r="AA111" i="2" s="1"/>
  <c r="V111" i="2"/>
  <c r="U111" i="2"/>
  <c r="R111" i="2"/>
  <c r="O111" i="2"/>
  <c r="N111" i="2"/>
  <c r="P111" i="2" s="1"/>
  <c r="Q111" i="2" s="1"/>
  <c r="K111" i="2"/>
  <c r="L111" i="2" s="1"/>
  <c r="M111" i="2" s="1"/>
  <c r="H111" i="2"/>
  <c r="G111" i="2"/>
  <c r="I111" i="2" s="1"/>
  <c r="J111" i="2" s="1"/>
  <c r="AB110" i="2"/>
  <c r="Y110" i="2"/>
  <c r="V110" i="2"/>
  <c r="U110" i="2"/>
  <c r="R110" i="2"/>
  <c r="S110" i="2" s="1"/>
  <c r="T110" i="2" s="1"/>
  <c r="O110" i="2"/>
  <c r="P110" i="2" s="1"/>
  <c r="Q110" i="2" s="1"/>
  <c r="N110" i="2"/>
  <c r="K110" i="2"/>
  <c r="L110" i="2" s="1"/>
  <c r="M110" i="2" s="1"/>
  <c r="H110" i="2"/>
  <c r="I110" i="2" s="1"/>
  <c r="J110" i="2" s="1"/>
  <c r="G110" i="2"/>
  <c r="AB109" i="2"/>
  <c r="Y109" i="2"/>
  <c r="V109" i="2"/>
  <c r="U109" i="2"/>
  <c r="R109" i="2"/>
  <c r="O109" i="2"/>
  <c r="N109" i="2"/>
  <c r="K109" i="2"/>
  <c r="H109" i="2"/>
  <c r="G109" i="2"/>
  <c r="AB108" i="2"/>
  <c r="Y108" i="2"/>
  <c r="Y106" i="2" s="1"/>
  <c r="V108" i="2"/>
  <c r="U108" i="2"/>
  <c r="W108" i="2" s="1"/>
  <c r="X108" i="2" s="1"/>
  <c r="R108" i="2"/>
  <c r="O108" i="2"/>
  <c r="N108" i="2"/>
  <c r="K108" i="2"/>
  <c r="H108" i="2"/>
  <c r="G108" i="2"/>
  <c r="AB107" i="2"/>
  <c r="Y107" i="2"/>
  <c r="V107" i="2"/>
  <c r="U107" i="2"/>
  <c r="R107" i="2"/>
  <c r="O107" i="2"/>
  <c r="N107" i="2"/>
  <c r="K107" i="2"/>
  <c r="H107" i="2"/>
  <c r="G107" i="2"/>
  <c r="AB103" i="2"/>
  <c r="Y103" i="2"/>
  <c r="V103" i="2"/>
  <c r="W103" i="2" s="1"/>
  <c r="X103" i="2" s="1"/>
  <c r="U103" i="2"/>
  <c r="Z103" i="2" s="1"/>
  <c r="AA103" i="2" s="1"/>
  <c r="R103" i="2"/>
  <c r="O103" i="2"/>
  <c r="N103" i="2"/>
  <c r="K103" i="2"/>
  <c r="H103" i="2"/>
  <c r="G103" i="2"/>
  <c r="AB102" i="2"/>
  <c r="Y102" i="2"/>
  <c r="Y100" i="2" s="1"/>
  <c r="Y371" i="2" s="1"/>
  <c r="V102" i="2"/>
  <c r="U102" i="2"/>
  <c r="R102" i="2"/>
  <c r="O102" i="2"/>
  <c r="N102" i="2"/>
  <c r="K102" i="2"/>
  <c r="H102" i="2"/>
  <c r="G102" i="2"/>
  <c r="AB101" i="2"/>
  <c r="Y101" i="2"/>
  <c r="V101" i="2"/>
  <c r="U101" i="2"/>
  <c r="R101" i="2"/>
  <c r="O101" i="2"/>
  <c r="N101" i="2"/>
  <c r="K101" i="2"/>
  <c r="H101" i="2"/>
  <c r="G101" i="2"/>
  <c r="AB89" i="2"/>
  <c r="Y89" i="2"/>
  <c r="V89" i="2"/>
  <c r="W89" i="2" s="1"/>
  <c r="X89" i="2" s="1"/>
  <c r="U89" i="2"/>
  <c r="Z89" i="2" s="1"/>
  <c r="AA89" i="2" s="1"/>
  <c r="R89" i="2"/>
  <c r="O89" i="2"/>
  <c r="N89" i="2"/>
  <c r="P89" i="2" s="1"/>
  <c r="Q89" i="2" s="1"/>
  <c r="K89" i="2"/>
  <c r="H89" i="2"/>
  <c r="G89" i="2"/>
  <c r="AB88" i="2"/>
  <c r="Y88" i="2"/>
  <c r="Z88" i="2" s="1"/>
  <c r="AA88" i="2" s="1"/>
  <c r="V88" i="2"/>
  <c r="U88" i="2"/>
  <c r="R88" i="2"/>
  <c r="O88" i="2"/>
  <c r="N88" i="2"/>
  <c r="P88" i="2" s="1"/>
  <c r="Q88" i="2" s="1"/>
  <c r="K88" i="2"/>
  <c r="L88" i="2" s="1"/>
  <c r="M88" i="2" s="1"/>
  <c r="H88" i="2"/>
  <c r="G88" i="2"/>
  <c r="AB87" i="2"/>
  <c r="Y87" i="2"/>
  <c r="V87" i="2"/>
  <c r="U87" i="2"/>
  <c r="R87" i="2"/>
  <c r="O87" i="2"/>
  <c r="N87" i="2"/>
  <c r="K87" i="2"/>
  <c r="H87" i="2"/>
  <c r="G87" i="2"/>
  <c r="I87" i="2" s="1"/>
  <c r="J87" i="2" s="1"/>
  <c r="AB86" i="2"/>
  <c r="Y86" i="2"/>
  <c r="V86" i="2"/>
  <c r="U86" i="2"/>
  <c r="R86" i="2"/>
  <c r="S86" i="2" s="1"/>
  <c r="T86" i="2" s="1"/>
  <c r="O86" i="2"/>
  <c r="P86" i="2" s="1"/>
  <c r="Q86" i="2" s="1"/>
  <c r="N86" i="2"/>
  <c r="L86" i="2"/>
  <c r="M86" i="2" s="1"/>
  <c r="K86" i="2"/>
  <c r="H86" i="2"/>
  <c r="I86" i="2" s="1"/>
  <c r="J86" i="2" s="1"/>
  <c r="G86" i="2"/>
  <c r="AB85" i="2"/>
  <c r="Y85" i="2"/>
  <c r="Z85" i="2" s="1"/>
  <c r="AA85" i="2" s="1"/>
  <c r="V85" i="2"/>
  <c r="U85" i="2"/>
  <c r="R85" i="2"/>
  <c r="O85" i="2"/>
  <c r="N85" i="2"/>
  <c r="K85" i="2"/>
  <c r="H85" i="2"/>
  <c r="G85" i="2"/>
  <c r="AB84" i="2"/>
  <c r="Y84" i="2"/>
  <c r="V84" i="2"/>
  <c r="U84" i="2"/>
  <c r="R84" i="2"/>
  <c r="O84" i="2"/>
  <c r="N84" i="2"/>
  <c r="P84" i="2" s="1"/>
  <c r="Q84" i="2" s="1"/>
  <c r="K84" i="2"/>
  <c r="L84" i="2" s="1"/>
  <c r="M84" i="2" s="1"/>
  <c r="H84" i="2"/>
  <c r="G84" i="2"/>
  <c r="AB83" i="2"/>
  <c r="Y83" i="2"/>
  <c r="V83" i="2"/>
  <c r="W83" i="2" s="1"/>
  <c r="X83" i="2" s="1"/>
  <c r="U83" i="2"/>
  <c r="Z83" i="2" s="1"/>
  <c r="AA83" i="2" s="1"/>
  <c r="R83" i="2"/>
  <c r="O83" i="2"/>
  <c r="N83" i="2"/>
  <c r="P83" i="2" s="1"/>
  <c r="Q83" i="2" s="1"/>
  <c r="K83" i="2"/>
  <c r="H83" i="2"/>
  <c r="G83" i="2"/>
  <c r="I83" i="2" s="1"/>
  <c r="J83" i="2" s="1"/>
  <c r="AB82" i="2"/>
  <c r="Y82" i="2"/>
  <c r="V82" i="2"/>
  <c r="U82" i="2"/>
  <c r="W82" i="2" s="1"/>
  <c r="X82" i="2" s="1"/>
  <c r="R82" i="2"/>
  <c r="S82" i="2" s="1"/>
  <c r="T82" i="2" s="1"/>
  <c r="O82" i="2"/>
  <c r="N82" i="2"/>
  <c r="P82" i="2" s="1"/>
  <c r="Q82" i="2" s="1"/>
  <c r="K82" i="2"/>
  <c r="H82" i="2"/>
  <c r="G82" i="2"/>
  <c r="AB81" i="2"/>
  <c r="Y81" i="2"/>
  <c r="Z81" i="2" s="1"/>
  <c r="AA81" i="2" s="1"/>
  <c r="V81" i="2"/>
  <c r="U81" i="2"/>
  <c r="R81" i="2"/>
  <c r="O81" i="2"/>
  <c r="N81" i="2"/>
  <c r="K81" i="2"/>
  <c r="H81" i="2"/>
  <c r="G81" i="2"/>
  <c r="I81" i="2" s="1"/>
  <c r="J81" i="2" s="1"/>
  <c r="AB80" i="2"/>
  <c r="Y80" i="2"/>
  <c r="V80" i="2"/>
  <c r="U80" i="2"/>
  <c r="R80" i="2"/>
  <c r="S80" i="2" s="1"/>
  <c r="T80" i="2" s="1"/>
  <c r="O80" i="2"/>
  <c r="N80" i="2"/>
  <c r="K80" i="2"/>
  <c r="H80" i="2"/>
  <c r="I80" i="2" s="1"/>
  <c r="J80" i="2" s="1"/>
  <c r="G80" i="2"/>
  <c r="L80" i="2" s="1"/>
  <c r="M80" i="2" s="1"/>
  <c r="AB79" i="2"/>
  <c r="Y79" i="2"/>
  <c r="Z79" i="2" s="1"/>
  <c r="AA79" i="2" s="1"/>
  <c r="V79" i="2"/>
  <c r="W79" i="2" s="1"/>
  <c r="X79" i="2" s="1"/>
  <c r="U79" i="2"/>
  <c r="R79" i="2"/>
  <c r="O79" i="2"/>
  <c r="N79" i="2"/>
  <c r="K79" i="2"/>
  <c r="H79" i="2"/>
  <c r="G79" i="2"/>
  <c r="AB78" i="2"/>
  <c r="Y78" i="2"/>
  <c r="Z78" i="2" s="1"/>
  <c r="AA78" i="2" s="1"/>
  <c r="V78" i="2"/>
  <c r="U78" i="2"/>
  <c r="R78" i="2"/>
  <c r="O78" i="2"/>
  <c r="N78" i="2"/>
  <c r="K78" i="2"/>
  <c r="L78" i="2" s="1"/>
  <c r="M78" i="2" s="1"/>
  <c r="H78" i="2"/>
  <c r="G78" i="2"/>
  <c r="AB77" i="2"/>
  <c r="Y77" i="2"/>
  <c r="V77" i="2"/>
  <c r="U77" i="2"/>
  <c r="R77" i="2"/>
  <c r="O77" i="2"/>
  <c r="N77" i="2"/>
  <c r="K77" i="2"/>
  <c r="H77" i="2"/>
  <c r="G77" i="2"/>
  <c r="I77" i="2" s="1"/>
  <c r="J77" i="2" s="1"/>
  <c r="AB76" i="2"/>
  <c r="Y76" i="2"/>
  <c r="Y74" i="2" s="1"/>
  <c r="V76" i="2"/>
  <c r="U76" i="2"/>
  <c r="W76" i="2" s="1"/>
  <c r="X76" i="2" s="1"/>
  <c r="R76" i="2"/>
  <c r="O76" i="2"/>
  <c r="N76" i="2"/>
  <c r="P76" i="2" s="1"/>
  <c r="Q76" i="2" s="1"/>
  <c r="K76" i="2"/>
  <c r="L76" i="2" s="1"/>
  <c r="M76" i="2" s="1"/>
  <c r="H76" i="2"/>
  <c r="G76" i="2"/>
  <c r="AB75" i="2"/>
  <c r="Y75" i="2"/>
  <c r="Z75" i="2" s="1"/>
  <c r="AA75" i="2" s="1"/>
  <c r="V75" i="2"/>
  <c r="U75" i="2"/>
  <c r="R75" i="2"/>
  <c r="O75" i="2"/>
  <c r="N75" i="2"/>
  <c r="K75" i="2"/>
  <c r="H75" i="2"/>
  <c r="G75" i="2"/>
  <c r="AB71" i="2"/>
  <c r="Y71" i="2"/>
  <c r="Z71" i="2" s="1"/>
  <c r="AA71" i="2" s="1"/>
  <c r="V71" i="2"/>
  <c r="W71" i="2" s="1"/>
  <c r="X71" i="2" s="1"/>
  <c r="U71" i="2"/>
  <c r="R71" i="2"/>
  <c r="O71" i="2"/>
  <c r="N71" i="2"/>
  <c r="P71" i="2" s="1"/>
  <c r="Q71" i="2" s="1"/>
  <c r="K71" i="2"/>
  <c r="H71" i="2"/>
  <c r="G71" i="2"/>
  <c r="AB70" i="2"/>
  <c r="Y70" i="2"/>
  <c r="V70" i="2"/>
  <c r="U70" i="2"/>
  <c r="R70" i="2"/>
  <c r="O70" i="2"/>
  <c r="N70" i="2"/>
  <c r="P70" i="2" s="1"/>
  <c r="Q70" i="2" s="1"/>
  <c r="K70" i="2"/>
  <c r="L70" i="2" s="1"/>
  <c r="M70" i="2" s="1"/>
  <c r="H70" i="2"/>
  <c r="G70" i="2"/>
  <c r="AB69" i="2"/>
  <c r="Y69" i="2"/>
  <c r="V69" i="2"/>
  <c r="U69" i="2"/>
  <c r="Z69" i="2" s="1"/>
  <c r="AA69" i="2" s="1"/>
  <c r="R69" i="2"/>
  <c r="O69" i="2"/>
  <c r="N69" i="2"/>
  <c r="K69" i="2"/>
  <c r="H69" i="2"/>
  <c r="G69" i="2"/>
  <c r="I69" i="2" s="1"/>
  <c r="J69" i="2" s="1"/>
  <c r="U68" i="2"/>
  <c r="AB65" i="2"/>
  <c r="Y65" i="2"/>
  <c r="Z65" i="2" s="1"/>
  <c r="AA65" i="2" s="1"/>
  <c r="V65" i="2"/>
  <c r="W65" i="2" s="1"/>
  <c r="X65" i="2" s="1"/>
  <c r="U65" i="2"/>
  <c r="R65" i="2"/>
  <c r="O65" i="2"/>
  <c r="N65" i="2"/>
  <c r="P65" i="2" s="1"/>
  <c r="Q65" i="2" s="1"/>
  <c r="K65" i="2"/>
  <c r="H65" i="2"/>
  <c r="G65" i="2"/>
  <c r="AB64" i="2"/>
  <c r="Y64" i="2"/>
  <c r="Z64" i="2" s="1"/>
  <c r="AA64" i="2" s="1"/>
  <c r="V64" i="2"/>
  <c r="U64" i="2"/>
  <c r="R64" i="2"/>
  <c r="O64" i="2"/>
  <c r="N64" i="2"/>
  <c r="K64" i="2"/>
  <c r="H64" i="2"/>
  <c r="G64" i="2"/>
  <c r="AB63" i="2"/>
  <c r="Y63" i="2"/>
  <c r="V63" i="2"/>
  <c r="U63" i="2"/>
  <c r="R63" i="2"/>
  <c r="O63" i="2"/>
  <c r="N63" i="2"/>
  <c r="K63" i="2"/>
  <c r="H63" i="2"/>
  <c r="G63" i="2"/>
  <c r="U62" i="2"/>
  <c r="AB59" i="2"/>
  <c r="Z59" i="2"/>
  <c r="AA59" i="2" s="1"/>
  <c r="Y59" i="2"/>
  <c r="V59" i="2"/>
  <c r="U59" i="2"/>
  <c r="R59" i="2"/>
  <c r="O59" i="2"/>
  <c r="N59" i="2"/>
  <c r="K59" i="2"/>
  <c r="H59" i="2"/>
  <c r="G59" i="2"/>
  <c r="AB58" i="2"/>
  <c r="Y58" i="2"/>
  <c r="Z58" i="2" s="1"/>
  <c r="AA58" i="2" s="1"/>
  <c r="V58" i="2"/>
  <c r="U58" i="2"/>
  <c r="R58" i="2"/>
  <c r="O58" i="2"/>
  <c r="N58" i="2"/>
  <c r="P58" i="2" s="1"/>
  <c r="Q58" i="2" s="1"/>
  <c r="K58" i="2"/>
  <c r="H58" i="2"/>
  <c r="G58" i="2"/>
  <c r="L58" i="2" s="1"/>
  <c r="M58" i="2" s="1"/>
  <c r="AB57" i="2"/>
  <c r="Y57" i="2"/>
  <c r="V57" i="2"/>
  <c r="U57" i="2"/>
  <c r="R57" i="2"/>
  <c r="O57" i="2"/>
  <c r="N57" i="2"/>
  <c r="P57" i="2" s="1"/>
  <c r="Q57" i="2" s="1"/>
  <c r="K57" i="2"/>
  <c r="L57" i="2" s="1"/>
  <c r="M57" i="2" s="1"/>
  <c r="H57" i="2"/>
  <c r="G57" i="2"/>
  <c r="AB56" i="2"/>
  <c r="Y56" i="2"/>
  <c r="V56" i="2"/>
  <c r="U56" i="2"/>
  <c r="S56" i="2"/>
  <c r="T56" i="2" s="1"/>
  <c r="R56" i="2"/>
  <c r="O56" i="2"/>
  <c r="N56" i="2"/>
  <c r="K56" i="2"/>
  <c r="K55" i="2" s="1"/>
  <c r="H56" i="2"/>
  <c r="G56" i="2"/>
  <c r="G55" i="2" s="1"/>
  <c r="AB52" i="2"/>
  <c r="AB51" i="2" s="1"/>
  <c r="AB366" i="2" s="1"/>
  <c r="Y52" i="2"/>
  <c r="Y51" i="2" s="1"/>
  <c r="V52" i="2"/>
  <c r="V51" i="2" s="1"/>
  <c r="U52" i="2"/>
  <c r="W52" i="2" s="1"/>
  <c r="X52" i="2" s="1"/>
  <c r="R52" i="2"/>
  <c r="O52" i="2"/>
  <c r="O51" i="2" s="1"/>
  <c r="O366" i="2" s="1"/>
  <c r="N52" i="2"/>
  <c r="S52" i="2" s="1"/>
  <c r="T52" i="2" s="1"/>
  <c r="L52" i="2"/>
  <c r="M52" i="2" s="1"/>
  <c r="K52" i="2"/>
  <c r="K51" i="2" s="1"/>
  <c r="K366" i="2" s="1"/>
  <c r="H52" i="2"/>
  <c r="G52" i="2"/>
  <c r="R51" i="2"/>
  <c r="N51" i="2"/>
  <c r="G51" i="2"/>
  <c r="AB48" i="2"/>
  <c r="Y48" i="2"/>
  <c r="V48" i="2"/>
  <c r="U48" i="2"/>
  <c r="R48" i="2"/>
  <c r="O48" i="2"/>
  <c r="N48" i="2"/>
  <c r="S48" i="2" s="1"/>
  <c r="T48" i="2" s="1"/>
  <c r="K48" i="2"/>
  <c r="H48" i="2"/>
  <c r="G48" i="2"/>
  <c r="AB47" i="2"/>
  <c r="Y47" i="2"/>
  <c r="V47" i="2"/>
  <c r="U47" i="2"/>
  <c r="R47" i="2"/>
  <c r="O47" i="2"/>
  <c r="N47" i="2"/>
  <c r="K47" i="2"/>
  <c r="L47" i="2" s="1"/>
  <c r="M47" i="2" s="1"/>
  <c r="H47" i="2"/>
  <c r="G47" i="2"/>
  <c r="I47" i="2" s="1"/>
  <c r="J47" i="2" s="1"/>
  <c r="AB46" i="2"/>
  <c r="Y46" i="2"/>
  <c r="V46" i="2"/>
  <c r="U46" i="2"/>
  <c r="W46" i="2" s="1"/>
  <c r="X46" i="2" s="1"/>
  <c r="R46" i="2"/>
  <c r="O46" i="2"/>
  <c r="N46" i="2"/>
  <c r="K46" i="2"/>
  <c r="H46" i="2"/>
  <c r="G46" i="2"/>
  <c r="AB45" i="2"/>
  <c r="Y45" i="2"/>
  <c r="Z45" i="2" s="1"/>
  <c r="AA45" i="2" s="1"/>
  <c r="V45" i="2"/>
  <c r="U45" i="2"/>
  <c r="R45" i="2"/>
  <c r="O45" i="2"/>
  <c r="N45" i="2"/>
  <c r="K45" i="2"/>
  <c r="H45" i="2"/>
  <c r="G45" i="2"/>
  <c r="I45" i="2" s="1"/>
  <c r="J45" i="2" s="1"/>
  <c r="AB44" i="2"/>
  <c r="Y44" i="2"/>
  <c r="V44" i="2"/>
  <c r="U44" i="2"/>
  <c r="R44" i="2"/>
  <c r="O44" i="2"/>
  <c r="N44" i="2"/>
  <c r="S44" i="2" s="1"/>
  <c r="T44" i="2" s="1"/>
  <c r="K44" i="2"/>
  <c r="L44" i="2" s="1"/>
  <c r="M44" i="2" s="1"/>
  <c r="H44" i="2"/>
  <c r="G44" i="2"/>
  <c r="AB43" i="2"/>
  <c r="Y43" i="2"/>
  <c r="V43" i="2"/>
  <c r="U43" i="2"/>
  <c r="Z43" i="2" s="1"/>
  <c r="AA43" i="2" s="1"/>
  <c r="R43" i="2"/>
  <c r="S43" i="2" s="1"/>
  <c r="T43" i="2" s="1"/>
  <c r="O43" i="2"/>
  <c r="N43" i="2"/>
  <c r="K43" i="2"/>
  <c r="H43" i="2"/>
  <c r="G43" i="2"/>
  <c r="I43" i="2" s="1"/>
  <c r="J43" i="2" s="1"/>
  <c r="AB42" i="2"/>
  <c r="Y42" i="2"/>
  <c r="V42" i="2"/>
  <c r="U42" i="2"/>
  <c r="W42" i="2" s="1"/>
  <c r="X42" i="2" s="1"/>
  <c r="R42" i="2"/>
  <c r="O42" i="2"/>
  <c r="N42" i="2"/>
  <c r="K42" i="2"/>
  <c r="H42" i="2"/>
  <c r="G42" i="2"/>
  <c r="AB41" i="2"/>
  <c r="Y41" i="2"/>
  <c r="Z41" i="2" s="1"/>
  <c r="AA41" i="2" s="1"/>
  <c r="V41" i="2"/>
  <c r="U41" i="2"/>
  <c r="R41" i="2"/>
  <c r="O41" i="2"/>
  <c r="N41" i="2"/>
  <c r="K41" i="2"/>
  <c r="H41" i="2"/>
  <c r="G41" i="2"/>
  <c r="I41" i="2" s="1"/>
  <c r="J41" i="2" s="1"/>
  <c r="AB40" i="2"/>
  <c r="Y40" i="2"/>
  <c r="Z40" i="2" s="1"/>
  <c r="AA40" i="2" s="1"/>
  <c r="V40" i="2"/>
  <c r="U40" i="2"/>
  <c r="R40" i="2"/>
  <c r="S40" i="2" s="1"/>
  <c r="T40" i="2" s="1"/>
  <c r="O40" i="2"/>
  <c r="N40" i="2"/>
  <c r="P40" i="2" s="1"/>
  <c r="Q40" i="2" s="1"/>
  <c r="K40" i="2"/>
  <c r="H40" i="2"/>
  <c r="G40" i="2"/>
  <c r="L40" i="2" s="1"/>
  <c r="M40" i="2" s="1"/>
  <c r="AB39" i="2"/>
  <c r="Y39" i="2"/>
  <c r="V39" i="2"/>
  <c r="U39" i="2"/>
  <c r="R39" i="2"/>
  <c r="O39" i="2"/>
  <c r="N39" i="2"/>
  <c r="P39" i="2" s="1"/>
  <c r="Q39" i="2" s="1"/>
  <c r="K39" i="2"/>
  <c r="L39" i="2" s="1"/>
  <c r="M39" i="2" s="1"/>
  <c r="H39" i="2"/>
  <c r="G39" i="2"/>
  <c r="AB38" i="2"/>
  <c r="Y38" i="2"/>
  <c r="V38" i="2"/>
  <c r="U38" i="2"/>
  <c r="T38" i="2"/>
  <c r="R38" i="2"/>
  <c r="S38" i="2" s="1"/>
  <c r="O38" i="2"/>
  <c r="P38" i="2" s="1"/>
  <c r="Q38" i="2" s="1"/>
  <c r="N38" i="2"/>
  <c r="K38" i="2"/>
  <c r="H38" i="2"/>
  <c r="G38" i="2"/>
  <c r="AB37" i="2"/>
  <c r="Y37" i="2"/>
  <c r="Z37" i="2" s="1"/>
  <c r="AA37" i="2" s="1"/>
  <c r="V37" i="2"/>
  <c r="U37" i="2"/>
  <c r="R37" i="2"/>
  <c r="O37" i="2"/>
  <c r="N37" i="2"/>
  <c r="K37" i="2"/>
  <c r="H37" i="2"/>
  <c r="G37" i="2"/>
  <c r="I37" i="2" s="1"/>
  <c r="J37" i="2" s="1"/>
  <c r="AB36" i="2"/>
  <c r="Y36" i="2"/>
  <c r="V36" i="2"/>
  <c r="U36" i="2"/>
  <c r="R36" i="2"/>
  <c r="O36" i="2"/>
  <c r="N36" i="2"/>
  <c r="L36" i="2"/>
  <c r="M36" i="2" s="1"/>
  <c r="K36" i="2"/>
  <c r="H36" i="2"/>
  <c r="G36" i="2"/>
  <c r="AB35" i="2"/>
  <c r="Y35" i="2"/>
  <c r="V35" i="2"/>
  <c r="U35" i="2"/>
  <c r="R35" i="2"/>
  <c r="S35" i="2" s="1"/>
  <c r="T35" i="2" s="1"/>
  <c r="O35" i="2"/>
  <c r="N35" i="2"/>
  <c r="P35" i="2" s="1"/>
  <c r="Q35" i="2" s="1"/>
  <c r="K35" i="2"/>
  <c r="H35" i="2"/>
  <c r="G35" i="2"/>
  <c r="AB34" i="2"/>
  <c r="Y34" i="2"/>
  <c r="V34" i="2"/>
  <c r="U34" i="2"/>
  <c r="R34" i="2"/>
  <c r="O34" i="2"/>
  <c r="N34" i="2"/>
  <c r="K34" i="2"/>
  <c r="L34" i="2" s="1"/>
  <c r="M34" i="2" s="1"/>
  <c r="H34" i="2"/>
  <c r="G34" i="2"/>
  <c r="AB33" i="2"/>
  <c r="Y33" i="2"/>
  <c r="Z33" i="2" s="1"/>
  <c r="AA33" i="2" s="1"/>
  <c r="V33" i="2"/>
  <c r="W33" i="2" s="1"/>
  <c r="X33" i="2" s="1"/>
  <c r="U33" i="2"/>
  <c r="R33" i="2"/>
  <c r="O33" i="2"/>
  <c r="N33" i="2"/>
  <c r="P33" i="2" s="1"/>
  <c r="Q33" i="2" s="1"/>
  <c r="K33" i="2"/>
  <c r="H33" i="2"/>
  <c r="G33" i="2"/>
  <c r="AB32" i="2"/>
  <c r="Y32" i="2"/>
  <c r="V32" i="2"/>
  <c r="U32" i="2"/>
  <c r="R32" i="2"/>
  <c r="S32" i="2" s="1"/>
  <c r="T32" i="2" s="1"/>
  <c r="O32" i="2"/>
  <c r="N32" i="2"/>
  <c r="P32" i="2" s="1"/>
  <c r="Q32" i="2" s="1"/>
  <c r="K32" i="2"/>
  <c r="H32" i="2"/>
  <c r="G32" i="2"/>
  <c r="AB31" i="2"/>
  <c r="Y31" i="2"/>
  <c r="Z31" i="2" s="1"/>
  <c r="AA31" i="2" s="1"/>
  <c r="V31" i="2"/>
  <c r="U31" i="2"/>
  <c r="R31" i="2"/>
  <c r="O31" i="2"/>
  <c r="N31" i="2"/>
  <c r="P31" i="2" s="1"/>
  <c r="Q31" i="2" s="1"/>
  <c r="K31" i="2"/>
  <c r="H31" i="2"/>
  <c r="G31" i="2"/>
  <c r="AB30" i="2"/>
  <c r="Y30" i="2"/>
  <c r="V30" i="2"/>
  <c r="U30" i="2"/>
  <c r="R30" i="2"/>
  <c r="O30" i="2"/>
  <c r="P30" i="2" s="1"/>
  <c r="Q30" i="2" s="1"/>
  <c r="N30" i="2"/>
  <c r="K30" i="2"/>
  <c r="L30" i="2" s="1"/>
  <c r="M30" i="2" s="1"/>
  <c r="H30" i="2"/>
  <c r="G30" i="2"/>
  <c r="AB29" i="2"/>
  <c r="Y29" i="2"/>
  <c r="V29" i="2"/>
  <c r="U29" i="2"/>
  <c r="R29" i="2"/>
  <c r="O29" i="2"/>
  <c r="N29" i="2"/>
  <c r="K29" i="2"/>
  <c r="H29" i="2"/>
  <c r="G29" i="2"/>
  <c r="I29" i="2" s="1"/>
  <c r="J29" i="2" s="1"/>
  <c r="AB28" i="2"/>
  <c r="Y28" i="2"/>
  <c r="V28" i="2"/>
  <c r="U28" i="2"/>
  <c r="W28" i="2" s="1"/>
  <c r="X28" i="2" s="1"/>
  <c r="R28" i="2"/>
  <c r="O28" i="2"/>
  <c r="N28" i="2"/>
  <c r="K28" i="2"/>
  <c r="H28" i="2"/>
  <c r="G28" i="2"/>
  <c r="L28" i="2" s="1"/>
  <c r="M28" i="2" s="1"/>
  <c r="AB27" i="2"/>
  <c r="Y27" i="2"/>
  <c r="V27" i="2"/>
  <c r="W27" i="2" s="1"/>
  <c r="X27" i="2" s="1"/>
  <c r="U27" i="2"/>
  <c r="Z27" i="2" s="1"/>
  <c r="AA27" i="2" s="1"/>
  <c r="R27" i="2"/>
  <c r="O27" i="2"/>
  <c r="N27" i="2"/>
  <c r="P27" i="2" s="1"/>
  <c r="Q27" i="2" s="1"/>
  <c r="K27" i="2"/>
  <c r="H27" i="2"/>
  <c r="G27" i="2"/>
  <c r="AB26" i="2"/>
  <c r="Y26" i="2"/>
  <c r="V26" i="2"/>
  <c r="U26" i="2"/>
  <c r="R26" i="2"/>
  <c r="O26" i="2"/>
  <c r="N26" i="2"/>
  <c r="P26" i="2" s="1"/>
  <c r="Q26" i="2" s="1"/>
  <c r="K26" i="2"/>
  <c r="L26" i="2" s="1"/>
  <c r="M26" i="2" s="1"/>
  <c r="H26" i="2"/>
  <c r="G26" i="2"/>
  <c r="AB22" i="2"/>
  <c r="Y22" i="2"/>
  <c r="V22" i="2"/>
  <c r="U22" i="2"/>
  <c r="R22" i="2"/>
  <c r="O22" i="2"/>
  <c r="P22" i="2" s="1"/>
  <c r="Q22" i="2" s="1"/>
  <c r="N22" i="2"/>
  <c r="K22" i="2"/>
  <c r="H22" i="2"/>
  <c r="I22" i="2" s="1"/>
  <c r="J22" i="2" s="1"/>
  <c r="G22" i="2"/>
  <c r="L22" i="2" s="1"/>
  <c r="M22" i="2" s="1"/>
  <c r="AB21" i="2"/>
  <c r="Y21" i="2"/>
  <c r="V21" i="2"/>
  <c r="U21" i="2"/>
  <c r="R21" i="2"/>
  <c r="O21" i="2"/>
  <c r="N21" i="2"/>
  <c r="K21" i="2"/>
  <c r="H21" i="2"/>
  <c r="G21" i="2"/>
  <c r="AB20" i="2"/>
  <c r="Y20" i="2"/>
  <c r="V20" i="2"/>
  <c r="U20" i="2"/>
  <c r="R20" i="2"/>
  <c r="O20" i="2"/>
  <c r="N20" i="2"/>
  <c r="S20" i="2" s="1"/>
  <c r="T20" i="2" s="1"/>
  <c r="K20" i="2"/>
  <c r="H20" i="2"/>
  <c r="G20" i="2"/>
  <c r="AB19" i="2"/>
  <c r="Y19" i="2"/>
  <c r="Z19" i="2" s="1"/>
  <c r="AA19" i="2" s="1"/>
  <c r="V19" i="2"/>
  <c r="U19" i="2"/>
  <c r="R19" i="2"/>
  <c r="O19" i="2"/>
  <c r="N19" i="2"/>
  <c r="K19" i="2"/>
  <c r="H19" i="2"/>
  <c r="G19" i="2"/>
  <c r="AB18" i="2"/>
  <c r="Y18" i="2"/>
  <c r="Z18" i="2" s="1"/>
  <c r="AA18" i="2" s="1"/>
  <c r="V18" i="2"/>
  <c r="U18" i="2"/>
  <c r="R18" i="2"/>
  <c r="O18" i="2"/>
  <c r="N18" i="2"/>
  <c r="P18" i="2" s="1"/>
  <c r="Q18" i="2" s="1"/>
  <c r="K18" i="2"/>
  <c r="L18" i="2" s="1"/>
  <c r="M18" i="2" s="1"/>
  <c r="H18" i="2"/>
  <c r="G18" i="2"/>
  <c r="AB17" i="2"/>
  <c r="Y17" i="2"/>
  <c r="V17" i="2"/>
  <c r="U17" i="2"/>
  <c r="Z17" i="2" s="1"/>
  <c r="AA17" i="2" s="1"/>
  <c r="R17" i="2"/>
  <c r="O17" i="2"/>
  <c r="N17" i="2"/>
  <c r="K17" i="2"/>
  <c r="L17" i="2" s="1"/>
  <c r="M17" i="2" s="1"/>
  <c r="H17" i="2"/>
  <c r="G17" i="2"/>
  <c r="AB16" i="2"/>
  <c r="Y16" i="2"/>
  <c r="V16" i="2"/>
  <c r="U16" i="2"/>
  <c r="R16" i="2"/>
  <c r="O16" i="2"/>
  <c r="P16" i="2" s="1"/>
  <c r="Q16" i="2" s="1"/>
  <c r="N16" i="2"/>
  <c r="K16" i="2"/>
  <c r="H16" i="2"/>
  <c r="G16" i="2"/>
  <c r="AB15" i="2"/>
  <c r="Y15" i="2"/>
  <c r="V15" i="2"/>
  <c r="W15" i="2" s="1"/>
  <c r="X15" i="2" s="1"/>
  <c r="U15" i="2"/>
  <c r="R15" i="2"/>
  <c r="O15" i="2"/>
  <c r="N15" i="2"/>
  <c r="P15" i="2" s="1"/>
  <c r="Q15" i="2" s="1"/>
  <c r="K15" i="2"/>
  <c r="H15" i="2"/>
  <c r="G15" i="2"/>
  <c r="AB14" i="2"/>
  <c r="Y14" i="2"/>
  <c r="V14" i="2"/>
  <c r="U14" i="2"/>
  <c r="R14" i="2"/>
  <c r="O14" i="2"/>
  <c r="N14" i="2"/>
  <c r="K14" i="2"/>
  <c r="L14" i="2" s="1"/>
  <c r="M14" i="2" s="1"/>
  <c r="H14" i="2"/>
  <c r="G14" i="2"/>
  <c r="AB149" i="1"/>
  <c r="X149" i="1"/>
  <c r="U149" i="1"/>
  <c r="T149" i="1"/>
  <c r="P149" i="1"/>
  <c r="M149" i="1"/>
  <c r="L149" i="1"/>
  <c r="H149" i="1"/>
  <c r="E149" i="1"/>
  <c r="D149" i="1"/>
  <c r="AB148" i="1"/>
  <c r="AB151" i="1" s="1"/>
  <c r="X148" i="1"/>
  <c r="U148" i="1"/>
  <c r="T148" i="1"/>
  <c r="P148" i="1"/>
  <c r="M148" i="1"/>
  <c r="L148" i="1"/>
  <c r="H148" i="1"/>
  <c r="E148" i="1"/>
  <c r="E151" i="1" s="1"/>
  <c r="D148" i="1"/>
  <c r="AB104" i="1"/>
  <c r="X104" i="1"/>
  <c r="U104" i="1"/>
  <c r="T104" i="1"/>
  <c r="P104" i="1"/>
  <c r="M104" i="1"/>
  <c r="L104" i="1"/>
  <c r="H104" i="1"/>
  <c r="E104" i="1"/>
  <c r="D104" i="1"/>
  <c r="AB100" i="1"/>
  <c r="X100" i="1"/>
  <c r="U100" i="1"/>
  <c r="U98" i="1" s="1"/>
  <c r="U94" i="1" s="1"/>
  <c r="T100" i="1"/>
  <c r="P100" i="1"/>
  <c r="M100" i="1"/>
  <c r="L100" i="1"/>
  <c r="H100" i="1"/>
  <c r="E100" i="1"/>
  <c r="D100" i="1"/>
  <c r="AB99" i="1"/>
  <c r="X99" i="1"/>
  <c r="U99" i="1"/>
  <c r="T99" i="1"/>
  <c r="P99" i="1"/>
  <c r="P98" i="1" s="1"/>
  <c r="M99" i="1"/>
  <c r="M98" i="1" s="1"/>
  <c r="L99" i="1"/>
  <c r="Q99" i="1" s="1"/>
  <c r="R99" i="1" s="1"/>
  <c r="H99" i="1"/>
  <c r="E99" i="1"/>
  <c r="D99" i="1"/>
  <c r="I99" i="1" s="1"/>
  <c r="J99" i="1" s="1"/>
  <c r="H98" i="1"/>
  <c r="AB97" i="1"/>
  <c r="X97" i="1"/>
  <c r="U97" i="1"/>
  <c r="T97" i="1"/>
  <c r="V97" i="1" s="1"/>
  <c r="W97" i="1" s="1"/>
  <c r="P97" i="1"/>
  <c r="M97" i="1"/>
  <c r="L97" i="1"/>
  <c r="N97" i="1" s="1"/>
  <c r="O97" i="1" s="1"/>
  <c r="H97" i="1"/>
  <c r="E97" i="1"/>
  <c r="D97" i="1"/>
  <c r="AB96" i="1"/>
  <c r="X96" i="1"/>
  <c r="U96" i="1"/>
  <c r="T96" i="1"/>
  <c r="Y96" i="1" s="1"/>
  <c r="Z96" i="1" s="1"/>
  <c r="P96" i="1"/>
  <c r="M96" i="1"/>
  <c r="L96" i="1"/>
  <c r="H96" i="1"/>
  <c r="H94" i="1" s="1"/>
  <c r="E96" i="1"/>
  <c r="D96" i="1"/>
  <c r="AB95" i="1"/>
  <c r="X95" i="1"/>
  <c r="U95" i="1"/>
  <c r="T95" i="1"/>
  <c r="P95" i="1"/>
  <c r="M95" i="1"/>
  <c r="N95" i="1" s="1"/>
  <c r="O95" i="1" s="1"/>
  <c r="L95" i="1"/>
  <c r="H95" i="1"/>
  <c r="E95" i="1"/>
  <c r="D95" i="1"/>
  <c r="I95" i="1" s="1"/>
  <c r="J95" i="1" s="1"/>
  <c r="Z93" i="1"/>
  <c r="Y93" i="1"/>
  <c r="V93" i="1"/>
  <c r="W93" i="1" s="1"/>
  <c r="Q93" i="1"/>
  <c r="R93" i="1" s="1"/>
  <c r="N93" i="1"/>
  <c r="O93" i="1" s="1"/>
  <c r="I93" i="1"/>
  <c r="J93" i="1" s="1"/>
  <c r="F93" i="1"/>
  <c r="G93" i="1" s="1"/>
  <c r="AB92" i="1"/>
  <c r="X92" i="1"/>
  <c r="X90" i="1" s="1"/>
  <c r="U92" i="1"/>
  <c r="T92" i="1"/>
  <c r="P92" i="1"/>
  <c r="M92" i="1"/>
  <c r="N92" i="1" s="1"/>
  <c r="O92" i="1" s="1"/>
  <c r="L92" i="1"/>
  <c r="H92" i="1"/>
  <c r="E92" i="1"/>
  <c r="D92" i="1"/>
  <c r="AB91" i="1"/>
  <c r="Y91" i="1"/>
  <c r="Z91" i="1" s="1"/>
  <c r="X91" i="1"/>
  <c r="U91" i="1"/>
  <c r="T91" i="1"/>
  <c r="P91" i="1"/>
  <c r="M91" i="1"/>
  <c r="L91" i="1"/>
  <c r="H91" i="1"/>
  <c r="E91" i="1"/>
  <c r="E90" i="1" s="1"/>
  <c r="D91" i="1"/>
  <c r="AB89" i="1"/>
  <c r="X89" i="1"/>
  <c r="U89" i="1"/>
  <c r="T89" i="1"/>
  <c r="Y89" i="1" s="1"/>
  <c r="Z89" i="1" s="1"/>
  <c r="P89" i="1"/>
  <c r="M89" i="1"/>
  <c r="L89" i="1"/>
  <c r="H89" i="1"/>
  <c r="H87" i="1" s="1"/>
  <c r="E89" i="1"/>
  <c r="D89" i="1"/>
  <c r="AB88" i="1"/>
  <c r="X88" i="1"/>
  <c r="U88" i="1"/>
  <c r="T88" i="1"/>
  <c r="V88" i="1" s="1"/>
  <c r="W88" i="1" s="1"/>
  <c r="P88" i="1"/>
  <c r="M88" i="1"/>
  <c r="N88" i="1" s="1"/>
  <c r="O88" i="1" s="1"/>
  <c r="L88" i="1"/>
  <c r="H88" i="1"/>
  <c r="E88" i="1"/>
  <c r="D88" i="1"/>
  <c r="AB86" i="1"/>
  <c r="X86" i="1"/>
  <c r="U86" i="1"/>
  <c r="T86" i="1"/>
  <c r="P86" i="1"/>
  <c r="M86" i="1"/>
  <c r="L86" i="1"/>
  <c r="N86" i="1" s="1"/>
  <c r="O86" i="1" s="1"/>
  <c r="H86" i="1"/>
  <c r="E86" i="1"/>
  <c r="D86" i="1"/>
  <c r="AB85" i="1"/>
  <c r="X85" i="1"/>
  <c r="U85" i="1"/>
  <c r="T85" i="1"/>
  <c r="P85" i="1"/>
  <c r="M85" i="1"/>
  <c r="L85" i="1"/>
  <c r="H85" i="1"/>
  <c r="E85" i="1"/>
  <c r="D85" i="1"/>
  <c r="AB80" i="1"/>
  <c r="X80" i="1"/>
  <c r="U80" i="1"/>
  <c r="T80" i="1"/>
  <c r="Y80" i="1" s="1"/>
  <c r="Z80" i="1" s="1"/>
  <c r="P80" i="1"/>
  <c r="M80" i="1"/>
  <c r="L80" i="1"/>
  <c r="H80" i="1"/>
  <c r="E80" i="1"/>
  <c r="D80" i="1"/>
  <c r="AB76" i="1"/>
  <c r="X76" i="1"/>
  <c r="U76" i="1"/>
  <c r="T76" i="1"/>
  <c r="P76" i="1"/>
  <c r="M76" i="1"/>
  <c r="L76" i="1"/>
  <c r="H76" i="1"/>
  <c r="H74" i="1" s="1"/>
  <c r="E76" i="1"/>
  <c r="D76" i="1"/>
  <c r="F76" i="1" s="1"/>
  <c r="G76" i="1" s="1"/>
  <c r="AB75" i="1"/>
  <c r="X75" i="1"/>
  <c r="U75" i="1"/>
  <c r="T75" i="1"/>
  <c r="P75" i="1"/>
  <c r="M75" i="1"/>
  <c r="M74" i="1" s="1"/>
  <c r="L75" i="1"/>
  <c r="I75" i="1"/>
  <c r="J75" i="1" s="1"/>
  <c r="H75" i="1"/>
  <c r="E75" i="1"/>
  <c r="D75" i="1"/>
  <c r="D74" i="1" s="1"/>
  <c r="AB73" i="1"/>
  <c r="X73" i="1"/>
  <c r="U73" i="1"/>
  <c r="T73" i="1"/>
  <c r="V73" i="1" s="1"/>
  <c r="W73" i="1" s="1"/>
  <c r="P73" i="1"/>
  <c r="M73" i="1"/>
  <c r="L73" i="1"/>
  <c r="I73" i="1"/>
  <c r="J73" i="1" s="1"/>
  <c r="H73" i="1"/>
  <c r="E73" i="1"/>
  <c r="D73" i="1"/>
  <c r="AB72" i="1"/>
  <c r="X72" i="1"/>
  <c r="U72" i="1"/>
  <c r="T72" i="1"/>
  <c r="Y72" i="1" s="1"/>
  <c r="Z72" i="1" s="1"/>
  <c r="P72" i="1"/>
  <c r="M72" i="1"/>
  <c r="L72" i="1"/>
  <c r="H72" i="1"/>
  <c r="E72" i="1"/>
  <c r="D72" i="1"/>
  <c r="AB71" i="1"/>
  <c r="X71" i="1"/>
  <c r="U71" i="1"/>
  <c r="T71" i="1"/>
  <c r="V71" i="1" s="1"/>
  <c r="W71" i="1" s="1"/>
  <c r="P71" i="1"/>
  <c r="M71" i="1"/>
  <c r="L71" i="1"/>
  <c r="H71" i="1"/>
  <c r="E71" i="1"/>
  <c r="D71" i="1"/>
  <c r="Y69" i="1"/>
  <c r="Z69" i="1" s="1"/>
  <c r="V69" i="1"/>
  <c r="W69" i="1" s="1"/>
  <c r="Q69" i="1"/>
  <c r="R69" i="1" s="1"/>
  <c r="N69" i="1"/>
  <c r="O69" i="1" s="1"/>
  <c r="I69" i="1"/>
  <c r="J69" i="1" s="1"/>
  <c r="F69" i="1"/>
  <c r="G69" i="1" s="1"/>
  <c r="AB68" i="1"/>
  <c r="AB66" i="1" s="1"/>
  <c r="X68" i="1"/>
  <c r="U68" i="1"/>
  <c r="T68" i="1"/>
  <c r="P68" i="1"/>
  <c r="M68" i="1"/>
  <c r="L68" i="1"/>
  <c r="H68" i="1"/>
  <c r="E68" i="1"/>
  <c r="D68" i="1"/>
  <c r="I68" i="1" s="1"/>
  <c r="J68" i="1" s="1"/>
  <c r="AB67" i="1"/>
  <c r="X67" i="1"/>
  <c r="X66" i="1" s="1"/>
  <c r="U67" i="1"/>
  <c r="T67" i="1"/>
  <c r="P67" i="1"/>
  <c r="M67" i="1"/>
  <c r="M66" i="1" s="1"/>
  <c r="L67" i="1"/>
  <c r="H67" i="1"/>
  <c r="E67" i="1"/>
  <c r="D67" i="1"/>
  <c r="F67" i="1" s="1"/>
  <c r="G67" i="1" s="1"/>
  <c r="T66" i="1"/>
  <c r="AB65" i="1"/>
  <c r="Y65" i="1"/>
  <c r="Z65" i="1" s="1"/>
  <c r="X65" i="1"/>
  <c r="U65" i="1"/>
  <c r="V65" i="1" s="1"/>
  <c r="W65" i="1" s="1"/>
  <c r="T65" i="1"/>
  <c r="P65" i="1"/>
  <c r="P63" i="1" s="1"/>
  <c r="M65" i="1"/>
  <c r="L65" i="1"/>
  <c r="L63" i="1" s="1"/>
  <c r="H65" i="1"/>
  <c r="E65" i="1"/>
  <c r="D65" i="1"/>
  <c r="AB64" i="1"/>
  <c r="AB63" i="1" s="1"/>
  <c r="X64" i="1"/>
  <c r="X63" i="1" s="1"/>
  <c r="U64" i="1"/>
  <c r="U63" i="1" s="1"/>
  <c r="T64" i="1"/>
  <c r="P64" i="1"/>
  <c r="M64" i="1"/>
  <c r="N64" i="1" s="1"/>
  <c r="O64" i="1" s="1"/>
  <c r="L64" i="1"/>
  <c r="H64" i="1"/>
  <c r="E64" i="1"/>
  <c r="D64" i="1"/>
  <c r="D63" i="1"/>
  <c r="AB62" i="1"/>
  <c r="X62" i="1"/>
  <c r="U62" i="1"/>
  <c r="T62" i="1"/>
  <c r="P62" i="1"/>
  <c r="M62" i="1"/>
  <c r="L62" i="1"/>
  <c r="I62" i="1"/>
  <c r="J62" i="1" s="1"/>
  <c r="H62" i="1"/>
  <c r="E62" i="1"/>
  <c r="D62" i="1"/>
  <c r="AB61" i="1"/>
  <c r="X61" i="1"/>
  <c r="U61" i="1"/>
  <c r="T61" i="1"/>
  <c r="Y61" i="1" s="1"/>
  <c r="Z61" i="1" s="1"/>
  <c r="P61" i="1"/>
  <c r="M61" i="1"/>
  <c r="L61" i="1"/>
  <c r="H61" i="1"/>
  <c r="E61" i="1"/>
  <c r="D61" i="1"/>
  <c r="AB56" i="1"/>
  <c r="X56" i="1"/>
  <c r="Y56" i="1" s="1"/>
  <c r="Z56" i="1" s="1"/>
  <c r="U56" i="1"/>
  <c r="T56" i="1"/>
  <c r="P56" i="1"/>
  <c r="M56" i="1"/>
  <c r="L56" i="1"/>
  <c r="H56" i="1"/>
  <c r="E56" i="1"/>
  <c r="D56" i="1"/>
  <c r="AB52" i="1"/>
  <c r="X52" i="1"/>
  <c r="U52" i="1"/>
  <c r="V52" i="1" s="1"/>
  <c r="W52" i="1" s="1"/>
  <c r="T52" i="1"/>
  <c r="Y52" i="1" s="1"/>
  <c r="Z52" i="1" s="1"/>
  <c r="P52" i="1"/>
  <c r="M52" i="1"/>
  <c r="M127" i="1" s="1"/>
  <c r="L52" i="1"/>
  <c r="L50" i="1" s="1"/>
  <c r="H52" i="1"/>
  <c r="E52" i="1"/>
  <c r="D52" i="1"/>
  <c r="F52" i="1" s="1"/>
  <c r="G52" i="1" s="1"/>
  <c r="AB51" i="1"/>
  <c r="X51" i="1"/>
  <c r="U51" i="1"/>
  <c r="T51" i="1"/>
  <c r="T126" i="1" s="1"/>
  <c r="P51" i="1"/>
  <c r="M51" i="1"/>
  <c r="N51" i="1" s="1"/>
  <c r="O51" i="1" s="1"/>
  <c r="L51" i="1"/>
  <c r="H51" i="1"/>
  <c r="E51" i="1"/>
  <c r="D51" i="1"/>
  <c r="D50" i="1" s="1"/>
  <c r="D46" i="1" s="1"/>
  <c r="AB49" i="1"/>
  <c r="X49" i="1"/>
  <c r="U49" i="1"/>
  <c r="T49" i="1"/>
  <c r="P49" i="1"/>
  <c r="M49" i="1"/>
  <c r="L49" i="1"/>
  <c r="H49" i="1"/>
  <c r="E49" i="1"/>
  <c r="D49" i="1"/>
  <c r="I49" i="1" s="1"/>
  <c r="J49" i="1" s="1"/>
  <c r="AB48" i="1"/>
  <c r="X48" i="1"/>
  <c r="U48" i="1"/>
  <c r="T48" i="1"/>
  <c r="P48" i="1"/>
  <c r="M48" i="1"/>
  <c r="L48" i="1"/>
  <c r="H48" i="1"/>
  <c r="E48" i="1"/>
  <c r="D48" i="1"/>
  <c r="F48" i="1" s="1"/>
  <c r="G48" i="1" s="1"/>
  <c r="AB47" i="1"/>
  <c r="X47" i="1"/>
  <c r="U47" i="1"/>
  <c r="T47" i="1"/>
  <c r="P47" i="1"/>
  <c r="M47" i="1"/>
  <c r="L47" i="1"/>
  <c r="I47" i="1"/>
  <c r="J47" i="1" s="1"/>
  <c r="H47" i="1"/>
  <c r="E47" i="1"/>
  <c r="D47" i="1"/>
  <c r="Y45" i="1"/>
  <c r="Z45" i="1" s="1"/>
  <c r="V45" i="1"/>
  <c r="W45" i="1" s="1"/>
  <c r="R45" i="1"/>
  <c r="Q45" i="1"/>
  <c r="N45" i="1"/>
  <c r="O45" i="1" s="1"/>
  <c r="J45" i="1"/>
  <c r="I45" i="1"/>
  <c r="F45" i="1"/>
  <c r="G45" i="1" s="1"/>
  <c r="AB44" i="1"/>
  <c r="X44" i="1"/>
  <c r="U44" i="1"/>
  <c r="T44" i="1"/>
  <c r="P44" i="1"/>
  <c r="N44" i="1"/>
  <c r="O44" i="1" s="1"/>
  <c r="M44" i="1"/>
  <c r="L44" i="1"/>
  <c r="H44" i="1"/>
  <c r="E44" i="1"/>
  <c r="D44" i="1"/>
  <c r="I44" i="1" s="1"/>
  <c r="J44" i="1" s="1"/>
  <c r="AB43" i="1"/>
  <c r="Y43" i="1"/>
  <c r="Z43" i="1" s="1"/>
  <c r="X43" i="1"/>
  <c r="X42" i="1" s="1"/>
  <c r="U43" i="1"/>
  <c r="T43" i="1"/>
  <c r="P43" i="1"/>
  <c r="M43" i="1"/>
  <c r="L43" i="1"/>
  <c r="H43" i="1"/>
  <c r="E43" i="1"/>
  <c r="D43" i="1"/>
  <c r="E42" i="1"/>
  <c r="AB41" i="1"/>
  <c r="Y41" i="1"/>
  <c r="Z41" i="1" s="1"/>
  <c r="X41" i="1"/>
  <c r="U41" i="1"/>
  <c r="V41" i="1" s="1"/>
  <c r="W41" i="1" s="1"/>
  <c r="T41" i="1"/>
  <c r="P41" i="1"/>
  <c r="M41" i="1"/>
  <c r="L41" i="1"/>
  <c r="L39" i="1" s="1"/>
  <c r="H41" i="1"/>
  <c r="G41" i="1"/>
  <c r="E41" i="1"/>
  <c r="D41" i="1"/>
  <c r="F41" i="1" s="1"/>
  <c r="AB40" i="1"/>
  <c r="X40" i="1"/>
  <c r="X39" i="1" s="1"/>
  <c r="U40" i="1"/>
  <c r="T40" i="1"/>
  <c r="V40" i="1" s="1"/>
  <c r="W40" i="1" s="1"/>
  <c r="P40" i="1"/>
  <c r="N40" i="1"/>
  <c r="O40" i="1" s="1"/>
  <c r="M40" i="1"/>
  <c r="L40" i="1"/>
  <c r="H40" i="1"/>
  <c r="H39" i="1" s="1"/>
  <c r="E40" i="1"/>
  <c r="D40" i="1"/>
  <c r="U39" i="1"/>
  <c r="M39" i="1"/>
  <c r="AB38" i="1"/>
  <c r="X38" i="1"/>
  <c r="U38" i="1"/>
  <c r="T38" i="1"/>
  <c r="P38" i="1"/>
  <c r="M38" i="1"/>
  <c r="L38" i="1"/>
  <c r="N38" i="1" s="1"/>
  <c r="O38" i="1" s="1"/>
  <c r="H38" i="1"/>
  <c r="E38" i="1"/>
  <c r="D38" i="1"/>
  <c r="AB37" i="1"/>
  <c r="X37" i="1"/>
  <c r="U37" i="1"/>
  <c r="T37" i="1"/>
  <c r="Y37" i="1" s="1"/>
  <c r="Z37" i="1" s="1"/>
  <c r="P37" i="1"/>
  <c r="M37" i="1"/>
  <c r="L37" i="1"/>
  <c r="H37" i="1"/>
  <c r="E37" i="1"/>
  <c r="D37" i="1"/>
  <c r="AB32" i="1"/>
  <c r="X32" i="1"/>
  <c r="U32" i="1"/>
  <c r="T32" i="1"/>
  <c r="P32" i="1"/>
  <c r="M32" i="1"/>
  <c r="L32" i="1"/>
  <c r="H32" i="1"/>
  <c r="E32" i="1"/>
  <c r="D32" i="1"/>
  <c r="AB28" i="1"/>
  <c r="X28" i="1"/>
  <c r="U28" i="1"/>
  <c r="U26" i="1" s="1"/>
  <c r="T28" i="1"/>
  <c r="P28" i="1"/>
  <c r="M28" i="1"/>
  <c r="L28" i="1"/>
  <c r="H28" i="1"/>
  <c r="E28" i="1"/>
  <c r="E127" i="1" s="1"/>
  <c r="D28" i="1"/>
  <c r="AB27" i="1"/>
  <c r="X27" i="1"/>
  <c r="U27" i="1"/>
  <c r="T27" i="1"/>
  <c r="P27" i="1"/>
  <c r="M27" i="1"/>
  <c r="L27" i="1"/>
  <c r="H27" i="1"/>
  <c r="E27" i="1"/>
  <c r="D27" i="1"/>
  <c r="D126" i="1" s="1"/>
  <c r="H26" i="1"/>
  <c r="AB25" i="1"/>
  <c r="X25" i="1"/>
  <c r="X124" i="1" s="1"/>
  <c r="U25" i="1"/>
  <c r="U124" i="1" s="1"/>
  <c r="T25" i="1"/>
  <c r="P25" i="1"/>
  <c r="M25" i="1"/>
  <c r="M124" i="1" s="1"/>
  <c r="L25" i="1"/>
  <c r="H25" i="1"/>
  <c r="E25" i="1"/>
  <c r="D25" i="1"/>
  <c r="I25" i="1" s="1"/>
  <c r="J25" i="1" s="1"/>
  <c r="AB24" i="1"/>
  <c r="X24" i="1"/>
  <c r="X123" i="1" s="1"/>
  <c r="U24" i="1"/>
  <c r="T24" i="1"/>
  <c r="P24" i="1"/>
  <c r="M24" i="1"/>
  <c r="L24" i="1"/>
  <c r="H24" i="1"/>
  <c r="H123" i="1" s="1"/>
  <c r="E24" i="1"/>
  <c r="D24" i="1"/>
  <c r="D123" i="1" s="1"/>
  <c r="AB23" i="1"/>
  <c r="X23" i="1"/>
  <c r="U23" i="1"/>
  <c r="U122" i="1" s="1"/>
  <c r="T23" i="1"/>
  <c r="P23" i="1"/>
  <c r="M23" i="1"/>
  <c r="N23" i="1" s="1"/>
  <c r="O23" i="1" s="1"/>
  <c r="L23" i="1"/>
  <c r="I23" i="1"/>
  <c r="J23" i="1" s="1"/>
  <c r="H23" i="1"/>
  <c r="E23" i="1"/>
  <c r="D23" i="1"/>
  <c r="AB21" i="1"/>
  <c r="AB120" i="1" s="1"/>
  <c r="X21" i="1"/>
  <c r="X120" i="1" s="1"/>
  <c r="U21" i="1"/>
  <c r="U120" i="1" s="1"/>
  <c r="T21" i="1"/>
  <c r="T120" i="1" s="1"/>
  <c r="P21" i="1"/>
  <c r="P120" i="1" s="1"/>
  <c r="M21" i="1"/>
  <c r="M120" i="1" s="1"/>
  <c r="L21" i="1"/>
  <c r="I21" i="1"/>
  <c r="J21" i="1" s="1"/>
  <c r="H21" i="1"/>
  <c r="H120" i="1" s="1"/>
  <c r="E21" i="1"/>
  <c r="F21" i="1" s="1"/>
  <c r="G21" i="1" s="1"/>
  <c r="D21" i="1"/>
  <c r="D120" i="1" s="1"/>
  <c r="AB20" i="1"/>
  <c r="X20" i="1"/>
  <c r="U20" i="1"/>
  <c r="U119" i="1" s="1"/>
  <c r="T20" i="1"/>
  <c r="P20" i="1"/>
  <c r="M20" i="1"/>
  <c r="L20" i="1"/>
  <c r="H20" i="1"/>
  <c r="E20" i="1"/>
  <c r="D20" i="1"/>
  <c r="AB19" i="1"/>
  <c r="X19" i="1"/>
  <c r="U19" i="1"/>
  <c r="U18" i="1" s="1"/>
  <c r="T19" i="1"/>
  <c r="P19" i="1"/>
  <c r="M19" i="1"/>
  <c r="M118" i="1" s="1"/>
  <c r="L19" i="1"/>
  <c r="H19" i="1"/>
  <c r="E19" i="1"/>
  <c r="D19" i="1"/>
  <c r="AB17" i="1"/>
  <c r="AB116" i="1" s="1"/>
  <c r="X17" i="1"/>
  <c r="U17" i="1"/>
  <c r="T17" i="1"/>
  <c r="P17" i="1"/>
  <c r="M17" i="1"/>
  <c r="L17" i="1"/>
  <c r="Q17" i="1" s="1"/>
  <c r="R17" i="1" s="1"/>
  <c r="H17" i="1"/>
  <c r="E17" i="1"/>
  <c r="D17" i="1"/>
  <c r="AB16" i="1"/>
  <c r="AB15" i="1" s="1"/>
  <c r="X16" i="1"/>
  <c r="U16" i="1"/>
  <c r="T16" i="1"/>
  <c r="Y16" i="1" s="1"/>
  <c r="Z16" i="1" s="1"/>
  <c r="P16" i="1"/>
  <c r="M16" i="1"/>
  <c r="L16" i="1"/>
  <c r="H16" i="1"/>
  <c r="E16" i="1"/>
  <c r="D16" i="1"/>
  <c r="AB14" i="1"/>
  <c r="X14" i="1"/>
  <c r="X113" i="1" s="1"/>
  <c r="U14" i="1"/>
  <c r="T14" i="1"/>
  <c r="P14" i="1"/>
  <c r="M14" i="1"/>
  <c r="L14" i="1"/>
  <c r="H14" i="1"/>
  <c r="E14" i="1"/>
  <c r="D14" i="1"/>
  <c r="AB13" i="1"/>
  <c r="X13" i="1"/>
  <c r="U13" i="1"/>
  <c r="T13" i="1"/>
  <c r="P13" i="1"/>
  <c r="M13" i="1"/>
  <c r="L13" i="1"/>
  <c r="Q13" i="1" s="1"/>
  <c r="R13" i="1" s="1"/>
  <c r="H13" i="1"/>
  <c r="H112" i="1" s="1"/>
  <c r="E13" i="1"/>
  <c r="D13" i="1"/>
  <c r="G9" i="2"/>
  <c r="B4" i="1"/>
  <c r="B4" i="2"/>
  <c r="L9" i="1"/>
  <c r="N9" i="2"/>
  <c r="D9" i="1"/>
  <c r="M123" i="1" l="1"/>
  <c r="M70" i="1"/>
  <c r="S14" i="2"/>
  <c r="T14" i="2" s="1"/>
  <c r="S58" i="2"/>
  <c r="T58" i="2" s="1"/>
  <c r="S64" i="2"/>
  <c r="T64" i="2" s="1"/>
  <c r="Z77" i="2"/>
  <c r="AA77" i="2" s="1"/>
  <c r="S78" i="2"/>
  <c r="T78" i="2" s="1"/>
  <c r="Z80" i="2"/>
  <c r="AA80" i="2" s="1"/>
  <c r="L122" i="2"/>
  <c r="M122" i="2" s="1"/>
  <c r="S124" i="2"/>
  <c r="T124" i="2" s="1"/>
  <c r="O118" i="2"/>
  <c r="L129" i="2"/>
  <c r="M129" i="2" s="1"/>
  <c r="S134" i="2"/>
  <c r="T134" i="2" s="1"/>
  <c r="S164" i="2"/>
  <c r="T164" i="2" s="1"/>
  <c r="Z186" i="2"/>
  <c r="AA186" i="2" s="1"/>
  <c r="O224" i="2"/>
  <c r="S354" i="2"/>
  <c r="T354" i="2" s="1"/>
  <c r="Z22" i="2"/>
  <c r="AA22" i="2" s="1"/>
  <c r="L38" i="2"/>
  <c r="M38" i="2" s="1"/>
  <c r="Z42" i="2"/>
  <c r="AA42" i="2" s="1"/>
  <c r="M112" i="1"/>
  <c r="X118" i="1"/>
  <c r="D26" i="1"/>
  <c r="V27" i="1"/>
  <c r="W27" i="1" s="1"/>
  <c r="U50" i="1"/>
  <c r="P50" i="1"/>
  <c r="H63" i="1"/>
  <c r="F65" i="1"/>
  <c r="G65" i="1" s="1"/>
  <c r="M87" i="1"/>
  <c r="P87" i="1"/>
  <c r="H90" i="1"/>
  <c r="V96" i="1"/>
  <c r="W96" i="1" s="1"/>
  <c r="V99" i="1"/>
  <c r="W99" i="1" s="1"/>
  <c r="K13" i="2"/>
  <c r="L16" i="2"/>
  <c r="M16" i="2" s="1"/>
  <c r="W20" i="2"/>
  <c r="X20" i="2" s="1"/>
  <c r="W26" i="2"/>
  <c r="X26" i="2" s="1"/>
  <c r="S30" i="2"/>
  <c r="T30" i="2" s="1"/>
  <c r="L31" i="2"/>
  <c r="M31" i="2" s="1"/>
  <c r="L32" i="2"/>
  <c r="M32" i="2" s="1"/>
  <c r="Z32" i="2"/>
  <c r="AA32" i="2" s="1"/>
  <c r="I39" i="2"/>
  <c r="J39" i="2" s="1"/>
  <c r="Z39" i="2"/>
  <c r="AA39" i="2" s="1"/>
  <c r="P41" i="2"/>
  <c r="Q41" i="2" s="1"/>
  <c r="I46" i="2"/>
  <c r="J46" i="2" s="1"/>
  <c r="P56" i="2"/>
  <c r="Q56" i="2" s="1"/>
  <c r="I57" i="2"/>
  <c r="J57" i="2" s="1"/>
  <c r="Z57" i="2"/>
  <c r="AA57" i="2" s="1"/>
  <c r="I63" i="2"/>
  <c r="J63" i="2" s="1"/>
  <c r="Z63" i="2"/>
  <c r="AA63" i="2" s="1"/>
  <c r="I75" i="2"/>
  <c r="J75" i="2" s="1"/>
  <c r="W81" i="2"/>
  <c r="X81" i="2" s="1"/>
  <c r="I89" i="2"/>
  <c r="J89" i="2" s="1"/>
  <c r="L102" i="2"/>
  <c r="M102" i="2" s="1"/>
  <c r="I103" i="2"/>
  <c r="J103" i="2" s="1"/>
  <c r="L108" i="2"/>
  <c r="M108" i="2" s="1"/>
  <c r="I109" i="2"/>
  <c r="J109" i="2" s="1"/>
  <c r="Z109" i="2"/>
  <c r="AA109" i="2" s="1"/>
  <c r="W110" i="2"/>
  <c r="X110" i="2" s="1"/>
  <c r="I113" i="2"/>
  <c r="J113" i="2" s="1"/>
  <c r="Z113" i="2"/>
  <c r="AA113" i="2" s="1"/>
  <c r="W114" i="2"/>
  <c r="X114" i="2" s="1"/>
  <c r="I123" i="2"/>
  <c r="J123" i="2" s="1"/>
  <c r="Z123" i="2"/>
  <c r="AA123" i="2" s="1"/>
  <c r="W124" i="2"/>
  <c r="X124" i="2" s="1"/>
  <c r="L126" i="2"/>
  <c r="M126" i="2" s="1"/>
  <c r="I127" i="2"/>
  <c r="J127" i="2" s="1"/>
  <c r="Z127" i="2"/>
  <c r="AA127" i="2" s="1"/>
  <c r="S128" i="2"/>
  <c r="T128" i="2" s="1"/>
  <c r="I163" i="2"/>
  <c r="J163" i="2" s="1"/>
  <c r="S174" i="2"/>
  <c r="T174" i="2" s="1"/>
  <c r="I198" i="2"/>
  <c r="J198" i="2" s="1"/>
  <c r="L240" i="2"/>
  <c r="M240" i="2" s="1"/>
  <c r="S241" i="2"/>
  <c r="T241" i="2" s="1"/>
  <c r="F43" i="1"/>
  <c r="G43" i="1" s="1"/>
  <c r="Y48" i="1"/>
  <c r="Z48" i="1" s="1"/>
  <c r="X50" i="1"/>
  <c r="X46" i="1" s="1"/>
  <c r="Y85" i="1"/>
  <c r="Z85" i="1" s="1"/>
  <c r="I88" i="1"/>
  <c r="J88" i="1" s="1"/>
  <c r="I92" i="1"/>
  <c r="J92" i="1" s="1"/>
  <c r="P151" i="1"/>
  <c r="Z29" i="2"/>
  <c r="AA29" i="2" s="1"/>
  <c r="L42" i="2"/>
  <c r="M42" i="2" s="1"/>
  <c r="L46" i="2"/>
  <c r="M46" i="2" s="1"/>
  <c r="Z47" i="2"/>
  <c r="AA47" i="2" s="1"/>
  <c r="V55" i="2"/>
  <c r="S70" i="2"/>
  <c r="T70" i="2" s="1"/>
  <c r="S84" i="2"/>
  <c r="T84" i="2" s="1"/>
  <c r="Z86" i="2"/>
  <c r="AA86" i="2" s="1"/>
  <c r="S102" i="2"/>
  <c r="T102" i="2" s="1"/>
  <c r="S108" i="2"/>
  <c r="T108" i="2" s="1"/>
  <c r="S115" i="2"/>
  <c r="T115" i="2" s="1"/>
  <c r="S125" i="2"/>
  <c r="T125" i="2" s="1"/>
  <c r="S138" i="2"/>
  <c r="T138" i="2" s="1"/>
  <c r="S141" i="2"/>
  <c r="T141" i="2" s="1"/>
  <c r="L142" i="2"/>
  <c r="M142" i="2" s="1"/>
  <c r="K374" i="2"/>
  <c r="L156" i="2"/>
  <c r="M156" i="2" s="1"/>
  <c r="Z167" i="2"/>
  <c r="AA167" i="2" s="1"/>
  <c r="O267" i="2"/>
  <c r="Y321" i="2"/>
  <c r="Z324" i="2"/>
  <c r="AA324" i="2" s="1"/>
  <c r="S358" i="2"/>
  <c r="T358" i="2" s="1"/>
  <c r="E15" i="1"/>
  <c r="Q19" i="1"/>
  <c r="R19" i="1" s="1"/>
  <c r="AB50" i="1"/>
  <c r="AB46" i="1" s="1"/>
  <c r="P66" i="1"/>
  <c r="AB87" i="1"/>
  <c r="M90" i="1"/>
  <c r="S18" i="2"/>
  <c r="T18" i="2" s="1"/>
  <c r="P19" i="2"/>
  <c r="Q19" i="2" s="1"/>
  <c r="W30" i="2"/>
  <c r="X30" i="2" s="1"/>
  <c r="W34" i="2"/>
  <c r="X34" i="2" s="1"/>
  <c r="P46" i="2"/>
  <c r="Q46" i="2" s="1"/>
  <c r="V366" i="2"/>
  <c r="K62" i="2"/>
  <c r="L64" i="2"/>
  <c r="M64" i="2" s="1"/>
  <c r="K68" i="2"/>
  <c r="K369" i="2" s="1"/>
  <c r="W70" i="2"/>
  <c r="X70" i="2" s="1"/>
  <c r="S76" i="2"/>
  <c r="T76" i="2" s="1"/>
  <c r="I78" i="2"/>
  <c r="J78" i="2" s="1"/>
  <c r="P80" i="2"/>
  <c r="Q80" i="2" s="1"/>
  <c r="L83" i="2"/>
  <c r="M83" i="2" s="1"/>
  <c r="W84" i="2"/>
  <c r="X84" i="2" s="1"/>
  <c r="Z101" i="2"/>
  <c r="AA101" i="2" s="1"/>
  <c r="Z107" i="2"/>
  <c r="AA107" i="2" s="1"/>
  <c r="Z115" i="2"/>
  <c r="AA115" i="2" s="1"/>
  <c r="V153" i="2"/>
  <c r="N153" i="2"/>
  <c r="S153" i="2" s="1"/>
  <c r="T153" i="2" s="1"/>
  <c r="P166" i="2"/>
  <c r="Q166" i="2" s="1"/>
  <c r="U206" i="2"/>
  <c r="I236" i="2"/>
  <c r="J236" i="2" s="1"/>
  <c r="Z273" i="2"/>
  <c r="AA273" i="2" s="1"/>
  <c r="N278" i="2"/>
  <c r="I292" i="2"/>
  <c r="J292" i="2" s="1"/>
  <c r="Z322" i="2"/>
  <c r="AA322" i="2" s="1"/>
  <c r="Z185" i="2"/>
  <c r="AA185" i="2" s="1"/>
  <c r="U22" i="1"/>
  <c r="I38" i="1"/>
  <c r="J38" i="1" s="1"/>
  <c r="H50" i="1"/>
  <c r="H46" i="1" s="1"/>
  <c r="Y67" i="1"/>
  <c r="Z67" i="1" s="1"/>
  <c r="X74" i="1"/>
  <c r="X70" i="1" s="1"/>
  <c r="Y76" i="1"/>
  <c r="Z76" i="1" s="1"/>
  <c r="I86" i="1"/>
  <c r="J86" i="1" s="1"/>
  <c r="U151" i="1"/>
  <c r="L48" i="2"/>
  <c r="M48" i="2" s="1"/>
  <c r="Z121" i="2"/>
  <c r="AA121" i="2" s="1"/>
  <c r="P130" i="2"/>
  <c r="Q130" i="2" s="1"/>
  <c r="S139" i="2"/>
  <c r="T139" i="2" s="1"/>
  <c r="P140" i="2"/>
  <c r="Q140" i="2" s="1"/>
  <c r="O374" i="2"/>
  <c r="P163" i="2"/>
  <c r="Q163" i="2" s="1"/>
  <c r="Z171" i="2"/>
  <c r="AA171" i="2" s="1"/>
  <c r="Y224" i="2"/>
  <c r="Z264" i="2"/>
  <c r="AA264" i="2" s="1"/>
  <c r="L273" i="2"/>
  <c r="M273" i="2" s="1"/>
  <c r="S275" i="2"/>
  <c r="T275" i="2" s="1"/>
  <c r="P275" i="2"/>
  <c r="Q275" i="2" s="1"/>
  <c r="P281" i="2"/>
  <c r="Q281" i="2" s="1"/>
  <c r="O291" i="2"/>
  <c r="W336" i="2"/>
  <c r="X336" i="2" s="1"/>
  <c r="Z340" i="2"/>
  <c r="AA340" i="2" s="1"/>
  <c r="H22" i="1"/>
  <c r="H70" i="1"/>
  <c r="L115" i="1"/>
  <c r="N19" i="1"/>
  <c r="O19" i="1" s="1"/>
  <c r="H119" i="1"/>
  <c r="H117" i="1" s="1"/>
  <c r="AB123" i="1"/>
  <c r="X127" i="1"/>
  <c r="H42" i="1"/>
  <c r="AB42" i="1"/>
  <c r="V44" i="1"/>
  <c r="W44" i="1" s="1"/>
  <c r="V49" i="1"/>
  <c r="W49" i="1" s="1"/>
  <c r="AB74" i="1"/>
  <c r="Q88" i="1"/>
  <c r="R88" i="1" s="1"/>
  <c r="E116" i="1"/>
  <c r="F100" i="1"/>
  <c r="G100" i="1" s="1"/>
  <c r="Y100" i="1"/>
  <c r="Z100" i="1" s="1"/>
  <c r="Y104" i="1"/>
  <c r="Z104" i="1" s="1"/>
  <c r="D151" i="1"/>
  <c r="X151" i="1"/>
  <c r="I15" i="2"/>
  <c r="J15" i="2" s="1"/>
  <c r="Z15" i="2"/>
  <c r="AA15" i="2" s="1"/>
  <c r="W16" i="2"/>
  <c r="X16" i="2" s="1"/>
  <c r="I18" i="2"/>
  <c r="J18" i="2" s="1"/>
  <c r="L20" i="2"/>
  <c r="M20" i="2" s="1"/>
  <c r="I21" i="2"/>
  <c r="J21" i="2" s="1"/>
  <c r="Z21" i="2"/>
  <c r="AA21" i="2" s="1"/>
  <c r="S22" i="2"/>
  <c r="T22" i="2" s="1"/>
  <c r="I27" i="2"/>
  <c r="J27" i="2" s="1"/>
  <c r="I30" i="2"/>
  <c r="J30" i="2" s="1"/>
  <c r="Z34" i="2"/>
  <c r="AA34" i="2" s="1"/>
  <c r="Z35" i="2"/>
  <c r="AA35" i="2" s="1"/>
  <c r="S36" i="2"/>
  <c r="T36" i="2" s="1"/>
  <c r="W38" i="2"/>
  <c r="X38" i="2" s="1"/>
  <c r="W41" i="2"/>
  <c r="X41" i="2" s="1"/>
  <c r="P43" i="2"/>
  <c r="Q43" i="2" s="1"/>
  <c r="S46" i="2"/>
  <c r="T46" i="2" s="1"/>
  <c r="P47" i="2"/>
  <c r="Q47" i="2" s="1"/>
  <c r="Z48" i="2"/>
  <c r="AA48" i="2" s="1"/>
  <c r="W56" i="2"/>
  <c r="X56" i="2" s="1"/>
  <c r="O55" i="2"/>
  <c r="O62" i="2"/>
  <c r="O68" i="2"/>
  <c r="I79" i="2"/>
  <c r="J79" i="2" s="1"/>
  <c r="P81" i="2"/>
  <c r="Q81" i="2" s="1"/>
  <c r="I101" i="2"/>
  <c r="J101" i="2" s="1"/>
  <c r="W102" i="2"/>
  <c r="X102" i="2" s="1"/>
  <c r="I107" i="2"/>
  <c r="J107" i="2" s="1"/>
  <c r="I138" i="2"/>
  <c r="J138" i="2" s="1"/>
  <c r="W139" i="2"/>
  <c r="X139" i="2" s="1"/>
  <c r="W162" i="2"/>
  <c r="X162" i="2" s="1"/>
  <c r="I165" i="2"/>
  <c r="J165" i="2" s="1"/>
  <c r="Y159" i="2"/>
  <c r="I208" i="2"/>
  <c r="J208" i="2" s="1"/>
  <c r="W240" i="2"/>
  <c r="X240" i="2" s="1"/>
  <c r="H247" i="2"/>
  <c r="P273" i="2"/>
  <c r="Q273" i="2" s="1"/>
  <c r="P282" i="2"/>
  <c r="Q282" i="2" s="1"/>
  <c r="W329" i="2"/>
  <c r="X329" i="2" s="1"/>
  <c r="I336" i="2"/>
  <c r="J336" i="2" s="1"/>
  <c r="K339" i="2"/>
  <c r="L339" i="2" s="1"/>
  <c r="M339" i="2" s="1"/>
  <c r="L340" i="2"/>
  <c r="M340" i="2" s="1"/>
  <c r="I358" i="2"/>
  <c r="J358" i="2" s="1"/>
  <c r="U185" i="2"/>
  <c r="W186" i="2"/>
  <c r="X186" i="2" s="1"/>
  <c r="M18" i="1"/>
  <c r="N18" i="1" s="1"/>
  <c r="O18" i="1" s="1"/>
  <c r="M119" i="1"/>
  <c r="M117" i="1" s="1"/>
  <c r="M126" i="1"/>
  <c r="F56" i="1"/>
  <c r="G56" i="1" s="1"/>
  <c r="V68" i="1"/>
  <c r="W68" i="1" s="1"/>
  <c r="Q86" i="1"/>
  <c r="R86" i="1" s="1"/>
  <c r="D87" i="1"/>
  <c r="P14" i="2"/>
  <c r="Q14" i="2" s="1"/>
  <c r="W19" i="2"/>
  <c r="X19" i="2" s="1"/>
  <c r="I31" i="2"/>
  <c r="J31" i="2" s="1"/>
  <c r="I35" i="2"/>
  <c r="J35" i="2" s="1"/>
  <c r="I38" i="2"/>
  <c r="J38" i="2" s="1"/>
  <c r="P48" i="2"/>
  <c r="Q48" i="2" s="1"/>
  <c r="G366" i="2"/>
  <c r="P64" i="2"/>
  <c r="Q64" i="2" s="1"/>
  <c r="I71" i="2"/>
  <c r="J71" i="2" s="1"/>
  <c r="P78" i="2"/>
  <c r="Q78" i="2" s="1"/>
  <c r="I85" i="2"/>
  <c r="J85" i="2" s="1"/>
  <c r="I88" i="2"/>
  <c r="J88" i="2" s="1"/>
  <c r="G118" i="2"/>
  <c r="P121" i="2"/>
  <c r="Q121" i="2" s="1"/>
  <c r="W123" i="2"/>
  <c r="X123" i="2" s="1"/>
  <c r="P124" i="2"/>
  <c r="Q124" i="2" s="1"/>
  <c r="P131" i="2"/>
  <c r="Q131" i="2" s="1"/>
  <c r="I132" i="2"/>
  <c r="J132" i="2" s="1"/>
  <c r="W133" i="2"/>
  <c r="X133" i="2" s="1"/>
  <c r="P134" i="2"/>
  <c r="Q134" i="2" s="1"/>
  <c r="W136" i="2"/>
  <c r="X136" i="2" s="1"/>
  <c r="L144" i="2"/>
  <c r="M144" i="2" s="1"/>
  <c r="U159" i="2"/>
  <c r="I166" i="2"/>
  <c r="J166" i="2" s="1"/>
  <c r="I169" i="2"/>
  <c r="J169" i="2" s="1"/>
  <c r="Z172" i="2"/>
  <c r="AA172" i="2" s="1"/>
  <c r="W173" i="2"/>
  <c r="X173" i="2" s="1"/>
  <c r="P174" i="2"/>
  <c r="Q174" i="2" s="1"/>
  <c r="P193" i="2"/>
  <c r="Q193" i="2" s="1"/>
  <c r="I194" i="2"/>
  <c r="J194" i="2" s="1"/>
  <c r="R202" i="2"/>
  <c r="Y214" i="2"/>
  <c r="I250" i="2"/>
  <c r="J250" i="2" s="1"/>
  <c r="AB267" i="2"/>
  <c r="I297" i="2"/>
  <c r="J297" i="2" s="1"/>
  <c r="U374" i="2"/>
  <c r="S162" i="2"/>
  <c r="T162" i="2" s="1"/>
  <c r="I164" i="2"/>
  <c r="J164" i="2" s="1"/>
  <c r="L166" i="2"/>
  <c r="M166" i="2" s="1"/>
  <c r="W172" i="2"/>
  <c r="X172" i="2" s="1"/>
  <c r="L174" i="2"/>
  <c r="M174" i="2" s="1"/>
  <c r="W194" i="2"/>
  <c r="X194" i="2" s="1"/>
  <c r="P195" i="2"/>
  <c r="Q195" i="2" s="1"/>
  <c r="L198" i="2"/>
  <c r="M198" i="2" s="1"/>
  <c r="AB206" i="2"/>
  <c r="I210" i="2"/>
  <c r="J210" i="2" s="1"/>
  <c r="I226" i="2"/>
  <c r="J226" i="2" s="1"/>
  <c r="O247" i="2"/>
  <c r="O288" i="2" s="1"/>
  <c r="L249" i="2"/>
  <c r="M249" i="2" s="1"/>
  <c r="AB247" i="2"/>
  <c r="Z257" i="2"/>
  <c r="AA257" i="2" s="1"/>
  <c r="P271" i="2"/>
  <c r="Q271" i="2" s="1"/>
  <c r="I272" i="2"/>
  <c r="J272" i="2" s="1"/>
  <c r="P295" i="2"/>
  <c r="Q295" i="2" s="1"/>
  <c r="W297" i="2"/>
  <c r="X297" i="2" s="1"/>
  <c r="W307" i="2"/>
  <c r="X307" i="2" s="1"/>
  <c r="P308" i="2"/>
  <c r="Q308" i="2" s="1"/>
  <c r="W310" i="2"/>
  <c r="X310" i="2" s="1"/>
  <c r="P311" i="2"/>
  <c r="Q311" i="2" s="1"/>
  <c r="Z329" i="2"/>
  <c r="AA329" i="2" s="1"/>
  <c r="Z336" i="2"/>
  <c r="AA336" i="2" s="1"/>
  <c r="I340" i="2"/>
  <c r="J340" i="2" s="1"/>
  <c r="O343" i="2"/>
  <c r="S346" i="2"/>
  <c r="T346" i="2" s="1"/>
  <c r="L358" i="2"/>
  <c r="M358" i="2" s="1"/>
  <c r="Z358" i="2"/>
  <c r="AA358" i="2" s="1"/>
  <c r="Z124" i="2"/>
  <c r="AA124" i="2" s="1"/>
  <c r="P129" i="2"/>
  <c r="Q129" i="2" s="1"/>
  <c r="I130" i="2"/>
  <c r="J130" i="2" s="1"/>
  <c r="L132" i="2"/>
  <c r="M132" i="2" s="1"/>
  <c r="I133" i="2"/>
  <c r="J133" i="2" s="1"/>
  <c r="Z133" i="2"/>
  <c r="AA133" i="2" s="1"/>
  <c r="Z136" i="2"/>
  <c r="AA136" i="2" s="1"/>
  <c r="W137" i="2"/>
  <c r="X137" i="2" s="1"/>
  <c r="L139" i="2"/>
  <c r="M139" i="2" s="1"/>
  <c r="I140" i="2"/>
  <c r="J140" i="2" s="1"/>
  <c r="Z142" i="2"/>
  <c r="AA142" i="2" s="1"/>
  <c r="H374" i="2"/>
  <c r="I374" i="2" s="1"/>
  <c r="J374" i="2" s="1"/>
  <c r="AB374" i="2"/>
  <c r="S154" i="2"/>
  <c r="T154" i="2" s="1"/>
  <c r="L161" i="2"/>
  <c r="M161" i="2" s="1"/>
  <c r="S166" i="2"/>
  <c r="T166" i="2" s="1"/>
  <c r="I168" i="2"/>
  <c r="J168" i="2" s="1"/>
  <c r="I173" i="2"/>
  <c r="J173" i="2" s="1"/>
  <c r="Z177" i="2"/>
  <c r="AA177" i="2" s="1"/>
  <c r="I189" i="2"/>
  <c r="J189" i="2" s="1"/>
  <c r="Z189" i="2"/>
  <c r="AA189" i="2" s="1"/>
  <c r="W209" i="2"/>
  <c r="X209" i="2" s="1"/>
  <c r="S225" i="2"/>
  <c r="T225" i="2" s="1"/>
  <c r="L228" i="2"/>
  <c r="M228" i="2" s="1"/>
  <c r="P240" i="2"/>
  <c r="Q240" i="2" s="1"/>
  <c r="W241" i="2"/>
  <c r="X241" i="2" s="1"/>
  <c r="V247" i="2"/>
  <c r="I268" i="2"/>
  <c r="J268" i="2" s="1"/>
  <c r="W273" i="2"/>
  <c r="X273" i="2" s="1"/>
  <c r="L280" i="2"/>
  <c r="M280" i="2" s="1"/>
  <c r="P286" i="2"/>
  <c r="Q286" i="2" s="1"/>
  <c r="S293" i="2"/>
  <c r="T293" i="2" s="1"/>
  <c r="W295" i="2"/>
  <c r="X295" i="2" s="1"/>
  <c r="P299" i="2"/>
  <c r="Q299" i="2" s="1"/>
  <c r="Z305" i="2"/>
  <c r="AA305" i="2" s="1"/>
  <c r="L315" i="2"/>
  <c r="M315" i="2" s="1"/>
  <c r="S323" i="2"/>
  <c r="T323" i="2" s="1"/>
  <c r="L324" i="2"/>
  <c r="M324" i="2" s="1"/>
  <c r="Z325" i="2"/>
  <c r="AA325" i="2" s="1"/>
  <c r="O328" i="2"/>
  <c r="H339" i="2"/>
  <c r="I346" i="2"/>
  <c r="J346" i="2" s="1"/>
  <c r="P353" i="2"/>
  <c r="Q353" i="2" s="1"/>
  <c r="L208" i="2"/>
  <c r="M208" i="2" s="1"/>
  <c r="S215" i="2"/>
  <c r="T215" i="2" s="1"/>
  <c r="S230" i="2"/>
  <c r="T230" i="2" s="1"/>
  <c r="Y247" i="2"/>
  <c r="Z249" i="2"/>
  <c r="AA249" i="2" s="1"/>
  <c r="L305" i="2"/>
  <c r="M305" i="2" s="1"/>
  <c r="L310" i="2"/>
  <c r="M310" i="2" s="1"/>
  <c r="L330" i="2"/>
  <c r="M330" i="2" s="1"/>
  <c r="Y343" i="2"/>
  <c r="AB401" i="2"/>
  <c r="S120" i="2"/>
  <c r="T120" i="2" s="1"/>
  <c r="I125" i="2"/>
  <c r="J125" i="2" s="1"/>
  <c r="W126" i="2"/>
  <c r="X126" i="2" s="1"/>
  <c r="L130" i="2"/>
  <c r="M130" i="2" s="1"/>
  <c r="I137" i="2"/>
  <c r="J137" i="2" s="1"/>
  <c r="L140" i="2"/>
  <c r="M140" i="2" s="1"/>
  <c r="W141" i="2"/>
  <c r="X141" i="2" s="1"/>
  <c r="Z143" i="2"/>
  <c r="AA143" i="2" s="1"/>
  <c r="L162" i="2"/>
  <c r="M162" i="2" s="1"/>
  <c r="U192" i="2"/>
  <c r="N192" i="2"/>
  <c r="P197" i="2"/>
  <c r="Q197" i="2" s="1"/>
  <c r="W198" i="2"/>
  <c r="X198" i="2" s="1"/>
  <c r="P199" i="2"/>
  <c r="Q199" i="2" s="1"/>
  <c r="W207" i="2"/>
  <c r="X207" i="2" s="1"/>
  <c r="P208" i="2"/>
  <c r="Q208" i="2" s="1"/>
  <c r="P211" i="2"/>
  <c r="Q211" i="2" s="1"/>
  <c r="P219" i="2"/>
  <c r="Q219" i="2" s="1"/>
  <c r="H233" i="2"/>
  <c r="W235" i="2"/>
  <c r="X235" i="2" s="1"/>
  <c r="P238" i="2"/>
  <c r="Q238" i="2" s="1"/>
  <c r="Z241" i="2"/>
  <c r="AA241" i="2" s="1"/>
  <c r="I248" i="2"/>
  <c r="J248" i="2" s="1"/>
  <c r="S257" i="2"/>
  <c r="T257" i="2" s="1"/>
  <c r="K267" i="2"/>
  <c r="L267" i="2" s="1"/>
  <c r="M267" i="2" s="1"/>
  <c r="L275" i="2"/>
  <c r="M275" i="2" s="1"/>
  <c r="I282" i="2"/>
  <c r="J282" i="2" s="1"/>
  <c r="P305" i="2"/>
  <c r="Q305" i="2" s="1"/>
  <c r="Z308" i="2"/>
  <c r="AA308" i="2" s="1"/>
  <c r="L313" i="2"/>
  <c r="M313" i="2" s="1"/>
  <c r="Z313" i="2"/>
  <c r="AA313" i="2" s="1"/>
  <c r="P315" i="2"/>
  <c r="Q315" i="2" s="1"/>
  <c r="L325" i="2"/>
  <c r="M325" i="2" s="1"/>
  <c r="S329" i="2"/>
  <c r="T329" i="2" s="1"/>
  <c r="I352" i="2"/>
  <c r="J352" i="2" s="1"/>
  <c r="D118" i="1"/>
  <c r="I19" i="1"/>
  <c r="J19" i="1" s="1"/>
  <c r="Q68" i="1"/>
  <c r="R68" i="1" s="1"/>
  <c r="N68" i="1"/>
  <c r="O68" i="1" s="1"/>
  <c r="P249" i="2"/>
  <c r="Q249" i="2" s="1"/>
  <c r="S249" i="2"/>
  <c r="T249" i="2" s="1"/>
  <c r="L308" i="2"/>
  <c r="M308" i="2" s="1"/>
  <c r="K303" i="2"/>
  <c r="AB112" i="1"/>
  <c r="V14" i="1"/>
  <c r="W14" i="1" s="1"/>
  <c r="D119" i="1"/>
  <c r="I119" i="1" s="1"/>
  <c r="J119" i="1" s="1"/>
  <c r="X119" i="1"/>
  <c r="X117" i="1" s="1"/>
  <c r="N25" i="1"/>
  <c r="O25" i="1" s="1"/>
  <c r="Q71" i="1"/>
  <c r="R71" i="1" s="1"/>
  <c r="N71" i="1"/>
  <c r="O71" i="1" s="1"/>
  <c r="V76" i="1"/>
  <c r="W76" i="1" s="1"/>
  <c r="O13" i="2"/>
  <c r="W87" i="2"/>
  <c r="X87" i="2" s="1"/>
  <c r="H118" i="2"/>
  <c r="I118" i="2" s="1"/>
  <c r="J118" i="2" s="1"/>
  <c r="S122" i="2"/>
  <c r="T122" i="2" s="1"/>
  <c r="P122" i="2"/>
  <c r="Q122" i="2" s="1"/>
  <c r="Z154" i="2"/>
  <c r="AA154" i="2" s="1"/>
  <c r="Y153" i="2"/>
  <c r="U214" i="2"/>
  <c r="W215" i="2"/>
  <c r="X215" i="2" s="1"/>
  <c r="U224" i="2"/>
  <c r="W225" i="2"/>
  <c r="X225" i="2" s="1"/>
  <c r="Z225" i="2"/>
  <c r="AA225" i="2" s="1"/>
  <c r="Q49" i="1"/>
  <c r="R49" i="1" s="1"/>
  <c r="N49" i="1"/>
  <c r="O49" i="1" s="1"/>
  <c r="Q73" i="1"/>
  <c r="R73" i="1" s="1"/>
  <c r="N73" i="1"/>
  <c r="O73" i="1" s="1"/>
  <c r="P128" i="2"/>
  <c r="Q128" i="2" s="1"/>
  <c r="X112" i="1"/>
  <c r="T113" i="1"/>
  <c r="Y113" i="1" s="1"/>
  <c r="Z113" i="1" s="1"/>
  <c r="Y14" i="1"/>
  <c r="Z14" i="1" s="1"/>
  <c r="D116" i="1"/>
  <c r="I17" i="1"/>
  <c r="J17" i="1" s="1"/>
  <c r="AB118" i="1"/>
  <c r="M122" i="1"/>
  <c r="E123" i="1"/>
  <c r="V48" i="1"/>
  <c r="W48" i="1" s="1"/>
  <c r="U46" i="1"/>
  <c r="I71" i="1"/>
  <c r="J71" i="1" s="1"/>
  <c r="V72" i="1"/>
  <c r="W72" i="1" s="1"/>
  <c r="N13" i="2"/>
  <c r="O25" i="2"/>
  <c r="K25" i="2"/>
  <c r="I13" i="1"/>
  <c r="J13" i="1" s="1"/>
  <c r="Y24" i="1"/>
  <c r="Z24" i="1" s="1"/>
  <c r="M26" i="1"/>
  <c r="V89" i="1"/>
  <c r="W89" i="1" s="1"/>
  <c r="U87" i="1"/>
  <c r="N99" i="1"/>
  <c r="O99" i="1" s="1"/>
  <c r="Z28" i="2"/>
  <c r="AA28" i="2" s="1"/>
  <c r="D113" i="1"/>
  <c r="Y20" i="1"/>
  <c r="Z20" i="1" s="1"/>
  <c r="N21" i="1"/>
  <c r="O21" i="1" s="1"/>
  <c r="P122" i="1"/>
  <c r="P124" i="1"/>
  <c r="Q47" i="1"/>
  <c r="R47" i="1" s="1"/>
  <c r="N47" i="1"/>
  <c r="O47" i="1" s="1"/>
  <c r="I51" i="1"/>
  <c r="J51" i="1" s="1"/>
  <c r="I64" i="1"/>
  <c r="J64" i="1" s="1"/>
  <c r="F89" i="1"/>
  <c r="G89" i="1" s="1"/>
  <c r="P94" i="1"/>
  <c r="G13" i="2"/>
  <c r="G25" i="2"/>
  <c r="S34" i="2"/>
  <c r="T34" i="2" s="1"/>
  <c r="P34" i="2"/>
  <c r="Q34" i="2" s="1"/>
  <c r="W36" i="2"/>
  <c r="X36" i="2" s="1"/>
  <c r="L82" i="2"/>
  <c r="M82" i="2" s="1"/>
  <c r="Z87" i="2"/>
  <c r="AA87" i="2" s="1"/>
  <c r="S88" i="2"/>
  <c r="T88" i="2" s="1"/>
  <c r="W134" i="2"/>
  <c r="X134" i="2" s="1"/>
  <c r="P138" i="2"/>
  <c r="Q138" i="2" s="1"/>
  <c r="W140" i="2"/>
  <c r="X140" i="2" s="1"/>
  <c r="L181" i="2"/>
  <c r="M181" i="2" s="1"/>
  <c r="K180" i="2"/>
  <c r="L296" i="2"/>
  <c r="M296" i="2" s="1"/>
  <c r="K291" i="2"/>
  <c r="Q75" i="1"/>
  <c r="R75" i="1" s="1"/>
  <c r="N75" i="1"/>
  <c r="O75" i="1" s="1"/>
  <c r="S132" i="2"/>
  <c r="T132" i="2" s="1"/>
  <c r="P132" i="2"/>
  <c r="Q132" i="2" s="1"/>
  <c r="Z330" i="2"/>
  <c r="AA330" i="2" s="1"/>
  <c r="Y328" i="2"/>
  <c r="Y28" i="1"/>
  <c r="Z28" i="1" s="1"/>
  <c r="V92" i="1"/>
  <c r="W92" i="1" s="1"/>
  <c r="T90" i="1"/>
  <c r="D18" i="1"/>
  <c r="D39" i="1"/>
  <c r="I40" i="1"/>
  <c r="J40" i="1" s="1"/>
  <c r="N13" i="1"/>
  <c r="O13" i="1" s="1"/>
  <c r="H113" i="1"/>
  <c r="M116" i="1"/>
  <c r="H18" i="1"/>
  <c r="M94" i="1"/>
  <c r="M102" i="1" s="1"/>
  <c r="M106" i="1" s="1"/>
  <c r="I19" i="2"/>
  <c r="J19" i="2" s="1"/>
  <c r="Y25" i="2"/>
  <c r="S28" i="2"/>
  <c r="T28" i="2" s="1"/>
  <c r="P28" i="2"/>
  <c r="Q28" i="2" s="1"/>
  <c r="I59" i="2"/>
  <c r="J59" i="2" s="1"/>
  <c r="K74" i="2"/>
  <c r="I124" i="2"/>
  <c r="J124" i="2" s="1"/>
  <c r="L124" i="2"/>
  <c r="M124" i="2" s="1"/>
  <c r="O153" i="2"/>
  <c r="P154" i="2"/>
  <c r="Q154" i="2" s="1"/>
  <c r="O233" i="2"/>
  <c r="I254" i="2"/>
  <c r="J254" i="2" s="1"/>
  <c r="Y253" i="2"/>
  <c r="Z254" i="2"/>
  <c r="AA254" i="2" s="1"/>
  <c r="I271" i="2"/>
  <c r="J271" i="2" s="1"/>
  <c r="G267" i="2"/>
  <c r="L322" i="2"/>
  <c r="M322" i="2" s="1"/>
  <c r="K321" i="2"/>
  <c r="L321" i="2" s="1"/>
  <c r="M321" i="2" s="1"/>
  <c r="M125" i="1"/>
  <c r="P161" i="2"/>
  <c r="Q161" i="2" s="1"/>
  <c r="N159" i="2"/>
  <c r="T116" i="1"/>
  <c r="T15" i="1"/>
  <c r="N27" i="1"/>
  <c r="O27" i="1" s="1"/>
  <c r="T131" i="1"/>
  <c r="Y32" i="1"/>
  <c r="Z32" i="1" s="1"/>
  <c r="Q62" i="1"/>
  <c r="R62" i="1" s="1"/>
  <c r="N62" i="1"/>
  <c r="O62" i="1" s="1"/>
  <c r="T42" i="1"/>
  <c r="U100" i="2"/>
  <c r="S114" i="2"/>
  <c r="T114" i="2" s="1"/>
  <c r="P114" i="2"/>
  <c r="Q114" i="2" s="1"/>
  <c r="S144" i="2"/>
  <c r="T144" i="2" s="1"/>
  <c r="P144" i="2"/>
  <c r="Q144" i="2" s="1"/>
  <c r="I239" i="2"/>
  <c r="J239" i="2" s="1"/>
  <c r="L239" i="2"/>
  <c r="M239" i="2" s="1"/>
  <c r="D115" i="1"/>
  <c r="X115" i="1"/>
  <c r="X15" i="1"/>
  <c r="Y15" i="1" s="1"/>
  <c r="Z15" i="1" s="1"/>
  <c r="N17" i="1"/>
  <c r="O17" i="1" s="1"/>
  <c r="T118" i="1"/>
  <c r="L126" i="1"/>
  <c r="F28" i="1"/>
  <c r="G28" i="1" s="1"/>
  <c r="M131" i="1"/>
  <c r="L46" i="1"/>
  <c r="D70" i="1"/>
  <c r="I70" i="1" s="1"/>
  <c r="J70" i="1" s="1"/>
  <c r="I97" i="1"/>
  <c r="J97" i="1" s="1"/>
  <c r="I17" i="2"/>
  <c r="J17" i="2" s="1"/>
  <c r="P20" i="2"/>
  <c r="Q20" i="2" s="1"/>
  <c r="L21" i="2"/>
  <c r="M21" i="2" s="1"/>
  <c r="I33" i="2"/>
  <c r="J33" i="2" s="1"/>
  <c r="S42" i="2"/>
  <c r="T42" i="2" s="1"/>
  <c r="P42" i="2"/>
  <c r="Q42" i="2" s="1"/>
  <c r="W44" i="2"/>
  <c r="X44" i="2" s="1"/>
  <c r="I65" i="2"/>
  <c r="J65" i="2" s="1"/>
  <c r="Y68" i="2"/>
  <c r="Y369" i="2" s="1"/>
  <c r="Z369" i="2" s="1"/>
  <c r="AA369" i="2" s="1"/>
  <c r="U74" i="2"/>
  <c r="P103" i="2"/>
  <c r="Q103" i="2" s="1"/>
  <c r="U106" i="2"/>
  <c r="W125" i="2"/>
  <c r="X125" i="2" s="1"/>
  <c r="Z125" i="2"/>
  <c r="AA125" i="2" s="1"/>
  <c r="I131" i="2"/>
  <c r="J131" i="2" s="1"/>
  <c r="L235" i="2"/>
  <c r="M235" i="2" s="1"/>
  <c r="K233" i="2"/>
  <c r="L233" i="2" s="1"/>
  <c r="M233" i="2" s="1"/>
  <c r="W293" i="2"/>
  <c r="X293" i="2" s="1"/>
  <c r="Z293" i="2"/>
  <c r="AA293" i="2" s="1"/>
  <c r="I318" i="2"/>
  <c r="J318" i="2" s="1"/>
  <c r="L318" i="2"/>
  <c r="M318" i="2" s="1"/>
  <c r="I40" i="2"/>
  <c r="J40" i="2" s="1"/>
  <c r="Z44" i="2"/>
  <c r="AA44" i="2" s="1"/>
  <c r="I48" i="2"/>
  <c r="J48" i="2" s="1"/>
  <c r="L59" i="2"/>
  <c r="M59" i="2" s="1"/>
  <c r="S81" i="2"/>
  <c r="T81" i="2" s="1"/>
  <c r="S103" i="2"/>
  <c r="T103" i="2" s="1"/>
  <c r="Z108" i="2"/>
  <c r="AA108" i="2" s="1"/>
  <c r="I112" i="2"/>
  <c r="J112" i="2" s="1"/>
  <c r="Z137" i="2"/>
  <c r="AA137" i="2" s="1"/>
  <c r="K159" i="2"/>
  <c r="L160" i="2"/>
  <c r="M160" i="2" s="1"/>
  <c r="Z159" i="2"/>
  <c r="AA159" i="2" s="1"/>
  <c r="W193" i="2"/>
  <c r="X193" i="2" s="1"/>
  <c r="V192" i="2"/>
  <c r="R224" i="2"/>
  <c r="S227" i="2"/>
  <c r="T227" i="2" s="1"/>
  <c r="Z235" i="2"/>
  <c r="AA235" i="2" s="1"/>
  <c r="Z250" i="2"/>
  <c r="AA250" i="2" s="1"/>
  <c r="W261" i="2"/>
  <c r="X261" i="2" s="1"/>
  <c r="U260" i="2"/>
  <c r="Z260" i="2" s="1"/>
  <c r="AA260" i="2" s="1"/>
  <c r="O278" i="2"/>
  <c r="P278" i="2" s="1"/>
  <c r="Q278" i="2" s="1"/>
  <c r="P279" i="2"/>
  <c r="Q279" i="2" s="1"/>
  <c r="I32" i="2"/>
  <c r="J32" i="2" s="1"/>
  <c r="W35" i="2"/>
  <c r="X35" i="2" s="1"/>
  <c r="Z36" i="2"/>
  <c r="AA36" i="2" s="1"/>
  <c r="W43" i="2"/>
  <c r="X43" i="2" s="1"/>
  <c r="I58" i="2"/>
  <c r="J58" i="2" s="1"/>
  <c r="I64" i="2"/>
  <c r="J64" i="2" s="1"/>
  <c r="L77" i="2"/>
  <c r="M77" i="2" s="1"/>
  <c r="L85" i="2"/>
  <c r="M85" i="2" s="1"/>
  <c r="S89" i="2"/>
  <c r="T89" i="2" s="1"/>
  <c r="Z102" i="2"/>
  <c r="AA102" i="2" s="1"/>
  <c r="W115" i="2"/>
  <c r="X115" i="2" s="1"/>
  <c r="H115" i="1"/>
  <c r="AB115" i="1"/>
  <c r="AB114" i="1" s="1"/>
  <c r="L18" i="1"/>
  <c r="D122" i="1"/>
  <c r="T122" i="1"/>
  <c r="D124" i="1"/>
  <c r="V25" i="1"/>
  <c r="W25" i="1" s="1"/>
  <c r="P126" i="1"/>
  <c r="H127" i="1"/>
  <c r="AB127" i="1"/>
  <c r="F38" i="1"/>
  <c r="G38" i="1" s="1"/>
  <c r="M42" i="1"/>
  <c r="F44" i="1"/>
  <c r="G44" i="1" s="1"/>
  <c r="Q51" i="1"/>
  <c r="R51" i="1" s="1"/>
  <c r="Q64" i="1"/>
  <c r="R64" i="1" s="1"/>
  <c r="F72" i="1"/>
  <c r="G72" i="1" s="1"/>
  <c r="H102" i="1"/>
  <c r="H106" i="1" s="1"/>
  <c r="F92" i="1"/>
  <c r="G92" i="1" s="1"/>
  <c r="V95" i="1"/>
  <c r="W95" i="1" s="1"/>
  <c r="F97" i="1"/>
  <c r="G97" i="1" s="1"/>
  <c r="F104" i="1"/>
  <c r="G104" i="1" s="1"/>
  <c r="V104" i="1"/>
  <c r="W104" i="1" s="1"/>
  <c r="W14" i="2"/>
  <c r="X14" i="2" s="1"/>
  <c r="L15" i="2"/>
  <c r="M15" i="2" s="1"/>
  <c r="S16" i="2"/>
  <c r="T16" i="2" s="1"/>
  <c r="P17" i="2"/>
  <c r="Q17" i="2" s="1"/>
  <c r="W18" i="2"/>
  <c r="X18" i="2" s="1"/>
  <c r="L19" i="2"/>
  <c r="M19" i="2" s="1"/>
  <c r="P21" i="2"/>
  <c r="Q21" i="2" s="1"/>
  <c r="W29" i="2"/>
  <c r="X29" i="2" s="1"/>
  <c r="W32" i="2"/>
  <c r="X32" i="2" s="1"/>
  <c r="L33" i="2"/>
  <c r="M33" i="2" s="1"/>
  <c r="W37" i="2"/>
  <c r="X37" i="2" s="1"/>
  <c r="W40" i="2"/>
  <c r="X40" i="2" s="1"/>
  <c r="L41" i="2"/>
  <c r="M41" i="2" s="1"/>
  <c r="W45" i="2"/>
  <c r="X45" i="2" s="1"/>
  <c r="W48" i="2"/>
  <c r="X48" i="2" s="1"/>
  <c r="L56" i="2"/>
  <c r="M56" i="2" s="1"/>
  <c r="W58" i="2"/>
  <c r="X58" i="2" s="1"/>
  <c r="H62" i="2"/>
  <c r="W64" i="2"/>
  <c r="X64" i="2" s="1"/>
  <c r="L65" i="2"/>
  <c r="M65" i="2" s="1"/>
  <c r="O369" i="2"/>
  <c r="L71" i="2"/>
  <c r="M71" i="2" s="1"/>
  <c r="O74" i="2"/>
  <c r="I76" i="2"/>
  <c r="J76" i="2" s="1"/>
  <c r="P77" i="2"/>
  <c r="Q77" i="2" s="1"/>
  <c r="I84" i="2"/>
  <c r="J84" i="2" s="1"/>
  <c r="P85" i="2"/>
  <c r="Q85" i="2" s="1"/>
  <c r="AB100" i="2"/>
  <c r="AB371" i="2" s="1"/>
  <c r="AB106" i="2"/>
  <c r="W109" i="2"/>
  <c r="X109" i="2" s="1"/>
  <c r="W112" i="2"/>
  <c r="X112" i="2" s="1"/>
  <c r="L113" i="2"/>
  <c r="M113" i="2" s="1"/>
  <c r="V118" i="2"/>
  <c r="L121" i="2"/>
  <c r="M121" i="2" s="1"/>
  <c r="AB118" i="2"/>
  <c r="S123" i="2"/>
  <c r="T123" i="2" s="1"/>
  <c r="P127" i="2"/>
  <c r="Q127" i="2" s="1"/>
  <c r="I128" i="2"/>
  <c r="J128" i="2" s="1"/>
  <c r="W129" i="2"/>
  <c r="X129" i="2" s="1"/>
  <c r="L131" i="2"/>
  <c r="M131" i="2" s="1"/>
  <c r="Z134" i="2"/>
  <c r="AA134" i="2" s="1"/>
  <c r="I139" i="2"/>
  <c r="J139" i="2" s="1"/>
  <c r="Z140" i="2"/>
  <c r="AA140" i="2" s="1"/>
  <c r="W142" i="2"/>
  <c r="X142" i="2" s="1"/>
  <c r="S160" i="2"/>
  <c r="T160" i="2" s="1"/>
  <c r="P160" i="2"/>
  <c r="Q160" i="2" s="1"/>
  <c r="Z163" i="2"/>
  <c r="AA163" i="2" s="1"/>
  <c r="Z165" i="2"/>
  <c r="AA165" i="2" s="1"/>
  <c r="L171" i="2"/>
  <c r="M171" i="2" s="1"/>
  <c r="AB192" i="2"/>
  <c r="W196" i="2"/>
  <c r="X196" i="2" s="1"/>
  <c r="P203" i="2"/>
  <c r="Q203" i="2" s="1"/>
  <c r="W227" i="2"/>
  <c r="X227" i="2" s="1"/>
  <c r="G233" i="2"/>
  <c r="S237" i="2"/>
  <c r="T237" i="2" s="1"/>
  <c r="P237" i="2"/>
  <c r="Q237" i="2" s="1"/>
  <c r="K247" i="2"/>
  <c r="L254" i="2"/>
  <c r="M254" i="2" s="1"/>
  <c r="P264" i="2"/>
  <c r="Q264" i="2" s="1"/>
  <c r="P269" i="2"/>
  <c r="Q269" i="2" s="1"/>
  <c r="Z275" i="2"/>
  <c r="AA275" i="2" s="1"/>
  <c r="Y278" i="2"/>
  <c r="Z280" i="2"/>
  <c r="AA280" i="2" s="1"/>
  <c r="W298" i="2"/>
  <c r="X298" i="2" s="1"/>
  <c r="G303" i="2"/>
  <c r="I310" i="2"/>
  <c r="J310" i="2" s="1"/>
  <c r="G343" i="2"/>
  <c r="I343" i="2" s="1"/>
  <c r="J343" i="2" s="1"/>
  <c r="I344" i="2"/>
  <c r="J344" i="2" s="1"/>
  <c r="Z38" i="2"/>
  <c r="AA38" i="2" s="1"/>
  <c r="Z46" i="2"/>
  <c r="AA46" i="2" s="1"/>
  <c r="P52" i="2"/>
  <c r="Q52" i="2" s="1"/>
  <c r="U369" i="2"/>
  <c r="L79" i="2"/>
  <c r="M79" i="2" s="1"/>
  <c r="S83" i="2"/>
  <c r="T83" i="2" s="1"/>
  <c r="P102" i="2"/>
  <c r="Q102" i="2" s="1"/>
  <c r="P108" i="2"/>
  <c r="Q108" i="2" s="1"/>
  <c r="Z110" i="2"/>
  <c r="AA110" i="2" s="1"/>
  <c r="I119" i="2"/>
  <c r="J119" i="2" s="1"/>
  <c r="P126" i="2"/>
  <c r="Q126" i="2" s="1"/>
  <c r="Z126" i="2"/>
  <c r="AA126" i="2" s="1"/>
  <c r="L136" i="2"/>
  <c r="M136" i="2" s="1"/>
  <c r="L137" i="2"/>
  <c r="M137" i="2" s="1"/>
  <c r="P156" i="2"/>
  <c r="Q156" i="2" s="1"/>
  <c r="Z156" i="2"/>
  <c r="AA156" i="2" s="1"/>
  <c r="O159" i="2"/>
  <c r="N185" i="2"/>
  <c r="P186" i="2"/>
  <c r="Q186" i="2" s="1"/>
  <c r="L250" i="2"/>
  <c r="M250" i="2" s="1"/>
  <c r="V267" i="2"/>
  <c r="I286" i="2"/>
  <c r="J286" i="2" s="1"/>
  <c r="L286" i="2"/>
  <c r="M286" i="2" s="1"/>
  <c r="I126" i="1"/>
  <c r="J126" i="1" s="1"/>
  <c r="D131" i="1"/>
  <c r="P39" i="1"/>
  <c r="P90" i="1"/>
  <c r="S26" i="2"/>
  <c r="T26" i="2" s="1"/>
  <c r="P44" i="2"/>
  <c r="Q44" i="2" s="1"/>
  <c r="Y55" i="2"/>
  <c r="Z82" i="2"/>
  <c r="AA82" i="2" s="1"/>
  <c r="L87" i="2"/>
  <c r="M87" i="2" s="1"/>
  <c r="Y118" i="2"/>
  <c r="L113" i="1"/>
  <c r="M115" i="1"/>
  <c r="M114" i="1" s="1"/>
  <c r="F17" i="1"/>
  <c r="G17" i="1" s="1"/>
  <c r="U116" i="1"/>
  <c r="E118" i="1"/>
  <c r="H122" i="1"/>
  <c r="I122" i="1" s="1"/>
  <c r="J122" i="1" s="1"/>
  <c r="H124" i="1"/>
  <c r="U126" i="1"/>
  <c r="E131" i="1"/>
  <c r="AB39" i="1"/>
  <c r="V47" i="1"/>
  <c r="W47" i="1" s="1"/>
  <c r="M50" i="1"/>
  <c r="M46" i="1" s="1"/>
  <c r="M54" i="1" s="1"/>
  <c r="M58" i="1" s="1"/>
  <c r="M63" i="1"/>
  <c r="M78" i="1" s="1"/>
  <c r="M82" i="1" s="1"/>
  <c r="H66" i="1"/>
  <c r="H78" i="1" s="1"/>
  <c r="H82" i="1" s="1"/>
  <c r="V75" i="1"/>
  <c r="W75" i="1" s="1"/>
  <c r="F80" i="1"/>
  <c r="G80" i="1" s="1"/>
  <c r="V80" i="1"/>
  <c r="W80" i="1" s="1"/>
  <c r="F86" i="1"/>
  <c r="G86" i="1" s="1"/>
  <c r="AB90" i="1"/>
  <c r="I16" i="2"/>
  <c r="J16" i="2" s="1"/>
  <c r="I20" i="2"/>
  <c r="J20" i="2" s="1"/>
  <c r="W22" i="2"/>
  <c r="X22" i="2" s="1"/>
  <c r="L27" i="2"/>
  <c r="M27" i="2" s="1"/>
  <c r="W31" i="2"/>
  <c r="X31" i="2" s="1"/>
  <c r="I34" i="2"/>
  <c r="J34" i="2" s="1"/>
  <c r="L35" i="2"/>
  <c r="M35" i="2" s="1"/>
  <c r="W39" i="2"/>
  <c r="X39" i="2" s="1"/>
  <c r="I42" i="2"/>
  <c r="J42" i="2" s="1"/>
  <c r="L43" i="2"/>
  <c r="M43" i="2" s="1"/>
  <c r="W47" i="2"/>
  <c r="X47" i="2" s="1"/>
  <c r="AB55" i="2"/>
  <c r="W57" i="2"/>
  <c r="X57" i="2" s="1"/>
  <c r="Y62" i="2"/>
  <c r="Y368" i="2" s="1"/>
  <c r="W78" i="2"/>
  <c r="X78" i="2" s="1"/>
  <c r="P79" i="2"/>
  <c r="Q79" i="2" s="1"/>
  <c r="W86" i="2"/>
  <c r="X86" i="2" s="1"/>
  <c r="P87" i="2"/>
  <c r="Q87" i="2" s="1"/>
  <c r="K100" i="2"/>
  <c r="K371" i="2" s="1"/>
  <c r="K106" i="2"/>
  <c r="W111" i="2"/>
  <c r="X111" i="2" s="1"/>
  <c r="L115" i="2"/>
  <c r="M115" i="2" s="1"/>
  <c r="Z119" i="2"/>
  <c r="AA119" i="2" s="1"/>
  <c r="Z120" i="2"/>
  <c r="AA120" i="2" s="1"/>
  <c r="L125" i="2"/>
  <c r="M125" i="2" s="1"/>
  <c r="P137" i="2"/>
  <c r="Q137" i="2" s="1"/>
  <c r="Z139" i="2"/>
  <c r="AA139" i="2" s="1"/>
  <c r="P143" i="2"/>
  <c r="Q143" i="2" s="1"/>
  <c r="I144" i="2"/>
  <c r="J144" i="2" s="1"/>
  <c r="Y374" i="2"/>
  <c r="Z374" i="2" s="1"/>
  <c r="AA374" i="2" s="1"/>
  <c r="Z148" i="2"/>
  <c r="AA148" i="2" s="1"/>
  <c r="W154" i="2"/>
  <c r="X154" i="2" s="1"/>
  <c r="U153" i="2"/>
  <c r="W153" i="2" s="1"/>
  <c r="X153" i="2" s="1"/>
  <c r="L163" i="2"/>
  <c r="M163" i="2" s="1"/>
  <c r="P167" i="2"/>
  <c r="Q167" i="2" s="1"/>
  <c r="Z196" i="2"/>
  <c r="AA196" i="2" s="1"/>
  <c r="I219" i="2"/>
  <c r="J219" i="2" s="1"/>
  <c r="K224" i="2"/>
  <c r="W230" i="2"/>
  <c r="X230" i="2" s="1"/>
  <c r="Z230" i="2"/>
  <c r="AA230" i="2" s="1"/>
  <c r="W238" i="2"/>
  <c r="X238" i="2" s="1"/>
  <c r="K260" i="2"/>
  <c r="L261" i="2"/>
  <c r="M261" i="2" s="1"/>
  <c r="Z261" i="2"/>
  <c r="AA261" i="2" s="1"/>
  <c r="Y267" i="2"/>
  <c r="Z268" i="2"/>
  <c r="AA268" i="2" s="1"/>
  <c r="S269" i="2"/>
  <c r="T269" i="2" s="1"/>
  <c r="U278" i="2"/>
  <c r="L26" i="1"/>
  <c r="L22" i="1" s="1"/>
  <c r="P36" i="2"/>
  <c r="Q36" i="2" s="1"/>
  <c r="D112" i="1"/>
  <c r="M113" i="1"/>
  <c r="N113" i="1" s="1"/>
  <c r="O113" i="1" s="1"/>
  <c r="H116" i="1"/>
  <c r="H118" i="1"/>
  <c r="T123" i="1"/>
  <c r="Y123" i="1" s="1"/>
  <c r="Z123" i="1" s="1"/>
  <c r="X126" i="1"/>
  <c r="X125" i="1" s="1"/>
  <c r="H131" i="1"/>
  <c r="Q38" i="1"/>
  <c r="R38" i="1" s="1"/>
  <c r="Q44" i="1"/>
  <c r="R44" i="1" s="1"/>
  <c r="Q92" i="1"/>
  <c r="R92" i="1" s="1"/>
  <c r="Q97" i="1"/>
  <c r="R97" i="1" s="1"/>
  <c r="X98" i="1"/>
  <c r="X94" i="1" s="1"/>
  <c r="L151" i="1"/>
  <c r="Y13" i="2"/>
  <c r="S15" i="2"/>
  <c r="T15" i="2" s="1"/>
  <c r="Z16" i="2"/>
  <c r="AA16" i="2" s="1"/>
  <c r="S19" i="2"/>
  <c r="T19" i="2" s="1"/>
  <c r="Z20" i="2"/>
  <c r="AA20" i="2" s="1"/>
  <c r="L29" i="2"/>
  <c r="M29" i="2" s="1"/>
  <c r="S33" i="2"/>
  <c r="T33" i="2" s="1"/>
  <c r="L37" i="2"/>
  <c r="M37" i="2" s="1"/>
  <c r="S41" i="2"/>
  <c r="T41" i="2" s="1"/>
  <c r="L45" i="2"/>
  <c r="M45" i="2" s="1"/>
  <c r="S65" i="2"/>
  <c r="T65" i="2" s="1"/>
  <c r="Z70" i="2"/>
  <c r="AA70" i="2" s="1"/>
  <c r="S71" i="2"/>
  <c r="T71" i="2" s="1"/>
  <c r="Z76" i="2"/>
  <c r="AA76" i="2" s="1"/>
  <c r="Z84" i="2"/>
  <c r="AA84" i="2" s="1"/>
  <c r="L109" i="2"/>
  <c r="M109" i="2" s="1"/>
  <c r="S113" i="2"/>
  <c r="T113" i="2" s="1"/>
  <c r="L119" i="2"/>
  <c r="M119" i="2" s="1"/>
  <c r="S131" i="2"/>
  <c r="T131" i="2" s="1"/>
  <c r="L133" i="2"/>
  <c r="M133" i="2" s="1"/>
  <c r="I148" i="2"/>
  <c r="J148" i="2" s="1"/>
  <c r="K153" i="2"/>
  <c r="S156" i="2"/>
  <c r="T156" i="2" s="1"/>
  <c r="L168" i="2"/>
  <c r="M168" i="2" s="1"/>
  <c r="S186" i="2"/>
  <c r="T186" i="2" s="1"/>
  <c r="I249" i="2"/>
  <c r="J249" i="2" s="1"/>
  <c r="G247" i="2"/>
  <c r="I247" i="2" s="1"/>
  <c r="J247" i="2" s="1"/>
  <c r="I324" i="2"/>
  <c r="J324" i="2" s="1"/>
  <c r="S333" i="2"/>
  <c r="T333" i="2" s="1"/>
  <c r="P333" i="2"/>
  <c r="Q333" i="2" s="1"/>
  <c r="L344" i="2"/>
  <c r="M344" i="2" s="1"/>
  <c r="X131" i="1"/>
  <c r="P42" i="1"/>
  <c r="Z30" i="2"/>
  <c r="AA30" i="2" s="1"/>
  <c r="T112" i="1"/>
  <c r="X116" i="1"/>
  <c r="T119" i="1"/>
  <c r="H126" i="1"/>
  <c r="AB131" i="1"/>
  <c r="Q40" i="1"/>
  <c r="R40" i="1" s="1"/>
  <c r="F13" i="1"/>
  <c r="G13" i="1" s="1"/>
  <c r="P113" i="1"/>
  <c r="Q113" i="1" s="1"/>
  <c r="R113" i="1" s="1"/>
  <c r="T115" i="1"/>
  <c r="AB18" i="1"/>
  <c r="V20" i="1"/>
  <c r="W20" i="1" s="1"/>
  <c r="Q21" i="1"/>
  <c r="R21" i="1" s="1"/>
  <c r="Q23" i="1"/>
  <c r="R23" i="1" s="1"/>
  <c r="F24" i="1"/>
  <c r="G24" i="1" s="1"/>
  <c r="L124" i="1"/>
  <c r="I27" i="1"/>
  <c r="J27" i="1" s="1"/>
  <c r="T127" i="1"/>
  <c r="Y127" i="1" s="1"/>
  <c r="Z127" i="1" s="1"/>
  <c r="F49" i="1"/>
  <c r="G49" i="1" s="1"/>
  <c r="V51" i="1"/>
  <c r="W51" i="1" s="1"/>
  <c r="V56" i="1"/>
  <c r="W56" i="1" s="1"/>
  <c r="F62" i="1"/>
  <c r="G62" i="1" s="1"/>
  <c r="V64" i="1"/>
  <c r="W64" i="1" s="1"/>
  <c r="F73" i="1"/>
  <c r="G73" i="1" s="1"/>
  <c r="P74" i="1"/>
  <c r="P70" i="1" s="1"/>
  <c r="P78" i="1" s="1"/>
  <c r="P82" i="1" s="1"/>
  <c r="X87" i="1"/>
  <c r="F91" i="1"/>
  <c r="G91" i="1" s="1"/>
  <c r="Q95" i="1"/>
  <c r="R95" i="1" s="1"/>
  <c r="F96" i="1"/>
  <c r="G96" i="1" s="1"/>
  <c r="D98" i="1"/>
  <c r="D94" i="1" s="1"/>
  <c r="AB98" i="1"/>
  <c r="AB94" i="1" s="1"/>
  <c r="V100" i="1"/>
  <c r="W100" i="1" s="1"/>
  <c r="M151" i="1"/>
  <c r="W17" i="2"/>
  <c r="X17" i="2" s="1"/>
  <c r="W21" i="2"/>
  <c r="X21" i="2" s="1"/>
  <c r="I28" i="2"/>
  <c r="J28" i="2" s="1"/>
  <c r="P29" i="2"/>
  <c r="Q29" i="2" s="1"/>
  <c r="I36" i="2"/>
  <c r="J36" i="2" s="1"/>
  <c r="P37" i="2"/>
  <c r="Q37" i="2" s="1"/>
  <c r="I44" i="2"/>
  <c r="J44" i="2" s="1"/>
  <c r="P45" i="2"/>
  <c r="Q45" i="2" s="1"/>
  <c r="W59" i="2"/>
  <c r="X59" i="2" s="1"/>
  <c r="AB62" i="2"/>
  <c r="AB368" i="2" s="1"/>
  <c r="AB68" i="2"/>
  <c r="AB369" i="2" s="1"/>
  <c r="AB74" i="2"/>
  <c r="W77" i="2"/>
  <c r="X77" i="2" s="1"/>
  <c r="W80" i="2"/>
  <c r="X80" i="2" s="1"/>
  <c r="L81" i="2"/>
  <c r="M81" i="2" s="1"/>
  <c r="W85" i="2"/>
  <c r="X85" i="2" s="1"/>
  <c r="W88" i="2"/>
  <c r="X88" i="2" s="1"/>
  <c r="L89" i="2"/>
  <c r="M89" i="2" s="1"/>
  <c r="O100" i="2"/>
  <c r="O371" i="2" s="1"/>
  <c r="L103" i="2"/>
  <c r="M103" i="2" s="1"/>
  <c r="O106" i="2"/>
  <c r="O372" i="2" s="1"/>
  <c r="I108" i="2"/>
  <c r="J108" i="2" s="1"/>
  <c r="P109" i="2"/>
  <c r="Q109" i="2" s="1"/>
  <c r="K118" i="2"/>
  <c r="L118" i="2" s="1"/>
  <c r="M118" i="2" s="1"/>
  <c r="I120" i="2"/>
  <c r="J120" i="2" s="1"/>
  <c r="W121" i="2"/>
  <c r="X121" i="2" s="1"/>
  <c r="W131" i="2"/>
  <c r="X131" i="2" s="1"/>
  <c r="L138" i="2"/>
  <c r="M138" i="2" s="1"/>
  <c r="L154" i="2"/>
  <c r="M154" i="2" s="1"/>
  <c r="P155" i="2"/>
  <c r="Q155" i="2" s="1"/>
  <c r="Z166" i="2"/>
  <c r="AA166" i="2" s="1"/>
  <c r="W169" i="2"/>
  <c r="X169" i="2" s="1"/>
  <c r="G180" i="2"/>
  <c r="I181" i="2"/>
  <c r="J181" i="2" s="1"/>
  <c r="U202" i="2"/>
  <c r="W203" i="2"/>
  <c r="X203" i="2" s="1"/>
  <c r="R206" i="2"/>
  <c r="V224" i="2"/>
  <c r="W224" i="2" s="1"/>
  <c r="X224" i="2" s="1"/>
  <c r="L268" i="2"/>
  <c r="M268" i="2" s="1"/>
  <c r="Z281" i="2"/>
  <c r="AA281" i="2" s="1"/>
  <c r="V350" i="2"/>
  <c r="P133" i="2"/>
  <c r="Q133" i="2" s="1"/>
  <c r="Z138" i="2"/>
  <c r="AA138" i="2" s="1"/>
  <c r="L143" i="2"/>
  <c r="M143" i="2" s="1"/>
  <c r="L155" i="2"/>
  <c r="M155" i="2" s="1"/>
  <c r="Z162" i="2"/>
  <c r="AA162" i="2" s="1"/>
  <c r="L167" i="2"/>
  <c r="M167" i="2" s="1"/>
  <c r="S169" i="2"/>
  <c r="T169" i="2" s="1"/>
  <c r="P173" i="2"/>
  <c r="Q173" i="2" s="1"/>
  <c r="I174" i="2"/>
  <c r="J174" i="2" s="1"/>
  <c r="W177" i="2"/>
  <c r="X177" i="2" s="1"/>
  <c r="H180" i="2"/>
  <c r="L197" i="2"/>
  <c r="M197" i="2" s="1"/>
  <c r="Z199" i="2"/>
  <c r="AA199" i="2" s="1"/>
  <c r="H224" i="2"/>
  <c r="Z229" i="2"/>
  <c r="AA229" i="2" s="1"/>
  <c r="S238" i="2"/>
  <c r="T238" i="2" s="1"/>
  <c r="P244" i="2"/>
  <c r="Q244" i="2" s="1"/>
  <c r="Z248" i="2"/>
  <c r="AA248" i="2" s="1"/>
  <c r="P272" i="2"/>
  <c r="Q272" i="2" s="1"/>
  <c r="H267" i="2"/>
  <c r="S279" i="2"/>
  <c r="T279" i="2" s="1"/>
  <c r="R278" i="2"/>
  <c r="S278" i="2" s="1"/>
  <c r="T278" i="2" s="1"/>
  <c r="I280" i="2"/>
  <c r="J280" i="2" s="1"/>
  <c r="Z282" i="2"/>
  <c r="AA282" i="2" s="1"/>
  <c r="Z310" i="2"/>
  <c r="AA310" i="2" s="1"/>
  <c r="S311" i="2"/>
  <c r="T311" i="2" s="1"/>
  <c r="I330" i="2"/>
  <c r="J330" i="2" s="1"/>
  <c r="S345" i="2"/>
  <c r="T345" i="2" s="1"/>
  <c r="W346" i="2"/>
  <c r="X346" i="2" s="1"/>
  <c r="Z346" i="2"/>
  <c r="AA346" i="2" s="1"/>
  <c r="S351" i="2"/>
  <c r="T351" i="2" s="1"/>
  <c r="P351" i="2"/>
  <c r="Q351" i="2" s="1"/>
  <c r="Z160" i="2"/>
  <c r="AA160" i="2" s="1"/>
  <c r="V159" i="2"/>
  <c r="V180" i="2"/>
  <c r="H206" i="2"/>
  <c r="S214" i="2"/>
  <c r="T214" i="2" s="1"/>
  <c r="K278" i="2"/>
  <c r="K373" i="2" s="1"/>
  <c r="Z298" i="2"/>
  <c r="AA298" i="2" s="1"/>
  <c r="S299" i="2"/>
  <c r="T299" i="2" s="1"/>
  <c r="H303" i="2"/>
  <c r="O303" i="2"/>
  <c r="Z352" i="2"/>
  <c r="AA352" i="2" s="1"/>
  <c r="S353" i="2"/>
  <c r="T353" i="2" s="1"/>
  <c r="Z130" i="2"/>
  <c r="AA130" i="2" s="1"/>
  <c r="P141" i="2"/>
  <c r="Q141" i="2" s="1"/>
  <c r="I154" i="2"/>
  <c r="J154" i="2" s="1"/>
  <c r="W155" i="2"/>
  <c r="X155" i="2" s="1"/>
  <c r="S161" i="2"/>
  <c r="T161" i="2" s="1"/>
  <c r="Z170" i="2"/>
  <c r="AA170" i="2" s="1"/>
  <c r="L177" i="2"/>
  <c r="M177" i="2" s="1"/>
  <c r="S202" i="2"/>
  <c r="T202" i="2" s="1"/>
  <c r="L203" i="2"/>
  <c r="M203" i="2" s="1"/>
  <c r="K206" i="2"/>
  <c r="Z207" i="2"/>
  <c r="AA207" i="2" s="1"/>
  <c r="L210" i="2"/>
  <c r="M210" i="2" s="1"/>
  <c r="L236" i="2"/>
  <c r="M236" i="2" s="1"/>
  <c r="S261" i="2"/>
  <c r="T261" i="2" s="1"/>
  <c r="L264" i="2"/>
  <c r="M264" i="2" s="1"/>
  <c r="S270" i="2"/>
  <c r="T270" i="2" s="1"/>
  <c r="L271" i="2"/>
  <c r="M271" i="2" s="1"/>
  <c r="L279" i="2"/>
  <c r="M279" i="2" s="1"/>
  <c r="S281" i="2"/>
  <c r="T281" i="2" s="1"/>
  <c r="L297" i="2"/>
  <c r="M297" i="2" s="1"/>
  <c r="L298" i="2"/>
  <c r="M298" i="2" s="1"/>
  <c r="L314" i="2"/>
  <c r="M314" i="2" s="1"/>
  <c r="Z350" i="2"/>
  <c r="AA350" i="2" s="1"/>
  <c r="R401" i="2"/>
  <c r="W161" i="2"/>
  <c r="X161" i="2" s="1"/>
  <c r="Z164" i="2"/>
  <c r="AA164" i="2" s="1"/>
  <c r="L169" i="2"/>
  <c r="M169" i="2" s="1"/>
  <c r="P177" i="2"/>
  <c r="Q177" i="2" s="1"/>
  <c r="Z181" i="2"/>
  <c r="AA181" i="2" s="1"/>
  <c r="Z182" i="2"/>
  <c r="AA182" i="2" s="1"/>
  <c r="O192" i="2"/>
  <c r="P192" i="2" s="1"/>
  <c r="Q192" i="2" s="1"/>
  <c r="P196" i="2"/>
  <c r="Q196" i="2" s="1"/>
  <c r="S198" i="2"/>
  <c r="T198" i="2" s="1"/>
  <c r="L199" i="2"/>
  <c r="M199" i="2" s="1"/>
  <c r="Z203" i="2"/>
  <c r="AA203" i="2" s="1"/>
  <c r="Z209" i="2"/>
  <c r="AA209" i="2" s="1"/>
  <c r="P210" i="2"/>
  <c r="Q210" i="2" s="1"/>
  <c r="S226" i="2"/>
  <c r="T226" i="2" s="1"/>
  <c r="I234" i="2"/>
  <c r="J234" i="2" s="1"/>
  <c r="Y233" i="2"/>
  <c r="Y288" i="2" s="1"/>
  <c r="P236" i="2"/>
  <c r="Q236" i="2" s="1"/>
  <c r="I237" i="2"/>
  <c r="J237" i="2" s="1"/>
  <c r="AB233" i="2"/>
  <c r="S240" i="2"/>
  <c r="T240" i="2" s="1"/>
  <c r="W248" i="2"/>
  <c r="X248" i="2" s="1"/>
  <c r="I269" i="2"/>
  <c r="J269" i="2" s="1"/>
  <c r="I270" i="2"/>
  <c r="J270" i="2" s="1"/>
  <c r="Z272" i="2"/>
  <c r="AA272" i="2" s="1"/>
  <c r="P274" i="2"/>
  <c r="Q274" i="2" s="1"/>
  <c r="I275" i="2"/>
  <c r="J275" i="2" s="1"/>
  <c r="P280" i="2"/>
  <c r="Q280" i="2" s="1"/>
  <c r="G291" i="2"/>
  <c r="Z295" i="2"/>
  <c r="AA295" i="2" s="1"/>
  <c r="S296" i="2"/>
  <c r="T296" i="2" s="1"/>
  <c r="P297" i="2"/>
  <c r="Q297" i="2" s="1"/>
  <c r="Z297" i="2"/>
  <c r="AA297" i="2" s="1"/>
  <c r="S309" i="2"/>
  <c r="T309" i="2" s="1"/>
  <c r="P309" i="2"/>
  <c r="Q309" i="2" s="1"/>
  <c r="W313" i="2"/>
  <c r="X313" i="2" s="1"/>
  <c r="P318" i="2"/>
  <c r="Q318" i="2" s="1"/>
  <c r="O321" i="2"/>
  <c r="Z333" i="2"/>
  <c r="AA333" i="2" s="1"/>
  <c r="W347" i="2"/>
  <c r="X347" i="2" s="1"/>
  <c r="L352" i="2"/>
  <c r="M352" i="2" s="1"/>
  <c r="Z168" i="2"/>
  <c r="AA168" i="2" s="1"/>
  <c r="L173" i="2"/>
  <c r="M173" i="2" s="1"/>
  <c r="S177" i="2"/>
  <c r="T177" i="2" s="1"/>
  <c r="I182" i="2"/>
  <c r="J182" i="2" s="1"/>
  <c r="S193" i="2"/>
  <c r="T193" i="2" s="1"/>
  <c r="P209" i="2"/>
  <c r="Q209" i="2" s="1"/>
  <c r="W219" i="2"/>
  <c r="X219" i="2" s="1"/>
  <c r="P230" i="2"/>
  <c r="Q230" i="2" s="1"/>
  <c r="L234" i="2"/>
  <c r="M234" i="2" s="1"/>
  <c r="L244" i="2"/>
  <c r="M244" i="2" s="1"/>
  <c r="P250" i="2"/>
  <c r="Q250" i="2" s="1"/>
  <c r="W254" i="2"/>
  <c r="X254" i="2" s="1"/>
  <c r="W269" i="2"/>
  <c r="X269" i="2" s="1"/>
  <c r="Z271" i="2"/>
  <c r="AA271" i="2" s="1"/>
  <c r="L281" i="2"/>
  <c r="M281" i="2" s="1"/>
  <c r="V278" i="2"/>
  <c r="I296" i="2"/>
  <c r="J296" i="2" s="1"/>
  <c r="S325" i="2"/>
  <c r="T325" i="2" s="1"/>
  <c r="P325" i="2"/>
  <c r="Q325" i="2" s="1"/>
  <c r="V343" i="2"/>
  <c r="K350" i="2"/>
  <c r="L351" i="2"/>
  <c r="M351" i="2" s="1"/>
  <c r="Z351" i="2"/>
  <c r="AA351" i="2" s="1"/>
  <c r="P298" i="2"/>
  <c r="Q298" i="2" s="1"/>
  <c r="I304" i="2"/>
  <c r="J304" i="2" s="1"/>
  <c r="P310" i="2"/>
  <c r="Q310" i="2" s="1"/>
  <c r="H321" i="2"/>
  <c r="AB321" i="2"/>
  <c r="K328" i="2"/>
  <c r="K368" i="2" s="1"/>
  <c r="P336" i="2"/>
  <c r="Q336" i="2" s="1"/>
  <c r="I339" i="2"/>
  <c r="J339" i="2" s="1"/>
  <c r="W340" i="2"/>
  <c r="X340" i="2" s="1"/>
  <c r="I345" i="2"/>
  <c r="J345" i="2" s="1"/>
  <c r="H350" i="2"/>
  <c r="AB350" i="2"/>
  <c r="I353" i="2"/>
  <c r="J353" i="2" s="1"/>
  <c r="W270" i="2"/>
  <c r="X270" i="2" s="1"/>
  <c r="S272" i="2"/>
  <c r="T272" i="2" s="1"/>
  <c r="W274" i="2"/>
  <c r="X274" i="2" s="1"/>
  <c r="Y291" i="2"/>
  <c r="W296" i="2"/>
  <c r="X296" i="2" s="1"/>
  <c r="S298" i="2"/>
  <c r="T298" i="2" s="1"/>
  <c r="Y303" i="2"/>
  <c r="W308" i="2"/>
  <c r="X308" i="2" s="1"/>
  <c r="S310" i="2"/>
  <c r="T310" i="2" s="1"/>
  <c r="P314" i="2"/>
  <c r="Q314" i="2" s="1"/>
  <c r="I315" i="2"/>
  <c r="J315" i="2" s="1"/>
  <c r="V321" i="2"/>
  <c r="W324" i="2"/>
  <c r="X324" i="2" s="1"/>
  <c r="U328" i="2"/>
  <c r="W328" i="2" s="1"/>
  <c r="X328" i="2" s="1"/>
  <c r="S336" i="2"/>
  <c r="T336" i="2" s="1"/>
  <c r="H343" i="2"/>
  <c r="AB343" i="2"/>
  <c r="U401" i="2"/>
  <c r="O401" i="2"/>
  <c r="S318" i="2"/>
  <c r="T318" i="2" s="1"/>
  <c r="L274" i="2"/>
  <c r="M274" i="2" s="1"/>
  <c r="H291" i="2"/>
  <c r="AB291" i="2"/>
  <c r="P294" i="2"/>
  <c r="Q294" i="2" s="1"/>
  <c r="I295" i="2"/>
  <c r="J295" i="2" s="1"/>
  <c r="AB303" i="2"/>
  <c r="P306" i="2"/>
  <c r="Q306" i="2" s="1"/>
  <c r="I307" i="2"/>
  <c r="J307" i="2" s="1"/>
  <c r="W318" i="2"/>
  <c r="X318" i="2" s="1"/>
  <c r="I323" i="2"/>
  <c r="J323" i="2" s="1"/>
  <c r="K343" i="2"/>
  <c r="Z344" i="2"/>
  <c r="AA344" i="2" s="1"/>
  <c r="K401" i="2"/>
  <c r="G401" i="2"/>
  <c r="Y401" i="2"/>
  <c r="H328" i="2"/>
  <c r="Z354" i="2"/>
  <c r="AA354" i="2" s="1"/>
  <c r="N401" i="2"/>
  <c r="H401" i="2"/>
  <c r="I120" i="1"/>
  <c r="J120" i="1" s="1"/>
  <c r="F131" i="1"/>
  <c r="G131" i="1" s="1"/>
  <c r="I131" i="1"/>
  <c r="J131" i="1" s="1"/>
  <c r="F68" i="1"/>
  <c r="G68" i="1" s="1"/>
  <c r="E66" i="1"/>
  <c r="Q72" i="1"/>
  <c r="R72" i="1" s="1"/>
  <c r="N72" i="1"/>
  <c r="O72" i="1" s="1"/>
  <c r="U74" i="1"/>
  <c r="U70" i="1" s="1"/>
  <c r="Q89" i="1"/>
  <c r="R89" i="1" s="1"/>
  <c r="N89" i="1"/>
  <c r="O89" i="1" s="1"/>
  <c r="L87" i="1"/>
  <c r="H51" i="2"/>
  <c r="H366" i="2" s="1"/>
  <c r="I366" i="2" s="1"/>
  <c r="J366" i="2" s="1"/>
  <c r="I52" i="2"/>
  <c r="J52" i="2" s="1"/>
  <c r="P59" i="2"/>
  <c r="Q59" i="2" s="1"/>
  <c r="N55" i="2"/>
  <c r="I112" i="1"/>
  <c r="J112" i="1" s="1"/>
  <c r="P15" i="1"/>
  <c r="P115" i="1"/>
  <c r="P127" i="1"/>
  <c r="P125" i="1" s="1"/>
  <c r="P26" i="1"/>
  <c r="Q76" i="1"/>
  <c r="R76" i="1" s="1"/>
  <c r="N76" i="1"/>
  <c r="O76" i="1" s="1"/>
  <c r="L74" i="1"/>
  <c r="L70" i="1" s="1"/>
  <c r="F99" i="1"/>
  <c r="G99" i="1" s="1"/>
  <c r="E98" i="1"/>
  <c r="E94" i="1" s="1"/>
  <c r="S27" i="2"/>
  <c r="T27" i="2" s="1"/>
  <c r="R25" i="2"/>
  <c r="R74" i="2"/>
  <c r="S75" i="2"/>
  <c r="T75" i="2" s="1"/>
  <c r="P352" i="2"/>
  <c r="Q352" i="2" s="1"/>
  <c r="N350" i="2"/>
  <c r="P350" i="2" s="1"/>
  <c r="Q350" i="2" s="1"/>
  <c r="P18" i="1"/>
  <c r="Q18" i="1" s="1"/>
  <c r="R18" i="1" s="1"/>
  <c r="P119" i="1"/>
  <c r="Q39" i="1"/>
  <c r="R39" i="1" s="1"/>
  <c r="N39" i="1"/>
  <c r="O39" i="1" s="1"/>
  <c r="P46" i="1"/>
  <c r="Q50" i="1"/>
  <c r="R50" i="1" s="1"/>
  <c r="N50" i="1"/>
  <c r="O50" i="1" s="1"/>
  <c r="Q63" i="1"/>
  <c r="R63" i="1" s="1"/>
  <c r="N63" i="1"/>
  <c r="O63" i="1" s="1"/>
  <c r="Q91" i="1"/>
  <c r="R91" i="1" s="1"/>
  <c r="N91" i="1"/>
  <c r="O91" i="1" s="1"/>
  <c r="L90" i="1"/>
  <c r="V91" i="1"/>
  <c r="W91" i="1" s="1"/>
  <c r="U90" i="1"/>
  <c r="V90" i="1" s="1"/>
  <c r="W90" i="1" s="1"/>
  <c r="P13" i="2"/>
  <c r="Q13" i="2" s="1"/>
  <c r="I116" i="1"/>
  <c r="J116" i="1" s="1"/>
  <c r="F118" i="1"/>
  <c r="G118" i="1" s="1"/>
  <c r="P123" i="1"/>
  <c r="P22" i="1"/>
  <c r="Q26" i="1"/>
  <c r="R26" i="1" s="1"/>
  <c r="L131" i="1"/>
  <c r="Q32" i="1"/>
  <c r="R32" i="1" s="1"/>
  <c r="N32" i="1"/>
  <c r="O32" i="1" s="1"/>
  <c r="U131" i="1"/>
  <c r="V131" i="1" s="1"/>
  <c r="W131" i="1" s="1"/>
  <c r="V32" i="1"/>
  <c r="W32" i="1" s="1"/>
  <c r="P54" i="1"/>
  <c r="P58" i="1" s="1"/>
  <c r="Q46" i="1"/>
  <c r="R46" i="1" s="1"/>
  <c r="Q85" i="1"/>
  <c r="R85" i="1" s="1"/>
  <c r="N85" i="1"/>
  <c r="O85" i="1" s="1"/>
  <c r="V85" i="1"/>
  <c r="W85" i="1" s="1"/>
  <c r="AB102" i="1"/>
  <c r="AB106" i="1" s="1"/>
  <c r="F95" i="1"/>
  <c r="G95" i="1" s="1"/>
  <c r="Q115" i="1"/>
  <c r="R115" i="1" s="1"/>
  <c r="I114" i="2"/>
  <c r="J114" i="2" s="1"/>
  <c r="H106" i="2"/>
  <c r="H372" i="2" s="1"/>
  <c r="P112" i="1"/>
  <c r="E113" i="1"/>
  <c r="F113" i="1" s="1"/>
  <c r="G113" i="1" s="1"/>
  <c r="E115" i="1"/>
  <c r="X114" i="1"/>
  <c r="P118" i="1"/>
  <c r="E119" i="1"/>
  <c r="E117" i="1" s="1"/>
  <c r="V120" i="1"/>
  <c r="W120" i="1" s="1"/>
  <c r="Y120" i="1"/>
  <c r="Z120" i="1" s="1"/>
  <c r="E124" i="1"/>
  <c r="F25" i="1"/>
  <c r="G25" i="1" s="1"/>
  <c r="AB124" i="1"/>
  <c r="Q48" i="1"/>
  <c r="R48" i="1" s="1"/>
  <c r="N48" i="1"/>
  <c r="O48" i="1" s="1"/>
  <c r="Q52" i="1"/>
  <c r="R52" i="1" s="1"/>
  <c r="N52" i="1"/>
  <c r="O52" i="1" s="1"/>
  <c r="Q61" i="1"/>
  <c r="R61" i="1" s="1"/>
  <c r="N61" i="1"/>
  <c r="O61" i="1" s="1"/>
  <c r="V61" i="1"/>
  <c r="W61" i="1" s="1"/>
  <c r="X78" i="1"/>
  <c r="X82" i="1" s="1"/>
  <c r="Q65" i="1"/>
  <c r="R65" i="1" s="1"/>
  <c r="N65" i="1"/>
  <c r="O65" i="1" s="1"/>
  <c r="Q67" i="1"/>
  <c r="R67" i="1" s="1"/>
  <c r="N67" i="1"/>
  <c r="O67" i="1" s="1"/>
  <c r="L66" i="1"/>
  <c r="V67" i="1"/>
  <c r="W67" i="1" s="1"/>
  <c r="U66" i="1"/>
  <c r="F71" i="1"/>
  <c r="G71" i="1" s="1"/>
  <c r="AB70" i="1"/>
  <c r="AB78" i="1" s="1"/>
  <c r="AB82" i="1" s="1"/>
  <c r="F75" i="1"/>
  <c r="G75" i="1" s="1"/>
  <c r="E74" i="1"/>
  <c r="E70" i="1" s="1"/>
  <c r="F88" i="1"/>
  <c r="G88" i="1" s="1"/>
  <c r="E87" i="1"/>
  <c r="E102" i="1" s="1"/>
  <c r="E106" i="1" s="1"/>
  <c r="Q104" i="1"/>
  <c r="R104" i="1" s="1"/>
  <c r="N104" i="1"/>
  <c r="O104" i="1" s="1"/>
  <c r="U113" i="1"/>
  <c r="Y366" i="2"/>
  <c r="R106" i="2"/>
  <c r="S107" i="2"/>
  <c r="T107" i="2" s="1"/>
  <c r="P119" i="2"/>
  <c r="Q119" i="2" s="1"/>
  <c r="N118" i="2"/>
  <c r="V373" i="2"/>
  <c r="P181" i="2"/>
  <c r="Q181" i="2" s="1"/>
  <c r="N180" i="2"/>
  <c r="P180" i="2" s="1"/>
  <c r="Q180" i="2" s="1"/>
  <c r="W214" i="2"/>
  <c r="X214" i="2" s="1"/>
  <c r="Z214" i="2"/>
  <c r="AA214" i="2" s="1"/>
  <c r="P330" i="2"/>
  <c r="Q330" i="2" s="1"/>
  <c r="N328" i="2"/>
  <c r="P328" i="2" s="1"/>
  <c r="Q328" i="2" s="1"/>
  <c r="Y112" i="1"/>
  <c r="Z112" i="1" s="1"/>
  <c r="AB113" i="1"/>
  <c r="P116" i="1"/>
  <c r="F19" i="1"/>
  <c r="G19" i="1" s="1"/>
  <c r="E18" i="1"/>
  <c r="T117" i="1"/>
  <c r="Y118" i="1"/>
  <c r="Z118" i="1" s="1"/>
  <c r="V119" i="1"/>
  <c r="W119" i="1" s="1"/>
  <c r="AB119" i="1"/>
  <c r="AB117" i="1" s="1"/>
  <c r="F23" i="1"/>
  <c r="G23" i="1" s="1"/>
  <c r="V122" i="1"/>
  <c r="W122" i="1" s="1"/>
  <c r="AB122" i="1"/>
  <c r="E126" i="1"/>
  <c r="E125" i="1" s="1"/>
  <c r="F27" i="1"/>
  <c r="G27" i="1" s="1"/>
  <c r="E26" i="1"/>
  <c r="AB126" i="1"/>
  <c r="AB125" i="1" s="1"/>
  <c r="AB26" i="1"/>
  <c r="AB22" i="1" s="1"/>
  <c r="AB30" i="1" s="1"/>
  <c r="AB34" i="1" s="1"/>
  <c r="F40" i="1"/>
  <c r="G40" i="1" s="1"/>
  <c r="E39" i="1"/>
  <c r="F39" i="1" s="1"/>
  <c r="G39" i="1" s="1"/>
  <c r="Q56" i="1"/>
  <c r="R56" i="1" s="1"/>
  <c r="N56" i="1"/>
  <c r="O56" i="1" s="1"/>
  <c r="Q96" i="1"/>
  <c r="R96" i="1" s="1"/>
  <c r="N96" i="1"/>
  <c r="O96" i="1" s="1"/>
  <c r="Q100" i="1"/>
  <c r="R100" i="1" s="1"/>
  <c r="N100" i="1"/>
  <c r="O100" i="1" s="1"/>
  <c r="Y119" i="1"/>
  <c r="Z119" i="1" s="1"/>
  <c r="E122" i="1"/>
  <c r="F123" i="1"/>
  <c r="G123" i="1" s="1"/>
  <c r="I123" i="1"/>
  <c r="J123" i="1" s="1"/>
  <c r="V126" i="1"/>
  <c r="W126" i="1" s="1"/>
  <c r="T125" i="1"/>
  <c r="Y126" i="1"/>
  <c r="Z126" i="1" s="1"/>
  <c r="R366" i="2"/>
  <c r="S51" i="2"/>
  <c r="T51" i="2" s="1"/>
  <c r="I82" i="2"/>
  <c r="J82" i="2" s="1"/>
  <c r="H74" i="2"/>
  <c r="H370" i="2" s="1"/>
  <c r="I102" i="2"/>
  <c r="J102" i="2" s="1"/>
  <c r="H100" i="2"/>
  <c r="H371" i="2" s="1"/>
  <c r="P153" i="2"/>
  <c r="Q153" i="2" s="1"/>
  <c r="U112" i="1"/>
  <c r="I113" i="1"/>
  <c r="J113" i="1" s="1"/>
  <c r="Q14" i="1"/>
  <c r="R14" i="1" s="1"/>
  <c r="N14" i="1"/>
  <c r="O14" i="1" s="1"/>
  <c r="D114" i="1"/>
  <c r="Q16" i="1"/>
  <c r="R16" i="1" s="1"/>
  <c r="N16" i="1"/>
  <c r="O16" i="1" s="1"/>
  <c r="L15" i="1"/>
  <c r="V16" i="1"/>
  <c r="W16" i="1" s="1"/>
  <c r="U15" i="1"/>
  <c r="V15" i="1" s="1"/>
  <c r="W15" i="1" s="1"/>
  <c r="F116" i="1"/>
  <c r="G116" i="1" s="1"/>
  <c r="U118" i="1"/>
  <c r="U117" i="1" s="1"/>
  <c r="Q20" i="1"/>
  <c r="R20" i="1" s="1"/>
  <c r="N20" i="1"/>
  <c r="O20" i="1" s="1"/>
  <c r="L123" i="1"/>
  <c r="Q24" i="1"/>
  <c r="R24" i="1" s="1"/>
  <c r="N24" i="1"/>
  <c r="O24" i="1" s="1"/>
  <c r="U123" i="1"/>
  <c r="V123" i="1" s="1"/>
  <c r="W123" i="1" s="1"/>
  <c r="V24" i="1"/>
  <c r="W24" i="1" s="1"/>
  <c r="L127" i="1"/>
  <c r="L125" i="1" s="1"/>
  <c r="Q28" i="1"/>
  <c r="R28" i="1" s="1"/>
  <c r="N28" i="1"/>
  <c r="O28" i="1" s="1"/>
  <c r="U127" i="1"/>
  <c r="V28" i="1"/>
  <c r="W28" i="1" s="1"/>
  <c r="P131" i="1"/>
  <c r="Q37" i="1"/>
  <c r="R37" i="1" s="1"/>
  <c r="N37" i="1"/>
  <c r="O37" i="1" s="1"/>
  <c r="V37" i="1"/>
  <c r="W37" i="1" s="1"/>
  <c r="X54" i="1"/>
  <c r="X58" i="1" s="1"/>
  <c r="Q41" i="1"/>
  <c r="R41" i="1" s="1"/>
  <c r="N41" i="1"/>
  <c r="O41" i="1" s="1"/>
  <c r="Q43" i="1"/>
  <c r="R43" i="1" s="1"/>
  <c r="N43" i="1"/>
  <c r="O43" i="1" s="1"/>
  <c r="L42" i="1"/>
  <c r="V43" i="1"/>
  <c r="W43" i="1" s="1"/>
  <c r="U42" i="1"/>
  <c r="F47" i="1"/>
  <c r="G47" i="1" s="1"/>
  <c r="F51" i="1"/>
  <c r="G51" i="1" s="1"/>
  <c r="E50" i="1"/>
  <c r="F50" i="1" s="1"/>
  <c r="G50" i="1" s="1"/>
  <c r="F64" i="1"/>
  <c r="G64" i="1" s="1"/>
  <c r="E63" i="1"/>
  <c r="Q80" i="1"/>
  <c r="R80" i="1" s="1"/>
  <c r="N80" i="1"/>
  <c r="O80" i="1" s="1"/>
  <c r="L98" i="1"/>
  <c r="L94" i="1" s="1"/>
  <c r="E112" i="1"/>
  <c r="U115" i="1"/>
  <c r="U114" i="1" s="1"/>
  <c r="L119" i="1"/>
  <c r="E120" i="1"/>
  <c r="F120" i="1" s="1"/>
  <c r="G120" i="1" s="1"/>
  <c r="P63" i="2"/>
  <c r="Q63" i="2" s="1"/>
  <c r="N62" i="2"/>
  <c r="V62" i="2"/>
  <c r="V368" i="2" s="1"/>
  <c r="W63" i="2"/>
  <c r="X63" i="2" s="1"/>
  <c r="I70" i="2"/>
  <c r="J70" i="2" s="1"/>
  <c r="H68" i="2"/>
  <c r="H369" i="2" s="1"/>
  <c r="S167" i="2"/>
  <c r="T167" i="2" s="1"/>
  <c r="R159" i="2"/>
  <c r="S159" i="2" s="1"/>
  <c r="T159" i="2" s="1"/>
  <c r="Y192" i="2"/>
  <c r="Z194" i="2"/>
  <c r="AA194" i="2" s="1"/>
  <c r="Y13" i="1"/>
  <c r="Z13" i="1" s="1"/>
  <c r="I14" i="1"/>
  <c r="J14" i="1" s="1"/>
  <c r="I16" i="1"/>
  <c r="J16" i="1" s="1"/>
  <c r="Y17" i="1"/>
  <c r="Z17" i="1" s="1"/>
  <c r="Y19" i="1"/>
  <c r="Z19" i="1" s="1"/>
  <c r="I20" i="1"/>
  <c r="J20" i="1" s="1"/>
  <c r="Y21" i="1"/>
  <c r="Z21" i="1" s="1"/>
  <c r="Y23" i="1"/>
  <c r="Z23" i="1" s="1"/>
  <c r="I24" i="1"/>
  <c r="J24" i="1" s="1"/>
  <c r="Y25" i="1"/>
  <c r="Z25" i="1" s="1"/>
  <c r="N126" i="1"/>
  <c r="O126" i="1" s="1"/>
  <c r="Q126" i="1"/>
  <c r="R126" i="1" s="1"/>
  <c r="U125" i="1"/>
  <c r="Y27" i="1"/>
  <c r="Z27" i="1" s="1"/>
  <c r="I28" i="1"/>
  <c r="J28" i="1" s="1"/>
  <c r="I32" i="1"/>
  <c r="J32" i="1" s="1"/>
  <c r="I37" i="1"/>
  <c r="J37" i="1" s="1"/>
  <c r="Y38" i="1"/>
  <c r="Z38" i="1" s="1"/>
  <c r="I39" i="1"/>
  <c r="J39" i="1" s="1"/>
  <c r="Y40" i="1"/>
  <c r="Z40" i="1" s="1"/>
  <c r="I41" i="1"/>
  <c r="J41" i="1" s="1"/>
  <c r="Y42" i="1"/>
  <c r="Z42" i="1" s="1"/>
  <c r="I43" i="1"/>
  <c r="J43" i="1" s="1"/>
  <c r="Y44" i="1"/>
  <c r="Z44" i="1" s="1"/>
  <c r="Y47" i="1"/>
  <c r="Z47" i="1" s="1"/>
  <c r="I48" i="1"/>
  <c r="J48" i="1" s="1"/>
  <c r="Y49" i="1"/>
  <c r="Z49" i="1" s="1"/>
  <c r="I50" i="1"/>
  <c r="J50" i="1" s="1"/>
  <c r="Y51" i="1"/>
  <c r="Z51" i="1" s="1"/>
  <c r="I52" i="1"/>
  <c r="J52" i="1" s="1"/>
  <c r="I56" i="1"/>
  <c r="J56" i="1" s="1"/>
  <c r="I61" i="1"/>
  <c r="J61" i="1" s="1"/>
  <c r="Y62" i="1"/>
  <c r="Z62" i="1" s="1"/>
  <c r="I63" i="1"/>
  <c r="J63" i="1" s="1"/>
  <c r="Y64" i="1"/>
  <c r="Z64" i="1" s="1"/>
  <c r="I65" i="1"/>
  <c r="J65" i="1" s="1"/>
  <c r="Y66" i="1"/>
  <c r="Z66" i="1" s="1"/>
  <c r="I67" i="1"/>
  <c r="J67" i="1" s="1"/>
  <c r="Y68" i="1"/>
  <c r="Z68" i="1" s="1"/>
  <c r="Y71" i="1"/>
  <c r="Z71" i="1" s="1"/>
  <c r="I72" i="1"/>
  <c r="J72" i="1" s="1"/>
  <c r="Y73" i="1"/>
  <c r="Z73" i="1" s="1"/>
  <c r="I74" i="1"/>
  <c r="J74" i="1" s="1"/>
  <c r="Y75" i="1"/>
  <c r="Z75" i="1" s="1"/>
  <c r="I76" i="1"/>
  <c r="J76" i="1" s="1"/>
  <c r="I80" i="1"/>
  <c r="J80" i="1" s="1"/>
  <c r="I85" i="1"/>
  <c r="J85" i="1" s="1"/>
  <c r="Y86" i="1"/>
  <c r="Z86" i="1" s="1"/>
  <c r="I87" i="1"/>
  <c r="J87" i="1" s="1"/>
  <c r="Y88" i="1"/>
  <c r="Z88" i="1" s="1"/>
  <c r="I89" i="1"/>
  <c r="J89" i="1" s="1"/>
  <c r="Y90" i="1"/>
  <c r="Z90" i="1" s="1"/>
  <c r="I91" i="1"/>
  <c r="J91" i="1" s="1"/>
  <c r="Y92" i="1"/>
  <c r="Z92" i="1" s="1"/>
  <c r="Y95" i="1"/>
  <c r="Z95" i="1" s="1"/>
  <c r="I96" i="1"/>
  <c r="J96" i="1" s="1"/>
  <c r="Y97" i="1"/>
  <c r="Z97" i="1" s="1"/>
  <c r="I98" i="1"/>
  <c r="J98" i="1" s="1"/>
  <c r="Y99" i="1"/>
  <c r="Z99" i="1" s="1"/>
  <c r="I100" i="1"/>
  <c r="J100" i="1" s="1"/>
  <c r="I104" i="1"/>
  <c r="J104" i="1" s="1"/>
  <c r="L112" i="1"/>
  <c r="L116" i="1"/>
  <c r="L114" i="1" s="1"/>
  <c r="L118" i="1"/>
  <c r="L120" i="1"/>
  <c r="L122" i="1"/>
  <c r="X122" i="1"/>
  <c r="X121" i="1" s="1"/>
  <c r="T124" i="1"/>
  <c r="D125" i="1"/>
  <c r="D127" i="1"/>
  <c r="V127" i="1"/>
  <c r="W127" i="1" s="1"/>
  <c r="H151" i="1"/>
  <c r="T151" i="1"/>
  <c r="R13" i="2"/>
  <c r="H13" i="2"/>
  <c r="I14" i="2"/>
  <c r="J14" i="2" s="1"/>
  <c r="AB13" i="2"/>
  <c r="V25" i="2"/>
  <c r="S31" i="2"/>
  <c r="T31" i="2" s="1"/>
  <c r="S39" i="2"/>
  <c r="T39" i="2" s="1"/>
  <c r="S47" i="2"/>
  <c r="T47" i="2" s="1"/>
  <c r="N366" i="2"/>
  <c r="P366" i="2" s="1"/>
  <c r="Q366" i="2" s="1"/>
  <c r="P51" i="2"/>
  <c r="Q51" i="2" s="1"/>
  <c r="S59" i="2"/>
  <c r="T59" i="2" s="1"/>
  <c r="R62" i="2"/>
  <c r="S63" i="2"/>
  <c r="T63" i="2" s="1"/>
  <c r="P75" i="2"/>
  <c r="Q75" i="2" s="1"/>
  <c r="N74" i="2"/>
  <c r="V74" i="2"/>
  <c r="V370" i="2" s="1"/>
  <c r="W75" i="2"/>
  <c r="X75" i="2" s="1"/>
  <c r="S79" i="2"/>
  <c r="T79" i="2" s="1"/>
  <c r="S87" i="2"/>
  <c r="T87" i="2" s="1"/>
  <c r="P107" i="2"/>
  <c r="Q107" i="2" s="1"/>
  <c r="N106" i="2"/>
  <c r="V106" i="2"/>
  <c r="W106" i="2" s="1"/>
  <c r="X106" i="2" s="1"/>
  <c r="W107" i="2"/>
  <c r="X107" i="2" s="1"/>
  <c r="S111" i="2"/>
  <c r="T111" i="2" s="1"/>
  <c r="R118" i="2"/>
  <c r="S119" i="2"/>
  <c r="T119" i="2" s="1"/>
  <c r="S127" i="2"/>
  <c r="T127" i="2" s="1"/>
  <c r="S135" i="2"/>
  <c r="T135" i="2" s="1"/>
  <c r="S143" i="2"/>
  <c r="T143" i="2" s="1"/>
  <c r="W159" i="2"/>
  <c r="X159" i="2" s="1"/>
  <c r="S163" i="2"/>
  <c r="T163" i="2" s="1"/>
  <c r="S171" i="2"/>
  <c r="T171" i="2" s="1"/>
  <c r="I180" i="2"/>
  <c r="J180" i="2" s="1"/>
  <c r="R180" i="2"/>
  <c r="S181" i="2"/>
  <c r="T181" i="2" s="1"/>
  <c r="S185" i="2"/>
  <c r="T185" i="2" s="1"/>
  <c r="I209" i="2"/>
  <c r="J209" i="2" s="1"/>
  <c r="L209" i="2"/>
  <c r="M209" i="2" s="1"/>
  <c r="P228" i="2"/>
  <c r="Q228" i="2" s="1"/>
  <c r="N224" i="2"/>
  <c r="V13" i="1"/>
  <c r="W13" i="1" s="1"/>
  <c r="F14" i="1"/>
  <c r="G14" i="1" s="1"/>
  <c r="D15" i="1"/>
  <c r="H15" i="1"/>
  <c r="M15" i="1"/>
  <c r="F16" i="1"/>
  <c r="G16" i="1" s="1"/>
  <c r="V17" i="1"/>
  <c r="W17" i="1" s="1"/>
  <c r="T18" i="1"/>
  <c r="X18" i="1"/>
  <c r="V19" i="1"/>
  <c r="W19" i="1" s="1"/>
  <c r="F20" i="1"/>
  <c r="G20" i="1" s="1"/>
  <c r="V21" i="1"/>
  <c r="W21" i="1" s="1"/>
  <c r="V23" i="1"/>
  <c r="W23" i="1" s="1"/>
  <c r="Q25" i="1"/>
  <c r="R25" i="1" s="1"/>
  <c r="T26" i="1"/>
  <c r="T22" i="1" s="1"/>
  <c r="X26" i="1"/>
  <c r="X22" i="1" s="1"/>
  <c r="Q27" i="1"/>
  <c r="R27" i="1" s="1"/>
  <c r="F32" i="1"/>
  <c r="G32" i="1" s="1"/>
  <c r="F37" i="1"/>
  <c r="G37" i="1" s="1"/>
  <c r="V38" i="1"/>
  <c r="W38" i="1" s="1"/>
  <c r="T39" i="1"/>
  <c r="D42" i="1"/>
  <c r="T50" i="1"/>
  <c r="T46" i="1" s="1"/>
  <c r="F61" i="1"/>
  <c r="G61" i="1" s="1"/>
  <c r="V62" i="1"/>
  <c r="W62" i="1" s="1"/>
  <c r="T63" i="1"/>
  <c r="T78" i="1" s="1"/>
  <c r="D66" i="1"/>
  <c r="T74" i="1"/>
  <c r="T70" i="1" s="1"/>
  <c r="F85" i="1"/>
  <c r="G85" i="1" s="1"/>
  <c r="V86" i="1"/>
  <c r="W86" i="1" s="1"/>
  <c r="T87" i="1"/>
  <c r="D90" i="1"/>
  <c r="T94" i="1"/>
  <c r="T98" i="1"/>
  <c r="V13" i="2"/>
  <c r="S17" i="2"/>
  <c r="T17" i="2" s="1"/>
  <c r="S21" i="2"/>
  <c r="T21" i="2" s="1"/>
  <c r="N25" i="2"/>
  <c r="S29" i="2"/>
  <c r="T29" i="2" s="1"/>
  <c r="S37" i="2"/>
  <c r="T37" i="2" s="1"/>
  <c r="S45" i="2"/>
  <c r="T45" i="2" s="1"/>
  <c r="R55" i="2"/>
  <c r="H55" i="2"/>
  <c r="H367" i="2" s="1"/>
  <c r="I56" i="2"/>
  <c r="J56" i="2" s="1"/>
  <c r="S57" i="2"/>
  <c r="T57" i="2" s="1"/>
  <c r="P69" i="2"/>
  <c r="Q69" i="2" s="1"/>
  <c r="N68" i="2"/>
  <c r="V68" i="2"/>
  <c r="V369" i="2" s="1"/>
  <c r="W369" i="2" s="1"/>
  <c r="X369" i="2" s="1"/>
  <c r="W69" i="2"/>
  <c r="X69" i="2" s="1"/>
  <c r="S77" i="2"/>
  <c r="T77" i="2" s="1"/>
  <c r="S85" i="2"/>
  <c r="T85" i="2" s="1"/>
  <c r="P101" i="2"/>
  <c r="Q101" i="2" s="1"/>
  <c r="N100" i="2"/>
  <c r="V100" i="2"/>
  <c r="V371" i="2" s="1"/>
  <c r="W101" i="2"/>
  <c r="X101" i="2" s="1"/>
  <c r="S109" i="2"/>
  <c r="T109" i="2" s="1"/>
  <c r="W119" i="2"/>
  <c r="X119" i="2" s="1"/>
  <c r="S121" i="2"/>
  <c r="T121" i="2" s="1"/>
  <c r="I126" i="2"/>
  <c r="J126" i="2" s="1"/>
  <c r="W127" i="2"/>
  <c r="X127" i="2" s="1"/>
  <c r="S129" i="2"/>
  <c r="T129" i="2" s="1"/>
  <c r="I134" i="2"/>
  <c r="J134" i="2" s="1"/>
  <c r="W135" i="2"/>
  <c r="X135" i="2" s="1"/>
  <c r="S137" i="2"/>
  <c r="T137" i="2" s="1"/>
  <c r="I142" i="2"/>
  <c r="J142" i="2" s="1"/>
  <c r="W143" i="2"/>
  <c r="X143" i="2" s="1"/>
  <c r="R374" i="2"/>
  <c r="S148" i="2"/>
  <c r="T148" i="2" s="1"/>
  <c r="H153" i="2"/>
  <c r="I156" i="2"/>
  <c r="J156" i="2" s="1"/>
  <c r="H159" i="2"/>
  <c r="I162" i="2"/>
  <c r="J162" i="2" s="1"/>
  <c r="W163" i="2"/>
  <c r="X163" i="2" s="1"/>
  <c r="S165" i="2"/>
  <c r="T165" i="2" s="1"/>
  <c r="I170" i="2"/>
  <c r="J170" i="2" s="1"/>
  <c r="W171" i="2"/>
  <c r="X171" i="2" s="1"/>
  <c r="S173" i="2"/>
  <c r="T173" i="2" s="1"/>
  <c r="W181" i="2"/>
  <c r="X181" i="2" s="1"/>
  <c r="W185" i="2"/>
  <c r="X185" i="2" s="1"/>
  <c r="I186" i="2"/>
  <c r="J186" i="2" s="1"/>
  <c r="K192" i="2"/>
  <c r="L193" i="2"/>
  <c r="M193" i="2" s="1"/>
  <c r="R192" i="2"/>
  <c r="S192" i="2" s="1"/>
  <c r="T192" i="2" s="1"/>
  <c r="V206" i="2"/>
  <c r="W206" i="2" s="1"/>
  <c r="X206" i="2" s="1"/>
  <c r="I211" i="2"/>
  <c r="J211" i="2" s="1"/>
  <c r="L211" i="2"/>
  <c r="M211" i="2" s="1"/>
  <c r="I215" i="2"/>
  <c r="J215" i="2" s="1"/>
  <c r="G214" i="2"/>
  <c r="I214" i="2" s="1"/>
  <c r="J214" i="2" s="1"/>
  <c r="L215" i="2"/>
  <c r="M215" i="2" s="1"/>
  <c r="I225" i="2"/>
  <c r="J225" i="2" s="1"/>
  <c r="G224" i="2"/>
  <c r="L224" i="2" s="1"/>
  <c r="M224" i="2" s="1"/>
  <c r="L225" i="2"/>
  <c r="M225" i="2" s="1"/>
  <c r="F126" i="1"/>
  <c r="G126" i="1" s="1"/>
  <c r="Y364" i="2"/>
  <c r="H25" i="2"/>
  <c r="I26" i="2"/>
  <c r="J26" i="2" s="1"/>
  <c r="AB25" i="2"/>
  <c r="O368" i="2"/>
  <c r="R68" i="2"/>
  <c r="S69" i="2"/>
  <c r="T69" i="2" s="1"/>
  <c r="K370" i="2"/>
  <c r="R100" i="2"/>
  <c r="S101" i="2"/>
  <c r="T101" i="2" s="1"/>
  <c r="Y373" i="2"/>
  <c r="N374" i="2"/>
  <c r="P374" i="2" s="1"/>
  <c r="Q374" i="2" s="1"/>
  <c r="P148" i="2"/>
  <c r="Q148" i="2" s="1"/>
  <c r="AB159" i="2"/>
  <c r="AB221" i="2" s="1"/>
  <c r="P185" i="2"/>
  <c r="Q185" i="2" s="1"/>
  <c r="I207" i="2"/>
  <c r="J207" i="2" s="1"/>
  <c r="G206" i="2"/>
  <c r="I206" i="2" s="1"/>
  <c r="J206" i="2" s="1"/>
  <c r="L207" i="2"/>
  <c r="M207" i="2" s="1"/>
  <c r="Z224" i="2"/>
  <c r="AA224" i="2" s="1"/>
  <c r="S254" i="2"/>
  <c r="T254" i="2" s="1"/>
  <c r="R253" i="2"/>
  <c r="I267" i="2"/>
  <c r="J267" i="2" s="1"/>
  <c r="P268" i="2"/>
  <c r="Q268" i="2" s="1"/>
  <c r="N267" i="2"/>
  <c r="P267" i="2" s="1"/>
  <c r="Q267" i="2" s="1"/>
  <c r="O365" i="2"/>
  <c r="L366" i="2"/>
  <c r="M366" i="2" s="1"/>
  <c r="U118" i="2"/>
  <c r="Z118" i="2" s="1"/>
  <c r="AA118" i="2" s="1"/>
  <c r="L374" i="2"/>
  <c r="M374" i="2" s="1"/>
  <c r="W148" i="2"/>
  <c r="X148" i="2" s="1"/>
  <c r="G153" i="2"/>
  <c r="G159" i="2"/>
  <c r="I159" i="2" s="1"/>
  <c r="J159" i="2" s="1"/>
  <c r="U180" i="2"/>
  <c r="W180" i="2" s="1"/>
  <c r="X180" i="2" s="1"/>
  <c r="G185" i="2"/>
  <c r="I185" i="2" s="1"/>
  <c r="J185" i="2" s="1"/>
  <c r="P189" i="2"/>
  <c r="Q189" i="2" s="1"/>
  <c r="I193" i="2"/>
  <c r="J193" i="2" s="1"/>
  <c r="G192" i="2"/>
  <c r="I192" i="2" s="1"/>
  <c r="J192" i="2" s="1"/>
  <c r="P194" i="2"/>
  <c r="Q194" i="2" s="1"/>
  <c r="I203" i="2"/>
  <c r="J203" i="2" s="1"/>
  <c r="G202" i="2"/>
  <c r="N206" i="2"/>
  <c r="P206" i="2" s="1"/>
  <c r="Q206" i="2" s="1"/>
  <c r="AB224" i="2"/>
  <c r="I233" i="2"/>
  <c r="J233" i="2" s="1"/>
  <c r="S234" i="2"/>
  <c r="T234" i="2" s="1"/>
  <c r="R233" i="2"/>
  <c r="S244" i="2"/>
  <c r="T244" i="2" s="1"/>
  <c r="P248" i="2"/>
  <c r="Q248" i="2" s="1"/>
  <c r="N247" i="2"/>
  <c r="P260" i="2"/>
  <c r="Q260" i="2" s="1"/>
  <c r="S280" i="2"/>
  <c r="T280" i="2" s="1"/>
  <c r="S292" i="2"/>
  <c r="T292" i="2" s="1"/>
  <c r="R291" i="2"/>
  <c r="S300" i="2"/>
  <c r="T300" i="2" s="1"/>
  <c r="S304" i="2"/>
  <c r="T304" i="2" s="1"/>
  <c r="R303" i="2"/>
  <c r="S312" i="2"/>
  <c r="T312" i="2" s="1"/>
  <c r="I321" i="2"/>
  <c r="J321" i="2" s="1"/>
  <c r="P322" i="2"/>
  <c r="Q322" i="2" s="1"/>
  <c r="N321" i="2"/>
  <c r="P321" i="2" s="1"/>
  <c r="Q321" i="2" s="1"/>
  <c r="P340" i="2"/>
  <c r="Q340" i="2" s="1"/>
  <c r="N339" i="2"/>
  <c r="P339" i="2" s="1"/>
  <c r="Q339" i="2" s="1"/>
  <c r="P344" i="2"/>
  <c r="Q344" i="2" s="1"/>
  <c r="N343" i="2"/>
  <c r="P343" i="2" s="1"/>
  <c r="Q343" i="2" s="1"/>
  <c r="Z14" i="2"/>
  <c r="AA14" i="2" s="1"/>
  <c r="L25" i="2"/>
  <c r="M25" i="2" s="1"/>
  <c r="Z26" i="2"/>
  <c r="AA26" i="2" s="1"/>
  <c r="L51" i="2"/>
  <c r="M51" i="2" s="1"/>
  <c r="Z52" i="2"/>
  <c r="AA52" i="2" s="1"/>
  <c r="L55" i="2"/>
  <c r="M55" i="2" s="1"/>
  <c r="Z56" i="2"/>
  <c r="AA56" i="2" s="1"/>
  <c r="Z62" i="2"/>
  <c r="AA62" i="2" s="1"/>
  <c r="L63" i="2"/>
  <c r="M63" i="2" s="1"/>
  <c r="L69" i="2"/>
  <c r="M69" i="2" s="1"/>
  <c r="Z74" i="2"/>
  <c r="AA74" i="2" s="1"/>
  <c r="L75" i="2"/>
  <c r="M75" i="2" s="1"/>
  <c r="Z100" i="2"/>
  <c r="AA100" i="2" s="1"/>
  <c r="L101" i="2"/>
  <c r="M101" i="2" s="1"/>
  <c r="Z106" i="2"/>
  <c r="AA106" i="2" s="1"/>
  <c r="L107" i="2"/>
  <c r="M107" i="2" s="1"/>
  <c r="L148" i="2"/>
  <c r="M148" i="2" s="1"/>
  <c r="I197" i="2"/>
  <c r="J197" i="2" s="1"/>
  <c r="I199" i="2"/>
  <c r="J199" i="2" s="1"/>
  <c r="Y206" i="2"/>
  <c r="Z206" i="2" s="1"/>
  <c r="AA206" i="2" s="1"/>
  <c r="P207" i="2"/>
  <c r="Q207" i="2" s="1"/>
  <c r="S208" i="2"/>
  <c r="T208" i="2" s="1"/>
  <c r="S210" i="2"/>
  <c r="T210" i="2" s="1"/>
  <c r="P215" i="2"/>
  <c r="Q215" i="2" s="1"/>
  <c r="P225" i="2"/>
  <c r="Q225" i="2" s="1"/>
  <c r="S228" i="2"/>
  <c r="T228" i="2" s="1"/>
  <c r="W234" i="2"/>
  <c r="X234" i="2" s="1"/>
  <c r="S236" i="2"/>
  <c r="T236" i="2" s="1"/>
  <c r="I241" i="2"/>
  <c r="J241" i="2" s="1"/>
  <c r="W244" i="2"/>
  <c r="X244" i="2" s="1"/>
  <c r="I253" i="2"/>
  <c r="J253" i="2" s="1"/>
  <c r="P254" i="2"/>
  <c r="Q254" i="2" s="1"/>
  <c r="N253" i="2"/>
  <c r="P253" i="2" s="1"/>
  <c r="Q253" i="2" s="1"/>
  <c r="I257" i="2"/>
  <c r="J257" i="2" s="1"/>
  <c r="S260" i="2"/>
  <c r="T260" i="2" s="1"/>
  <c r="S264" i="2"/>
  <c r="T264" i="2" s="1"/>
  <c r="S268" i="2"/>
  <c r="T268" i="2" s="1"/>
  <c r="R267" i="2"/>
  <c r="S267" i="2" s="1"/>
  <c r="T267" i="2" s="1"/>
  <c r="I273" i="2"/>
  <c r="J273" i="2" s="1"/>
  <c r="W278" i="2"/>
  <c r="X278" i="2" s="1"/>
  <c r="I279" i="2"/>
  <c r="J279" i="2" s="1"/>
  <c r="W280" i="2"/>
  <c r="X280" i="2" s="1"/>
  <c r="S282" i="2"/>
  <c r="T282" i="2" s="1"/>
  <c r="W292" i="2"/>
  <c r="X292" i="2" s="1"/>
  <c r="S294" i="2"/>
  <c r="T294" i="2" s="1"/>
  <c r="I299" i="2"/>
  <c r="J299" i="2" s="1"/>
  <c r="W300" i="2"/>
  <c r="X300" i="2" s="1"/>
  <c r="W304" i="2"/>
  <c r="X304" i="2" s="1"/>
  <c r="S306" i="2"/>
  <c r="T306" i="2" s="1"/>
  <c r="I311" i="2"/>
  <c r="J311" i="2" s="1"/>
  <c r="W312" i="2"/>
  <c r="X312" i="2" s="1"/>
  <c r="S314" i="2"/>
  <c r="T314" i="2" s="1"/>
  <c r="I325" i="2"/>
  <c r="J325" i="2" s="1"/>
  <c r="S328" i="2"/>
  <c r="T328" i="2" s="1"/>
  <c r="S330" i="2"/>
  <c r="T330" i="2" s="1"/>
  <c r="I347" i="2"/>
  <c r="J347" i="2" s="1"/>
  <c r="R350" i="2"/>
  <c r="S350" i="2" s="1"/>
  <c r="T350" i="2" s="1"/>
  <c r="S352" i="2"/>
  <c r="T352" i="2" s="1"/>
  <c r="U13" i="2"/>
  <c r="I25" i="2"/>
  <c r="J25" i="2" s="1"/>
  <c r="U25" i="2"/>
  <c r="Z25" i="2" s="1"/>
  <c r="AA25" i="2" s="1"/>
  <c r="U51" i="2"/>
  <c r="I55" i="2"/>
  <c r="J55" i="2" s="1"/>
  <c r="U55" i="2"/>
  <c r="G62" i="2"/>
  <c r="W62" i="2"/>
  <c r="X62" i="2" s="1"/>
  <c r="G68" i="2"/>
  <c r="W68" i="2"/>
  <c r="X68" i="2" s="1"/>
  <c r="G74" i="2"/>
  <c r="W74" i="2"/>
  <c r="X74" i="2" s="1"/>
  <c r="G100" i="2"/>
  <c r="G106" i="2"/>
  <c r="O373" i="2"/>
  <c r="W374" i="2"/>
  <c r="X374" i="2" s="1"/>
  <c r="K150" i="2"/>
  <c r="U221" i="2"/>
  <c r="W192" i="2"/>
  <c r="X192" i="2" s="1"/>
  <c r="S194" i="2"/>
  <c r="T194" i="2" s="1"/>
  <c r="I195" i="2"/>
  <c r="J195" i="2" s="1"/>
  <c r="L195" i="2"/>
  <c r="M195" i="2" s="1"/>
  <c r="W208" i="2"/>
  <c r="X208" i="2" s="1"/>
  <c r="W210" i="2"/>
  <c r="X210" i="2" s="1"/>
  <c r="W228" i="2"/>
  <c r="X228" i="2" s="1"/>
  <c r="P234" i="2"/>
  <c r="Q234" i="2" s="1"/>
  <c r="N233" i="2"/>
  <c r="P233" i="2" s="1"/>
  <c r="Q233" i="2" s="1"/>
  <c r="V233" i="2"/>
  <c r="I235" i="2"/>
  <c r="J235" i="2" s="1"/>
  <c r="W236" i="2"/>
  <c r="X236" i="2" s="1"/>
  <c r="S248" i="2"/>
  <c r="T248" i="2" s="1"/>
  <c r="R247" i="2"/>
  <c r="W260" i="2"/>
  <c r="X260" i="2" s="1"/>
  <c r="I261" i="2"/>
  <c r="J261" i="2" s="1"/>
  <c r="W264" i="2"/>
  <c r="X264" i="2" s="1"/>
  <c r="W268" i="2"/>
  <c r="X268" i="2" s="1"/>
  <c r="H278" i="2"/>
  <c r="AB278" i="2"/>
  <c r="I281" i="2"/>
  <c r="J281" i="2" s="1"/>
  <c r="W282" i="2"/>
  <c r="X282" i="2" s="1"/>
  <c r="O360" i="2"/>
  <c r="P292" i="2"/>
  <c r="Q292" i="2" s="1"/>
  <c r="N291" i="2"/>
  <c r="V291" i="2"/>
  <c r="I293" i="2"/>
  <c r="J293" i="2" s="1"/>
  <c r="W294" i="2"/>
  <c r="X294" i="2" s="1"/>
  <c r="I303" i="2"/>
  <c r="J303" i="2" s="1"/>
  <c r="P304" i="2"/>
  <c r="Q304" i="2" s="1"/>
  <c r="N303" i="2"/>
  <c r="P303" i="2" s="1"/>
  <c r="Q303" i="2" s="1"/>
  <c r="V303" i="2"/>
  <c r="I305" i="2"/>
  <c r="J305" i="2" s="1"/>
  <c r="W306" i="2"/>
  <c r="X306" i="2" s="1"/>
  <c r="I313" i="2"/>
  <c r="J313" i="2" s="1"/>
  <c r="W314" i="2"/>
  <c r="X314" i="2" s="1"/>
  <c r="S322" i="2"/>
  <c r="T322" i="2" s="1"/>
  <c r="R321" i="2"/>
  <c r="I329" i="2"/>
  <c r="J329" i="2" s="1"/>
  <c r="W330" i="2"/>
  <c r="X330" i="2" s="1"/>
  <c r="S340" i="2"/>
  <c r="T340" i="2" s="1"/>
  <c r="R339" i="2"/>
  <c r="S339" i="2" s="1"/>
  <c r="T339" i="2" s="1"/>
  <c r="S344" i="2"/>
  <c r="T344" i="2" s="1"/>
  <c r="R343" i="2"/>
  <c r="W350" i="2"/>
  <c r="X350" i="2" s="1"/>
  <c r="I351" i="2"/>
  <c r="J351" i="2" s="1"/>
  <c r="W352" i="2"/>
  <c r="X352" i="2" s="1"/>
  <c r="U233" i="2"/>
  <c r="U247" i="2"/>
  <c r="W247" i="2" s="1"/>
  <c r="X247" i="2" s="1"/>
  <c r="U253" i="2"/>
  <c r="W253" i="2" s="1"/>
  <c r="X253" i="2" s="1"/>
  <c r="G260" i="2"/>
  <c r="I260" i="2" s="1"/>
  <c r="J260" i="2" s="1"/>
  <c r="U267" i="2"/>
  <c r="W267" i="2" s="1"/>
  <c r="X267" i="2" s="1"/>
  <c r="G278" i="2"/>
  <c r="I278" i="2" s="1"/>
  <c r="J278" i="2" s="1"/>
  <c r="I291" i="2"/>
  <c r="J291" i="2" s="1"/>
  <c r="U291" i="2"/>
  <c r="U303" i="2"/>
  <c r="U321" i="2"/>
  <c r="W321" i="2" s="1"/>
  <c r="X321" i="2" s="1"/>
  <c r="G328" i="2"/>
  <c r="U339" i="2"/>
  <c r="W339" i="2" s="1"/>
  <c r="X339" i="2" s="1"/>
  <c r="U343" i="2"/>
  <c r="W343" i="2" s="1"/>
  <c r="X343" i="2" s="1"/>
  <c r="G350" i="2"/>
  <c r="I350" i="2" s="1"/>
  <c r="J350" i="2" s="1"/>
  <c r="I46" i="1" l="1"/>
  <c r="J46" i="1" s="1"/>
  <c r="H54" i="1"/>
  <c r="H58" i="1" s="1"/>
  <c r="Z192" i="2"/>
  <c r="AA192" i="2" s="1"/>
  <c r="Y370" i="2"/>
  <c r="Z370" i="2" s="1"/>
  <c r="AA370" i="2" s="1"/>
  <c r="H114" i="1"/>
  <c r="I115" i="1"/>
  <c r="J115" i="1" s="1"/>
  <c r="D22" i="1"/>
  <c r="I22" i="1" s="1"/>
  <c r="J22" i="1" s="1"/>
  <c r="I26" i="1"/>
  <c r="J26" i="1" s="1"/>
  <c r="D30" i="1"/>
  <c r="E114" i="1"/>
  <c r="E129" i="1" s="1"/>
  <c r="E133" i="1" s="1"/>
  <c r="F115" i="1"/>
  <c r="G115" i="1" s="1"/>
  <c r="M156" i="1"/>
  <c r="N124" i="1"/>
  <c r="O124" i="1" s="1"/>
  <c r="Q124" i="1"/>
  <c r="R124" i="1" s="1"/>
  <c r="I202" i="2"/>
  <c r="J202" i="2" s="1"/>
  <c r="L202" i="2"/>
  <c r="M202" i="2" s="1"/>
  <c r="U54" i="1"/>
  <c r="U58" i="1" s="1"/>
  <c r="V42" i="1"/>
  <c r="W42" i="1" s="1"/>
  <c r="O221" i="2"/>
  <c r="O364" i="2"/>
  <c r="L13" i="2"/>
  <c r="M13" i="2" s="1"/>
  <c r="G364" i="2"/>
  <c r="I13" i="2"/>
  <c r="J13" i="2" s="1"/>
  <c r="M22" i="1"/>
  <c r="M30" i="1" s="1"/>
  <c r="M34" i="1" s="1"/>
  <c r="M109" i="1" s="1"/>
  <c r="M153" i="1" s="1"/>
  <c r="N26" i="1"/>
  <c r="O26" i="1" s="1"/>
  <c r="D117" i="1"/>
  <c r="AB373" i="2"/>
  <c r="S206" i="2"/>
  <c r="T206" i="2" s="1"/>
  <c r="S180" i="2"/>
  <c r="T180" i="2" s="1"/>
  <c r="F74" i="1"/>
  <c r="G74" i="1" s="1"/>
  <c r="F26" i="1"/>
  <c r="G26" i="1" s="1"/>
  <c r="U78" i="1"/>
  <c r="U82" i="1" s="1"/>
  <c r="Y367" i="2"/>
  <c r="Y376" i="2" s="1"/>
  <c r="H373" i="2"/>
  <c r="G150" i="2"/>
  <c r="F98" i="1"/>
  <c r="G98" i="1" s="1"/>
  <c r="V367" i="2"/>
  <c r="AB370" i="2"/>
  <c r="K367" i="2"/>
  <c r="L367" i="2" s="1"/>
  <c r="M367" i="2" s="1"/>
  <c r="T114" i="1"/>
  <c r="H30" i="1"/>
  <c r="H34" i="1" s="1"/>
  <c r="V288" i="2"/>
  <c r="O367" i="2"/>
  <c r="X102" i="1"/>
  <c r="X106" i="1" s="1"/>
  <c r="X156" i="1" s="1"/>
  <c r="I124" i="1"/>
  <c r="J124" i="1" s="1"/>
  <c r="AB365" i="2"/>
  <c r="E121" i="1"/>
  <c r="H360" i="2"/>
  <c r="L343" i="2"/>
  <c r="M343" i="2" s="1"/>
  <c r="AB360" i="2"/>
  <c r="P102" i="1"/>
  <c r="P106" i="1" s="1"/>
  <c r="P109" i="1" s="1"/>
  <c r="P153" i="1" s="1"/>
  <c r="O370" i="2"/>
  <c r="F70" i="1"/>
  <c r="G70" i="1" s="1"/>
  <c r="P121" i="1"/>
  <c r="G367" i="2"/>
  <c r="I367" i="2" s="1"/>
  <c r="J367" i="2" s="1"/>
  <c r="W303" i="2"/>
  <c r="X303" i="2" s="1"/>
  <c r="H365" i="2"/>
  <c r="F87" i="1"/>
  <c r="G87" i="1" s="1"/>
  <c r="P117" i="1"/>
  <c r="Y115" i="1"/>
  <c r="Z115" i="1" s="1"/>
  <c r="AB367" i="2"/>
  <c r="P247" i="2"/>
  <c r="Q247" i="2" s="1"/>
  <c r="D78" i="1"/>
  <c r="D82" i="1" s="1"/>
  <c r="P30" i="1"/>
  <c r="P34" i="1" s="1"/>
  <c r="Y360" i="2"/>
  <c r="H288" i="2"/>
  <c r="I94" i="1"/>
  <c r="J94" i="1" s="1"/>
  <c r="F94" i="1"/>
  <c r="G94" i="1" s="1"/>
  <c r="L30" i="1"/>
  <c r="H109" i="1"/>
  <c r="E78" i="1"/>
  <c r="E82" i="1" s="1"/>
  <c r="O150" i="2"/>
  <c r="W100" i="2"/>
  <c r="X100" i="2" s="1"/>
  <c r="I18" i="1"/>
  <c r="J18" i="1" s="1"/>
  <c r="V113" i="1"/>
  <c r="W113" i="1" s="1"/>
  <c r="U102" i="1"/>
  <c r="U106" i="1" s="1"/>
  <c r="U370" i="2"/>
  <c r="W370" i="2" s="1"/>
  <c r="X370" i="2" s="1"/>
  <c r="Z153" i="2"/>
  <c r="AA153" i="2" s="1"/>
  <c r="L303" i="2"/>
  <c r="M303" i="2" s="1"/>
  <c r="K372" i="2"/>
  <c r="R221" i="2"/>
  <c r="Y365" i="2"/>
  <c r="Z278" i="2"/>
  <c r="AA278" i="2" s="1"/>
  <c r="P159" i="2"/>
  <c r="Q159" i="2" s="1"/>
  <c r="N364" i="2"/>
  <c r="K360" i="2"/>
  <c r="L291" i="2"/>
  <c r="M291" i="2" s="1"/>
  <c r="I51" i="2"/>
  <c r="J51" i="2" s="1"/>
  <c r="Y116" i="1"/>
  <c r="Z116" i="1" s="1"/>
  <c r="N115" i="1"/>
  <c r="O115" i="1" s="1"/>
  <c r="AB372" i="2"/>
  <c r="Z328" i="2"/>
  <c r="AA328" i="2" s="1"/>
  <c r="L180" i="2"/>
  <c r="M180" i="2" s="1"/>
  <c r="S321" i="2"/>
  <c r="T321" i="2" s="1"/>
  <c r="K365" i="2"/>
  <c r="V116" i="1"/>
  <c r="W116" i="1" s="1"/>
  <c r="N46" i="1"/>
  <c r="O46" i="1" s="1"/>
  <c r="M121" i="1"/>
  <c r="M129" i="1" s="1"/>
  <c r="M133" i="1" s="1"/>
  <c r="I328" i="2"/>
  <c r="J328" i="2" s="1"/>
  <c r="S343" i="2"/>
  <c r="T343" i="2" s="1"/>
  <c r="S224" i="2"/>
  <c r="T224" i="2" s="1"/>
  <c r="H221" i="2"/>
  <c r="AB54" i="1"/>
  <c r="AB58" i="1" s="1"/>
  <c r="AB109" i="1" s="1"/>
  <c r="AB153" i="1" s="1"/>
  <c r="F119" i="1"/>
  <c r="G119" i="1" s="1"/>
  <c r="X129" i="1"/>
  <c r="X133" i="1" s="1"/>
  <c r="W202" i="2"/>
  <c r="X202" i="2" s="1"/>
  <c r="Z202" i="2"/>
  <c r="AA202" i="2" s="1"/>
  <c r="Y221" i="2"/>
  <c r="K288" i="2"/>
  <c r="K364" i="2"/>
  <c r="Z180" i="2"/>
  <c r="AA180" i="2" s="1"/>
  <c r="F124" i="1"/>
  <c r="G124" i="1" s="1"/>
  <c r="Q22" i="1"/>
  <c r="R22" i="1" s="1"/>
  <c r="H368" i="2"/>
  <c r="H125" i="1"/>
  <c r="H121" i="1" s="1"/>
  <c r="H129" i="1" s="1"/>
  <c r="H133" i="1" s="1"/>
  <c r="Y131" i="1"/>
  <c r="Z131" i="1" s="1"/>
  <c r="Z68" i="2"/>
  <c r="AA68" i="2" s="1"/>
  <c r="Y150" i="2"/>
  <c r="U30" i="1"/>
  <c r="U34" i="1" s="1"/>
  <c r="L247" i="2"/>
  <c r="M247" i="2" s="1"/>
  <c r="H156" i="1"/>
  <c r="I118" i="1"/>
  <c r="J118" i="1" s="1"/>
  <c r="Q70" i="1"/>
  <c r="R70" i="1" s="1"/>
  <c r="N70" i="1"/>
  <c r="O70" i="1" s="1"/>
  <c r="X30" i="1"/>
  <c r="X34" i="1" s="1"/>
  <c r="N125" i="1"/>
  <c r="O125" i="1" s="1"/>
  <c r="Q125" i="1"/>
  <c r="R125" i="1" s="1"/>
  <c r="F78" i="1"/>
  <c r="G78" i="1" s="1"/>
  <c r="N114" i="1"/>
  <c r="O114" i="1" s="1"/>
  <c r="Q94" i="1"/>
  <c r="R94" i="1" s="1"/>
  <c r="N94" i="1"/>
  <c r="O94" i="1" s="1"/>
  <c r="L102" i="1"/>
  <c r="T82" i="1"/>
  <c r="V78" i="1"/>
  <c r="W78" i="1" s="1"/>
  <c r="Y78" i="1"/>
  <c r="Z78" i="1" s="1"/>
  <c r="P364" i="2"/>
  <c r="Q364" i="2" s="1"/>
  <c r="W233" i="2"/>
  <c r="X233" i="2" s="1"/>
  <c r="S247" i="2"/>
  <c r="T247" i="2" s="1"/>
  <c r="O362" i="2"/>
  <c r="G372" i="2"/>
  <c r="I106" i="2"/>
  <c r="J106" i="2" s="1"/>
  <c r="G370" i="2"/>
  <c r="I370" i="2" s="1"/>
  <c r="J370" i="2" s="1"/>
  <c r="I74" i="2"/>
  <c r="J74" i="2" s="1"/>
  <c r="G368" i="2"/>
  <c r="I62" i="2"/>
  <c r="J62" i="2" s="1"/>
  <c r="L62" i="2"/>
  <c r="M62" i="2" s="1"/>
  <c r="Z339" i="2"/>
  <c r="AA339" i="2" s="1"/>
  <c r="Z321" i="2"/>
  <c r="AA321" i="2" s="1"/>
  <c r="S233" i="2"/>
  <c r="T233" i="2" s="1"/>
  <c r="R288" i="2"/>
  <c r="I153" i="2"/>
  <c r="J153" i="2" s="1"/>
  <c r="G221" i="2"/>
  <c r="Y372" i="2"/>
  <c r="U368" i="2"/>
  <c r="L364" i="2"/>
  <c r="M364" i="2" s="1"/>
  <c r="R371" i="2"/>
  <c r="S100" i="2"/>
  <c r="T100" i="2" s="1"/>
  <c r="Y362" i="2"/>
  <c r="L278" i="2"/>
  <c r="M278" i="2" s="1"/>
  <c r="L192" i="2"/>
  <c r="M192" i="2" s="1"/>
  <c r="S374" i="2"/>
  <c r="T374" i="2" s="1"/>
  <c r="L106" i="2"/>
  <c r="M106" i="2" s="1"/>
  <c r="R367" i="2"/>
  <c r="S55" i="2"/>
  <c r="T55" i="2" s="1"/>
  <c r="N365" i="2"/>
  <c r="P365" i="2" s="1"/>
  <c r="Q365" i="2" s="1"/>
  <c r="P25" i="2"/>
  <c r="Q25" i="2" s="1"/>
  <c r="F90" i="1"/>
  <c r="G90" i="1" s="1"/>
  <c r="I90" i="1"/>
  <c r="J90" i="1" s="1"/>
  <c r="V74" i="1"/>
  <c r="W74" i="1" s="1"/>
  <c r="Y74" i="1"/>
  <c r="Z74" i="1" s="1"/>
  <c r="F42" i="1"/>
  <c r="G42" i="1" s="1"/>
  <c r="I42" i="1"/>
  <c r="J42" i="1" s="1"/>
  <c r="Z233" i="2"/>
  <c r="AA233" i="2" s="1"/>
  <c r="V365" i="2"/>
  <c r="R150" i="2"/>
  <c r="S13" i="2"/>
  <c r="T13" i="2" s="1"/>
  <c r="R364" i="2"/>
  <c r="F127" i="1"/>
  <c r="G127" i="1" s="1"/>
  <c r="I127" i="1"/>
  <c r="J127" i="1" s="1"/>
  <c r="N122" i="1"/>
  <c r="O122" i="1" s="1"/>
  <c r="Q122" i="1"/>
  <c r="R122" i="1" s="1"/>
  <c r="L121" i="1"/>
  <c r="Q112" i="1"/>
  <c r="R112" i="1" s="1"/>
  <c r="N112" i="1"/>
  <c r="O112" i="1" s="1"/>
  <c r="Q30" i="1"/>
  <c r="R30" i="1" s="1"/>
  <c r="L34" i="1"/>
  <c r="N368" i="2"/>
  <c r="P368" i="2" s="1"/>
  <c r="Q368" i="2" s="1"/>
  <c r="P62" i="2"/>
  <c r="Q62" i="2" s="1"/>
  <c r="Q119" i="1"/>
  <c r="R119" i="1" s="1"/>
  <c r="N119" i="1"/>
  <c r="O119" i="1" s="1"/>
  <c r="E46" i="1"/>
  <c r="F46" i="1" s="1"/>
  <c r="G46" i="1" s="1"/>
  <c r="Q42" i="1"/>
  <c r="R42" i="1" s="1"/>
  <c r="N42" i="1"/>
  <c r="O42" i="1" s="1"/>
  <c r="D54" i="1"/>
  <c r="L74" i="2"/>
  <c r="M74" i="2" s="1"/>
  <c r="Y125" i="1"/>
  <c r="Z125" i="1" s="1"/>
  <c r="V125" i="1"/>
  <c r="W125" i="1" s="1"/>
  <c r="F63" i="1"/>
  <c r="G63" i="1" s="1"/>
  <c r="Y122" i="1"/>
  <c r="Z122" i="1" s="1"/>
  <c r="V118" i="1"/>
  <c r="W118" i="1" s="1"/>
  <c r="V114" i="1"/>
  <c r="W114" i="1" s="1"/>
  <c r="Y114" i="1"/>
  <c r="Z114" i="1" s="1"/>
  <c r="V66" i="1"/>
  <c r="W66" i="1" s="1"/>
  <c r="K221" i="2"/>
  <c r="L221" i="2" s="1"/>
  <c r="M221" i="2" s="1"/>
  <c r="F18" i="1"/>
  <c r="G18" i="1" s="1"/>
  <c r="N150" i="2"/>
  <c r="N367" i="2"/>
  <c r="P55" i="2"/>
  <c r="Q55" i="2" s="1"/>
  <c r="Q87" i="1"/>
  <c r="R87" i="1" s="1"/>
  <c r="N87" i="1"/>
  <c r="O87" i="1" s="1"/>
  <c r="U360" i="2"/>
  <c r="Z360" i="2" s="1"/>
  <c r="AA360" i="2" s="1"/>
  <c r="W291" i="2"/>
  <c r="X291" i="2" s="1"/>
  <c r="K362" i="2"/>
  <c r="L150" i="2"/>
  <c r="M150" i="2" s="1"/>
  <c r="U367" i="2"/>
  <c r="W55" i="2"/>
  <c r="X55" i="2" s="1"/>
  <c r="Z55" i="2"/>
  <c r="AA55" i="2" s="1"/>
  <c r="U365" i="2"/>
  <c r="W365" i="2" s="1"/>
  <c r="X365" i="2" s="1"/>
  <c r="W25" i="2"/>
  <c r="X25" i="2" s="1"/>
  <c r="L328" i="2"/>
  <c r="M328" i="2" s="1"/>
  <c r="S291" i="2"/>
  <c r="T291" i="2" s="1"/>
  <c r="R360" i="2"/>
  <c r="U372" i="2"/>
  <c r="N369" i="2"/>
  <c r="P369" i="2" s="1"/>
  <c r="Q369" i="2" s="1"/>
  <c r="P68" i="2"/>
  <c r="Q68" i="2" s="1"/>
  <c r="V87" i="1"/>
  <c r="W87" i="1" s="1"/>
  <c r="Y87" i="1"/>
  <c r="Z87" i="1" s="1"/>
  <c r="V70" i="1"/>
  <c r="W70" i="1" s="1"/>
  <c r="Y70" i="1"/>
  <c r="Z70" i="1" s="1"/>
  <c r="V39" i="1"/>
  <c r="W39" i="1" s="1"/>
  <c r="Y39" i="1"/>
  <c r="Z39" i="1" s="1"/>
  <c r="V22" i="1"/>
  <c r="W22" i="1" s="1"/>
  <c r="Y22" i="1"/>
  <c r="Z22" i="1" s="1"/>
  <c r="R373" i="2"/>
  <c r="S118" i="2"/>
  <c r="T118" i="2" s="1"/>
  <c r="V372" i="2"/>
  <c r="N370" i="2"/>
  <c r="P370" i="2" s="1"/>
  <c r="Q370" i="2" s="1"/>
  <c r="P74" i="2"/>
  <c r="Q74" i="2" s="1"/>
  <c r="S62" i="2"/>
  <c r="T62" i="2" s="1"/>
  <c r="R368" i="2"/>
  <c r="S368" i="2" s="1"/>
  <c r="T368" i="2" s="1"/>
  <c r="AB364" i="2"/>
  <c r="AB150" i="2"/>
  <c r="F125" i="1"/>
  <c r="G125" i="1" s="1"/>
  <c r="I125" i="1"/>
  <c r="J125" i="1" s="1"/>
  <c r="Q120" i="1"/>
  <c r="R120" i="1" s="1"/>
  <c r="N120" i="1"/>
  <c r="O120" i="1" s="1"/>
  <c r="L153" i="2"/>
  <c r="M153" i="2" s="1"/>
  <c r="V115" i="1"/>
  <c r="W115" i="1" s="1"/>
  <c r="Q66" i="1"/>
  <c r="R66" i="1" s="1"/>
  <c r="N66" i="1"/>
  <c r="O66" i="1" s="1"/>
  <c r="Q90" i="1"/>
  <c r="R90" i="1" s="1"/>
  <c r="N90" i="1"/>
  <c r="O90" i="1" s="1"/>
  <c r="S74" i="2"/>
  <c r="T74" i="2" s="1"/>
  <c r="R370" i="2"/>
  <c r="V360" i="2"/>
  <c r="G360" i="2"/>
  <c r="Z221" i="2"/>
  <c r="AA221" i="2" s="1"/>
  <c r="G373" i="2"/>
  <c r="I373" i="2" s="1"/>
  <c r="J373" i="2" s="1"/>
  <c r="G371" i="2"/>
  <c r="I100" i="2"/>
  <c r="J100" i="2" s="1"/>
  <c r="L100" i="2"/>
  <c r="M100" i="2" s="1"/>
  <c r="G369" i="2"/>
  <c r="I68" i="2"/>
  <c r="J68" i="2" s="1"/>
  <c r="L68" i="2"/>
  <c r="M68" i="2" s="1"/>
  <c r="L214" i="2"/>
  <c r="M214" i="2" s="1"/>
  <c r="L206" i="2"/>
  <c r="M206" i="2" s="1"/>
  <c r="S303" i="2"/>
  <c r="T303" i="2" s="1"/>
  <c r="Z267" i="2"/>
  <c r="AA267" i="2" s="1"/>
  <c r="G365" i="2"/>
  <c r="I365" i="2" s="1"/>
  <c r="J365" i="2" s="1"/>
  <c r="U288" i="2"/>
  <c r="W288" i="2" s="1"/>
  <c r="X288" i="2" s="1"/>
  <c r="G288" i="2"/>
  <c r="I224" i="2"/>
  <c r="J224" i="2" s="1"/>
  <c r="V221" i="2"/>
  <c r="V98" i="1"/>
  <c r="W98" i="1" s="1"/>
  <c r="Y98" i="1"/>
  <c r="Z98" i="1" s="1"/>
  <c r="F66" i="1"/>
  <c r="G66" i="1" s="1"/>
  <c r="I66" i="1"/>
  <c r="J66" i="1" s="1"/>
  <c r="V50" i="1"/>
  <c r="W50" i="1" s="1"/>
  <c r="Y50" i="1"/>
  <c r="Z50" i="1" s="1"/>
  <c r="V26" i="1"/>
  <c r="W26" i="1" s="1"/>
  <c r="Y26" i="1"/>
  <c r="Z26" i="1" s="1"/>
  <c r="V18" i="1"/>
  <c r="W18" i="1" s="1"/>
  <c r="Y18" i="1"/>
  <c r="Z18" i="1" s="1"/>
  <c r="P224" i="2"/>
  <c r="Q224" i="2" s="1"/>
  <c r="N288" i="2"/>
  <c r="P288" i="2" s="1"/>
  <c r="Q288" i="2" s="1"/>
  <c r="N372" i="2"/>
  <c r="P372" i="2" s="1"/>
  <c r="Q372" i="2" s="1"/>
  <c r="P106" i="2"/>
  <c r="Q106" i="2" s="1"/>
  <c r="H153" i="1"/>
  <c r="V124" i="1"/>
  <c r="W124" i="1" s="1"/>
  <c r="Y124" i="1"/>
  <c r="Z124" i="1" s="1"/>
  <c r="Q118" i="1"/>
  <c r="R118" i="1" s="1"/>
  <c r="N118" i="1"/>
  <c r="O118" i="1" s="1"/>
  <c r="L117" i="1"/>
  <c r="U109" i="1"/>
  <c r="U153" i="1" s="1"/>
  <c r="L54" i="1"/>
  <c r="N123" i="1"/>
  <c r="O123" i="1" s="1"/>
  <c r="Q123" i="1"/>
  <c r="R123" i="1" s="1"/>
  <c r="Q15" i="1"/>
  <c r="R15" i="1" s="1"/>
  <c r="N15" i="1"/>
  <c r="O15" i="1" s="1"/>
  <c r="I114" i="1"/>
  <c r="J114" i="1" s="1"/>
  <c r="S366" i="2"/>
  <c r="T366" i="2" s="1"/>
  <c r="AB121" i="1"/>
  <c r="AB129" i="1" s="1"/>
  <c r="AB133" i="1" s="1"/>
  <c r="E22" i="1"/>
  <c r="F22" i="1" s="1"/>
  <c r="G22" i="1" s="1"/>
  <c r="V112" i="1"/>
  <c r="W112" i="1" s="1"/>
  <c r="S106" i="2"/>
  <c r="T106" i="2" s="1"/>
  <c r="R372" i="2"/>
  <c r="S372" i="2" s="1"/>
  <c r="T372" i="2" s="1"/>
  <c r="E54" i="1"/>
  <c r="E58" i="1" s="1"/>
  <c r="F117" i="1"/>
  <c r="G117" i="1" s="1"/>
  <c r="I117" i="1"/>
  <c r="J117" i="1" s="1"/>
  <c r="U121" i="1"/>
  <c r="U129" i="1" s="1"/>
  <c r="U133" i="1" s="1"/>
  <c r="R365" i="2"/>
  <c r="S25" i="2"/>
  <c r="T25" i="2" s="1"/>
  <c r="D121" i="1"/>
  <c r="N360" i="2"/>
  <c r="P360" i="2" s="1"/>
  <c r="Q360" i="2" s="1"/>
  <c r="P291" i="2"/>
  <c r="Q291" i="2" s="1"/>
  <c r="Z253" i="2"/>
  <c r="AA253" i="2" s="1"/>
  <c r="W221" i="2"/>
  <c r="X221" i="2" s="1"/>
  <c r="U366" i="2"/>
  <c r="W366" i="2" s="1"/>
  <c r="X366" i="2" s="1"/>
  <c r="W51" i="2"/>
  <c r="X51" i="2" s="1"/>
  <c r="U364" i="2"/>
  <c r="U150" i="2"/>
  <c r="Z150" i="2" s="1"/>
  <c r="AA150" i="2" s="1"/>
  <c r="W13" i="2"/>
  <c r="X13" i="2" s="1"/>
  <c r="Z13" i="2"/>
  <c r="AA13" i="2" s="1"/>
  <c r="Z343" i="2"/>
  <c r="AA343" i="2" s="1"/>
  <c r="Z247" i="2"/>
  <c r="AA247" i="2" s="1"/>
  <c r="L350" i="2"/>
  <c r="M350" i="2" s="1"/>
  <c r="L260" i="2"/>
  <c r="M260" i="2" s="1"/>
  <c r="AB288" i="2"/>
  <c r="U373" i="2"/>
  <c r="W373" i="2" s="1"/>
  <c r="X373" i="2" s="1"/>
  <c r="W118" i="2"/>
  <c r="X118" i="2" s="1"/>
  <c r="U371" i="2"/>
  <c r="O376" i="2"/>
  <c r="O402" i="2" s="1"/>
  <c r="Z303" i="2"/>
  <c r="AA303" i="2" s="1"/>
  <c r="S253" i="2"/>
  <c r="T253" i="2" s="1"/>
  <c r="L185" i="2"/>
  <c r="M185" i="2" s="1"/>
  <c r="R369" i="2"/>
  <c r="S369" i="2" s="1"/>
  <c r="T369" i="2" s="1"/>
  <c r="S68" i="2"/>
  <c r="T68" i="2" s="1"/>
  <c r="T30" i="1"/>
  <c r="N371" i="2"/>
  <c r="P371" i="2" s="1"/>
  <c r="Q371" i="2" s="1"/>
  <c r="P100" i="2"/>
  <c r="Q100" i="2" s="1"/>
  <c r="V150" i="2"/>
  <c r="V362" i="2" s="1"/>
  <c r="V364" i="2"/>
  <c r="V376" i="2" s="1"/>
  <c r="V402" i="2" s="1"/>
  <c r="V94" i="1"/>
  <c r="W94" i="1" s="1"/>
  <c r="Y94" i="1"/>
  <c r="Z94" i="1" s="1"/>
  <c r="V63" i="1"/>
  <c r="W63" i="1" s="1"/>
  <c r="Y63" i="1"/>
  <c r="Z63" i="1" s="1"/>
  <c r="V46" i="1"/>
  <c r="W46" i="1" s="1"/>
  <c r="Y46" i="1"/>
  <c r="Z46" i="1" s="1"/>
  <c r="D34" i="1"/>
  <c r="I30" i="1"/>
  <c r="J30" i="1" s="1"/>
  <c r="F15" i="1"/>
  <c r="G15" i="1" s="1"/>
  <c r="I15" i="1"/>
  <c r="J15" i="1" s="1"/>
  <c r="H364" i="2"/>
  <c r="H150" i="2"/>
  <c r="Q116" i="1"/>
  <c r="R116" i="1" s="1"/>
  <c r="N116" i="1"/>
  <c r="O116" i="1" s="1"/>
  <c r="L159" i="2"/>
  <c r="M159" i="2" s="1"/>
  <c r="Q98" i="1"/>
  <c r="R98" i="1" s="1"/>
  <c r="N98" i="1"/>
  <c r="O98" i="1" s="1"/>
  <c r="AB156" i="1"/>
  <c r="U156" i="1"/>
  <c r="N127" i="1"/>
  <c r="O127" i="1" s="1"/>
  <c r="Q127" i="1"/>
  <c r="R127" i="1" s="1"/>
  <c r="Z291" i="2"/>
  <c r="AA291" i="2" s="1"/>
  <c r="N221" i="2"/>
  <c r="P221" i="2" s="1"/>
  <c r="Q221" i="2" s="1"/>
  <c r="T102" i="1"/>
  <c r="T121" i="1"/>
  <c r="V117" i="1"/>
  <c r="W117" i="1" s="1"/>
  <c r="Y117" i="1"/>
  <c r="Z117" i="1" s="1"/>
  <c r="N373" i="2"/>
  <c r="P373" i="2" s="1"/>
  <c r="Q373" i="2" s="1"/>
  <c r="P118" i="2"/>
  <c r="Q118" i="2" s="1"/>
  <c r="Z51" i="2"/>
  <c r="AA51" i="2" s="1"/>
  <c r="L78" i="1"/>
  <c r="T54" i="1"/>
  <c r="N131" i="1"/>
  <c r="O131" i="1" s="1"/>
  <c r="Q131" i="1"/>
  <c r="R131" i="1" s="1"/>
  <c r="Q74" i="1"/>
  <c r="R74" i="1" s="1"/>
  <c r="N74" i="1"/>
  <c r="O74" i="1" s="1"/>
  <c r="P114" i="1"/>
  <c r="P129" i="1" s="1"/>
  <c r="P133" i="1" s="1"/>
  <c r="F112" i="1"/>
  <c r="G112" i="1" s="1"/>
  <c r="D102" i="1"/>
  <c r="F122" i="1"/>
  <c r="G122" i="1" s="1"/>
  <c r="H362" i="2" l="1"/>
  <c r="S365" i="2"/>
  <c r="T365" i="2" s="1"/>
  <c r="AB376" i="2"/>
  <c r="AB402" i="2" s="1"/>
  <c r="I221" i="2"/>
  <c r="J221" i="2" s="1"/>
  <c r="H376" i="2"/>
  <c r="H402" i="2" s="1"/>
  <c r="L370" i="2"/>
  <c r="M370" i="2" s="1"/>
  <c r="X109" i="1"/>
  <c r="X153" i="1" s="1"/>
  <c r="N22" i="1"/>
  <c r="O22" i="1" s="1"/>
  <c r="N30" i="1"/>
  <c r="O30" i="1" s="1"/>
  <c r="I78" i="1"/>
  <c r="J78" i="1" s="1"/>
  <c r="F114" i="1"/>
  <c r="G114" i="1" s="1"/>
  <c r="I288" i="2"/>
  <c r="J288" i="2" s="1"/>
  <c r="L288" i="2"/>
  <c r="M288" i="2" s="1"/>
  <c r="P156" i="1"/>
  <c r="E156" i="1"/>
  <c r="P367" i="2"/>
  <c r="Q367" i="2" s="1"/>
  <c r="K376" i="2"/>
  <c r="Z365" i="2"/>
  <c r="AA365" i="2" s="1"/>
  <c r="V121" i="1"/>
  <c r="W121" i="1" s="1"/>
  <c r="Y121" i="1"/>
  <c r="Z121" i="1" s="1"/>
  <c r="U376" i="2"/>
  <c r="Z376" i="2" s="1"/>
  <c r="AA376" i="2" s="1"/>
  <c r="W364" i="2"/>
  <c r="X364" i="2" s="1"/>
  <c r="F121" i="1"/>
  <c r="G121" i="1" s="1"/>
  <c r="I121" i="1"/>
  <c r="J121" i="1" s="1"/>
  <c r="I150" i="2"/>
  <c r="J150" i="2" s="1"/>
  <c r="S370" i="2"/>
  <c r="T370" i="2" s="1"/>
  <c r="Y402" i="2"/>
  <c r="G376" i="2"/>
  <c r="L376" i="2" s="1"/>
  <c r="M376" i="2" s="1"/>
  <c r="S364" i="2"/>
  <c r="T364" i="2" s="1"/>
  <c r="R376" i="2"/>
  <c r="Z372" i="2"/>
  <c r="AA372" i="2" s="1"/>
  <c r="Z288" i="2"/>
  <c r="AA288" i="2" s="1"/>
  <c r="I368" i="2"/>
  <c r="J368" i="2" s="1"/>
  <c r="L368" i="2"/>
  <c r="M368" i="2" s="1"/>
  <c r="I372" i="2"/>
  <c r="J372" i="2" s="1"/>
  <c r="L372" i="2"/>
  <c r="M372" i="2" s="1"/>
  <c r="D129" i="1"/>
  <c r="Q102" i="1"/>
  <c r="R102" i="1" s="1"/>
  <c r="L106" i="1"/>
  <c r="N102" i="1"/>
  <c r="O102" i="1" s="1"/>
  <c r="Q114" i="1"/>
  <c r="R114" i="1" s="1"/>
  <c r="F102" i="1"/>
  <c r="G102" i="1" s="1"/>
  <c r="D106" i="1"/>
  <c r="I102" i="1"/>
  <c r="J102" i="1" s="1"/>
  <c r="T129" i="1"/>
  <c r="T106" i="1"/>
  <c r="V102" i="1"/>
  <c r="W102" i="1" s="1"/>
  <c r="Y102" i="1"/>
  <c r="Z102" i="1" s="1"/>
  <c r="T34" i="1"/>
  <c r="V30" i="1"/>
  <c r="W30" i="1" s="1"/>
  <c r="Y30" i="1"/>
  <c r="Z30" i="1" s="1"/>
  <c r="W371" i="2"/>
  <c r="X371" i="2" s="1"/>
  <c r="Z371" i="2"/>
  <c r="AA371" i="2" s="1"/>
  <c r="Q117" i="1"/>
  <c r="R117" i="1" s="1"/>
  <c r="N117" i="1"/>
  <c r="O117" i="1" s="1"/>
  <c r="G362" i="2"/>
  <c r="I362" i="2" s="1"/>
  <c r="J362" i="2" s="1"/>
  <c r="L365" i="2"/>
  <c r="M365" i="2" s="1"/>
  <c r="Z366" i="2"/>
  <c r="AA366" i="2" s="1"/>
  <c r="S367" i="2"/>
  <c r="T367" i="2" s="1"/>
  <c r="S371" i="2"/>
  <c r="T371" i="2" s="1"/>
  <c r="V82" i="1"/>
  <c r="W82" i="1" s="1"/>
  <c r="Y82" i="1"/>
  <c r="Z82" i="1" s="1"/>
  <c r="T58" i="1"/>
  <c r="V54" i="1"/>
  <c r="W54" i="1" s="1"/>
  <c r="Y54" i="1"/>
  <c r="Z54" i="1" s="1"/>
  <c r="I371" i="2"/>
  <c r="J371" i="2" s="1"/>
  <c r="L371" i="2"/>
  <c r="M371" i="2" s="1"/>
  <c r="AB362" i="2"/>
  <c r="S373" i="2"/>
  <c r="T373" i="2" s="1"/>
  <c r="Z373" i="2"/>
  <c r="AA373" i="2" s="1"/>
  <c r="W372" i="2"/>
  <c r="X372" i="2" s="1"/>
  <c r="W367" i="2"/>
  <c r="X367" i="2" s="1"/>
  <c r="Z367" i="2"/>
  <c r="AA367" i="2" s="1"/>
  <c r="F54" i="1"/>
  <c r="G54" i="1" s="1"/>
  <c r="D58" i="1"/>
  <c r="D109" i="1" s="1"/>
  <c r="I54" i="1"/>
  <c r="J54" i="1" s="1"/>
  <c r="Q34" i="1"/>
  <c r="R34" i="1" s="1"/>
  <c r="N34" i="1"/>
  <c r="O34" i="1" s="1"/>
  <c r="L129" i="1"/>
  <c r="R362" i="2"/>
  <c r="S362" i="2" s="1"/>
  <c r="T362" i="2" s="1"/>
  <c r="S150" i="2"/>
  <c r="T150" i="2" s="1"/>
  <c r="K402" i="2"/>
  <c r="N376" i="2"/>
  <c r="F82" i="1"/>
  <c r="G82" i="1" s="1"/>
  <c r="I82" i="1"/>
  <c r="J82" i="1" s="1"/>
  <c r="E30" i="1"/>
  <c r="Q78" i="1"/>
  <c r="R78" i="1" s="1"/>
  <c r="L82" i="1"/>
  <c r="N78" i="1"/>
  <c r="O78" i="1" s="1"/>
  <c r="I34" i="1"/>
  <c r="J34" i="1" s="1"/>
  <c r="U362" i="2"/>
  <c r="W362" i="2" s="1"/>
  <c r="X362" i="2" s="1"/>
  <c r="W150" i="2"/>
  <c r="X150" i="2" s="1"/>
  <c r="Q54" i="1"/>
  <c r="R54" i="1" s="1"/>
  <c r="L58" i="1"/>
  <c r="N54" i="1"/>
  <c r="O54" i="1" s="1"/>
  <c r="I369" i="2"/>
  <c r="J369" i="2" s="1"/>
  <c r="L369" i="2"/>
  <c r="M369" i="2" s="1"/>
  <c r="I360" i="2"/>
  <c r="J360" i="2" s="1"/>
  <c r="L360" i="2"/>
  <c r="M360" i="2" s="1"/>
  <c r="Z364" i="2"/>
  <c r="AA364" i="2" s="1"/>
  <c r="S221" i="2"/>
  <c r="T221" i="2" s="1"/>
  <c r="I364" i="2"/>
  <c r="J364" i="2" s="1"/>
  <c r="S360" i="2"/>
  <c r="T360" i="2" s="1"/>
  <c r="L373" i="2"/>
  <c r="M373" i="2" s="1"/>
  <c r="W360" i="2"/>
  <c r="X360" i="2" s="1"/>
  <c r="N362" i="2"/>
  <c r="P362" i="2" s="1"/>
  <c r="Q362" i="2" s="1"/>
  <c r="P150" i="2"/>
  <c r="Q150" i="2" s="1"/>
  <c r="Q121" i="1"/>
  <c r="R121" i="1" s="1"/>
  <c r="N121" i="1"/>
  <c r="O121" i="1" s="1"/>
  <c r="W368" i="2"/>
  <c r="X368" i="2" s="1"/>
  <c r="Z368" i="2"/>
  <c r="AA368" i="2" s="1"/>
  <c r="S288" i="2"/>
  <c r="T288" i="2" s="1"/>
  <c r="Z362" i="2" l="1"/>
  <c r="AA362" i="2" s="1"/>
  <c r="L362" i="2"/>
  <c r="M362" i="2" s="1"/>
  <c r="L156" i="1"/>
  <c r="Q58" i="1"/>
  <c r="R58" i="1" s="1"/>
  <c r="N58" i="1"/>
  <c r="O58" i="1" s="1"/>
  <c r="Q82" i="1"/>
  <c r="R82" i="1" s="1"/>
  <c r="N82" i="1"/>
  <c r="O82" i="1" s="1"/>
  <c r="L109" i="1"/>
  <c r="T156" i="1"/>
  <c r="V58" i="1"/>
  <c r="W58" i="1" s="1"/>
  <c r="Y58" i="1"/>
  <c r="Z58" i="1" s="1"/>
  <c r="T109" i="1"/>
  <c r="V34" i="1"/>
  <c r="W34" i="1" s="1"/>
  <c r="Y34" i="1"/>
  <c r="Z34" i="1" s="1"/>
  <c r="V129" i="1"/>
  <c r="W129" i="1" s="1"/>
  <c r="Y129" i="1"/>
  <c r="Z129" i="1" s="1"/>
  <c r="T133" i="1"/>
  <c r="I376" i="2"/>
  <c r="J376" i="2" s="1"/>
  <c r="G402" i="2"/>
  <c r="I129" i="1"/>
  <c r="J129" i="1" s="1"/>
  <c r="D133" i="1"/>
  <c r="F129" i="1"/>
  <c r="G129" i="1" s="1"/>
  <c r="W376" i="2"/>
  <c r="X376" i="2" s="1"/>
  <c r="U402" i="2"/>
  <c r="I109" i="1"/>
  <c r="J109" i="1" s="1"/>
  <c r="D153" i="1"/>
  <c r="E34" i="1"/>
  <c r="F30" i="1"/>
  <c r="G30" i="1" s="1"/>
  <c r="P376" i="2"/>
  <c r="Q376" i="2" s="1"/>
  <c r="N402" i="2"/>
  <c r="N129" i="1"/>
  <c r="O129" i="1" s="1"/>
  <c r="Q129" i="1"/>
  <c r="R129" i="1" s="1"/>
  <c r="L133" i="1"/>
  <c r="S376" i="2"/>
  <c r="T376" i="2" s="1"/>
  <c r="R402" i="2"/>
  <c r="D156" i="1"/>
  <c r="F58" i="1"/>
  <c r="G58" i="1" s="1"/>
  <c r="I58" i="1"/>
  <c r="J58" i="1" s="1"/>
  <c r="V106" i="1"/>
  <c r="W106" i="1" s="1"/>
  <c r="Y106" i="1"/>
  <c r="Z106" i="1" s="1"/>
  <c r="F106" i="1"/>
  <c r="G106" i="1" s="1"/>
  <c r="I106" i="1"/>
  <c r="J106" i="1" s="1"/>
  <c r="Q106" i="1"/>
  <c r="R106" i="1" s="1"/>
  <c r="N106" i="1"/>
  <c r="O106" i="1" s="1"/>
  <c r="N133" i="1" l="1"/>
  <c r="O133" i="1" s="1"/>
  <c r="Q133" i="1"/>
  <c r="R133" i="1" s="1"/>
  <c r="Q109" i="1"/>
  <c r="R109" i="1" s="1"/>
  <c r="N109" i="1"/>
  <c r="O109" i="1" s="1"/>
  <c r="L153" i="1"/>
  <c r="E109" i="1"/>
  <c r="F34" i="1"/>
  <c r="G34" i="1" s="1"/>
  <c r="V133" i="1"/>
  <c r="W133" i="1" s="1"/>
  <c r="Y133" i="1"/>
  <c r="Z133" i="1" s="1"/>
  <c r="I133" i="1"/>
  <c r="J133" i="1" s="1"/>
  <c r="F133" i="1"/>
  <c r="G133" i="1" s="1"/>
  <c r="V109" i="1"/>
  <c r="W109" i="1" s="1"/>
  <c r="Y109" i="1"/>
  <c r="Z109" i="1" s="1"/>
  <c r="T153" i="1"/>
  <c r="E153" i="1" l="1"/>
  <c r="F109" i="1"/>
  <c r="G109" i="1" s="1"/>
</calcChain>
</file>

<file path=xl/sharedStrings.xml><?xml version="1.0" encoding="utf-8"?>
<sst xmlns="http://schemas.openxmlformats.org/spreadsheetml/2006/main" count="896" uniqueCount="146">
  <si>
    <t>BLACKHAWK NETWORK HOLDINGS, INC</t>
  </si>
  <si>
    <t>PERIOD END REPORTING PACKAGE</t>
  </si>
  <si>
    <t>TABLE 7</t>
  </si>
  <si>
    <t>PROGRAM AND OTHER FEES</t>
  </si>
  <si>
    <t>YTD</t>
  </si>
  <si>
    <t>Annual</t>
  </si>
  <si>
    <t>Last Year</t>
  </si>
  <si>
    <t>$Inc</t>
  </si>
  <si>
    <t>%Inc</t>
  </si>
  <si>
    <t>$Fav</t>
  </si>
  <si>
    <t>%Fav</t>
  </si>
  <si>
    <t>(In '000s USD)</t>
  </si>
  <si>
    <t>Actual</t>
  </si>
  <si>
    <t>(Dec)</t>
  </si>
  <si>
    <t>Forecast</t>
  </si>
  <si>
    <t>(Unfav)</t>
  </si>
  <si>
    <t>Supplemental PMF - BHN Visa, net</t>
  </si>
  <si>
    <t>Interchange, net</t>
  </si>
  <si>
    <t>Account service fees</t>
  </si>
  <si>
    <t>GPR account maintenance</t>
  </si>
  <si>
    <t>Gift service fees, aka breakage</t>
  </si>
  <si>
    <t>Card Expiration fees (a)</t>
  </si>
  <si>
    <t>420004, prod 2xx</t>
  </si>
  <si>
    <t>420040, no B113</t>
  </si>
  <si>
    <t>Card expiration revenues (b)</t>
  </si>
  <si>
    <t>Other revenues</t>
  </si>
  <si>
    <t>Supplemental PMF - AMEX, net</t>
  </si>
  <si>
    <t>Interchange sharing</t>
  </si>
  <si>
    <t>Other Closed Gift breakage</t>
  </si>
  <si>
    <t>Other fees</t>
  </si>
  <si>
    <t xml:space="preserve">   Other 1</t>
  </si>
  <si>
    <t xml:space="preserve">   Other 2</t>
  </si>
  <si>
    <t>Total before marketing</t>
  </si>
  <si>
    <t>Marketing revenue</t>
  </si>
  <si>
    <t xml:space="preserve">     US</t>
  </si>
  <si>
    <t xml:space="preserve">     AMERICA'S OTHER</t>
  </si>
  <si>
    <t xml:space="preserve">     EMEA</t>
  </si>
  <si>
    <t xml:space="preserve">     ASIA PAC</t>
  </si>
  <si>
    <t xml:space="preserve">     TOTAL BLACKHAWK</t>
  </si>
  <si>
    <t>Balance Check</t>
  </si>
  <si>
    <t xml:space="preserve">     Prog, Interchange and other fee</t>
  </si>
  <si>
    <t xml:space="preserve">     TOTAL      Prog, Interchange and other fee</t>
  </si>
  <si>
    <t>Balance</t>
  </si>
  <si>
    <t>Int'l</t>
  </si>
  <si>
    <t>TABLE 17</t>
  </si>
  <si>
    <t>GENERAL AND ADMINISTRATIVE</t>
  </si>
  <si>
    <t>Affliate</t>
  </si>
  <si>
    <t>Dept</t>
  </si>
  <si>
    <t>Plan</t>
  </si>
  <si>
    <t>Legal</t>
  </si>
  <si>
    <t>legal</t>
  </si>
  <si>
    <t>B068</t>
  </si>
  <si>
    <t>B072</t>
  </si>
  <si>
    <t>B073</t>
  </si>
  <si>
    <t>B074</t>
  </si>
  <si>
    <t>B113</t>
  </si>
  <si>
    <t>B120</t>
  </si>
  <si>
    <t>B510</t>
  </si>
  <si>
    <t>Accounting and finance</t>
  </si>
  <si>
    <t>finance</t>
  </si>
  <si>
    <t>Risk management</t>
  </si>
  <si>
    <t>risk</t>
  </si>
  <si>
    <t>HR</t>
  </si>
  <si>
    <t>Technology internal support</t>
  </si>
  <si>
    <t>IT</t>
  </si>
  <si>
    <t>Cardpool</t>
  </si>
  <si>
    <t>BES</t>
  </si>
  <si>
    <t>exe</t>
  </si>
  <si>
    <t>B070</t>
  </si>
  <si>
    <t>B071</t>
  </si>
  <si>
    <t>Executive</t>
  </si>
  <si>
    <t>Ins &amp; other corp expense</t>
  </si>
  <si>
    <t>B109</t>
  </si>
  <si>
    <t>Stock expense and ESPP match</t>
  </si>
  <si>
    <t>Bad debt</t>
  </si>
  <si>
    <t>B105</t>
  </si>
  <si>
    <t>B110</t>
  </si>
  <si>
    <t>B200</t>
  </si>
  <si>
    <t>B079</t>
  </si>
  <si>
    <t>B108</t>
  </si>
  <si>
    <t>B114</t>
  </si>
  <si>
    <t>B116</t>
  </si>
  <si>
    <t>B314</t>
  </si>
  <si>
    <t>B600</t>
  </si>
  <si>
    <t>B700</t>
  </si>
  <si>
    <t>B076</t>
  </si>
  <si>
    <t>B704</t>
  </si>
  <si>
    <t>B115</t>
  </si>
  <si>
    <t>B517</t>
  </si>
  <si>
    <t>B518</t>
  </si>
  <si>
    <t>B706</t>
  </si>
  <si>
    <t>B111</t>
  </si>
  <si>
    <t>B118</t>
  </si>
  <si>
    <t>B400</t>
  </si>
  <si>
    <t>B412</t>
  </si>
  <si>
    <t>B420</t>
  </si>
  <si>
    <t>B430</t>
  </si>
  <si>
    <t>B560</t>
  </si>
  <si>
    <t>B561</t>
  </si>
  <si>
    <t>All Dept</t>
  </si>
  <si>
    <t>G&amp;A</t>
  </si>
  <si>
    <t>Stock</t>
  </si>
  <si>
    <t>Bad Debt</t>
  </si>
  <si>
    <t>Total</t>
  </si>
  <si>
    <t>QTD</t>
  </si>
  <si>
    <t>XCEL PROJECT ANALYSIS BY DEPT</t>
  </si>
  <si>
    <t>Sales</t>
  </si>
  <si>
    <t>Marketing</t>
  </si>
  <si>
    <t>Finance</t>
  </si>
  <si>
    <t>XCEL &amp; Other</t>
  </si>
  <si>
    <t>Sheet</t>
  </si>
  <si>
    <t>SubtotalGroup</t>
  </si>
  <si>
    <t>LogicalGroup</t>
  </si>
  <si>
    <t>XCEL</t>
  </si>
  <si>
    <t>Customer Care</t>
  </si>
  <si>
    <t>Ops &amp; Risk</t>
  </si>
  <si>
    <t>PB&amp;BD</t>
  </si>
  <si>
    <t>XCEL Check</t>
  </si>
  <si>
    <t>P6 2020 vs FCST-2020.F05</t>
  </si>
  <si>
    <t/>
  </si>
  <si>
    <t xml:space="preserve">Annual </t>
  </si>
  <si>
    <t xml:space="preserve">Salary </t>
  </si>
  <si>
    <t xml:space="preserve">Severance </t>
  </si>
  <si>
    <t xml:space="preserve">Prof Srv </t>
  </si>
  <si>
    <t xml:space="preserve">T&amp;E </t>
  </si>
  <si>
    <t xml:space="preserve">Other </t>
  </si>
  <si>
    <t xml:space="preserve">Retention &amp; Bonus </t>
  </si>
  <si>
    <t xml:space="preserve">Stock </t>
  </si>
  <si>
    <t xml:space="preserve">Current </t>
  </si>
  <si>
    <t xml:space="preserve">Last Year </t>
  </si>
  <si>
    <t xml:space="preserve">$Inc </t>
  </si>
  <si>
    <t xml:space="preserve">%Inc </t>
  </si>
  <si>
    <t xml:space="preserve">$Fav </t>
  </si>
  <si>
    <t xml:space="preserve">%Fav </t>
  </si>
  <si>
    <t xml:space="preserve">675100 </t>
  </si>
  <si>
    <t xml:space="preserve">675101 </t>
  </si>
  <si>
    <t xml:space="preserve">675102 </t>
  </si>
  <si>
    <t xml:space="preserve">675103 </t>
  </si>
  <si>
    <t xml:space="preserve">675104 </t>
  </si>
  <si>
    <t xml:space="preserve">675105 </t>
  </si>
  <si>
    <t xml:space="preserve">675106 </t>
  </si>
  <si>
    <t xml:space="preserve">Actual </t>
  </si>
  <si>
    <t xml:space="preserve">(Dec) </t>
  </si>
  <si>
    <t xml:space="preserve">Forecast </t>
  </si>
  <si>
    <t xml:space="preserve">(UnFav) </t>
  </si>
  <si>
    <t>Merchandising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</si>
</sst>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sz val="8"/>
      <name val="Arial"/>
      <family val="2"/>
    </font>
    <font>
      <sz val="8"/>
      <color theme="0" tint="-0.34998626667073579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Arial"/>
      <family val="2"/>
    </font>
    <font>
      <sz val="11"/>
      <name val="Calibri"/>
      <family val="2"/>
      <scheme val="minor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6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5" fillId="0" borderId="0" applyFont="0" applyFill="0" applyBorder="0" applyAlignment="0" applyProtection="0"/>
  </cellStyleXfs>
  <cellXfs count="207">
    <xf numFmtId="0" fontId="0" fillId="0" borderId="0" xfId="0"/>
    <xf numFmtId="0" fontId="3" fillId="0" borderId="0" xfId="4" applyFont="1"/>
    <xf numFmtId="0" fontId="4" fillId="2" borderId="0" xfId="4" applyFont="1" applyFill="1"/>
    <xf numFmtId="0" fontId="3" fillId="2" borderId="0" xfId="4" applyFont="1" applyFill="1"/>
    <xf numFmtId="9" fontId="3" fillId="2" borderId="0" xfId="3" applyNumberFormat="1" applyFont="1" applyFill="1" applyAlignment="1">
      <alignment horizontal="center"/>
    </xf>
    <xf numFmtId="9" fontId="4" fillId="2" borderId="0" xfId="3" applyNumberFormat="1" applyFont="1" applyFill="1" applyAlignment="1">
      <alignment horizontal="center"/>
    </xf>
    <xf numFmtId="164" fontId="6" fillId="2" borderId="0" xfId="5" applyNumberFormat="1" applyFont="1" applyFill="1"/>
    <xf numFmtId="0" fontId="4" fillId="3" borderId="0" xfId="4" applyFont="1" applyFill="1" applyBorder="1"/>
    <xf numFmtId="0" fontId="3" fillId="3" borderId="0" xfId="4" applyFont="1" applyFill="1" applyBorder="1"/>
    <xf numFmtId="0" fontId="4" fillId="3" borderId="1" xfId="4" applyFont="1" applyFill="1" applyBorder="1" applyAlignment="1">
      <alignment horizontal="centerContinuous"/>
    </xf>
    <xf numFmtId="0" fontId="4" fillId="3" borderId="2" xfId="4" applyFont="1" applyFill="1" applyBorder="1" applyAlignment="1">
      <alignment horizontal="centerContinuous"/>
    </xf>
    <xf numFmtId="9" fontId="4" fillId="3" borderId="3" xfId="3" applyNumberFormat="1" applyFont="1" applyFill="1" applyBorder="1" applyAlignment="1">
      <alignment horizontal="centerContinuous"/>
    </xf>
    <xf numFmtId="0" fontId="4" fillId="3" borderId="3" xfId="4" applyFont="1" applyFill="1" applyBorder="1" applyAlignment="1">
      <alignment horizontal="centerContinuous"/>
    </xf>
    <xf numFmtId="0" fontId="3" fillId="3" borderId="4" xfId="4" applyFont="1" applyFill="1" applyBorder="1"/>
    <xf numFmtId="0" fontId="4" fillId="3" borderId="0" xfId="4" applyFont="1" applyFill="1" applyBorder="1" applyAlignment="1">
      <alignment horizontal="center"/>
    </xf>
    <xf numFmtId="9" fontId="4" fillId="3" borderId="5" xfId="3" applyNumberFormat="1" applyFont="1" applyFill="1" applyBorder="1" applyAlignment="1">
      <alignment horizontal="center"/>
    </xf>
    <xf numFmtId="0" fontId="3" fillId="3" borderId="5" xfId="4" applyFont="1" applyFill="1" applyBorder="1"/>
    <xf numFmtId="0" fontId="4" fillId="3" borderId="4" xfId="4" applyFont="1" applyFill="1" applyBorder="1" applyAlignment="1">
      <alignment horizontal="center"/>
    </xf>
    <xf numFmtId="0" fontId="4" fillId="3" borderId="5" xfId="4" applyFont="1" applyFill="1" applyBorder="1" applyAlignment="1">
      <alignment horizontal="center"/>
    </xf>
    <xf numFmtId="0" fontId="3" fillId="2" borderId="0" xfId="4" applyFont="1" applyFill="1" applyBorder="1"/>
    <xf numFmtId="0" fontId="4" fillId="2" borderId="6" xfId="4" applyFont="1" applyFill="1" applyBorder="1" applyAlignment="1">
      <alignment horizontal="center"/>
    </xf>
    <xf numFmtId="0" fontId="4" fillId="2" borderId="7" xfId="4" applyFont="1" applyFill="1" applyBorder="1" applyAlignment="1">
      <alignment horizontal="center"/>
    </xf>
    <xf numFmtId="9" fontId="4" fillId="2" borderId="8" xfId="3" applyNumberFormat="1" applyFont="1" applyFill="1" applyBorder="1" applyAlignment="1">
      <alignment horizontal="center"/>
    </xf>
    <xf numFmtId="0" fontId="4" fillId="2" borderId="8" xfId="4" applyFont="1" applyFill="1" applyBorder="1" applyAlignment="1">
      <alignment horizontal="center"/>
    </xf>
    <xf numFmtId="165" fontId="6" fillId="2" borderId="4" xfId="2" applyNumberFormat="1" applyFont="1" applyFill="1" applyBorder="1"/>
    <xf numFmtId="165" fontId="6" fillId="2" borderId="0" xfId="2" applyNumberFormat="1" applyFont="1" applyFill="1" applyBorder="1"/>
    <xf numFmtId="9" fontId="6" fillId="2" borderId="0" xfId="3" applyNumberFormat="1" applyFont="1" applyFill="1" applyBorder="1" applyAlignment="1">
      <alignment horizontal="center"/>
    </xf>
    <xf numFmtId="9" fontId="6" fillId="2" borderId="5" xfId="3" applyNumberFormat="1" applyFont="1" applyFill="1" applyBorder="1" applyAlignment="1">
      <alignment horizontal="center"/>
    </xf>
    <xf numFmtId="165" fontId="6" fillId="2" borderId="9" xfId="2" applyNumberFormat="1" applyFont="1" applyFill="1" applyBorder="1"/>
    <xf numFmtId="0" fontId="3" fillId="2" borderId="0" xfId="4" applyFont="1" applyFill="1" applyBorder="1" applyAlignment="1">
      <alignment horizontal="left"/>
    </xf>
    <xf numFmtId="164" fontId="6" fillId="2" borderId="4" xfId="1" applyNumberFormat="1" applyFont="1" applyFill="1" applyBorder="1"/>
    <xf numFmtId="164" fontId="6" fillId="2" borderId="0" xfId="1" applyNumberFormat="1" applyFont="1" applyFill="1" applyBorder="1"/>
    <xf numFmtId="164" fontId="6" fillId="2" borderId="9" xfId="1" applyNumberFormat="1" applyFont="1" applyFill="1" applyBorder="1"/>
    <xf numFmtId="0" fontId="3" fillId="2" borderId="0" xfId="4" applyFont="1" applyFill="1" applyBorder="1" applyAlignment="1">
      <alignment horizontal="right"/>
    </xf>
    <xf numFmtId="0" fontId="7" fillId="2" borderId="0" xfId="4" applyFont="1" applyFill="1" applyBorder="1" applyAlignment="1">
      <alignment horizontal="right"/>
    </xf>
    <xf numFmtId="0" fontId="3" fillId="0" borderId="0" xfId="4" applyFont="1" applyBorder="1"/>
    <xf numFmtId="164" fontId="6" fillId="2" borderId="10" xfId="1" applyNumberFormat="1" applyFont="1" applyFill="1" applyBorder="1"/>
    <xf numFmtId="164" fontId="6" fillId="2" borderId="11" xfId="1" applyNumberFormat="1" applyFont="1" applyFill="1" applyBorder="1"/>
    <xf numFmtId="9" fontId="6" fillId="2" borderId="11" xfId="3" applyNumberFormat="1" applyFont="1" applyFill="1" applyBorder="1" applyAlignment="1">
      <alignment horizontal="center"/>
    </xf>
    <xf numFmtId="9" fontId="6" fillId="2" borderId="12" xfId="3" applyNumberFormat="1" applyFont="1" applyFill="1" applyBorder="1" applyAlignment="1">
      <alignment horizontal="center"/>
    </xf>
    <xf numFmtId="164" fontId="6" fillId="2" borderId="13" xfId="1" applyNumberFormat="1" applyFont="1" applyFill="1" applyBorder="1"/>
    <xf numFmtId="0" fontId="4" fillId="2" borderId="0" xfId="4" applyFont="1" applyFill="1" applyBorder="1"/>
    <xf numFmtId="164" fontId="6" fillId="2" borderId="5" xfId="1" applyNumberFormat="1" applyFont="1" applyFill="1" applyBorder="1"/>
    <xf numFmtId="164" fontId="4" fillId="2" borderId="4" xfId="1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0" fontId="4" fillId="2" borderId="0" xfId="4" applyFont="1" applyFill="1" applyBorder="1" applyAlignment="1">
      <alignment horizontal="center"/>
    </xf>
    <xf numFmtId="9" fontId="4" fillId="2" borderId="5" xfId="3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165" fontId="6" fillId="2" borderId="14" xfId="2" applyNumberFormat="1" applyFont="1" applyFill="1" applyBorder="1"/>
    <xf numFmtId="165" fontId="6" fillId="2" borderId="15" xfId="2" applyNumberFormat="1" applyFont="1" applyFill="1" applyBorder="1"/>
    <xf numFmtId="9" fontId="6" fillId="2" borderId="15" xfId="3" applyNumberFormat="1" applyFont="1" applyFill="1" applyBorder="1" applyAlignment="1">
      <alignment horizontal="center"/>
    </xf>
    <xf numFmtId="9" fontId="6" fillId="2" borderId="16" xfId="3" applyNumberFormat="1" applyFont="1" applyFill="1" applyBorder="1" applyAlignment="1">
      <alignment horizontal="center"/>
    </xf>
    <xf numFmtId="165" fontId="6" fillId="2" borderId="16" xfId="2" applyNumberFormat="1" applyFont="1" applyFill="1" applyBorder="1"/>
    <xf numFmtId="0" fontId="0" fillId="0" borderId="0" xfId="0" applyBorder="1"/>
    <xf numFmtId="9" fontId="3" fillId="0" borderId="0" xfId="3" applyNumberFormat="1" applyFont="1" applyBorder="1" applyAlignment="1">
      <alignment horizontal="center"/>
    </xf>
    <xf numFmtId="0" fontId="4" fillId="0" borderId="0" xfId="4" applyFont="1" applyBorder="1"/>
    <xf numFmtId="165" fontId="6" fillId="0" borderId="0" xfId="2" applyNumberFormat="1" applyFont="1" applyBorder="1"/>
    <xf numFmtId="165" fontId="6" fillId="0" borderId="0" xfId="5" applyNumberFormat="1" applyFont="1" applyBorder="1"/>
    <xf numFmtId="9" fontId="6" fillId="0" borderId="0" xfId="3" applyNumberFormat="1" applyFont="1" applyBorder="1" applyAlignment="1">
      <alignment horizontal="center"/>
    </xf>
    <xf numFmtId="0" fontId="8" fillId="0" borderId="0" xfId="4" applyFont="1" applyBorder="1"/>
    <xf numFmtId="164" fontId="8" fillId="0" borderId="17" xfId="5" applyNumberFormat="1" applyFont="1" applyBorder="1"/>
    <xf numFmtId="164" fontId="8" fillId="0" borderId="18" xfId="5" applyNumberFormat="1" applyFont="1" applyBorder="1"/>
    <xf numFmtId="9" fontId="8" fillId="0" borderId="19" xfId="3" applyNumberFormat="1" applyFont="1" applyBorder="1" applyAlignment="1">
      <alignment horizontal="center"/>
    </xf>
    <xf numFmtId="0" fontId="8" fillId="0" borderId="0" xfId="4" applyFont="1"/>
    <xf numFmtId="164" fontId="8" fillId="0" borderId="20" xfId="5" applyNumberFormat="1" applyFont="1" applyBorder="1"/>
    <xf numFmtId="165" fontId="8" fillId="0" borderId="21" xfId="2" applyNumberFormat="1" applyFont="1" applyBorder="1"/>
    <xf numFmtId="165" fontId="8" fillId="0" borderId="0" xfId="2" applyNumberFormat="1" applyFont="1" applyBorder="1"/>
    <xf numFmtId="165" fontId="8" fillId="0" borderId="0" xfId="5" applyNumberFormat="1" applyFont="1" applyBorder="1"/>
    <xf numFmtId="9" fontId="8" fillId="0" borderId="22" xfId="3" applyNumberFormat="1" applyFont="1" applyBorder="1" applyAlignment="1">
      <alignment horizontal="center"/>
    </xf>
    <xf numFmtId="165" fontId="8" fillId="0" borderId="23" xfId="2" applyNumberFormat="1" applyFont="1" applyBorder="1"/>
    <xf numFmtId="164" fontId="8" fillId="0" borderId="4" xfId="1" applyNumberFormat="1" applyFont="1" applyBorder="1"/>
    <xf numFmtId="164" fontId="8" fillId="0" borderId="0" xfId="1" applyNumberFormat="1" applyFont="1" applyBorder="1"/>
    <xf numFmtId="9" fontId="8" fillId="0" borderId="5" xfId="3" applyNumberFormat="1" applyFont="1" applyBorder="1" applyAlignment="1">
      <alignment horizontal="center"/>
    </xf>
    <xf numFmtId="164" fontId="8" fillId="0" borderId="4" xfId="2" applyNumberFormat="1" applyFont="1" applyBorder="1"/>
    <xf numFmtId="164" fontId="8" fillId="0" borderId="0" xfId="2" applyNumberFormat="1" applyFont="1" applyBorder="1"/>
    <xf numFmtId="164" fontId="8" fillId="0" borderId="0" xfId="5" applyNumberFormat="1" applyFont="1" applyBorder="1"/>
    <xf numFmtId="164" fontId="8" fillId="0" borderId="9" xfId="2" applyNumberFormat="1" applyFont="1" applyBorder="1"/>
    <xf numFmtId="165" fontId="8" fillId="0" borderId="24" xfId="2" applyNumberFormat="1" applyFont="1" applyBorder="1"/>
    <xf numFmtId="165" fontId="8" fillId="0" borderId="25" xfId="2" applyNumberFormat="1" applyFont="1" applyBorder="1"/>
    <xf numFmtId="165" fontId="8" fillId="0" borderId="25" xfId="5" applyNumberFormat="1" applyFont="1" applyBorder="1"/>
    <xf numFmtId="9" fontId="8" fillId="0" borderId="26" xfId="3" applyNumberFormat="1" applyFont="1" applyBorder="1" applyAlignment="1">
      <alignment horizontal="center"/>
    </xf>
    <xf numFmtId="165" fontId="8" fillId="0" borderId="27" xfId="2" applyNumberFormat="1" applyFont="1" applyBorder="1"/>
    <xf numFmtId="165" fontId="8" fillId="0" borderId="21" xfId="5" applyNumberFormat="1" applyFont="1" applyBorder="1"/>
    <xf numFmtId="165" fontId="8" fillId="0" borderId="23" xfId="5" applyNumberFormat="1" applyFont="1" applyBorder="1"/>
    <xf numFmtId="165" fontId="8" fillId="0" borderId="26" xfId="2" applyNumberFormat="1" applyFont="1" applyBorder="1" applyAlignment="1">
      <alignment horizontal="center"/>
    </xf>
    <xf numFmtId="165" fontId="8" fillId="0" borderId="0" xfId="2" applyNumberFormat="1" applyFont="1"/>
    <xf numFmtId="165" fontId="8" fillId="0" borderId="0" xfId="2" applyNumberFormat="1" applyFont="1" applyBorder="1" applyAlignment="1">
      <alignment horizontal="center"/>
    </xf>
    <xf numFmtId="9" fontId="3" fillId="0" borderId="0" xfId="3" applyNumberFormat="1" applyFont="1" applyAlignment="1">
      <alignment horizontal="center"/>
    </xf>
    <xf numFmtId="9" fontId="4" fillId="2" borderId="0" xfId="3" applyNumberFormat="1" applyFont="1" applyFill="1" applyBorder="1" applyAlignment="1">
      <alignment horizontal="center"/>
    </xf>
    <xf numFmtId="164" fontId="6" fillId="2" borderId="0" xfId="5" applyNumberFormat="1" applyFont="1" applyFill="1" applyBorder="1"/>
    <xf numFmtId="0" fontId="4" fillId="3" borderId="0" xfId="4" applyFont="1" applyFill="1"/>
    <xf numFmtId="0" fontId="3" fillId="3" borderId="0" xfId="4" applyFont="1" applyFill="1"/>
    <xf numFmtId="0" fontId="4" fillId="3" borderId="28" xfId="4" applyFont="1" applyFill="1" applyBorder="1" applyAlignment="1">
      <alignment horizontal="centerContinuous"/>
    </xf>
    <xf numFmtId="0" fontId="3" fillId="3" borderId="9" xfId="4" applyFont="1" applyFill="1" applyBorder="1"/>
    <xf numFmtId="0" fontId="4" fillId="3" borderId="9" xfId="4" applyFont="1" applyFill="1" applyBorder="1" applyAlignment="1">
      <alignment horizontal="center"/>
    </xf>
    <xf numFmtId="0" fontId="4" fillId="2" borderId="4" xfId="4" applyFont="1" applyFill="1" applyBorder="1" applyAlignment="1">
      <alignment horizontal="center"/>
    </xf>
    <xf numFmtId="0" fontId="4" fillId="2" borderId="9" xfId="4" applyFont="1" applyFill="1" applyBorder="1" applyAlignment="1">
      <alignment horizontal="center"/>
    </xf>
    <xf numFmtId="165" fontId="3" fillId="2" borderId="4" xfId="2" applyNumberFormat="1" applyFont="1" applyFill="1" applyBorder="1" applyAlignment="1">
      <alignment horizontal="center"/>
    </xf>
    <xf numFmtId="165" fontId="3" fillId="2" borderId="0" xfId="2" applyNumberFormat="1" applyFont="1" applyFill="1" applyBorder="1" applyAlignment="1">
      <alignment horizontal="center"/>
    </xf>
    <xf numFmtId="165" fontId="6" fillId="2" borderId="0" xfId="5" applyNumberFormat="1" applyFont="1" applyFill="1" applyBorder="1"/>
    <xf numFmtId="165" fontId="3" fillId="0" borderId="0" xfId="2" applyNumberFormat="1" applyFont="1" applyFill="1" applyBorder="1" applyAlignment="1">
      <alignment horizontal="center"/>
    </xf>
    <xf numFmtId="165" fontId="3" fillId="2" borderId="9" xfId="2" applyNumberFormat="1" applyFont="1" applyFill="1" applyBorder="1" applyAlignment="1">
      <alignment horizontal="center"/>
    </xf>
    <xf numFmtId="164" fontId="3" fillId="2" borderId="4" xfId="4" applyNumberFormat="1" applyFont="1" applyFill="1" applyBorder="1" applyAlignment="1">
      <alignment horizontal="center"/>
    </xf>
    <xf numFmtId="164" fontId="3" fillId="2" borderId="0" xfId="4" applyNumberFormat="1" applyFont="1" applyFill="1" applyBorder="1" applyAlignment="1">
      <alignment horizontal="center"/>
    </xf>
    <xf numFmtId="164" fontId="3" fillId="2" borderId="9" xfId="4" applyNumberFormat="1" applyFont="1" applyFill="1" applyBorder="1" applyAlignment="1">
      <alignment horizontal="center"/>
    </xf>
    <xf numFmtId="164" fontId="6" fillId="2" borderId="4" xfId="2" applyNumberFormat="1" applyFont="1" applyFill="1" applyBorder="1"/>
    <xf numFmtId="164" fontId="6" fillId="2" borderId="0" xfId="2" applyNumberFormat="1" applyFont="1" applyFill="1" applyBorder="1"/>
    <xf numFmtId="164" fontId="6" fillId="2" borderId="9" xfId="2" applyNumberFormat="1" applyFont="1" applyFill="1" applyBorder="1"/>
    <xf numFmtId="164" fontId="3" fillId="0" borderId="0" xfId="4" applyNumberFormat="1" applyFont="1" applyFill="1" applyBorder="1" applyAlignment="1">
      <alignment horizontal="center"/>
    </xf>
    <xf numFmtId="164" fontId="6" fillId="2" borderId="10" xfId="2" applyNumberFormat="1" applyFont="1" applyFill="1" applyBorder="1"/>
    <xf numFmtId="164" fontId="6" fillId="2" borderId="11" xfId="2" applyNumberFormat="1" applyFont="1" applyFill="1" applyBorder="1"/>
    <xf numFmtId="164" fontId="6" fillId="2" borderId="11" xfId="5" applyNumberFormat="1" applyFont="1" applyFill="1" applyBorder="1"/>
    <xf numFmtId="164" fontId="6" fillId="2" borderId="13" xfId="2" applyNumberFormat="1" applyFont="1" applyFill="1" applyBorder="1"/>
    <xf numFmtId="165" fontId="3" fillId="2" borderId="14" xfId="2" applyNumberFormat="1" applyFont="1" applyFill="1" applyBorder="1" applyAlignment="1">
      <alignment horizontal="center"/>
    </xf>
    <xf numFmtId="165" fontId="3" fillId="2" borderId="15" xfId="2" applyNumberFormat="1" applyFont="1" applyFill="1" applyBorder="1" applyAlignment="1">
      <alignment horizontal="center"/>
    </xf>
    <xf numFmtId="165" fontId="6" fillId="2" borderId="15" xfId="5" applyNumberFormat="1" applyFont="1" applyFill="1" applyBorder="1"/>
    <xf numFmtId="165" fontId="3" fillId="0" borderId="15" xfId="2" applyNumberFormat="1" applyFont="1" applyFill="1" applyBorder="1" applyAlignment="1">
      <alignment horizontal="center"/>
    </xf>
    <xf numFmtId="165" fontId="3" fillId="2" borderId="29" xfId="2" applyNumberFormat="1" applyFont="1" applyFill="1" applyBorder="1" applyAlignment="1">
      <alignment horizontal="center"/>
    </xf>
    <xf numFmtId="0" fontId="9" fillId="0" borderId="0" xfId="0" applyFont="1"/>
    <xf numFmtId="0" fontId="10" fillId="0" borderId="0" xfId="4" applyFont="1"/>
    <xf numFmtId="0" fontId="10" fillId="0" borderId="0" xfId="4" applyFont="1" applyBorder="1"/>
    <xf numFmtId="9" fontId="10" fillId="0" borderId="0" xfId="3" applyNumberFormat="1" applyFont="1" applyAlignment="1">
      <alignment horizontal="center"/>
    </xf>
    <xf numFmtId="166" fontId="10" fillId="2" borderId="0" xfId="1" applyNumberFormat="1" applyFont="1" applyFill="1" applyBorder="1"/>
    <xf numFmtId="166" fontId="10" fillId="0" borderId="0" xfId="4" applyNumberFormat="1" applyFont="1" applyBorder="1"/>
    <xf numFmtId="166" fontId="10" fillId="0" borderId="0" xfId="3" applyNumberFormat="1" applyFont="1" applyBorder="1" applyAlignment="1">
      <alignment horizontal="center"/>
    </xf>
    <xf numFmtId="166" fontId="9" fillId="0" borderId="0" xfId="0" applyNumberFormat="1" applyFont="1" applyBorder="1"/>
    <xf numFmtId="164" fontId="10" fillId="0" borderId="0" xfId="1" applyNumberFormat="1" applyFont="1"/>
    <xf numFmtId="166" fontId="10" fillId="2" borderId="0" xfId="1" applyNumberFormat="1" applyFont="1" applyFill="1" applyBorder="1" applyAlignment="1">
      <alignment horizontal="right"/>
    </xf>
    <xf numFmtId="166" fontId="10" fillId="2" borderId="0" xfId="1" applyNumberFormat="1" applyFont="1" applyFill="1" applyBorder="1" applyAlignment="1">
      <alignment horizontal="center"/>
    </xf>
    <xf numFmtId="166" fontId="10" fillId="0" borderId="0" xfId="1" applyNumberFormat="1" applyFont="1" applyBorder="1"/>
    <xf numFmtId="0" fontId="10" fillId="2" borderId="0" xfId="1" applyNumberFormat="1" applyFont="1" applyFill="1" applyBorder="1"/>
    <xf numFmtId="164" fontId="9" fillId="0" borderId="0" xfId="1" applyNumberFormat="1" applyFont="1"/>
    <xf numFmtId="166" fontId="10" fillId="0" borderId="0" xfId="1" applyNumberFormat="1" applyFont="1" applyBorder="1" applyAlignment="1">
      <alignment horizontal="center"/>
    </xf>
    <xf numFmtId="166" fontId="9" fillId="0" borderId="0" xfId="1" applyNumberFormat="1" applyFont="1" applyBorder="1"/>
    <xf numFmtId="0" fontId="11" fillId="0" borderId="0" xfId="4" applyFont="1"/>
    <xf numFmtId="0" fontId="11" fillId="0" borderId="0" xfId="4" applyFont="1" applyBorder="1"/>
    <xf numFmtId="0" fontId="1" fillId="0" borderId="0" xfId="0" applyFont="1"/>
    <xf numFmtId="9" fontId="11" fillId="0" borderId="0" xfId="3" applyNumberFormat="1" applyFont="1" applyAlignment="1">
      <alignment horizontal="center"/>
    </xf>
    <xf numFmtId="0" fontId="14" fillId="0" borderId="0" xfId="0" applyFont="1"/>
    <xf numFmtId="0" fontId="15" fillId="0" borderId="0" xfId="0" applyFont="1"/>
    <xf numFmtId="49" fontId="16" fillId="5" borderId="34" xfId="0" quotePrefix="1" applyNumberFormat="1" applyFont="1" applyFill="1" applyBorder="1" applyAlignment="1">
      <alignment horizontal="center"/>
    </xf>
    <xf numFmtId="0" fontId="15" fillId="0" borderId="35" xfId="0" applyFont="1" applyBorder="1"/>
    <xf numFmtId="49" fontId="16" fillId="5" borderId="36" xfId="0" quotePrefix="1" applyNumberFormat="1" applyFont="1" applyFill="1" applyBorder="1" applyAlignment="1">
      <alignment horizontal="center" wrapText="1"/>
    </xf>
    <xf numFmtId="49" fontId="16" fillId="5" borderId="37" xfId="0" quotePrefix="1" applyNumberFormat="1" applyFont="1" applyFill="1" applyBorder="1" applyAlignment="1">
      <alignment horizontal="center"/>
    </xf>
    <xf numFmtId="49" fontId="16" fillId="5" borderId="38" xfId="0" quotePrefix="1" applyNumberFormat="1" applyFont="1" applyFill="1" applyBorder="1" applyAlignment="1">
      <alignment horizontal="center"/>
    </xf>
    <xf numFmtId="49" fontId="16" fillId="5" borderId="36" xfId="0" quotePrefix="1" applyNumberFormat="1" applyFont="1" applyFill="1" applyBorder="1" applyAlignment="1">
      <alignment horizontal="center"/>
    </xf>
    <xf numFmtId="49" fontId="15" fillId="5" borderId="0" xfId="0" quotePrefix="1" applyNumberFormat="1" applyFont="1" applyFill="1" applyBorder="1" applyAlignment="1">
      <alignment horizontal="center"/>
    </xf>
    <xf numFmtId="49" fontId="16" fillId="5" borderId="31" xfId="0" quotePrefix="1" applyNumberFormat="1" applyFont="1" applyFill="1" applyBorder="1" applyAlignment="1">
      <alignment horizontal="center"/>
    </xf>
    <xf numFmtId="0" fontId="11" fillId="0" borderId="11" xfId="4" applyFont="1" applyBorder="1"/>
    <xf numFmtId="49" fontId="15" fillId="5" borderId="35" xfId="0" quotePrefix="1" applyNumberFormat="1" applyFont="1" applyFill="1" applyBorder="1" applyAlignment="1">
      <alignment horizontal="center"/>
    </xf>
    <xf numFmtId="49" fontId="16" fillId="5" borderId="35" xfId="0" quotePrefix="1" applyNumberFormat="1" applyFont="1" applyFill="1" applyBorder="1" applyAlignment="1">
      <alignment horizontal="center"/>
    </xf>
    <xf numFmtId="49" fontId="16" fillId="5" borderId="0" xfId="0" quotePrefix="1" applyNumberFormat="1" applyFont="1" applyFill="1" applyBorder="1" applyAlignment="1">
      <alignment horizontal="center"/>
    </xf>
    <xf numFmtId="0" fontId="17" fillId="3" borderId="6" xfId="4" applyFont="1" applyFill="1" applyBorder="1"/>
    <xf numFmtId="0" fontId="11" fillId="3" borderId="7" xfId="4" applyFont="1" applyFill="1" applyBorder="1"/>
    <xf numFmtId="0" fontId="11" fillId="3" borderId="8" xfId="4" applyFont="1" applyFill="1" applyBorder="1"/>
    <xf numFmtId="49" fontId="16" fillId="5" borderId="0" xfId="0" quotePrefix="1" applyNumberFormat="1" applyFont="1" applyFill="1" applyBorder="1" applyAlignment="1">
      <alignment horizontal="center" wrapText="1"/>
    </xf>
    <xf numFmtId="0" fontId="11" fillId="3" borderId="4" xfId="4" applyFont="1" applyFill="1" applyBorder="1"/>
    <xf numFmtId="0" fontId="11" fillId="3" borderId="5" xfId="4" applyFont="1" applyFill="1" applyBorder="1"/>
    <xf numFmtId="0" fontId="11" fillId="3" borderId="0" xfId="4" applyFont="1" applyFill="1" applyBorder="1"/>
    <xf numFmtId="0" fontId="11" fillId="6" borderId="8" xfId="4" applyFont="1" applyFill="1" applyBorder="1"/>
    <xf numFmtId="0" fontId="11" fillId="6" borderId="5" xfId="4" applyFont="1" applyFill="1" applyBorder="1"/>
    <xf numFmtId="0" fontId="11" fillId="6" borderId="12" xfId="4" applyFont="1" applyFill="1" applyBorder="1"/>
    <xf numFmtId="0" fontId="11" fillId="7" borderId="6" xfId="4" applyFont="1" applyFill="1" applyBorder="1"/>
    <xf numFmtId="0" fontId="11" fillId="7" borderId="7" xfId="4" applyFont="1" applyFill="1" applyBorder="1"/>
    <xf numFmtId="0" fontId="11" fillId="7" borderId="4" xfId="4" applyFont="1" applyFill="1" applyBorder="1"/>
    <xf numFmtId="0" fontId="11" fillId="7" borderId="0" xfId="4" applyFont="1" applyFill="1" applyBorder="1"/>
    <xf numFmtId="0" fontId="11" fillId="7" borderId="10" xfId="4" applyFont="1" applyFill="1" applyBorder="1"/>
    <xf numFmtId="0" fontId="11" fillId="7" borderId="11" xfId="4" applyFont="1" applyFill="1" applyBorder="1"/>
    <xf numFmtId="0" fontId="11" fillId="7" borderId="8" xfId="4" applyFont="1" applyFill="1" applyBorder="1"/>
    <xf numFmtId="0" fontId="11" fillId="7" borderId="5" xfId="4" applyFont="1" applyFill="1" applyBorder="1"/>
    <xf numFmtId="0" fontId="11" fillId="7" borderId="12" xfId="4" applyFont="1" applyFill="1" applyBorder="1"/>
    <xf numFmtId="0" fontId="1" fillId="7" borderId="7" xfId="0" applyFont="1" applyFill="1" applyBorder="1"/>
    <xf numFmtId="0" fontId="1" fillId="7" borderId="0" xfId="0" applyFont="1" applyFill="1" applyBorder="1"/>
    <xf numFmtId="0" fontId="1" fillId="7" borderId="11" xfId="0" applyFont="1" applyFill="1" applyBorder="1"/>
    <xf numFmtId="9" fontId="11" fillId="7" borderId="7" xfId="3" applyNumberFormat="1" applyFont="1" applyFill="1" applyBorder="1" applyAlignment="1">
      <alignment horizontal="center"/>
    </xf>
    <xf numFmtId="9" fontId="11" fillId="7" borderId="0" xfId="3" applyNumberFormat="1" applyFont="1" applyFill="1" applyBorder="1" applyAlignment="1">
      <alignment horizontal="center"/>
    </xf>
    <xf numFmtId="9" fontId="11" fillId="7" borderId="11" xfId="3" applyNumberFormat="1" applyFont="1" applyFill="1" applyBorder="1" applyAlignment="1">
      <alignment horizontal="center"/>
    </xf>
    <xf numFmtId="0" fontId="1" fillId="7" borderId="6" xfId="0" applyFont="1" applyFill="1" applyBorder="1"/>
    <xf numFmtId="0" fontId="1" fillId="7" borderId="4" xfId="0" applyFont="1" applyFill="1" applyBorder="1"/>
    <xf numFmtId="0" fontId="1" fillId="7" borderId="10" xfId="0" applyFont="1" applyFill="1" applyBorder="1"/>
    <xf numFmtId="49" fontId="15" fillId="4" borderId="43" xfId="0" quotePrefix="1" applyNumberFormat="1" applyFont="1" applyFill="1" applyBorder="1" applyAlignment="1">
      <alignment horizontal="left"/>
    </xf>
    <xf numFmtId="0" fontId="15" fillId="4" borderId="9" xfId="0" applyFont="1" applyFill="1" applyBorder="1" applyAlignment="1">
      <alignment horizontal="left"/>
    </xf>
    <xf numFmtId="0" fontId="11" fillId="7" borderId="9" xfId="4" applyFont="1" applyFill="1" applyBorder="1"/>
    <xf numFmtId="0" fontId="11" fillId="7" borderId="13" xfId="4" applyFont="1" applyFill="1" applyBorder="1"/>
    <xf numFmtId="49" fontId="15" fillId="4" borderId="43" xfId="0" quotePrefix="1" applyNumberFormat="1" applyFont="1" applyFill="1" applyBorder="1" applyAlignment="1">
      <alignment horizontal="center"/>
    </xf>
    <xf numFmtId="0" fontId="15" fillId="4" borderId="9" xfId="0" applyFont="1" applyFill="1" applyBorder="1" applyAlignment="1">
      <alignment horizontal="center"/>
    </xf>
    <xf numFmtId="49" fontId="12" fillId="4" borderId="0" xfId="0" quotePrefix="1" applyNumberFormat="1" applyFont="1" applyFill="1" applyAlignment="1">
      <alignment horizontal="left" wrapText="1"/>
    </xf>
    <xf numFmtId="49" fontId="12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center" wrapText="1"/>
    </xf>
    <xf numFmtId="49" fontId="13" fillId="4" borderId="0" xfId="0" applyNumberFormat="1" applyFont="1" applyFill="1" applyAlignment="1">
      <alignment horizontal="right" wrapText="1"/>
    </xf>
    <xf numFmtId="0" fontId="16" fillId="5" borderId="39" xfId="0" quotePrefix="1" applyNumberFormat="1" applyFont="1" applyFill="1" applyBorder="1" applyAlignment="1">
      <alignment horizontal="center"/>
    </xf>
    <xf numFmtId="0" fontId="16" fillId="5" borderId="40" xfId="0" applyNumberFormat="1" applyFont="1" applyFill="1" applyBorder="1" applyAlignment="1">
      <alignment horizontal="center"/>
    </xf>
    <xf numFmtId="0" fontId="16" fillId="5" borderId="42" xfId="0" applyNumberFormat="1" applyFont="1" applyFill="1" applyBorder="1" applyAlignment="1">
      <alignment horizontal="center"/>
    </xf>
    <xf numFmtId="49" fontId="16" fillId="5" borderId="34" xfId="0" quotePrefix="1" applyNumberFormat="1" applyFont="1" applyFill="1" applyBorder="1" applyAlignment="1">
      <alignment horizontal="center"/>
    </xf>
    <xf numFmtId="49" fontId="16" fillId="5" borderId="32" xfId="0" applyNumberFormat="1" applyFont="1" applyFill="1" applyBorder="1" applyAlignment="1">
      <alignment horizontal="center"/>
    </xf>
    <xf numFmtId="49" fontId="16" fillId="5" borderId="33" xfId="0" applyNumberFormat="1" applyFont="1" applyFill="1" applyBorder="1" applyAlignment="1">
      <alignment horizontal="center"/>
    </xf>
    <xf numFmtId="0" fontId="15" fillId="5" borderId="34" xfId="0" applyFont="1" applyFill="1" applyBorder="1" applyAlignment="1">
      <alignment horizontal="center"/>
    </xf>
    <xf numFmtId="0" fontId="15" fillId="5" borderId="32" xfId="0" applyFont="1" applyFill="1" applyBorder="1" applyAlignment="1">
      <alignment horizontal="center"/>
    </xf>
    <xf numFmtId="0" fontId="15" fillId="5" borderId="33" xfId="0" applyFont="1" applyFill="1" applyBorder="1" applyAlignment="1">
      <alignment horizontal="center"/>
    </xf>
    <xf numFmtId="49" fontId="13" fillId="4" borderId="0" xfId="0" quotePrefix="1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Border="1" applyAlignment="1">
      <alignment horizontal="left" wrapText="1"/>
    </xf>
    <xf numFmtId="49" fontId="13" fillId="4" borderId="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right" wrapText="1"/>
    </xf>
    <xf numFmtId="49" fontId="13" fillId="4" borderId="0" xfId="0" applyNumberFormat="1" applyFont="1" applyFill="1" applyBorder="1" applyAlignment="1">
      <alignment horizontal="right" wrapText="1"/>
    </xf>
    <xf numFmtId="0" fontId="16" fillId="5" borderId="41" xfId="0" applyNumberFormat="1" applyFont="1" applyFill="1" applyBorder="1" applyAlignment="1">
      <alignment horizontal="center"/>
    </xf>
  </cellXfs>
  <cellStyles count="6">
    <cellStyle name="Comma" xfId="1" builtinId="3"/>
    <cellStyle name="Comma 11" xfId="5" xr:uid="{00000000-0005-0000-0000-000001000000}"/>
    <cellStyle name="Currency" xfId="2" builtinId="4"/>
    <cellStyle name="Normal" xfId="0" builtinId="0"/>
    <cellStyle name="Normal 10" xfId="4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BHN%20168999%20new\Accounts%20payable%20transa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Summary%20trial%20balances%20(UK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24%202009.zip\Weekly%20Flash%20Report%20Wk%2024%2020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5110%20Cash%20&amp;%20Short%20Term%20InvestmentsLeadsheet%20-%20200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HARED\FINANCE\2012%20Plan\2012%20Plan%20Summary\2012%20Plan%20Summar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A\Reconciliations\FATS\2006\Period%2013\FATS%2013-20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upporting%20schedul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2008%20Plan\Assumptions\2008%20SG&amp;A%20Assumption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Audits\Chart%20of%20Accounts\Dimensions(DRAFT_v07-26-1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GL\Division\Dominick\Period\JE%20381%20LAWS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DELITAX\PUBLIC\Mandanten\P\Planschmiede\2000\Excel\027-Kontolauf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RP\zReport%20Development\Developers\Jenny%20Fu\2013%20Report%20Package\P03%202013%20Batch%20Report\Mandanten\R\Riverside\2005\Excel\051-Fibu-Mappe-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12%202009.zip\Weekly%20Flash%20Report%20Wk%2012%2020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BHN%20International%20Financial%20Report%20011207%20Francev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100A%20MNC%20P%20L%20Analysi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SWY%20IR%20Reporting\2011\2011%20Q2%20SWY%20Reporting%20Packag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56%20%20%20PY%20-%20F%20A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8310%20Operating%20&amp;%20Administrative%20Expenses%20Leadsheet%20-%20200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8310%20Operating%20&amp;%20Administrative%20Expenses%20Leadsheet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10%20Property%20-%20Combined%20Leadsheet%20-%20Matson%20FOR%20DEPR%20EXP%20TAB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kradh00\Local%20Settings\Temporary%20Internet%20Files\Content.Outlook\D2EV14T2\2011%20Q1%20SWY%20Reporting%20Package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usersheet"/>
      <sheetName val="Sheet2"/>
      <sheetName val="Sheet1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Profit &amp; Loss"/>
      <sheetName val="TB"/>
      <sheetName val="Sheet2"/>
      <sheetName val="Lookup Tab"/>
    </sheetNames>
    <sheetDataSet>
      <sheetData sheetId="0" refreshError="1"/>
      <sheetData sheetId="1" refreshError="1"/>
      <sheetData sheetId="2" refreshError="1">
        <row r="1">
          <cell r="A1" t="str">
            <v>P1</v>
          </cell>
          <cell r="F1" t="str">
            <v>P2</v>
          </cell>
          <cell r="K1" t="str">
            <v>P3</v>
          </cell>
          <cell r="P1" t="str">
            <v>P4</v>
          </cell>
          <cell r="U1" t="str">
            <v>P5</v>
          </cell>
          <cell r="Z1" t="str">
            <v>P6</v>
          </cell>
          <cell r="AE1" t="str">
            <v>P7</v>
          </cell>
          <cell r="AJ1" t="str">
            <v>P8</v>
          </cell>
          <cell r="AO1" t="str">
            <v>P9</v>
          </cell>
          <cell r="AT1" t="str">
            <v>P10</v>
          </cell>
          <cell r="AY1" t="str">
            <v>P11</v>
          </cell>
          <cell r="BD1" t="str">
            <v>P12</v>
          </cell>
          <cell r="BI1" t="str">
            <v>P13</v>
          </cell>
        </row>
        <row r="2">
          <cell r="A2" t="str">
            <v>N/C</v>
          </cell>
          <cell r="B2" t="str">
            <v>Name</v>
          </cell>
          <cell r="C2" t="str">
            <v>Debit</v>
          </cell>
          <cell r="D2" t="str">
            <v>Credit</v>
          </cell>
          <cell r="F2" t="str">
            <v>N/C</v>
          </cell>
          <cell r="G2" t="str">
            <v>Name</v>
          </cell>
          <cell r="H2" t="str">
            <v>Debit</v>
          </cell>
          <cell r="I2" t="str">
            <v>Credit</v>
          </cell>
          <cell r="K2" t="str">
            <v>N/C</v>
          </cell>
          <cell r="L2" t="str">
            <v>Name</v>
          </cell>
          <cell r="M2" t="str">
            <v>Debit</v>
          </cell>
          <cell r="N2" t="str">
            <v>Credit</v>
          </cell>
          <cell r="P2" t="str">
            <v>N/C</v>
          </cell>
          <cell r="Q2" t="str">
            <v>Name</v>
          </cell>
          <cell r="R2" t="str">
            <v>Debit</v>
          </cell>
          <cell r="S2" t="str">
            <v>Credit</v>
          </cell>
          <cell r="U2" t="str">
            <v>N/C</v>
          </cell>
          <cell r="V2" t="str">
            <v>Name</v>
          </cell>
          <cell r="W2" t="str">
            <v>Debit</v>
          </cell>
          <cell r="X2" t="str">
            <v>Credit</v>
          </cell>
          <cell r="Z2" t="str">
            <v>N/C</v>
          </cell>
          <cell r="AA2" t="str">
            <v>Name</v>
          </cell>
          <cell r="AB2" t="str">
            <v>Debit</v>
          </cell>
          <cell r="AC2" t="str">
            <v>Credit</v>
          </cell>
          <cell r="AE2" t="str">
            <v>N/C</v>
          </cell>
          <cell r="AF2" t="str">
            <v>Name</v>
          </cell>
          <cell r="AG2" t="str">
            <v>Debit</v>
          </cell>
          <cell r="AH2" t="str">
            <v>Credit</v>
          </cell>
          <cell r="AJ2" t="str">
            <v>N/C</v>
          </cell>
          <cell r="AK2" t="str">
            <v>Name</v>
          </cell>
          <cell r="AL2" t="str">
            <v>Debit</v>
          </cell>
          <cell r="AM2" t="str">
            <v>Credit</v>
          </cell>
        </row>
        <row r="3">
          <cell r="A3">
            <v>11</v>
          </cell>
          <cell r="B3" t="str">
            <v>Leasehold Property</v>
          </cell>
          <cell r="F3">
            <v>11</v>
          </cell>
          <cell r="G3" t="str">
            <v>Leasehold Property</v>
          </cell>
          <cell r="K3">
            <v>11</v>
          </cell>
          <cell r="L3" t="str">
            <v>Leasehold Property</v>
          </cell>
          <cell r="P3">
            <v>11</v>
          </cell>
          <cell r="Q3" t="str">
            <v>Leasehold Property</v>
          </cell>
          <cell r="U3">
            <v>11</v>
          </cell>
          <cell r="V3" t="str">
            <v>Leasehold Property</v>
          </cell>
          <cell r="Z3">
            <v>11</v>
          </cell>
          <cell r="AA3" t="str">
            <v>Leasehold Property</v>
          </cell>
          <cell r="AE3">
            <v>11</v>
          </cell>
          <cell r="AF3" t="str">
            <v>Leasehold Property</v>
          </cell>
          <cell r="AJ3">
            <v>11</v>
          </cell>
          <cell r="AK3" t="str">
            <v>Leasehold Property</v>
          </cell>
          <cell r="AO3">
            <v>11</v>
          </cell>
          <cell r="AP3" t="str">
            <v>Leasehold Property</v>
          </cell>
          <cell r="AT3">
            <v>11</v>
          </cell>
          <cell r="AU3" t="str">
            <v>Leasehold Property</v>
          </cell>
          <cell r="AY3">
            <v>11</v>
          </cell>
          <cell r="AZ3" t="str">
            <v>Leasehold Property</v>
          </cell>
          <cell r="BD3">
            <v>11</v>
          </cell>
          <cell r="BE3" t="str">
            <v>Leasehold Property</v>
          </cell>
          <cell r="BI3">
            <v>11</v>
          </cell>
          <cell r="BJ3" t="str">
            <v>Leasehold Property</v>
          </cell>
        </row>
        <row r="4">
          <cell r="A4">
            <v>12</v>
          </cell>
          <cell r="B4" t="str">
            <v>Leasehold Property Depreciation</v>
          </cell>
          <cell r="D4">
            <v>8.07</v>
          </cell>
          <cell r="F4">
            <v>12</v>
          </cell>
          <cell r="G4" t="str">
            <v>Leasehold Property Depreciation</v>
          </cell>
          <cell r="I4">
            <v>16.14</v>
          </cell>
          <cell r="K4">
            <v>12</v>
          </cell>
          <cell r="L4" t="str">
            <v>Leasehold Property Depreciation</v>
          </cell>
          <cell r="N4">
            <v>16.14</v>
          </cell>
          <cell r="P4">
            <v>12</v>
          </cell>
          <cell r="Q4" t="str">
            <v>Leasehold Property Depreciation</v>
          </cell>
          <cell r="S4">
            <v>67.17</v>
          </cell>
          <cell r="U4">
            <v>12</v>
          </cell>
          <cell r="V4" t="str">
            <v>Leasehold Property Depreciation</v>
          </cell>
          <cell r="X4">
            <v>75.239999999999995</v>
          </cell>
          <cell r="Z4">
            <v>12</v>
          </cell>
          <cell r="AA4" t="str">
            <v>Leasehold Property Depreciation</v>
          </cell>
          <cell r="AC4">
            <v>83.31</v>
          </cell>
          <cell r="AE4">
            <v>12</v>
          </cell>
          <cell r="AF4" t="str">
            <v>Leasehold Property Depreciation</v>
          </cell>
          <cell r="AH4">
            <v>91.38</v>
          </cell>
          <cell r="AJ4">
            <v>12</v>
          </cell>
          <cell r="AK4" t="str">
            <v>Leasehold Property Depreciation</v>
          </cell>
          <cell r="AO4">
            <v>12</v>
          </cell>
          <cell r="AP4" t="str">
            <v>Leasehold Property Depreciation</v>
          </cell>
          <cell r="AT4">
            <v>12</v>
          </cell>
          <cell r="AU4" t="str">
            <v>Leasehold Property Depreciation</v>
          </cell>
          <cell r="AY4">
            <v>12</v>
          </cell>
          <cell r="AZ4" t="str">
            <v>Leasehold Property Depreciation</v>
          </cell>
          <cell r="BD4">
            <v>12</v>
          </cell>
          <cell r="BE4" t="str">
            <v>Leasehold Property Depreciation</v>
          </cell>
          <cell r="BI4">
            <v>12</v>
          </cell>
          <cell r="BJ4" t="str">
            <v>Leasehold Property Depreciation</v>
          </cell>
        </row>
        <row r="5">
          <cell r="A5">
            <v>20</v>
          </cell>
          <cell r="B5" t="str">
            <v>Plant and Machinery</v>
          </cell>
          <cell r="F5">
            <v>20</v>
          </cell>
          <cell r="G5" t="str">
            <v>Plant and Machinery</v>
          </cell>
          <cell r="K5">
            <v>20</v>
          </cell>
          <cell r="L5" t="str">
            <v>Plant and Machinery</v>
          </cell>
          <cell r="P5">
            <v>20</v>
          </cell>
          <cell r="Q5" t="str">
            <v>Plant and Machinery</v>
          </cell>
          <cell r="U5">
            <v>20</v>
          </cell>
          <cell r="V5" t="str">
            <v>Plant and Machinery</v>
          </cell>
          <cell r="Z5">
            <v>20</v>
          </cell>
          <cell r="AA5" t="str">
            <v>Plant and Machinery</v>
          </cell>
          <cell r="AE5">
            <v>20</v>
          </cell>
          <cell r="AF5" t="str">
            <v>Plant and Machinery</v>
          </cell>
          <cell r="AJ5">
            <v>20</v>
          </cell>
          <cell r="AK5" t="str">
            <v>Plant and Machinery</v>
          </cell>
          <cell r="AO5">
            <v>20</v>
          </cell>
          <cell r="AP5" t="str">
            <v>Plant and Machinery</v>
          </cell>
          <cell r="AT5">
            <v>20</v>
          </cell>
          <cell r="AU5" t="str">
            <v>Plant and Machinery</v>
          </cell>
          <cell r="AY5">
            <v>20</v>
          </cell>
          <cell r="AZ5" t="str">
            <v>Plant and Machinery</v>
          </cell>
          <cell r="BD5">
            <v>20</v>
          </cell>
          <cell r="BE5" t="str">
            <v>Plant and Machinery</v>
          </cell>
          <cell r="BF5">
            <v>0</v>
          </cell>
          <cell r="BI5">
            <v>20</v>
          </cell>
          <cell r="BJ5" t="str">
            <v>Plant and Machinery</v>
          </cell>
        </row>
        <row r="6">
          <cell r="A6">
            <v>21</v>
          </cell>
          <cell r="B6" t="str">
            <v>Plant/Machinery Depreciation</v>
          </cell>
          <cell r="D6">
            <v>57.93</v>
          </cell>
          <cell r="F6">
            <v>21</v>
          </cell>
          <cell r="G6" t="str">
            <v>Plant/Machinery Depreciation</v>
          </cell>
          <cell r="I6">
            <v>115.86</v>
          </cell>
          <cell r="K6">
            <v>21</v>
          </cell>
          <cell r="L6" t="str">
            <v>Plant/Machinery Depreciation</v>
          </cell>
          <cell r="N6">
            <v>115.86</v>
          </cell>
          <cell r="P6">
            <v>21</v>
          </cell>
          <cell r="Q6" t="str">
            <v>Plant/Machinery Depreciation</v>
          </cell>
          <cell r="S6">
            <v>6.57</v>
          </cell>
          <cell r="U6">
            <v>21</v>
          </cell>
          <cell r="V6" t="str">
            <v>Plant/Machinery Depreciation</v>
          </cell>
          <cell r="X6">
            <v>60.17</v>
          </cell>
          <cell r="Z6">
            <v>21</v>
          </cell>
          <cell r="AA6" t="str">
            <v>Plant/Machinery Depreciation</v>
          </cell>
          <cell r="AC6">
            <v>112.74</v>
          </cell>
          <cell r="AE6">
            <v>21</v>
          </cell>
          <cell r="AF6" t="str">
            <v>Plant/Machinery Depreciation</v>
          </cell>
          <cell r="AH6">
            <v>164.3</v>
          </cell>
          <cell r="AJ6">
            <v>21</v>
          </cell>
          <cell r="AK6" t="str">
            <v>Plant/Machinery Depreciation</v>
          </cell>
          <cell r="AO6">
            <v>21</v>
          </cell>
          <cell r="AP6" t="str">
            <v>Plant/Machinery Depreciation</v>
          </cell>
          <cell r="AT6">
            <v>21</v>
          </cell>
          <cell r="AU6" t="str">
            <v>Plant/Machinery Depreciation</v>
          </cell>
          <cell r="AY6">
            <v>21</v>
          </cell>
          <cell r="AZ6" t="str">
            <v>Plant/Machinery Depreciation</v>
          </cell>
          <cell r="BD6">
            <v>21</v>
          </cell>
          <cell r="BE6" t="str">
            <v>Plant/Machinery Depreciation</v>
          </cell>
          <cell r="BF6">
            <v>0</v>
          </cell>
          <cell r="BI6">
            <v>21</v>
          </cell>
          <cell r="BJ6" t="str">
            <v>Plant/Machinery Depreciation</v>
          </cell>
        </row>
        <row r="7">
          <cell r="A7">
            <v>30</v>
          </cell>
          <cell r="B7" t="str">
            <v>Office Equipment</v>
          </cell>
          <cell r="C7">
            <v>1432.5</v>
          </cell>
          <cell r="F7">
            <v>30</v>
          </cell>
          <cell r="G7" t="str">
            <v>Office Equipment</v>
          </cell>
          <cell r="H7">
            <v>1432.5</v>
          </cell>
          <cell r="K7">
            <v>30</v>
          </cell>
          <cell r="L7" t="str">
            <v>Office Equipment</v>
          </cell>
          <cell r="M7">
            <v>1432.5</v>
          </cell>
          <cell r="P7">
            <v>30</v>
          </cell>
          <cell r="Q7" t="str">
            <v>Office Equipment</v>
          </cell>
          <cell r="R7">
            <v>1432.5</v>
          </cell>
          <cell r="U7">
            <v>30</v>
          </cell>
          <cell r="V7" t="str">
            <v>Office Equipment</v>
          </cell>
          <cell r="W7">
            <v>1432.5</v>
          </cell>
          <cell r="Z7">
            <v>30</v>
          </cell>
          <cell r="AA7" t="str">
            <v>Office Equipment</v>
          </cell>
          <cell r="AB7">
            <v>1432.5</v>
          </cell>
          <cell r="AE7">
            <v>30</v>
          </cell>
          <cell r="AF7" t="str">
            <v>Office Equipment</v>
          </cell>
          <cell r="AG7">
            <v>1432.5</v>
          </cell>
          <cell r="AJ7">
            <v>30</v>
          </cell>
          <cell r="AK7" t="str">
            <v>Office Equipment</v>
          </cell>
          <cell r="AO7">
            <v>30</v>
          </cell>
          <cell r="AP7" t="str">
            <v>Office Equipment</v>
          </cell>
          <cell r="AT7">
            <v>30</v>
          </cell>
          <cell r="AU7" t="str">
            <v>Office Equipment</v>
          </cell>
          <cell r="AY7">
            <v>30</v>
          </cell>
          <cell r="AZ7" t="str">
            <v>Office Equipment</v>
          </cell>
          <cell r="BD7">
            <v>30</v>
          </cell>
          <cell r="BE7" t="str">
            <v>Office Equipment</v>
          </cell>
          <cell r="BG7">
            <v>0</v>
          </cell>
          <cell r="BI7">
            <v>30</v>
          </cell>
          <cell r="BJ7" t="str">
            <v>Office Equipment</v>
          </cell>
        </row>
        <row r="8">
          <cell r="A8">
            <v>31</v>
          </cell>
          <cell r="B8" t="str">
            <v>Office Equipment Depreciation</v>
          </cell>
          <cell r="D8">
            <v>12.13</v>
          </cell>
          <cell r="F8">
            <v>31</v>
          </cell>
          <cell r="G8" t="str">
            <v>Office Equipment Depreciation</v>
          </cell>
          <cell r="I8">
            <v>24.26</v>
          </cell>
          <cell r="K8">
            <v>31</v>
          </cell>
          <cell r="L8" t="str">
            <v>Office Equipment Depreciation</v>
          </cell>
          <cell r="N8">
            <v>24.26</v>
          </cell>
          <cell r="P8">
            <v>31</v>
          </cell>
          <cell r="Q8" t="str">
            <v>Office Equipment Depreciation</v>
          </cell>
          <cell r="S8">
            <v>101.69</v>
          </cell>
          <cell r="U8">
            <v>31</v>
          </cell>
          <cell r="V8" t="str">
            <v>Office Equipment Depreciation</v>
          </cell>
          <cell r="X8">
            <v>139.41</v>
          </cell>
          <cell r="Z8">
            <v>31</v>
          </cell>
          <cell r="AA8" t="str">
            <v>Office Equipment Depreciation</v>
          </cell>
          <cell r="AC8">
            <v>176.4</v>
          </cell>
          <cell r="AE8">
            <v>31</v>
          </cell>
          <cell r="AF8" t="str">
            <v>Office Equipment Depreciation</v>
          </cell>
          <cell r="AH8">
            <v>212.68</v>
          </cell>
          <cell r="AJ8">
            <v>31</v>
          </cell>
          <cell r="AK8" t="str">
            <v>Office Equipment Depreciation</v>
          </cell>
          <cell r="AO8">
            <v>31</v>
          </cell>
          <cell r="AP8" t="str">
            <v>Office Equipment Depreciation</v>
          </cell>
          <cell r="AT8">
            <v>31</v>
          </cell>
          <cell r="AU8" t="str">
            <v>Office Equipment Depreciation</v>
          </cell>
          <cell r="AY8">
            <v>31</v>
          </cell>
          <cell r="AZ8" t="str">
            <v>Office Equipment Depreciation</v>
          </cell>
          <cell r="BD8">
            <v>31</v>
          </cell>
          <cell r="BE8" t="str">
            <v>Office Equipment Depreciation</v>
          </cell>
          <cell r="BF8">
            <v>0</v>
          </cell>
          <cell r="BI8">
            <v>31</v>
          </cell>
          <cell r="BJ8" t="str">
            <v>Office Equipment Depreciation</v>
          </cell>
        </row>
        <row r="9">
          <cell r="A9">
            <v>40</v>
          </cell>
          <cell r="B9" t="str">
            <v>Computer Equipment</v>
          </cell>
          <cell r="C9">
            <v>340</v>
          </cell>
          <cell r="F9">
            <v>40</v>
          </cell>
          <cell r="G9" t="str">
            <v>Computer Equipment</v>
          </cell>
          <cell r="H9">
            <v>340</v>
          </cell>
          <cell r="K9">
            <v>40</v>
          </cell>
          <cell r="L9" t="str">
            <v>Computer Equipment</v>
          </cell>
          <cell r="M9">
            <v>340</v>
          </cell>
          <cell r="P9">
            <v>40</v>
          </cell>
          <cell r="Q9" t="str">
            <v>Computer Equipment</v>
          </cell>
          <cell r="R9">
            <v>340</v>
          </cell>
          <cell r="U9">
            <v>40</v>
          </cell>
          <cell r="V9" t="str">
            <v>Computer Equipment</v>
          </cell>
          <cell r="W9">
            <v>340</v>
          </cell>
          <cell r="Z9">
            <v>40</v>
          </cell>
          <cell r="AA9" t="str">
            <v>Computer Equipment</v>
          </cell>
          <cell r="AB9">
            <v>340</v>
          </cell>
          <cell r="AE9">
            <v>40</v>
          </cell>
          <cell r="AF9" t="str">
            <v>Computer Equipment</v>
          </cell>
          <cell r="AG9">
            <v>340</v>
          </cell>
          <cell r="AJ9">
            <v>40</v>
          </cell>
          <cell r="AK9" t="str">
            <v>Computer Equipment</v>
          </cell>
          <cell r="AO9">
            <v>40</v>
          </cell>
          <cell r="AP9" t="str">
            <v>Computer Equipment</v>
          </cell>
          <cell r="AT9">
            <v>40</v>
          </cell>
          <cell r="AU9" t="str">
            <v>Computer Equipment</v>
          </cell>
          <cell r="AY9">
            <v>40</v>
          </cell>
          <cell r="AZ9" t="str">
            <v>Computer Equipment</v>
          </cell>
          <cell r="BD9">
            <v>40</v>
          </cell>
          <cell r="BE9" t="str">
            <v>Computer Equipment</v>
          </cell>
          <cell r="BG9">
            <v>0</v>
          </cell>
          <cell r="BI9">
            <v>40</v>
          </cell>
          <cell r="BJ9" t="str">
            <v>Computer Equipment</v>
          </cell>
        </row>
        <row r="10">
          <cell r="A10">
            <v>41</v>
          </cell>
          <cell r="B10" t="str">
            <v>Computer Equipment Depreciation</v>
          </cell>
          <cell r="D10">
            <v>64.010000000000005</v>
          </cell>
          <cell r="F10">
            <v>41</v>
          </cell>
          <cell r="G10" t="str">
            <v>Computer Equipment Depreciation</v>
          </cell>
          <cell r="I10">
            <v>128.02000000000001</v>
          </cell>
          <cell r="K10">
            <v>41</v>
          </cell>
          <cell r="L10" t="str">
            <v>Computer Equipment Depreciation</v>
          </cell>
          <cell r="N10">
            <v>128.02000000000001</v>
          </cell>
          <cell r="P10">
            <v>41</v>
          </cell>
          <cell r="Q10" t="str">
            <v>Computer Equipment Depreciation</v>
          </cell>
          <cell r="S10">
            <v>474.58</v>
          </cell>
          <cell r="U10">
            <v>41</v>
          </cell>
          <cell r="V10" t="str">
            <v>Computer Equipment Depreciation</v>
          </cell>
          <cell r="X10">
            <v>538.59</v>
          </cell>
          <cell r="Z10">
            <v>41</v>
          </cell>
          <cell r="AA10" t="str">
            <v>Computer Equipment Depreciation</v>
          </cell>
          <cell r="AC10">
            <v>602.6</v>
          </cell>
          <cell r="AE10">
            <v>41</v>
          </cell>
          <cell r="AF10" t="str">
            <v>Computer Equipment Depreciation</v>
          </cell>
          <cell r="AH10">
            <v>666.61</v>
          </cell>
          <cell r="AJ10">
            <v>41</v>
          </cell>
          <cell r="AK10" t="str">
            <v>Computer Equipment Depreciation</v>
          </cell>
          <cell r="AO10">
            <v>41</v>
          </cell>
          <cell r="AP10" t="str">
            <v>Computer Equipment Depreciation</v>
          </cell>
          <cell r="AT10">
            <v>41</v>
          </cell>
          <cell r="AU10" t="str">
            <v>Computer Equipment Depreciation</v>
          </cell>
          <cell r="AY10">
            <v>41</v>
          </cell>
          <cell r="AZ10" t="str">
            <v>Computer Equipment Depreciation</v>
          </cell>
          <cell r="BD10">
            <v>41</v>
          </cell>
          <cell r="BE10" t="str">
            <v>Computer Equipment Depreciation</v>
          </cell>
          <cell r="BI10">
            <v>41</v>
          </cell>
          <cell r="BJ10" t="str">
            <v>Computer Equipment Depreciation</v>
          </cell>
        </row>
        <row r="11">
          <cell r="A11">
            <v>1001</v>
          </cell>
          <cell r="B11" t="str">
            <v>Stock</v>
          </cell>
          <cell r="C11">
            <v>53258.07</v>
          </cell>
          <cell r="F11">
            <v>1001</v>
          </cell>
          <cell r="G11" t="str">
            <v>Stock</v>
          </cell>
          <cell r="H11">
            <v>53258.07</v>
          </cell>
          <cell r="K11">
            <v>1001</v>
          </cell>
          <cell r="L11" t="str">
            <v>Stock</v>
          </cell>
          <cell r="M11">
            <v>53258.07</v>
          </cell>
          <cell r="P11">
            <v>1001</v>
          </cell>
          <cell r="Q11" t="str">
            <v>Stock</v>
          </cell>
          <cell r="R11">
            <v>362978.15</v>
          </cell>
          <cell r="U11">
            <v>1001</v>
          </cell>
          <cell r="V11" t="str">
            <v>Stock</v>
          </cell>
          <cell r="W11">
            <v>362978.15</v>
          </cell>
          <cell r="Z11">
            <v>1001</v>
          </cell>
          <cell r="AA11" t="str">
            <v>Stock</v>
          </cell>
          <cell r="AB11">
            <v>311430.96000000002</v>
          </cell>
          <cell r="AE11">
            <v>1001</v>
          </cell>
          <cell r="AF11" t="str">
            <v>Stock</v>
          </cell>
          <cell r="AG11">
            <v>311430.96000000002</v>
          </cell>
          <cell r="AJ11">
            <v>1001</v>
          </cell>
          <cell r="AK11" t="str">
            <v>Stock</v>
          </cell>
          <cell r="AL11">
            <v>280985.93</v>
          </cell>
          <cell r="AO11">
            <v>1001</v>
          </cell>
          <cell r="AP11" t="str">
            <v>Stock</v>
          </cell>
          <cell r="AQ11">
            <v>173739.37</v>
          </cell>
          <cell r="AT11">
            <v>1001</v>
          </cell>
          <cell r="AU11" t="str">
            <v>Stock</v>
          </cell>
          <cell r="AV11">
            <v>155236.76999999999</v>
          </cell>
          <cell r="AY11">
            <v>1001</v>
          </cell>
          <cell r="AZ11" t="str">
            <v>Stock</v>
          </cell>
          <cell r="BA11">
            <v>135776</v>
          </cell>
          <cell r="BD11">
            <v>1001</v>
          </cell>
          <cell r="BE11" t="str">
            <v>Stock</v>
          </cell>
          <cell r="BF11">
            <v>149990</v>
          </cell>
          <cell r="BI11">
            <v>1001</v>
          </cell>
          <cell r="BJ11" t="str">
            <v>Stock</v>
          </cell>
          <cell r="BK11">
            <v>204518</v>
          </cell>
        </row>
        <row r="12">
          <cell r="A12">
            <v>1102</v>
          </cell>
          <cell r="B12" t="str">
            <v>Other Debtors</v>
          </cell>
          <cell r="F12">
            <v>1102</v>
          </cell>
          <cell r="G12" t="str">
            <v>Other Debtors</v>
          </cell>
          <cell r="K12">
            <v>1102</v>
          </cell>
          <cell r="L12" t="str">
            <v>Other Debtors</v>
          </cell>
          <cell r="P12">
            <v>1102</v>
          </cell>
          <cell r="Q12" t="str">
            <v>Other Debtors</v>
          </cell>
          <cell r="U12">
            <v>1102</v>
          </cell>
          <cell r="V12" t="str">
            <v>Other Debtors</v>
          </cell>
          <cell r="Z12">
            <v>1102</v>
          </cell>
          <cell r="AA12" t="str">
            <v>Other Debtors</v>
          </cell>
          <cell r="AB12">
            <v>6460</v>
          </cell>
          <cell r="AE12">
            <v>1102</v>
          </cell>
          <cell r="AF12" t="str">
            <v>Other Debtors</v>
          </cell>
          <cell r="AG12">
            <v>6460</v>
          </cell>
          <cell r="AJ12">
            <v>1102</v>
          </cell>
          <cell r="AK12" t="str">
            <v>Other Debtors</v>
          </cell>
          <cell r="AL12">
            <v>6460</v>
          </cell>
          <cell r="AO12">
            <v>1102</v>
          </cell>
          <cell r="AP12" t="str">
            <v>Other Debtors</v>
          </cell>
          <cell r="AQ12">
            <v>6460</v>
          </cell>
          <cell r="AT12">
            <v>1102</v>
          </cell>
          <cell r="AU12" t="str">
            <v>Other Debtors</v>
          </cell>
          <cell r="AV12">
            <v>6460</v>
          </cell>
          <cell r="AY12">
            <v>1102</v>
          </cell>
          <cell r="AZ12" t="str">
            <v>Other Debtors</v>
          </cell>
          <cell r="BA12">
            <v>6460</v>
          </cell>
          <cell r="BD12">
            <v>1102</v>
          </cell>
          <cell r="BE12" t="str">
            <v>Other Debtors</v>
          </cell>
          <cell r="BF12">
            <v>6460</v>
          </cell>
          <cell r="BI12">
            <v>1102</v>
          </cell>
          <cell r="BJ12" t="str">
            <v>Other Debtors</v>
          </cell>
          <cell r="BK12">
            <v>16424.37</v>
          </cell>
        </row>
        <row r="13">
          <cell r="A13">
            <v>1103</v>
          </cell>
          <cell r="B13" t="str">
            <v>Prepayments</v>
          </cell>
          <cell r="C13">
            <v>12293.15</v>
          </cell>
          <cell r="F13">
            <v>1103</v>
          </cell>
          <cell r="G13" t="str">
            <v>Prepayments</v>
          </cell>
          <cell r="H13">
            <v>9521.99</v>
          </cell>
          <cell r="K13">
            <v>1103</v>
          </cell>
          <cell r="L13" t="str">
            <v>Prepayments</v>
          </cell>
          <cell r="M13">
            <v>12041.72</v>
          </cell>
          <cell r="P13">
            <v>1103</v>
          </cell>
          <cell r="Q13" t="str">
            <v>Prepayments</v>
          </cell>
          <cell r="R13">
            <v>10525.98</v>
          </cell>
          <cell r="U13">
            <v>1103</v>
          </cell>
          <cell r="V13" t="str">
            <v>Prepayments</v>
          </cell>
          <cell r="W13">
            <v>11037.28</v>
          </cell>
          <cell r="Z13">
            <v>1103</v>
          </cell>
          <cell r="AA13" t="str">
            <v>Prepayments</v>
          </cell>
          <cell r="AB13">
            <v>27872.1</v>
          </cell>
          <cell r="AE13">
            <v>1103</v>
          </cell>
          <cell r="AF13" t="str">
            <v>Prepayments</v>
          </cell>
          <cell r="AG13">
            <v>39727.83</v>
          </cell>
          <cell r="AJ13">
            <v>1103</v>
          </cell>
          <cell r="AK13" t="str">
            <v>Prepayments</v>
          </cell>
          <cell r="AL13">
            <v>23834.93</v>
          </cell>
          <cell r="AO13">
            <v>1103</v>
          </cell>
          <cell r="AP13" t="str">
            <v>Prepayments</v>
          </cell>
          <cell r="AQ13">
            <v>1314.02</v>
          </cell>
          <cell r="AT13">
            <v>1103</v>
          </cell>
          <cell r="AU13" t="str">
            <v>Prepayments</v>
          </cell>
          <cell r="AV13">
            <v>2850.68</v>
          </cell>
          <cell r="AY13">
            <v>1103</v>
          </cell>
          <cell r="AZ13" t="str">
            <v>Prepayments</v>
          </cell>
          <cell r="BA13">
            <v>9320.58</v>
          </cell>
          <cell r="BD13">
            <v>1103</v>
          </cell>
          <cell r="BE13" t="str">
            <v>Prepayments</v>
          </cell>
          <cell r="BF13">
            <v>6723.23</v>
          </cell>
          <cell r="BI13">
            <v>1103</v>
          </cell>
          <cell r="BJ13" t="str">
            <v>Prepayments</v>
          </cell>
          <cell r="BK13">
            <v>13079.01</v>
          </cell>
        </row>
        <row r="14">
          <cell r="A14">
            <v>1104</v>
          </cell>
          <cell r="B14" t="str">
            <v>Debtors - Morrisions</v>
          </cell>
          <cell r="F14">
            <v>1104</v>
          </cell>
          <cell r="G14" t="str">
            <v>Debtors - Morrisions</v>
          </cell>
          <cell r="K14">
            <v>1104</v>
          </cell>
          <cell r="L14" t="str">
            <v>Debtors - Morrisions</v>
          </cell>
          <cell r="P14">
            <v>1104</v>
          </cell>
          <cell r="Q14" t="str">
            <v>Debtors - Morrisions</v>
          </cell>
          <cell r="U14">
            <v>1104</v>
          </cell>
          <cell r="V14" t="str">
            <v>Debtors - Morrisions</v>
          </cell>
          <cell r="Z14">
            <v>1104</v>
          </cell>
          <cell r="AA14" t="str">
            <v>Debtors - Morrisions</v>
          </cell>
          <cell r="AE14">
            <v>1104</v>
          </cell>
          <cell r="AF14" t="str">
            <v>Debtors - Morrisions</v>
          </cell>
          <cell r="AJ14">
            <v>1104</v>
          </cell>
          <cell r="AK14" t="str">
            <v>Debtors - Morrisions</v>
          </cell>
          <cell r="AO14">
            <v>1104</v>
          </cell>
          <cell r="AP14" t="str">
            <v>Debtors - Morrisions</v>
          </cell>
          <cell r="AT14">
            <v>1104</v>
          </cell>
          <cell r="AU14" t="str">
            <v>Prepayment - Morrisions</v>
          </cell>
          <cell r="AY14">
            <v>1104</v>
          </cell>
          <cell r="AZ14" t="str">
            <v>Prepayment - Morrisions</v>
          </cell>
          <cell r="BA14">
            <v>517647.06</v>
          </cell>
          <cell r="BD14">
            <v>1104</v>
          </cell>
          <cell r="BE14" t="str">
            <v>Prepayment - Morrisions</v>
          </cell>
          <cell r="BF14">
            <v>513333.34</v>
          </cell>
          <cell r="BI14">
            <v>1104</v>
          </cell>
          <cell r="BJ14" t="str">
            <v>Prepayment - Morrisions</v>
          </cell>
        </row>
        <row r="15">
          <cell r="A15">
            <v>1105</v>
          </cell>
          <cell r="B15" t="str">
            <v>Property deposit - Brooks</v>
          </cell>
          <cell r="C15">
            <v>19030.04</v>
          </cell>
          <cell r="F15">
            <v>1105</v>
          </cell>
          <cell r="G15" t="str">
            <v>Property deposit - Brooks</v>
          </cell>
          <cell r="H15">
            <v>19030.04</v>
          </cell>
          <cell r="K15">
            <v>1105</v>
          </cell>
          <cell r="L15" t="str">
            <v>Property deposit - Brooks</v>
          </cell>
          <cell r="M15">
            <v>19030.04</v>
          </cell>
          <cell r="P15">
            <v>1105</v>
          </cell>
          <cell r="Q15" t="str">
            <v>Property deposit - Brooks</v>
          </cell>
          <cell r="R15">
            <v>38060.080000000002</v>
          </cell>
          <cell r="U15">
            <v>1105</v>
          </cell>
          <cell r="V15" t="str">
            <v>Property deposit - Brooks</v>
          </cell>
          <cell r="W15">
            <v>38060.080000000002</v>
          </cell>
          <cell r="Z15">
            <v>1105</v>
          </cell>
          <cell r="AA15" t="str">
            <v>Property deposit - Brooks</v>
          </cell>
          <cell r="AB15">
            <v>38060.080000000002</v>
          </cell>
          <cell r="AE15">
            <v>1105</v>
          </cell>
          <cell r="AF15" t="str">
            <v>Property deposit - Brooks</v>
          </cell>
          <cell r="AG15">
            <v>38060.080000000002</v>
          </cell>
          <cell r="AJ15">
            <v>1105</v>
          </cell>
          <cell r="AK15" t="str">
            <v>Property deposit - Brooks</v>
          </cell>
          <cell r="AL15">
            <v>19029.64</v>
          </cell>
          <cell r="AO15">
            <v>1105</v>
          </cell>
          <cell r="AP15" t="str">
            <v>Property deposit - Brooks</v>
          </cell>
          <cell r="AQ15">
            <v>19029.64</v>
          </cell>
          <cell r="AT15">
            <v>1105</v>
          </cell>
          <cell r="AU15" t="str">
            <v>Property deposit - Brooks</v>
          </cell>
          <cell r="AV15">
            <v>19029.64</v>
          </cell>
          <cell r="AY15">
            <v>1105</v>
          </cell>
          <cell r="AZ15" t="str">
            <v>Property deposit - Brooks</v>
          </cell>
          <cell r="BA15">
            <v>19029.64</v>
          </cell>
          <cell r="BD15">
            <v>1105</v>
          </cell>
          <cell r="BE15" t="str">
            <v>Property deposit - Brooks</v>
          </cell>
          <cell r="BF15">
            <v>19029.64</v>
          </cell>
          <cell r="BI15">
            <v>1105</v>
          </cell>
          <cell r="BJ15" t="str">
            <v>Property deposit - Brooks</v>
          </cell>
          <cell r="BK15">
            <v>19029.64</v>
          </cell>
        </row>
        <row r="16">
          <cell r="A16">
            <v>1200</v>
          </cell>
          <cell r="B16" t="str">
            <v>Deutsche Bank (operating account)</v>
          </cell>
          <cell r="C16">
            <v>10576.6</v>
          </cell>
          <cell r="F16">
            <v>1200</v>
          </cell>
          <cell r="G16" t="str">
            <v>Deutsche Bank (operating account)</v>
          </cell>
          <cell r="I16">
            <v>5869.56</v>
          </cell>
          <cell r="K16">
            <v>1200</v>
          </cell>
          <cell r="L16" t="str">
            <v>Deutsche Bank (operating account)</v>
          </cell>
          <cell r="M16">
            <v>10116.69</v>
          </cell>
          <cell r="P16">
            <v>1200</v>
          </cell>
          <cell r="Q16" t="str">
            <v>Deutsche Bank (operating account)</v>
          </cell>
          <cell r="R16">
            <v>8179.69</v>
          </cell>
          <cell r="U16">
            <v>1200</v>
          </cell>
          <cell r="V16" t="str">
            <v>Deutsche Bank (operating account)</v>
          </cell>
          <cell r="W16">
            <v>48324.959999999999</v>
          </cell>
          <cell r="Z16">
            <v>1200</v>
          </cell>
          <cell r="AA16" t="str">
            <v>Deutsche Bank (operating account)</v>
          </cell>
          <cell r="AB16">
            <v>792377.78</v>
          </cell>
          <cell r="AE16">
            <v>1200</v>
          </cell>
          <cell r="AF16" t="str">
            <v>Deutsche Bank (operating account)</v>
          </cell>
          <cell r="AG16">
            <v>41461.1</v>
          </cell>
          <cell r="AJ16">
            <v>1110</v>
          </cell>
          <cell r="AK16" t="str">
            <v>Intercompany - Blackhawk Australia</v>
          </cell>
          <cell r="AL16">
            <v>63075.82</v>
          </cell>
          <cell r="AO16">
            <v>1110</v>
          </cell>
          <cell r="AP16" t="str">
            <v>Intercompany - Blackhawk Australia</v>
          </cell>
          <cell r="AQ16">
            <v>63075.82</v>
          </cell>
          <cell r="AT16">
            <v>1110</v>
          </cell>
          <cell r="AU16" t="str">
            <v>Intercompany - Blackhawk Australia</v>
          </cell>
          <cell r="AV16">
            <v>63075.82</v>
          </cell>
          <cell r="AY16">
            <v>1110</v>
          </cell>
          <cell r="AZ16" t="str">
            <v>Intercompany - Blackhawk Australia</v>
          </cell>
          <cell r="BA16">
            <v>63075.82</v>
          </cell>
          <cell r="BD16">
            <v>1106</v>
          </cell>
          <cell r="BE16" t="str">
            <v>Prepayment - Martin McColl</v>
          </cell>
          <cell r="BF16">
            <v>67692.3</v>
          </cell>
          <cell r="BI16">
            <v>1106</v>
          </cell>
          <cell r="BJ16" t="str">
            <v>Prepayment - Martin McColl</v>
          </cell>
        </row>
        <row r="17">
          <cell r="A17">
            <v>1230</v>
          </cell>
          <cell r="B17" t="str">
            <v>Petty Cash</v>
          </cell>
          <cell r="F17">
            <v>1230</v>
          </cell>
          <cell r="G17" t="str">
            <v>Petty Cash</v>
          </cell>
          <cell r="K17">
            <v>1230</v>
          </cell>
          <cell r="L17" t="str">
            <v>Petty Cash</v>
          </cell>
          <cell r="P17">
            <v>1230</v>
          </cell>
          <cell r="Q17" t="str">
            <v>Petty Cash</v>
          </cell>
          <cell r="R17">
            <v>84.1</v>
          </cell>
          <cell r="U17">
            <v>1230</v>
          </cell>
          <cell r="V17" t="str">
            <v>Petty Cash</v>
          </cell>
          <cell r="X17">
            <v>31.12</v>
          </cell>
          <cell r="Z17">
            <v>1230</v>
          </cell>
          <cell r="AA17" t="str">
            <v>Petty Cash</v>
          </cell>
          <cell r="AB17">
            <v>55.61</v>
          </cell>
          <cell r="AE17">
            <v>1220</v>
          </cell>
          <cell r="AF17" t="str">
            <v>Deutsche Bank (investment)</v>
          </cell>
          <cell r="AG17">
            <v>748000</v>
          </cell>
          <cell r="AJ17">
            <v>1200</v>
          </cell>
          <cell r="AK17" t="str">
            <v>Deutsche Bank (operating account)</v>
          </cell>
          <cell r="AL17">
            <v>124520.32000000001</v>
          </cell>
          <cell r="AO17">
            <v>1200</v>
          </cell>
          <cell r="AP17" t="str">
            <v>Deutsche Bank (operating account)</v>
          </cell>
          <cell r="AQ17">
            <v>120987.47</v>
          </cell>
          <cell r="AT17">
            <v>1200</v>
          </cell>
          <cell r="AU17" t="str">
            <v>Deutsche Bank (operating account)</v>
          </cell>
          <cell r="AV17">
            <v>115113.74</v>
          </cell>
          <cell r="AY17">
            <v>1200</v>
          </cell>
          <cell r="AZ17" t="str">
            <v>Deutsche Bank (operating account)</v>
          </cell>
          <cell r="BA17">
            <v>111958.03</v>
          </cell>
          <cell r="BD17">
            <v>1110</v>
          </cell>
          <cell r="BE17" t="str">
            <v>Intercompany - Blackhawk Australia</v>
          </cell>
          <cell r="BF17">
            <v>63075.82</v>
          </cell>
          <cell r="BI17">
            <v>1110</v>
          </cell>
          <cell r="BJ17" t="str">
            <v>Intercompany - Blackhawk Australia</v>
          </cell>
          <cell r="BK17">
            <v>63075.82</v>
          </cell>
        </row>
        <row r="18">
          <cell r="A18">
            <v>1240</v>
          </cell>
          <cell r="B18" t="str">
            <v>Inter-company account - Blackhawk Network (US)</v>
          </cell>
          <cell r="D18">
            <v>762512.52</v>
          </cell>
          <cell r="F18">
            <v>1240</v>
          </cell>
          <cell r="G18" t="str">
            <v>Inter-company account - Blackhawk Network (US)</v>
          </cell>
          <cell r="I18">
            <v>874522.71</v>
          </cell>
          <cell r="K18">
            <v>1240</v>
          </cell>
          <cell r="L18" t="str">
            <v>Inter-company account - Blackhawk Network (US)</v>
          </cell>
          <cell r="N18">
            <v>827765.19</v>
          </cell>
          <cell r="P18">
            <v>1240</v>
          </cell>
          <cell r="Q18" t="str">
            <v>Inter-company account - Blackhawk Network (US)</v>
          </cell>
          <cell r="S18">
            <v>1774847.3</v>
          </cell>
          <cell r="U18">
            <v>1240</v>
          </cell>
          <cell r="V18" t="str">
            <v>Inter-company account - Blackhawk Network (US)</v>
          </cell>
          <cell r="X18">
            <v>1776635.97</v>
          </cell>
          <cell r="Z18">
            <v>1240</v>
          </cell>
          <cell r="AA18" t="str">
            <v>Inter-company account - Blackhawk Network (US)</v>
          </cell>
          <cell r="AC18">
            <v>2966374.6</v>
          </cell>
          <cell r="AE18">
            <v>1230</v>
          </cell>
          <cell r="AF18" t="str">
            <v>Petty Cash</v>
          </cell>
          <cell r="AG18">
            <v>47.73</v>
          </cell>
          <cell r="AJ18">
            <v>1220</v>
          </cell>
          <cell r="AK18" t="str">
            <v>Deutsche Bank (investment)</v>
          </cell>
          <cell r="AL18">
            <v>748000</v>
          </cell>
          <cell r="AO18">
            <v>1220</v>
          </cell>
          <cell r="AP18" t="str">
            <v>Deutsche Bank (investment)</v>
          </cell>
          <cell r="AQ18">
            <v>748000</v>
          </cell>
          <cell r="AT18">
            <v>1220</v>
          </cell>
          <cell r="AU18" t="str">
            <v>Deutsche Bank (investment)</v>
          </cell>
          <cell r="AV18">
            <v>748000</v>
          </cell>
          <cell r="AY18">
            <v>1220</v>
          </cell>
          <cell r="AZ18" t="str">
            <v>Deutsche Bank (investment)</v>
          </cell>
          <cell r="BA18">
            <v>748000</v>
          </cell>
          <cell r="BD18">
            <v>1200</v>
          </cell>
          <cell r="BE18" t="str">
            <v>Deutsche Bank (operating account)</v>
          </cell>
          <cell r="BF18">
            <v>254218.12</v>
          </cell>
          <cell r="BI18">
            <v>1200</v>
          </cell>
          <cell r="BJ18" t="str">
            <v>Deutsche Bank (operating account)</v>
          </cell>
          <cell r="BK18">
            <v>472511.05</v>
          </cell>
        </row>
        <row r="19">
          <cell r="A19">
            <v>1241</v>
          </cell>
          <cell r="B19" t="str">
            <v>Blackhawk US - card partner payments</v>
          </cell>
          <cell r="C19">
            <v>22608.46</v>
          </cell>
          <cell r="F19">
            <v>1241</v>
          </cell>
          <cell r="G19" t="str">
            <v>Blackhawk US - card partner payments</v>
          </cell>
          <cell r="H19">
            <v>26920.81</v>
          </cell>
          <cell r="K19">
            <v>1241</v>
          </cell>
          <cell r="L19" t="str">
            <v>Blackhawk US - card partner payments</v>
          </cell>
          <cell r="M19">
            <v>26920.81</v>
          </cell>
          <cell r="P19">
            <v>1241</v>
          </cell>
          <cell r="Q19" t="str">
            <v>Blackhawk US - card partner payments</v>
          </cell>
          <cell r="R19">
            <v>35440.639999999999</v>
          </cell>
          <cell r="U19">
            <v>1241</v>
          </cell>
          <cell r="V19" t="str">
            <v>Blackhawk US - card partner payments</v>
          </cell>
          <cell r="W19">
            <v>83018.89</v>
          </cell>
          <cell r="Z19">
            <v>1241</v>
          </cell>
          <cell r="AA19" t="str">
            <v>Blackhawk US - card partner payments</v>
          </cell>
          <cell r="AB19">
            <v>83018.89</v>
          </cell>
          <cell r="AE19">
            <v>1240</v>
          </cell>
          <cell r="AF19" t="str">
            <v>Inter-company account - Blackhawk Network (US)</v>
          </cell>
          <cell r="AH19">
            <v>3030618.55</v>
          </cell>
          <cell r="AJ19">
            <v>1230</v>
          </cell>
          <cell r="AK19" t="str">
            <v>Petty Cash</v>
          </cell>
          <cell r="AL19">
            <v>25.11</v>
          </cell>
          <cell r="AO19">
            <v>1230</v>
          </cell>
          <cell r="AP19" t="str">
            <v>Petty Cash</v>
          </cell>
          <cell r="AR19">
            <v>88.32</v>
          </cell>
          <cell r="AT19">
            <v>1230</v>
          </cell>
          <cell r="AU19" t="str">
            <v>Petty Cash</v>
          </cell>
          <cell r="AV19">
            <v>150</v>
          </cell>
          <cell r="AY19">
            <v>1230</v>
          </cell>
          <cell r="AZ19" t="str">
            <v>Petty Cash</v>
          </cell>
          <cell r="BA19">
            <v>150</v>
          </cell>
          <cell r="BD19">
            <v>1220</v>
          </cell>
          <cell r="BE19" t="str">
            <v>Deutsche Bank (investment)</v>
          </cell>
          <cell r="BF19">
            <v>748000</v>
          </cell>
          <cell r="BI19">
            <v>1210</v>
          </cell>
          <cell r="BJ19" t="str">
            <v>Deutsche Bank (EMLI settlement)</v>
          </cell>
          <cell r="BK19">
            <v>40000</v>
          </cell>
        </row>
        <row r="20">
          <cell r="A20">
            <v>1250</v>
          </cell>
          <cell r="B20" t="str">
            <v>Thomas Westcott client account</v>
          </cell>
          <cell r="F20">
            <v>1250</v>
          </cell>
          <cell r="G20" t="str">
            <v>Thomas Westcott client account</v>
          </cell>
          <cell r="H20">
            <v>19027.11</v>
          </cell>
          <cell r="K20">
            <v>1250</v>
          </cell>
          <cell r="L20" t="str">
            <v>Thomas Westcott client account</v>
          </cell>
          <cell r="M20">
            <v>6</v>
          </cell>
          <cell r="P20">
            <v>1250</v>
          </cell>
          <cell r="Q20" t="str">
            <v>Thomas Westcott client account</v>
          </cell>
          <cell r="R20">
            <v>234919.86</v>
          </cell>
          <cell r="U20">
            <v>1250</v>
          </cell>
          <cell r="V20" t="str">
            <v>Thomas Westcott client account</v>
          </cell>
          <cell r="W20">
            <v>29259.77</v>
          </cell>
          <cell r="Z20">
            <v>1250</v>
          </cell>
          <cell r="AA20" t="str">
            <v>Thomas Westcott client account</v>
          </cell>
          <cell r="AB20">
            <v>312283.74</v>
          </cell>
          <cell r="AE20">
            <v>1241</v>
          </cell>
          <cell r="AF20" t="str">
            <v>Blackhawk US - card partner payments</v>
          </cell>
          <cell r="AJ20">
            <v>1240</v>
          </cell>
          <cell r="AK20" t="str">
            <v>Inter-company account - Blackhawk Network (US)</v>
          </cell>
          <cell r="AM20">
            <v>3507078.88</v>
          </cell>
          <cell r="AO20">
            <v>1240</v>
          </cell>
          <cell r="AP20" t="str">
            <v>Inter-company account - Blackhawk Network (US)</v>
          </cell>
          <cell r="AR20">
            <v>2844073.01</v>
          </cell>
          <cell r="AT20">
            <v>1240</v>
          </cell>
          <cell r="AU20" t="str">
            <v>Inter-company account - Blackhawk Network (US)</v>
          </cell>
          <cell r="AW20">
            <v>3295538.37</v>
          </cell>
          <cell r="AY20">
            <v>1240</v>
          </cell>
          <cell r="AZ20" t="str">
            <v>Inter-company account - Blackhawk Network (US)</v>
          </cell>
          <cell r="BB20">
            <v>3486402.16</v>
          </cell>
          <cell r="BD20">
            <v>1230</v>
          </cell>
          <cell r="BE20" t="str">
            <v>Petty Cash</v>
          </cell>
          <cell r="BF20">
            <v>150</v>
          </cell>
          <cell r="BI20">
            <v>1220</v>
          </cell>
          <cell r="BJ20" t="str">
            <v>Deutsche Bank (investment)</v>
          </cell>
          <cell r="BK20">
            <v>748000</v>
          </cell>
        </row>
        <row r="21">
          <cell r="A21">
            <v>1260</v>
          </cell>
          <cell r="B21" t="str">
            <v>Building society account (R Atkinson)</v>
          </cell>
          <cell r="D21">
            <v>2058.27</v>
          </cell>
          <cell r="F21">
            <v>1260</v>
          </cell>
          <cell r="G21" t="str">
            <v>Building society account (R Atkinson)</v>
          </cell>
          <cell r="I21">
            <v>2058.27</v>
          </cell>
          <cell r="K21">
            <v>1260</v>
          </cell>
          <cell r="L21" t="str">
            <v>Building society account (R Atkinson)</v>
          </cell>
          <cell r="N21">
            <v>2058.27</v>
          </cell>
          <cell r="P21">
            <v>1260</v>
          </cell>
          <cell r="Q21" t="str">
            <v>Building society account (R Atkinson)</v>
          </cell>
          <cell r="S21">
            <v>2058.27</v>
          </cell>
          <cell r="U21">
            <v>1260</v>
          </cell>
          <cell r="V21" t="str">
            <v>Building society account (R Atkinson)</v>
          </cell>
          <cell r="X21">
            <v>2058.27</v>
          </cell>
          <cell r="Z21">
            <v>1260</v>
          </cell>
          <cell r="AA21" t="str">
            <v>Building society account (R Atkinson)</v>
          </cell>
          <cell r="AC21">
            <v>2058.27</v>
          </cell>
          <cell r="AE21">
            <v>1250</v>
          </cell>
          <cell r="AF21" t="str">
            <v>Thomas Westcott client account</v>
          </cell>
          <cell r="AG21">
            <v>235255.39</v>
          </cell>
          <cell r="AJ21">
            <v>1241</v>
          </cell>
          <cell r="AK21" t="str">
            <v>Blackhawk US - card partner payments</v>
          </cell>
          <cell r="AO21">
            <v>1241</v>
          </cell>
          <cell r="AP21" t="str">
            <v>Blackhawk US - card partner payments</v>
          </cell>
          <cell r="AT21">
            <v>1241</v>
          </cell>
          <cell r="AU21" t="str">
            <v>Blackhawk US - card partner payments</v>
          </cell>
          <cell r="AY21">
            <v>1241</v>
          </cell>
          <cell r="AZ21" t="str">
            <v>Blackhawk US - card partner payments</v>
          </cell>
          <cell r="BD21">
            <v>1240</v>
          </cell>
          <cell r="BE21" t="str">
            <v>Inter-company account - Blackhawk Network (US)</v>
          </cell>
          <cell r="BG21">
            <v>3088727.66</v>
          </cell>
          <cell r="BI21">
            <v>1230</v>
          </cell>
          <cell r="BJ21" t="str">
            <v>Petty Cash</v>
          </cell>
          <cell r="BK21">
            <v>150</v>
          </cell>
        </row>
        <row r="22">
          <cell r="A22">
            <v>1280</v>
          </cell>
          <cell r="B22" t="str">
            <v>Not in use</v>
          </cell>
          <cell r="F22">
            <v>1270</v>
          </cell>
          <cell r="G22" t="str">
            <v>Not in use</v>
          </cell>
          <cell r="K22">
            <v>1270</v>
          </cell>
          <cell r="L22" t="str">
            <v>Not in use</v>
          </cell>
          <cell r="P22">
            <v>1270</v>
          </cell>
          <cell r="Q22" t="str">
            <v>Not in use</v>
          </cell>
          <cell r="U22">
            <v>1270</v>
          </cell>
          <cell r="V22" t="str">
            <v>Not in use</v>
          </cell>
          <cell r="Z22">
            <v>1270</v>
          </cell>
          <cell r="AA22" t="str">
            <v>Not in use</v>
          </cell>
          <cell r="AE22">
            <v>1260</v>
          </cell>
          <cell r="AF22" t="str">
            <v>Building society account (R Atkinson)</v>
          </cell>
          <cell r="AH22">
            <v>2058.27</v>
          </cell>
          <cell r="AJ22">
            <v>1250</v>
          </cell>
          <cell r="AK22" t="str">
            <v>Thomas Westcott client account</v>
          </cell>
          <cell r="AL22">
            <v>354842.86</v>
          </cell>
          <cell r="AO22">
            <v>1250</v>
          </cell>
          <cell r="AP22" t="str">
            <v>Thomas Westcott client account</v>
          </cell>
          <cell r="AQ22">
            <v>539331.56999999995</v>
          </cell>
          <cell r="AT22">
            <v>1250</v>
          </cell>
          <cell r="AU22" t="str">
            <v>Thomas Westcott client account</v>
          </cell>
          <cell r="AV22">
            <v>624521.86</v>
          </cell>
          <cell r="AY22">
            <v>1250</v>
          </cell>
          <cell r="AZ22" t="str">
            <v>Thomas Westcott client account</v>
          </cell>
          <cell r="BA22">
            <v>675767.44</v>
          </cell>
          <cell r="BD22">
            <v>1241</v>
          </cell>
          <cell r="BE22" t="str">
            <v>Blackhawk US - card partner payments</v>
          </cell>
          <cell r="BI22">
            <v>1240</v>
          </cell>
          <cell r="BJ22" t="str">
            <v>Inter-company account - Blackhawk Network Inc</v>
          </cell>
          <cell r="BL22">
            <v>3461590.95</v>
          </cell>
        </row>
        <row r="23">
          <cell r="A23">
            <v>2100</v>
          </cell>
          <cell r="B23" t="str">
            <v>Creditors Control Account (AP ledger)</v>
          </cell>
          <cell r="D23">
            <v>24549.040000000001</v>
          </cell>
          <cell r="F23">
            <v>1280</v>
          </cell>
          <cell r="G23" t="str">
            <v>Not in use</v>
          </cell>
          <cell r="K23">
            <v>1280</v>
          </cell>
          <cell r="L23" t="str">
            <v>Not in use</v>
          </cell>
          <cell r="P23">
            <v>1280</v>
          </cell>
          <cell r="Q23" t="str">
            <v>Not in use</v>
          </cell>
          <cell r="U23">
            <v>1280</v>
          </cell>
          <cell r="V23" t="str">
            <v>Not in use</v>
          </cell>
          <cell r="Z23">
            <v>1280</v>
          </cell>
          <cell r="AA23" t="str">
            <v>Not in use</v>
          </cell>
          <cell r="AE23">
            <v>1270</v>
          </cell>
          <cell r="AF23" t="str">
            <v>Not in use</v>
          </cell>
          <cell r="AJ23">
            <v>1260</v>
          </cell>
          <cell r="AK23" t="str">
            <v>Building society account (R Atkinson)</v>
          </cell>
          <cell r="AM23">
            <v>2058.27</v>
          </cell>
          <cell r="AO23">
            <v>1260</v>
          </cell>
          <cell r="AP23" t="str">
            <v>Building society account (R Atkinson)</v>
          </cell>
          <cell r="AR23">
            <v>2058.27</v>
          </cell>
          <cell r="AT23">
            <v>1260</v>
          </cell>
          <cell r="AU23" t="str">
            <v>Building society account (R Atkinson)</v>
          </cell>
          <cell r="AW23">
            <v>2058.27</v>
          </cell>
          <cell r="AY23">
            <v>1260</v>
          </cell>
          <cell r="AZ23" t="str">
            <v>Building society account (R Atkinson)</v>
          </cell>
          <cell r="BB23">
            <v>2058.27</v>
          </cell>
          <cell r="BD23">
            <v>1250</v>
          </cell>
          <cell r="BE23" t="str">
            <v>Thomas Westcott client account</v>
          </cell>
          <cell r="BF23">
            <v>0</v>
          </cell>
          <cell r="BI23">
            <v>1241</v>
          </cell>
          <cell r="BJ23" t="str">
            <v>Blackhawk US - card partner payments</v>
          </cell>
        </row>
        <row r="24">
          <cell r="A24">
            <v>2103</v>
          </cell>
          <cell r="B24" t="str">
            <v>Creditors - Debenhams</v>
          </cell>
          <cell r="F24">
            <v>2100</v>
          </cell>
          <cell r="G24" t="str">
            <v>Creditors Control Account (AP ledger)</v>
          </cell>
          <cell r="I24">
            <v>54725.94</v>
          </cell>
          <cell r="K24">
            <v>2100</v>
          </cell>
          <cell r="L24" t="str">
            <v>Creditors Control Account (AP ledger)</v>
          </cell>
          <cell r="N24">
            <v>54813.86</v>
          </cell>
          <cell r="P24">
            <v>2100</v>
          </cell>
          <cell r="Q24" t="str">
            <v>Creditors Control Account (AP ledger)</v>
          </cell>
          <cell r="S24">
            <v>123481.8</v>
          </cell>
          <cell r="U24">
            <v>2100</v>
          </cell>
          <cell r="V24" t="str">
            <v>Creditors Control Account (AP ledger)</v>
          </cell>
          <cell r="X24">
            <v>181086.83</v>
          </cell>
          <cell r="Z24">
            <v>2100</v>
          </cell>
          <cell r="AA24" t="str">
            <v>Creditors Control Account (AP ledger)</v>
          </cell>
          <cell r="AC24">
            <v>120101.69</v>
          </cell>
          <cell r="AE24">
            <v>1280</v>
          </cell>
          <cell r="AF24" t="str">
            <v>Not in use</v>
          </cell>
          <cell r="AJ24">
            <v>1270</v>
          </cell>
          <cell r="AK24" t="str">
            <v>Not in use</v>
          </cell>
          <cell r="AO24">
            <v>1270</v>
          </cell>
          <cell r="AP24" t="str">
            <v>Not in use</v>
          </cell>
          <cell r="AT24">
            <v>1270</v>
          </cell>
          <cell r="AU24" t="str">
            <v>Not in use</v>
          </cell>
          <cell r="AY24">
            <v>1270</v>
          </cell>
          <cell r="AZ24" t="str">
            <v>Not in use</v>
          </cell>
          <cell r="BD24">
            <v>1260</v>
          </cell>
          <cell r="BE24" t="str">
            <v>Building society account (R Atkinson)</v>
          </cell>
          <cell r="BG24">
            <v>2058.27</v>
          </cell>
          <cell r="BI24">
            <v>1250</v>
          </cell>
          <cell r="BJ24" t="str">
            <v>Thomas Westcott client account</v>
          </cell>
        </row>
        <row r="25">
          <cell r="A25">
            <v>2104</v>
          </cell>
          <cell r="B25" t="str">
            <v>Creditors - Arcadia</v>
          </cell>
          <cell r="F25">
            <v>2103</v>
          </cell>
          <cell r="G25" t="str">
            <v>Creditors - Debenhams</v>
          </cell>
          <cell r="K25">
            <v>2103</v>
          </cell>
          <cell r="L25" t="str">
            <v>Creditors - Debenhams</v>
          </cell>
          <cell r="P25">
            <v>2103</v>
          </cell>
          <cell r="Q25" t="str">
            <v>Creditors - Debenhams</v>
          </cell>
          <cell r="U25">
            <v>2103</v>
          </cell>
          <cell r="V25" t="str">
            <v>Creditors - Debenhams</v>
          </cell>
          <cell r="Z25">
            <v>2103</v>
          </cell>
          <cell r="AA25" t="str">
            <v>Creditors - Debenhams</v>
          </cell>
          <cell r="AE25">
            <v>2100</v>
          </cell>
          <cell r="AF25" t="str">
            <v>Creditors Control Account (AP ledger)</v>
          </cell>
          <cell r="AH25">
            <v>54788.45</v>
          </cell>
          <cell r="AJ25">
            <v>1280</v>
          </cell>
          <cell r="AK25" t="str">
            <v>Not in use</v>
          </cell>
          <cell r="AO25">
            <v>1280</v>
          </cell>
          <cell r="AP25" t="str">
            <v>Not in use</v>
          </cell>
          <cell r="AT25">
            <v>1280</v>
          </cell>
          <cell r="AU25" t="str">
            <v>Not in use</v>
          </cell>
          <cell r="AY25">
            <v>1280</v>
          </cell>
          <cell r="AZ25" t="str">
            <v>Not in use</v>
          </cell>
          <cell r="BD25">
            <v>1270</v>
          </cell>
          <cell r="BE25" t="str">
            <v>Not in use</v>
          </cell>
          <cell r="BG25">
            <v>0</v>
          </cell>
          <cell r="BI25">
            <v>1260</v>
          </cell>
          <cell r="BJ25" t="str">
            <v>Building society account (R Atkinson)</v>
          </cell>
          <cell r="BL25">
            <v>2058.27</v>
          </cell>
        </row>
        <row r="26">
          <cell r="A26">
            <v>2105</v>
          </cell>
          <cell r="B26" t="str">
            <v>Creditors - Virgin Megastore</v>
          </cell>
          <cell r="F26">
            <v>2104</v>
          </cell>
          <cell r="G26" t="str">
            <v>Creditors - Arcadia</v>
          </cell>
          <cell r="K26">
            <v>2104</v>
          </cell>
          <cell r="L26" t="str">
            <v>Creditors - Arcadia</v>
          </cell>
          <cell r="P26">
            <v>2104</v>
          </cell>
          <cell r="Q26" t="str">
            <v>Creditors - Arcadia</v>
          </cell>
          <cell r="U26">
            <v>2104</v>
          </cell>
          <cell r="V26" t="str">
            <v>Creditors - Arcadia</v>
          </cell>
          <cell r="Z26">
            <v>2104</v>
          </cell>
          <cell r="AA26" t="str">
            <v>Creditors - Arcadia</v>
          </cell>
          <cell r="AE26">
            <v>2103</v>
          </cell>
          <cell r="AF26" t="str">
            <v>Creditors - Debenhams</v>
          </cell>
          <cell r="AJ26">
            <v>2100</v>
          </cell>
          <cell r="AK26" t="str">
            <v>Creditors Control Account (AP ledger)</v>
          </cell>
          <cell r="AM26">
            <v>63255.12</v>
          </cell>
          <cell r="AO26">
            <v>2100</v>
          </cell>
          <cell r="AP26" t="str">
            <v>Creditors Control Account (AP ledger)</v>
          </cell>
          <cell r="AR26">
            <v>55177.07</v>
          </cell>
          <cell r="AT26">
            <v>148310</v>
          </cell>
          <cell r="AU26" t="str">
            <v>Deposits - corporate</v>
          </cell>
          <cell r="AV26">
            <v>250000</v>
          </cell>
          <cell r="AY26">
            <v>148310</v>
          </cell>
          <cell r="AZ26" t="str">
            <v>Deposits - corporate</v>
          </cell>
          <cell r="BA26">
            <v>250000</v>
          </cell>
          <cell r="BD26">
            <v>1280</v>
          </cell>
          <cell r="BE26" t="str">
            <v>Not in use</v>
          </cell>
          <cell r="BG26">
            <v>0</v>
          </cell>
          <cell r="BI26">
            <v>1270</v>
          </cell>
          <cell r="BJ26" t="str">
            <v>Not in use</v>
          </cell>
        </row>
        <row r="27">
          <cell r="A27">
            <v>2106</v>
          </cell>
          <cell r="B27" t="str">
            <v>Creditors - Prepay Tech</v>
          </cell>
          <cell r="F27">
            <v>2105</v>
          </cell>
          <cell r="G27" t="str">
            <v>Creditors - Virgin Megastore</v>
          </cell>
          <cell r="K27">
            <v>2105</v>
          </cell>
          <cell r="L27" t="str">
            <v>Creditors - Virgin Megastore</v>
          </cell>
          <cell r="P27">
            <v>2105</v>
          </cell>
          <cell r="Q27" t="str">
            <v>Creditors - Virgin Megastore</v>
          </cell>
          <cell r="U27">
            <v>2105</v>
          </cell>
          <cell r="V27" t="str">
            <v>Creditors - Virgin Megastore</v>
          </cell>
          <cell r="Z27">
            <v>2105</v>
          </cell>
          <cell r="AA27" t="str">
            <v>Creditors - Virgin Megastore</v>
          </cell>
          <cell r="AE27">
            <v>2104</v>
          </cell>
          <cell r="AF27" t="str">
            <v>Creditors - Arcadia</v>
          </cell>
          <cell r="AJ27">
            <v>2103</v>
          </cell>
          <cell r="AK27" t="str">
            <v>Creditors - Debenhams</v>
          </cell>
          <cell r="AO27">
            <v>2103</v>
          </cell>
          <cell r="AP27" t="str">
            <v>Creditors - Debenhams</v>
          </cell>
          <cell r="AT27">
            <v>2100</v>
          </cell>
          <cell r="AU27" t="str">
            <v>Creditors Control Account (AP ledger)</v>
          </cell>
          <cell r="AW27">
            <v>54911.67</v>
          </cell>
          <cell r="AY27">
            <v>2100</v>
          </cell>
          <cell r="AZ27" t="str">
            <v>Creditors Control Account (AP ledger)</v>
          </cell>
          <cell r="BB27">
            <v>758771.5</v>
          </cell>
          <cell r="BD27">
            <v>148310</v>
          </cell>
          <cell r="BE27" t="str">
            <v>Deposits - corporate</v>
          </cell>
          <cell r="BF27">
            <v>250000</v>
          </cell>
          <cell r="BI27">
            <v>1280</v>
          </cell>
          <cell r="BJ27" t="str">
            <v>Not in use</v>
          </cell>
        </row>
        <row r="28">
          <cell r="A28">
            <v>2107</v>
          </cell>
          <cell r="B28" t="str">
            <v>Creditor - Virgin Experiences</v>
          </cell>
          <cell r="F28">
            <v>2106</v>
          </cell>
          <cell r="G28" t="str">
            <v>Creditors - Prepay Tech</v>
          </cell>
          <cell r="K28">
            <v>2106</v>
          </cell>
          <cell r="L28" t="str">
            <v>Creditors - Prepay Tech</v>
          </cell>
          <cell r="P28">
            <v>2106</v>
          </cell>
          <cell r="Q28" t="str">
            <v>Creditors - Prepay Tech</v>
          </cell>
          <cell r="U28">
            <v>2106</v>
          </cell>
          <cell r="V28" t="str">
            <v>Creditors - Prepay Tech</v>
          </cell>
          <cell r="Z28">
            <v>2106</v>
          </cell>
          <cell r="AA28" t="str">
            <v>Creditors - Prepay Tech</v>
          </cell>
          <cell r="AE28">
            <v>2105</v>
          </cell>
          <cell r="AF28" t="str">
            <v>Creditors - Virgin Megastore</v>
          </cell>
          <cell r="AJ28">
            <v>2104</v>
          </cell>
          <cell r="AK28" t="str">
            <v>Creditors - Arcadia</v>
          </cell>
          <cell r="AO28">
            <v>2104</v>
          </cell>
          <cell r="AP28" t="str">
            <v>Creditors - Arcadia</v>
          </cell>
          <cell r="AT28">
            <v>2103</v>
          </cell>
          <cell r="AU28" t="str">
            <v>Creditors - Debenhams</v>
          </cell>
          <cell r="AY28">
            <v>2101</v>
          </cell>
          <cell r="AZ28" t="str">
            <v>Sundry Creditors</v>
          </cell>
          <cell r="BD28">
            <v>2100</v>
          </cell>
          <cell r="BE28" t="str">
            <v>Creditors Control Account (AP ledger)</v>
          </cell>
          <cell r="BG28">
            <v>805819</v>
          </cell>
          <cell r="BI28">
            <v>148310</v>
          </cell>
          <cell r="BJ28" t="str">
            <v>Deposits - corporate</v>
          </cell>
          <cell r="BK28">
            <v>250000</v>
          </cell>
        </row>
        <row r="29">
          <cell r="A29">
            <v>2109</v>
          </cell>
          <cell r="B29" t="str">
            <v>Accruals</v>
          </cell>
          <cell r="D29">
            <v>48660.639999999999</v>
          </cell>
          <cell r="F29">
            <v>2107</v>
          </cell>
          <cell r="G29" t="str">
            <v>Creditor - Virgin Experiences</v>
          </cell>
          <cell r="K29">
            <v>2107</v>
          </cell>
          <cell r="L29" t="str">
            <v>Creditor - Virgin Experiences</v>
          </cell>
          <cell r="P29">
            <v>2107</v>
          </cell>
          <cell r="Q29" t="str">
            <v>Creditor - Virgin Experiences</v>
          </cell>
          <cell r="U29">
            <v>2107</v>
          </cell>
          <cell r="V29" t="str">
            <v>Creditor - Virgin Experiences</v>
          </cell>
          <cell r="Z29">
            <v>2107</v>
          </cell>
          <cell r="AA29" t="str">
            <v>Creditor - Virgin Experiences</v>
          </cell>
          <cell r="AE29">
            <v>2106</v>
          </cell>
          <cell r="AF29" t="str">
            <v>Creditors - Prepay Tech</v>
          </cell>
          <cell r="AJ29">
            <v>2105</v>
          </cell>
          <cell r="AK29" t="str">
            <v>Creditors - Virgin Megastore</v>
          </cell>
          <cell r="AO29">
            <v>2105</v>
          </cell>
          <cell r="AP29" t="str">
            <v>Creditors - Virgin Megastore</v>
          </cell>
          <cell r="AT29">
            <v>2104</v>
          </cell>
          <cell r="AU29" t="str">
            <v>Creditors - Arcadia</v>
          </cell>
          <cell r="AY29">
            <v>2103</v>
          </cell>
          <cell r="AZ29" t="str">
            <v>Creditors - Debenhams</v>
          </cell>
          <cell r="BD29">
            <v>2101</v>
          </cell>
          <cell r="BE29" t="str">
            <v>Sundry Creditors</v>
          </cell>
          <cell r="BI29">
            <v>2100</v>
          </cell>
          <cell r="BJ29" t="str">
            <v>Creditors Control Account (AP ledger)</v>
          </cell>
          <cell r="BL29">
            <v>108120.56</v>
          </cell>
        </row>
        <row r="30">
          <cell r="A30">
            <v>2200</v>
          </cell>
          <cell r="B30" t="str">
            <v>Sales Tax Control Account</v>
          </cell>
          <cell r="C30">
            <v>341.06</v>
          </cell>
          <cell r="F30">
            <v>2109</v>
          </cell>
          <cell r="G30" t="str">
            <v>Accruals</v>
          </cell>
          <cell r="I30">
            <v>43031</v>
          </cell>
          <cell r="K30">
            <v>2109</v>
          </cell>
          <cell r="L30" t="str">
            <v>Accruals</v>
          </cell>
          <cell r="N30">
            <v>50849.91</v>
          </cell>
          <cell r="P30">
            <v>2109</v>
          </cell>
          <cell r="Q30" t="str">
            <v>Accruals</v>
          </cell>
          <cell r="S30">
            <v>86682.25</v>
          </cell>
          <cell r="U30">
            <v>2109</v>
          </cell>
          <cell r="V30" t="str">
            <v>Accruals</v>
          </cell>
          <cell r="X30">
            <v>96418.82</v>
          </cell>
          <cell r="Z30">
            <v>2109</v>
          </cell>
          <cell r="AA30" t="str">
            <v>Accruals</v>
          </cell>
          <cell r="AC30">
            <v>126475.98</v>
          </cell>
          <cell r="AE30">
            <v>2107</v>
          </cell>
          <cell r="AF30" t="str">
            <v>Creditor - Virgin Experiences</v>
          </cell>
          <cell r="AJ30">
            <v>2106</v>
          </cell>
          <cell r="AK30" t="str">
            <v>Creditors - Prepay Tech</v>
          </cell>
          <cell r="AO30">
            <v>2106</v>
          </cell>
          <cell r="AP30" t="str">
            <v>Creditors - Prepay Tech</v>
          </cell>
          <cell r="AT30">
            <v>2105</v>
          </cell>
          <cell r="AU30" t="str">
            <v>Creditors - Virgin Megastore</v>
          </cell>
          <cell r="AY30">
            <v>2104</v>
          </cell>
          <cell r="AZ30" t="str">
            <v>Creditors - Arcadia</v>
          </cell>
          <cell r="BD30">
            <v>2103</v>
          </cell>
          <cell r="BE30" t="str">
            <v>Creditors - Debenhams</v>
          </cell>
          <cell r="BG30">
            <v>0</v>
          </cell>
          <cell r="BI30">
            <v>2101</v>
          </cell>
          <cell r="BJ30" t="str">
            <v>Sundry Creditors</v>
          </cell>
        </row>
        <row r="31">
          <cell r="A31">
            <v>2201</v>
          </cell>
          <cell r="B31" t="str">
            <v>Purchase Tax Control Account</v>
          </cell>
          <cell r="C31">
            <v>1917.94</v>
          </cell>
          <cell r="F31">
            <v>2200</v>
          </cell>
          <cell r="G31" t="str">
            <v>Sales Tax Control Account</v>
          </cell>
          <cell r="H31">
            <v>341.06</v>
          </cell>
          <cell r="K31">
            <v>2200</v>
          </cell>
          <cell r="L31" t="str">
            <v>Sales Tax Control Account</v>
          </cell>
          <cell r="M31">
            <v>341.06</v>
          </cell>
          <cell r="P31">
            <v>2200</v>
          </cell>
          <cell r="Q31" t="str">
            <v>Sales Tax Control Account</v>
          </cell>
          <cell r="R31">
            <v>705.73</v>
          </cell>
          <cell r="U31">
            <v>2200</v>
          </cell>
          <cell r="V31" t="str">
            <v>Sales Tax Control Account</v>
          </cell>
          <cell r="W31">
            <v>705.73</v>
          </cell>
          <cell r="Z31">
            <v>2200</v>
          </cell>
          <cell r="AA31" t="str">
            <v>Sales Tax Control Account</v>
          </cell>
          <cell r="AB31">
            <v>705.73</v>
          </cell>
          <cell r="AE31">
            <v>2109</v>
          </cell>
          <cell r="AF31" t="str">
            <v>Accruals</v>
          </cell>
          <cell r="AH31">
            <v>153519.84</v>
          </cell>
          <cell r="AJ31">
            <v>2107</v>
          </cell>
          <cell r="AK31" t="str">
            <v>Creditor - Virgin Experiences</v>
          </cell>
          <cell r="AO31">
            <v>2107</v>
          </cell>
          <cell r="AP31" t="str">
            <v>Creditor - Virgin Experiences</v>
          </cell>
          <cell r="AT31">
            <v>2106</v>
          </cell>
          <cell r="AU31" t="str">
            <v>Creditors - Prepay Tech</v>
          </cell>
          <cell r="AY31">
            <v>2105</v>
          </cell>
          <cell r="AZ31" t="str">
            <v>Creditors - Virgin Megastore</v>
          </cell>
          <cell r="BD31">
            <v>2104</v>
          </cell>
          <cell r="BE31" t="str">
            <v>Creditors - Arcadia</v>
          </cell>
          <cell r="BF31">
            <v>0</v>
          </cell>
          <cell r="BI31">
            <v>2103</v>
          </cell>
          <cell r="BJ31" t="str">
            <v>Creditors - Debenhams</v>
          </cell>
        </row>
        <row r="32">
          <cell r="A32">
            <v>2202</v>
          </cell>
          <cell r="B32" t="str">
            <v>VAT Liability</v>
          </cell>
          <cell r="C32">
            <v>9406.8799999999992</v>
          </cell>
          <cell r="F32">
            <v>2201</v>
          </cell>
          <cell r="G32" t="str">
            <v>Purchase Tax Control Account</v>
          </cell>
          <cell r="H32">
            <v>7057.97</v>
          </cell>
          <cell r="K32">
            <v>2201</v>
          </cell>
          <cell r="L32" t="str">
            <v>Purchase Tax Control Account</v>
          </cell>
          <cell r="M32">
            <v>6143.62</v>
          </cell>
          <cell r="P32">
            <v>2201</v>
          </cell>
          <cell r="Q32" t="str">
            <v>Purchase Tax Control Account</v>
          </cell>
          <cell r="R32">
            <v>38611.39</v>
          </cell>
          <cell r="U32">
            <v>2201</v>
          </cell>
          <cell r="V32" t="str">
            <v>Purchase Tax Control Account</v>
          </cell>
          <cell r="W32">
            <v>59503.72</v>
          </cell>
          <cell r="Z32">
            <v>2201</v>
          </cell>
          <cell r="AA32" t="str">
            <v>Purchase Tax Control Account</v>
          </cell>
          <cell r="AB32">
            <v>61792.13</v>
          </cell>
          <cell r="AE32">
            <v>2200</v>
          </cell>
          <cell r="AF32" t="str">
            <v>Sales Tax Control Account</v>
          </cell>
          <cell r="AG32">
            <v>705.73</v>
          </cell>
          <cell r="AJ32">
            <v>2109</v>
          </cell>
          <cell r="AK32" t="str">
            <v>Accruals</v>
          </cell>
          <cell r="AM32">
            <v>71162.16</v>
          </cell>
          <cell r="AO32">
            <v>2109</v>
          </cell>
          <cell r="AP32" t="str">
            <v>Accruals</v>
          </cell>
          <cell r="AR32">
            <v>53668.22</v>
          </cell>
          <cell r="AT32">
            <v>2107</v>
          </cell>
          <cell r="AU32" t="str">
            <v>Creditor - Virgin Experiences</v>
          </cell>
          <cell r="AY32">
            <v>2106</v>
          </cell>
          <cell r="AZ32" t="str">
            <v>Creditors - Prepay Tech</v>
          </cell>
          <cell r="BD32">
            <v>2105</v>
          </cell>
          <cell r="BE32" t="str">
            <v>Creditors - Virgin Megastore</v>
          </cell>
          <cell r="BF32">
            <v>0</v>
          </cell>
          <cell r="BI32">
            <v>2104</v>
          </cell>
          <cell r="BJ32" t="str">
            <v>Creditors - Arcadia</v>
          </cell>
        </row>
        <row r="33">
          <cell r="A33">
            <v>2220</v>
          </cell>
          <cell r="B33" t="str">
            <v>Salaries adjustment</v>
          </cell>
          <cell r="D33">
            <v>41864.400000000001</v>
          </cell>
          <cell r="F33">
            <v>2202</v>
          </cell>
          <cell r="G33" t="str">
            <v>VAT Liability</v>
          </cell>
          <cell r="H33">
            <v>9406.8799999999992</v>
          </cell>
          <cell r="K33">
            <v>2202</v>
          </cell>
          <cell r="L33" t="str">
            <v>VAT Liability</v>
          </cell>
          <cell r="M33">
            <v>9406.8799999999992</v>
          </cell>
          <cell r="P33">
            <v>2202</v>
          </cell>
          <cell r="Q33" t="str">
            <v>VAT Liability</v>
          </cell>
          <cell r="R33">
            <v>44879.24</v>
          </cell>
          <cell r="U33">
            <v>2202</v>
          </cell>
          <cell r="V33" t="str">
            <v>VAT Liability</v>
          </cell>
          <cell r="W33">
            <v>4.97</v>
          </cell>
          <cell r="Z33">
            <v>2202</v>
          </cell>
          <cell r="AA33" t="str">
            <v>VAT Liability</v>
          </cell>
          <cell r="AB33">
            <v>4.97</v>
          </cell>
          <cell r="AE33">
            <v>2201</v>
          </cell>
          <cell r="AF33" t="str">
            <v>Purchase Tax Control Account</v>
          </cell>
          <cell r="AG33">
            <v>68195.59</v>
          </cell>
          <cell r="AJ33">
            <v>2200</v>
          </cell>
          <cell r="AK33" t="str">
            <v>Sales Tax Control Account</v>
          </cell>
          <cell r="AL33">
            <v>1174.8399999999999</v>
          </cell>
          <cell r="AO33">
            <v>2200</v>
          </cell>
          <cell r="AP33" t="str">
            <v>Sales Tax Control Account</v>
          </cell>
          <cell r="AQ33">
            <v>1174.8399999999999</v>
          </cell>
          <cell r="AT33">
            <v>2109</v>
          </cell>
          <cell r="AU33" t="str">
            <v>Accruals</v>
          </cell>
          <cell r="AW33">
            <v>18006.72</v>
          </cell>
          <cell r="AY33">
            <v>2107</v>
          </cell>
          <cell r="AZ33" t="str">
            <v>Creditor - Virgin Experiences</v>
          </cell>
          <cell r="BD33">
            <v>2106</v>
          </cell>
          <cell r="BE33" t="str">
            <v>Creditors - Prepay Tech</v>
          </cell>
          <cell r="BF33">
            <v>0</v>
          </cell>
          <cell r="BI33">
            <v>2105</v>
          </cell>
          <cell r="BJ33" t="str">
            <v>Creditors - Virgin Megastore</v>
          </cell>
        </row>
        <row r="34">
          <cell r="A34">
            <v>2310</v>
          </cell>
          <cell r="B34" t="str">
            <v>Exchange differences</v>
          </cell>
          <cell r="D34">
            <v>4782.21</v>
          </cell>
          <cell r="F34">
            <v>2210</v>
          </cell>
          <cell r="G34" t="str">
            <v>Wages control</v>
          </cell>
          <cell r="I34">
            <v>18784.11</v>
          </cell>
          <cell r="K34">
            <v>2210</v>
          </cell>
          <cell r="L34" t="str">
            <v>Wages control</v>
          </cell>
          <cell r="M34">
            <v>89.95</v>
          </cell>
          <cell r="P34">
            <v>2210</v>
          </cell>
          <cell r="Q34" t="str">
            <v>Wages control</v>
          </cell>
          <cell r="R34">
            <v>729</v>
          </cell>
          <cell r="U34">
            <v>2210</v>
          </cell>
          <cell r="V34" t="str">
            <v>Wages control</v>
          </cell>
          <cell r="W34">
            <v>690</v>
          </cell>
          <cell r="Z34">
            <v>2210</v>
          </cell>
          <cell r="AA34" t="str">
            <v>Wages control</v>
          </cell>
          <cell r="AB34">
            <v>651</v>
          </cell>
          <cell r="AE34">
            <v>2202</v>
          </cell>
          <cell r="AF34" t="str">
            <v>VAT Liability</v>
          </cell>
          <cell r="AG34">
            <v>4.97</v>
          </cell>
          <cell r="AJ34">
            <v>2201</v>
          </cell>
          <cell r="AK34" t="str">
            <v>Purchase Tax Control Account</v>
          </cell>
          <cell r="AL34">
            <v>23822.89</v>
          </cell>
          <cell r="AO34">
            <v>2201</v>
          </cell>
          <cell r="AP34" t="str">
            <v>Purchase Tax Control Account</v>
          </cell>
          <cell r="AQ34">
            <v>35151.629999999997</v>
          </cell>
          <cell r="AT34">
            <v>2200</v>
          </cell>
          <cell r="AU34" t="str">
            <v>Sales Tax Control Account</v>
          </cell>
          <cell r="AV34">
            <v>1174.8399999999999</v>
          </cell>
          <cell r="AY34">
            <v>2109</v>
          </cell>
          <cell r="AZ34" t="str">
            <v>Accruals</v>
          </cell>
          <cell r="BB34">
            <v>43362.31</v>
          </cell>
          <cell r="BD34">
            <v>2107</v>
          </cell>
          <cell r="BE34" t="str">
            <v>Creditor - Virgin Experiences</v>
          </cell>
          <cell r="BF34">
            <v>0</v>
          </cell>
          <cell r="BI34">
            <v>2106</v>
          </cell>
          <cell r="BJ34" t="str">
            <v>Creditors - Prepay Tech</v>
          </cell>
        </row>
        <row r="35">
          <cell r="A35">
            <v>2800</v>
          </cell>
          <cell r="B35" t="str">
            <v>Inter-company - Blackhawk Network USA</v>
          </cell>
          <cell r="F35">
            <v>2220</v>
          </cell>
          <cell r="G35" t="str">
            <v>Salaries adjustment</v>
          </cell>
          <cell r="I35">
            <v>38335.06</v>
          </cell>
          <cell r="K35">
            <v>2220</v>
          </cell>
          <cell r="L35" t="str">
            <v>Salaries adjustment</v>
          </cell>
          <cell r="N35">
            <v>38335.06</v>
          </cell>
          <cell r="P35">
            <v>2220</v>
          </cell>
          <cell r="Q35" t="str">
            <v>Salaries adjustment</v>
          </cell>
          <cell r="S35">
            <v>31963.27</v>
          </cell>
          <cell r="U35">
            <v>2220</v>
          </cell>
          <cell r="V35" t="str">
            <v>Salaries adjustment</v>
          </cell>
          <cell r="X35">
            <v>20929.52</v>
          </cell>
          <cell r="Z35">
            <v>2220</v>
          </cell>
          <cell r="AA35" t="str">
            <v>Salaries adjustment</v>
          </cell>
          <cell r="AC35">
            <v>14546.85</v>
          </cell>
          <cell r="AE35">
            <v>2210</v>
          </cell>
          <cell r="AF35" t="str">
            <v>Wages control</v>
          </cell>
          <cell r="AG35">
            <v>456</v>
          </cell>
          <cell r="AJ35">
            <v>2202</v>
          </cell>
          <cell r="AK35" t="str">
            <v>VAT Liability</v>
          </cell>
          <cell r="AL35">
            <v>4.97</v>
          </cell>
          <cell r="AO35">
            <v>2202</v>
          </cell>
          <cell r="AP35" t="str">
            <v>VAT Liability</v>
          </cell>
          <cell r="AQ35">
            <v>4.97</v>
          </cell>
          <cell r="AT35">
            <v>2201</v>
          </cell>
          <cell r="AU35" t="str">
            <v>Purchase Tax Control Account</v>
          </cell>
          <cell r="AV35">
            <v>38746.769999999997</v>
          </cell>
          <cell r="AY35">
            <v>2200</v>
          </cell>
          <cell r="AZ35" t="str">
            <v>Sales Tax Control Account</v>
          </cell>
          <cell r="BA35">
            <v>1174.8399999999999</v>
          </cell>
          <cell r="BD35">
            <v>2109</v>
          </cell>
          <cell r="BE35" t="str">
            <v>Accruals</v>
          </cell>
          <cell r="BG35">
            <v>146954.95000000001</v>
          </cell>
          <cell r="BI35">
            <v>2107</v>
          </cell>
          <cell r="BJ35" t="str">
            <v>Creditor - Virgin Experiences</v>
          </cell>
        </row>
        <row r="36">
          <cell r="A36">
            <v>3000</v>
          </cell>
          <cell r="B36" t="str">
            <v>Ordinary Shares</v>
          </cell>
          <cell r="D36">
            <v>1000</v>
          </cell>
          <cell r="F36">
            <v>2310</v>
          </cell>
          <cell r="G36" t="str">
            <v>Exchange differences</v>
          </cell>
          <cell r="I36">
            <v>4782.21</v>
          </cell>
          <cell r="K36">
            <v>2310</v>
          </cell>
          <cell r="L36" t="str">
            <v>Exchange differences</v>
          </cell>
          <cell r="N36">
            <v>4782.21</v>
          </cell>
          <cell r="P36">
            <v>2310</v>
          </cell>
          <cell r="Q36" t="str">
            <v>Exchange differences</v>
          </cell>
          <cell r="S36">
            <v>4782.21</v>
          </cell>
          <cell r="U36">
            <v>2310</v>
          </cell>
          <cell r="V36" t="str">
            <v>Exchange differences</v>
          </cell>
          <cell r="X36">
            <v>4782.21</v>
          </cell>
          <cell r="Z36">
            <v>2310</v>
          </cell>
          <cell r="AA36" t="str">
            <v>Exchange differences</v>
          </cell>
          <cell r="AC36">
            <v>4782.21</v>
          </cell>
          <cell r="AE36">
            <v>2220</v>
          </cell>
          <cell r="AF36" t="str">
            <v>Salaries adjustment</v>
          </cell>
          <cell r="AH36">
            <v>14546.85</v>
          </cell>
          <cell r="AJ36">
            <v>2210</v>
          </cell>
          <cell r="AK36" t="str">
            <v>Wages control</v>
          </cell>
          <cell r="AL36">
            <v>8111.31</v>
          </cell>
          <cell r="AO36">
            <v>2210</v>
          </cell>
          <cell r="AP36" t="str">
            <v>Wages control</v>
          </cell>
          <cell r="AR36">
            <v>14140.25</v>
          </cell>
          <cell r="AT36">
            <v>2202</v>
          </cell>
          <cell r="AU36" t="str">
            <v>VAT Liability</v>
          </cell>
          <cell r="AV36">
            <v>4.97</v>
          </cell>
          <cell r="AY36">
            <v>2201</v>
          </cell>
          <cell r="AZ36" t="str">
            <v>Purchase Tax Control Account</v>
          </cell>
          <cell r="BA36">
            <v>155406.25</v>
          </cell>
          <cell r="BD36">
            <v>2200</v>
          </cell>
          <cell r="BE36" t="str">
            <v>Sales Tax Control Account</v>
          </cell>
          <cell r="BF36">
            <v>1160.8800000000001</v>
          </cell>
          <cell r="BI36">
            <v>2109</v>
          </cell>
          <cell r="BJ36" t="str">
            <v>Accruals</v>
          </cell>
          <cell r="BL36">
            <v>233080.18</v>
          </cell>
        </row>
        <row r="37">
          <cell r="A37">
            <v>310802</v>
          </cell>
          <cell r="B37" t="str">
            <v>Card transactions</v>
          </cell>
          <cell r="F37">
            <v>2800</v>
          </cell>
          <cell r="G37" t="str">
            <v>Inter-company - Blackhawk Network USA</v>
          </cell>
          <cell r="K37">
            <v>2800</v>
          </cell>
          <cell r="L37" t="str">
            <v>Inter-company - Blackhawk Network USA</v>
          </cell>
          <cell r="P37">
            <v>2800</v>
          </cell>
          <cell r="Q37" t="str">
            <v>Inter-company - Blackhawk Network USA</v>
          </cell>
          <cell r="U37">
            <v>2800</v>
          </cell>
          <cell r="V37" t="str">
            <v>Inter-company - Blackhawk Network USA</v>
          </cell>
          <cell r="Z37">
            <v>2800</v>
          </cell>
          <cell r="AA37" t="str">
            <v>Inter-company - Blackhawk Network USA</v>
          </cell>
          <cell r="AE37">
            <v>2310</v>
          </cell>
          <cell r="AF37" t="str">
            <v>Hire Purchase</v>
          </cell>
          <cell r="AH37">
            <v>4782.21</v>
          </cell>
          <cell r="AJ37">
            <v>2220</v>
          </cell>
          <cell r="AK37" t="str">
            <v>Salaries adjustment</v>
          </cell>
          <cell r="AM37">
            <v>31913.93</v>
          </cell>
          <cell r="AO37">
            <v>2220</v>
          </cell>
          <cell r="AP37" t="str">
            <v>Salaries adjustment</v>
          </cell>
          <cell r="AR37">
            <v>28514.87</v>
          </cell>
          <cell r="AT37">
            <v>2210</v>
          </cell>
          <cell r="AU37" t="str">
            <v>Wages control</v>
          </cell>
          <cell r="AW37">
            <v>14447.19</v>
          </cell>
          <cell r="AY37">
            <v>2202</v>
          </cell>
          <cell r="AZ37" t="str">
            <v>VAT Liability</v>
          </cell>
          <cell r="BA37">
            <v>4.97</v>
          </cell>
          <cell r="BD37">
            <v>2201</v>
          </cell>
          <cell r="BE37" t="str">
            <v>Purchase Tax Control Account</v>
          </cell>
          <cell r="BF37">
            <v>178547.22</v>
          </cell>
          <cell r="BI37">
            <v>2200</v>
          </cell>
          <cell r="BJ37" t="str">
            <v>Sales Tax Control Account</v>
          </cell>
        </row>
        <row r="38">
          <cell r="A38">
            <v>312102</v>
          </cell>
          <cell r="B38" t="str">
            <v>Purchase - goods</v>
          </cell>
          <cell r="D38">
            <v>166905.60000000001</v>
          </cell>
          <cell r="F38">
            <v>3000</v>
          </cell>
          <cell r="G38" t="str">
            <v>Ordinary Shares</v>
          </cell>
          <cell r="I38">
            <v>1000</v>
          </cell>
          <cell r="K38">
            <v>3000</v>
          </cell>
          <cell r="L38" t="str">
            <v>Ordinary Shares</v>
          </cell>
          <cell r="N38">
            <v>1000</v>
          </cell>
          <cell r="P38">
            <v>3000</v>
          </cell>
          <cell r="Q38" t="str">
            <v>Ordinary Shares</v>
          </cell>
          <cell r="S38">
            <v>1000</v>
          </cell>
          <cell r="U38">
            <v>3000</v>
          </cell>
          <cell r="V38" t="str">
            <v>Ordinary Shares</v>
          </cell>
          <cell r="X38">
            <v>1000</v>
          </cell>
          <cell r="Z38">
            <v>3000</v>
          </cell>
          <cell r="AA38" t="str">
            <v>Ordinary Shares</v>
          </cell>
          <cell r="AC38">
            <v>1000</v>
          </cell>
          <cell r="AE38">
            <v>2800</v>
          </cell>
          <cell r="AF38" t="str">
            <v>Inter-company - Blackhawk Network USA</v>
          </cell>
          <cell r="AJ38">
            <v>2310</v>
          </cell>
          <cell r="AK38" t="str">
            <v>Exchange differences</v>
          </cell>
          <cell r="AM38">
            <v>4782.21</v>
          </cell>
          <cell r="AO38">
            <v>2310</v>
          </cell>
          <cell r="AP38" t="str">
            <v>Exchange differences</v>
          </cell>
          <cell r="AT38">
            <v>2220</v>
          </cell>
          <cell r="AU38" t="str">
            <v>Salaries adjustment</v>
          </cell>
          <cell r="AW38">
            <v>24525.69</v>
          </cell>
          <cell r="AY38">
            <v>2210</v>
          </cell>
          <cell r="AZ38" t="str">
            <v>Wages control</v>
          </cell>
          <cell r="BB38">
            <v>14224.07</v>
          </cell>
          <cell r="BD38">
            <v>2202</v>
          </cell>
          <cell r="BE38" t="str">
            <v>VAT Liability</v>
          </cell>
          <cell r="BG38">
            <v>35199.56</v>
          </cell>
          <cell r="BI38">
            <v>2201</v>
          </cell>
          <cell r="BJ38" t="str">
            <v>Purchase Tax Control Account</v>
          </cell>
          <cell r="BK38">
            <v>44845.33</v>
          </cell>
        </row>
        <row r="39">
          <cell r="A39">
            <v>312124</v>
          </cell>
          <cell r="B39" t="str">
            <v>Purchases - freight</v>
          </cell>
          <cell r="D39">
            <v>4152.45</v>
          </cell>
          <cell r="F39">
            <v>310802</v>
          </cell>
          <cell r="G39" t="str">
            <v>Card transactions</v>
          </cell>
          <cell r="K39">
            <v>310802</v>
          </cell>
          <cell r="L39" t="str">
            <v>Card transactions</v>
          </cell>
          <cell r="P39">
            <v>310802</v>
          </cell>
          <cell r="Q39" t="str">
            <v>Card transactions</v>
          </cell>
          <cell r="U39">
            <v>310802</v>
          </cell>
          <cell r="V39" t="str">
            <v>Card transactions</v>
          </cell>
          <cell r="Z39">
            <v>310802</v>
          </cell>
          <cell r="AA39" t="str">
            <v>Card transactions</v>
          </cell>
          <cell r="AE39">
            <v>3000</v>
          </cell>
          <cell r="AF39" t="str">
            <v>Ordinary Shares</v>
          </cell>
          <cell r="AH39">
            <v>1000</v>
          </cell>
          <cell r="AJ39">
            <v>2800</v>
          </cell>
          <cell r="AK39" t="str">
            <v>Inter-company - Blackhawk Network USA</v>
          </cell>
          <cell r="AO39">
            <v>2800</v>
          </cell>
          <cell r="AP39" t="str">
            <v>Inter-company - Blackhawk Network USA</v>
          </cell>
          <cell r="AT39">
            <v>2310</v>
          </cell>
          <cell r="AU39" t="str">
            <v>Exchange differences</v>
          </cell>
          <cell r="AY39">
            <v>2220</v>
          </cell>
          <cell r="AZ39" t="str">
            <v>Salaries adjustment</v>
          </cell>
          <cell r="BB39">
            <v>20537.11</v>
          </cell>
          <cell r="BD39">
            <v>2210</v>
          </cell>
          <cell r="BE39" t="str">
            <v>Wages control</v>
          </cell>
          <cell r="BG39">
            <v>14618.33</v>
          </cell>
          <cell r="BI39">
            <v>2202</v>
          </cell>
          <cell r="BJ39" t="str">
            <v>VAT Liability</v>
          </cell>
        </row>
        <row r="40">
          <cell r="A40">
            <v>312171</v>
          </cell>
          <cell r="B40" t="str">
            <v>Warehousing costs</v>
          </cell>
          <cell r="D40">
            <v>26960.32</v>
          </cell>
          <cell r="F40">
            <v>312102</v>
          </cell>
          <cell r="G40" t="str">
            <v>Purchase - goods</v>
          </cell>
          <cell r="I40">
            <v>159027.85</v>
          </cell>
          <cell r="K40">
            <v>312102</v>
          </cell>
          <cell r="L40" t="str">
            <v>Purchase - goods</v>
          </cell>
          <cell r="N40">
            <v>159405.6</v>
          </cell>
          <cell r="P40">
            <v>312102</v>
          </cell>
          <cell r="Q40" t="str">
            <v>Purchase - goods</v>
          </cell>
          <cell r="R40">
            <v>67142.259999999995</v>
          </cell>
          <cell r="U40">
            <v>312102</v>
          </cell>
          <cell r="V40" t="str">
            <v>Purchase - goods</v>
          </cell>
          <cell r="W40">
            <v>69186.009999999995</v>
          </cell>
          <cell r="Z40">
            <v>312102</v>
          </cell>
          <cell r="AA40" t="str">
            <v>Purchase - goods</v>
          </cell>
          <cell r="AB40">
            <v>69630.009999999995</v>
          </cell>
          <cell r="AE40">
            <v>310802</v>
          </cell>
          <cell r="AF40" t="str">
            <v>Card transactions</v>
          </cell>
          <cell r="AJ40">
            <v>3000</v>
          </cell>
          <cell r="AK40" t="str">
            <v>Ordinary Shares</v>
          </cell>
          <cell r="AM40">
            <v>1000</v>
          </cell>
          <cell r="AO40">
            <v>3000</v>
          </cell>
          <cell r="AP40" t="str">
            <v>Ordinary Shares</v>
          </cell>
          <cell r="AR40">
            <v>1000</v>
          </cell>
          <cell r="AT40">
            <v>2320</v>
          </cell>
          <cell r="AU40" t="str">
            <v>Corporation Tax</v>
          </cell>
          <cell r="AV40">
            <v>19840.37</v>
          </cell>
          <cell r="AY40">
            <v>2310</v>
          </cell>
          <cell r="AZ40" t="str">
            <v>Exchange differences</v>
          </cell>
          <cell r="BD40">
            <v>2220</v>
          </cell>
          <cell r="BE40" t="str">
            <v>Salaries adjustment</v>
          </cell>
          <cell r="BG40">
            <v>16548.02</v>
          </cell>
          <cell r="BI40">
            <v>2210</v>
          </cell>
          <cell r="BJ40" t="str">
            <v>Wages control</v>
          </cell>
          <cell r="BK40">
            <v>22889.13</v>
          </cell>
        </row>
        <row r="41">
          <cell r="A41">
            <v>3200</v>
          </cell>
          <cell r="B41" t="str">
            <v>Profit and Loss Account</v>
          </cell>
          <cell r="C41">
            <v>795640.2</v>
          </cell>
          <cell r="F41">
            <v>312124</v>
          </cell>
          <cell r="G41" t="str">
            <v>Purchases - freight</v>
          </cell>
          <cell r="H41">
            <v>9733.1</v>
          </cell>
          <cell r="K41">
            <v>312124</v>
          </cell>
          <cell r="L41" t="str">
            <v>Purchases - freight</v>
          </cell>
          <cell r="M41">
            <v>9733.1</v>
          </cell>
          <cell r="P41">
            <v>312124</v>
          </cell>
          <cell r="Q41" t="str">
            <v>Purchases - freight</v>
          </cell>
          <cell r="R41">
            <v>87194.97</v>
          </cell>
          <cell r="U41">
            <v>312124</v>
          </cell>
          <cell r="V41" t="str">
            <v>Purchases - freight</v>
          </cell>
          <cell r="W41">
            <v>115700.94</v>
          </cell>
          <cell r="Z41">
            <v>312124</v>
          </cell>
          <cell r="AA41" t="str">
            <v>Purchases - freight</v>
          </cell>
          <cell r="AB41">
            <v>116898.21</v>
          </cell>
          <cell r="AE41">
            <v>312102</v>
          </cell>
          <cell r="AF41" t="str">
            <v>Purchase - goods</v>
          </cell>
          <cell r="AG41">
            <v>79823.360000000001</v>
          </cell>
          <cell r="AJ41">
            <v>310802</v>
          </cell>
          <cell r="AK41" t="str">
            <v>Card transactions</v>
          </cell>
          <cell r="AO41">
            <v>310802</v>
          </cell>
          <cell r="AP41" t="str">
            <v>Card transactions</v>
          </cell>
          <cell r="AT41">
            <v>2800</v>
          </cell>
          <cell r="AU41" t="str">
            <v>Inter-company - Blackhawk Network USA</v>
          </cell>
          <cell r="AY41">
            <v>2320</v>
          </cell>
          <cell r="AZ41" t="str">
            <v>Corporation Tax</v>
          </cell>
          <cell r="BA41">
            <v>29615.85</v>
          </cell>
          <cell r="BD41">
            <v>2310</v>
          </cell>
          <cell r="BE41" t="str">
            <v>Exchange differences</v>
          </cell>
          <cell r="BI41">
            <v>2220</v>
          </cell>
          <cell r="BJ41" t="str">
            <v>Salaries adjustment</v>
          </cell>
          <cell r="BL41">
            <v>15291.72</v>
          </cell>
        </row>
        <row r="42">
          <cell r="A42">
            <v>331555</v>
          </cell>
          <cell r="B42" t="str">
            <v>Stationery</v>
          </cell>
          <cell r="C42">
            <v>173.47</v>
          </cell>
          <cell r="F42">
            <v>312171</v>
          </cell>
          <cell r="G42" t="str">
            <v>Warehousing costs</v>
          </cell>
          <cell r="I42">
            <v>19800.48</v>
          </cell>
          <cell r="K42">
            <v>312171</v>
          </cell>
          <cell r="L42" t="str">
            <v>Warehousing costs</v>
          </cell>
          <cell r="N42">
            <v>21610.32</v>
          </cell>
          <cell r="P42">
            <v>312171</v>
          </cell>
          <cell r="Q42" t="str">
            <v>Warehousing costs</v>
          </cell>
          <cell r="R42">
            <v>96618.79</v>
          </cell>
          <cell r="U42">
            <v>312171</v>
          </cell>
          <cell r="V42" t="str">
            <v>Warehousing costs</v>
          </cell>
          <cell r="W42">
            <v>134008.89000000001</v>
          </cell>
          <cell r="Z42">
            <v>312171</v>
          </cell>
          <cell r="AA42" t="str">
            <v>Warehousing costs</v>
          </cell>
          <cell r="AB42">
            <v>144243.29999999999</v>
          </cell>
          <cell r="AE42">
            <v>312124</v>
          </cell>
          <cell r="AF42" t="str">
            <v>Purchases - freight</v>
          </cell>
          <cell r="AG42">
            <v>132757.56</v>
          </cell>
          <cell r="AJ42">
            <v>312102</v>
          </cell>
          <cell r="AK42" t="str">
            <v>Purchase - goods</v>
          </cell>
          <cell r="AL42">
            <v>80737.36</v>
          </cell>
          <cell r="AO42">
            <v>312102</v>
          </cell>
          <cell r="AP42" t="str">
            <v>Purchase - goods</v>
          </cell>
          <cell r="AQ42">
            <v>104475.26</v>
          </cell>
          <cell r="AT42">
            <v>3000</v>
          </cell>
          <cell r="AU42" t="str">
            <v>Ordinary Shares</v>
          </cell>
          <cell r="AW42">
            <v>1000</v>
          </cell>
          <cell r="AY42">
            <v>2800</v>
          </cell>
          <cell r="AZ42" t="str">
            <v>Inter-company - Blackhawk Network USA</v>
          </cell>
          <cell r="BD42">
            <v>2320</v>
          </cell>
          <cell r="BE42" t="str">
            <v>Corporation Tax</v>
          </cell>
          <cell r="BF42">
            <v>29664.3</v>
          </cell>
          <cell r="BI42">
            <v>2310</v>
          </cell>
          <cell r="BJ42" t="str">
            <v>Exchange differences</v>
          </cell>
        </row>
        <row r="43">
          <cell r="A43">
            <v>331574</v>
          </cell>
          <cell r="B43" t="str">
            <v>Repairs - equipment</v>
          </cell>
          <cell r="C43">
            <v>159.99</v>
          </cell>
          <cell r="F43">
            <v>3200</v>
          </cell>
          <cell r="G43" t="str">
            <v>Profit and Loss Account</v>
          </cell>
          <cell r="H43">
            <v>795640.2</v>
          </cell>
          <cell r="K43">
            <v>3200</v>
          </cell>
          <cell r="L43" t="str">
            <v>Profit and Loss Account</v>
          </cell>
          <cell r="M43">
            <v>795640.2</v>
          </cell>
          <cell r="P43">
            <v>3200</v>
          </cell>
          <cell r="Q43" t="str">
            <v>Profit and Loss Account</v>
          </cell>
          <cell r="R43">
            <v>795640.2</v>
          </cell>
          <cell r="U43">
            <v>3200</v>
          </cell>
          <cell r="V43" t="str">
            <v>Profit and Loss Account</v>
          </cell>
          <cell r="W43">
            <v>795640.2</v>
          </cell>
          <cell r="Z43">
            <v>3200</v>
          </cell>
          <cell r="AA43" t="str">
            <v>Profit and Loss Account</v>
          </cell>
          <cell r="AB43">
            <v>795640.2</v>
          </cell>
          <cell r="AE43">
            <v>312171</v>
          </cell>
          <cell r="AF43" t="str">
            <v>Warehousing costs</v>
          </cell>
          <cell r="AG43">
            <v>144243.29999999999</v>
          </cell>
          <cell r="AJ43">
            <v>312124</v>
          </cell>
          <cell r="AK43" t="str">
            <v>Purchases - freight</v>
          </cell>
          <cell r="AL43">
            <v>67532.72</v>
          </cell>
          <cell r="AO43">
            <v>312124</v>
          </cell>
          <cell r="AP43" t="str">
            <v>Purchases - freight</v>
          </cell>
          <cell r="AQ43">
            <v>79265.679999999993</v>
          </cell>
          <cell r="AT43">
            <v>310802</v>
          </cell>
          <cell r="AU43" t="str">
            <v>Card transactions</v>
          </cell>
          <cell r="AY43">
            <v>3000</v>
          </cell>
          <cell r="AZ43" t="str">
            <v>Ordinary Shares</v>
          </cell>
          <cell r="BB43">
            <v>1000</v>
          </cell>
          <cell r="BD43">
            <v>2800</v>
          </cell>
          <cell r="BE43" t="str">
            <v>Inter-company - Blackhawk Network USA</v>
          </cell>
          <cell r="BG43">
            <v>0</v>
          </cell>
          <cell r="BI43">
            <v>2320</v>
          </cell>
          <cell r="BJ43" t="str">
            <v>Corporation Tax</v>
          </cell>
          <cell r="BK43">
            <v>29664.3</v>
          </cell>
        </row>
        <row r="44">
          <cell r="A44">
            <v>331575</v>
          </cell>
          <cell r="B44" t="str">
            <v>Repairs - furniture</v>
          </cell>
          <cell r="F44">
            <v>331555</v>
          </cell>
          <cell r="G44" t="str">
            <v>Stationery</v>
          </cell>
          <cell r="H44">
            <v>819.62</v>
          </cell>
          <cell r="K44">
            <v>331555</v>
          </cell>
          <cell r="L44" t="str">
            <v>Stationery</v>
          </cell>
          <cell r="M44">
            <v>774.46</v>
          </cell>
          <cell r="P44">
            <v>331555</v>
          </cell>
          <cell r="Q44" t="str">
            <v>Stationery</v>
          </cell>
          <cell r="R44">
            <v>1304.24</v>
          </cell>
          <cell r="U44">
            <v>331555</v>
          </cell>
          <cell r="V44" t="str">
            <v>Stationery</v>
          </cell>
          <cell r="W44">
            <v>1487.56</v>
          </cell>
          <cell r="Z44">
            <v>331555</v>
          </cell>
          <cell r="AA44" t="str">
            <v>Stationery</v>
          </cell>
          <cell r="AB44">
            <v>1542.83</v>
          </cell>
          <cell r="AE44">
            <v>3200</v>
          </cell>
          <cell r="AF44" t="str">
            <v>Profit and Loss Account</v>
          </cell>
          <cell r="AG44">
            <v>795640.2</v>
          </cell>
          <cell r="AJ44">
            <v>312171</v>
          </cell>
          <cell r="AK44" t="str">
            <v>Warehousing costs</v>
          </cell>
          <cell r="AL44">
            <v>165012.07</v>
          </cell>
          <cell r="AO44">
            <v>312171</v>
          </cell>
          <cell r="AP44" t="str">
            <v>Warehousing costs</v>
          </cell>
          <cell r="AQ44">
            <v>180974.87</v>
          </cell>
          <cell r="AT44">
            <v>312102</v>
          </cell>
          <cell r="AU44" t="str">
            <v>Purchase - goods</v>
          </cell>
          <cell r="AV44">
            <v>107762.46</v>
          </cell>
          <cell r="AY44">
            <v>310802</v>
          </cell>
          <cell r="AZ44" t="str">
            <v>Card transactions</v>
          </cell>
          <cell r="BD44">
            <v>3000</v>
          </cell>
          <cell r="BE44" t="str">
            <v>Ordinary Shares</v>
          </cell>
          <cell r="BG44">
            <v>1000</v>
          </cell>
          <cell r="BI44">
            <v>2800</v>
          </cell>
          <cell r="BJ44" t="str">
            <v>Inter-company - Blackhawk Network USA</v>
          </cell>
        </row>
        <row r="45">
          <cell r="A45">
            <v>331990</v>
          </cell>
          <cell r="B45" t="str">
            <v>General office supplies</v>
          </cell>
          <cell r="C45">
            <v>7.79</v>
          </cell>
          <cell r="F45">
            <v>331574</v>
          </cell>
          <cell r="G45" t="str">
            <v>Repairs - equipment</v>
          </cell>
          <cell r="H45">
            <v>194</v>
          </cell>
          <cell r="K45">
            <v>331574</v>
          </cell>
          <cell r="L45" t="str">
            <v>Repairs - equipment</v>
          </cell>
          <cell r="M45">
            <v>194</v>
          </cell>
          <cell r="P45">
            <v>331574</v>
          </cell>
          <cell r="Q45" t="str">
            <v>Repairs - equipment</v>
          </cell>
          <cell r="R45">
            <v>194</v>
          </cell>
          <cell r="U45">
            <v>331574</v>
          </cell>
          <cell r="V45" t="str">
            <v>Repairs - equipment</v>
          </cell>
          <cell r="W45">
            <v>194</v>
          </cell>
          <cell r="Z45">
            <v>331574</v>
          </cell>
          <cell r="AA45" t="str">
            <v>Repairs - equipment</v>
          </cell>
          <cell r="AB45">
            <v>369</v>
          </cell>
          <cell r="AE45">
            <v>331555</v>
          </cell>
          <cell r="AF45" t="str">
            <v>Stationery</v>
          </cell>
          <cell r="AG45">
            <v>1647.68</v>
          </cell>
          <cell r="AJ45">
            <v>3200</v>
          </cell>
          <cell r="AK45" t="str">
            <v>Profit and Loss Account</v>
          </cell>
          <cell r="AL45">
            <v>932443.18</v>
          </cell>
          <cell r="AO45">
            <v>3200</v>
          </cell>
          <cell r="AP45" t="str">
            <v>Profit and Loss Account</v>
          </cell>
          <cell r="AQ45">
            <v>927660.97</v>
          </cell>
          <cell r="AT45">
            <v>312124</v>
          </cell>
          <cell r="AU45" t="str">
            <v>Purchases - freight</v>
          </cell>
          <cell r="AV45">
            <v>67532.72</v>
          </cell>
          <cell r="AY45">
            <v>312102</v>
          </cell>
          <cell r="AZ45" t="str">
            <v>Purchase - goods</v>
          </cell>
          <cell r="BA45">
            <v>110244.96</v>
          </cell>
          <cell r="BD45">
            <v>310802</v>
          </cell>
          <cell r="BE45" t="str">
            <v>Card transactions</v>
          </cell>
          <cell r="BF45">
            <v>0</v>
          </cell>
          <cell r="BI45">
            <v>3000</v>
          </cell>
          <cell r="BJ45" t="str">
            <v>Ordinary Shares</v>
          </cell>
          <cell r="BL45">
            <v>1000</v>
          </cell>
        </row>
        <row r="46">
          <cell r="A46">
            <v>341676</v>
          </cell>
          <cell r="B46" t="str">
            <v>Fax and data transmission</v>
          </cell>
          <cell r="F46">
            <v>331575</v>
          </cell>
          <cell r="G46" t="str">
            <v>Repairs - furniture</v>
          </cell>
          <cell r="K46">
            <v>331575</v>
          </cell>
          <cell r="L46" t="str">
            <v>Repairs - furniture</v>
          </cell>
          <cell r="P46">
            <v>331575</v>
          </cell>
          <cell r="Q46" t="str">
            <v>Repairs - furniture</v>
          </cell>
          <cell r="U46">
            <v>331575</v>
          </cell>
          <cell r="V46" t="str">
            <v>Repairs - furniture</v>
          </cell>
          <cell r="W46">
            <v>2698.75</v>
          </cell>
          <cell r="Z46">
            <v>331575</v>
          </cell>
          <cell r="AA46" t="str">
            <v>Repairs - furniture</v>
          </cell>
          <cell r="AB46">
            <v>2698.75</v>
          </cell>
          <cell r="AE46">
            <v>331574</v>
          </cell>
          <cell r="AF46" t="str">
            <v>Repairs - equipment</v>
          </cell>
          <cell r="AG46">
            <v>406.87</v>
          </cell>
          <cell r="AJ46">
            <v>331555</v>
          </cell>
          <cell r="AK46" t="str">
            <v>Stationery</v>
          </cell>
          <cell r="AL46">
            <v>1969.54</v>
          </cell>
          <cell r="AO46">
            <v>331555</v>
          </cell>
          <cell r="AP46" t="str">
            <v>Stationery</v>
          </cell>
          <cell r="AQ46">
            <v>2084.2399999999998</v>
          </cell>
          <cell r="AT46">
            <v>312171</v>
          </cell>
          <cell r="AU46" t="str">
            <v>Warehousing costs</v>
          </cell>
          <cell r="AV46">
            <v>180774.88</v>
          </cell>
          <cell r="AY46">
            <v>312124</v>
          </cell>
          <cell r="AZ46" t="str">
            <v>Purchases - freight</v>
          </cell>
          <cell r="BA46">
            <v>67532.72</v>
          </cell>
          <cell r="BD46">
            <v>312102</v>
          </cell>
          <cell r="BE46" t="str">
            <v>Purchase - goods</v>
          </cell>
          <cell r="BF46">
            <v>171252.11</v>
          </cell>
          <cell r="BI46">
            <v>310802</v>
          </cell>
          <cell r="BJ46" t="str">
            <v>Card transactions</v>
          </cell>
        </row>
        <row r="47">
          <cell r="A47">
            <v>341772</v>
          </cell>
          <cell r="B47" t="str">
            <v>Telephone - landline</v>
          </cell>
          <cell r="C47">
            <v>189.59</v>
          </cell>
          <cell r="F47">
            <v>331990</v>
          </cell>
          <cell r="G47" t="str">
            <v>General office supplies</v>
          </cell>
          <cell r="H47">
            <v>139.19</v>
          </cell>
          <cell r="K47">
            <v>331990</v>
          </cell>
          <cell r="L47" t="str">
            <v>General office supplies</v>
          </cell>
          <cell r="M47">
            <v>100.25</v>
          </cell>
          <cell r="P47">
            <v>331990</v>
          </cell>
          <cell r="Q47" t="str">
            <v>General office supplies</v>
          </cell>
          <cell r="R47">
            <v>252.08</v>
          </cell>
          <cell r="U47">
            <v>331990</v>
          </cell>
          <cell r="V47" t="str">
            <v>General office supplies</v>
          </cell>
          <cell r="W47">
            <v>990.49</v>
          </cell>
          <cell r="Z47">
            <v>331990</v>
          </cell>
          <cell r="AA47" t="str">
            <v>General office supplies</v>
          </cell>
          <cell r="AB47">
            <v>1260.1099999999999</v>
          </cell>
          <cell r="AE47">
            <v>331575</v>
          </cell>
          <cell r="AF47" t="str">
            <v>Repairs - furniture</v>
          </cell>
          <cell r="AG47">
            <v>2698.75</v>
          </cell>
          <cell r="AJ47">
            <v>331574</v>
          </cell>
          <cell r="AK47" t="str">
            <v>Repairs - equipment</v>
          </cell>
          <cell r="AL47">
            <v>406.87</v>
          </cell>
          <cell r="AO47">
            <v>331574</v>
          </cell>
          <cell r="AP47" t="str">
            <v>Repairs - equipment</v>
          </cell>
          <cell r="AQ47">
            <v>406.87</v>
          </cell>
          <cell r="AT47">
            <v>3200</v>
          </cell>
          <cell r="AU47" t="str">
            <v>Profit and Loss Account</v>
          </cell>
          <cell r="AV47">
            <v>927660.97</v>
          </cell>
          <cell r="AY47">
            <v>312171</v>
          </cell>
          <cell r="AZ47" t="str">
            <v>Warehousing costs</v>
          </cell>
          <cell r="BA47">
            <v>239754.27</v>
          </cell>
          <cell r="BD47">
            <v>312124</v>
          </cell>
          <cell r="BE47" t="str">
            <v>Purchases - freight</v>
          </cell>
          <cell r="BF47">
            <v>80869.100000000006</v>
          </cell>
          <cell r="BI47">
            <v>312102</v>
          </cell>
          <cell r="BJ47" t="str">
            <v>Purchase - goods</v>
          </cell>
          <cell r="BK47">
            <v>172327.47</v>
          </cell>
        </row>
        <row r="48">
          <cell r="A48">
            <v>341773</v>
          </cell>
          <cell r="B48" t="str">
            <v>Telephone - mobile</v>
          </cell>
          <cell r="F48">
            <v>341676</v>
          </cell>
          <cell r="G48" t="str">
            <v>Fax and data transmission</v>
          </cell>
          <cell r="K48">
            <v>341676</v>
          </cell>
          <cell r="L48" t="str">
            <v>Fax and data transmission</v>
          </cell>
          <cell r="P48">
            <v>341676</v>
          </cell>
          <cell r="Q48" t="str">
            <v>Fax and data transmission</v>
          </cell>
          <cell r="R48">
            <v>195</v>
          </cell>
          <cell r="U48">
            <v>341676</v>
          </cell>
          <cell r="V48" t="str">
            <v>Fax and data transmission</v>
          </cell>
          <cell r="W48">
            <v>195</v>
          </cell>
          <cell r="Z48">
            <v>341676</v>
          </cell>
          <cell r="AA48" t="str">
            <v>Fax and data transmission</v>
          </cell>
          <cell r="AB48">
            <v>659.58</v>
          </cell>
          <cell r="AE48">
            <v>331990</v>
          </cell>
          <cell r="AF48" t="str">
            <v>General office supplies</v>
          </cell>
          <cell r="AG48">
            <v>1430.81</v>
          </cell>
          <cell r="AJ48">
            <v>331575</v>
          </cell>
          <cell r="AK48" t="str">
            <v>Repairs - furniture</v>
          </cell>
          <cell r="AL48">
            <v>4131.25</v>
          </cell>
          <cell r="AO48">
            <v>331575</v>
          </cell>
          <cell r="AP48" t="str">
            <v>Repairs - furniture</v>
          </cell>
          <cell r="AQ48">
            <v>4131.25</v>
          </cell>
          <cell r="AT48">
            <v>331555</v>
          </cell>
          <cell r="AU48" t="str">
            <v>Stationery</v>
          </cell>
          <cell r="AV48">
            <v>2318.15</v>
          </cell>
          <cell r="AY48">
            <v>3200</v>
          </cell>
          <cell r="AZ48" t="str">
            <v>Profit and Loss Account</v>
          </cell>
          <cell r="BA48">
            <v>927660.97</v>
          </cell>
          <cell r="BD48">
            <v>312171</v>
          </cell>
          <cell r="BE48" t="str">
            <v>Warehousing costs</v>
          </cell>
          <cell r="BF48">
            <v>248599.48</v>
          </cell>
          <cell r="BI48">
            <v>312124</v>
          </cell>
          <cell r="BJ48" t="str">
            <v>Purchases - freight</v>
          </cell>
          <cell r="BK48">
            <v>73652.38</v>
          </cell>
        </row>
        <row r="49">
          <cell r="A49">
            <v>342049</v>
          </cell>
          <cell r="B49" t="str">
            <v>Subscriptions - periodicals</v>
          </cell>
          <cell r="F49">
            <v>341772</v>
          </cell>
          <cell r="G49" t="str">
            <v>Telephone - landline</v>
          </cell>
          <cell r="H49">
            <v>290.85000000000002</v>
          </cell>
          <cell r="K49">
            <v>341772</v>
          </cell>
          <cell r="L49" t="str">
            <v>Telephone - landline</v>
          </cell>
          <cell r="M49">
            <v>497.48</v>
          </cell>
          <cell r="P49">
            <v>341772</v>
          </cell>
          <cell r="Q49" t="str">
            <v>Telephone - landline</v>
          </cell>
          <cell r="R49">
            <v>1468.52</v>
          </cell>
          <cell r="U49">
            <v>341772</v>
          </cell>
          <cell r="V49" t="str">
            <v>Telephone - landline</v>
          </cell>
          <cell r="W49">
            <v>1987.89</v>
          </cell>
          <cell r="Z49">
            <v>341772</v>
          </cell>
          <cell r="AA49" t="str">
            <v>Telephone - landline</v>
          </cell>
          <cell r="AB49">
            <v>2956.02</v>
          </cell>
          <cell r="AE49">
            <v>341676</v>
          </cell>
          <cell r="AF49" t="str">
            <v>Fax and data transmission</v>
          </cell>
          <cell r="AG49">
            <v>400</v>
          </cell>
          <cell r="AJ49">
            <v>331990</v>
          </cell>
          <cell r="AK49" t="str">
            <v>General office supplies</v>
          </cell>
          <cell r="AL49">
            <v>2339.9899999999998</v>
          </cell>
          <cell r="AO49">
            <v>331990</v>
          </cell>
          <cell r="AP49" t="str">
            <v>General office supplies</v>
          </cell>
          <cell r="AQ49">
            <v>2420.13</v>
          </cell>
          <cell r="AT49">
            <v>331574</v>
          </cell>
          <cell r="AU49" t="str">
            <v>Repairs - equipment</v>
          </cell>
          <cell r="AV49">
            <v>406.87</v>
          </cell>
          <cell r="AY49">
            <v>331555</v>
          </cell>
          <cell r="AZ49" t="str">
            <v>Stationery</v>
          </cell>
          <cell r="BA49">
            <v>2493.52</v>
          </cell>
          <cell r="BD49">
            <v>3200</v>
          </cell>
          <cell r="BE49" t="str">
            <v>Profit and Loss Account</v>
          </cell>
          <cell r="BF49">
            <v>927660.97</v>
          </cell>
          <cell r="BI49">
            <v>312171</v>
          </cell>
          <cell r="BJ49" t="str">
            <v>Warehousing costs</v>
          </cell>
          <cell r="BK49">
            <v>291995.46000000002</v>
          </cell>
        </row>
        <row r="50">
          <cell r="A50">
            <v>342291</v>
          </cell>
          <cell r="B50" t="str">
            <v>Computer software</v>
          </cell>
          <cell r="F50">
            <v>341773</v>
          </cell>
          <cell r="G50" t="str">
            <v>Telephone - mobile</v>
          </cell>
          <cell r="H50">
            <v>1534.14</v>
          </cell>
          <cell r="K50">
            <v>341773</v>
          </cell>
          <cell r="L50" t="str">
            <v>Telephone - mobile</v>
          </cell>
          <cell r="M50">
            <v>1057.72</v>
          </cell>
          <cell r="P50">
            <v>341773</v>
          </cell>
          <cell r="Q50" t="str">
            <v>Telephone - mobile</v>
          </cell>
          <cell r="R50">
            <v>2468.1</v>
          </cell>
          <cell r="U50">
            <v>341773</v>
          </cell>
          <cell r="V50" t="str">
            <v>Telephone - mobile</v>
          </cell>
          <cell r="W50">
            <v>2989.37</v>
          </cell>
          <cell r="Z50">
            <v>341773</v>
          </cell>
          <cell r="AA50" t="str">
            <v>Telephone - mobile</v>
          </cell>
          <cell r="AB50">
            <v>3389.66</v>
          </cell>
          <cell r="AE50">
            <v>341772</v>
          </cell>
          <cell r="AF50" t="str">
            <v>Telephone - landline</v>
          </cell>
          <cell r="AG50">
            <v>3615.49</v>
          </cell>
          <cell r="AJ50">
            <v>341676</v>
          </cell>
          <cell r="AK50" t="str">
            <v>Fax and data transmission</v>
          </cell>
          <cell r="AL50">
            <v>538.71</v>
          </cell>
          <cell r="AO50">
            <v>341676</v>
          </cell>
          <cell r="AP50" t="str">
            <v>Fax and data transmission</v>
          </cell>
          <cell r="AQ50">
            <v>1051.04</v>
          </cell>
          <cell r="AT50">
            <v>331575</v>
          </cell>
          <cell r="AU50" t="str">
            <v>Repairs - furniture</v>
          </cell>
          <cell r="AV50">
            <v>4131.25</v>
          </cell>
          <cell r="AY50">
            <v>331574</v>
          </cell>
          <cell r="AZ50" t="str">
            <v>Repairs - equipment</v>
          </cell>
          <cell r="BA50">
            <v>406.87</v>
          </cell>
          <cell r="BD50">
            <v>331555</v>
          </cell>
          <cell r="BE50" t="str">
            <v>Stationery</v>
          </cell>
          <cell r="BF50">
            <v>2599.41</v>
          </cell>
          <cell r="BI50">
            <v>3200</v>
          </cell>
          <cell r="BJ50" t="str">
            <v>Profit and Loss Account</v>
          </cell>
          <cell r="BK50">
            <v>927660.97</v>
          </cell>
        </row>
        <row r="51">
          <cell r="A51">
            <v>342631</v>
          </cell>
          <cell r="B51" t="str">
            <v>Advisory and consultants</v>
          </cell>
          <cell r="F51">
            <v>342049</v>
          </cell>
          <cell r="G51" t="str">
            <v>Subscriptions - periodicals</v>
          </cell>
          <cell r="K51">
            <v>342049</v>
          </cell>
          <cell r="L51" t="str">
            <v>Subscriptions - periodicals</v>
          </cell>
          <cell r="P51">
            <v>342049</v>
          </cell>
          <cell r="Q51" t="str">
            <v>Subscriptions - periodicals</v>
          </cell>
          <cell r="U51">
            <v>342049</v>
          </cell>
          <cell r="V51" t="str">
            <v>Subscriptions - periodicals</v>
          </cell>
          <cell r="Z51">
            <v>342049</v>
          </cell>
          <cell r="AA51" t="str">
            <v>Subscriptions - periodicals</v>
          </cell>
          <cell r="AE51">
            <v>341773</v>
          </cell>
          <cell r="AF51" t="str">
            <v>Telephone - mobile</v>
          </cell>
          <cell r="AG51">
            <v>4415.18</v>
          </cell>
          <cell r="AJ51">
            <v>341772</v>
          </cell>
          <cell r="AK51" t="str">
            <v>Telephone - landline</v>
          </cell>
          <cell r="AL51">
            <v>3840.7</v>
          </cell>
          <cell r="AO51">
            <v>341772</v>
          </cell>
          <cell r="AP51" t="str">
            <v>Telephone - landline</v>
          </cell>
          <cell r="AQ51">
            <v>4828.7700000000004</v>
          </cell>
          <cell r="AT51">
            <v>331990</v>
          </cell>
          <cell r="AU51" t="str">
            <v>General office supplies</v>
          </cell>
          <cell r="AV51">
            <v>2422.83</v>
          </cell>
          <cell r="AY51">
            <v>331575</v>
          </cell>
          <cell r="AZ51" t="str">
            <v>Repairs - furniture</v>
          </cell>
          <cell r="BA51">
            <v>4131.25</v>
          </cell>
          <cell r="BD51">
            <v>331574</v>
          </cell>
          <cell r="BE51" t="str">
            <v>Repairs - equipment</v>
          </cell>
          <cell r="BF51">
            <v>406.87</v>
          </cell>
          <cell r="BI51">
            <v>331555</v>
          </cell>
          <cell r="BJ51" t="str">
            <v>Stationery</v>
          </cell>
          <cell r="BK51">
            <v>2667.7</v>
          </cell>
        </row>
        <row r="52">
          <cell r="A52">
            <v>342632</v>
          </cell>
          <cell r="B52" t="str">
            <v>Printing</v>
          </cell>
          <cell r="F52">
            <v>342291</v>
          </cell>
          <cell r="G52" t="str">
            <v>Computer software</v>
          </cell>
          <cell r="K52">
            <v>342291</v>
          </cell>
          <cell r="L52" t="str">
            <v>Computer software</v>
          </cell>
          <cell r="P52">
            <v>342291</v>
          </cell>
          <cell r="Q52" t="str">
            <v>Computer software</v>
          </cell>
          <cell r="U52">
            <v>342291</v>
          </cell>
          <cell r="V52" t="str">
            <v>Computer software</v>
          </cell>
          <cell r="Z52">
            <v>342291</v>
          </cell>
          <cell r="AA52" t="str">
            <v>Computer software</v>
          </cell>
          <cell r="AE52">
            <v>342049</v>
          </cell>
          <cell r="AF52" t="str">
            <v>Subscriptions - periodicals</v>
          </cell>
          <cell r="AJ52">
            <v>341773</v>
          </cell>
          <cell r="AK52" t="str">
            <v>Telephone - mobile</v>
          </cell>
          <cell r="AL52">
            <v>5070.8599999999997</v>
          </cell>
          <cell r="AO52">
            <v>341773</v>
          </cell>
          <cell r="AP52" t="str">
            <v>Telephone - mobile</v>
          </cell>
          <cell r="AQ52">
            <v>5730.01</v>
          </cell>
          <cell r="AT52">
            <v>341676</v>
          </cell>
          <cell r="AU52" t="str">
            <v>Fax and data transmission</v>
          </cell>
          <cell r="AV52">
            <v>1719.19</v>
          </cell>
          <cell r="AY52">
            <v>331990</v>
          </cell>
          <cell r="AZ52" t="str">
            <v>General office supplies</v>
          </cell>
          <cell r="BA52">
            <v>2442.39</v>
          </cell>
          <cell r="BD52">
            <v>331575</v>
          </cell>
          <cell r="BE52" t="str">
            <v>Repairs - furniture</v>
          </cell>
          <cell r="BF52">
            <v>4131.25</v>
          </cell>
          <cell r="BI52">
            <v>331574</v>
          </cell>
          <cell r="BJ52" t="str">
            <v>Repairs - equipment</v>
          </cell>
          <cell r="BK52">
            <v>406.87</v>
          </cell>
        </row>
        <row r="53">
          <cell r="A53">
            <v>342634</v>
          </cell>
          <cell r="B53" t="str">
            <v>Professional services</v>
          </cell>
          <cell r="D53">
            <v>25725.53</v>
          </cell>
          <cell r="F53">
            <v>342631</v>
          </cell>
          <cell r="G53" t="str">
            <v>Advisory and consultants</v>
          </cell>
          <cell r="K53">
            <v>342631</v>
          </cell>
          <cell r="L53" t="str">
            <v>Advisory and consultants</v>
          </cell>
          <cell r="P53">
            <v>342631</v>
          </cell>
          <cell r="Q53" t="str">
            <v>Advisory and consultants</v>
          </cell>
          <cell r="U53">
            <v>342631</v>
          </cell>
          <cell r="V53" t="str">
            <v>Advisory and consultants</v>
          </cell>
          <cell r="W53">
            <v>9200</v>
          </cell>
          <cell r="Z53">
            <v>342631</v>
          </cell>
          <cell r="AA53" t="str">
            <v>Advisory and consultants</v>
          </cell>
          <cell r="AB53">
            <v>10200</v>
          </cell>
          <cell r="AE53">
            <v>342291</v>
          </cell>
          <cell r="AF53" t="str">
            <v>Computer software</v>
          </cell>
          <cell r="AJ53">
            <v>342049</v>
          </cell>
          <cell r="AK53" t="str">
            <v>Subscriptions - periodicals</v>
          </cell>
          <cell r="AO53">
            <v>342049</v>
          </cell>
          <cell r="AP53" t="str">
            <v>Subscriptions - periodicals</v>
          </cell>
          <cell r="AT53">
            <v>341772</v>
          </cell>
          <cell r="AU53" t="str">
            <v>Telephone - landline</v>
          </cell>
          <cell r="AV53">
            <v>4828.7700000000004</v>
          </cell>
          <cell r="AY53">
            <v>341676</v>
          </cell>
          <cell r="AZ53" t="str">
            <v>Fax and data transmission</v>
          </cell>
          <cell r="BA53">
            <v>2124.21</v>
          </cell>
          <cell r="BD53">
            <v>331990</v>
          </cell>
          <cell r="BE53" t="str">
            <v>General office supplies</v>
          </cell>
          <cell r="BF53">
            <v>2605.0300000000002</v>
          </cell>
          <cell r="BI53">
            <v>331575</v>
          </cell>
          <cell r="BJ53" t="str">
            <v>Repairs - furniture</v>
          </cell>
          <cell r="BK53">
            <v>4131.25</v>
          </cell>
        </row>
        <row r="54">
          <cell r="A54">
            <v>342637</v>
          </cell>
          <cell r="B54" t="str">
            <v>Recruitment expenses</v>
          </cell>
          <cell r="D54">
            <v>22230</v>
          </cell>
          <cell r="F54">
            <v>342632</v>
          </cell>
          <cell r="G54" t="str">
            <v>Printing</v>
          </cell>
          <cell r="H54">
            <v>161.1</v>
          </cell>
          <cell r="K54">
            <v>342632</v>
          </cell>
          <cell r="L54" t="str">
            <v>Printing</v>
          </cell>
          <cell r="M54">
            <v>75.959999999999994</v>
          </cell>
          <cell r="P54">
            <v>342632</v>
          </cell>
          <cell r="Q54" t="str">
            <v>Printing</v>
          </cell>
          <cell r="R54">
            <v>256.54000000000002</v>
          </cell>
          <cell r="U54">
            <v>342632</v>
          </cell>
          <cell r="V54" t="str">
            <v>Printing</v>
          </cell>
          <cell r="W54">
            <v>1923.41</v>
          </cell>
          <cell r="Z54">
            <v>342632</v>
          </cell>
          <cell r="AA54" t="str">
            <v>Printing</v>
          </cell>
          <cell r="AB54">
            <v>1923.41</v>
          </cell>
          <cell r="AE54">
            <v>342631</v>
          </cell>
          <cell r="AF54" t="str">
            <v>Advisory and consultants</v>
          </cell>
          <cell r="AG54">
            <v>9200</v>
          </cell>
          <cell r="AJ54">
            <v>342291</v>
          </cell>
          <cell r="AK54" t="str">
            <v>Computer software</v>
          </cell>
          <cell r="AL54">
            <v>31.47</v>
          </cell>
          <cell r="AO54">
            <v>342291</v>
          </cell>
          <cell r="AP54" t="str">
            <v>Computer software</v>
          </cell>
          <cell r="AQ54">
            <v>31.47</v>
          </cell>
          <cell r="AT54">
            <v>341773</v>
          </cell>
          <cell r="AU54" t="str">
            <v>Telephone - mobile</v>
          </cell>
          <cell r="AV54">
            <v>5975.09</v>
          </cell>
          <cell r="AY54">
            <v>341772</v>
          </cell>
          <cell r="AZ54" t="str">
            <v>Telephone - landline</v>
          </cell>
          <cell r="BA54">
            <v>4838.7700000000004</v>
          </cell>
          <cell r="BD54">
            <v>341676</v>
          </cell>
          <cell r="BE54" t="str">
            <v>Fax and data transmission</v>
          </cell>
          <cell r="BF54">
            <v>2417.11</v>
          </cell>
          <cell r="BI54">
            <v>331990</v>
          </cell>
          <cell r="BJ54" t="str">
            <v>General office supplies</v>
          </cell>
          <cell r="BK54">
            <v>2729.02</v>
          </cell>
        </row>
        <row r="55">
          <cell r="A55">
            <v>342646</v>
          </cell>
          <cell r="B55" t="str">
            <v>Design services</v>
          </cell>
          <cell r="F55">
            <v>342634</v>
          </cell>
          <cell r="G55" t="str">
            <v>Professional services</v>
          </cell>
          <cell r="I55">
            <v>23280.33</v>
          </cell>
          <cell r="K55">
            <v>342634</v>
          </cell>
          <cell r="L55" t="str">
            <v>Professional services</v>
          </cell>
          <cell r="N55">
            <v>25073.5</v>
          </cell>
          <cell r="P55">
            <v>342634</v>
          </cell>
          <cell r="Q55" t="str">
            <v>Professional services</v>
          </cell>
          <cell r="R55">
            <v>27971.47</v>
          </cell>
          <cell r="U55">
            <v>342634</v>
          </cell>
          <cell r="V55" t="str">
            <v>Professional services</v>
          </cell>
          <cell r="W55">
            <v>66051.61</v>
          </cell>
          <cell r="Z55">
            <v>342634</v>
          </cell>
          <cell r="AA55" t="str">
            <v>Professional services</v>
          </cell>
          <cell r="AB55">
            <v>91661.38</v>
          </cell>
          <cell r="AE55">
            <v>342632</v>
          </cell>
          <cell r="AF55" t="str">
            <v>Printing</v>
          </cell>
          <cell r="AG55">
            <v>2146.4</v>
          </cell>
          <cell r="AJ55">
            <v>342438</v>
          </cell>
          <cell r="AK55" t="str">
            <v>Legal fees</v>
          </cell>
          <cell r="AL55">
            <v>50847.28</v>
          </cell>
          <cell r="AO55">
            <v>342438</v>
          </cell>
          <cell r="AP55" t="str">
            <v>Legal fees</v>
          </cell>
          <cell r="AQ55">
            <v>50847.28</v>
          </cell>
          <cell r="AT55">
            <v>342049</v>
          </cell>
          <cell r="AU55" t="str">
            <v>Subscriptions - periodicals</v>
          </cell>
          <cell r="AV55">
            <v>222.5</v>
          </cell>
          <cell r="AY55">
            <v>341773</v>
          </cell>
          <cell r="AZ55" t="str">
            <v>Telephone - mobile</v>
          </cell>
          <cell r="BA55">
            <v>6565.54</v>
          </cell>
          <cell r="BD55">
            <v>341772</v>
          </cell>
          <cell r="BE55" t="str">
            <v>Telephone - landline</v>
          </cell>
          <cell r="BF55">
            <v>5096.3999999999996</v>
          </cell>
          <cell r="BI55">
            <v>341676</v>
          </cell>
          <cell r="BJ55" t="str">
            <v>Fax and data transmission</v>
          </cell>
          <cell r="BK55">
            <v>2999.1</v>
          </cell>
        </row>
        <row r="56">
          <cell r="A56">
            <v>342647</v>
          </cell>
          <cell r="B56" t="str">
            <v>Market research</v>
          </cell>
          <cell r="F56">
            <v>342637</v>
          </cell>
          <cell r="G56" t="str">
            <v>Recruitment expenses</v>
          </cell>
          <cell r="I56">
            <v>22230</v>
          </cell>
          <cell r="K56">
            <v>342637</v>
          </cell>
          <cell r="L56" t="str">
            <v>Recruitment expenses</v>
          </cell>
          <cell r="N56">
            <v>22230</v>
          </cell>
          <cell r="P56">
            <v>342637</v>
          </cell>
          <cell r="Q56" t="str">
            <v>Recruitment expenses</v>
          </cell>
          <cell r="R56">
            <v>8820</v>
          </cell>
          <cell r="U56">
            <v>342637</v>
          </cell>
          <cell r="V56" t="str">
            <v>Recruitment expenses</v>
          </cell>
          <cell r="W56">
            <v>8820</v>
          </cell>
          <cell r="Z56">
            <v>342637</v>
          </cell>
          <cell r="AA56" t="str">
            <v>Recruitment expenses</v>
          </cell>
          <cell r="AB56">
            <v>8838.4</v>
          </cell>
          <cell r="AE56">
            <v>342634</v>
          </cell>
          <cell r="AF56" t="str">
            <v>Professional services</v>
          </cell>
          <cell r="AG56">
            <v>125792.38</v>
          </cell>
          <cell r="AJ56">
            <v>342631</v>
          </cell>
          <cell r="AK56" t="str">
            <v>Advisory and consultants</v>
          </cell>
          <cell r="AL56">
            <v>9050.19</v>
          </cell>
          <cell r="AO56">
            <v>342631</v>
          </cell>
          <cell r="AP56" t="str">
            <v>Advisory and consultants</v>
          </cell>
          <cell r="AQ56">
            <v>13050.19</v>
          </cell>
          <cell r="AT56">
            <v>342291</v>
          </cell>
          <cell r="AU56" t="str">
            <v>Computer software</v>
          </cell>
          <cell r="AV56">
            <v>31.47</v>
          </cell>
          <cell r="AY56">
            <v>342049</v>
          </cell>
          <cell r="AZ56" t="str">
            <v>Subscriptions - periodicals</v>
          </cell>
          <cell r="BA56">
            <v>222.5</v>
          </cell>
          <cell r="BD56">
            <v>341773</v>
          </cell>
          <cell r="BE56" t="str">
            <v>Telephone - mobile</v>
          </cell>
          <cell r="BF56">
            <v>7384.76</v>
          </cell>
          <cell r="BI56">
            <v>341772</v>
          </cell>
          <cell r="BJ56" t="str">
            <v>Telephone - landline</v>
          </cell>
          <cell r="BK56">
            <v>5096.3999999999996</v>
          </cell>
        </row>
        <row r="57">
          <cell r="A57">
            <v>342674</v>
          </cell>
          <cell r="B57" t="str">
            <v>Payroll bureau</v>
          </cell>
          <cell r="F57">
            <v>342646</v>
          </cell>
          <cell r="G57" t="str">
            <v>Design services</v>
          </cell>
          <cell r="H57">
            <v>1937.5</v>
          </cell>
          <cell r="K57">
            <v>342646</v>
          </cell>
          <cell r="L57" t="str">
            <v>Design services</v>
          </cell>
          <cell r="M57">
            <v>1937.5</v>
          </cell>
          <cell r="P57">
            <v>342646</v>
          </cell>
          <cell r="Q57" t="str">
            <v>Design services</v>
          </cell>
          <cell r="R57">
            <v>22594.080000000002</v>
          </cell>
          <cell r="U57">
            <v>342646</v>
          </cell>
          <cell r="V57" t="str">
            <v>Design services</v>
          </cell>
          <cell r="W57">
            <v>23794.080000000002</v>
          </cell>
          <cell r="Z57">
            <v>342646</v>
          </cell>
          <cell r="AA57" t="str">
            <v>Design services</v>
          </cell>
          <cell r="AB57">
            <v>23994.080000000002</v>
          </cell>
          <cell r="AE57">
            <v>342637</v>
          </cell>
          <cell r="AF57" t="str">
            <v>Recruitment expenses</v>
          </cell>
          <cell r="AG57">
            <v>8838.4</v>
          </cell>
          <cell r="AJ57">
            <v>342632</v>
          </cell>
          <cell r="AK57" t="str">
            <v>Printing</v>
          </cell>
          <cell r="AL57">
            <v>7355.57</v>
          </cell>
          <cell r="AO57">
            <v>342632</v>
          </cell>
          <cell r="AP57" t="str">
            <v>Printing</v>
          </cell>
          <cell r="AQ57">
            <v>7551.46</v>
          </cell>
          <cell r="AT57">
            <v>342438</v>
          </cell>
          <cell r="AU57" t="str">
            <v>Legal fees</v>
          </cell>
          <cell r="AV57">
            <v>55673.279999999999</v>
          </cell>
          <cell r="AY57">
            <v>342291</v>
          </cell>
          <cell r="AZ57" t="str">
            <v>Computer software</v>
          </cell>
          <cell r="BA57">
            <v>31.47</v>
          </cell>
          <cell r="BD57">
            <v>342049</v>
          </cell>
          <cell r="BE57" t="str">
            <v>Subscriptions - periodicals</v>
          </cell>
          <cell r="BF57">
            <v>397.5</v>
          </cell>
          <cell r="BI57">
            <v>341773</v>
          </cell>
          <cell r="BJ57" t="str">
            <v>Telephone - mobile</v>
          </cell>
          <cell r="BK57">
            <v>8145.41</v>
          </cell>
        </row>
        <row r="58">
          <cell r="A58">
            <v>342695</v>
          </cell>
          <cell r="B58" t="str">
            <v>Waste disposal</v>
          </cell>
          <cell r="F58">
            <v>342647</v>
          </cell>
          <cell r="G58" t="str">
            <v>Market research</v>
          </cell>
          <cell r="H58">
            <v>1800</v>
          </cell>
          <cell r="K58">
            <v>342647</v>
          </cell>
          <cell r="L58" t="str">
            <v>Market research</v>
          </cell>
          <cell r="M58">
            <v>1800</v>
          </cell>
          <cell r="P58">
            <v>342647</v>
          </cell>
          <cell r="Q58" t="str">
            <v>Market research</v>
          </cell>
          <cell r="R58">
            <v>1800</v>
          </cell>
          <cell r="U58">
            <v>342647</v>
          </cell>
          <cell r="V58" t="str">
            <v>Market research</v>
          </cell>
          <cell r="W58">
            <v>4700</v>
          </cell>
          <cell r="Z58">
            <v>342647</v>
          </cell>
          <cell r="AA58" t="str">
            <v>Market research</v>
          </cell>
          <cell r="AB58">
            <v>4700</v>
          </cell>
          <cell r="AE58">
            <v>342646</v>
          </cell>
          <cell r="AF58" t="str">
            <v>Design services</v>
          </cell>
          <cell r="AG58">
            <v>23994.080000000002</v>
          </cell>
          <cell r="AJ58">
            <v>342634</v>
          </cell>
          <cell r="AK58" t="str">
            <v>Professional services</v>
          </cell>
          <cell r="AL58">
            <v>155397.6</v>
          </cell>
          <cell r="AO58">
            <v>342634</v>
          </cell>
          <cell r="AP58" t="str">
            <v>Professional services</v>
          </cell>
          <cell r="AQ58">
            <v>185904.01</v>
          </cell>
          <cell r="AT58">
            <v>342631</v>
          </cell>
          <cell r="AU58" t="str">
            <v>Advisory and consultants</v>
          </cell>
          <cell r="AV58">
            <v>13050.19</v>
          </cell>
          <cell r="AY58">
            <v>342438</v>
          </cell>
          <cell r="AZ58" t="str">
            <v>Legal fees</v>
          </cell>
          <cell r="BA58">
            <v>55673.279999999999</v>
          </cell>
          <cell r="BD58">
            <v>342291</v>
          </cell>
          <cell r="BE58" t="str">
            <v>Computer software</v>
          </cell>
          <cell r="BF58">
            <v>3091.81</v>
          </cell>
          <cell r="BI58">
            <v>342049</v>
          </cell>
          <cell r="BJ58" t="str">
            <v>Subscriptions - periodicals</v>
          </cell>
          <cell r="BK58">
            <v>397.5</v>
          </cell>
        </row>
        <row r="59">
          <cell r="A59">
            <v>342699</v>
          </cell>
          <cell r="B59" t="str">
            <v>Cleaning and caretaker</v>
          </cell>
          <cell r="C59">
            <v>811</v>
          </cell>
          <cell r="F59">
            <v>342674</v>
          </cell>
          <cell r="G59" t="str">
            <v>Payroll bureau</v>
          </cell>
          <cell r="K59">
            <v>342674</v>
          </cell>
          <cell r="L59" t="str">
            <v>Payroll bureau</v>
          </cell>
          <cell r="P59">
            <v>342674</v>
          </cell>
          <cell r="Q59" t="str">
            <v>Payroll bureau</v>
          </cell>
          <cell r="U59">
            <v>342674</v>
          </cell>
          <cell r="V59" t="str">
            <v>Payroll bureau</v>
          </cell>
          <cell r="Z59">
            <v>342674</v>
          </cell>
          <cell r="AA59" t="str">
            <v>Payroll bureau</v>
          </cell>
          <cell r="AE59">
            <v>342647</v>
          </cell>
          <cell r="AF59" t="str">
            <v>Market research</v>
          </cell>
          <cell r="AG59">
            <v>4700</v>
          </cell>
          <cell r="AJ59">
            <v>342637</v>
          </cell>
          <cell r="AK59" t="str">
            <v>Recruitment expenses</v>
          </cell>
          <cell r="AM59">
            <v>17281.849999999999</v>
          </cell>
          <cell r="AO59">
            <v>342637</v>
          </cell>
          <cell r="AP59" t="str">
            <v>Recruitment expenses</v>
          </cell>
          <cell r="AR59">
            <v>17281.849999999999</v>
          </cell>
          <cell r="AT59">
            <v>342632</v>
          </cell>
          <cell r="AU59" t="str">
            <v>Printing</v>
          </cell>
          <cell r="AV59">
            <v>7958.42</v>
          </cell>
          <cell r="AY59">
            <v>342631</v>
          </cell>
          <cell r="AZ59" t="str">
            <v>Advisory and consultants</v>
          </cell>
          <cell r="BA59">
            <v>13050.19</v>
          </cell>
          <cell r="BD59">
            <v>342438</v>
          </cell>
          <cell r="BE59" t="str">
            <v>Legal fees</v>
          </cell>
          <cell r="BF59">
            <v>57469.67</v>
          </cell>
          <cell r="BI59">
            <v>342291</v>
          </cell>
          <cell r="BJ59" t="str">
            <v>Computer software</v>
          </cell>
          <cell r="BK59">
            <v>3091.81</v>
          </cell>
        </row>
        <row r="60">
          <cell r="A60">
            <v>342887</v>
          </cell>
          <cell r="B60" t="str">
            <v>Postages</v>
          </cell>
          <cell r="F60">
            <v>342695</v>
          </cell>
          <cell r="G60" t="str">
            <v>Waste disposal</v>
          </cell>
          <cell r="K60">
            <v>342695</v>
          </cell>
          <cell r="L60" t="str">
            <v>Waste disposal</v>
          </cell>
          <cell r="P60">
            <v>342695</v>
          </cell>
          <cell r="Q60" t="str">
            <v>Waste disposal</v>
          </cell>
          <cell r="R60">
            <v>325</v>
          </cell>
          <cell r="U60">
            <v>342695</v>
          </cell>
          <cell r="V60" t="str">
            <v>Waste disposal</v>
          </cell>
          <cell r="W60">
            <v>325</v>
          </cell>
          <cell r="Z60">
            <v>342695</v>
          </cell>
          <cell r="AA60" t="str">
            <v>Waste disposal</v>
          </cell>
          <cell r="AB60">
            <v>325</v>
          </cell>
          <cell r="AE60">
            <v>342674</v>
          </cell>
          <cell r="AF60" t="str">
            <v>Payroll bureau</v>
          </cell>
          <cell r="AJ60">
            <v>342646</v>
          </cell>
          <cell r="AK60" t="str">
            <v>Design services</v>
          </cell>
          <cell r="AL60">
            <v>26799.08</v>
          </cell>
          <cell r="AO60">
            <v>342646</v>
          </cell>
          <cell r="AP60" t="str">
            <v>Design services</v>
          </cell>
          <cell r="AQ60">
            <v>31864.080000000002</v>
          </cell>
          <cell r="AT60">
            <v>342634</v>
          </cell>
          <cell r="AU60" t="str">
            <v>Professional services</v>
          </cell>
          <cell r="AV60">
            <v>201711.01</v>
          </cell>
          <cell r="AY60">
            <v>342632</v>
          </cell>
          <cell r="AZ60" t="str">
            <v>Printing</v>
          </cell>
          <cell r="BA60">
            <v>8434.42</v>
          </cell>
          <cell r="BD60">
            <v>342631</v>
          </cell>
          <cell r="BE60" t="str">
            <v>Advisory and consultants</v>
          </cell>
          <cell r="BF60">
            <v>13050.19</v>
          </cell>
          <cell r="BI60">
            <v>342438</v>
          </cell>
          <cell r="BJ60" t="str">
            <v>Legal fees</v>
          </cell>
          <cell r="BK60">
            <v>62240.78</v>
          </cell>
        </row>
        <row r="61">
          <cell r="A61">
            <v>342890</v>
          </cell>
          <cell r="B61" t="str">
            <v>Courier charges</v>
          </cell>
          <cell r="C61">
            <v>182</v>
          </cell>
          <cell r="F61">
            <v>342699</v>
          </cell>
          <cell r="G61" t="str">
            <v>Cleaning and caretaker</v>
          </cell>
          <cell r="H61">
            <v>2195.9499999999998</v>
          </cell>
          <cell r="K61">
            <v>342699</v>
          </cell>
          <cell r="L61" t="str">
            <v>Cleaning and caretaker</v>
          </cell>
          <cell r="M61">
            <v>1542</v>
          </cell>
          <cell r="P61">
            <v>342699</v>
          </cell>
          <cell r="Q61" t="str">
            <v>Cleaning and caretaker</v>
          </cell>
          <cell r="R61">
            <v>2977.95</v>
          </cell>
          <cell r="U61">
            <v>342699</v>
          </cell>
          <cell r="V61" t="str">
            <v>Cleaning and caretaker</v>
          </cell>
          <cell r="W61">
            <v>4261.95</v>
          </cell>
          <cell r="Z61">
            <v>342699</v>
          </cell>
          <cell r="AA61" t="str">
            <v>Cleaning and caretaker</v>
          </cell>
          <cell r="AB61">
            <v>4309.43</v>
          </cell>
          <cell r="AE61">
            <v>342695</v>
          </cell>
          <cell r="AF61" t="str">
            <v>Waste disposal</v>
          </cell>
          <cell r="AG61">
            <v>325</v>
          </cell>
          <cell r="AJ61">
            <v>342647</v>
          </cell>
          <cell r="AK61" t="str">
            <v>Market research</v>
          </cell>
          <cell r="AL61">
            <v>10547.12</v>
          </cell>
          <cell r="AO61">
            <v>342647</v>
          </cell>
          <cell r="AP61" t="str">
            <v>Market research</v>
          </cell>
          <cell r="AQ61">
            <v>19622.12</v>
          </cell>
          <cell r="AT61">
            <v>342637</v>
          </cell>
          <cell r="AU61" t="str">
            <v>Recruitment expenses</v>
          </cell>
          <cell r="AW61">
            <v>17281.849999999999</v>
          </cell>
          <cell r="AY61">
            <v>342634</v>
          </cell>
          <cell r="AZ61" t="str">
            <v>Professional services</v>
          </cell>
          <cell r="BA61">
            <v>263756.19</v>
          </cell>
          <cell r="BD61">
            <v>342632</v>
          </cell>
          <cell r="BE61" t="str">
            <v>Printing</v>
          </cell>
          <cell r="BF61">
            <v>10296.06</v>
          </cell>
          <cell r="BI61">
            <v>342631</v>
          </cell>
          <cell r="BJ61" t="str">
            <v>Advisory and consultants</v>
          </cell>
          <cell r="BK61">
            <v>13050.19</v>
          </cell>
        </row>
        <row r="62">
          <cell r="A62">
            <v>352603</v>
          </cell>
          <cell r="B62" t="str">
            <v>Subscriptions - professional</v>
          </cell>
          <cell r="F62">
            <v>342887</v>
          </cell>
          <cell r="G62" t="str">
            <v>Postages</v>
          </cell>
          <cell r="H62">
            <v>116.64</v>
          </cell>
          <cell r="K62">
            <v>342887</v>
          </cell>
          <cell r="L62" t="str">
            <v>Postages</v>
          </cell>
          <cell r="M62">
            <v>52.12</v>
          </cell>
          <cell r="P62">
            <v>342887</v>
          </cell>
          <cell r="Q62" t="str">
            <v>Postages</v>
          </cell>
          <cell r="R62">
            <v>233.52</v>
          </cell>
          <cell r="U62">
            <v>342887</v>
          </cell>
          <cell r="V62" t="str">
            <v>Postages</v>
          </cell>
          <cell r="W62">
            <v>300.04000000000002</v>
          </cell>
          <cell r="Z62">
            <v>342887</v>
          </cell>
          <cell r="AA62" t="str">
            <v>Postages</v>
          </cell>
          <cell r="AB62">
            <v>315.24</v>
          </cell>
          <cell r="AE62">
            <v>342699</v>
          </cell>
          <cell r="AF62" t="str">
            <v>Cleaning and caretaker</v>
          </cell>
          <cell r="AG62">
            <v>5033.2</v>
          </cell>
          <cell r="AJ62">
            <v>342674</v>
          </cell>
          <cell r="AK62" t="str">
            <v>Payroll bureau</v>
          </cell>
          <cell r="AO62">
            <v>342674</v>
          </cell>
          <cell r="AP62" t="str">
            <v>Payroll bureau</v>
          </cell>
          <cell r="AT62">
            <v>342646</v>
          </cell>
          <cell r="AU62" t="str">
            <v>Design services</v>
          </cell>
          <cell r="AV62">
            <v>31864.080000000002</v>
          </cell>
          <cell r="AY62">
            <v>342637</v>
          </cell>
          <cell r="AZ62" t="str">
            <v>Recruitment expenses</v>
          </cell>
          <cell r="BB62">
            <v>2881.85</v>
          </cell>
          <cell r="BD62">
            <v>342634</v>
          </cell>
          <cell r="BE62" t="str">
            <v>Professional services</v>
          </cell>
          <cell r="BF62">
            <v>311530.49</v>
          </cell>
          <cell r="BI62">
            <v>342632</v>
          </cell>
          <cell r="BJ62" t="str">
            <v>Printing</v>
          </cell>
          <cell r="BK62">
            <v>10383.870000000001</v>
          </cell>
        </row>
        <row r="63">
          <cell r="A63">
            <v>354490</v>
          </cell>
          <cell r="B63" t="str">
            <v>Insurance</v>
          </cell>
          <cell r="C63">
            <v>187.09</v>
          </cell>
          <cell r="F63">
            <v>342890</v>
          </cell>
          <cell r="G63" t="str">
            <v>Courier charges</v>
          </cell>
          <cell r="H63">
            <v>182</v>
          </cell>
          <cell r="K63">
            <v>342890</v>
          </cell>
          <cell r="L63" t="str">
            <v>Courier charges</v>
          </cell>
          <cell r="M63">
            <v>182</v>
          </cell>
          <cell r="P63">
            <v>342890</v>
          </cell>
          <cell r="Q63" t="str">
            <v>Courier charges</v>
          </cell>
          <cell r="R63">
            <v>604.45000000000005</v>
          </cell>
          <cell r="U63">
            <v>342890</v>
          </cell>
          <cell r="V63" t="str">
            <v>Courier charges</v>
          </cell>
          <cell r="W63">
            <v>892.49</v>
          </cell>
          <cell r="Z63">
            <v>342890</v>
          </cell>
          <cell r="AA63" t="str">
            <v>Courier charges</v>
          </cell>
          <cell r="AB63">
            <v>919.47</v>
          </cell>
          <cell r="AE63">
            <v>342887</v>
          </cell>
          <cell r="AF63" t="str">
            <v>Postages</v>
          </cell>
          <cell r="AG63">
            <v>352.32</v>
          </cell>
          <cell r="AJ63">
            <v>342695</v>
          </cell>
          <cell r="AK63" t="str">
            <v>Waste disposal</v>
          </cell>
          <cell r="AL63">
            <v>325</v>
          </cell>
          <cell r="AO63">
            <v>342695</v>
          </cell>
          <cell r="AP63" t="str">
            <v>Waste disposal</v>
          </cell>
          <cell r="AQ63">
            <v>325</v>
          </cell>
          <cell r="AT63">
            <v>342647</v>
          </cell>
          <cell r="AU63" t="str">
            <v>Market research</v>
          </cell>
          <cell r="AV63">
            <v>23109.62</v>
          </cell>
          <cell r="AY63">
            <v>342646</v>
          </cell>
          <cell r="AZ63" t="str">
            <v>Design services</v>
          </cell>
          <cell r="BA63">
            <v>32739.75</v>
          </cell>
          <cell r="BD63">
            <v>342637</v>
          </cell>
          <cell r="BE63" t="str">
            <v>Recruitment expenses</v>
          </cell>
          <cell r="BG63">
            <v>2881.85</v>
          </cell>
          <cell r="BI63">
            <v>342634</v>
          </cell>
          <cell r="BJ63" t="str">
            <v>Professional services</v>
          </cell>
          <cell r="BK63">
            <v>373194.92</v>
          </cell>
        </row>
        <row r="64">
          <cell r="A64">
            <v>361108</v>
          </cell>
          <cell r="B64" t="str">
            <v>Rent</v>
          </cell>
          <cell r="C64">
            <v>11561.93</v>
          </cell>
          <cell r="F64">
            <v>352603</v>
          </cell>
          <cell r="G64" t="str">
            <v>Subscriptions - professional</v>
          </cell>
          <cell r="H64">
            <v>667.06</v>
          </cell>
          <cell r="K64">
            <v>352603</v>
          </cell>
          <cell r="L64" t="str">
            <v>Subscriptions - professional</v>
          </cell>
          <cell r="M64">
            <v>167.06</v>
          </cell>
          <cell r="P64">
            <v>352603</v>
          </cell>
          <cell r="Q64" t="str">
            <v>Subscriptions - professional</v>
          </cell>
          <cell r="R64">
            <v>278.17</v>
          </cell>
          <cell r="U64">
            <v>352603</v>
          </cell>
          <cell r="V64" t="str">
            <v>Subscriptions - professional</v>
          </cell>
          <cell r="W64">
            <v>667.06</v>
          </cell>
          <cell r="Z64">
            <v>352603</v>
          </cell>
          <cell r="AA64" t="str">
            <v>Subscriptions - professional</v>
          </cell>
          <cell r="AB64">
            <v>389.28</v>
          </cell>
          <cell r="AE64">
            <v>342890</v>
          </cell>
          <cell r="AF64" t="str">
            <v>Courier charges</v>
          </cell>
          <cell r="AG64">
            <v>1061.47</v>
          </cell>
          <cell r="AJ64">
            <v>342699</v>
          </cell>
          <cell r="AK64" t="str">
            <v>Cleaning and caretaker</v>
          </cell>
          <cell r="AL64">
            <v>5720.2</v>
          </cell>
          <cell r="AO64">
            <v>342699</v>
          </cell>
          <cell r="AP64" t="str">
            <v>Cleaning and caretaker</v>
          </cell>
          <cell r="AQ64">
            <v>6364.05</v>
          </cell>
          <cell r="AT64">
            <v>342674</v>
          </cell>
          <cell r="AU64" t="str">
            <v>Payroll bureau</v>
          </cell>
          <cell r="AY64">
            <v>342647</v>
          </cell>
          <cell r="AZ64" t="str">
            <v>Market research</v>
          </cell>
          <cell r="BA64">
            <v>26597.119999999999</v>
          </cell>
          <cell r="BD64">
            <v>342646</v>
          </cell>
          <cell r="BE64" t="str">
            <v>Design services</v>
          </cell>
          <cell r="BF64">
            <v>45460.59</v>
          </cell>
          <cell r="BI64">
            <v>342637</v>
          </cell>
          <cell r="BJ64" t="str">
            <v>Recruitment expenses</v>
          </cell>
          <cell r="BL64">
            <v>2881.85</v>
          </cell>
        </row>
        <row r="65">
          <cell r="A65">
            <v>362841</v>
          </cell>
          <cell r="B65" t="str">
            <v>Equipment rental</v>
          </cell>
          <cell r="C65">
            <v>186.04</v>
          </cell>
          <cell r="F65">
            <v>354490</v>
          </cell>
          <cell r="G65" t="str">
            <v>Insurance</v>
          </cell>
          <cell r="H65">
            <v>413.58</v>
          </cell>
          <cell r="K65">
            <v>354490</v>
          </cell>
          <cell r="L65" t="str">
            <v>Insurance</v>
          </cell>
          <cell r="M65">
            <v>220.91</v>
          </cell>
          <cell r="P65">
            <v>354490</v>
          </cell>
          <cell r="Q65" t="str">
            <v>Insurance</v>
          </cell>
          <cell r="R65">
            <v>745.69</v>
          </cell>
          <cell r="U65">
            <v>354490</v>
          </cell>
          <cell r="V65" t="str">
            <v>Insurance</v>
          </cell>
          <cell r="X65">
            <v>307.39999999999998</v>
          </cell>
          <cell r="Z65">
            <v>354490</v>
          </cell>
          <cell r="AA65" t="str">
            <v>Insurance</v>
          </cell>
          <cell r="AB65">
            <v>745.69</v>
          </cell>
          <cell r="AE65">
            <v>352603</v>
          </cell>
          <cell r="AF65" t="str">
            <v>Subscriptions - professional</v>
          </cell>
          <cell r="AG65">
            <v>2667.06</v>
          </cell>
          <cell r="AJ65">
            <v>342887</v>
          </cell>
          <cell r="AK65" t="str">
            <v>Postages</v>
          </cell>
          <cell r="AL65">
            <v>385.74</v>
          </cell>
          <cell r="AO65">
            <v>342887</v>
          </cell>
          <cell r="AP65" t="str">
            <v>Postages</v>
          </cell>
          <cell r="AQ65">
            <v>440.26</v>
          </cell>
          <cell r="AT65">
            <v>342695</v>
          </cell>
          <cell r="AU65" t="str">
            <v>Waste disposal</v>
          </cell>
          <cell r="AV65">
            <v>484.6</v>
          </cell>
          <cell r="AY65">
            <v>342674</v>
          </cell>
          <cell r="AZ65" t="str">
            <v>Payroll bureau</v>
          </cell>
          <cell r="BD65">
            <v>342647</v>
          </cell>
          <cell r="BE65" t="str">
            <v>Market research</v>
          </cell>
          <cell r="BF65">
            <v>26597.119999999999</v>
          </cell>
          <cell r="BI65">
            <v>342646</v>
          </cell>
          <cell r="BJ65" t="str">
            <v>Design services</v>
          </cell>
          <cell r="BK65">
            <v>52335.19</v>
          </cell>
        </row>
        <row r="66">
          <cell r="A66">
            <v>363793</v>
          </cell>
          <cell r="B66" t="str">
            <v>Repairs - property</v>
          </cell>
          <cell r="C66">
            <v>144.68</v>
          </cell>
          <cell r="F66">
            <v>361108</v>
          </cell>
          <cell r="G66" t="str">
            <v>Rent</v>
          </cell>
          <cell r="H66">
            <v>8724.0499999999993</v>
          </cell>
          <cell r="K66">
            <v>361108</v>
          </cell>
          <cell r="L66" t="str">
            <v>Rent</v>
          </cell>
          <cell r="M66">
            <v>12791.92</v>
          </cell>
          <cell r="P66">
            <v>361108</v>
          </cell>
          <cell r="Q66" t="str">
            <v>Rent</v>
          </cell>
          <cell r="R66">
            <v>20241.18</v>
          </cell>
          <cell r="U66">
            <v>361108</v>
          </cell>
          <cell r="V66" t="str">
            <v>Rent</v>
          </cell>
          <cell r="W66">
            <v>20241.18</v>
          </cell>
          <cell r="Z66">
            <v>361108</v>
          </cell>
          <cell r="AA66" t="str">
            <v>Rent</v>
          </cell>
          <cell r="AB66">
            <v>23890.18</v>
          </cell>
          <cell r="AE66">
            <v>354490</v>
          </cell>
          <cell r="AF66" t="str">
            <v>Insurance</v>
          </cell>
          <cell r="AG66">
            <v>779.5</v>
          </cell>
          <cell r="AJ66">
            <v>342890</v>
          </cell>
          <cell r="AK66" t="str">
            <v>Courier charges</v>
          </cell>
          <cell r="AL66">
            <v>1158.5</v>
          </cell>
          <cell r="AO66">
            <v>342890</v>
          </cell>
          <cell r="AP66" t="str">
            <v>Courier charges</v>
          </cell>
          <cell r="AQ66">
            <v>1240.03</v>
          </cell>
          <cell r="AT66">
            <v>342699</v>
          </cell>
          <cell r="AU66" t="str">
            <v>Cleaning and caretaker</v>
          </cell>
          <cell r="AV66">
            <v>7159.05</v>
          </cell>
          <cell r="AY66">
            <v>342695</v>
          </cell>
          <cell r="AZ66" t="str">
            <v>Waste disposal</v>
          </cell>
          <cell r="BA66">
            <v>484.6</v>
          </cell>
          <cell r="BD66">
            <v>342674</v>
          </cell>
          <cell r="BE66" t="str">
            <v>Payroll bureau</v>
          </cell>
          <cell r="BI66">
            <v>342647</v>
          </cell>
          <cell r="BJ66" t="str">
            <v>Market research</v>
          </cell>
          <cell r="BK66">
            <v>26597.119999999999</v>
          </cell>
        </row>
        <row r="67">
          <cell r="A67">
            <v>364804</v>
          </cell>
          <cell r="B67" t="str">
            <v>Repairs - fixtures</v>
          </cell>
          <cell r="F67">
            <v>362841</v>
          </cell>
          <cell r="G67" t="str">
            <v>Equipment rental</v>
          </cell>
          <cell r="H67">
            <v>1111.17</v>
          </cell>
          <cell r="K67">
            <v>362841</v>
          </cell>
          <cell r="L67" t="str">
            <v>Equipment rental</v>
          </cell>
          <cell r="M67">
            <v>368.75</v>
          </cell>
          <cell r="P67">
            <v>362841</v>
          </cell>
          <cell r="Q67" t="str">
            <v>Equipment rental</v>
          </cell>
          <cell r="R67">
            <v>1225.0899999999999</v>
          </cell>
          <cell r="U67">
            <v>362841</v>
          </cell>
          <cell r="V67" t="str">
            <v>Equipment rental</v>
          </cell>
          <cell r="W67">
            <v>1428.14</v>
          </cell>
          <cell r="Z67">
            <v>362841</v>
          </cell>
          <cell r="AA67" t="str">
            <v>Equipment rental</v>
          </cell>
          <cell r="AB67">
            <v>1868.26</v>
          </cell>
          <cell r="AE67">
            <v>361108</v>
          </cell>
          <cell r="AF67" t="str">
            <v>Rent</v>
          </cell>
          <cell r="AG67">
            <v>23124.18</v>
          </cell>
          <cell r="AJ67">
            <v>352603</v>
          </cell>
          <cell r="AK67" t="str">
            <v>Subscriptions - professional</v>
          </cell>
          <cell r="AL67">
            <v>5285.39</v>
          </cell>
          <cell r="AO67">
            <v>352603</v>
          </cell>
          <cell r="AP67" t="str">
            <v>Subscriptions - professional</v>
          </cell>
          <cell r="AQ67">
            <v>5340.95</v>
          </cell>
          <cell r="AT67">
            <v>342887</v>
          </cell>
          <cell r="AU67" t="str">
            <v>Postages</v>
          </cell>
          <cell r="AV67">
            <v>440.26</v>
          </cell>
          <cell r="AY67">
            <v>342699</v>
          </cell>
          <cell r="AZ67" t="str">
            <v>Cleaning and caretaker</v>
          </cell>
          <cell r="BA67">
            <v>8393.0499999999993</v>
          </cell>
          <cell r="BD67">
            <v>342695</v>
          </cell>
          <cell r="BE67" t="str">
            <v>Waste disposal</v>
          </cell>
          <cell r="BF67">
            <v>404.8</v>
          </cell>
          <cell r="BI67">
            <v>342674</v>
          </cell>
          <cell r="BJ67" t="str">
            <v>Payroll bureau</v>
          </cell>
        </row>
        <row r="68">
          <cell r="A68">
            <v>368820</v>
          </cell>
          <cell r="B68" t="str">
            <v>Light &amp; heat</v>
          </cell>
          <cell r="C68">
            <v>635.70000000000005</v>
          </cell>
          <cell r="F68">
            <v>363793</v>
          </cell>
          <cell r="G68" t="str">
            <v>Repairs - property</v>
          </cell>
          <cell r="H68">
            <v>144.68</v>
          </cell>
          <cell r="K68">
            <v>363793</v>
          </cell>
          <cell r="L68" t="str">
            <v>Repairs - property</v>
          </cell>
          <cell r="M68">
            <v>144.68</v>
          </cell>
          <cell r="P68">
            <v>363793</v>
          </cell>
          <cell r="Q68" t="str">
            <v>Repairs - property</v>
          </cell>
          <cell r="R68">
            <v>300.68</v>
          </cell>
          <cell r="U68">
            <v>363793</v>
          </cell>
          <cell r="V68" t="str">
            <v>Repairs - property</v>
          </cell>
          <cell r="W68">
            <v>785.53</v>
          </cell>
          <cell r="Z68">
            <v>363793</v>
          </cell>
          <cell r="AA68" t="str">
            <v>Repairs - property</v>
          </cell>
          <cell r="AB68">
            <v>965.53</v>
          </cell>
          <cell r="AE68">
            <v>362841</v>
          </cell>
          <cell r="AF68" t="str">
            <v>Equipment rental</v>
          </cell>
          <cell r="AG68">
            <v>1868.26</v>
          </cell>
          <cell r="AJ68">
            <v>354490</v>
          </cell>
          <cell r="AK68" t="str">
            <v>Insurance</v>
          </cell>
          <cell r="AL68">
            <v>1417.12</v>
          </cell>
          <cell r="AO68">
            <v>354490</v>
          </cell>
          <cell r="AP68" t="str">
            <v>Insurance</v>
          </cell>
          <cell r="AQ68">
            <v>1450.93</v>
          </cell>
          <cell r="AT68">
            <v>342890</v>
          </cell>
          <cell r="AU68" t="str">
            <v>Courier charges</v>
          </cell>
          <cell r="AV68">
            <v>1462.08</v>
          </cell>
          <cell r="AY68">
            <v>342887</v>
          </cell>
          <cell r="AZ68" t="str">
            <v>Postages</v>
          </cell>
          <cell r="BA68">
            <v>465.92</v>
          </cell>
          <cell r="BD68">
            <v>342699</v>
          </cell>
          <cell r="BE68" t="str">
            <v>Cleaning and caretaker</v>
          </cell>
          <cell r="BF68">
            <v>8393.0499999999993</v>
          </cell>
          <cell r="BI68">
            <v>342695</v>
          </cell>
          <cell r="BJ68" t="str">
            <v>Waste disposal</v>
          </cell>
          <cell r="BK68">
            <v>404.8</v>
          </cell>
        </row>
        <row r="69">
          <cell r="A69">
            <v>368822</v>
          </cell>
          <cell r="B69" t="str">
            <v>Water rates</v>
          </cell>
          <cell r="F69">
            <v>364804</v>
          </cell>
          <cell r="G69" t="str">
            <v>Repairs - fixtures</v>
          </cell>
          <cell r="H69">
            <v>29.5</v>
          </cell>
          <cell r="K69">
            <v>364804</v>
          </cell>
          <cell r="L69" t="str">
            <v>Repairs - fixtures</v>
          </cell>
          <cell r="M69">
            <v>29.5</v>
          </cell>
          <cell r="P69">
            <v>364804</v>
          </cell>
          <cell r="Q69" t="str">
            <v>Repairs - fixtures</v>
          </cell>
          <cell r="R69">
            <v>162.9</v>
          </cell>
          <cell r="U69">
            <v>364804</v>
          </cell>
          <cell r="V69" t="str">
            <v>Repairs - fixtures</v>
          </cell>
          <cell r="W69">
            <v>636.5</v>
          </cell>
          <cell r="Z69">
            <v>364804</v>
          </cell>
          <cell r="AA69" t="str">
            <v>Repairs - fixtures</v>
          </cell>
          <cell r="AB69">
            <v>666</v>
          </cell>
          <cell r="AE69">
            <v>363793</v>
          </cell>
          <cell r="AF69" t="str">
            <v>Repairs - property</v>
          </cell>
          <cell r="AG69">
            <v>1122.8800000000001</v>
          </cell>
          <cell r="AJ69">
            <v>361108</v>
          </cell>
          <cell r="AK69" t="str">
            <v>Rent</v>
          </cell>
          <cell r="AL69">
            <v>29584.18</v>
          </cell>
          <cell r="AO69">
            <v>361108</v>
          </cell>
          <cell r="AP69" t="str">
            <v>Rent</v>
          </cell>
          <cell r="AQ69">
            <v>52195.08</v>
          </cell>
          <cell r="AT69">
            <v>352603</v>
          </cell>
          <cell r="AU69" t="str">
            <v>Subscriptions - professional</v>
          </cell>
          <cell r="AV69">
            <v>5396.5</v>
          </cell>
          <cell r="AY69">
            <v>342890</v>
          </cell>
          <cell r="AZ69" t="str">
            <v>Courier charges</v>
          </cell>
          <cell r="BA69">
            <v>1632.08</v>
          </cell>
          <cell r="BD69">
            <v>342887</v>
          </cell>
          <cell r="BE69" t="str">
            <v>Postages</v>
          </cell>
          <cell r="BF69">
            <v>503.28</v>
          </cell>
          <cell r="BI69">
            <v>342699</v>
          </cell>
          <cell r="BJ69" t="str">
            <v>Cleaning and caretaker</v>
          </cell>
          <cell r="BK69">
            <v>9071.0499999999993</v>
          </cell>
        </row>
        <row r="70">
          <cell r="A70">
            <v>370499</v>
          </cell>
          <cell r="B70" t="str">
            <v>Travel - meals &amp; entertaining</v>
          </cell>
          <cell r="F70">
            <v>368820</v>
          </cell>
          <cell r="G70" t="str">
            <v>Light &amp; heat</v>
          </cell>
          <cell r="H70">
            <v>461.11</v>
          </cell>
          <cell r="K70">
            <v>368820</v>
          </cell>
          <cell r="L70" t="str">
            <v>Light &amp; heat</v>
          </cell>
          <cell r="M70">
            <v>1136.1099999999999</v>
          </cell>
          <cell r="P70">
            <v>368820</v>
          </cell>
          <cell r="Q70" t="str">
            <v>Light &amp; heat</v>
          </cell>
          <cell r="R70">
            <v>1811.11</v>
          </cell>
          <cell r="U70">
            <v>368820</v>
          </cell>
          <cell r="V70" t="str">
            <v>Light &amp; heat</v>
          </cell>
          <cell r="W70">
            <v>461.11</v>
          </cell>
          <cell r="Z70">
            <v>368820</v>
          </cell>
          <cell r="AA70" t="str">
            <v>Light &amp; heat</v>
          </cell>
          <cell r="AB70">
            <v>1759.39</v>
          </cell>
          <cell r="AE70">
            <v>364804</v>
          </cell>
          <cell r="AF70" t="str">
            <v>Repairs - fixtures</v>
          </cell>
          <cell r="AG70">
            <v>695.5</v>
          </cell>
          <cell r="AJ70">
            <v>362841</v>
          </cell>
          <cell r="AK70" t="str">
            <v>Equipment rental</v>
          </cell>
          <cell r="AL70">
            <v>1868.26</v>
          </cell>
          <cell r="AO70">
            <v>362841</v>
          </cell>
          <cell r="AP70" t="str">
            <v>Equipment rental</v>
          </cell>
          <cell r="AQ70">
            <v>2308.38</v>
          </cell>
          <cell r="AT70">
            <v>354490</v>
          </cell>
          <cell r="AU70" t="str">
            <v>Insurance</v>
          </cell>
          <cell r="AV70">
            <v>1458.18</v>
          </cell>
          <cell r="AY70">
            <v>352603</v>
          </cell>
          <cell r="AZ70" t="str">
            <v>Subscriptions - professional</v>
          </cell>
          <cell r="BA70">
            <v>5650.06</v>
          </cell>
          <cell r="BD70">
            <v>342890</v>
          </cell>
          <cell r="BE70" t="str">
            <v>Courier charges</v>
          </cell>
          <cell r="BF70">
            <v>5231.38</v>
          </cell>
          <cell r="BI70">
            <v>342887</v>
          </cell>
          <cell r="BJ70" t="str">
            <v>Postages</v>
          </cell>
          <cell r="BK70">
            <v>633.69000000000005</v>
          </cell>
        </row>
        <row r="71">
          <cell r="A71">
            <v>370500</v>
          </cell>
          <cell r="B71" t="str">
            <v>Travel - hotels &amp; rental cars</v>
          </cell>
          <cell r="F71">
            <v>368822</v>
          </cell>
          <cell r="G71" t="str">
            <v>Water rates</v>
          </cell>
          <cell r="K71">
            <v>368822</v>
          </cell>
          <cell r="L71" t="str">
            <v>Water rates</v>
          </cell>
          <cell r="P71">
            <v>368822</v>
          </cell>
          <cell r="Q71" t="str">
            <v>Water rates</v>
          </cell>
          <cell r="R71">
            <v>395.27</v>
          </cell>
          <cell r="U71">
            <v>368822</v>
          </cell>
          <cell r="V71" t="str">
            <v>Water rates</v>
          </cell>
          <cell r="W71">
            <v>395.27</v>
          </cell>
          <cell r="Z71">
            <v>368822</v>
          </cell>
          <cell r="AA71" t="str">
            <v>Water rates</v>
          </cell>
          <cell r="AB71">
            <v>395.27</v>
          </cell>
          <cell r="AE71">
            <v>368820</v>
          </cell>
          <cell r="AF71" t="str">
            <v>Light &amp; heat</v>
          </cell>
          <cell r="AG71">
            <v>1808.08</v>
          </cell>
          <cell r="AJ71">
            <v>363793</v>
          </cell>
          <cell r="AK71" t="str">
            <v>Repairs - property</v>
          </cell>
          <cell r="AL71">
            <v>1712.88</v>
          </cell>
          <cell r="AO71">
            <v>363793</v>
          </cell>
          <cell r="AP71" t="str">
            <v>Repairs - property</v>
          </cell>
          <cell r="AQ71">
            <v>1892.88</v>
          </cell>
          <cell r="AT71">
            <v>361108</v>
          </cell>
          <cell r="AU71" t="str">
            <v>Rent</v>
          </cell>
          <cell r="AV71">
            <v>52195.08</v>
          </cell>
          <cell r="AY71">
            <v>354490</v>
          </cell>
          <cell r="AZ71" t="str">
            <v>Insurance</v>
          </cell>
          <cell r="BA71">
            <v>2878.18</v>
          </cell>
          <cell r="BD71">
            <v>352603</v>
          </cell>
          <cell r="BE71" t="str">
            <v>Subscriptions - professional</v>
          </cell>
          <cell r="BF71">
            <v>5650.06</v>
          </cell>
          <cell r="BI71">
            <v>342890</v>
          </cell>
          <cell r="BJ71" t="str">
            <v>Courier charges</v>
          </cell>
          <cell r="BK71">
            <v>5231.38</v>
          </cell>
        </row>
        <row r="72">
          <cell r="A72">
            <v>370514</v>
          </cell>
          <cell r="B72" t="str">
            <v>Meeting expenses</v>
          </cell>
          <cell r="C72">
            <v>54.8</v>
          </cell>
          <cell r="F72">
            <v>370499</v>
          </cell>
          <cell r="G72" t="str">
            <v>Travel - meals &amp; entertaining</v>
          </cell>
          <cell r="H72">
            <v>264.99</v>
          </cell>
          <cell r="K72">
            <v>370499</v>
          </cell>
          <cell r="L72" t="str">
            <v>Travel - meals &amp; entertaining</v>
          </cell>
          <cell r="M72">
            <v>79.5</v>
          </cell>
          <cell r="P72">
            <v>370499</v>
          </cell>
          <cell r="Q72" t="str">
            <v>Travel - meals &amp; entertaining</v>
          </cell>
          <cell r="R72">
            <v>7273.95</v>
          </cell>
          <cell r="U72">
            <v>370499</v>
          </cell>
          <cell r="V72" t="str">
            <v>Travel - meals &amp; entertaining</v>
          </cell>
          <cell r="W72">
            <v>8100.86</v>
          </cell>
          <cell r="Z72">
            <v>370499</v>
          </cell>
          <cell r="AA72" t="str">
            <v>Travel - meals &amp; entertaining</v>
          </cell>
          <cell r="AB72">
            <v>8824.0400000000009</v>
          </cell>
          <cell r="AE72">
            <v>368822</v>
          </cell>
          <cell r="AF72" t="str">
            <v>Water rates</v>
          </cell>
          <cell r="AG72">
            <v>395.27</v>
          </cell>
          <cell r="AJ72">
            <v>364804</v>
          </cell>
          <cell r="AK72" t="str">
            <v>Repairs - fixtures</v>
          </cell>
          <cell r="AL72">
            <v>822.89</v>
          </cell>
          <cell r="AO72">
            <v>364804</v>
          </cell>
          <cell r="AP72" t="str">
            <v>Repairs - fixtures</v>
          </cell>
          <cell r="AQ72">
            <v>862.39</v>
          </cell>
          <cell r="AT72">
            <v>362841</v>
          </cell>
          <cell r="AU72" t="str">
            <v>Equipment rental</v>
          </cell>
          <cell r="AV72">
            <v>2308.38</v>
          </cell>
          <cell r="AY72">
            <v>361108</v>
          </cell>
          <cell r="AZ72" t="str">
            <v>Rent</v>
          </cell>
          <cell r="BA72">
            <v>55369.08</v>
          </cell>
          <cell r="BD72">
            <v>354490</v>
          </cell>
          <cell r="BE72" t="str">
            <v>Insurance</v>
          </cell>
          <cell r="BF72">
            <v>1458.18</v>
          </cell>
          <cell r="BI72">
            <v>352603</v>
          </cell>
          <cell r="BJ72" t="str">
            <v>Subscriptions - professional</v>
          </cell>
          <cell r="BK72">
            <v>8150.06</v>
          </cell>
        </row>
        <row r="73">
          <cell r="A73">
            <v>4000</v>
          </cell>
          <cell r="B73" t="str">
            <v>Commissions - sales</v>
          </cell>
          <cell r="F73">
            <v>370500</v>
          </cell>
          <cell r="G73" t="str">
            <v>Travel - hotels &amp; rental cars</v>
          </cell>
          <cell r="H73">
            <v>3939.13</v>
          </cell>
          <cell r="K73">
            <v>370500</v>
          </cell>
          <cell r="L73" t="str">
            <v>Travel - hotels &amp; rental cars</v>
          </cell>
          <cell r="M73">
            <v>1804.93</v>
          </cell>
          <cell r="P73">
            <v>370500</v>
          </cell>
          <cell r="Q73" t="str">
            <v>Travel - hotels &amp; rental cars</v>
          </cell>
          <cell r="R73">
            <v>12432.47</v>
          </cell>
          <cell r="U73">
            <v>370500</v>
          </cell>
          <cell r="V73" t="str">
            <v>Travel - hotels &amp; rental cars</v>
          </cell>
          <cell r="W73">
            <v>17140.02</v>
          </cell>
          <cell r="Z73">
            <v>370500</v>
          </cell>
          <cell r="AA73" t="str">
            <v>Travel - hotels &amp; rental cars</v>
          </cell>
          <cell r="AB73">
            <v>20788.98</v>
          </cell>
          <cell r="AE73">
            <v>369981</v>
          </cell>
          <cell r="AF73" t="str">
            <v>Public relations</v>
          </cell>
          <cell r="AG73">
            <v>735.75</v>
          </cell>
          <cell r="AJ73">
            <v>368820</v>
          </cell>
          <cell r="AK73" t="str">
            <v>Light &amp; heat</v>
          </cell>
          <cell r="AL73">
            <v>1367.49</v>
          </cell>
          <cell r="AO73">
            <v>368820</v>
          </cell>
          <cell r="AP73" t="str">
            <v>Light &amp; heat</v>
          </cell>
          <cell r="AQ73">
            <v>1476.52</v>
          </cell>
          <cell r="AT73">
            <v>363793</v>
          </cell>
          <cell r="AU73" t="str">
            <v>Repairs - property</v>
          </cell>
          <cell r="AV73">
            <v>2252.88</v>
          </cell>
          <cell r="AY73">
            <v>362841</v>
          </cell>
          <cell r="AZ73" t="str">
            <v>Equipment rental</v>
          </cell>
          <cell r="BA73">
            <v>2308.38</v>
          </cell>
          <cell r="BD73">
            <v>361108</v>
          </cell>
          <cell r="BE73" t="str">
            <v>Rent</v>
          </cell>
          <cell r="BF73">
            <v>58543.08</v>
          </cell>
          <cell r="BI73">
            <v>354490</v>
          </cell>
          <cell r="BJ73" t="str">
            <v>Insurance</v>
          </cell>
          <cell r="BK73">
            <v>1460.26</v>
          </cell>
        </row>
        <row r="74">
          <cell r="A74">
            <v>4100</v>
          </cell>
          <cell r="B74" t="str">
            <v>Commissions - purchases</v>
          </cell>
          <cell r="F74">
            <v>370501</v>
          </cell>
          <cell r="G74" t="str">
            <v>Travel - air fares</v>
          </cell>
          <cell r="H74">
            <v>5012.42</v>
          </cell>
          <cell r="K74">
            <v>370501</v>
          </cell>
          <cell r="L74" t="str">
            <v>Travel - air fares</v>
          </cell>
          <cell r="M74">
            <v>288.62</v>
          </cell>
          <cell r="P74">
            <v>370501</v>
          </cell>
          <cell r="Q74" t="str">
            <v>Travel - air fares</v>
          </cell>
          <cell r="R74">
            <v>499.05</v>
          </cell>
          <cell r="U74">
            <v>370501</v>
          </cell>
          <cell r="V74" t="str">
            <v>Travel - air fares</v>
          </cell>
          <cell r="W74">
            <v>3986.04</v>
          </cell>
          <cell r="Z74">
            <v>370501</v>
          </cell>
          <cell r="AA74" t="str">
            <v>Travel - air fares</v>
          </cell>
          <cell r="AB74">
            <v>4240.88</v>
          </cell>
          <cell r="AE74">
            <v>370499</v>
          </cell>
          <cell r="AF74" t="str">
            <v>Travel - meals &amp; entertaining</v>
          </cell>
          <cell r="AG74">
            <v>9028.93</v>
          </cell>
          <cell r="AJ74">
            <v>368822</v>
          </cell>
          <cell r="AK74" t="str">
            <v>Water rates</v>
          </cell>
          <cell r="AL74">
            <v>395.27</v>
          </cell>
          <cell r="AO74">
            <v>368822</v>
          </cell>
          <cell r="AP74" t="str">
            <v>Water rates</v>
          </cell>
          <cell r="AQ74">
            <v>167.15</v>
          </cell>
          <cell r="AT74">
            <v>364804</v>
          </cell>
          <cell r="AU74" t="str">
            <v>Repairs - fixtures</v>
          </cell>
          <cell r="AV74">
            <v>941.39</v>
          </cell>
          <cell r="AY74">
            <v>363793</v>
          </cell>
          <cell r="AZ74" t="str">
            <v>Repairs - property</v>
          </cell>
          <cell r="BA74">
            <v>2610.42</v>
          </cell>
          <cell r="BD74">
            <v>362841</v>
          </cell>
          <cell r="BE74" t="str">
            <v>Equipment rental</v>
          </cell>
          <cell r="BF74">
            <v>2748.5</v>
          </cell>
          <cell r="BI74">
            <v>361108</v>
          </cell>
          <cell r="BJ74" t="str">
            <v>Rent</v>
          </cell>
          <cell r="BK74">
            <v>62433.79</v>
          </cell>
        </row>
        <row r="75">
          <cell r="A75">
            <v>5005</v>
          </cell>
          <cell r="B75" t="str">
            <v>Merchandising</v>
          </cell>
          <cell r="D75">
            <v>2250</v>
          </cell>
          <cell r="F75">
            <v>370514</v>
          </cell>
          <cell r="G75" t="str">
            <v>Meeting expenses</v>
          </cell>
          <cell r="H75">
            <v>54.8</v>
          </cell>
          <cell r="K75">
            <v>370514</v>
          </cell>
          <cell r="L75" t="str">
            <v>Meeting expenses</v>
          </cell>
          <cell r="M75">
            <v>54.8</v>
          </cell>
          <cell r="P75">
            <v>370514</v>
          </cell>
          <cell r="Q75" t="str">
            <v>Meeting expenses</v>
          </cell>
          <cell r="R75">
            <v>1054.8</v>
          </cell>
          <cell r="U75">
            <v>370514</v>
          </cell>
          <cell r="V75" t="str">
            <v>Meeting expenses</v>
          </cell>
          <cell r="W75">
            <v>1054.8</v>
          </cell>
          <cell r="Z75">
            <v>370514</v>
          </cell>
          <cell r="AA75" t="str">
            <v>Meeting expenses</v>
          </cell>
          <cell r="AB75">
            <v>1054.8</v>
          </cell>
          <cell r="AE75">
            <v>370500</v>
          </cell>
          <cell r="AF75" t="str">
            <v>Travel - hotels &amp; rental cars</v>
          </cell>
          <cell r="AG75">
            <v>25613.22</v>
          </cell>
          <cell r="AJ75">
            <v>369981</v>
          </cell>
          <cell r="AK75" t="str">
            <v>Public relations</v>
          </cell>
          <cell r="AL75">
            <v>735.75</v>
          </cell>
          <cell r="AO75">
            <v>369981</v>
          </cell>
          <cell r="AP75" t="str">
            <v>Public relations</v>
          </cell>
          <cell r="AQ75">
            <v>735.75</v>
          </cell>
          <cell r="AT75">
            <v>368820</v>
          </cell>
          <cell r="AU75" t="str">
            <v>Light &amp; heat</v>
          </cell>
          <cell r="AV75">
            <v>1499.8</v>
          </cell>
          <cell r="AY75">
            <v>364804</v>
          </cell>
          <cell r="AZ75" t="str">
            <v>Repairs - fixtures</v>
          </cell>
          <cell r="BA75">
            <v>970.89</v>
          </cell>
          <cell r="BD75">
            <v>363793</v>
          </cell>
          <cell r="BE75" t="str">
            <v>Repairs - property</v>
          </cell>
          <cell r="BF75">
            <v>2610.42</v>
          </cell>
          <cell r="BI75">
            <v>362841</v>
          </cell>
          <cell r="BJ75" t="str">
            <v>Equipment rental</v>
          </cell>
          <cell r="BK75">
            <v>2748.5</v>
          </cell>
        </row>
        <row r="76">
          <cell r="A76">
            <v>5200</v>
          </cell>
          <cell r="B76" t="str">
            <v>Opening Stock</v>
          </cell>
          <cell r="C76">
            <v>163987.15</v>
          </cell>
          <cell r="F76">
            <v>4000</v>
          </cell>
          <cell r="G76" t="str">
            <v>Commissions - sales</v>
          </cell>
          <cell r="K76">
            <v>4000</v>
          </cell>
          <cell r="L76" t="str">
            <v>Commissions - sales</v>
          </cell>
          <cell r="P76">
            <v>4000</v>
          </cell>
          <cell r="Q76" t="str">
            <v>Commissions - sales</v>
          </cell>
          <cell r="U76">
            <v>4000</v>
          </cell>
          <cell r="V76" t="str">
            <v>Commissions - sales</v>
          </cell>
          <cell r="Z76">
            <v>4000</v>
          </cell>
          <cell r="AA76" t="str">
            <v>Commissions - sales</v>
          </cell>
          <cell r="AE76">
            <v>370501</v>
          </cell>
          <cell r="AF76" t="str">
            <v>Travel - air fares</v>
          </cell>
          <cell r="AG76">
            <v>5153.3900000000003</v>
          </cell>
          <cell r="AJ76">
            <v>370499</v>
          </cell>
          <cell r="AK76" t="str">
            <v>Travel - meals &amp; entertaining</v>
          </cell>
          <cell r="AL76">
            <v>9607</v>
          </cell>
          <cell r="AO76">
            <v>370499</v>
          </cell>
          <cell r="AP76" t="str">
            <v>Travel - meals &amp; entertaining</v>
          </cell>
          <cell r="AQ76">
            <v>9881.39</v>
          </cell>
          <cell r="AT76">
            <v>368822</v>
          </cell>
          <cell r="AU76" t="str">
            <v>Water rates</v>
          </cell>
          <cell r="AV76">
            <v>167.15</v>
          </cell>
          <cell r="AY76">
            <v>368820</v>
          </cell>
          <cell r="AZ76" t="str">
            <v>Light &amp; heat</v>
          </cell>
          <cell r="BA76">
            <v>1511.53</v>
          </cell>
          <cell r="BD76">
            <v>364804</v>
          </cell>
          <cell r="BE76" t="str">
            <v>Repairs - fixtures</v>
          </cell>
          <cell r="BF76">
            <v>1000.39</v>
          </cell>
          <cell r="BI76">
            <v>363793</v>
          </cell>
          <cell r="BJ76" t="str">
            <v>Repairs - property</v>
          </cell>
          <cell r="BK76">
            <v>2610.42</v>
          </cell>
        </row>
        <row r="77">
          <cell r="A77">
            <v>7002</v>
          </cell>
          <cell r="B77" t="str">
            <v>Directors Remuneration</v>
          </cell>
          <cell r="C77">
            <v>11195.72</v>
          </cell>
          <cell r="F77">
            <v>4100</v>
          </cell>
          <cell r="G77" t="str">
            <v>Commissions - purchases</v>
          </cell>
          <cell r="K77">
            <v>4100</v>
          </cell>
          <cell r="L77" t="str">
            <v>Commissions - purchases</v>
          </cell>
          <cell r="P77">
            <v>4100</v>
          </cell>
          <cell r="Q77" t="str">
            <v>Commissions - purchases</v>
          </cell>
          <cell r="U77">
            <v>4100</v>
          </cell>
          <cell r="V77" t="str">
            <v>Commissions - purchases</v>
          </cell>
          <cell r="Z77">
            <v>4100</v>
          </cell>
          <cell r="AA77" t="str">
            <v>Commissions - purchases</v>
          </cell>
          <cell r="AE77">
            <v>370514</v>
          </cell>
          <cell r="AF77" t="str">
            <v>Meeting expenses</v>
          </cell>
          <cell r="AG77">
            <v>2365.4299999999998</v>
          </cell>
          <cell r="AJ77">
            <v>370500</v>
          </cell>
          <cell r="AK77" t="str">
            <v>Travel - hotels &amp; rental cars</v>
          </cell>
          <cell r="AL77">
            <v>28181.77</v>
          </cell>
          <cell r="AO77">
            <v>370500</v>
          </cell>
          <cell r="AP77" t="str">
            <v>Travel - hotels &amp; rental cars</v>
          </cell>
          <cell r="AQ77">
            <v>30852.09</v>
          </cell>
          <cell r="AT77">
            <v>369981</v>
          </cell>
          <cell r="AU77" t="str">
            <v>Public relations</v>
          </cell>
          <cell r="AV77">
            <v>735.75</v>
          </cell>
          <cell r="AY77">
            <v>368822</v>
          </cell>
          <cell r="AZ77" t="str">
            <v>Water rates</v>
          </cell>
          <cell r="BA77">
            <v>273.04000000000002</v>
          </cell>
          <cell r="BD77">
            <v>368820</v>
          </cell>
          <cell r="BE77" t="str">
            <v>Light &amp; heat</v>
          </cell>
          <cell r="BF77">
            <v>1769.07</v>
          </cell>
          <cell r="BI77">
            <v>364804</v>
          </cell>
          <cell r="BJ77" t="str">
            <v>Repairs - fixtures</v>
          </cell>
          <cell r="BK77">
            <v>1000.39</v>
          </cell>
        </row>
        <row r="78">
          <cell r="A78">
            <v>7003</v>
          </cell>
          <cell r="B78" t="str">
            <v>Staff Salaries</v>
          </cell>
          <cell r="C78">
            <v>30668.68</v>
          </cell>
          <cell r="F78">
            <v>5005</v>
          </cell>
          <cell r="G78" t="str">
            <v>Merchandising</v>
          </cell>
          <cell r="I78">
            <v>2250</v>
          </cell>
          <cell r="K78">
            <v>5005</v>
          </cell>
          <cell r="L78" t="str">
            <v>Merchandising</v>
          </cell>
          <cell r="N78">
            <v>2250</v>
          </cell>
          <cell r="P78">
            <v>5004</v>
          </cell>
          <cell r="Q78" t="str">
            <v>New store setup</v>
          </cell>
          <cell r="R78">
            <v>4404</v>
          </cell>
          <cell r="U78">
            <v>5004</v>
          </cell>
          <cell r="V78" t="str">
            <v>New store setup</v>
          </cell>
          <cell r="W78">
            <v>7154</v>
          </cell>
          <cell r="Z78">
            <v>5004</v>
          </cell>
          <cell r="AA78" t="str">
            <v>New store setup</v>
          </cell>
          <cell r="AB78">
            <v>7154</v>
          </cell>
          <cell r="AE78">
            <v>4000</v>
          </cell>
          <cell r="AF78" t="str">
            <v>Commissions - sales</v>
          </cell>
          <cell r="AJ78">
            <v>370501</v>
          </cell>
          <cell r="AK78" t="str">
            <v>Travel - air fares</v>
          </cell>
          <cell r="AL78">
            <v>6504.96</v>
          </cell>
          <cell r="AO78">
            <v>370501</v>
          </cell>
          <cell r="AP78" t="str">
            <v>Travel - air fares</v>
          </cell>
          <cell r="AQ78">
            <v>6811.42</v>
          </cell>
          <cell r="AT78">
            <v>370499</v>
          </cell>
          <cell r="AU78" t="str">
            <v>Travel - meals &amp; entertaining</v>
          </cell>
          <cell r="AV78">
            <v>10052.73</v>
          </cell>
          <cell r="AY78">
            <v>369981</v>
          </cell>
          <cell r="AZ78" t="str">
            <v>Public relations</v>
          </cell>
          <cell r="BA78">
            <v>735.75</v>
          </cell>
          <cell r="BD78">
            <v>368822</v>
          </cell>
          <cell r="BE78" t="str">
            <v>Water rates</v>
          </cell>
          <cell r="BF78">
            <v>273.04000000000002</v>
          </cell>
          <cell r="BI78">
            <v>368820</v>
          </cell>
          <cell r="BJ78" t="str">
            <v>Light &amp; heat</v>
          </cell>
          <cell r="BK78">
            <v>1993.01</v>
          </cell>
        </row>
        <row r="79">
          <cell r="A79">
            <v>7007</v>
          </cell>
          <cell r="B79" t="str">
            <v>Pension scheme</v>
          </cell>
          <cell r="D79">
            <v>13630.44</v>
          </cell>
          <cell r="F79">
            <v>5200</v>
          </cell>
          <cell r="G79" t="str">
            <v>Opening Stock</v>
          </cell>
          <cell r="H79">
            <v>163987.15</v>
          </cell>
          <cell r="K79">
            <v>5200</v>
          </cell>
          <cell r="L79" t="str">
            <v>Opening Stock</v>
          </cell>
          <cell r="M79">
            <v>163987.15</v>
          </cell>
          <cell r="P79">
            <v>5005</v>
          </cell>
          <cell r="Q79" t="str">
            <v>Merchandising</v>
          </cell>
          <cell r="U79">
            <v>5005</v>
          </cell>
          <cell r="V79" t="str">
            <v>Merchandising</v>
          </cell>
          <cell r="Z79">
            <v>5005</v>
          </cell>
          <cell r="AA79" t="str">
            <v>Merchandising</v>
          </cell>
          <cell r="AE79">
            <v>4100</v>
          </cell>
          <cell r="AF79" t="str">
            <v>Commissions - purchases</v>
          </cell>
          <cell r="AJ79">
            <v>370514</v>
          </cell>
          <cell r="AK79" t="str">
            <v>Meeting expenses</v>
          </cell>
          <cell r="AL79">
            <v>3365.43</v>
          </cell>
          <cell r="AO79">
            <v>370514</v>
          </cell>
          <cell r="AP79" t="str">
            <v>Meeting expenses</v>
          </cell>
          <cell r="AQ79">
            <v>7475.63</v>
          </cell>
          <cell r="AT79">
            <v>370500</v>
          </cell>
          <cell r="AU79" t="str">
            <v>Travel - hotels &amp; rental cars</v>
          </cell>
          <cell r="AV79">
            <v>32741.25</v>
          </cell>
          <cell r="AY79">
            <v>370499</v>
          </cell>
          <cell r="AZ79" t="str">
            <v>Travel - meals &amp; entertaining</v>
          </cell>
          <cell r="BA79">
            <v>10188.049999999999</v>
          </cell>
          <cell r="BD79">
            <v>369981</v>
          </cell>
          <cell r="BE79" t="str">
            <v>Public relations</v>
          </cell>
          <cell r="BF79">
            <v>735.75</v>
          </cell>
          <cell r="BI79">
            <v>368822</v>
          </cell>
          <cell r="BJ79" t="str">
            <v>Water rates</v>
          </cell>
          <cell r="BK79">
            <v>273.04000000000002</v>
          </cell>
        </row>
        <row r="80">
          <cell r="A80">
            <v>7008</v>
          </cell>
          <cell r="B80" t="str">
            <v>Staff health scheme</v>
          </cell>
          <cell r="C80">
            <v>1120.52</v>
          </cell>
          <cell r="F80">
            <v>6900</v>
          </cell>
          <cell r="G80" t="str">
            <v>Miscellaneous Expenses</v>
          </cell>
          <cell r="H80">
            <v>1200</v>
          </cell>
          <cell r="K80">
            <v>6900</v>
          </cell>
          <cell r="L80" t="str">
            <v>Miscellaneous Expenses</v>
          </cell>
          <cell r="M80">
            <v>1200</v>
          </cell>
          <cell r="P80">
            <v>5200</v>
          </cell>
          <cell r="Q80" t="str">
            <v>Opening Stock</v>
          </cell>
          <cell r="R80">
            <v>163987.15</v>
          </cell>
          <cell r="U80">
            <v>5200</v>
          </cell>
          <cell r="V80" t="str">
            <v>Opening Stock</v>
          </cell>
          <cell r="W80">
            <v>163987.15</v>
          </cell>
          <cell r="Z80">
            <v>5200</v>
          </cell>
          <cell r="AA80" t="str">
            <v>Opening Stock</v>
          </cell>
          <cell r="AB80">
            <v>163987.15</v>
          </cell>
          <cell r="AE80">
            <v>5004</v>
          </cell>
          <cell r="AF80" t="str">
            <v>New store setup</v>
          </cell>
          <cell r="AG80">
            <v>7154</v>
          </cell>
          <cell r="AJ80">
            <v>4000</v>
          </cell>
          <cell r="AK80" t="str">
            <v>Commissions - sales</v>
          </cell>
          <cell r="AO80">
            <v>391980</v>
          </cell>
          <cell r="AP80" t="str">
            <v>I/C charges corp.</v>
          </cell>
          <cell r="AR80">
            <v>1014341.02</v>
          </cell>
          <cell r="AT80">
            <v>370501</v>
          </cell>
          <cell r="AU80" t="str">
            <v>Travel - air fares</v>
          </cell>
          <cell r="AV80">
            <v>6811.42</v>
          </cell>
          <cell r="AY80">
            <v>370500</v>
          </cell>
          <cell r="AZ80" t="str">
            <v>Travel - hotels &amp; rental cars</v>
          </cell>
          <cell r="BA80">
            <v>34458</v>
          </cell>
          <cell r="BD80">
            <v>370499</v>
          </cell>
          <cell r="BE80" t="str">
            <v>Travel - meals &amp; entertaining</v>
          </cell>
          <cell r="BF80">
            <v>10692.48</v>
          </cell>
          <cell r="BI80">
            <v>369981</v>
          </cell>
          <cell r="BJ80" t="str">
            <v>Public relations</v>
          </cell>
          <cell r="BK80">
            <v>735.75</v>
          </cell>
        </row>
        <row r="81">
          <cell r="A81">
            <v>7103</v>
          </cell>
          <cell r="B81" t="str">
            <v>General Rates</v>
          </cell>
          <cell r="C81">
            <v>664.37</v>
          </cell>
          <cell r="F81">
            <v>7002</v>
          </cell>
          <cell r="G81" t="str">
            <v>Directors Remuneration</v>
          </cell>
          <cell r="H81">
            <v>34573.83</v>
          </cell>
          <cell r="K81">
            <v>7002</v>
          </cell>
          <cell r="L81" t="str">
            <v>Directors Remuneration</v>
          </cell>
          <cell r="M81">
            <v>22391.43</v>
          </cell>
          <cell r="P81">
            <v>5201</v>
          </cell>
          <cell r="Q81" t="str">
            <v>Closing Stock</v>
          </cell>
          <cell r="S81">
            <v>309720.08</v>
          </cell>
          <cell r="U81">
            <v>5201</v>
          </cell>
          <cell r="V81" t="str">
            <v>Closing Stock</v>
          </cell>
          <cell r="X81">
            <v>309720.08</v>
          </cell>
          <cell r="Z81">
            <v>5201</v>
          </cell>
          <cell r="AA81" t="str">
            <v>Closing Stock</v>
          </cell>
          <cell r="AC81">
            <v>258172.89</v>
          </cell>
          <cell r="AE81">
            <v>5005</v>
          </cell>
          <cell r="AF81" t="str">
            <v>Merchandising</v>
          </cell>
          <cell r="AJ81">
            <v>4100</v>
          </cell>
          <cell r="AK81" t="str">
            <v>Commissions - purchases</v>
          </cell>
          <cell r="AO81">
            <v>4000</v>
          </cell>
          <cell r="AP81" t="str">
            <v>Commissions - sales</v>
          </cell>
          <cell r="AT81">
            <v>370514</v>
          </cell>
          <cell r="AU81" t="str">
            <v>Meeting expenses</v>
          </cell>
          <cell r="AV81">
            <v>8372.6299999999992</v>
          </cell>
          <cell r="AY81">
            <v>370501</v>
          </cell>
          <cell r="AZ81" t="str">
            <v>Travel - air fares</v>
          </cell>
          <cell r="BA81">
            <v>6811.42</v>
          </cell>
          <cell r="BD81">
            <v>370500</v>
          </cell>
          <cell r="BE81" t="str">
            <v>Travel - hotels &amp; rental cars</v>
          </cell>
          <cell r="BF81">
            <v>41435.11</v>
          </cell>
          <cell r="BI81">
            <v>370499</v>
          </cell>
          <cell r="BJ81" t="str">
            <v>Travel - meals &amp; entertaining</v>
          </cell>
          <cell r="BK81">
            <v>10683.22</v>
          </cell>
        </row>
        <row r="82">
          <cell r="A82">
            <v>7601</v>
          </cell>
          <cell r="B82" t="str">
            <v>Audit and Accountancy Fees</v>
          </cell>
          <cell r="D82">
            <v>1500</v>
          </cell>
          <cell r="F82">
            <v>7003</v>
          </cell>
          <cell r="G82" t="str">
            <v>Staff Salaries</v>
          </cell>
          <cell r="H82">
            <v>95768.08</v>
          </cell>
          <cell r="K82">
            <v>7003</v>
          </cell>
          <cell r="L82" t="str">
            <v>Staff Salaries</v>
          </cell>
          <cell r="M82">
            <v>61358.01</v>
          </cell>
          <cell r="P82">
            <v>6900</v>
          </cell>
          <cell r="Q82" t="str">
            <v>Miscellaneous Expenses</v>
          </cell>
          <cell r="U82">
            <v>6900</v>
          </cell>
          <cell r="V82" t="str">
            <v>Miscellaneous Expenses</v>
          </cell>
          <cell r="Z82">
            <v>6900</v>
          </cell>
          <cell r="AA82" t="str">
            <v>Miscellaneous Expenses</v>
          </cell>
          <cell r="AE82">
            <v>5200</v>
          </cell>
          <cell r="AF82" t="str">
            <v>Opening Stock</v>
          </cell>
          <cell r="AG82">
            <v>163987.15</v>
          </cell>
          <cell r="AJ82">
            <v>4901</v>
          </cell>
          <cell r="AK82" t="str">
            <v>Interest Received</v>
          </cell>
          <cell r="AO82">
            <v>4100</v>
          </cell>
          <cell r="AP82" t="str">
            <v>Commissions - purchases</v>
          </cell>
          <cell r="AT82">
            <v>391980</v>
          </cell>
          <cell r="AU82" t="str">
            <v>I/C charges corp.</v>
          </cell>
          <cell r="AW82">
            <v>1014341.02</v>
          </cell>
          <cell r="AY82">
            <v>370514</v>
          </cell>
          <cell r="AZ82" t="str">
            <v>Meeting expenses</v>
          </cell>
          <cell r="BA82">
            <v>8372.6299999999992</v>
          </cell>
          <cell r="BD82">
            <v>370501</v>
          </cell>
          <cell r="BE82" t="str">
            <v>Travel - air fares</v>
          </cell>
          <cell r="BF82">
            <v>9765.27</v>
          </cell>
          <cell r="BI82">
            <v>370500</v>
          </cell>
          <cell r="BJ82" t="str">
            <v>Travel - hotels &amp; rental cars</v>
          </cell>
          <cell r="BK82">
            <v>53532.74</v>
          </cell>
        </row>
        <row r="83">
          <cell r="A83">
            <v>7901</v>
          </cell>
          <cell r="B83" t="str">
            <v>Bank Charges</v>
          </cell>
          <cell r="C83">
            <v>6</v>
          </cell>
          <cell r="F83">
            <v>7007</v>
          </cell>
          <cell r="G83" t="str">
            <v>Pension scheme</v>
          </cell>
          <cell r="I83">
            <v>12130</v>
          </cell>
          <cell r="K83">
            <v>7007</v>
          </cell>
          <cell r="L83" t="str">
            <v>Pension scheme</v>
          </cell>
          <cell r="N83">
            <v>12350.88</v>
          </cell>
          <cell r="P83">
            <v>7001</v>
          </cell>
          <cell r="Q83" t="str">
            <v>Directors bonuses</v>
          </cell>
          <cell r="R83">
            <v>4313.42</v>
          </cell>
          <cell r="U83">
            <v>7001</v>
          </cell>
          <cell r="V83" t="str">
            <v>Directors bonuses</v>
          </cell>
          <cell r="W83">
            <v>4313.42</v>
          </cell>
          <cell r="Z83">
            <v>7001</v>
          </cell>
          <cell r="AA83" t="str">
            <v>Directors bonuses</v>
          </cell>
          <cell r="AB83">
            <v>4313.42</v>
          </cell>
          <cell r="AE83">
            <v>5201</v>
          </cell>
          <cell r="AF83" t="str">
            <v>Closing Stock</v>
          </cell>
          <cell r="AH83">
            <v>258172.89</v>
          </cell>
          <cell r="AJ83">
            <v>5004</v>
          </cell>
          <cell r="AK83" t="str">
            <v>New store setup</v>
          </cell>
          <cell r="AL83">
            <v>7154</v>
          </cell>
          <cell r="AO83">
            <v>4901</v>
          </cell>
          <cell r="AP83" t="str">
            <v>Interest Received</v>
          </cell>
          <cell r="AT83">
            <v>4000</v>
          </cell>
          <cell r="AU83" t="str">
            <v>Commissions - sales</v>
          </cell>
          <cell r="AY83">
            <v>391980</v>
          </cell>
          <cell r="AZ83" t="str">
            <v>I/C charges corp.</v>
          </cell>
          <cell r="BB83">
            <v>1014341.02</v>
          </cell>
          <cell r="BD83">
            <v>370514</v>
          </cell>
          <cell r="BE83" t="str">
            <v>Meeting expenses</v>
          </cell>
          <cell r="BF83">
            <v>10195.44</v>
          </cell>
          <cell r="BI83">
            <v>370501</v>
          </cell>
          <cell r="BJ83" t="str">
            <v>Travel - air fares</v>
          </cell>
          <cell r="BK83">
            <v>12554.15</v>
          </cell>
        </row>
        <row r="84">
          <cell r="A84">
            <v>8000</v>
          </cell>
          <cell r="B84" t="str">
            <v>Depreciation</v>
          </cell>
          <cell r="C84">
            <v>8.07</v>
          </cell>
          <cell r="F84">
            <v>7008</v>
          </cell>
          <cell r="G84" t="str">
            <v>Staff health scheme</v>
          </cell>
          <cell r="H84">
            <v>1469.24</v>
          </cell>
          <cell r="K84">
            <v>7008</v>
          </cell>
          <cell r="L84" t="str">
            <v>Staff health scheme</v>
          </cell>
          <cell r="M84">
            <v>1581.66</v>
          </cell>
          <cell r="P84">
            <v>7002</v>
          </cell>
          <cell r="Q84" t="str">
            <v>Directors Remuneration</v>
          </cell>
          <cell r="R84">
            <v>44782.87</v>
          </cell>
          <cell r="U84">
            <v>7002</v>
          </cell>
          <cell r="V84" t="str">
            <v>Directors Remuneration</v>
          </cell>
          <cell r="W84">
            <v>55978.58</v>
          </cell>
          <cell r="Z84">
            <v>7002</v>
          </cell>
          <cell r="AA84" t="str">
            <v>Directors Remuneration</v>
          </cell>
          <cell r="AB84">
            <v>66174.3</v>
          </cell>
          <cell r="AE84">
            <v>6900</v>
          </cell>
          <cell r="AF84" t="str">
            <v>Miscellaneous Expenses</v>
          </cell>
          <cell r="AJ84">
            <v>5005</v>
          </cell>
          <cell r="AK84" t="str">
            <v>Merchandising</v>
          </cell>
          <cell r="AO84">
            <v>5000</v>
          </cell>
          <cell r="AP84" t="str">
            <v>Materials Purchased</v>
          </cell>
          <cell r="AT84">
            <v>4100</v>
          </cell>
          <cell r="AU84" t="str">
            <v>Commissions - purchases</v>
          </cell>
          <cell r="AY84">
            <v>4000</v>
          </cell>
          <cell r="AZ84" t="str">
            <v>Commissions - sales</v>
          </cell>
          <cell r="BD84">
            <v>391980</v>
          </cell>
          <cell r="BE84" t="str">
            <v>I/C charges corp.</v>
          </cell>
          <cell r="BG84">
            <v>1014341.02</v>
          </cell>
          <cell r="BI84">
            <v>370514</v>
          </cell>
          <cell r="BJ84" t="str">
            <v>Meeting expenses</v>
          </cell>
          <cell r="BK84">
            <v>10518.33</v>
          </cell>
        </row>
        <row r="85">
          <cell r="A85">
            <v>8001</v>
          </cell>
          <cell r="B85" t="str">
            <v>Plant/Machinery Depreciation</v>
          </cell>
          <cell r="C85">
            <v>57.93</v>
          </cell>
          <cell r="F85">
            <v>7012</v>
          </cell>
          <cell r="G85" t="str">
            <v>Permanent Health insurance</v>
          </cell>
          <cell r="H85">
            <v>941.28</v>
          </cell>
          <cell r="K85">
            <v>7012</v>
          </cell>
          <cell r="L85" t="str">
            <v>Permanent Health insurance</v>
          </cell>
          <cell r="M85">
            <v>941.28</v>
          </cell>
          <cell r="P85">
            <v>7003</v>
          </cell>
          <cell r="Q85" t="str">
            <v>Staff Salaries</v>
          </cell>
          <cell r="R85">
            <v>122674.7</v>
          </cell>
          <cell r="U85">
            <v>7003</v>
          </cell>
          <cell r="V85" t="str">
            <v>Staff Salaries</v>
          </cell>
          <cell r="W85">
            <v>153343.38</v>
          </cell>
          <cell r="Z85">
            <v>7003</v>
          </cell>
          <cell r="AA85" t="str">
            <v>Staff Salaries</v>
          </cell>
          <cell r="AB85">
            <v>184012.05</v>
          </cell>
          <cell r="AE85">
            <v>7001</v>
          </cell>
          <cell r="AF85" t="str">
            <v>Directors bonuses</v>
          </cell>
          <cell r="AG85">
            <v>4313.42</v>
          </cell>
          <cell r="AJ85">
            <v>5200</v>
          </cell>
          <cell r="AK85" t="str">
            <v>Opening Stock</v>
          </cell>
          <cell r="AL85">
            <v>163987.15</v>
          </cell>
          <cell r="AO85">
            <v>5004</v>
          </cell>
          <cell r="AP85" t="str">
            <v>New store setup</v>
          </cell>
          <cell r="AQ85">
            <v>7154</v>
          </cell>
          <cell r="AT85">
            <v>4901</v>
          </cell>
          <cell r="AU85" t="str">
            <v>Interest Received</v>
          </cell>
          <cell r="AY85">
            <v>4100</v>
          </cell>
          <cell r="AZ85" t="str">
            <v>Commissions - purchases</v>
          </cell>
          <cell r="BD85">
            <v>4000</v>
          </cell>
          <cell r="BE85" t="str">
            <v>Commissions - sales</v>
          </cell>
          <cell r="BF85">
            <v>0</v>
          </cell>
          <cell r="BI85">
            <v>391980</v>
          </cell>
          <cell r="BJ85" t="str">
            <v>I/C charges corp.</v>
          </cell>
          <cell r="BL85">
            <v>1014341.02</v>
          </cell>
        </row>
        <row r="86">
          <cell r="A86">
            <v>8002</v>
          </cell>
          <cell r="B86" t="str">
            <v>Furniture/Fitting Depreciation</v>
          </cell>
          <cell r="C86">
            <v>64.010000000000005</v>
          </cell>
          <cell r="F86">
            <v>7103</v>
          </cell>
          <cell r="G86" t="str">
            <v>General Rates</v>
          </cell>
          <cell r="H86">
            <v>1841.73</v>
          </cell>
          <cell r="K86">
            <v>7103</v>
          </cell>
          <cell r="L86" t="str">
            <v>General Rates</v>
          </cell>
          <cell r="M86">
            <v>1237.3599999999999</v>
          </cell>
          <cell r="P86">
            <v>7004</v>
          </cell>
          <cell r="Q86" t="str">
            <v>Redundancy payments</v>
          </cell>
          <cell r="R86">
            <v>3167</v>
          </cell>
          <cell r="U86">
            <v>7004</v>
          </cell>
          <cell r="V86" t="str">
            <v>Redundancy payments</v>
          </cell>
          <cell r="W86">
            <v>3167</v>
          </cell>
          <cell r="Z86">
            <v>7004</v>
          </cell>
          <cell r="AA86" t="str">
            <v>Redundancy payments</v>
          </cell>
          <cell r="AB86">
            <v>3167</v>
          </cell>
          <cell r="AE86">
            <v>7002</v>
          </cell>
          <cell r="AF86" t="str">
            <v>Directors Remuneration</v>
          </cell>
          <cell r="AG86">
            <v>78356.7</v>
          </cell>
          <cell r="AJ86">
            <v>5201</v>
          </cell>
          <cell r="AK86" t="str">
            <v>Closing Stock</v>
          </cell>
          <cell r="AM86">
            <v>258172.89</v>
          </cell>
          <cell r="AO86">
            <v>5005</v>
          </cell>
          <cell r="AP86" t="str">
            <v>Merchandising</v>
          </cell>
          <cell r="AT86">
            <v>5000</v>
          </cell>
          <cell r="AU86" t="str">
            <v>Materials Purchased</v>
          </cell>
          <cell r="AY86">
            <v>4901</v>
          </cell>
          <cell r="AZ86" t="str">
            <v>Interest Received</v>
          </cell>
          <cell r="BD86">
            <v>4100</v>
          </cell>
          <cell r="BE86" t="str">
            <v>Commissions - purchases</v>
          </cell>
          <cell r="BG86">
            <v>0</v>
          </cell>
          <cell r="BI86">
            <v>4000</v>
          </cell>
          <cell r="BJ86" t="str">
            <v>Commissions - sales</v>
          </cell>
        </row>
        <row r="87">
          <cell r="A87">
            <v>8004</v>
          </cell>
          <cell r="B87" t="str">
            <v>Office Equipment Depreciation</v>
          </cell>
          <cell r="C87">
            <v>12.13</v>
          </cell>
          <cell r="F87">
            <v>7601</v>
          </cell>
          <cell r="G87" t="str">
            <v>Audit and Accountancy Fees</v>
          </cell>
          <cell r="K87">
            <v>7601</v>
          </cell>
          <cell r="L87" t="str">
            <v>Audit and Accountancy Fees</v>
          </cell>
          <cell r="P87">
            <v>7005</v>
          </cell>
          <cell r="Q87" t="str">
            <v>Wages - Bonuses</v>
          </cell>
          <cell r="R87">
            <v>16728.93</v>
          </cell>
          <cell r="U87">
            <v>7005</v>
          </cell>
          <cell r="V87" t="str">
            <v>Wages - Bonuses</v>
          </cell>
          <cell r="W87">
            <v>22409.35</v>
          </cell>
          <cell r="Z87">
            <v>7005</v>
          </cell>
          <cell r="AA87" t="str">
            <v>Wages - Bonuses</v>
          </cell>
          <cell r="AB87">
            <v>29945.65</v>
          </cell>
          <cell r="AE87">
            <v>7003</v>
          </cell>
          <cell r="AF87" t="str">
            <v>Staff Salaries</v>
          </cell>
          <cell r="AG87">
            <v>220601.97</v>
          </cell>
          <cell r="AJ87">
            <v>6900</v>
          </cell>
          <cell r="AK87" t="str">
            <v>Miscellaneous Expenses</v>
          </cell>
          <cell r="AO87">
            <v>5200</v>
          </cell>
          <cell r="AP87" t="str">
            <v>Opening Stock</v>
          </cell>
          <cell r="AQ87">
            <v>217245.22</v>
          </cell>
          <cell r="AT87">
            <v>5004</v>
          </cell>
          <cell r="AU87" t="str">
            <v>New store setup</v>
          </cell>
          <cell r="AV87">
            <v>7154</v>
          </cell>
          <cell r="AY87">
            <v>5000</v>
          </cell>
          <cell r="AZ87" t="str">
            <v>Materials Purchased</v>
          </cell>
          <cell r="BD87">
            <v>4901</v>
          </cell>
          <cell r="BE87" t="str">
            <v>Interest Received</v>
          </cell>
          <cell r="BI87">
            <v>4100</v>
          </cell>
          <cell r="BJ87" t="str">
            <v>Commissions - purchases</v>
          </cell>
        </row>
        <row r="88">
          <cell r="A88">
            <v>8202</v>
          </cell>
          <cell r="B88" t="str">
            <v>Purchase of test cards</v>
          </cell>
          <cell r="F88">
            <v>7901</v>
          </cell>
          <cell r="G88" t="str">
            <v>Bank Charges</v>
          </cell>
          <cell r="H88">
            <v>30</v>
          </cell>
          <cell r="K88">
            <v>7901</v>
          </cell>
          <cell r="L88" t="str">
            <v>Bank Charges</v>
          </cell>
          <cell r="M88">
            <v>12</v>
          </cell>
          <cell r="P88">
            <v>7007</v>
          </cell>
          <cell r="Q88" t="str">
            <v>Pension scheme</v>
          </cell>
          <cell r="R88">
            <v>14056.67</v>
          </cell>
          <cell r="U88">
            <v>7007</v>
          </cell>
          <cell r="V88" t="str">
            <v>Pension scheme</v>
          </cell>
          <cell r="W88">
            <v>21452.82</v>
          </cell>
          <cell r="Z88">
            <v>7007</v>
          </cell>
          <cell r="AA88" t="str">
            <v>Pension scheme</v>
          </cell>
          <cell r="AB88">
            <v>16018.21</v>
          </cell>
          <cell r="AE88">
            <v>7004</v>
          </cell>
          <cell r="AF88" t="str">
            <v>Redundancy payments</v>
          </cell>
          <cell r="AG88">
            <v>36348.550000000003</v>
          </cell>
          <cell r="AJ88">
            <v>7001</v>
          </cell>
          <cell r="AK88" t="str">
            <v>Directors bonuses</v>
          </cell>
          <cell r="AL88">
            <v>4313.42</v>
          </cell>
          <cell r="AO88">
            <v>5201</v>
          </cell>
          <cell r="AP88" t="str">
            <v>Closing Stock</v>
          </cell>
          <cell r="AR88">
            <v>173739.37</v>
          </cell>
          <cell r="AT88">
            <v>5005</v>
          </cell>
          <cell r="AU88" t="str">
            <v>Merchandising</v>
          </cell>
          <cell r="AY88">
            <v>5001</v>
          </cell>
          <cell r="AZ88" t="str">
            <v>Morrisons - development support</v>
          </cell>
          <cell r="BA88">
            <v>32352.94</v>
          </cell>
          <cell r="BD88">
            <v>5000</v>
          </cell>
          <cell r="BE88" t="str">
            <v>Materials Purchased</v>
          </cell>
          <cell r="BI88">
            <v>4901</v>
          </cell>
          <cell r="BJ88" t="str">
            <v>Interest Received</v>
          </cell>
        </row>
        <row r="89">
          <cell r="A89">
            <v>9998</v>
          </cell>
          <cell r="B89" t="str">
            <v>Suspense Account</v>
          </cell>
          <cell r="F89">
            <v>8000</v>
          </cell>
          <cell r="G89" t="str">
            <v>Depreciation</v>
          </cell>
          <cell r="H89">
            <v>16.14</v>
          </cell>
          <cell r="K89">
            <v>8000</v>
          </cell>
          <cell r="L89" t="str">
            <v>Depreciation</v>
          </cell>
          <cell r="M89">
            <v>16.14</v>
          </cell>
          <cell r="P89">
            <v>7008</v>
          </cell>
          <cell r="Q89" t="str">
            <v>Staff health scheme</v>
          </cell>
          <cell r="R89">
            <v>2160.63</v>
          </cell>
          <cell r="U89">
            <v>7008</v>
          </cell>
          <cell r="V89" t="str">
            <v>Staff health scheme</v>
          </cell>
          <cell r="W89">
            <v>2941.3</v>
          </cell>
          <cell r="Z89">
            <v>7008</v>
          </cell>
          <cell r="AA89" t="str">
            <v>Staff health scheme</v>
          </cell>
          <cell r="AB89">
            <v>2941.3</v>
          </cell>
          <cell r="AE89">
            <v>7005</v>
          </cell>
          <cell r="AF89" t="str">
            <v>Wages - Bonuses</v>
          </cell>
          <cell r="AG89">
            <v>29945.65</v>
          </cell>
          <cell r="AJ89">
            <v>7002</v>
          </cell>
          <cell r="AK89" t="str">
            <v>Directors Remuneration</v>
          </cell>
          <cell r="AL89">
            <v>89579.06</v>
          </cell>
          <cell r="AO89">
            <v>6201</v>
          </cell>
          <cell r="AP89" t="str">
            <v>Advertising</v>
          </cell>
          <cell r="AQ89">
            <v>6045</v>
          </cell>
          <cell r="AT89">
            <v>5200</v>
          </cell>
          <cell r="AU89" t="str">
            <v>Opening Stock</v>
          </cell>
          <cell r="AV89">
            <v>217245.22</v>
          </cell>
          <cell r="AY89">
            <v>5002</v>
          </cell>
          <cell r="AZ89" t="str">
            <v>Sundry purchases</v>
          </cell>
          <cell r="BD89">
            <v>5001</v>
          </cell>
          <cell r="BE89" t="str">
            <v>Morrisons - development support</v>
          </cell>
          <cell r="BF89">
            <v>36666.660000000003</v>
          </cell>
          <cell r="BI89">
            <v>5000</v>
          </cell>
          <cell r="BJ89" t="str">
            <v>Materials Purchased</v>
          </cell>
        </row>
        <row r="90">
          <cell r="A90">
            <v>2210</v>
          </cell>
          <cell r="F90">
            <v>8001</v>
          </cell>
          <cell r="G90" t="str">
            <v>Plant/Machinery Depreciation</v>
          </cell>
          <cell r="H90">
            <v>115.86</v>
          </cell>
          <cell r="K90">
            <v>8001</v>
          </cell>
          <cell r="L90" t="str">
            <v>Plant/Machinery Depreciation</v>
          </cell>
          <cell r="M90">
            <v>115.86</v>
          </cell>
          <cell r="P90">
            <v>7009</v>
          </cell>
          <cell r="Q90" t="str">
            <v>Canada Life Death in Service</v>
          </cell>
          <cell r="R90">
            <v>1747</v>
          </cell>
          <cell r="U90">
            <v>7009</v>
          </cell>
          <cell r="V90" t="str">
            <v>Canada Life Death in Service</v>
          </cell>
          <cell r="W90">
            <v>1747</v>
          </cell>
          <cell r="Z90">
            <v>7009</v>
          </cell>
          <cell r="AA90" t="str">
            <v>Canada Life Death in Service</v>
          </cell>
          <cell r="AB90">
            <v>1747</v>
          </cell>
          <cell r="AE90">
            <v>7007</v>
          </cell>
          <cell r="AF90" t="str">
            <v>Pension scheme</v>
          </cell>
          <cell r="AG90">
            <v>28682.05</v>
          </cell>
          <cell r="AJ90">
            <v>7003</v>
          </cell>
          <cell r="AK90" t="str">
            <v>Staff Salaries</v>
          </cell>
          <cell r="AL90">
            <v>265067.53000000003</v>
          </cell>
          <cell r="AO90">
            <v>6900</v>
          </cell>
          <cell r="AP90" t="str">
            <v>Miscellaneous Expenses</v>
          </cell>
          <cell r="AT90">
            <v>5201</v>
          </cell>
          <cell r="AU90" t="str">
            <v>Closing Stock</v>
          </cell>
          <cell r="AW90">
            <v>155236.76999999999</v>
          </cell>
          <cell r="AY90">
            <v>5004</v>
          </cell>
          <cell r="AZ90" t="str">
            <v>New store setup</v>
          </cell>
          <cell r="BA90">
            <v>7154</v>
          </cell>
          <cell r="BD90">
            <v>5002</v>
          </cell>
          <cell r="BE90" t="str">
            <v>Martin McColl - support</v>
          </cell>
          <cell r="BF90">
            <v>12307.7</v>
          </cell>
          <cell r="BI90">
            <v>5001</v>
          </cell>
          <cell r="BJ90" t="str">
            <v>Morrisons - development support</v>
          </cell>
        </row>
        <row r="91">
          <cell r="A91">
            <v>369981</v>
          </cell>
          <cell r="F91">
            <v>8002</v>
          </cell>
          <cell r="G91" t="str">
            <v>Furniture/Fitting Depreciation</v>
          </cell>
          <cell r="H91">
            <v>128.02000000000001</v>
          </cell>
          <cell r="K91">
            <v>8002</v>
          </cell>
          <cell r="L91" t="str">
            <v>Furniture/Fitting Depreciation</v>
          </cell>
          <cell r="M91">
            <v>128.02000000000001</v>
          </cell>
          <cell r="P91">
            <v>7012</v>
          </cell>
          <cell r="Q91" t="str">
            <v>Permanent Health insurance</v>
          </cell>
          <cell r="R91">
            <v>1255.04</v>
          </cell>
          <cell r="U91">
            <v>7012</v>
          </cell>
          <cell r="V91" t="str">
            <v>Permanent Health insurance</v>
          </cell>
          <cell r="W91">
            <v>1882.56</v>
          </cell>
          <cell r="Z91">
            <v>7012</v>
          </cell>
          <cell r="AA91" t="str">
            <v>Permanent Health insurance</v>
          </cell>
          <cell r="AB91">
            <v>2971.58</v>
          </cell>
          <cell r="AE91">
            <v>7008</v>
          </cell>
          <cell r="AF91" t="str">
            <v>Staff health scheme</v>
          </cell>
          <cell r="AG91">
            <v>3373.35</v>
          </cell>
          <cell r="AJ91">
            <v>7004</v>
          </cell>
          <cell r="AK91" t="str">
            <v>Redundancy payments</v>
          </cell>
          <cell r="AL91">
            <v>36348.550000000003</v>
          </cell>
          <cell r="AO91">
            <v>7001</v>
          </cell>
          <cell r="AP91" t="str">
            <v>Directors bonuses</v>
          </cell>
          <cell r="AQ91">
            <v>4313.42</v>
          </cell>
          <cell r="AT91">
            <v>6201</v>
          </cell>
          <cell r="AU91" t="str">
            <v>Advertising</v>
          </cell>
          <cell r="AV91">
            <v>6045</v>
          </cell>
          <cell r="AY91">
            <v>5005</v>
          </cell>
          <cell r="AZ91" t="str">
            <v>Merchandising</v>
          </cell>
          <cell r="BD91">
            <v>5004</v>
          </cell>
          <cell r="BE91" t="str">
            <v>New store setup</v>
          </cell>
          <cell r="BF91">
            <v>7154</v>
          </cell>
          <cell r="BI91">
            <v>5002</v>
          </cell>
          <cell r="BJ91" t="str">
            <v>Martin McColl - support</v>
          </cell>
        </row>
        <row r="92">
          <cell r="A92">
            <v>370501</v>
          </cell>
          <cell r="F92">
            <v>8004</v>
          </cell>
          <cell r="G92" t="str">
            <v>Office Equipment Depreciation</v>
          </cell>
          <cell r="H92">
            <v>24.26</v>
          </cell>
          <cell r="K92">
            <v>8004</v>
          </cell>
          <cell r="L92" t="str">
            <v>Office Equipment Depreciation</v>
          </cell>
          <cell r="M92">
            <v>24.26</v>
          </cell>
          <cell r="P92">
            <v>7103</v>
          </cell>
          <cell r="Q92" t="str">
            <v>General Rates</v>
          </cell>
          <cell r="R92">
            <v>2303.37</v>
          </cell>
          <cell r="U92">
            <v>7013</v>
          </cell>
          <cell r="V92" t="str">
            <v>Staff Pension</v>
          </cell>
          <cell r="W92">
            <v>1437</v>
          </cell>
          <cell r="Z92">
            <v>7013</v>
          </cell>
          <cell r="AA92" t="str">
            <v>Staff Pension</v>
          </cell>
          <cell r="AB92">
            <v>1874</v>
          </cell>
          <cell r="AE92">
            <v>7009</v>
          </cell>
          <cell r="AF92" t="str">
            <v>Canada Life Death in Service</v>
          </cell>
          <cell r="AG92">
            <v>1747</v>
          </cell>
          <cell r="AJ92">
            <v>7005</v>
          </cell>
          <cell r="AK92" t="str">
            <v>Wages - Bonuses</v>
          </cell>
          <cell r="AL92">
            <v>41370.6</v>
          </cell>
          <cell r="AO92">
            <v>7002</v>
          </cell>
          <cell r="AP92" t="str">
            <v>Directors Remuneration</v>
          </cell>
          <cell r="AQ92">
            <v>100761.45</v>
          </cell>
          <cell r="AT92">
            <v>6900</v>
          </cell>
          <cell r="AU92" t="str">
            <v>Miscellaneous Expenses</v>
          </cell>
          <cell r="AY92">
            <v>5200</v>
          </cell>
          <cell r="AZ92" t="str">
            <v>Opening Stock</v>
          </cell>
          <cell r="BA92">
            <v>217245.22</v>
          </cell>
          <cell r="BD92">
            <v>5005</v>
          </cell>
          <cell r="BE92" t="str">
            <v>Merchandising</v>
          </cell>
          <cell r="BI92">
            <v>5004</v>
          </cell>
          <cell r="BJ92" t="str">
            <v>New store setup</v>
          </cell>
          <cell r="BK92">
            <v>7154</v>
          </cell>
        </row>
        <row r="93">
          <cell r="A93">
            <v>371123</v>
          </cell>
          <cell r="F93">
            <v>8202</v>
          </cell>
          <cell r="G93" t="str">
            <v>Purchase of test cards</v>
          </cell>
          <cell r="H93">
            <v>113</v>
          </cell>
          <cell r="K93">
            <v>8202</v>
          </cell>
          <cell r="L93" t="str">
            <v>Purchase of test cards</v>
          </cell>
          <cell r="M93">
            <v>15</v>
          </cell>
          <cell r="P93">
            <v>7601</v>
          </cell>
          <cell r="Q93" t="str">
            <v>Audit and Accountancy Fees</v>
          </cell>
          <cell r="R93">
            <v>5100</v>
          </cell>
          <cell r="U93">
            <v>7103</v>
          </cell>
          <cell r="V93" t="str">
            <v>General Rates</v>
          </cell>
          <cell r="W93">
            <v>3352.55</v>
          </cell>
          <cell r="Z93">
            <v>7100</v>
          </cell>
          <cell r="AA93" t="str">
            <v>Rent</v>
          </cell>
          <cell r="AE93">
            <v>7012</v>
          </cell>
          <cell r="AF93" t="str">
            <v>Permanent Health insurance</v>
          </cell>
          <cell r="AG93">
            <v>2971.58</v>
          </cell>
          <cell r="AJ93">
            <v>7007</v>
          </cell>
          <cell r="AK93" t="str">
            <v>Pension scheme</v>
          </cell>
          <cell r="AL93">
            <v>32145.9</v>
          </cell>
          <cell r="AO93">
            <v>7003</v>
          </cell>
          <cell r="AP93" t="str">
            <v>Staff Salaries</v>
          </cell>
          <cell r="AQ93">
            <v>288422.8</v>
          </cell>
          <cell r="AT93">
            <v>7001</v>
          </cell>
          <cell r="AU93" t="str">
            <v>Directors bonuses</v>
          </cell>
          <cell r="AV93">
            <v>4313.42</v>
          </cell>
          <cell r="AY93">
            <v>5201</v>
          </cell>
          <cell r="AZ93" t="str">
            <v>Closing Stock</v>
          </cell>
          <cell r="BB93">
            <v>135776</v>
          </cell>
          <cell r="BD93">
            <v>5200</v>
          </cell>
          <cell r="BE93" t="str">
            <v>Opening Stock</v>
          </cell>
          <cell r="BF93">
            <v>217245.22</v>
          </cell>
          <cell r="BI93">
            <v>5005</v>
          </cell>
          <cell r="BJ93" t="str">
            <v>Merchandising</v>
          </cell>
        </row>
        <row r="94">
          <cell r="A94">
            <v>5004</v>
          </cell>
          <cell r="F94">
            <v>9998</v>
          </cell>
          <cell r="G94" t="str">
            <v>Suspense Account</v>
          </cell>
          <cell r="K94">
            <v>9998</v>
          </cell>
          <cell r="L94" t="str">
            <v>Suspense Account</v>
          </cell>
          <cell r="P94">
            <v>7602</v>
          </cell>
          <cell r="Q94" t="str">
            <v>Consultancy Fees</v>
          </cell>
          <cell r="R94">
            <v>5000</v>
          </cell>
          <cell r="U94">
            <v>7601</v>
          </cell>
          <cell r="V94" t="str">
            <v>Audit and Accountancy Fees</v>
          </cell>
          <cell r="W94">
            <v>7600</v>
          </cell>
          <cell r="Z94">
            <v>7103</v>
          </cell>
          <cell r="AA94" t="str">
            <v>General Rates</v>
          </cell>
          <cell r="AB94">
            <v>3940.09</v>
          </cell>
          <cell r="AE94">
            <v>7013</v>
          </cell>
          <cell r="AF94" t="str">
            <v>Staff Pension</v>
          </cell>
          <cell r="AG94">
            <v>2321</v>
          </cell>
          <cell r="AJ94">
            <v>7008</v>
          </cell>
          <cell r="AK94" t="str">
            <v>Staff health scheme</v>
          </cell>
          <cell r="AL94">
            <v>4020.71</v>
          </cell>
          <cell r="AO94">
            <v>7004</v>
          </cell>
          <cell r="AP94" t="str">
            <v>Redundancy payments</v>
          </cell>
          <cell r="AQ94">
            <v>36348.550000000003</v>
          </cell>
          <cell r="AT94">
            <v>7002</v>
          </cell>
          <cell r="AU94" t="str">
            <v>Directors Remuneration</v>
          </cell>
          <cell r="AV94">
            <v>111957.17</v>
          </cell>
          <cell r="AY94">
            <v>6201</v>
          </cell>
          <cell r="AZ94" t="str">
            <v>Advertising</v>
          </cell>
          <cell r="BA94">
            <v>6045</v>
          </cell>
          <cell r="BD94">
            <v>5201</v>
          </cell>
          <cell r="BE94" t="str">
            <v>Closing Stock</v>
          </cell>
          <cell r="BG94">
            <v>149990</v>
          </cell>
          <cell r="BI94">
            <v>5200</v>
          </cell>
          <cell r="BJ94" t="str">
            <v>Opening Stock</v>
          </cell>
          <cell r="BK94">
            <v>217245.22</v>
          </cell>
        </row>
        <row r="95">
          <cell r="A95">
            <v>5201</v>
          </cell>
          <cell r="F95">
            <v>369981</v>
          </cell>
          <cell r="K95">
            <v>8002</v>
          </cell>
          <cell r="L95" t="str">
            <v>Furniture/Fitting Depreciation</v>
          </cell>
          <cell r="M95">
            <v>410.57</v>
          </cell>
          <cell r="P95">
            <v>7900</v>
          </cell>
          <cell r="Q95" t="str">
            <v>Bank Interest Paid</v>
          </cell>
          <cell r="R95">
            <v>18.2</v>
          </cell>
          <cell r="U95">
            <v>7602</v>
          </cell>
          <cell r="V95" t="str">
            <v>Consultancy Fees</v>
          </cell>
          <cell r="W95">
            <v>5000</v>
          </cell>
          <cell r="Z95">
            <v>7600</v>
          </cell>
          <cell r="AA95" t="str">
            <v>Legal Fees</v>
          </cell>
          <cell r="AE95">
            <v>7100</v>
          </cell>
          <cell r="AF95" t="str">
            <v>Rent</v>
          </cell>
          <cell r="AJ95">
            <v>7009</v>
          </cell>
          <cell r="AK95" t="str">
            <v>Canada Life Death in Service</v>
          </cell>
          <cell r="AL95">
            <v>1747</v>
          </cell>
          <cell r="AO95">
            <v>7005</v>
          </cell>
          <cell r="AP95" t="str">
            <v>Wages - Bonuses</v>
          </cell>
          <cell r="AQ95">
            <v>1824.35</v>
          </cell>
          <cell r="AT95">
            <v>7003</v>
          </cell>
          <cell r="AU95" t="str">
            <v>Staff Salaries</v>
          </cell>
          <cell r="AV95">
            <v>311215.93</v>
          </cell>
          <cell r="AY95">
            <v>6900</v>
          </cell>
          <cell r="AZ95" t="str">
            <v>Miscellaneous Expenses</v>
          </cell>
          <cell r="BD95">
            <v>6201</v>
          </cell>
          <cell r="BE95" t="str">
            <v>Advertising</v>
          </cell>
          <cell r="BF95">
            <v>6045</v>
          </cell>
          <cell r="BI95">
            <v>5201</v>
          </cell>
          <cell r="BJ95" t="str">
            <v>Closing Stock</v>
          </cell>
          <cell r="BL95">
            <v>204518</v>
          </cell>
        </row>
        <row r="96">
          <cell r="A96">
            <v>6900</v>
          </cell>
          <cell r="F96">
            <v>371123</v>
          </cell>
          <cell r="K96">
            <v>8004</v>
          </cell>
          <cell r="L96" t="str">
            <v>Office Equipment Depreciation</v>
          </cell>
          <cell r="M96">
            <v>63.23</v>
          </cell>
          <cell r="P96">
            <v>7901</v>
          </cell>
          <cell r="Q96" t="str">
            <v>Bank Charges</v>
          </cell>
          <cell r="R96">
            <v>168.31</v>
          </cell>
          <cell r="U96">
            <v>7900</v>
          </cell>
          <cell r="V96" t="str">
            <v>Bank Interest Paid</v>
          </cell>
          <cell r="W96">
            <v>41.38</v>
          </cell>
          <cell r="Z96">
            <v>7601</v>
          </cell>
          <cell r="AA96" t="str">
            <v>Audit and Accountancy Fees</v>
          </cell>
          <cell r="AB96">
            <v>9600</v>
          </cell>
          <cell r="AE96">
            <v>7103</v>
          </cell>
          <cell r="AF96" t="str">
            <v>General Rates</v>
          </cell>
          <cell r="AG96">
            <v>4065.99</v>
          </cell>
          <cell r="AJ96">
            <v>7012</v>
          </cell>
          <cell r="AK96" t="str">
            <v>Permanent Health insurance</v>
          </cell>
          <cell r="AL96">
            <v>3285.34</v>
          </cell>
          <cell r="AO96">
            <v>7007</v>
          </cell>
          <cell r="AP96" t="str">
            <v>Pension scheme</v>
          </cell>
          <cell r="AQ96">
            <v>35609.75</v>
          </cell>
          <cell r="AT96">
            <v>7004</v>
          </cell>
          <cell r="AU96" t="str">
            <v>Redundancy payments</v>
          </cell>
          <cell r="AV96">
            <v>36348.550000000003</v>
          </cell>
          <cell r="AY96">
            <v>7001</v>
          </cell>
          <cell r="AZ96" t="str">
            <v>Directors bonuses</v>
          </cell>
          <cell r="BA96">
            <v>4313.42</v>
          </cell>
          <cell r="BD96">
            <v>6900</v>
          </cell>
          <cell r="BE96" t="str">
            <v>Miscellaneous Expenses</v>
          </cell>
          <cell r="BI96">
            <v>6201</v>
          </cell>
          <cell r="BJ96" t="str">
            <v>Advertising</v>
          </cell>
          <cell r="BK96">
            <v>6045</v>
          </cell>
        </row>
        <row r="97">
          <cell r="A97">
            <v>7001</v>
          </cell>
          <cell r="F97">
            <v>5004</v>
          </cell>
          <cell r="K97">
            <v>8202</v>
          </cell>
          <cell r="L97" t="str">
            <v>Purchase of test cards</v>
          </cell>
          <cell r="M97">
            <v>118</v>
          </cell>
          <cell r="P97">
            <v>8000</v>
          </cell>
          <cell r="Q97" t="str">
            <v>Depreciation</v>
          </cell>
          <cell r="R97">
            <v>67.17</v>
          </cell>
          <cell r="U97">
            <v>7901</v>
          </cell>
          <cell r="V97" t="str">
            <v>Bank Charges</v>
          </cell>
          <cell r="W97">
            <v>218.31</v>
          </cell>
          <cell r="Z97">
            <v>7602</v>
          </cell>
          <cell r="AA97" t="str">
            <v>Consultancy Fees</v>
          </cell>
          <cell r="AB97">
            <v>5000</v>
          </cell>
          <cell r="AE97">
            <v>7600</v>
          </cell>
          <cell r="AF97" t="str">
            <v>Legal Fees</v>
          </cell>
          <cell r="AJ97">
            <v>7013</v>
          </cell>
          <cell r="AK97" t="str">
            <v>Staff Pension</v>
          </cell>
          <cell r="AL97">
            <v>3058</v>
          </cell>
          <cell r="AO97">
            <v>7008</v>
          </cell>
          <cell r="AP97" t="str">
            <v>Staff health scheme</v>
          </cell>
          <cell r="AQ97">
            <v>4020.71</v>
          </cell>
          <cell r="AT97">
            <v>7005</v>
          </cell>
          <cell r="AU97" t="str">
            <v>Wages - Bonuses</v>
          </cell>
          <cell r="AV97">
            <v>1824.35</v>
          </cell>
          <cell r="AY97">
            <v>7002</v>
          </cell>
          <cell r="AZ97" t="str">
            <v>Directors Remuneration</v>
          </cell>
          <cell r="BA97">
            <v>123152.89</v>
          </cell>
          <cell r="BD97">
            <v>7001</v>
          </cell>
          <cell r="BE97" t="str">
            <v>Directors bonuses</v>
          </cell>
          <cell r="BF97">
            <v>4313.42</v>
          </cell>
          <cell r="BI97">
            <v>6900</v>
          </cell>
          <cell r="BJ97" t="str">
            <v>Miscellaneous Expenses</v>
          </cell>
        </row>
        <row r="98">
          <cell r="A98">
            <v>7004</v>
          </cell>
          <cell r="F98">
            <v>5201</v>
          </cell>
          <cell r="K98">
            <v>9998</v>
          </cell>
          <cell r="L98" t="str">
            <v>Suspense Account</v>
          </cell>
          <cell r="M98">
            <v>0</v>
          </cell>
          <cell r="P98">
            <v>8001</v>
          </cell>
          <cell r="Q98" t="str">
            <v>Plant/Machinery Depreciation</v>
          </cell>
          <cell r="R98">
            <v>6.57</v>
          </cell>
          <cell r="U98">
            <v>8000</v>
          </cell>
          <cell r="V98" t="str">
            <v>Depreciation</v>
          </cell>
          <cell r="W98">
            <v>75.239999999999995</v>
          </cell>
          <cell r="Z98">
            <v>7900</v>
          </cell>
          <cell r="AA98" t="str">
            <v>Bank Interest Paid</v>
          </cell>
          <cell r="AB98">
            <v>41.38</v>
          </cell>
          <cell r="AE98">
            <v>7601</v>
          </cell>
          <cell r="AF98" t="str">
            <v>Audit and Accountancy Fees</v>
          </cell>
          <cell r="AG98">
            <v>12100</v>
          </cell>
          <cell r="AJ98">
            <v>7014</v>
          </cell>
          <cell r="AK98" t="str">
            <v>Wages - Agency</v>
          </cell>
          <cell r="AL98">
            <v>703.74</v>
          </cell>
          <cell r="AO98">
            <v>7009</v>
          </cell>
          <cell r="AP98" t="str">
            <v>Canada Life Death in Service</v>
          </cell>
          <cell r="AQ98">
            <v>1747</v>
          </cell>
          <cell r="AT98">
            <v>7007</v>
          </cell>
          <cell r="AU98" t="str">
            <v>Pension scheme</v>
          </cell>
          <cell r="AV98">
            <v>29938.71</v>
          </cell>
          <cell r="AY98">
            <v>7003</v>
          </cell>
          <cell r="AZ98" t="str">
            <v>Staff Salaries</v>
          </cell>
          <cell r="BA98">
            <v>334009.65999999997</v>
          </cell>
          <cell r="BD98">
            <v>7002</v>
          </cell>
          <cell r="BE98" t="str">
            <v>Directors Remuneration</v>
          </cell>
          <cell r="BF98">
            <v>134348.1</v>
          </cell>
          <cell r="BI98">
            <v>7001</v>
          </cell>
          <cell r="BJ98" t="str">
            <v>Directors bonuses</v>
          </cell>
          <cell r="BK98">
            <v>4313.42</v>
          </cell>
        </row>
        <row r="99">
          <cell r="A99">
            <v>7005</v>
          </cell>
          <cell r="F99">
            <v>7001</v>
          </cell>
          <cell r="K99">
            <v>1220</v>
          </cell>
          <cell r="P99">
            <v>8002</v>
          </cell>
          <cell r="Q99" t="str">
            <v>Furniture/Fitting Depreciation</v>
          </cell>
          <cell r="R99">
            <v>474.58</v>
          </cell>
          <cell r="U99">
            <v>8001</v>
          </cell>
          <cell r="V99" t="str">
            <v>Plant/Machinery Depreciation</v>
          </cell>
          <cell r="W99">
            <v>60.17</v>
          </cell>
          <cell r="Z99">
            <v>7901</v>
          </cell>
          <cell r="AA99" t="str">
            <v>Bank Charges</v>
          </cell>
          <cell r="AB99">
            <v>274.31</v>
          </cell>
          <cell r="AE99">
            <v>7602</v>
          </cell>
          <cell r="AF99" t="str">
            <v>Consultancy Fees</v>
          </cell>
          <cell r="AG99">
            <v>5930</v>
          </cell>
          <cell r="AJ99">
            <v>7100</v>
          </cell>
          <cell r="AK99" t="str">
            <v>Rent</v>
          </cell>
          <cell r="AO99">
            <v>7012</v>
          </cell>
          <cell r="AP99" t="str">
            <v>Permanent Health insurance</v>
          </cell>
          <cell r="AQ99">
            <v>3599.1</v>
          </cell>
          <cell r="AT99">
            <v>7008</v>
          </cell>
          <cell r="AU99" t="str">
            <v>Staff health scheme</v>
          </cell>
          <cell r="AV99">
            <v>4541.45</v>
          </cell>
          <cell r="AY99">
            <v>7004</v>
          </cell>
          <cell r="AZ99" t="str">
            <v>Redundancy payments</v>
          </cell>
          <cell r="BA99">
            <v>36348.550000000003</v>
          </cell>
          <cell r="BD99">
            <v>7003</v>
          </cell>
          <cell r="BE99" t="str">
            <v>Staff Salaries</v>
          </cell>
          <cell r="BF99">
            <v>356803.39</v>
          </cell>
          <cell r="BI99">
            <v>7002</v>
          </cell>
          <cell r="BJ99" t="str">
            <v>Directors Remuneration</v>
          </cell>
          <cell r="BK99">
            <v>149288.01</v>
          </cell>
        </row>
        <row r="100">
          <cell r="A100">
            <v>7009</v>
          </cell>
          <cell r="F100">
            <v>7004</v>
          </cell>
          <cell r="K100">
            <v>369981</v>
          </cell>
          <cell r="P100">
            <v>8004</v>
          </cell>
          <cell r="Q100" t="str">
            <v>Office Equipment Depreciation</v>
          </cell>
          <cell r="R100">
            <v>101.69</v>
          </cell>
          <cell r="U100">
            <v>8002</v>
          </cell>
          <cell r="V100" t="str">
            <v>Furniture/Fitting Depreciation</v>
          </cell>
          <cell r="W100">
            <v>538.59</v>
          </cell>
          <cell r="Z100">
            <v>8000</v>
          </cell>
          <cell r="AA100" t="str">
            <v>Depreciation</v>
          </cell>
          <cell r="AB100">
            <v>83.31</v>
          </cell>
          <cell r="AE100">
            <v>7900</v>
          </cell>
          <cell r="AF100" t="str">
            <v>Bank Interest Paid</v>
          </cell>
          <cell r="AG100">
            <v>41.38</v>
          </cell>
          <cell r="AJ100">
            <v>7103</v>
          </cell>
          <cell r="AK100" t="str">
            <v>General Rates</v>
          </cell>
          <cell r="AL100">
            <v>4653.53</v>
          </cell>
          <cell r="AO100">
            <v>7013</v>
          </cell>
          <cell r="AP100" t="str">
            <v>Staff Pension</v>
          </cell>
          <cell r="AQ100">
            <v>3795</v>
          </cell>
          <cell r="AT100">
            <v>7009</v>
          </cell>
          <cell r="AU100" t="str">
            <v>Canada Life Death in Service</v>
          </cell>
          <cell r="AV100">
            <v>1747</v>
          </cell>
          <cell r="AY100">
            <v>7005</v>
          </cell>
          <cell r="AZ100" t="str">
            <v>Wages - Bonuses</v>
          </cell>
          <cell r="BA100">
            <v>1824.35</v>
          </cell>
          <cell r="BD100">
            <v>7004</v>
          </cell>
          <cell r="BE100" t="str">
            <v>Redundancy payments</v>
          </cell>
          <cell r="BF100">
            <v>36348.550000000003</v>
          </cell>
          <cell r="BI100">
            <v>7003</v>
          </cell>
          <cell r="BJ100" t="str">
            <v>Staff Salaries</v>
          </cell>
          <cell r="BK100">
            <v>377745.12</v>
          </cell>
        </row>
        <row r="101">
          <cell r="A101">
            <v>7012</v>
          </cell>
          <cell r="F101">
            <v>7005</v>
          </cell>
          <cell r="K101">
            <v>371123</v>
          </cell>
          <cell r="P101">
            <v>8202</v>
          </cell>
          <cell r="Q101" t="str">
            <v>Purchase of test cards</v>
          </cell>
          <cell r="R101">
            <v>550</v>
          </cell>
          <cell r="U101">
            <v>8004</v>
          </cell>
          <cell r="V101" t="str">
            <v>Office Equipment Depreciation</v>
          </cell>
          <cell r="W101">
            <v>139.41</v>
          </cell>
          <cell r="Z101">
            <v>8001</v>
          </cell>
          <cell r="AA101" t="str">
            <v>Plant/Machinery Depreciation</v>
          </cell>
          <cell r="AB101">
            <v>112.74</v>
          </cell>
          <cell r="AE101">
            <v>7901</v>
          </cell>
          <cell r="AF101" t="str">
            <v>Bank Charges</v>
          </cell>
          <cell r="AG101">
            <v>286.31</v>
          </cell>
          <cell r="AJ101">
            <v>7600</v>
          </cell>
          <cell r="AK101" t="str">
            <v>Legal Fees</v>
          </cell>
          <cell r="AO101">
            <v>7014</v>
          </cell>
          <cell r="AP101" t="str">
            <v>Wages - Agency</v>
          </cell>
          <cell r="AQ101">
            <v>2111.2199999999998</v>
          </cell>
          <cell r="AT101">
            <v>7012</v>
          </cell>
          <cell r="AU101" t="str">
            <v>Permanent Health insurance</v>
          </cell>
          <cell r="AV101">
            <v>3912.86</v>
          </cell>
          <cell r="AY101">
            <v>7007</v>
          </cell>
          <cell r="AZ101" t="str">
            <v>Pension scheme</v>
          </cell>
          <cell r="BA101">
            <v>22092.3</v>
          </cell>
          <cell r="BD101">
            <v>7005</v>
          </cell>
          <cell r="BE101" t="str">
            <v>Wages - Bonuses</v>
          </cell>
          <cell r="BF101">
            <v>1824.35</v>
          </cell>
          <cell r="BI101">
            <v>7004</v>
          </cell>
          <cell r="BJ101" t="str">
            <v>Redundancy payments</v>
          </cell>
          <cell r="BK101">
            <v>36348.550000000003</v>
          </cell>
        </row>
        <row r="102">
          <cell r="A102">
            <v>7013</v>
          </cell>
          <cell r="F102">
            <v>7009</v>
          </cell>
          <cell r="K102">
            <v>7004</v>
          </cell>
          <cell r="P102">
            <v>8203</v>
          </cell>
          <cell r="Q102" t="str">
            <v>Training Costs</v>
          </cell>
          <cell r="R102">
            <v>750</v>
          </cell>
          <cell r="U102">
            <v>8202</v>
          </cell>
          <cell r="V102" t="str">
            <v>Purchase of test cards</v>
          </cell>
          <cell r="W102">
            <v>594.17999999999995</v>
          </cell>
          <cell r="Z102">
            <v>8002</v>
          </cell>
          <cell r="AA102" t="str">
            <v>Furniture/Fitting Depreciation</v>
          </cell>
          <cell r="AB102">
            <v>602.6</v>
          </cell>
          <cell r="AE102">
            <v>8000</v>
          </cell>
          <cell r="AF102" t="str">
            <v>Depreciation</v>
          </cell>
          <cell r="AG102">
            <v>91.38</v>
          </cell>
          <cell r="AJ102">
            <v>7601</v>
          </cell>
          <cell r="AK102" t="str">
            <v>Audit and Accountancy Fees</v>
          </cell>
          <cell r="AL102">
            <v>14420</v>
          </cell>
          <cell r="AO102">
            <v>7100</v>
          </cell>
          <cell r="AP102" t="str">
            <v>Rent</v>
          </cell>
          <cell r="AT102">
            <v>7013</v>
          </cell>
          <cell r="AU102" t="str">
            <v>Staff Pension</v>
          </cell>
          <cell r="AV102">
            <v>6622</v>
          </cell>
          <cell r="AY102">
            <v>7008</v>
          </cell>
          <cell r="AZ102" t="str">
            <v>Staff health scheme</v>
          </cell>
          <cell r="BA102">
            <v>5406.8</v>
          </cell>
          <cell r="BD102">
            <v>7007</v>
          </cell>
          <cell r="BE102" t="str">
            <v>Pension scheme</v>
          </cell>
          <cell r="BF102">
            <v>23587.43</v>
          </cell>
          <cell r="BI102">
            <v>7005</v>
          </cell>
          <cell r="BJ102" t="str">
            <v>Wages - Bonuses</v>
          </cell>
          <cell r="BK102">
            <v>1824.35</v>
          </cell>
        </row>
        <row r="103">
          <cell r="A103">
            <v>7602</v>
          </cell>
          <cell r="F103">
            <v>7013</v>
          </cell>
          <cell r="K103">
            <v>7009</v>
          </cell>
          <cell r="P103">
            <v>1220</v>
          </cell>
          <cell r="U103">
            <v>8203</v>
          </cell>
          <cell r="V103" t="str">
            <v>Training Costs</v>
          </cell>
          <cell r="W103">
            <v>750</v>
          </cell>
          <cell r="Z103">
            <v>8004</v>
          </cell>
          <cell r="AA103" t="str">
            <v>Office Equipment Depreciation</v>
          </cell>
          <cell r="AB103">
            <v>176.4</v>
          </cell>
          <cell r="AE103">
            <v>8001</v>
          </cell>
          <cell r="AF103" t="str">
            <v>Plant/Machinery Depreciation</v>
          </cell>
          <cell r="AG103">
            <v>164.3</v>
          </cell>
          <cell r="AJ103">
            <v>7602</v>
          </cell>
          <cell r="AK103" t="str">
            <v>Consultancy Fees</v>
          </cell>
          <cell r="AL103">
            <v>5930</v>
          </cell>
          <cell r="AO103">
            <v>7103</v>
          </cell>
          <cell r="AP103" t="str">
            <v>General Rates</v>
          </cell>
          <cell r="AQ103">
            <v>5241.07</v>
          </cell>
          <cell r="AT103">
            <v>7014</v>
          </cell>
          <cell r="AU103" t="str">
            <v>Wages - Agency</v>
          </cell>
          <cell r="AV103">
            <v>3100.26</v>
          </cell>
          <cell r="AY103">
            <v>7009</v>
          </cell>
          <cell r="AZ103" t="str">
            <v>Canada Life Death in Service</v>
          </cell>
          <cell r="BA103">
            <v>327</v>
          </cell>
          <cell r="BD103">
            <v>7008</v>
          </cell>
          <cell r="BE103" t="str">
            <v>Staff health scheme</v>
          </cell>
          <cell r="BF103">
            <v>5877.01</v>
          </cell>
          <cell r="BI103">
            <v>7007</v>
          </cell>
          <cell r="BJ103" t="str">
            <v>Pension scheme</v>
          </cell>
          <cell r="BK103">
            <v>24156.400000000001</v>
          </cell>
        </row>
        <row r="104">
          <cell r="A104">
            <v>7900</v>
          </cell>
          <cell r="F104">
            <v>7602</v>
          </cell>
          <cell r="K104">
            <v>7013</v>
          </cell>
          <cell r="P104">
            <v>369981</v>
          </cell>
          <cell r="U104">
            <v>9998</v>
          </cell>
          <cell r="V104" t="str">
            <v>Suspense Account</v>
          </cell>
          <cell r="Z104">
            <v>8202</v>
          </cell>
          <cell r="AA104" t="str">
            <v>Purchase of test cards</v>
          </cell>
          <cell r="AB104">
            <v>1053.18</v>
          </cell>
          <cell r="AE104">
            <v>8002</v>
          </cell>
          <cell r="AF104" t="str">
            <v>Furniture/Fitting Depreciation</v>
          </cell>
          <cell r="AG104">
            <v>666.61</v>
          </cell>
          <cell r="AJ104">
            <v>7900</v>
          </cell>
          <cell r="AK104" t="str">
            <v>Bank Interest Paid</v>
          </cell>
          <cell r="AL104">
            <v>41.38</v>
          </cell>
          <cell r="AO104">
            <v>7600</v>
          </cell>
          <cell r="AP104" t="str">
            <v>Legal Fees</v>
          </cell>
          <cell r="AQ104">
            <v>618.16</v>
          </cell>
          <cell r="AT104">
            <v>7100</v>
          </cell>
          <cell r="AU104" t="str">
            <v>Rent</v>
          </cell>
          <cell r="AY104">
            <v>7012</v>
          </cell>
          <cell r="AZ104" t="str">
            <v>Permanent Health insurance</v>
          </cell>
          <cell r="BA104">
            <v>4226.62</v>
          </cell>
          <cell r="BD104">
            <v>7009</v>
          </cell>
          <cell r="BE104" t="str">
            <v>Canada Life Death in Service</v>
          </cell>
          <cell r="BF104">
            <v>1747</v>
          </cell>
          <cell r="BI104">
            <v>7008</v>
          </cell>
          <cell r="BJ104" t="str">
            <v>Staff health scheme</v>
          </cell>
          <cell r="BK104">
            <v>6164.31</v>
          </cell>
        </row>
        <row r="105">
          <cell r="A105">
            <v>8203</v>
          </cell>
          <cell r="F105">
            <v>7900</v>
          </cell>
          <cell r="K105">
            <v>7900</v>
          </cell>
          <cell r="P105">
            <v>371123</v>
          </cell>
          <cell r="U105">
            <v>369981</v>
          </cell>
          <cell r="Z105">
            <v>8203</v>
          </cell>
          <cell r="AA105" t="str">
            <v>Training Costs</v>
          </cell>
          <cell r="AB105">
            <v>750</v>
          </cell>
          <cell r="AE105">
            <v>8004</v>
          </cell>
          <cell r="AF105" t="str">
            <v>Office Equipment Depreciation</v>
          </cell>
          <cell r="AG105">
            <v>212.68</v>
          </cell>
          <cell r="AJ105">
            <v>7901</v>
          </cell>
          <cell r="AK105" t="str">
            <v>Bank Charges</v>
          </cell>
          <cell r="AL105">
            <v>298.31</v>
          </cell>
          <cell r="AO105">
            <v>7601</v>
          </cell>
          <cell r="AP105" t="str">
            <v>Audit and Accountancy Fees</v>
          </cell>
          <cell r="AQ105">
            <v>16240</v>
          </cell>
          <cell r="AT105">
            <v>7103</v>
          </cell>
          <cell r="AU105" t="str">
            <v>General Rates</v>
          </cell>
          <cell r="AV105">
            <v>5827.61</v>
          </cell>
          <cell r="AY105">
            <v>7013</v>
          </cell>
          <cell r="AZ105" t="str">
            <v>Staff Pension</v>
          </cell>
          <cell r="BA105">
            <v>7469</v>
          </cell>
          <cell r="BD105">
            <v>7012</v>
          </cell>
          <cell r="BE105" t="str">
            <v>Permanent Health insurance</v>
          </cell>
          <cell r="BF105">
            <v>4540.38</v>
          </cell>
          <cell r="BI105">
            <v>7009</v>
          </cell>
          <cell r="BJ105" t="str">
            <v>Canada Life Death in Service</v>
          </cell>
          <cell r="BK105">
            <v>1863.39</v>
          </cell>
        </row>
        <row r="106">
          <cell r="A106">
            <v>1110</v>
          </cell>
          <cell r="F106">
            <v>8203</v>
          </cell>
          <cell r="K106">
            <v>8203</v>
          </cell>
          <cell r="P106">
            <v>7013</v>
          </cell>
          <cell r="U106">
            <v>371123</v>
          </cell>
          <cell r="Z106">
            <v>9998</v>
          </cell>
          <cell r="AA106" t="str">
            <v>Suspense Account</v>
          </cell>
          <cell r="AE106">
            <v>8202</v>
          </cell>
          <cell r="AF106" t="str">
            <v>Purchase of test cards</v>
          </cell>
          <cell r="AG106">
            <v>1053.18</v>
          </cell>
          <cell r="AJ106">
            <v>8000</v>
          </cell>
          <cell r="AK106" t="str">
            <v>Depreciation</v>
          </cell>
          <cell r="AO106">
            <v>7602</v>
          </cell>
          <cell r="AP106" t="str">
            <v>Consultancy Fees</v>
          </cell>
          <cell r="AQ106">
            <v>5930</v>
          </cell>
          <cell r="AT106">
            <v>7600</v>
          </cell>
          <cell r="AU106" t="str">
            <v>Legal Fees</v>
          </cell>
          <cell r="AV106">
            <v>618.16</v>
          </cell>
          <cell r="AY106">
            <v>7014</v>
          </cell>
          <cell r="AZ106" t="str">
            <v>Wages - Agency</v>
          </cell>
          <cell r="BA106">
            <v>3100.26</v>
          </cell>
          <cell r="BD106">
            <v>7013</v>
          </cell>
          <cell r="BE106" t="str">
            <v>Staff Pension</v>
          </cell>
          <cell r="BF106">
            <v>9076</v>
          </cell>
          <cell r="BI106">
            <v>7012</v>
          </cell>
          <cell r="BJ106" t="str">
            <v>Permanent Health insurance</v>
          </cell>
          <cell r="BK106">
            <v>4814.72</v>
          </cell>
        </row>
        <row r="107">
          <cell r="A107">
            <v>2310</v>
          </cell>
          <cell r="C107">
            <v>739452.58</v>
          </cell>
          <cell r="D107">
            <v>739452.58</v>
          </cell>
          <cell r="F107">
            <v>1110</v>
          </cell>
          <cell r="H107">
            <v>813338.1</v>
          </cell>
          <cell r="I107">
            <v>813338.1</v>
          </cell>
          <cell r="K107">
            <v>1110</v>
          </cell>
          <cell r="M107">
            <v>1593952.48</v>
          </cell>
          <cell r="N107">
            <v>1593952.48</v>
          </cell>
          <cell r="P107">
            <v>1110</v>
          </cell>
          <cell r="R107">
            <v>1925714.21</v>
          </cell>
          <cell r="S107">
            <v>1925714.21</v>
          </cell>
          <cell r="U107">
            <v>1110</v>
          </cell>
          <cell r="W107">
            <v>1984312.65</v>
          </cell>
          <cell r="X107">
            <v>1984312.65</v>
          </cell>
          <cell r="Z107">
            <v>369981</v>
          </cell>
          <cell r="AB107">
            <v>3085016.56</v>
          </cell>
          <cell r="AC107">
            <v>3085016.56</v>
          </cell>
          <cell r="AE107">
            <v>8203</v>
          </cell>
          <cell r="AF107" t="str">
            <v>Training Costs</v>
          </cell>
          <cell r="AG107">
            <v>750</v>
          </cell>
          <cell r="AJ107">
            <v>8001</v>
          </cell>
          <cell r="AK107" t="str">
            <v>Plant/Machinery Depreciation</v>
          </cell>
          <cell r="AO107">
            <v>7900</v>
          </cell>
          <cell r="AP107" t="str">
            <v>Bank Interest Paid</v>
          </cell>
          <cell r="AQ107">
            <v>41.38</v>
          </cell>
          <cell r="AT107">
            <v>7601</v>
          </cell>
          <cell r="AU107" t="str">
            <v>Audit and Accountancy Fees</v>
          </cell>
          <cell r="AV107">
            <v>17930</v>
          </cell>
          <cell r="AY107">
            <v>7100</v>
          </cell>
          <cell r="AZ107" t="str">
            <v>Rent</v>
          </cell>
          <cell r="BD107">
            <v>7014</v>
          </cell>
          <cell r="BE107" t="str">
            <v>Wages - Agency</v>
          </cell>
          <cell r="BF107">
            <v>3100.26</v>
          </cell>
          <cell r="BI107">
            <v>7013</v>
          </cell>
          <cell r="BJ107" t="str">
            <v>Staff Pension</v>
          </cell>
          <cell r="BK107">
            <v>9866</v>
          </cell>
        </row>
        <row r="108">
          <cell r="A108">
            <v>342438</v>
          </cell>
          <cell r="F108">
            <v>2310</v>
          </cell>
          <cell r="K108">
            <v>2310</v>
          </cell>
          <cell r="P108">
            <v>2310</v>
          </cell>
          <cell r="U108">
            <v>2310</v>
          </cell>
          <cell r="Z108">
            <v>371123</v>
          </cell>
          <cell r="AE108">
            <v>9998</v>
          </cell>
          <cell r="AF108" t="str">
            <v>Suspense Account</v>
          </cell>
          <cell r="AJ108">
            <v>8002</v>
          </cell>
          <cell r="AK108" t="str">
            <v>Furniture/Fitting Depreciation</v>
          </cell>
          <cell r="AO108">
            <v>7901</v>
          </cell>
          <cell r="AP108" t="str">
            <v>Bank Charges</v>
          </cell>
          <cell r="AQ108">
            <v>310.31</v>
          </cell>
          <cell r="AT108">
            <v>7602</v>
          </cell>
          <cell r="AU108" t="str">
            <v>Consultancy Fees</v>
          </cell>
          <cell r="AV108">
            <v>5930</v>
          </cell>
          <cell r="AY108">
            <v>7103</v>
          </cell>
          <cell r="AZ108" t="str">
            <v>General Rates</v>
          </cell>
          <cell r="BA108">
            <v>6416.15</v>
          </cell>
          <cell r="BD108">
            <v>7100</v>
          </cell>
          <cell r="BE108" t="str">
            <v>Rent</v>
          </cell>
          <cell r="BI108">
            <v>7014</v>
          </cell>
          <cell r="BJ108" t="str">
            <v>Wages - Agency</v>
          </cell>
          <cell r="BK108">
            <v>3100.26</v>
          </cell>
        </row>
        <row r="109">
          <cell r="A109">
            <v>7014</v>
          </cell>
          <cell r="F109">
            <v>342438</v>
          </cell>
          <cell r="K109">
            <v>342438</v>
          </cell>
          <cell r="P109">
            <v>342438</v>
          </cell>
          <cell r="U109">
            <v>342438</v>
          </cell>
          <cell r="Z109">
            <v>1110</v>
          </cell>
          <cell r="AE109">
            <v>1110</v>
          </cell>
          <cell r="AJ109">
            <v>8004</v>
          </cell>
          <cell r="AK109" t="str">
            <v>Office Equipment Depreciation</v>
          </cell>
          <cell r="AO109">
            <v>8000</v>
          </cell>
          <cell r="AP109" t="str">
            <v>Depreciation</v>
          </cell>
          <cell r="AT109">
            <v>7900</v>
          </cell>
          <cell r="AU109" t="str">
            <v>Bank Interest Paid</v>
          </cell>
          <cell r="AV109">
            <v>41.38</v>
          </cell>
          <cell r="AY109">
            <v>7600</v>
          </cell>
          <cell r="AZ109" t="str">
            <v>Legal Fees</v>
          </cell>
          <cell r="BA109">
            <v>618.16</v>
          </cell>
          <cell r="BD109">
            <v>7103</v>
          </cell>
          <cell r="BE109" t="str">
            <v>General Rates</v>
          </cell>
          <cell r="BF109">
            <v>7003.69</v>
          </cell>
          <cell r="BI109">
            <v>7100</v>
          </cell>
          <cell r="BJ109" t="str">
            <v>Rent</v>
          </cell>
        </row>
        <row r="110">
          <cell r="A110">
            <v>1220</v>
          </cell>
          <cell r="F110">
            <v>7014</v>
          </cell>
          <cell r="K110">
            <v>7014</v>
          </cell>
          <cell r="P110">
            <v>7014</v>
          </cell>
          <cell r="U110">
            <v>7014</v>
          </cell>
          <cell r="Z110">
            <v>2310</v>
          </cell>
          <cell r="AE110">
            <v>342438</v>
          </cell>
          <cell r="AJ110">
            <v>8202</v>
          </cell>
          <cell r="AK110" t="str">
            <v>Purchase of test cards</v>
          </cell>
          <cell r="AL110">
            <v>1453.08</v>
          </cell>
          <cell r="AO110">
            <v>8001</v>
          </cell>
          <cell r="AP110" t="str">
            <v>Plant/Machinery Depreciation</v>
          </cell>
          <cell r="AT110">
            <v>7901</v>
          </cell>
          <cell r="AU110" t="str">
            <v>Bank Charges</v>
          </cell>
          <cell r="AV110">
            <v>322.31</v>
          </cell>
          <cell r="AY110">
            <v>7601</v>
          </cell>
          <cell r="AZ110" t="str">
            <v>Audit and Accountancy Fees</v>
          </cell>
          <cell r="BA110">
            <v>21280</v>
          </cell>
          <cell r="BD110">
            <v>7600</v>
          </cell>
          <cell r="BE110" t="str">
            <v>Legal Fees</v>
          </cell>
          <cell r="BF110">
            <v>618.16</v>
          </cell>
          <cell r="BI110">
            <v>7103</v>
          </cell>
          <cell r="BJ110" t="str">
            <v>General Rates</v>
          </cell>
          <cell r="BK110">
            <v>7591.23</v>
          </cell>
        </row>
        <row r="111">
          <cell r="F111">
            <v>1220</v>
          </cell>
          <cell r="K111">
            <v>5004</v>
          </cell>
          <cell r="U111">
            <v>1220</v>
          </cell>
          <cell r="Z111">
            <v>342438</v>
          </cell>
          <cell r="AE111">
            <v>371123</v>
          </cell>
          <cell r="AJ111">
            <v>8203</v>
          </cell>
          <cell r="AK111" t="str">
            <v>Training Costs</v>
          </cell>
          <cell r="AL111">
            <v>750</v>
          </cell>
          <cell r="AO111">
            <v>8002</v>
          </cell>
          <cell r="AP111" t="str">
            <v>Furniture/Fitting Depreciation</v>
          </cell>
          <cell r="AT111">
            <v>8000</v>
          </cell>
          <cell r="AU111" t="str">
            <v>Depreciation</v>
          </cell>
          <cell r="AY111">
            <v>7602</v>
          </cell>
          <cell r="AZ111" t="str">
            <v>Consultancy Fees</v>
          </cell>
          <cell r="BA111">
            <v>5930</v>
          </cell>
          <cell r="BD111">
            <v>7601</v>
          </cell>
          <cell r="BE111" t="str">
            <v>Audit and Accountancy Fees</v>
          </cell>
          <cell r="BF111">
            <v>27920</v>
          </cell>
          <cell r="BI111">
            <v>7600</v>
          </cell>
          <cell r="BJ111" t="str">
            <v>Legal Fees</v>
          </cell>
          <cell r="BK111">
            <v>618.16</v>
          </cell>
        </row>
        <row r="112">
          <cell r="K112">
            <v>5201</v>
          </cell>
          <cell r="Z112">
            <v>7014</v>
          </cell>
          <cell r="AE112">
            <v>7014</v>
          </cell>
          <cell r="AJ112">
            <v>9998</v>
          </cell>
          <cell r="AK112" t="str">
            <v>Suspense Account</v>
          </cell>
          <cell r="AO112">
            <v>8004</v>
          </cell>
          <cell r="AP112" t="str">
            <v>Office Equipment Depreciation</v>
          </cell>
          <cell r="AT112">
            <v>8001</v>
          </cell>
          <cell r="AU112" t="str">
            <v>Plant/Machinery Depreciation</v>
          </cell>
          <cell r="AY112">
            <v>7900</v>
          </cell>
          <cell r="AZ112" t="str">
            <v>Bank Interest Paid</v>
          </cell>
          <cell r="BA112">
            <v>41.38</v>
          </cell>
          <cell r="BD112">
            <v>7602</v>
          </cell>
          <cell r="BE112" t="str">
            <v>Consultancy Fees</v>
          </cell>
          <cell r="BF112">
            <v>5930</v>
          </cell>
          <cell r="BI112">
            <v>7601</v>
          </cell>
          <cell r="BJ112" t="str">
            <v>Audit and Accountancy Fees</v>
          </cell>
          <cell r="BK112">
            <v>30360</v>
          </cell>
        </row>
        <row r="113">
          <cell r="K113">
            <v>7001</v>
          </cell>
          <cell r="Z113">
            <v>1220</v>
          </cell>
          <cell r="AL113">
            <v>3834747.79</v>
          </cell>
          <cell r="AM113">
            <v>3834747.79</v>
          </cell>
          <cell r="AO113">
            <v>8202</v>
          </cell>
          <cell r="AP113" t="str">
            <v>Purchase of test cards</v>
          </cell>
          <cell r="AQ113">
            <v>1964.83</v>
          </cell>
          <cell r="AT113">
            <v>8002</v>
          </cell>
          <cell r="AU113" t="str">
            <v>Furniture/Fitting Depreciation</v>
          </cell>
          <cell r="AY113">
            <v>7901</v>
          </cell>
          <cell r="AZ113" t="str">
            <v>Bank Charges</v>
          </cell>
          <cell r="BA113">
            <v>334.31</v>
          </cell>
          <cell r="BD113">
            <v>7900</v>
          </cell>
          <cell r="BE113" t="str">
            <v>Bank Interest Paid</v>
          </cell>
          <cell r="BF113">
            <v>41.38</v>
          </cell>
          <cell r="BI113">
            <v>7602</v>
          </cell>
          <cell r="BJ113" t="str">
            <v>Consultancy Fees</v>
          </cell>
          <cell r="BK113">
            <v>5930</v>
          </cell>
        </row>
        <row r="114">
          <cell r="K114">
            <v>7005</v>
          </cell>
          <cell r="AO114">
            <v>8203</v>
          </cell>
          <cell r="AP114" t="str">
            <v>Training Costs</v>
          </cell>
          <cell r="AQ114">
            <v>750</v>
          </cell>
          <cell r="AT114">
            <v>8004</v>
          </cell>
          <cell r="AU114" t="str">
            <v>Office Equipment Depreciation</v>
          </cell>
          <cell r="AY114">
            <v>8000</v>
          </cell>
          <cell r="AZ114" t="str">
            <v>Depreciation</v>
          </cell>
          <cell r="BD114">
            <v>7901</v>
          </cell>
          <cell r="BE114" t="str">
            <v>Bank Charges</v>
          </cell>
          <cell r="BF114">
            <v>346.31</v>
          </cell>
          <cell r="BI114">
            <v>7900</v>
          </cell>
          <cell r="BJ114" t="str">
            <v>Bank Interest Paid</v>
          </cell>
          <cell r="BK114">
            <v>41.38</v>
          </cell>
        </row>
        <row r="115">
          <cell r="K115">
            <v>7602</v>
          </cell>
          <cell r="AO115">
            <v>9998</v>
          </cell>
          <cell r="AP115" t="str">
            <v>Suspense Account</v>
          </cell>
          <cell r="AT115">
            <v>8202</v>
          </cell>
          <cell r="AU115" t="str">
            <v>Purchase of test cards</v>
          </cell>
          <cell r="AV115">
            <v>2123.83</v>
          </cell>
          <cell r="AY115">
            <v>8001</v>
          </cell>
          <cell r="AZ115" t="str">
            <v>Plant/Machinery Depreciation</v>
          </cell>
          <cell r="BD115">
            <v>8000</v>
          </cell>
          <cell r="BE115" t="str">
            <v>Depreciation</v>
          </cell>
          <cell r="BI115">
            <v>7901</v>
          </cell>
          <cell r="BJ115" t="str">
            <v>Bank Charges</v>
          </cell>
          <cell r="BK115">
            <v>358.31</v>
          </cell>
        </row>
        <row r="116">
          <cell r="AQ116">
            <v>4204082.25</v>
          </cell>
          <cell r="AR116">
            <v>4204082.25</v>
          </cell>
          <cell r="AT116">
            <v>8203</v>
          </cell>
          <cell r="AU116" t="str">
            <v>Training Costs</v>
          </cell>
          <cell r="AV116">
            <v>750</v>
          </cell>
          <cell r="AY116">
            <v>8002</v>
          </cell>
          <cell r="AZ116" t="str">
            <v>Furniture/Fitting Depreciation</v>
          </cell>
          <cell r="BD116">
            <v>8001</v>
          </cell>
          <cell r="BE116" t="str">
            <v>Plant/Machinery Depreciation</v>
          </cell>
          <cell r="BF116">
            <v>0</v>
          </cell>
          <cell r="BI116">
            <v>8000</v>
          </cell>
          <cell r="BJ116" t="str">
            <v>Depreciation</v>
          </cell>
        </row>
        <row r="117">
          <cell r="AT117">
            <v>9998</v>
          </cell>
          <cell r="AU117" t="str">
            <v>Suspense Account</v>
          </cell>
          <cell r="AY117">
            <v>8004</v>
          </cell>
          <cell r="AZ117" t="str">
            <v>Office Equipment Depreciation</v>
          </cell>
          <cell r="BD117">
            <v>8002</v>
          </cell>
          <cell r="BE117" t="str">
            <v>Furniture/Fitting Depreciation</v>
          </cell>
          <cell r="BI117">
            <v>8001</v>
          </cell>
          <cell r="BJ117" t="str">
            <v>Plant/Machinery Depreciation</v>
          </cell>
        </row>
        <row r="118">
          <cell r="AV118">
            <v>4597347.55</v>
          </cell>
          <cell r="AW118">
            <v>4597347.55</v>
          </cell>
          <cell r="AY118">
            <v>8202</v>
          </cell>
          <cell r="AZ118" t="str">
            <v>Purchase of test cards</v>
          </cell>
          <cell r="BA118">
            <v>3716.33</v>
          </cell>
          <cell r="BD118">
            <v>8004</v>
          </cell>
          <cell r="BE118" t="str">
            <v>Office Equipment Depreciation</v>
          </cell>
          <cell r="BG118">
            <v>0</v>
          </cell>
          <cell r="BI118">
            <v>8002</v>
          </cell>
          <cell r="BJ118" t="str">
            <v>Furniture/Fitting Depreciation</v>
          </cell>
        </row>
        <row r="119">
          <cell r="AY119">
            <v>8203</v>
          </cell>
          <cell r="AZ119" t="str">
            <v>Training Costs</v>
          </cell>
          <cell r="BA119">
            <v>750</v>
          </cell>
          <cell r="BD119">
            <v>8202</v>
          </cell>
          <cell r="BE119" t="str">
            <v>Purchase of test cards</v>
          </cell>
          <cell r="BF119">
            <v>4174.58</v>
          </cell>
          <cell r="BI119">
            <v>8004</v>
          </cell>
          <cell r="BJ119" t="str">
            <v>Office Equipment Depreciation</v>
          </cell>
        </row>
        <row r="120">
          <cell r="AY120">
            <v>9998</v>
          </cell>
          <cell r="AZ120" t="str">
            <v>Suspense Account</v>
          </cell>
          <cell r="BD120">
            <v>8203</v>
          </cell>
          <cell r="BE120" t="str">
            <v>Training Costs</v>
          </cell>
          <cell r="BF120">
            <v>750</v>
          </cell>
          <cell r="BI120">
            <v>8202</v>
          </cell>
          <cell r="BJ120" t="str">
            <v>Purchase of test cards</v>
          </cell>
          <cell r="BK120">
            <v>5980.08</v>
          </cell>
        </row>
        <row r="121">
          <cell r="BA121">
            <v>5479354.29</v>
          </cell>
          <cell r="BB121">
            <v>5479354.29</v>
          </cell>
          <cell r="BD121">
            <v>9998</v>
          </cell>
          <cell r="BE121" t="str">
            <v>Suspense Account</v>
          </cell>
          <cell r="BI121">
            <v>8203</v>
          </cell>
          <cell r="BJ121" t="str">
            <v>Training Costs</v>
          </cell>
          <cell r="BK121">
            <v>750</v>
          </cell>
        </row>
        <row r="122">
          <cell r="BI122">
            <v>9998</v>
          </cell>
          <cell r="BJ122" t="str">
            <v>Suspense Account</v>
          </cell>
        </row>
        <row r="123">
          <cell r="BI123">
            <v>9999</v>
          </cell>
          <cell r="BJ123" t="str">
            <v>Mispostings Account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Links"/>
      <sheetName val="0. Consolidation"/>
      <sheetName val="1. US Reconciliation"/>
      <sheetName val="2. Outstanding Checks Testing"/>
      <sheetName val="3. Other Subtractive Testing"/>
      <sheetName val="4. Additive Testing"/>
      <sheetName val="5. Subsequent Deposit Testing"/>
      <sheetName val="6. ST Investments"/>
      <sheetName val="7. CND Cash Testing"/>
      <sheetName val="8. France Cash Testing"/>
      <sheetName val="9. Div 68 UK Cash Testing"/>
      <sheetName val="XREF"/>
      <sheetName val="Tickmarks"/>
      <sheetName val="Menu"/>
      <sheetName val=".6 ST Investments"/>
      <sheetName val="SOFTWARE AMORT."/>
    </sheetNames>
    <sheetDataSet>
      <sheetData sheetId="0">
        <row r="2">
          <cell r="F2" t="str">
            <v>Preliminary</v>
          </cell>
          <cell r="J2" t="str">
            <v>AJE</v>
          </cell>
          <cell r="M2" t="str">
            <v>Adjusted</v>
          </cell>
          <cell r="N2" t="str">
            <v>RJE</v>
          </cell>
          <cell r="O2" t="str">
            <v>Final</v>
          </cell>
          <cell r="Q2" t="str">
            <v>2007</v>
          </cell>
          <cell r="R2">
            <v>0.2</v>
          </cell>
          <cell r="S2">
            <v>309400</v>
          </cell>
        </row>
        <row r="4">
          <cell r="F4">
            <v>809</v>
          </cell>
          <cell r="J4">
            <v>0</v>
          </cell>
          <cell r="M4">
            <v>809</v>
          </cell>
          <cell r="N4">
            <v>0</v>
          </cell>
          <cell r="O4">
            <v>809</v>
          </cell>
          <cell r="Q4">
            <v>998</v>
          </cell>
        </row>
        <row r="5">
          <cell r="F5">
            <v>0</v>
          </cell>
          <cell r="J5">
            <v>0</v>
          </cell>
          <cell r="M5">
            <v>0</v>
          </cell>
          <cell r="N5">
            <v>0</v>
          </cell>
          <cell r="O5">
            <v>0</v>
          </cell>
          <cell r="Q5">
            <v>0</v>
          </cell>
        </row>
        <row r="6">
          <cell r="F6">
            <v>11134</v>
          </cell>
          <cell r="J6">
            <v>0</v>
          </cell>
          <cell r="M6">
            <v>11134</v>
          </cell>
          <cell r="N6">
            <v>0</v>
          </cell>
          <cell r="O6">
            <v>11134</v>
          </cell>
          <cell r="Q6">
            <v>10976</v>
          </cell>
        </row>
        <row r="7">
          <cell r="F7">
            <v>11424386</v>
          </cell>
          <cell r="J7">
            <v>-242</v>
          </cell>
          <cell r="M7">
            <v>11424144</v>
          </cell>
          <cell r="N7">
            <v>0</v>
          </cell>
          <cell r="O7">
            <v>11424144</v>
          </cell>
          <cell r="Q7">
            <v>8877098</v>
          </cell>
        </row>
        <row r="8">
          <cell r="F8">
            <v>13643449</v>
          </cell>
          <cell r="J8">
            <v>0</v>
          </cell>
          <cell r="M8">
            <v>13643449</v>
          </cell>
          <cell r="N8">
            <v>0</v>
          </cell>
          <cell r="O8">
            <v>13643449</v>
          </cell>
          <cell r="Q8">
            <v>8992865</v>
          </cell>
        </row>
        <row r="9">
          <cell r="F9">
            <v>-97371538</v>
          </cell>
          <cell r="J9">
            <v>99458268</v>
          </cell>
          <cell r="M9">
            <v>2086730</v>
          </cell>
          <cell r="N9">
            <v>0</v>
          </cell>
          <cell r="O9">
            <v>2086730</v>
          </cell>
          <cell r="Q9">
            <v>4611293</v>
          </cell>
        </row>
        <row r="10">
          <cell r="F10">
            <v>160992</v>
          </cell>
          <cell r="J10">
            <v>0</v>
          </cell>
          <cell r="M10">
            <v>160992</v>
          </cell>
          <cell r="N10">
            <v>0</v>
          </cell>
          <cell r="O10">
            <v>160992</v>
          </cell>
          <cell r="Q10">
            <v>0</v>
          </cell>
        </row>
        <row r="11">
          <cell r="F11">
            <v>7996</v>
          </cell>
          <cell r="J11">
            <v>0</v>
          </cell>
          <cell r="M11">
            <v>7996</v>
          </cell>
          <cell r="N11">
            <v>0</v>
          </cell>
          <cell r="O11">
            <v>7996</v>
          </cell>
          <cell r="Q11">
            <v>0</v>
          </cell>
        </row>
        <row r="12">
          <cell r="F12">
            <v>0</v>
          </cell>
          <cell r="J12">
            <v>0</v>
          </cell>
          <cell r="M12">
            <v>0</v>
          </cell>
          <cell r="N12">
            <v>0</v>
          </cell>
          <cell r="O12">
            <v>0</v>
          </cell>
          <cell r="Q12">
            <v>0</v>
          </cell>
        </row>
        <row r="13">
          <cell r="F13">
            <v>0</v>
          </cell>
          <cell r="J13">
            <v>0</v>
          </cell>
          <cell r="M13">
            <v>0</v>
          </cell>
          <cell r="N13">
            <v>0</v>
          </cell>
          <cell r="O13">
            <v>0</v>
          </cell>
          <cell r="Q13">
            <v>6503542</v>
          </cell>
        </row>
        <row r="14">
          <cell r="F14">
            <v>0</v>
          </cell>
          <cell r="J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</row>
        <row r="15">
          <cell r="F15">
            <v>0</v>
          </cell>
          <cell r="J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</row>
        <row r="16">
          <cell r="F16">
            <v>-72122772</v>
          </cell>
          <cell r="J16">
            <v>99458026</v>
          </cell>
          <cell r="M16">
            <v>27335254</v>
          </cell>
          <cell r="N16">
            <v>0</v>
          </cell>
          <cell r="O16">
            <v>27335254</v>
          </cell>
          <cell r="Q16">
            <v>28996772</v>
          </cell>
        </row>
        <row r="18">
          <cell r="F18">
            <v>181467713</v>
          </cell>
          <cell r="J18">
            <v>0</v>
          </cell>
          <cell r="M18">
            <v>181467713</v>
          </cell>
          <cell r="N18">
            <v>0</v>
          </cell>
          <cell r="O18">
            <v>181467713</v>
          </cell>
          <cell r="Q18">
            <v>1139000</v>
          </cell>
        </row>
        <row r="19">
          <cell r="F19">
            <v>181467713</v>
          </cell>
          <cell r="J19">
            <v>0</v>
          </cell>
          <cell r="M19">
            <v>181467713</v>
          </cell>
          <cell r="N19">
            <v>0</v>
          </cell>
          <cell r="O19">
            <v>181467713</v>
          </cell>
          <cell r="Q19">
            <v>1139000</v>
          </cell>
        </row>
        <row r="20">
          <cell r="F20">
            <v>109344941</v>
          </cell>
          <cell r="J20">
            <v>99458026</v>
          </cell>
          <cell r="M20">
            <v>208802967</v>
          </cell>
          <cell r="N20">
            <v>0</v>
          </cell>
          <cell r="O20">
            <v>208802967</v>
          </cell>
          <cell r="Q20">
            <v>30135772</v>
          </cell>
        </row>
      </sheetData>
      <sheetData sheetId="1">
        <row r="1">
          <cell r="F1" t="str">
            <v>Preliminary</v>
          </cell>
          <cell r="G1" t="str">
            <v>AJE</v>
          </cell>
          <cell r="H1" t="str">
            <v>Adjusted</v>
          </cell>
          <cell r="I1" t="str">
            <v>RJE</v>
          </cell>
          <cell r="J1" t="str">
            <v>Final</v>
          </cell>
          <cell r="K1" t="str">
            <v>'2007</v>
          </cell>
        </row>
        <row r="3">
          <cell r="F3">
            <v>809</v>
          </cell>
          <cell r="G3">
            <v>0</v>
          </cell>
          <cell r="H3">
            <v>809</v>
          </cell>
          <cell r="I3">
            <v>0</v>
          </cell>
          <cell r="J3">
            <v>809</v>
          </cell>
          <cell r="K3">
            <v>998</v>
          </cell>
        </row>
        <row r="4"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F5">
            <v>11134</v>
          </cell>
          <cell r="G5">
            <v>0</v>
          </cell>
          <cell r="H5">
            <v>11134</v>
          </cell>
          <cell r="I5">
            <v>0</v>
          </cell>
          <cell r="J5">
            <v>11134</v>
          </cell>
          <cell r="K5">
            <v>10976</v>
          </cell>
        </row>
        <row r="6">
          <cell r="F6">
            <v>11424386</v>
          </cell>
          <cell r="G6">
            <v>-242</v>
          </cell>
          <cell r="H6">
            <v>11424144</v>
          </cell>
          <cell r="I6">
            <v>0</v>
          </cell>
          <cell r="J6">
            <v>11424144</v>
          </cell>
          <cell r="K6">
            <v>8877098</v>
          </cell>
        </row>
        <row r="7">
          <cell r="F7">
            <v>13643449</v>
          </cell>
          <cell r="G7">
            <v>0</v>
          </cell>
          <cell r="H7">
            <v>13643449</v>
          </cell>
          <cell r="I7">
            <v>0</v>
          </cell>
          <cell r="J7">
            <v>13643449</v>
          </cell>
          <cell r="K7">
            <v>8992865</v>
          </cell>
        </row>
        <row r="8">
          <cell r="F8">
            <v>-97371538</v>
          </cell>
          <cell r="G8">
            <v>99458268</v>
          </cell>
          <cell r="H8">
            <v>2086730</v>
          </cell>
          <cell r="I8">
            <v>0</v>
          </cell>
          <cell r="J8">
            <v>2086730</v>
          </cell>
          <cell r="K8">
            <v>4611293</v>
          </cell>
        </row>
        <row r="9">
          <cell r="F9">
            <v>160992</v>
          </cell>
          <cell r="G9">
            <v>0</v>
          </cell>
          <cell r="H9">
            <v>160992</v>
          </cell>
          <cell r="I9">
            <v>0</v>
          </cell>
          <cell r="J9">
            <v>160992</v>
          </cell>
          <cell r="K9">
            <v>0</v>
          </cell>
        </row>
        <row r="10">
          <cell r="F10">
            <v>7996</v>
          </cell>
          <cell r="G10">
            <v>0</v>
          </cell>
          <cell r="H10">
            <v>7996</v>
          </cell>
          <cell r="I10">
            <v>0</v>
          </cell>
          <cell r="J10">
            <v>7996</v>
          </cell>
          <cell r="K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6503542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F15">
            <v>-72122772</v>
          </cell>
          <cell r="G15">
            <v>99458026</v>
          </cell>
          <cell r="H15">
            <v>27335254</v>
          </cell>
          <cell r="I15">
            <v>0</v>
          </cell>
          <cell r="J15">
            <v>27335254</v>
          </cell>
          <cell r="K15">
            <v>28996772</v>
          </cell>
        </row>
        <row r="17">
          <cell r="F17">
            <v>181467713</v>
          </cell>
          <cell r="G17">
            <v>0</v>
          </cell>
          <cell r="H17">
            <v>181467713</v>
          </cell>
          <cell r="I17">
            <v>0</v>
          </cell>
          <cell r="J17">
            <v>181467713</v>
          </cell>
          <cell r="K17">
            <v>1139000</v>
          </cell>
        </row>
        <row r="18">
          <cell r="F18">
            <v>181467713</v>
          </cell>
          <cell r="G18">
            <v>0</v>
          </cell>
          <cell r="H18">
            <v>181467713</v>
          </cell>
          <cell r="I18">
            <v>0</v>
          </cell>
          <cell r="J18">
            <v>181467713</v>
          </cell>
          <cell r="K18">
            <v>1139000</v>
          </cell>
        </row>
        <row r="19">
          <cell r="F19">
            <v>109344941</v>
          </cell>
          <cell r="G19">
            <v>99458026</v>
          </cell>
          <cell r="H19">
            <v>208802967</v>
          </cell>
          <cell r="I19">
            <v>0</v>
          </cell>
          <cell r="J19">
            <v>208802967</v>
          </cell>
          <cell r="K19">
            <v>30135772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econ to Dec"/>
      <sheetName val="Other US"/>
      <sheetName val="International Summary Adjust"/>
      <sheetName val="International Summ recon to Dec"/>
      <sheetName val="SG&amp;A recon"/>
      <sheetName val="Recon to Dec Margin"/>
      <sheetName val="Recon to Dec"/>
      <sheetName val="SG&amp;A YOY"/>
      <sheetName val="YOY Total"/>
      <sheetName val="Summary by Country"/>
      <sheetName val="YOY Margin"/>
      <sheetName val="Summary by Product"/>
      <sheetName val="SG&amp;A by Period"/>
      <sheetName val="SG&amp;A Summary YOY"/>
      <sheetName val="YOY Total Old"/>
      <sheetName val="Total Summary  YOY"/>
      <sheetName val="Total BHN"/>
      <sheetName val="COR and Prog Exp YOY"/>
      <sheetName val="CAO group"/>
      <sheetName val="SG&amp;A YOY with est"/>
      <sheetName val="Headcount YOY"/>
      <sheetName val="RFT Schedule"/>
      <sheetName val="Contractor Schedule"/>
      <sheetName val="2011 Est Summary"/>
      <sheetName val="US Summary YOY"/>
      <sheetName val="YOY US"/>
      <sheetName val="Summary by Region"/>
      <sheetName val="Summary US"/>
      <sheetName val="SG&amp;A vs Guideline"/>
      <sheetName val="Other COR and Other Rev detail"/>
      <sheetName val="Talbott's SG&amp;A"/>
      <sheetName val="Comp Benf Detail"/>
      <sheetName val="Cost Center"/>
      <sheetName val="Capitalized labor "/>
      <sheetName val="Cardpool"/>
      <sheetName val="Closed Gift US"/>
      <sheetName val="Open Gift US"/>
      <sheetName val="Fin Svcs US"/>
      <sheetName val="Telecom POSA US"/>
      <sheetName val="Telecom ASP"/>
      <sheetName val="Online"/>
      <sheetName val="Incentives"/>
      <sheetName val="US Indirect COR and Prog Exp"/>
      <sheetName val="Total International"/>
      <sheetName val="Intl Admin"/>
      <sheetName val="Summary Canada"/>
      <sheetName val="Summary Mexico"/>
      <sheetName val="Brazil"/>
      <sheetName val="Total Europe"/>
      <sheetName val="Int Corporate for Europe"/>
      <sheetName val="Summary UK"/>
      <sheetName val="Summary France"/>
      <sheetName val="Summary Germany"/>
      <sheetName val="Summary Belgium"/>
      <sheetName val="Summary Netherlands"/>
      <sheetName val="Spain"/>
      <sheetName val="Czech Rep"/>
      <sheetName val="Poland"/>
      <sheetName val="Summary Switzerland"/>
      <sheetName val="Summary Ireland"/>
      <sheetName val="Summary Denmark"/>
      <sheetName val="Summary Finland"/>
      <sheetName val="Summary Norway"/>
      <sheetName val="Summary Sweden"/>
      <sheetName val="Italy"/>
      <sheetName val="Summary ASIAPAC"/>
      <sheetName val="Summary Australia"/>
      <sheetName val="Summary Japan"/>
      <sheetName val="Summary New Zealand"/>
      <sheetName val="Summary China"/>
      <sheetName val="Summary S Korea"/>
      <sheetName val="Total BHN by Region"/>
      <sheetName val="Recon to Dec SG&amp;A"/>
      <sheetName val="Other COR"/>
      <sheetName val="Other Ops Rev detail"/>
      <sheetName val="Occupancy Summary"/>
      <sheetName val="HC Schedule"/>
      <sheetName val="Contractors Schedule"/>
      <sheetName val="SG&amp;A YOY Talbott"/>
      <sheetName val="SG&amp;A YOY Jerry"/>
      <sheetName val="SG&amp;A YOY Int'l"/>
      <sheetName val="Legal Expense by Country"/>
      <sheetName val="HC YOY"/>
      <sheetName val="FX"/>
      <sheetName val="Bonus Seasonality"/>
      <sheetName val="Comp and Benf Detail"/>
      <sheetName val="Assumption"/>
      <sheetName val="Charitable Contri in US Allianc"/>
      <sheetName val="PLB Build Out"/>
      <sheetName val="YOY"/>
      <sheetName val="Total YOY"/>
      <sheetName val="Total US"/>
      <sheetName val="Switzerland"/>
      <sheetName val="Ireland"/>
      <sheetName val="Denmark"/>
      <sheetName val="Finland"/>
      <sheetName val="Norway"/>
      <sheetName val="Sweden"/>
      <sheetName val="China"/>
      <sheetName val="S Korea"/>
      <sheetName val="2011 &amp; 2012 US &amp; Int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66">
          <cell r="C66">
            <v>0.7215923761246833</v>
          </cell>
        </row>
        <row r="67">
          <cell r="C67">
            <v>0.15800221626297176</v>
          </cell>
        </row>
        <row r="68">
          <cell r="C68">
            <v>5.8306009757870647E-2</v>
          </cell>
        </row>
        <row r="69">
          <cell r="C69">
            <v>4.9764749423212913E-2</v>
          </cell>
        </row>
        <row r="70">
          <cell r="C70">
            <v>1.2334648431261438E-2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S Consolidated"/>
      <sheetName val="FATS Consolidated-Continuing"/>
      <sheetName val="FATS Texas"/>
      <sheetName val="Summary Tied to GL"/>
      <sheetName val="Summ Consol - Continuing"/>
      <sheetName val="Unused"/>
      <sheetName val="Reclass"/>
      <sheetName val="1101"/>
      <sheetName val="1301"/>
      <sheetName val="1501"/>
      <sheetName val="1502"/>
      <sheetName val="1510"/>
      <sheetName val="Division 20 Company 1101"/>
      <sheetName val="Reclass_Texas"/>
      <sheetName val="Purchases"/>
      <sheetName val="9-6-86 Depr"/>
      <sheetName val="Input sheet"/>
      <sheetName val="LawsonDrillInfo"/>
      <sheetName val="JE - 1101"/>
      <sheetName val="JE - 1301"/>
      <sheetName val="JE - 1501"/>
      <sheetName val="JE - 1502"/>
      <sheetName val="JE - 1510"/>
      <sheetName val="JE - DIV20"/>
      <sheetName val="Reclass_disposals"/>
      <sheetName val="Reclass_adjustments"/>
      <sheetName val="Reclass_disposals_div20"/>
      <sheetName val="Reclass_addjustments_DIV20"/>
      <sheetName val="FATS_GL_ALL"/>
      <sheetName val="MergeCo Ca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">
          <cell r="CE4" t="str">
            <v>Sum of AMT</v>
          </cell>
          <cell r="CG4" t="str">
            <v>SOURCE_CODE</v>
          </cell>
        </row>
        <row r="5">
          <cell r="CE5" t="str">
            <v>TO_COMPANY</v>
          </cell>
          <cell r="CF5" t="str">
            <v>ACCOUNT</v>
          </cell>
          <cell r="CG5" t="str">
            <v>AA</v>
          </cell>
          <cell r="CH5" t="str">
            <v>AD</v>
          </cell>
          <cell r="CI5" t="str">
            <v>AS</v>
          </cell>
          <cell r="CJ5" t="str">
            <v>AT</v>
          </cell>
          <cell r="CK5" t="str">
            <v>DE</v>
          </cell>
          <cell r="CL5" t="str">
            <v>DI</v>
          </cell>
          <cell r="CM5" t="str">
            <v>JE</v>
          </cell>
          <cell r="CN5" t="str">
            <v>CL</v>
          </cell>
        </row>
        <row r="6">
          <cell r="CE6">
            <v>1510</v>
          </cell>
          <cell r="CF6">
            <v>180467</v>
          </cell>
          <cell r="CG6">
            <v>5422199.9300000025</v>
          </cell>
          <cell r="CI6">
            <v>661868.28</v>
          </cell>
          <cell r="CJ6">
            <v>-2305286</v>
          </cell>
          <cell r="CL6">
            <v>-66707.34</v>
          </cell>
          <cell r="CM6">
            <v>1661756.46</v>
          </cell>
        </row>
        <row r="7">
          <cell r="CF7">
            <v>181567</v>
          </cell>
          <cell r="CI7">
            <v>-121812.33</v>
          </cell>
          <cell r="CJ7">
            <v>23103.49</v>
          </cell>
          <cell r="CK7">
            <v>-576619.30000000005</v>
          </cell>
          <cell r="CL7">
            <v>140.62</v>
          </cell>
          <cell r="CM7">
            <v>-887615.79</v>
          </cell>
        </row>
        <row r="8">
          <cell r="CF8">
            <v>182667</v>
          </cell>
          <cell r="CG8">
            <v>-5422199.9300000025</v>
          </cell>
          <cell r="CH8">
            <v>4397820.08</v>
          </cell>
          <cell r="CI8">
            <v>-661868.28</v>
          </cell>
          <cell r="CL8">
            <v>66684.34</v>
          </cell>
          <cell r="CM8">
            <v>4218225</v>
          </cell>
          <cell r="CN8">
            <v>44837.79</v>
          </cell>
        </row>
        <row r="9">
          <cell r="CF9">
            <v>360727</v>
          </cell>
          <cell r="CI9">
            <v>121812.33</v>
          </cell>
          <cell r="CK9">
            <v>576619.30000000005</v>
          </cell>
          <cell r="CL9">
            <v>-140.62</v>
          </cell>
          <cell r="CM9">
            <v>97030.05</v>
          </cell>
        </row>
        <row r="10">
          <cell r="CF10">
            <v>383930</v>
          </cell>
          <cell r="CL10">
            <v>23</v>
          </cell>
        </row>
        <row r="11">
          <cell r="CF11">
            <v>180466</v>
          </cell>
          <cell r="CG11">
            <v>55361.16</v>
          </cell>
          <cell r="CI11">
            <v>0</v>
          </cell>
          <cell r="CJ11">
            <v>50196.51</v>
          </cell>
          <cell r="CM11">
            <v>-8.1428197518107481E-12</v>
          </cell>
        </row>
        <row r="12">
          <cell r="CF12">
            <v>181566</v>
          </cell>
          <cell r="CI12">
            <v>-5240.609999999986</v>
          </cell>
          <cell r="CK12">
            <v>-303533.23</v>
          </cell>
        </row>
        <row r="13">
          <cell r="CF13">
            <v>360726</v>
          </cell>
          <cell r="CI13">
            <v>5240.6099999999997</v>
          </cell>
          <cell r="CK13">
            <v>303533.23</v>
          </cell>
          <cell r="CM13">
            <v>-3.637978807091713E-11</v>
          </cell>
        </row>
        <row r="14">
          <cell r="CF14">
            <v>182666</v>
          </cell>
          <cell r="CG14">
            <v>-55361.16</v>
          </cell>
          <cell r="CH14">
            <v>55361.16</v>
          </cell>
        </row>
      </sheetData>
      <sheetData sheetId="2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"/>
      <sheetName val="VesselsOperating"/>
      <sheetName val="OP OH"/>
      <sheetName val="VesselsOverhead"/>
      <sheetName val="DEPR"/>
      <sheetName val="G&amp;A"/>
      <sheetName val="CSXLStore"/>
      <sheetName val="MIS"/>
      <sheetName val="MNC"/>
      <sheetName val="HI"/>
      <sheetName val="Guam"/>
      <sheetName val="MPS"/>
      <sheetName val="Charter"/>
      <sheetName val="Oth Inc &amp; Exp"/>
      <sheetName val="Vessel OH"/>
      <sheetName val="MTI"/>
    </sheetNames>
    <sheetDataSet>
      <sheetData sheetId="0" refreshError="1">
        <row r="7">
          <cell r="AA7" t="str">
            <v>Accounting Periods Year</v>
          </cell>
          <cell r="AB7" t="str">
            <v>2003</v>
          </cell>
        </row>
        <row r="8">
          <cell r="AA8" t="str">
            <v>Version</v>
          </cell>
          <cell r="AB8" t="str">
            <v>Operating Plan</v>
          </cell>
        </row>
      </sheetData>
      <sheetData sheetId="1" refreshError="1"/>
      <sheetData sheetId="2" refreshError="1">
        <row r="10">
          <cell r="AL10" t="str">
            <v>Entity</v>
          </cell>
          <cell r="AM10" t="str">
            <v>Total Income from Ops-All Services</v>
          </cell>
        </row>
        <row r="30">
          <cell r="AL30" t="str">
            <v>Accounting Periods Year</v>
          </cell>
          <cell r="AM30" t="str">
            <v>2003</v>
          </cell>
        </row>
        <row r="31">
          <cell r="AL31" t="str">
            <v>Version</v>
          </cell>
          <cell r="AM31" t="str">
            <v>Operating Plan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2008 SG&amp;A Assumptions"/>
      <sheetName val="YTD P6 Act+Fcst"/>
      <sheetName val="WR15289"/>
      <sheetName val="Revenue Recognition"/>
    </sheetNames>
    <sheetDataSet>
      <sheetData sheetId="0" refreshError="1">
        <row r="19">
          <cell r="B19">
            <v>350</v>
          </cell>
          <cell r="C19">
            <v>125</v>
          </cell>
          <cell r="D19">
            <v>50</v>
          </cell>
          <cell r="E19">
            <v>25</v>
          </cell>
        </row>
        <row r="20">
          <cell r="B20">
            <v>8000</v>
          </cell>
          <cell r="C20">
            <v>350</v>
          </cell>
          <cell r="D20">
            <v>100</v>
          </cell>
          <cell r="E20">
            <v>75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Data"/>
      <sheetName val="Setup"/>
      <sheetName val="User Sheet"/>
    </sheetNames>
    <sheetDataSet>
      <sheetData sheetId="0" refreshError="1"/>
      <sheetData sheetId="1" refreshError="1"/>
      <sheetData sheetId="2" refreshError="1">
        <row r="2">
          <cell r="K2" t="str">
            <v>FC</v>
          </cell>
        </row>
        <row r="3">
          <cell r="K3" t="str">
            <v>RJC-COMPANY</v>
          </cell>
        </row>
        <row r="4">
          <cell r="K4" t="str">
            <v>RJC-JE-TYPE</v>
          </cell>
        </row>
        <row r="5">
          <cell r="K5" t="str">
            <v>RJC-REC-GROUP</v>
          </cell>
        </row>
        <row r="6">
          <cell r="K6" t="str">
            <v>PT-RJT-LINE-NBR</v>
          </cell>
        </row>
        <row r="7">
          <cell r="K7" t="str">
            <v>LINE-FC</v>
          </cell>
        </row>
        <row r="8">
          <cell r="K8" t="str">
            <v>RJT-TO-COMPANY</v>
          </cell>
        </row>
        <row r="9">
          <cell r="K9" t="str">
            <v>RJT-ACCT-UNIT</v>
          </cell>
        </row>
        <row r="10">
          <cell r="K10" t="str">
            <v>RJT-ACCOUNT</v>
          </cell>
        </row>
        <row r="11">
          <cell r="K11" t="str">
            <v>RJT-SUB-ACCOUNT</v>
          </cell>
        </row>
        <row r="12">
          <cell r="K12" t="str">
            <v>RJT-SEGMENT-BLOCK</v>
          </cell>
        </row>
        <row r="13">
          <cell r="K13" t="str">
            <v>RJT-ACTIVITY</v>
          </cell>
        </row>
        <row r="14">
          <cell r="K14" t="str">
            <v>RJT-ACCT-CATEGORY</v>
          </cell>
        </row>
        <row r="15">
          <cell r="K15" t="str">
            <v>RJT-TRAN-AMOUNT</v>
          </cell>
        </row>
        <row r="16">
          <cell r="K16" t="str">
            <v>RJT-UNITS-AMOUNT</v>
          </cell>
        </row>
        <row r="17">
          <cell r="K17" t="str">
            <v>RJT-DESCRIPTION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D"/>
      <sheetName val="Readme"/>
      <sheetName val="Gegenkonto"/>
      <sheetName val="Kontolauf"/>
      <sheetName val="BNP"/>
      <sheetName val="Setup"/>
    </sheetNames>
    <sheetDataSet>
      <sheetData sheetId="0" refreshError="1"/>
      <sheetData sheetId="1" refreshError="1"/>
      <sheetData sheetId="2" refreshError="1">
        <row r="8">
          <cell r="C8">
            <v>1780</v>
          </cell>
          <cell r="D8" t="str">
            <v>USt VZ</v>
          </cell>
        </row>
        <row r="9">
          <cell r="C9">
            <v>1791</v>
          </cell>
          <cell r="D9" t="str">
            <v>RK Eberle</v>
          </cell>
        </row>
        <row r="10">
          <cell r="C10">
            <v>1792</v>
          </cell>
          <cell r="D10" t="str">
            <v>RK Nies</v>
          </cell>
        </row>
        <row r="11">
          <cell r="C11">
            <v>1793</v>
          </cell>
          <cell r="D11" t="str">
            <v>RK Ertl-Nies</v>
          </cell>
        </row>
        <row r="12">
          <cell r="C12">
            <v>1794</v>
          </cell>
          <cell r="D12" t="str">
            <v>RK Schroeter</v>
          </cell>
        </row>
        <row r="13">
          <cell r="C13">
            <v>2100</v>
          </cell>
          <cell r="D13" t="str">
            <v>Zinsen u.ä.</v>
          </cell>
        </row>
        <row r="14">
          <cell r="C14">
            <v>2110</v>
          </cell>
          <cell r="D14" t="str">
            <v>Zins kf. Verb.</v>
          </cell>
        </row>
        <row r="15">
          <cell r="C15">
            <v>2140</v>
          </cell>
          <cell r="D15" t="str">
            <v>Zinsähnliche</v>
          </cell>
        </row>
        <row r="16">
          <cell r="C16">
            <v>3735</v>
          </cell>
          <cell r="D16" t="str">
            <v>Erh. Skonti 16%</v>
          </cell>
        </row>
        <row r="17">
          <cell r="C17">
            <v>2650</v>
          </cell>
          <cell r="D17" t="str">
            <v>Zinsen u.ä.</v>
          </cell>
        </row>
        <row r="18">
          <cell r="C18">
            <v>4210</v>
          </cell>
          <cell r="D18" t="str">
            <v>Miete</v>
          </cell>
        </row>
        <row r="19">
          <cell r="C19">
            <v>4240</v>
          </cell>
          <cell r="D19" t="str">
            <v>GasStromWasser</v>
          </cell>
        </row>
        <row r="20">
          <cell r="C20">
            <v>4615</v>
          </cell>
          <cell r="D20" t="str">
            <v>Wettbewerbe</v>
          </cell>
        </row>
        <row r="21">
          <cell r="C21">
            <v>4927</v>
          </cell>
          <cell r="D21" t="str">
            <v>GEZ</v>
          </cell>
        </row>
        <row r="22">
          <cell r="C22">
            <v>4970</v>
          </cell>
          <cell r="D22" t="str">
            <v>NK Geldverkehr</v>
          </cell>
        </row>
        <row r="23">
          <cell r="C23">
            <v>1590</v>
          </cell>
          <cell r="D23" t="str">
            <v>Durchl. Posten</v>
          </cell>
        </row>
        <row r="24">
          <cell r="C24">
            <v>4999</v>
          </cell>
          <cell r="D24" t="str">
            <v>Weiß nicht</v>
          </cell>
        </row>
        <row r="25">
          <cell r="C25">
            <v>70001</v>
          </cell>
          <cell r="D25" t="str">
            <v>A.K.</v>
          </cell>
        </row>
        <row r="26">
          <cell r="C26">
            <v>70002</v>
          </cell>
          <cell r="D26" t="str">
            <v>Assek.</v>
          </cell>
        </row>
        <row r="27">
          <cell r="C27">
            <v>70101</v>
          </cell>
          <cell r="D27" t="str">
            <v>Bertel</v>
          </cell>
        </row>
        <row r="28">
          <cell r="C28">
            <v>70102</v>
          </cell>
          <cell r="D28" t="str">
            <v>BuhaW</v>
          </cell>
        </row>
        <row r="29">
          <cell r="C29">
            <v>70103</v>
          </cell>
          <cell r="D29" t="str">
            <v>BauNet</v>
          </cell>
        </row>
        <row r="30">
          <cell r="C30">
            <v>70201</v>
          </cell>
          <cell r="D30" t="str">
            <v>CAD</v>
          </cell>
        </row>
        <row r="31">
          <cell r="C31">
            <v>70301</v>
          </cell>
          <cell r="D31" t="str">
            <v>Dahmen</v>
          </cell>
        </row>
        <row r="32">
          <cell r="C32">
            <v>70302</v>
          </cell>
          <cell r="D32" t="str">
            <v>Dahlke</v>
          </cell>
        </row>
        <row r="33">
          <cell r="C33">
            <v>70303</v>
          </cell>
          <cell r="D33" t="str">
            <v>DVA</v>
          </cell>
        </row>
        <row r="34">
          <cell r="C34">
            <v>70399</v>
          </cell>
          <cell r="D34" t="str">
            <v>Divers</v>
          </cell>
        </row>
        <row r="35">
          <cell r="C35">
            <v>70501</v>
          </cell>
          <cell r="D35" t="str">
            <v>Feucht</v>
          </cell>
        </row>
        <row r="36">
          <cell r="C36">
            <v>70601</v>
          </cell>
          <cell r="D36" t="str">
            <v>GEZ</v>
          </cell>
        </row>
        <row r="37">
          <cell r="C37">
            <v>70701</v>
          </cell>
          <cell r="D37" t="str">
            <v>Hauser</v>
          </cell>
        </row>
        <row r="38">
          <cell r="C38">
            <v>70702</v>
          </cell>
          <cell r="D38" t="str">
            <v>Hoof</v>
          </cell>
        </row>
        <row r="39">
          <cell r="C39">
            <v>70801</v>
          </cell>
          <cell r="D39" t="str">
            <v>IKEA</v>
          </cell>
        </row>
        <row r="40">
          <cell r="C40">
            <v>70802</v>
          </cell>
          <cell r="D40" t="str">
            <v>Intine</v>
          </cell>
        </row>
        <row r="41">
          <cell r="C41">
            <v>70803</v>
          </cell>
          <cell r="D41" t="str">
            <v>Indoku</v>
          </cell>
        </row>
        <row r="42">
          <cell r="C42">
            <v>71001</v>
          </cell>
          <cell r="D42" t="str">
            <v>Kaufhf</v>
          </cell>
        </row>
        <row r="43">
          <cell r="C43">
            <v>71002</v>
          </cell>
          <cell r="D43" t="str">
            <v>Karst</v>
          </cell>
        </row>
        <row r="44">
          <cell r="C44">
            <v>71201</v>
          </cell>
          <cell r="D44" t="str">
            <v>Memo</v>
          </cell>
        </row>
        <row r="45">
          <cell r="C45">
            <v>71202</v>
          </cell>
          <cell r="D45" t="str">
            <v>Müller</v>
          </cell>
        </row>
        <row r="46">
          <cell r="C46">
            <v>71203</v>
          </cell>
          <cell r="D46" t="str">
            <v>Mayer</v>
          </cell>
        </row>
        <row r="47">
          <cell r="C47">
            <v>71204</v>
          </cell>
          <cell r="D47" t="str">
            <v>Möbel</v>
          </cell>
        </row>
        <row r="48">
          <cell r="C48">
            <v>71301</v>
          </cell>
          <cell r="D48" t="str">
            <v>NurNat</v>
          </cell>
        </row>
        <row r="49">
          <cell r="C49">
            <v>71302</v>
          </cell>
          <cell r="D49" t="str">
            <v>NeuTec</v>
          </cell>
        </row>
        <row r="50">
          <cell r="C50">
            <v>71401</v>
          </cell>
          <cell r="D50" t="str">
            <v>OBI</v>
          </cell>
        </row>
        <row r="51">
          <cell r="C51">
            <v>71402</v>
          </cell>
          <cell r="D51" t="str">
            <v>Ober</v>
          </cell>
        </row>
        <row r="52">
          <cell r="C52">
            <v>71501</v>
          </cell>
          <cell r="D52" t="str">
            <v>Prakt</v>
          </cell>
        </row>
        <row r="53">
          <cell r="C53">
            <v>71701</v>
          </cell>
          <cell r="D53" t="str">
            <v>Riess</v>
          </cell>
        </row>
        <row r="54">
          <cell r="C54">
            <v>71702</v>
          </cell>
          <cell r="D54" t="str">
            <v>Reform</v>
          </cell>
        </row>
        <row r="55">
          <cell r="C55">
            <v>71801</v>
          </cell>
          <cell r="D55" t="str">
            <v>Saturn</v>
          </cell>
        </row>
        <row r="56">
          <cell r="C56">
            <v>71901</v>
          </cell>
          <cell r="D56" t="str">
            <v>Schörg</v>
          </cell>
        </row>
        <row r="57">
          <cell r="C57">
            <v>72101</v>
          </cell>
          <cell r="D57" t="str">
            <v>Tsomp</v>
          </cell>
        </row>
        <row r="58">
          <cell r="C58">
            <v>72102</v>
          </cell>
          <cell r="D58" t="str">
            <v>Tele</v>
          </cell>
        </row>
        <row r="59">
          <cell r="C59">
            <v>72401</v>
          </cell>
          <cell r="D59" t="str">
            <v>Wernik</v>
          </cell>
        </row>
        <row r="60">
          <cell r="C60">
            <v>72402</v>
          </cell>
          <cell r="D60" t="str">
            <v>Wenzel</v>
          </cell>
        </row>
        <row r="61">
          <cell r="C61">
            <v>72403</v>
          </cell>
          <cell r="D61" t="str">
            <v>Wettbe</v>
          </cell>
        </row>
        <row r="62">
          <cell r="C62">
            <v>71801</v>
          </cell>
          <cell r="D62" t="str">
            <v>Saturn</v>
          </cell>
        </row>
        <row r="63">
          <cell r="C63">
            <v>71901</v>
          </cell>
          <cell r="D63" t="str">
            <v>Schörg</v>
          </cell>
        </row>
        <row r="64">
          <cell r="C64">
            <v>72101</v>
          </cell>
          <cell r="D64" t="str">
            <v>Tsomp</v>
          </cell>
        </row>
        <row r="65">
          <cell r="C65">
            <v>72102</v>
          </cell>
          <cell r="D65" t="str">
            <v>Tele</v>
          </cell>
        </row>
        <row r="66">
          <cell r="C66">
            <v>72401</v>
          </cell>
          <cell r="D66" t="str">
            <v>Wernik</v>
          </cell>
        </row>
        <row r="67">
          <cell r="C67">
            <v>72402</v>
          </cell>
          <cell r="D67" t="str">
            <v>Wenzel</v>
          </cell>
        </row>
        <row r="68">
          <cell r="C68">
            <v>72403</v>
          </cell>
          <cell r="D68" t="str">
            <v>Wettbe</v>
          </cell>
        </row>
        <row r="69">
          <cell r="C69">
            <v>10301</v>
          </cell>
          <cell r="D69" t="str">
            <v>Diez</v>
          </cell>
        </row>
        <row r="70">
          <cell r="C70">
            <v>10601</v>
          </cell>
          <cell r="D70" t="str">
            <v>Genn</v>
          </cell>
        </row>
        <row r="71">
          <cell r="C71">
            <v>11201</v>
          </cell>
          <cell r="D71" t="str">
            <v>Marx</v>
          </cell>
        </row>
        <row r="72">
          <cell r="C72">
            <v>11501</v>
          </cell>
          <cell r="D72" t="str">
            <v>PGM</v>
          </cell>
        </row>
        <row r="73">
          <cell r="C73">
            <v>12301</v>
          </cell>
          <cell r="D73" t="str">
            <v>VHBA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en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port List"/>
      <sheetName val="BHN_BS_Trend"/>
      <sheetName val="BHN_PL_Current Period"/>
      <sheetName val="BHN_PL_Trend"/>
      <sheetName val="BHN_TB_Summary_Period"/>
      <sheetName val="GL Detail_Period"/>
      <sheetName val="GL Detail_YTD"/>
      <sheetName val="Bank Recon"/>
      <sheetName val="Cash Disb Journal"/>
      <sheetName val="Fixed Assets"/>
      <sheetName val="Deposits Recon"/>
      <sheetName val="Prepaid Recon"/>
      <sheetName val="AP subledger"/>
      <sheetName val="Accrued Exp Recon"/>
      <sheetName val="Inter-co 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249530</v>
          </cell>
          <cell r="B1" t="str">
            <v>2007/11</v>
          </cell>
          <cell r="C1">
            <v>421000</v>
          </cell>
          <cell r="D1" t="str">
            <v xml:space="preserve">OD PAYE 06/07 REM DUES             </v>
          </cell>
          <cell r="E1">
            <v>91.22</v>
          </cell>
          <cell r="F1" t="str">
            <v>C</v>
          </cell>
          <cell r="G1">
            <v>-91.22</v>
          </cell>
        </row>
        <row r="2">
          <cell r="A2">
            <v>249530</v>
          </cell>
          <cell r="B2" t="str">
            <v>2007/11</v>
          </cell>
          <cell r="C2">
            <v>421000</v>
          </cell>
          <cell r="D2" t="str">
            <v xml:space="preserve">OD PAYE 06/07 ACPTES               </v>
          </cell>
          <cell r="E2">
            <v>5850</v>
          </cell>
          <cell r="F2" t="str">
            <v>C</v>
          </cell>
          <cell r="G2">
            <v>-5850</v>
          </cell>
        </row>
        <row r="3">
          <cell r="A3">
            <v>249530</v>
          </cell>
          <cell r="B3" t="str">
            <v>2007/11</v>
          </cell>
          <cell r="C3">
            <v>431000</v>
          </cell>
          <cell r="D3" t="str">
            <v xml:space="preserve">OD PAYE 06/07                      </v>
          </cell>
          <cell r="E3">
            <v>2521.46</v>
          </cell>
          <cell r="F3" t="str">
            <v>C</v>
          </cell>
          <cell r="G3">
            <v>-2521.46</v>
          </cell>
        </row>
        <row r="4">
          <cell r="A4">
            <v>249530</v>
          </cell>
          <cell r="B4" t="str">
            <v>2007/11</v>
          </cell>
          <cell r="C4">
            <v>437000</v>
          </cell>
          <cell r="D4" t="str">
            <v xml:space="preserve">OD PAYE 06/07                      </v>
          </cell>
          <cell r="E4">
            <v>1494.16</v>
          </cell>
          <cell r="F4" t="str">
            <v>C</v>
          </cell>
          <cell r="G4">
            <v>-1494.16</v>
          </cell>
        </row>
        <row r="5">
          <cell r="A5">
            <v>249530</v>
          </cell>
          <cell r="B5" t="str">
            <v>2007/11</v>
          </cell>
          <cell r="C5">
            <v>437030</v>
          </cell>
          <cell r="D5" t="str">
            <v xml:space="preserve">OD PAYE 06/07                      </v>
          </cell>
          <cell r="E5">
            <v>491.25</v>
          </cell>
          <cell r="F5" t="str">
            <v>C</v>
          </cell>
          <cell r="G5">
            <v>-491.25</v>
          </cell>
        </row>
        <row r="6">
          <cell r="A6">
            <v>249530</v>
          </cell>
          <cell r="B6" t="str">
            <v>2007/11</v>
          </cell>
          <cell r="C6">
            <v>447020</v>
          </cell>
          <cell r="D6" t="str">
            <v xml:space="preserve">OD PAYE 06/07                      </v>
          </cell>
          <cell r="E6">
            <v>51</v>
          </cell>
          <cell r="F6" t="str">
            <v>C</v>
          </cell>
          <cell r="G6">
            <v>-51</v>
          </cell>
        </row>
        <row r="7">
          <cell r="A7">
            <v>249530</v>
          </cell>
          <cell r="B7" t="str">
            <v>2007/11</v>
          </cell>
          <cell r="C7">
            <v>447030</v>
          </cell>
          <cell r="D7" t="str">
            <v xml:space="preserve">OD PAYE 06/07                      </v>
          </cell>
          <cell r="E7">
            <v>41.25</v>
          </cell>
          <cell r="F7" t="str">
            <v>C</v>
          </cell>
          <cell r="G7">
            <v>-41.25</v>
          </cell>
        </row>
        <row r="8">
          <cell r="A8">
            <v>325875</v>
          </cell>
          <cell r="B8" t="str">
            <v>2007/11</v>
          </cell>
          <cell r="C8">
            <v>631200</v>
          </cell>
          <cell r="D8" t="str">
            <v xml:space="preserve">OD PAYE 06/07                      </v>
          </cell>
          <cell r="E8">
            <v>51</v>
          </cell>
          <cell r="F8" t="str">
            <v>D</v>
          </cell>
          <cell r="G8">
            <v>51</v>
          </cell>
        </row>
        <row r="9">
          <cell r="A9">
            <v>325875</v>
          </cell>
          <cell r="B9" t="str">
            <v>2007/11</v>
          </cell>
          <cell r="C9">
            <v>633300</v>
          </cell>
          <cell r="D9" t="str">
            <v xml:space="preserve">OD PAYE 06/07                      </v>
          </cell>
          <cell r="E9">
            <v>41.25</v>
          </cell>
          <cell r="F9" t="str">
            <v>D</v>
          </cell>
          <cell r="G9">
            <v>41.25</v>
          </cell>
        </row>
        <row r="10">
          <cell r="A10">
            <v>321200</v>
          </cell>
          <cell r="B10" t="str">
            <v>2007/11</v>
          </cell>
          <cell r="C10">
            <v>641110</v>
          </cell>
          <cell r="D10" t="str">
            <v xml:space="preserve">OD PAYE 06/07                      </v>
          </cell>
          <cell r="E10">
            <v>7500</v>
          </cell>
          <cell r="F10" t="str">
            <v>D</v>
          </cell>
          <cell r="G10">
            <v>7500</v>
          </cell>
        </row>
        <row r="11">
          <cell r="A11">
            <v>325875</v>
          </cell>
          <cell r="B11" t="str">
            <v>2007/11</v>
          </cell>
          <cell r="C11">
            <v>645100</v>
          </cell>
          <cell r="D11" t="str">
            <v xml:space="preserve">OD PAYE 06/07                      </v>
          </cell>
          <cell r="E11">
            <v>1710.26</v>
          </cell>
          <cell r="F11" t="str">
            <v>D</v>
          </cell>
          <cell r="G11">
            <v>1710.26</v>
          </cell>
        </row>
        <row r="12">
          <cell r="A12">
            <v>325875</v>
          </cell>
          <cell r="B12" t="str">
            <v>2007/11</v>
          </cell>
          <cell r="C12">
            <v>645300</v>
          </cell>
          <cell r="D12" t="str">
            <v xml:space="preserve">OD PAYE 06/07                      </v>
          </cell>
          <cell r="E12">
            <v>926.58</v>
          </cell>
          <cell r="F12" t="str">
            <v>D</v>
          </cell>
          <cell r="G12">
            <v>926.58</v>
          </cell>
        </row>
        <row r="13">
          <cell r="A13">
            <v>325875</v>
          </cell>
          <cell r="B13" t="str">
            <v>2007/11</v>
          </cell>
          <cell r="C13">
            <v>645400</v>
          </cell>
          <cell r="D13" t="str">
            <v xml:space="preserve">OD PAYE 06/07                      </v>
          </cell>
          <cell r="E13">
            <v>311.25</v>
          </cell>
          <cell r="F13" t="str">
            <v>D</v>
          </cell>
          <cell r="G13">
            <v>311.25</v>
          </cell>
        </row>
        <row r="14">
          <cell r="A14">
            <v>249530</v>
          </cell>
          <cell r="B14" t="str">
            <v>2007/11</v>
          </cell>
          <cell r="C14">
            <v>421000</v>
          </cell>
          <cell r="D14" t="str">
            <v xml:space="preserve">OD PAYE 07/07 REM DUES             </v>
          </cell>
          <cell r="E14">
            <v>87.56</v>
          </cell>
          <cell r="F14" t="str">
            <v>C</v>
          </cell>
          <cell r="G14">
            <v>-87.56</v>
          </cell>
        </row>
        <row r="15">
          <cell r="A15">
            <v>249530</v>
          </cell>
          <cell r="B15" t="str">
            <v>2007/11</v>
          </cell>
          <cell r="C15">
            <v>421000</v>
          </cell>
          <cell r="D15" t="str">
            <v xml:space="preserve">OD PAYE 07/07 ACPTE                </v>
          </cell>
          <cell r="E15">
            <v>5850</v>
          </cell>
          <cell r="F15" t="str">
            <v>C</v>
          </cell>
          <cell r="G15">
            <v>-5850</v>
          </cell>
        </row>
        <row r="16">
          <cell r="A16">
            <v>249530</v>
          </cell>
          <cell r="B16" t="str">
            <v>2007/11</v>
          </cell>
          <cell r="C16">
            <v>431000</v>
          </cell>
          <cell r="D16" t="str">
            <v xml:space="preserve">OD PAYE 07/07                      </v>
          </cell>
          <cell r="E16">
            <v>2562.0300000000002</v>
          </cell>
          <cell r="F16" t="str">
            <v>C</v>
          </cell>
          <cell r="G16">
            <v>-2562.0300000000002</v>
          </cell>
        </row>
        <row r="17">
          <cell r="A17">
            <v>249530</v>
          </cell>
          <cell r="B17" t="str">
            <v>2007/11</v>
          </cell>
          <cell r="C17">
            <v>437000</v>
          </cell>
          <cell r="D17" t="str">
            <v xml:space="preserve">OD PAYE 07/07                      </v>
          </cell>
          <cell r="E17">
            <v>1460.25</v>
          </cell>
          <cell r="F17" t="str">
            <v>C</v>
          </cell>
          <cell r="G17">
            <v>-1460.25</v>
          </cell>
        </row>
        <row r="18">
          <cell r="A18">
            <v>249530</v>
          </cell>
          <cell r="B18" t="str">
            <v>2007/11</v>
          </cell>
          <cell r="C18">
            <v>437030</v>
          </cell>
          <cell r="D18" t="str">
            <v xml:space="preserve">OD PAYE 07/07                      </v>
          </cell>
          <cell r="E18">
            <v>491.25</v>
          </cell>
          <cell r="F18" t="str">
            <v>C</v>
          </cell>
          <cell r="G18">
            <v>-491.25</v>
          </cell>
        </row>
        <row r="19">
          <cell r="A19">
            <v>249530</v>
          </cell>
          <cell r="B19" t="str">
            <v>2007/11</v>
          </cell>
          <cell r="C19">
            <v>447020</v>
          </cell>
          <cell r="D19" t="str">
            <v xml:space="preserve">OD PAYE 07/07                      </v>
          </cell>
          <cell r="E19">
            <v>51</v>
          </cell>
          <cell r="F19" t="str">
            <v>C</v>
          </cell>
          <cell r="G19">
            <v>-51</v>
          </cell>
        </row>
        <row r="20">
          <cell r="A20">
            <v>249530</v>
          </cell>
          <cell r="B20" t="str">
            <v>2007/11</v>
          </cell>
          <cell r="C20">
            <v>447030</v>
          </cell>
          <cell r="D20" t="str">
            <v xml:space="preserve">OD PAYE 07/07                      </v>
          </cell>
          <cell r="E20">
            <v>41.25</v>
          </cell>
          <cell r="F20" t="str">
            <v>C</v>
          </cell>
          <cell r="G20">
            <v>-41.25</v>
          </cell>
        </row>
        <row r="21">
          <cell r="A21">
            <v>325875</v>
          </cell>
          <cell r="B21" t="str">
            <v>2007/11</v>
          </cell>
          <cell r="C21">
            <v>631200</v>
          </cell>
          <cell r="D21" t="str">
            <v xml:space="preserve">OD PAYE 07/07                      </v>
          </cell>
          <cell r="E21">
            <v>51</v>
          </cell>
          <cell r="F21" t="str">
            <v>D</v>
          </cell>
          <cell r="G21">
            <v>51</v>
          </cell>
        </row>
        <row r="22">
          <cell r="A22">
            <v>325875</v>
          </cell>
          <cell r="B22" t="str">
            <v>2007/11</v>
          </cell>
          <cell r="C22">
            <v>633300</v>
          </cell>
          <cell r="D22" t="str">
            <v xml:space="preserve">OD PAYE 07/07                      </v>
          </cell>
          <cell r="E22">
            <v>41.25</v>
          </cell>
          <cell r="F22" t="str">
            <v>D</v>
          </cell>
          <cell r="G22">
            <v>41.25</v>
          </cell>
        </row>
        <row r="23">
          <cell r="A23">
            <v>321200</v>
          </cell>
          <cell r="B23" t="str">
            <v>2007/11</v>
          </cell>
          <cell r="C23">
            <v>641110</v>
          </cell>
          <cell r="D23" t="str">
            <v xml:space="preserve">OD PAYE 07/07                      </v>
          </cell>
          <cell r="E23">
            <v>7500</v>
          </cell>
          <cell r="F23" t="str">
            <v>D</v>
          </cell>
          <cell r="G23">
            <v>7500</v>
          </cell>
        </row>
        <row r="24">
          <cell r="A24">
            <v>325875</v>
          </cell>
          <cell r="B24" t="str">
            <v>2007/11</v>
          </cell>
          <cell r="C24">
            <v>645100</v>
          </cell>
          <cell r="D24" t="str">
            <v xml:space="preserve">OD PAYE 07/07                      </v>
          </cell>
          <cell r="E24">
            <v>1732.79</v>
          </cell>
          <cell r="F24" t="str">
            <v>D</v>
          </cell>
          <cell r="G24">
            <v>1732.79</v>
          </cell>
        </row>
        <row r="25">
          <cell r="A25">
            <v>325875</v>
          </cell>
          <cell r="B25" t="str">
            <v>2007/11</v>
          </cell>
          <cell r="C25">
            <v>645300</v>
          </cell>
          <cell r="D25" t="str">
            <v xml:space="preserve">OD PAYE 07/07                      </v>
          </cell>
          <cell r="E25">
            <v>907.05</v>
          </cell>
          <cell r="F25" t="str">
            <v>D</v>
          </cell>
          <cell r="G25">
            <v>907.05</v>
          </cell>
        </row>
        <row r="26">
          <cell r="A26">
            <v>325875</v>
          </cell>
          <cell r="B26" t="str">
            <v>2007/11</v>
          </cell>
          <cell r="C26">
            <v>645400</v>
          </cell>
          <cell r="D26" t="str">
            <v xml:space="preserve">OD PAYE 07/07                      </v>
          </cell>
          <cell r="E26">
            <v>311.25</v>
          </cell>
          <cell r="F26" t="str">
            <v>D</v>
          </cell>
          <cell r="G26">
            <v>311.25</v>
          </cell>
        </row>
        <row r="27">
          <cell r="A27">
            <v>249530</v>
          </cell>
          <cell r="B27" t="str">
            <v>2007/11</v>
          </cell>
          <cell r="C27">
            <v>421000</v>
          </cell>
          <cell r="D27" t="str">
            <v xml:space="preserve">OD PAYE 08/07 REM DUES             </v>
          </cell>
          <cell r="E27">
            <v>4.1100000000000003</v>
          </cell>
          <cell r="F27" t="str">
            <v>D</v>
          </cell>
          <cell r="G27">
            <v>4.1100000000000003</v>
          </cell>
        </row>
        <row r="28">
          <cell r="A28">
            <v>249530</v>
          </cell>
          <cell r="B28" t="str">
            <v>2007/11</v>
          </cell>
          <cell r="C28">
            <v>421000</v>
          </cell>
          <cell r="D28" t="str">
            <v xml:space="preserve">OD PAYE 08/07 ACPTE                </v>
          </cell>
          <cell r="E28">
            <v>5941.67</v>
          </cell>
          <cell r="F28" t="str">
            <v>C</v>
          </cell>
          <cell r="G28">
            <v>-5941.67</v>
          </cell>
        </row>
        <row r="29">
          <cell r="A29">
            <v>249530</v>
          </cell>
          <cell r="B29" t="str">
            <v>2007/11</v>
          </cell>
          <cell r="C29">
            <v>431000</v>
          </cell>
          <cell r="D29" t="str">
            <v xml:space="preserve">OD PAYE 08/07                      </v>
          </cell>
          <cell r="E29">
            <v>2562.0300000000002</v>
          </cell>
          <cell r="F29" t="str">
            <v>C</v>
          </cell>
          <cell r="G29">
            <v>-2562.0300000000002</v>
          </cell>
        </row>
        <row r="30">
          <cell r="A30">
            <v>249530</v>
          </cell>
          <cell r="B30" t="str">
            <v>2007/11</v>
          </cell>
          <cell r="C30">
            <v>437000</v>
          </cell>
          <cell r="D30" t="str">
            <v xml:space="preserve">OD PAYE 08/07                      </v>
          </cell>
          <cell r="E30">
            <v>1460.25</v>
          </cell>
          <cell r="F30" t="str">
            <v>C</v>
          </cell>
          <cell r="G30">
            <v>-1460.25</v>
          </cell>
        </row>
        <row r="31">
          <cell r="A31">
            <v>249530</v>
          </cell>
          <cell r="B31" t="str">
            <v>2007/11</v>
          </cell>
          <cell r="C31">
            <v>437030</v>
          </cell>
          <cell r="D31" t="str">
            <v xml:space="preserve">OD PAYE 08/07                      </v>
          </cell>
          <cell r="E31">
            <v>491.25</v>
          </cell>
          <cell r="F31" t="str">
            <v>C</v>
          </cell>
          <cell r="G31">
            <v>-491.25</v>
          </cell>
        </row>
        <row r="32">
          <cell r="A32">
            <v>249530</v>
          </cell>
          <cell r="B32" t="str">
            <v>2007/11</v>
          </cell>
          <cell r="C32">
            <v>447020</v>
          </cell>
          <cell r="D32" t="str">
            <v xml:space="preserve">OD PAYE 08/07                      </v>
          </cell>
          <cell r="E32">
            <v>51</v>
          </cell>
          <cell r="F32" t="str">
            <v>C</v>
          </cell>
          <cell r="G32">
            <v>-51</v>
          </cell>
        </row>
        <row r="33">
          <cell r="A33">
            <v>249530</v>
          </cell>
          <cell r="B33" t="str">
            <v>2007/11</v>
          </cell>
          <cell r="C33">
            <v>447030</v>
          </cell>
          <cell r="D33" t="str">
            <v xml:space="preserve">OD PAYE 08/07                      </v>
          </cell>
          <cell r="E33">
            <v>41.25</v>
          </cell>
          <cell r="F33" t="str">
            <v>C</v>
          </cell>
          <cell r="G33">
            <v>-41.25</v>
          </cell>
        </row>
        <row r="34">
          <cell r="A34">
            <v>325875</v>
          </cell>
          <cell r="B34" t="str">
            <v>2007/11</v>
          </cell>
          <cell r="C34">
            <v>631200</v>
          </cell>
          <cell r="D34" t="str">
            <v xml:space="preserve">OD PAYE 08/07                      </v>
          </cell>
          <cell r="E34">
            <v>51</v>
          </cell>
          <cell r="F34" t="str">
            <v>D</v>
          </cell>
          <cell r="G34">
            <v>51</v>
          </cell>
        </row>
        <row r="35">
          <cell r="A35">
            <v>325875</v>
          </cell>
          <cell r="B35" t="str">
            <v>2007/11</v>
          </cell>
          <cell r="C35">
            <v>633300</v>
          </cell>
          <cell r="D35" t="str">
            <v xml:space="preserve">OD PAYE 08/07                      </v>
          </cell>
          <cell r="E35">
            <v>41.25</v>
          </cell>
          <cell r="F35" t="str">
            <v>D</v>
          </cell>
          <cell r="G35">
            <v>41.25</v>
          </cell>
        </row>
        <row r="36">
          <cell r="A36">
            <v>321200</v>
          </cell>
          <cell r="B36" t="str">
            <v>2007/11</v>
          </cell>
          <cell r="C36">
            <v>641110</v>
          </cell>
          <cell r="D36" t="str">
            <v xml:space="preserve">OD PAYE 08/07                      </v>
          </cell>
          <cell r="E36">
            <v>7500</v>
          </cell>
          <cell r="F36" t="str">
            <v>D</v>
          </cell>
          <cell r="G36">
            <v>7500</v>
          </cell>
        </row>
        <row r="37">
          <cell r="A37">
            <v>325875</v>
          </cell>
          <cell r="B37" t="str">
            <v>2007/11</v>
          </cell>
          <cell r="C37">
            <v>645100</v>
          </cell>
          <cell r="D37" t="str">
            <v xml:space="preserve">OD PAYE 08/07                      </v>
          </cell>
          <cell r="E37">
            <v>1732.79</v>
          </cell>
          <cell r="F37" t="str">
            <v>D</v>
          </cell>
          <cell r="G37">
            <v>1732.79</v>
          </cell>
        </row>
        <row r="38">
          <cell r="A38">
            <v>325875</v>
          </cell>
          <cell r="B38" t="str">
            <v>2007/11</v>
          </cell>
          <cell r="C38">
            <v>645300</v>
          </cell>
          <cell r="D38" t="str">
            <v xml:space="preserve">OD PAYE 08/07                      </v>
          </cell>
          <cell r="E38">
            <v>907.05</v>
          </cell>
          <cell r="F38" t="str">
            <v>D</v>
          </cell>
          <cell r="G38">
            <v>907.05</v>
          </cell>
        </row>
        <row r="39">
          <cell r="A39">
            <v>325875</v>
          </cell>
          <cell r="B39" t="str">
            <v>2007/11</v>
          </cell>
          <cell r="C39">
            <v>645400</v>
          </cell>
          <cell r="D39" t="str">
            <v xml:space="preserve">OD PAYE 08/07                      </v>
          </cell>
          <cell r="E39">
            <v>311.25</v>
          </cell>
          <cell r="F39" t="str">
            <v>D</v>
          </cell>
          <cell r="G39">
            <v>311.25</v>
          </cell>
        </row>
        <row r="40">
          <cell r="A40">
            <v>249530</v>
          </cell>
          <cell r="B40" t="str">
            <v>2007/11</v>
          </cell>
          <cell r="C40">
            <v>421000</v>
          </cell>
          <cell r="D40" t="str">
            <v xml:space="preserve">OD PAYE 09/07 REM DUES             </v>
          </cell>
          <cell r="E40">
            <v>4.1100000000000003</v>
          </cell>
          <cell r="F40" t="str">
            <v>D</v>
          </cell>
          <cell r="G40">
            <v>4.1100000000000003</v>
          </cell>
        </row>
        <row r="41">
          <cell r="A41">
            <v>249530</v>
          </cell>
          <cell r="B41" t="str">
            <v>2007/11</v>
          </cell>
          <cell r="C41">
            <v>421000</v>
          </cell>
          <cell r="D41" t="str">
            <v xml:space="preserve">OD PAYE 09/07 ACPTE                </v>
          </cell>
          <cell r="E41">
            <v>5941.67</v>
          </cell>
          <cell r="F41" t="str">
            <v>C</v>
          </cell>
          <cell r="G41">
            <v>-5941.67</v>
          </cell>
        </row>
        <row r="42">
          <cell r="A42">
            <v>249530</v>
          </cell>
          <cell r="B42" t="str">
            <v>2007/11</v>
          </cell>
          <cell r="C42">
            <v>431000</v>
          </cell>
          <cell r="D42" t="str">
            <v xml:space="preserve">OD PAYE 09/07                      </v>
          </cell>
          <cell r="E42">
            <v>2562.0300000000002</v>
          </cell>
          <cell r="F42" t="str">
            <v>C</v>
          </cell>
          <cell r="G42">
            <v>-2562.0300000000002</v>
          </cell>
        </row>
        <row r="43">
          <cell r="A43">
            <v>249530</v>
          </cell>
          <cell r="B43" t="str">
            <v>2007/11</v>
          </cell>
          <cell r="C43">
            <v>437000</v>
          </cell>
          <cell r="D43" t="str">
            <v xml:space="preserve">OD PAYE 09/07                      </v>
          </cell>
          <cell r="E43">
            <v>1460.25</v>
          </cell>
          <cell r="F43" t="str">
            <v>C</v>
          </cell>
          <cell r="G43">
            <v>-1460.25</v>
          </cell>
        </row>
        <row r="44">
          <cell r="A44">
            <v>249530</v>
          </cell>
          <cell r="B44" t="str">
            <v>2007/11</v>
          </cell>
          <cell r="C44">
            <v>437030</v>
          </cell>
          <cell r="D44" t="str">
            <v xml:space="preserve">OD PAYE 09/07                      </v>
          </cell>
          <cell r="E44">
            <v>491.25</v>
          </cell>
          <cell r="F44" t="str">
            <v>C</v>
          </cell>
          <cell r="G44">
            <v>-491.25</v>
          </cell>
        </row>
        <row r="45">
          <cell r="A45">
            <v>249530</v>
          </cell>
          <cell r="B45" t="str">
            <v>2007/11</v>
          </cell>
          <cell r="C45">
            <v>447020</v>
          </cell>
          <cell r="D45" t="str">
            <v xml:space="preserve">OD PAYE 09/07                      </v>
          </cell>
          <cell r="E45">
            <v>51</v>
          </cell>
          <cell r="F45" t="str">
            <v>C</v>
          </cell>
          <cell r="G45">
            <v>-51</v>
          </cell>
        </row>
        <row r="46">
          <cell r="A46">
            <v>249530</v>
          </cell>
          <cell r="B46" t="str">
            <v>2007/11</v>
          </cell>
          <cell r="C46">
            <v>447030</v>
          </cell>
          <cell r="D46" t="str">
            <v xml:space="preserve">OD PAYE 09/07                      </v>
          </cell>
          <cell r="E46">
            <v>41.25</v>
          </cell>
          <cell r="F46" t="str">
            <v>C</v>
          </cell>
          <cell r="G46">
            <v>-41.25</v>
          </cell>
        </row>
        <row r="47">
          <cell r="A47">
            <v>325875</v>
          </cell>
          <cell r="B47" t="str">
            <v>2007/11</v>
          </cell>
          <cell r="C47">
            <v>631200</v>
          </cell>
          <cell r="D47" t="str">
            <v xml:space="preserve">OD PAYE 09/07                      </v>
          </cell>
          <cell r="E47">
            <v>51</v>
          </cell>
          <cell r="F47" t="str">
            <v>D</v>
          </cell>
          <cell r="G47">
            <v>51</v>
          </cell>
        </row>
        <row r="48">
          <cell r="A48">
            <v>325875</v>
          </cell>
          <cell r="B48" t="str">
            <v>2007/11</v>
          </cell>
          <cell r="C48">
            <v>633300</v>
          </cell>
          <cell r="D48" t="str">
            <v xml:space="preserve">OD PAYE 09/07                      </v>
          </cell>
          <cell r="E48">
            <v>41.25</v>
          </cell>
          <cell r="F48" t="str">
            <v>D</v>
          </cell>
          <cell r="G48">
            <v>41.25</v>
          </cell>
        </row>
        <row r="49">
          <cell r="A49">
            <v>321200</v>
          </cell>
          <cell r="B49" t="str">
            <v>2007/11</v>
          </cell>
          <cell r="C49">
            <v>641110</v>
          </cell>
          <cell r="D49" t="str">
            <v xml:space="preserve">OD PAYE 09/07                      </v>
          </cell>
          <cell r="E49">
            <v>7500</v>
          </cell>
          <cell r="F49" t="str">
            <v>D</v>
          </cell>
          <cell r="G49">
            <v>7500</v>
          </cell>
        </row>
        <row r="50">
          <cell r="A50">
            <v>325875</v>
          </cell>
          <cell r="B50" t="str">
            <v>2007/11</v>
          </cell>
          <cell r="C50">
            <v>645100</v>
          </cell>
          <cell r="D50" t="str">
            <v xml:space="preserve">OD PAYE 09/07                      </v>
          </cell>
          <cell r="E50">
            <v>1732.79</v>
          </cell>
          <cell r="F50" t="str">
            <v>D</v>
          </cell>
          <cell r="G50">
            <v>1732.79</v>
          </cell>
        </row>
        <row r="51">
          <cell r="A51">
            <v>325875</v>
          </cell>
          <cell r="B51" t="str">
            <v>2007/11</v>
          </cell>
          <cell r="C51">
            <v>645300</v>
          </cell>
          <cell r="D51" t="str">
            <v xml:space="preserve">OD PAYE 09/07                      </v>
          </cell>
          <cell r="E51">
            <v>907.05</v>
          </cell>
          <cell r="F51" t="str">
            <v>D</v>
          </cell>
          <cell r="G51">
            <v>907.05</v>
          </cell>
        </row>
        <row r="52">
          <cell r="A52">
            <v>325875</v>
          </cell>
          <cell r="B52" t="str">
            <v>2007/11</v>
          </cell>
          <cell r="C52">
            <v>645400</v>
          </cell>
          <cell r="D52" t="str">
            <v xml:space="preserve">OD PAYE 09/07                      </v>
          </cell>
          <cell r="E52">
            <v>311.25</v>
          </cell>
          <cell r="F52" t="str">
            <v>D</v>
          </cell>
          <cell r="G52">
            <v>311.25</v>
          </cell>
        </row>
        <row r="53">
          <cell r="A53">
            <v>249530</v>
          </cell>
          <cell r="B53" t="str">
            <v>2007/11</v>
          </cell>
          <cell r="C53">
            <v>421000</v>
          </cell>
          <cell r="D53" t="str">
            <v xml:space="preserve">OD PAYE 10/07 REM DUES             </v>
          </cell>
          <cell r="E53">
            <v>4.1100000000000003</v>
          </cell>
          <cell r="F53" t="str">
            <v>D</v>
          </cell>
          <cell r="G53">
            <v>4.1100000000000003</v>
          </cell>
        </row>
        <row r="54">
          <cell r="A54">
            <v>249530</v>
          </cell>
          <cell r="B54" t="str">
            <v>2007/11</v>
          </cell>
          <cell r="C54">
            <v>421000</v>
          </cell>
          <cell r="D54" t="str">
            <v xml:space="preserve">OD PAYE 10/07 ACPTE                </v>
          </cell>
          <cell r="E54">
            <v>5941.67</v>
          </cell>
          <cell r="F54" t="str">
            <v>C</v>
          </cell>
          <cell r="G54">
            <v>-5941.67</v>
          </cell>
        </row>
        <row r="55">
          <cell r="A55">
            <v>249530</v>
          </cell>
          <cell r="B55" t="str">
            <v>2007/11</v>
          </cell>
          <cell r="C55">
            <v>431000</v>
          </cell>
          <cell r="D55" t="str">
            <v xml:space="preserve">OD PAYE 10/07                      </v>
          </cell>
          <cell r="E55">
            <v>2742.03</v>
          </cell>
          <cell r="F55" t="str">
            <v>C</v>
          </cell>
          <cell r="G55">
            <v>-2742.03</v>
          </cell>
        </row>
        <row r="56">
          <cell r="A56">
            <v>249530</v>
          </cell>
          <cell r="B56" t="str">
            <v>2007/11</v>
          </cell>
          <cell r="C56">
            <v>437000</v>
          </cell>
          <cell r="D56" t="str">
            <v xml:space="preserve">OD PAYE 10/07                      </v>
          </cell>
          <cell r="E56">
            <v>1460.25</v>
          </cell>
          <cell r="F56" t="str">
            <v>C</v>
          </cell>
          <cell r="G56">
            <v>-1460.25</v>
          </cell>
        </row>
        <row r="57">
          <cell r="A57">
            <v>249530</v>
          </cell>
          <cell r="B57" t="str">
            <v>2007/11</v>
          </cell>
          <cell r="C57">
            <v>437030</v>
          </cell>
          <cell r="D57" t="str">
            <v xml:space="preserve">OD PAYE 10/07                      </v>
          </cell>
          <cell r="E57">
            <v>491.25</v>
          </cell>
          <cell r="F57" t="str">
            <v>C</v>
          </cell>
          <cell r="G57">
            <v>-491.25</v>
          </cell>
        </row>
        <row r="58">
          <cell r="A58">
            <v>249530</v>
          </cell>
          <cell r="B58" t="str">
            <v>2007/11</v>
          </cell>
          <cell r="C58">
            <v>447020</v>
          </cell>
          <cell r="D58" t="str">
            <v xml:space="preserve">OD PAYE 10/07                      </v>
          </cell>
          <cell r="E58">
            <v>51</v>
          </cell>
          <cell r="F58" t="str">
            <v>C</v>
          </cell>
          <cell r="G58">
            <v>-51</v>
          </cell>
        </row>
        <row r="59">
          <cell r="A59">
            <v>249530</v>
          </cell>
          <cell r="B59" t="str">
            <v>2007/11</v>
          </cell>
          <cell r="C59">
            <v>447030</v>
          </cell>
          <cell r="D59" t="str">
            <v xml:space="preserve">OD PAYE 10/07                      </v>
          </cell>
          <cell r="E59">
            <v>41.25</v>
          </cell>
          <cell r="F59" t="str">
            <v>C</v>
          </cell>
          <cell r="G59">
            <v>-41.25</v>
          </cell>
        </row>
        <row r="60">
          <cell r="A60">
            <v>325875</v>
          </cell>
          <cell r="B60" t="str">
            <v>2007/11</v>
          </cell>
          <cell r="C60">
            <v>631200</v>
          </cell>
          <cell r="D60" t="str">
            <v xml:space="preserve">OD PAYE 10/07                      </v>
          </cell>
          <cell r="E60">
            <v>51</v>
          </cell>
          <cell r="F60" t="str">
            <v>D</v>
          </cell>
          <cell r="G60">
            <v>51</v>
          </cell>
        </row>
        <row r="61">
          <cell r="A61">
            <v>325875</v>
          </cell>
          <cell r="B61" t="str">
            <v>2007/11</v>
          </cell>
          <cell r="C61">
            <v>633300</v>
          </cell>
          <cell r="D61" t="str">
            <v xml:space="preserve">OD PAYE 10/07                      </v>
          </cell>
          <cell r="E61">
            <v>41.25</v>
          </cell>
          <cell r="F61" t="str">
            <v>D</v>
          </cell>
          <cell r="G61">
            <v>41.25</v>
          </cell>
        </row>
        <row r="62">
          <cell r="A62">
            <v>321200</v>
          </cell>
          <cell r="B62" t="str">
            <v>2007/11</v>
          </cell>
          <cell r="C62">
            <v>641110</v>
          </cell>
          <cell r="D62" t="str">
            <v xml:space="preserve">OD PAYE 10/07                      </v>
          </cell>
          <cell r="E62">
            <v>7500</v>
          </cell>
          <cell r="F62" t="str">
            <v>D</v>
          </cell>
          <cell r="G62">
            <v>7500</v>
          </cell>
        </row>
        <row r="63">
          <cell r="A63">
            <v>325875</v>
          </cell>
          <cell r="B63" t="str">
            <v>2007/11</v>
          </cell>
          <cell r="C63">
            <v>645100</v>
          </cell>
          <cell r="D63" t="str">
            <v xml:space="preserve">OD PAYE 10/07                      </v>
          </cell>
          <cell r="E63">
            <v>1912.79</v>
          </cell>
          <cell r="F63" t="str">
            <v>D</v>
          </cell>
          <cell r="G63">
            <v>1912.79</v>
          </cell>
        </row>
        <row r="64">
          <cell r="A64">
            <v>325875</v>
          </cell>
          <cell r="B64" t="str">
            <v>2007/11</v>
          </cell>
          <cell r="C64">
            <v>645300</v>
          </cell>
          <cell r="D64" t="str">
            <v xml:space="preserve">OD PAYE 10/07                      </v>
          </cell>
          <cell r="E64">
            <v>907.05</v>
          </cell>
          <cell r="F64" t="str">
            <v>D</v>
          </cell>
          <cell r="G64">
            <v>907.05</v>
          </cell>
        </row>
        <row r="65">
          <cell r="A65">
            <v>325875</v>
          </cell>
          <cell r="B65" t="str">
            <v>2007/11</v>
          </cell>
          <cell r="C65">
            <v>645400</v>
          </cell>
          <cell r="D65" t="str">
            <v xml:space="preserve">OD PAYE 10/07                      </v>
          </cell>
          <cell r="E65">
            <v>311.25</v>
          </cell>
          <cell r="F65" t="str">
            <v>D</v>
          </cell>
          <cell r="G65">
            <v>311.25</v>
          </cell>
        </row>
        <row r="66">
          <cell r="A66">
            <v>249530</v>
          </cell>
          <cell r="B66" t="str">
            <v>2007/11</v>
          </cell>
          <cell r="C66">
            <v>421000</v>
          </cell>
          <cell r="D66" t="str">
            <v xml:space="preserve">OD PAYE 11/07  REM DUES            </v>
          </cell>
          <cell r="E66">
            <v>125.04</v>
          </cell>
          <cell r="F66" t="str">
            <v>C</v>
          </cell>
          <cell r="G66">
            <v>-125.04</v>
          </cell>
        </row>
        <row r="67">
          <cell r="A67">
            <v>249530</v>
          </cell>
          <cell r="B67" t="str">
            <v>2007/11</v>
          </cell>
          <cell r="C67">
            <v>421000</v>
          </cell>
          <cell r="D67" t="str">
            <v xml:space="preserve">OD PAYE 11/07 ACPTE                </v>
          </cell>
          <cell r="E67">
            <v>64441.16</v>
          </cell>
          <cell r="F67" t="str">
            <v>C</v>
          </cell>
          <cell r="G67">
            <v>-64441.16</v>
          </cell>
        </row>
        <row r="68">
          <cell r="A68">
            <v>249530</v>
          </cell>
          <cell r="B68" t="str">
            <v>2007/11</v>
          </cell>
          <cell r="C68">
            <v>431000</v>
          </cell>
          <cell r="D68" t="str">
            <v xml:space="preserve">OD PAYE 11/07                      </v>
          </cell>
          <cell r="E68">
            <v>23862.6</v>
          </cell>
          <cell r="F68" t="str">
            <v>C</v>
          </cell>
          <cell r="G68">
            <v>-23862.6</v>
          </cell>
        </row>
        <row r="69">
          <cell r="A69">
            <v>249530</v>
          </cell>
          <cell r="B69" t="str">
            <v>2007/11</v>
          </cell>
          <cell r="C69">
            <v>437000</v>
          </cell>
          <cell r="D69" t="str">
            <v xml:space="preserve">OD PAYE 11/07                      </v>
          </cell>
          <cell r="E69">
            <v>6026.09</v>
          </cell>
          <cell r="F69" t="str">
            <v>C</v>
          </cell>
          <cell r="G69">
            <v>-6026.09</v>
          </cell>
        </row>
        <row r="70">
          <cell r="A70">
            <v>249530</v>
          </cell>
          <cell r="B70" t="str">
            <v>2007/11</v>
          </cell>
          <cell r="C70">
            <v>437030</v>
          </cell>
          <cell r="D70" t="str">
            <v xml:space="preserve">OD PAYE 11/07                      </v>
          </cell>
          <cell r="E70">
            <v>1193.93</v>
          </cell>
          <cell r="F70" t="str">
            <v>C</v>
          </cell>
          <cell r="G70">
            <v>-1193.93</v>
          </cell>
        </row>
        <row r="71">
          <cell r="A71">
            <v>249530</v>
          </cell>
          <cell r="B71" t="str">
            <v>2007/11</v>
          </cell>
          <cell r="C71">
            <v>447020</v>
          </cell>
          <cell r="D71" t="str">
            <v xml:space="preserve">OD PAYE 11/07                      </v>
          </cell>
          <cell r="E71">
            <v>503.59</v>
          </cell>
          <cell r="F71" t="str">
            <v>C</v>
          </cell>
          <cell r="G71">
            <v>-503.59</v>
          </cell>
        </row>
        <row r="72">
          <cell r="A72">
            <v>249530</v>
          </cell>
          <cell r="B72" t="str">
            <v>2007/11</v>
          </cell>
          <cell r="C72">
            <v>447030</v>
          </cell>
          <cell r="D72" t="str">
            <v xml:space="preserve">OD PAYE 11/07                      </v>
          </cell>
          <cell r="E72">
            <v>407.31</v>
          </cell>
          <cell r="F72" t="str">
            <v>C</v>
          </cell>
          <cell r="G72">
            <v>-407.31</v>
          </cell>
        </row>
        <row r="73">
          <cell r="A73">
            <v>325875</v>
          </cell>
          <cell r="B73" t="str">
            <v>2007/11</v>
          </cell>
          <cell r="C73">
            <v>631200</v>
          </cell>
          <cell r="D73" t="str">
            <v xml:space="preserve">OD PAYE 11/07                      </v>
          </cell>
          <cell r="E73">
            <v>503.59</v>
          </cell>
          <cell r="F73" t="str">
            <v>D</v>
          </cell>
          <cell r="G73">
            <v>503.59</v>
          </cell>
        </row>
        <row r="74">
          <cell r="A74">
            <v>325875</v>
          </cell>
          <cell r="B74" t="str">
            <v>2007/11</v>
          </cell>
          <cell r="C74">
            <v>633300</v>
          </cell>
          <cell r="D74" t="str">
            <v xml:space="preserve">OD PAYE 11/07                      </v>
          </cell>
          <cell r="E74">
            <v>407.31</v>
          </cell>
          <cell r="F74" t="str">
            <v>D</v>
          </cell>
          <cell r="G74">
            <v>407.31</v>
          </cell>
        </row>
        <row r="75">
          <cell r="A75">
            <v>321200</v>
          </cell>
          <cell r="B75" t="str">
            <v>2007/11</v>
          </cell>
          <cell r="C75">
            <v>641110</v>
          </cell>
          <cell r="D75" t="str">
            <v xml:space="preserve">OD PAYE 11/07                      </v>
          </cell>
          <cell r="E75">
            <v>74057.16</v>
          </cell>
          <cell r="F75" t="str">
            <v>D</v>
          </cell>
          <cell r="G75">
            <v>74057.16</v>
          </cell>
        </row>
        <row r="76">
          <cell r="A76">
            <v>325875</v>
          </cell>
          <cell r="B76" t="str">
            <v>2007/11</v>
          </cell>
          <cell r="C76">
            <v>645100</v>
          </cell>
          <cell r="D76" t="str">
            <v xml:space="preserve">OD PAYE 11/07                      </v>
          </cell>
          <cell r="E76">
            <v>17113.439999999999</v>
          </cell>
          <cell r="F76" t="str">
            <v>D</v>
          </cell>
          <cell r="G76">
            <v>17113.439999999999</v>
          </cell>
        </row>
        <row r="77">
          <cell r="A77">
            <v>325875</v>
          </cell>
          <cell r="B77" t="str">
            <v>2007/11</v>
          </cell>
          <cell r="C77">
            <v>645300</v>
          </cell>
          <cell r="D77" t="str">
            <v xml:space="preserve">OD PAYE 11/07                      </v>
          </cell>
          <cell r="E77">
            <v>3721.76</v>
          </cell>
          <cell r="F77" t="str">
            <v>D</v>
          </cell>
          <cell r="G77">
            <v>3721.76</v>
          </cell>
        </row>
        <row r="78">
          <cell r="A78">
            <v>325875</v>
          </cell>
          <cell r="B78" t="str">
            <v>2007/11</v>
          </cell>
          <cell r="C78">
            <v>645400</v>
          </cell>
          <cell r="D78" t="str">
            <v xml:space="preserve">OD PAYE 11/07                      </v>
          </cell>
          <cell r="E78">
            <v>756.46</v>
          </cell>
          <cell r="F78" t="str">
            <v>D</v>
          </cell>
          <cell r="G78">
            <v>756.46</v>
          </cell>
        </row>
        <row r="79">
          <cell r="A79">
            <v>369981</v>
          </cell>
          <cell r="B79" t="str">
            <v>2007/11</v>
          </cell>
          <cell r="C79">
            <v>625100</v>
          </cell>
          <cell r="D79" t="str">
            <v xml:space="preserve">NDF PC 09/06/07 (20)               </v>
          </cell>
          <cell r="E79">
            <v>548.54</v>
          </cell>
          <cell r="F79" t="str">
            <v>D</v>
          </cell>
          <cell r="G79">
            <v>548.54</v>
          </cell>
        </row>
        <row r="80">
          <cell r="A80">
            <v>370500</v>
          </cell>
          <cell r="B80" t="str">
            <v>2007/11</v>
          </cell>
          <cell r="C80">
            <v>625100</v>
          </cell>
          <cell r="D80" t="str">
            <v xml:space="preserve">NDF PC 09/06/07 (40)               </v>
          </cell>
          <cell r="E80">
            <v>730.42</v>
          </cell>
          <cell r="F80" t="str">
            <v>D</v>
          </cell>
          <cell r="G80">
            <v>730.42</v>
          </cell>
        </row>
        <row r="81">
          <cell r="A81">
            <v>370499</v>
          </cell>
          <cell r="B81" t="str">
            <v>2007/11</v>
          </cell>
          <cell r="C81">
            <v>625100</v>
          </cell>
          <cell r="D81" t="str">
            <v xml:space="preserve">NDF PC 09/06/07 (70)               </v>
          </cell>
          <cell r="E81">
            <v>49</v>
          </cell>
          <cell r="F81" t="str">
            <v>D</v>
          </cell>
          <cell r="G81">
            <v>49</v>
          </cell>
        </row>
        <row r="82">
          <cell r="A82">
            <v>370499</v>
          </cell>
          <cell r="B82" t="str">
            <v>2007/11</v>
          </cell>
          <cell r="C82">
            <v>625100</v>
          </cell>
          <cell r="D82" t="str">
            <v xml:space="preserve">NDF PC 09/06/07 (99)               </v>
          </cell>
          <cell r="E82">
            <v>294.11</v>
          </cell>
          <cell r="F82" t="str">
            <v>D</v>
          </cell>
          <cell r="G82">
            <v>294.11</v>
          </cell>
        </row>
        <row r="83">
          <cell r="A83">
            <v>370500</v>
          </cell>
          <cell r="B83" t="str">
            <v>2007/11</v>
          </cell>
          <cell r="C83">
            <v>625100</v>
          </cell>
          <cell r="D83" t="str">
            <v xml:space="preserve">NDF PC 09/06/07 (20)               </v>
          </cell>
          <cell r="E83">
            <v>411</v>
          </cell>
          <cell r="F83" t="str">
            <v>D</v>
          </cell>
          <cell r="G83">
            <v>411</v>
          </cell>
        </row>
        <row r="84">
          <cell r="A84">
            <v>370500</v>
          </cell>
          <cell r="B84" t="str">
            <v>2007/11</v>
          </cell>
          <cell r="C84">
            <v>625100</v>
          </cell>
          <cell r="D84" t="str">
            <v xml:space="preserve">NDF PC 09/06/07 (40)               </v>
          </cell>
          <cell r="E84">
            <v>162</v>
          </cell>
          <cell r="F84" t="str">
            <v>D</v>
          </cell>
          <cell r="G84">
            <v>162</v>
          </cell>
        </row>
        <row r="85">
          <cell r="A85">
            <v>341773</v>
          </cell>
          <cell r="B85" t="str">
            <v>2007/11</v>
          </cell>
          <cell r="C85">
            <v>625100</v>
          </cell>
          <cell r="D85" t="str">
            <v xml:space="preserve">NDF PC 09/06/07 (55)               </v>
          </cell>
          <cell r="E85">
            <v>52.51</v>
          </cell>
          <cell r="F85" t="str">
            <v>D</v>
          </cell>
          <cell r="G85">
            <v>52.51</v>
          </cell>
        </row>
        <row r="86">
          <cell r="A86">
            <v>370499</v>
          </cell>
          <cell r="B86" t="str">
            <v>2007/11</v>
          </cell>
          <cell r="C86">
            <v>625100</v>
          </cell>
          <cell r="D86" t="str">
            <v xml:space="preserve">NDF PC 09/06/07 (70)               </v>
          </cell>
          <cell r="E86">
            <v>39.799999999999997</v>
          </cell>
          <cell r="F86" t="str">
            <v>D</v>
          </cell>
          <cell r="G86">
            <v>39.799999999999997</v>
          </cell>
        </row>
        <row r="87">
          <cell r="A87">
            <v>370499</v>
          </cell>
          <cell r="B87" t="str">
            <v>2007/11</v>
          </cell>
          <cell r="C87">
            <v>625100</v>
          </cell>
          <cell r="D87" t="str">
            <v xml:space="preserve">NDF PC 09/06/07 (99)               </v>
          </cell>
          <cell r="E87">
            <v>674.02</v>
          </cell>
          <cell r="F87" t="str">
            <v>D</v>
          </cell>
          <cell r="G87">
            <v>674.02</v>
          </cell>
        </row>
        <row r="88">
          <cell r="A88">
            <v>369981</v>
          </cell>
          <cell r="B88" t="str">
            <v>2007/11</v>
          </cell>
          <cell r="C88">
            <v>625100</v>
          </cell>
          <cell r="D88" t="str">
            <v xml:space="preserve">NDF PC 09/06/07 (20)               </v>
          </cell>
          <cell r="E88">
            <v>8.4499999999999993</v>
          </cell>
          <cell r="F88" t="str">
            <v>D</v>
          </cell>
          <cell r="G88">
            <v>8.4499999999999993</v>
          </cell>
        </row>
        <row r="89">
          <cell r="A89">
            <v>370500</v>
          </cell>
          <cell r="B89" t="str">
            <v>2007/11</v>
          </cell>
          <cell r="C89">
            <v>625100</v>
          </cell>
          <cell r="D89" t="str">
            <v xml:space="preserve">NDF PC 09/06/07 (40)               </v>
          </cell>
          <cell r="E89">
            <v>84.5</v>
          </cell>
          <cell r="F89" t="str">
            <v>D</v>
          </cell>
          <cell r="G89">
            <v>84.5</v>
          </cell>
        </row>
        <row r="90">
          <cell r="A90">
            <v>370500</v>
          </cell>
          <cell r="B90" t="str">
            <v>2007/11</v>
          </cell>
          <cell r="C90">
            <v>625100</v>
          </cell>
          <cell r="D90" t="str">
            <v xml:space="preserve">NDF PC 09/06/07 (60)               </v>
          </cell>
          <cell r="E90">
            <v>30</v>
          </cell>
          <cell r="F90" t="str">
            <v>D</v>
          </cell>
          <cell r="G90">
            <v>30</v>
          </cell>
        </row>
        <row r="91">
          <cell r="A91">
            <v>370499</v>
          </cell>
          <cell r="B91" t="str">
            <v>2007/11</v>
          </cell>
          <cell r="C91">
            <v>625100</v>
          </cell>
          <cell r="D91" t="str">
            <v xml:space="preserve">NDF PC 09/06/07 (70)               </v>
          </cell>
          <cell r="E91">
            <v>19.2</v>
          </cell>
          <cell r="F91" t="str">
            <v>D</v>
          </cell>
          <cell r="G91">
            <v>19.2</v>
          </cell>
        </row>
        <row r="92">
          <cell r="A92">
            <v>370499</v>
          </cell>
          <cell r="B92" t="str">
            <v>2007/11</v>
          </cell>
          <cell r="C92">
            <v>625100</v>
          </cell>
          <cell r="D92" t="str">
            <v xml:space="preserve">NDF PC 09/06/07 (99)               </v>
          </cell>
          <cell r="E92">
            <v>1053.8499999999999</v>
          </cell>
          <cell r="F92" t="str">
            <v>D</v>
          </cell>
          <cell r="G92">
            <v>1053.8499999999999</v>
          </cell>
        </row>
        <row r="93">
          <cell r="A93">
            <v>249530</v>
          </cell>
          <cell r="B93" t="str">
            <v>2007/11</v>
          </cell>
          <cell r="C93">
            <v>471000</v>
          </cell>
          <cell r="D93" t="str">
            <v xml:space="preserve">NDF PC 09/06/07                    </v>
          </cell>
          <cell r="E93">
            <v>1693.42</v>
          </cell>
          <cell r="F93" t="str">
            <v>D</v>
          </cell>
          <cell r="G93">
            <v>1693.42</v>
          </cell>
        </row>
        <row r="94">
          <cell r="A94">
            <v>230068</v>
          </cell>
          <cell r="B94" t="str">
            <v>2007/11</v>
          </cell>
          <cell r="C94">
            <v>455000</v>
          </cell>
          <cell r="D94" t="str">
            <v xml:space="preserve">NDF PC 09/06/07                    </v>
          </cell>
          <cell r="E94">
            <v>5850.82</v>
          </cell>
          <cell r="F94" t="str">
            <v>C</v>
          </cell>
          <cell r="G94">
            <v>-5850.82</v>
          </cell>
        </row>
        <row r="95">
          <cell r="A95">
            <v>342627</v>
          </cell>
          <cell r="B95" t="str">
            <v>2007/11</v>
          </cell>
          <cell r="C95">
            <v>627000</v>
          </cell>
          <cell r="D95" t="str">
            <v xml:space="preserve">PC 09/06/07 WIRE FEE               </v>
          </cell>
          <cell r="E95">
            <v>16.5</v>
          </cell>
          <cell r="F95" t="str">
            <v>D</v>
          </cell>
          <cell r="G95">
            <v>16.5</v>
          </cell>
        </row>
        <row r="96">
          <cell r="A96">
            <v>230068</v>
          </cell>
          <cell r="B96" t="str">
            <v>2007/11</v>
          </cell>
          <cell r="C96">
            <v>455000</v>
          </cell>
          <cell r="D96" t="str">
            <v xml:space="preserve">PC 09/06/07 WIRE FEE               </v>
          </cell>
          <cell r="E96">
            <v>16.5</v>
          </cell>
          <cell r="F96" t="str">
            <v>C</v>
          </cell>
          <cell r="G96">
            <v>-16.5</v>
          </cell>
        </row>
        <row r="97">
          <cell r="A97">
            <v>249530</v>
          </cell>
          <cell r="B97" t="str">
            <v>2007/11</v>
          </cell>
          <cell r="C97">
            <v>421000</v>
          </cell>
          <cell r="D97" t="str">
            <v xml:space="preserve">PC 4/30/07 APRIL PAYROLL           </v>
          </cell>
          <cell r="E97">
            <v>3900</v>
          </cell>
          <cell r="F97" t="str">
            <v>D</v>
          </cell>
          <cell r="G97">
            <v>3900</v>
          </cell>
        </row>
        <row r="98">
          <cell r="A98">
            <v>230068</v>
          </cell>
          <cell r="B98" t="str">
            <v>2007/11</v>
          </cell>
          <cell r="C98">
            <v>455000</v>
          </cell>
          <cell r="D98" t="str">
            <v xml:space="preserve">PC 4/30/07 APRIL PAYROLL           </v>
          </cell>
          <cell r="E98">
            <v>3900</v>
          </cell>
          <cell r="F98" t="str">
            <v>C</v>
          </cell>
          <cell r="G98">
            <v>-3900</v>
          </cell>
        </row>
        <row r="99">
          <cell r="A99">
            <v>249530</v>
          </cell>
          <cell r="B99" t="str">
            <v>2007/11</v>
          </cell>
          <cell r="C99">
            <v>421000</v>
          </cell>
          <cell r="D99" t="str">
            <v xml:space="preserve">PC 5/18/07 MAY PAYROLL             </v>
          </cell>
          <cell r="E99">
            <v>7800</v>
          </cell>
          <cell r="F99" t="str">
            <v>D</v>
          </cell>
          <cell r="G99">
            <v>7800</v>
          </cell>
        </row>
        <row r="100">
          <cell r="A100">
            <v>230068</v>
          </cell>
          <cell r="B100" t="str">
            <v>2007/11</v>
          </cell>
          <cell r="C100">
            <v>455000</v>
          </cell>
          <cell r="D100" t="str">
            <v xml:space="preserve">PC 5/18/07 MAY PAYROLL             </v>
          </cell>
          <cell r="E100">
            <v>7800</v>
          </cell>
          <cell r="F100" t="str">
            <v>C</v>
          </cell>
          <cell r="G100">
            <v>-7800</v>
          </cell>
        </row>
        <row r="101">
          <cell r="A101">
            <v>361108</v>
          </cell>
          <cell r="B101" t="str">
            <v>2007/11</v>
          </cell>
          <cell r="C101">
            <v>613200</v>
          </cell>
          <cell r="D101" t="str">
            <v xml:space="preserve">PC 5/29/07 1ST M. RENT             </v>
          </cell>
          <cell r="E101">
            <v>3840</v>
          </cell>
          <cell r="F101" t="str">
            <v>D</v>
          </cell>
          <cell r="G101">
            <v>3840</v>
          </cell>
        </row>
        <row r="102">
          <cell r="A102">
            <v>230068</v>
          </cell>
          <cell r="B102" t="str">
            <v>2007/11</v>
          </cell>
          <cell r="C102">
            <v>455000</v>
          </cell>
          <cell r="D102" t="str">
            <v xml:space="preserve">PC 5/29/07 1ST M. RENT             </v>
          </cell>
          <cell r="E102">
            <v>3840</v>
          </cell>
          <cell r="F102" t="str">
            <v>C</v>
          </cell>
          <cell r="G102">
            <v>-3840</v>
          </cell>
        </row>
        <row r="103">
          <cell r="A103">
            <v>148325</v>
          </cell>
          <cell r="B103" t="str">
            <v>2007/11</v>
          </cell>
          <cell r="C103">
            <v>275100</v>
          </cell>
          <cell r="D103" t="str">
            <v xml:space="preserve">PC 5/29/07 LEASE DEPOSIT           </v>
          </cell>
          <cell r="E103">
            <v>11460</v>
          </cell>
          <cell r="F103" t="str">
            <v>D</v>
          </cell>
          <cell r="G103">
            <v>11460</v>
          </cell>
        </row>
        <row r="104">
          <cell r="A104">
            <v>230068</v>
          </cell>
          <cell r="B104" t="str">
            <v>2007/11</v>
          </cell>
          <cell r="C104">
            <v>455000</v>
          </cell>
          <cell r="D104" t="str">
            <v xml:space="preserve">PC 5/29/07 LEASE DEPOSIT           </v>
          </cell>
          <cell r="E104">
            <v>11460</v>
          </cell>
          <cell r="F104" t="str">
            <v>C</v>
          </cell>
          <cell r="G104">
            <v>-11460</v>
          </cell>
        </row>
        <row r="105">
          <cell r="A105">
            <v>361108</v>
          </cell>
          <cell r="B105" t="str">
            <v>2007/11</v>
          </cell>
          <cell r="C105">
            <v>613200</v>
          </cell>
          <cell r="D105" t="str">
            <v xml:space="preserve">PC 6/20/07 RENT JULY-NOV           </v>
          </cell>
          <cell r="E105">
            <v>19136</v>
          </cell>
          <cell r="F105" t="str">
            <v>D</v>
          </cell>
          <cell r="G105">
            <v>19136</v>
          </cell>
        </row>
        <row r="106">
          <cell r="A106">
            <v>230068</v>
          </cell>
          <cell r="B106" t="str">
            <v>2007/11</v>
          </cell>
          <cell r="C106">
            <v>455000</v>
          </cell>
          <cell r="D106" t="str">
            <v xml:space="preserve">PC 6/20/07 RENT JULY-NOV           </v>
          </cell>
          <cell r="E106">
            <v>19136</v>
          </cell>
          <cell r="F106" t="str">
            <v>C</v>
          </cell>
          <cell r="G106">
            <v>-19136</v>
          </cell>
        </row>
        <row r="107">
          <cell r="A107">
            <v>249530</v>
          </cell>
          <cell r="B107" t="str">
            <v>2007/11</v>
          </cell>
          <cell r="C107">
            <v>421000</v>
          </cell>
          <cell r="D107" t="str">
            <v xml:space="preserve">PC 6/22/07 JUNE PAYROLL            </v>
          </cell>
          <cell r="E107">
            <v>7800</v>
          </cell>
          <cell r="F107" t="str">
            <v>D</v>
          </cell>
          <cell r="G107">
            <v>7800</v>
          </cell>
        </row>
        <row r="108">
          <cell r="A108">
            <v>230068</v>
          </cell>
          <cell r="B108" t="str">
            <v>2007/11</v>
          </cell>
          <cell r="C108">
            <v>455000</v>
          </cell>
          <cell r="D108" t="str">
            <v xml:space="preserve">PC 6/22/07 JUNE PAYROLL            </v>
          </cell>
          <cell r="E108">
            <v>7800</v>
          </cell>
          <cell r="F108" t="str">
            <v>C</v>
          </cell>
          <cell r="G108">
            <v>-7800</v>
          </cell>
        </row>
        <row r="109">
          <cell r="A109">
            <v>249530</v>
          </cell>
          <cell r="B109" t="str">
            <v>2007/11</v>
          </cell>
          <cell r="C109">
            <v>421000</v>
          </cell>
          <cell r="D109" t="str">
            <v xml:space="preserve">PC 7/24/07 JULY PAYROLL            </v>
          </cell>
          <cell r="E109">
            <v>7800</v>
          </cell>
          <cell r="F109" t="str">
            <v>D</v>
          </cell>
          <cell r="G109">
            <v>7800</v>
          </cell>
        </row>
        <row r="110">
          <cell r="A110">
            <v>230068</v>
          </cell>
          <cell r="B110" t="str">
            <v>2007/11</v>
          </cell>
          <cell r="C110">
            <v>455000</v>
          </cell>
          <cell r="D110" t="str">
            <v xml:space="preserve">PC 7/24/07 JULY PAYROLL            </v>
          </cell>
          <cell r="E110">
            <v>7800</v>
          </cell>
          <cell r="F110" t="str">
            <v>C</v>
          </cell>
          <cell r="G110">
            <v>-7800</v>
          </cell>
        </row>
        <row r="111">
          <cell r="A111">
            <v>249530</v>
          </cell>
          <cell r="B111" t="str">
            <v>2007/11</v>
          </cell>
          <cell r="C111">
            <v>421000</v>
          </cell>
          <cell r="D111" t="str">
            <v xml:space="preserve">PC 8/24/07 JULY PAYROLL            </v>
          </cell>
          <cell r="E111">
            <v>7800</v>
          </cell>
          <cell r="F111" t="str">
            <v>D</v>
          </cell>
          <cell r="G111">
            <v>7800</v>
          </cell>
        </row>
        <row r="112">
          <cell r="A112">
            <v>230068</v>
          </cell>
          <cell r="B112" t="str">
            <v>2007/11</v>
          </cell>
          <cell r="C112">
            <v>455000</v>
          </cell>
          <cell r="D112" t="str">
            <v xml:space="preserve">PC 8/24/07 JULY PAYROLL            </v>
          </cell>
          <cell r="E112">
            <v>7800</v>
          </cell>
          <cell r="F112" t="str">
            <v>C</v>
          </cell>
          <cell r="G112">
            <v>-7800</v>
          </cell>
        </row>
        <row r="113">
          <cell r="A113">
            <v>342627</v>
          </cell>
          <cell r="B113" t="str">
            <v>2007/11</v>
          </cell>
          <cell r="C113">
            <v>627000</v>
          </cell>
          <cell r="D113" t="str">
            <v xml:space="preserve">PC 8/24/07 WIRE FEE                </v>
          </cell>
          <cell r="E113">
            <v>16.5</v>
          </cell>
          <cell r="F113" t="str">
            <v>D</v>
          </cell>
          <cell r="G113">
            <v>16.5</v>
          </cell>
        </row>
        <row r="114">
          <cell r="A114">
            <v>230068</v>
          </cell>
          <cell r="B114" t="str">
            <v>2007/11</v>
          </cell>
          <cell r="C114">
            <v>455000</v>
          </cell>
          <cell r="D114" t="str">
            <v xml:space="preserve">PC 8/24/07 WIRE FEE                </v>
          </cell>
          <cell r="E114">
            <v>16.5</v>
          </cell>
          <cell r="F114" t="str">
            <v>C</v>
          </cell>
          <cell r="G114">
            <v>-16.5</v>
          </cell>
        </row>
        <row r="115">
          <cell r="A115">
            <v>249530</v>
          </cell>
          <cell r="B115" t="str">
            <v>2007/11</v>
          </cell>
          <cell r="C115">
            <v>421000</v>
          </cell>
          <cell r="D115" t="str">
            <v xml:space="preserve">NR 06/26/07 JUNE PAYROLL           </v>
          </cell>
          <cell r="E115">
            <v>5525</v>
          </cell>
          <cell r="F115" t="str">
            <v>D</v>
          </cell>
          <cell r="G115">
            <v>5525</v>
          </cell>
        </row>
        <row r="116">
          <cell r="A116">
            <v>230068</v>
          </cell>
          <cell r="B116" t="str">
            <v>2007/11</v>
          </cell>
          <cell r="C116">
            <v>455000</v>
          </cell>
          <cell r="D116" t="str">
            <v xml:space="preserve">NR 06/26/07 JUNE PAYROLL           </v>
          </cell>
          <cell r="E116">
            <v>5525</v>
          </cell>
          <cell r="F116" t="str">
            <v>C</v>
          </cell>
          <cell r="G116">
            <v>-5525</v>
          </cell>
        </row>
        <row r="117">
          <cell r="A117">
            <v>249530</v>
          </cell>
          <cell r="B117" t="str">
            <v>2007/11</v>
          </cell>
          <cell r="C117">
            <v>421000</v>
          </cell>
          <cell r="D117" t="str">
            <v xml:space="preserve">NR 07/24/07 JULY PAYROLL           </v>
          </cell>
          <cell r="E117">
            <v>5525</v>
          </cell>
          <cell r="F117" t="str">
            <v>D</v>
          </cell>
          <cell r="G117">
            <v>5525</v>
          </cell>
        </row>
        <row r="118">
          <cell r="A118">
            <v>230068</v>
          </cell>
          <cell r="B118" t="str">
            <v>2007/11</v>
          </cell>
          <cell r="C118">
            <v>455000</v>
          </cell>
          <cell r="D118" t="str">
            <v xml:space="preserve">NR 07/24/07 JULY PAYROLL           </v>
          </cell>
          <cell r="E118">
            <v>5525</v>
          </cell>
          <cell r="F118" t="str">
            <v>C</v>
          </cell>
          <cell r="G118">
            <v>-5525</v>
          </cell>
        </row>
        <row r="119">
          <cell r="A119">
            <v>342627</v>
          </cell>
          <cell r="B119" t="str">
            <v>2007/11</v>
          </cell>
          <cell r="C119">
            <v>627000</v>
          </cell>
          <cell r="D119" t="str">
            <v xml:space="preserve">NR 07/24/07 WIRE FEE               </v>
          </cell>
          <cell r="E119">
            <v>42</v>
          </cell>
          <cell r="F119" t="str">
            <v>D</v>
          </cell>
          <cell r="G119">
            <v>42</v>
          </cell>
        </row>
        <row r="120">
          <cell r="A120">
            <v>230068</v>
          </cell>
          <cell r="B120" t="str">
            <v>2007/11</v>
          </cell>
          <cell r="C120">
            <v>455000</v>
          </cell>
          <cell r="D120" t="str">
            <v xml:space="preserve">NR 07/24/07 WIRE FEE               </v>
          </cell>
          <cell r="E120">
            <v>42</v>
          </cell>
          <cell r="F120" t="str">
            <v>C</v>
          </cell>
          <cell r="G120">
            <v>-42</v>
          </cell>
        </row>
        <row r="121">
          <cell r="A121">
            <v>249530</v>
          </cell>
          <cell r="B121" t="str">
            <v>2007/11</v>
          </cell>
          <cell r="C121">
            <v>421000</v>
          </cell>
          <cell r="D121" t="str">
            <v xml:space="preserve">NR 7/25/07 JUN JULY CAR A          </v>
          </cell>
          <cell r="E121">
            <v>650</v>
          </cell>
          <cell r="F121" t="str">
            <v>D</v>
          </cell>
          <cell r="G121">
            <v>650</v>
          </cell>
        </row>
        <row r="122">
          <cell r="A122">
            <v>230068</v>
          </cell>
          <cell r="B122" t="str">
            <v>2007/11</v>
          </cell>
          <cell r="C122">
            <v>455000</v>
          </cell>
          <cell r="D122" t="str">
            <v xml:space="preserve">NR 7/25/07 JUN JULY CAR A          </v>
          </cell>
          <cell r="E122">
            <v>650</v>
          </cell>
          <cell r="F122" t="str">
            <v>C</v>
          </cell>
          <cell r="G122">
            <v>-650</v>
          </cell>
        </row>
        <row r="123">
          <cell r="A123">
            <v>370500</v>
          </cell>
          <cell r="B123" t="str">
            <v>2007/11</v>
          </cell>
          <cell r="C123">
            <v>625100</v>
          </cell>
          <cell r="D123" t="str">
            <v xml:space="preserve">NR NDF 07/25/07 (40)               </v>
          </cell>
          <cell r="E123">
            <v>175.2</v>
          </cell>
          <cell r="F123" t="str">
            <v>D</v>
          </cell>
          <cell r="G123">
            <v>175.2</v>
          </cell>
        </row>
        <row r="124">
          <cell r="A124">
            <v>370500</v>
          </cell>
          <cell r="B124" t="str">
            <v>2007/11</v>
          </cell>
          <cell r="C124">
            <v>625100</v>
          </cell>
          <cell r="D124" t="str">
            <v xml:space="preserve">NR NDF 07/25/07 (60)               </v>
          </cell>
          <cell r="E124">
            <v>121.8</v>
          </cell>
          <cell r="F124" t="str">
            <v>D</v>
          </cell>
          <cell r="G124">
            <v>121.8</v>
          </cell>
        </row>
        <row r="125">
          <cell r="A125">
            <v>230068</v>
          </cell>
          <cell r="B125" t="str">
            <v>2007/11</v>
          </cell>
          <cell r="C125">
            <v>455000</v>
          </cell>
          <cell r="D125" t="str">
            <v xml:space="preserve">NR NDF 07/25/07 MAY J              </v>
          </cell>
          <cell r="E125">
            <v>297</v>
          </cell>
          <cell r="F125" t="str">
            <v>C</v>
          </cell>
          <cell r="G125">
            <v>-297</v>
          </cell>
        </row>
        <row r="126">
          <cell r="A126">
            <v>342627</v>
          </cell>
          <cell r="B126" t="str">
            <v>2007/11</v>
          </cell>
          <cell r="C126">
            <v>627000</v>
          </cell>
          <cell r="D126" t="str">
            <v xml:space="preserve">NR 07/25/07 WIRE FEE               </v>
          </cell>
          <cell r="E126">
            <v>21</v>
          </cell>
          <cell r="F126" t="str">
            <v>D</v>
          </cell>
          <cell r="G126">
            <v>21</v>
          </cell>
        </row>
        <row r="127">
          <cell r="A127">
            <v>230068</v>
          </cell>
          <cell r="B127" t="str">
            <v>2007/11</v>
          </cell>
          <cell r="C127">
            <v>455000</v>
          </cell>
          <cell r="D127" t="str">
            <v xml:space="preserve">NR 07/25/07 WIRE FEE               </v>
          </cell>
          <cell r="E127">
            <v>21</v>
          </cell>
          <cell r="F127" t="str">
            <v>C</v>
          </cell>
          <cell r="G127">
            <v>-21</v>
          </cell>
        </row>
        <row r="128">
          <cell r="A128">
            <v>249530</v>
          </cell>
          <cell r="B128" t="str">
            <v>2007/11</v>
          </cell>
          <cell r="C128">
            <v>421000</v>
          </cell>
          <cell r="D128" t="str">
            <v xml:space="preserve">NR 08/24/07 AUGUST PAYROL          </v>
          </cell>
          <cell r="E128">
            <v>5941.67</v>
          </cell>
          <cell r="F128" t="str">
            <v>D</v>
          </cell>
          <cell r="G128">
            <v>5941.67</v>
          </cell>
        </row>
        <row r="129">
          <cell r="A129">
            <v>230068</v>
          </cell>
          <cell r="B129" t="str">
            <v>2007/11</v>
          </cell>
          <cell r="C129">
            <v>455000</v>
          </cell>
          <cell r="D129" t="str">
            <v xml:space="preserve">NR 08/24/07 AUGUST PAYROL          </v>
          </cell>
          <cell r="E129">
            <v>5941.67</v>
          </cell>
          <cell r="F129" t="str">
            <v>C</v>
          </cell>
          <cell r="G129">
            <v>-5941.67</v>
          </cell>
        </row>
        <row r="130">
          <cell r="A130">
            <v>342627</v>
          </cell>
          <cell r="B130" t="str">
            <v>2007/11</v>
          </cell>
          <cell r="C130">
            <v>627000</v>
          </cell>
          <cell r="D130" t="str">
            <v xml:space="preserve">NR 08/24/07 WIRE FEE               </v>
          </cell>
          <cell r="E130">
            <v>21</v>
          </cell>
          <cell r="F130" t="str">
            <v>D</v>
          </cell>
          <cell r="G130">
            <v>21</v>
          </cell>
        </row>
        <row r="131">
          <cell r="A131">
            <v>230068</v>
          </cell>
          <cell r="B131" t="str">
            <v>2007/11</v>
          </cell>
          <cell r="C131">
            <v>455000</v>
          </cell>
          <cell r="D131" t="str">
            <v xml:space="preserve">NR 08/24/07 WIRE FEE               </v>
          </cell>
          <cell r="E131">
            <v>21</v>
          </cell>
          <cell r="F131" t="str">
            <v>C</v>
          </cell>
          <cell r="G131">
            <v>-21</v>
          </cell>
        </row>
        <row r="132">
          <cell r="A132">
            <v>370499</v>
          </cell>
          <cell r="B132" t="str">
            <v>2007/11</v>
          </cell>
          <cell r="C132">
            <v>625100</v>
          </cell>
          <cell r="D132" t="str">
            <v xml:space="preserve">NR NDF 09/06/07 (10)               </v>
          </cell>
          <cell r="E132">
            <v>111.64</v>
          </cell>
          <cell r="F132" t="str">
            <v>D</v>
          </cell>
          <cell r="G132">
            <v>111.64</v>
          </cell>
        </row>
        <row r="133">
          <cell r="A133">
            <v>370500</v>
          </cell>
          <cell r="B133" t="str">
            <v>2007/11</v>
          </cell>
          <cell r="C133">
            <v>625100</v>
          </cell>
          <cell r="D133" t="str">
            <v xml:space="preserve">NR NDF 09/06/07 (20)               </v>
          </cell>
          <cell r="E133">
            <v>752.48</v>
          </cell>
          <cell r="F133" t="str">
            <v>D</v>
          </cell>
          <cell r="G133">
            <v>752.48</v>
          </cell>
        </row>
        <row r="134">
          <cell r="A134">
            <v>370500</v>
          </cell>
          <cell r="B134" t="str">
            <v>2007/11</v>
          </cell>
          <cell r="C134">
            <v>625100</v>
          </cell>
          <cell r="D134" t="str">
            <v xml:space="preserve">NR NDF 09/06/07 (40)               </v>
          </cell>
          <cell r="E134">
            <v>807.98</v>
          </cell>
          <cell r="F134" t="str">
            <v>D</v>
          </cell>
          <cell r="G134">
            <v>807.98</v>
          </cell>
        </row>
        <row r="135">
          <cell r="A135">
            <v>341771</v>
          </cell>
          <cell r="B135" t="str">
            <v>2007/11</v>
          </cell>
          <cell r="C135">
            <v>625100</v>
          </cell>
          <cell r="D135" t="str">
            <v xml:space="preserve">NR NDF 09/06/07 (50)               </v>
          </cell>
          <cell r="E135">
            <v>34</v>
          </cell>
          <cell r="F135" t="str">
            <v>D</v>
          </cell>
          <cell r="G135">
            <v>34</v>
          </cell>
        </row>
        <row r="136">
          <cell r="A136">
            <v>341773</v>
          </cell>
          <cell r="B136" t="str">
            <v>2007/11</v>
          </cell>
          <cell r="C136">
            <v>625100</v>
          </cell>
          <cell r="D136" t="str">
            <v xml:space="preserve">NR NDF 09/06/07 (55)               </v>
          </cell>
          <cell r="E136">
            <v>267.01</v>
          </cell>
          <cell r="F136" t="str">
            <v>D</v>
          </cell>
          <cell r="G136">
            <v>267.01</v>
          </cell>
        </row>
        <row r="137">
          <cell r="A137">
            <v>370500</v>
          </cell>
          <cell r="B137" t="str">
            <v>2007/11</v>
          </cell>
          <cell r="C137">
            <v>625100</v>
          </cell>
          <cell r="D137" t="str">
            <v xml:space="preserve">NR NDF 09/06/07 (60)               </v>
          </cell>
          <cell r="E137">
            <v>303.7</v>
          </cell>
          <cell r="F137" t="str">
            <v>D</v>
          </cell>
          <cell r="G137">
            <v>303.7</v>
          </cell>
        </row>
        <row r="138">
          <cell r="A138">
            <v>370499</v>
          </cell>
          <cell r="B138" t="str">
            <v>2007/11</v>
          </cell>
          <cell r="C138">
            <v>625100</v>
          </cell>
          <cell r="D138" t="str">
            <v xml:space="preserve">NR NDF 09/06/07 (70)               </v>
          </cell>
          <cell r="E138">
            <v>120.1</v>
          </cell>
          <cell r="F138" t="str">
            <v>D</v>
          </cell>
          <cell r="G138">
            <v>120.1</v>
          </cell>
        </row>
        <row r="139">
          <cell r="A139">
            <v>370499</v>
          </cell>
          <cell r="B139" t="str">
            <v>2007/11</v>
          </cell>
          <cell r="C139">
            <v>625100</v>
          </cell>
          <cell r="D139" t="str">
            <v xml:space="preserve">NR NDF 09/06/07 (99)               </v>
          </cell>
          <cell r="E139">
            <v>77</v>
          </cell>
          <cell r="F139" t="str">
            <v>D</v>
          </cell>
          <cell r="G139">
            <v>77</v>
          </cell>
        </row>
        <row r="140">
          <cell r="A140">
            <v>230068</v>
          </cell>
          <cell r="B140" t="str">
            <v>2007/11</v>
          </cell>
          <cell r="C140">
            <v>455000</v>
          </cell>
          <cell r="D140" t="str">
            <v xml:space="preserve">NR NDF 09/06/07 EXP                </v>
          </cell>
          <cell r="E140">
            <v>2473.91</v>
          </cell>
          <cell r="F140" t="str">
            <v>C</v>
          </cell>
          <cell r="G140">
            <v>-2473.91</v>
          </cell>
        </row>
        <row r="141">
          <cell r="A141">
            <v>342627</v>
          </cell>
          <cell r="B141" t="str">
            <v>2007/11</v>
          </cell>
          <cell r="C141">
            <v>627000</v>
          </cell>
          <cell r="D141" t="str">
            <v xml:space="preserve">NR 09/06/07 WIRE FEE               </v>
          </cell>
          <cell r="E141">
            <v>21</v>
          </cell>
          <cell r="F141" t="str">
            <v>D</v>
          </cell>
          <cell r="G141">
            <v>21</v>
          </cell>
        </row>
        <row r="142">
          <cell r="A142">
            <v>230068</v>
          </cell>
          <cell r="B142" t="str">
            <v>2007/11</v>
          </cell>
          <cell r="C142">
            <v>455000</v>
          </cell>
          <cell r="D142" t="str">
            <v xml:space="preserve">NR 09/06/07 WIRE FEE               </v>
          </cell>
          <cell r="E142">
            <v>21</v>
          </cell>
          <cell r="F142" t="str">
            <v>C</v>
          </cell>
          <cell r="G142">
            <v>-21</v>
          </cell>
        </row>
        <row r="143">
          <cell r="A143">
            <v>342437</v>
          </cell>
          <cell r="B143" t="str">
            <v>2007/11</v>
          </cell>
          <cell r="C143">
            <v>622602</v>
          </cell>
          <cell r="D143" t="str">
            <v xml:space="preserve">FISCHER 0109472                    </v>
          </cell>
          <cell r="E143">
            <v>4396</v>
          </cell>
          <cell r="F143" t="str">
            <v>D</v>
          </cell>
          <cell r="G143">
            <v>4396</v>
          </cell>
        </row>
        <row r="144">
          <cell r="A144">
            <v>342437</v>
          </cell>
          <cell r="B144" t="str">
            <v>2007/11</v>
          </cell>
          <cell r="C144">
            <v>622602</v>
          </cell>
          <cell r="D144" t="str">
            <v xml:space="preserve">FISCHER 0109473                    </v>
          </cell>
          <cell r="E144">
            <v>2462</v>
          </cell>
          <cell r="F144" t="str">
            <v>D</v>
          </cell>
          <cell r="G144">
            <v>2462</v>
          </cell>
        </row>
        <row r="145">
          <cell r="A145">
            <v>342438</v>
          </cell>
          <cell r="B145" t="str">
            <v>2007/11</v>
          </cell>
          <cell r="C145">
            <v>601100</v>
          </cell>
          <cell r="D145" t="str">
            <v xml:space="preserve">FISCHER 0109473 KADEO              </v>
          </cell>
          <cell r="E145">
            <v>15</v>
          </cell>
          <cell r="F145" t="str">
            <v>D</v>
          </cell>
          <cell r="G145">
            <v>15</v>
          </cell>
        </row>
        <row r="146">
          <cell r="A146">
            <v>342437</v>
          </cell>
          <cell r="B146" t="str">
            <v>2007/11</v>
          </cell>
          <cell r="C146">
            <v>622602</v>
          </cell>
          <cell r="D146" t="str">
            <v xml:space="preserve">FISCHER 0109620                    </v>
          </cell>
          <cell r="E146">
            <v>25734</v>
          </cell>
          <cell r="F146" t="str">
            <v>D</v>
          </cell>
          <cell r="G146">
            <v>25734</v>
          </cell>
        </row>
        <row r="147">
          <cell r="A147">
            <v>342438</v>
          </cell>
          <cell r="B147" t="str">
            <v>2007/11</v>
          </cell>
          <cell r="C147">
            <v>622700</v>
          </cell>
          <cell r="D147" t="str">
            <v xml:space="preserve">FISCHER 0109620 INFOGREFF          </v>
          </cell>
          <cell r="E147">
            <v>9.1999999999999993</v>
          </cell>
          <cell r="F147" t="str">
            <v>D</v>
          </cell>
          <cell r="G147">
            <v>9.1999999999999993</v>
          </cell>
        </row>
        <row r="148">
          <cell r="A148">
            <v>342437</v>
          </cell>
          <cell r="B148" t="str">
            <v>2007/11</v>
          </cell>
          <cell r="C148">
            <v>622602</v>
          </cell>
          <cell r="D148" t="str">
            <v xml:space="preserve">FISCHER 0109621                    </v>
          </cell>
          <cell r="E148">
            <v>3280</v>
          </cell>
          <cell r="F148" t="str">
            <v>D</v>
          </cell>
          <cell r="G148">
            <v>3280</v>
          </cell>
        </row>
        <row r="149">
          <cell r="A149">
            <v>342437</v>
          </cell>
          <cell r="B149" t="str">
            <v>2007/11</v>
          </cell>
          <cell r="C149">
            <v>622602</v>
          </cell>
          <cell r="D149" t="str">
            <v xml:space="preserve">FISCHER 0109624                    </v>
          </cell>
          <cell r="E149">
            <v>1500</v>
          </cell>
          <cell r="F149" t="str">
            <v>D</v>
          </cell>
          <cell r="G149">
            <v>1500</v>
          </cell>
        </row>
        <row r="150">
          <cell r="A150">
            <v>342437</v>
          </cell>
          <cell r="B150" t="str">
            <v>2007/11</v>
          </cell>
          <cell r="C150">
            <v>622602</v>
          </cell>
          <cell r="D150" t="str">
            <v xml:space="preserve">FISCHER 0109625                    </v>
          </cell>
          <cell r="E150">
            <v>3154</v>
          </cell>
          <cell r="F150" t="str">
            <v>D</v>
          </cell>
          <cell r="G150">
            <v>3154</v>
          </cell>
        </row>
        <row r="151">
          <cell r="A151">
            <v>342437</v>
          </cell>
          <cell r="B151" t="str">
            <v>2007/11</v>
          </cell>
          <cell r="C151">
            <v>622602</v>
          </cell>
          <cell r="D151" t="str">
            <v xml:space="preserve">FISCHER 0109641                    </v>
          </cell>
          <cell r="E151">
            <v>3134</v>
          </cell>
          <cell r="F151" t="str">
            <v>D</v>
          </cell>
          <cell r="G151">
            <v>3134</v>
          </cell>
        </row>
        <row r="152">
          <cell r="A152">
            <v>342437</v>
          </cell>
          <cell r="B152" t="str">
            <v>2007/11</v>
          </cell>
          <cell r="C152">
            <v>622602</v>
          </cell>
          <cell r="D152" t="str">
            <v xml:space="preserve">FISCHER 0109642                    </v>
          </cell>
          <cell r="E152">
            <v>1074</v>
          </cell>
          <cell r="F152" t="str">
            <v>D</v>
          </cell>
          <cell r="G152">
            <v>1074</v>
          </cell>
        </row>
        <row r="153">
          <cell r="A153">
            <v>342437</v>
          </cell>
          <cell r="B153" t="str">
            <v>2007/11</v>
          </cell>
          <cell r="C153">
            <v>622602</v>
          </cell>
          <cell r="D153" t="str">
            <v xml:space="preserve">FISCHER 0109757                    </v>
          </cell>
          <cell r="E153">
            <v>7964.38</v>
          </cell>
          <cell r="F153" t="str">
            <v>D</v>
          </cell>
          <cell r="G153">
            <v>7964.38</v>
          </cell>
        </row>
        <row r="154">
          <cell r="A154">
            <v>342437</v>
          </cell>
          <cell r="B154" t="str">
            <v>2007/11</v>
          </cell>
          <cell r="C154">
            <v>622602</v>
          </cell>
          <cell r="D154" t="str">
            <v xml:space="preserve">FISCHER 0109775                    </v>
          </cell>
          <cell r="E154">
            <v>2492</v>
          </cell>
          <cell r="F154" t="str">
            <v>D</v>
          </cell>
          <cell r="G154">
            <v>2492</v>
          </cell>
        </row>
        <row r="155">
          <cell r="A155">
            <v>342437</v>
          </cell>
          <cell r="B155" t="str">
            <v>2007/11</v>
          </cell>
          <cell r="C155">
            <v>622602</v>
          </cell>
          <cell r="D155" t="str">
            <v xml:space="preserve">FISCHER 0109779                    </v>
          </cell>
          <cell r="E155">
            <v>4218</v>
          </cell>
          <cell r="F155" t="str">
            <v>D</v>
          </cell>
          <cell r="G155">
            <v>4218</v>
          </cell>
        </row>
        <row r="156">
          <cell r="A156">
            <v>342437</v>
          </cell>
          <cell r="B156" t="str">
            <v>2007/11</v>
          </cell>
          <cell r="C156">
            <v>622602</v>
          </cell>
          <cell r="D156" t="str">
            <v xml:space="preserve">FISCHER 0109784                    </v>
          </cell>
          <cell r="E156">
            <v>750</v>
          </cell>
          <cell r="F156" t="str">
            <v>D</v>
          </cell>
          <cell r="G156">
            <v>750</v>
          </cell>
        </row>
        <row r="157">
          <cell r="A157">
            <v>342437</v>
          </cell>
          <cell r="B157" t="str">
            <v>2007/11</v>
          </cell>
          <cell r="C157">
            <v>622602</v>
          </cell>
          <cell r="D157" t="str">
            <v xml:space="preserve">FISCHER 0109811                    </v>
          </cell>
          <cell r="E157">
            <v>750</v>
          </cell>
          <cell r="F157" t="str">
            <v>D</v>
          </cell>
          <cell r="G157">
            <v>750</v>
          </cell>
        </row>
        <row r="158">
          <cell r="A158">
            <v>342437</v>
          </cell>
          <cell r="B158" t="str">
            <v>2007/11</v>
          </cell>
          <cell r="C158">
            <v>622602</v>
          </cell>
          <cell r="D158" t="str">
            <v xml:space="preserve">FISCHER 0109818                    </v>
          </cell>
          <cell r="E158">
            <v>2466</v>
          </cell>
          <cell r="F158" t="str">
            <v>D</v>
          </cell>
          <cell r="G158">
            <v>2466</v>
          </cell>
        </row>
        <row r="159">
          <cell r="A159">
            <v>342437</v>
          </cell>
          <cell r="B159" t="str">
            <v>2007/11</v>
          </cell>
          <cell r="C159">
            <v>622602</v>
          </cell>
          <cell r="D159" t="str">
            <v xml:space="preserve">FISCHER 0109825                    </v>
          </cell>
          <cell r="E159">
            <v>9808</v>
          </cell>
          <cell r="F159" t="str">
            <v>D</v>
          </cell>
          <cell r="G159">
            <v>9808</v>
          </cell>
        </row>
        <row r="160">
          <cell r="A160">
            <v>342438</v>
          </cell>
          <cell r="B160" t="str">
            <v>2007/11</v>
          </cell>
          <cell r="C160">
            <v>622700</v>
          </cell>
          <cell r="D160" t="str">
            <v xml:space="preserve">FISCHER 0109825 INFOGREF           </v>
          </cell>
          <cell r="E160">
            <v>29.34</v>
          </cell>
          <cell r="F160" t="str">
            <v>D</v>
          </cell>
          <cell r="G160">
            <v>29.34</v>
          </cell>
        </row>
        <row r="161">
          <cell r="A161">
            <v>342437</v>
          </cell>
          <cell r="B161" t="str">
            <v>2007/11</v>
          </cell>
          <cell r="C161">
            <v>622602</v>
          </cell>
          <cell r="D161" t="str">
            <v xml:space="preserve">FISCHER 0109826                    </v>
          </cell>
          <cell r="E161">
            <v>4404</v>
          </cell>
          <cell r="F161" t="str">
            <v>D</v>
          </cell>
          <cell r="G161">
            <v>4404</v>
          </cell>
        </row>
        <row r="162">
          <cell r="A162">
            <v>230068</v>
          </cell>
          <cell r="B162" t="str">
            <v>2007/11</v>
          </cell>
          <cell r="C162">
            <v>455000</v>
          </cell>
          <cell r="D162" t="str">
            <v xml:space="preserve">FISCHER LEGAL ARBRITRATIO          </v>
          </cell>
          <cell r="E162">
            <v>77639.92</v>
          </cell>
          <cell r="F162" t="str">
            <v>C</v>
          </cell>
          <cell r="G162">
            <v>-77639.92</v>
          </cell>
        </row>
        <row r="163">
          <cell r="A163">
            <v>342437</v>
          </cell>
          <cell r="B163" t="str">
            <v>2007/11</v>
          </cell>
          <cell r="C163">
            <v>622602</v>
          </cell>
          <cell r="D163" t="str">
            <v xml:space="preserve">HELFENBERGER 7072002               </v>
          </cell>
          <cell r="E163">
            <v>450</v>
          </cell>
          <cell r="F163" t="str">
            <v>D</v>
          </cell>
          <cell r="G163">
            <v>450</v>
          </cell>
        </row>
        <row r="164">
          <cell r="A164">
            <v>230068</v>
          </cell>
          <cell r="B164" t="str">
            <v>2007/11</v>
          </cell>
          <cell r="C164">
            <v>455000</v>
          </cell>
          <cell r="D164" t="str">
            <v xml:space="preserve">HELFENBERGER 7072002               </v>
          </cell>
          <cell r="E164">
            <v>450</v>
          </cell>
          <cell r="F164" t="str">
            <v>C</v>
          </cell>
          <cell r="G164">
            <v>-450</v>
          </cell>
        </row>
        <row r="165">
          <cell r="A165">
            <v>370499</v>
          </cell>
          <cell r="B165" t="str">
            <v>2007/11</v>
          </cell>
          <cell r="C165">
            <v>625100</v>
          </cell>
          <cell r="D165" t="str">
            <v xml:space="preserve">NDF PC 09/06/07 (10)               </v>
          </cell>
          <cell r="E165">
            <v>20.399999999999999</v>
          </cell>
          <cell r="F165" t="str">
            <v>D</v>
          </cell>
          <cell r="G165">
            <v>20.399999999999999</v>
          </cell>
        </row>
        <row r="166">
          <cell r="A166">
            <v>370500</v>
          </cell>
          <cell r="B166" t="str">
            <v>2007/11</v>
          </cell>
          <cell r="C166">
            <v>625100</v>
          </cell>
          <cell r="D166" t="str">
            <v xml:space="preserve">NDF PC 09/06/07 (20)               </v>
          </cell>
          <cell r="E166">
            <v>141.65</v>
          </cell>
          <cell r="F166" t="str">
            <v>D</v>
          </cell>
          <cell r="G166">
            <v>141.65</v>
          </cell>
        </row>
        <row r="167">
          <cell r="A167">
            <v>370500</v>
          </cell>
          <cell r="B167" t="str">
            <v>2007/11</v>
          </cell>
          <cell r="C167">
            <v>625100</v>
          </cell>
          <cell r="D167" t="str">
            <v xml:space="preserve">NDF PC 09/06/07 (40)               </v>
          </cell>
          <cell r="E167">
            <v>254.5</v>
          </cell>
          <cell r="F167" t="str">
            <v>D</v>
          </cell>
          <cell r="G167">
            <v>254.5</v>
          </cell>
        </row>
        <row r="168">
          <cell r="A168">
            <v>341771</v>
          </cell>
          <cell r="B168" t="str">
            <v>2007/11</v>
          </cell>
          <cell r="C168">
            <v>625100</v>
          </cell>
          <cell r="D168" t="str">
            <v xml:space="preserve">NDF PC 09/06/07 (50)               </v>
          </cell>
          <cell r="E168">
            <v>331.67</v>
          </cell>
          <cell r="F168" t="str">
            <v>D</v>
          </cell>
          <cell r="G168">
            <v>331.67</v>
          </cell>
        </row>
        <row r="169">
          <cell r="A169">
            <v>370500</v>
          </cell>
          <cell r="B169" t="str">
            <v>2007/11</v>
          </cell>
          <cell r="C169">
            <v>625100</v>
          </cell>
          <cell r="D169" t="str">
            <v xml:space="preserve">NDF PC 09/06/07 (55)               </v>
          </cell>
          <cell r="E169">
            <v>42.8</v>
          </cell>
          <cell r="F169" t="str">
            <v>D</v>
          </cell>
          <cell r="G169">
            <v>42.8</v>
          </cell>
        </row>
        <row r="170">
          <cell r="A170">
            <v>370500</v>
          </cell>
          <cell r="B170" t="str">
            <v>2007/11</v>
          </cell>
          <cell r="C170">
            <v>625100</v>
          </cell>
          <cell r="D170" t="str">
            <v xml:space="preserve">NDF PC 09/06/07 (60)               </v>
          </cell>
          <cell r="E170">
            <v>65.900000000000006</v>
          </cell>
          <cell r="F170" t="str">
            <v>D</v>
          </cell>
          <cell r="G170">
            <v>65.900000000000006</v>
          </cell>
        </row>
        <row r="171">
          <cell r="A171">
            <v>370499</v>
          </cell>
          <cell r="B171" t="str">
            <v>2007/11</v>
          </cell>
          <cell r="C171">
            <v>625100</v>
          </cell>
          <cell r="D171" t="str">
            <v xml:space="preserve">NDF PC 09/06/07 (70)               </v>
          </cell>
          <cell r="E171">
            <v>216</v>
          </cell>
          <cell r="F171" t="str">
            <v>D</v>
          </cell>
          <cell r="G171">
            <v>216</v>
          </cell>
        </row>
        <row r="172">
          <cell r="A172">
            <v>370499</v>
          </cell>
          <cell r="B172" t="str">
            <v>2007/11</v>
          </cell>
          <cell r="C172">
            <v>625100</v>
          </cell>
          <cell r="D172" t="str">
            <v xml:space="preserve">NDF PC 09/06/07 (99)               </v>
          </cell>
          <cell r="E172">
            <v>228.72</v>
          </cell>
          <cell r="F172" t="str">
            <v>D</v>
          </cell>
          <cell r="G172">
            <v>228.72</v>
          </cell>
        </row>
        <row r="173">
          <cell r="A173">
            <v>341773</v>
          </cell>
          <cell r="B173" t="str">
            <v>2007/11</v>
          </cell>
          <cell r="C173">
            <v>625100</v>
          </cell>
          <cell r="D173" t="str">
            <v xml:space="preserve">NDF PC 09/06/07 (55)               </v>
          </cell>
          <cell r="E173">
            <v>129.63</v>
          </cell>
          <cell r="F173" t="str">
            <v>D</v>
          </cell>
          <cell r="G173">
            <v>129.63</v>
          </cell>
        </row>
        <row r="174">
          <cell r="A174">
            <v>370500</v>
          </cell>
          <cell r="B174" t="str">
            <v>2007/11</v>
          </cell>
          <cell r="C174">
            <v>625100</v>
          </cell>
          <cell r="D174" t="str">
            <v xml:space="preserve">NDF PC 09/06/07 (60)               </v>
          </cell>
          <cell r="E174">
            <v>27.1</v>
          </cell>
          <cell r="F174" t="str">
            <v>D</v>
          </cell>
          <cell r="G174">
            <v>27.1</v>
          </cell>
        </row>
        <row r="175">
          <cell r="A175">
            <v>370499</v>
          </cell>
          <cell r="B175" t="str">
            <v>2007/11</v>
          </cell>
          <cell r="C175">
            <v>625100</v>
          </cell>
          <cell r="D175" t="str">
            <v xml:space="preserve">NDF PC 09/06/07 (70)               </v>
          </cell>
          <cell r="E175">
            <v>145</v>
          </cell>
          <cell r="F175" t="str">
            <v>D</v>
          </cell>
          <cell r="G175">
            <v>145</v>
          </cell>
        </row>
        <row r="176">
          <cell r="A176">
            <v>370499</v>
          </cell>
          <cell r="B176" t="str">
            <v>2007/11</v>
          </cell>
          <cell r="C176">
            <v>625100</v>
          </cell>
          <cell r="D176" t="str">
            <v xml:space="preserve">NDF PC 09/06/07 (99)               </v>
          </cell>
          <cell r="E176">
            <v>36.25</v>
          </cell>
          <cell r="F176" t="str">
            <v>D</v>
          </cell>
          <cell r="G176">
            <v>36.25</v>
          </cell>
        </row>
        <row r="177">
          <cell r="A177">
            <v>370500</v>
          </cell>
          <cell r="B177" t="str">
            <v>2007/11</v>
          </cell>
          <cell r="C177">
            <v>625100</v>
          </cell>
          <cell r="D177" t="str">
            <v xml:space="preserve">NDF PC 09/06/07 (60)               </v>
          </cell>
          <cell r="E177">
            <v>53.8</v>
          </cell>
          <cell r="F177" t="str">
            <v>D</v>
          </cell>
          <cell r="G177">
            <v>53.8</v>
          </cell>
        </row>
        <row r="178">
          <cell r="A178">
            <v>249530</v>
          </cell>
          <cell r="B178" t="str">
            <v>2007/11</v>
          </cell>
          <cell r="C178">
            <v>471000</v>
          </cell>
          <cell r="D178" t="str">
            <v xml:space="preserve">NDF PC 09/06/07                    </v>
          </cell>
          <cell r="E178">
            <v>1693.42</v>
          </cell>
          <cell r="F178" t="str">
            <v>C</v>
          </cell>
          <cell r="G178">
            <v>-1693.42</v>
          </cell>
        </row>
        <row r="179">
          <cell r="A179">
            <v>249530</v>
          </cell>
          <cell r="B179" t="str">
            <v>2007/11</v>
          </cell>
          <cell r="C179">
            <v>421000</v>
          </cell>
          <cell r="D179" t="str">
            <v xml:space="preserve">NR SALAIRE SEPT 07                 </v>
          </cell>
          <cell r="E179">
            <v>5941.67</v>
          </cell>
          <cell r="F179" t="str">
            <v>D</v>
          </cell>
          <cell r="G179">
            <v>5941.67</v>
          </cell>
        </row>
        <row r="180">
          <cell r="A180">
            <v>249530</v>
          </cell>
          <cell r="B180" t="str">
            <v>2007/11</v>
          </cell>
          <cell r="C180">
            <v>421000</v>
          </cell>
          <cell r="D180" t="str">
            <v xml:space="preserve">NR SALAIRE SEPT 07                 </v>
          </cell>
          <cell r="E180">
            <v>7800</v>
          </cell>
          <cell r="F180" t="str">
            <v>D</v>
          </cell>
          <cell r="G180">
            <v>7800</v>
          </cell>
        </row>
        <row r="181">
          <cell r="A181">
            <v>342627</v>
          </cell>
          <cell r="B181" t="str">
            <v>2007/11</v>
          </cell>
          <cell r="C181">
            <v>627000</v>
          </cell>
          <cell r="D181" t="str">
            <v xml:space="preserve">FRAIS SUR VIREMENT SALAIR          </v>
          </cell>
          <cell r="E181">
            <v>37.5</v>
          </cell>
          <cell r="F181" t="str">
            <v>D</v>
          </cell>
          <cell r="G181">
            <v>37.5</v>
          </cell>
        </row>
        <row r="182">
          <cell r="A182">
            <v>230068</v>
          </cell>
          <cell r="B182" t="str">
            <v>2007/11</v>
          </cell>
          <cell r="C182">
            <v>455001</v>
          </cell>
          <cell r="D182" t="str">
            <v xml:space="preserve">SALAIRES NR PC SEPT 07             </v>
          </cell>
          <cell r="E182">
            <v>13779.17</v>
          </cell>
          <cell r="F182" t="str">
            <v>C</v>
          </cell>
          <cell r="G182">
            <v>-13779.17</v>
          </cell>
        </row>
        <row r="183">
          <cell r="A183">
            <v>249530</v>
          </cell>
          <cell r="B183" t="str">
            <v>2007/11</v>
          </cell>
          <cell r="C183">
            <v>421000</v>
          </cell>
          <cell r="D183" t="str">
            <v xml:space="preserve">NR PAYROLL 11/20/07                </v>
          </cell>
          <cell r="E183">
            <v>5941.67</v>
          </cell>
          <cell r="F183" t="str">
            <v>D</v>
          </cell>
          <cell r="G183">
            <v>5941.67</v>
          </cell>
        </row>
        <row r="184">
          <cell r="A184">
            <v>230068</v>
          </cell>
          <cell r="B184" t="str">
            <v>2007/11</v>
          </cell>
          <cell r="C184">
            <v>455002</v>
          </cell>
          <cell r="D184" t="str">
            <v xml:space="preserve">NR PAYROLL 11/20/07                </v>
          </cell>
          <cell r="E184">
            <v>5962.67</v>
          </cell>
          <cell r="F184" t="str">
            <v>C</v>
          </cell>
          <cell r="G184">
            <v>-5962.67</v>
          </cell>
        </row>
        <row r="185">
          <cell r="A185">
            <v>249530</v>
          </cell>
          <cell r="B185" t="str">
            <v>2007/11</v>
          </cell>
          <cell r="C185">
            <v>421000</v>
          </cell>
          <cell r="D185" t="str">
            <v xml:space="preserve">NR PAYROLL 10/24/07                </v>
          </cell>
          <cell r="E185">
            <v>5941.67</v>
          </cell>
          <cell r="F185" t="str">
            <v>D</v>
          </cell>
          <cell r="G185">
            <v>5941.67</v>
          </cell>
        </row>
        <row r="186">
          <cell r="A186">
            <v>230068</v>
          </cell>
          <cell r="B186" t="str">
            <v>2007/11</v>
          </cell>
          <cell r="C186">
            <v>455002</v>
          </cell>
          <cell r="D186" t="str">
            <v xml:space="preserve">NR PAYROLL 10/24/07                </v>
          </cell>
          <cell r="E186">
            <v>5962.67</v>
          </cell>
          <cell r="F186" t="str">
            <v>C</v>
          </cell>
          <cell r="G186">
            <v>-5962.67</v>
          </cell>
        </row>
        <row r="187">
          <cell r="A187">
            <v>342627</v>
          </cell>
          <cell r="B187" t="str">
            <v>2007/11</v>
          </cell>
          <cell r="C187">
            <v>627000</v>
          </cell>
          <cell r="D187" t="str">
            <v xml:space="preserve">NR PAYROLL 10&amp;10/07                </v>
          </cell>
          <cell r="E187">
            <v>42</v>
          </cell>
          <cell r="F187" t="str">
            <v>D</v>
          </cell>
          <cell r="G187">
            <v>42</v>
          </cell>
        </row>
        <row r="188">
          <cell r="A188">
            <v>249530</v>
          </cell>
          <cell r="B188" t="str">
            <v>2007/11</v>
          </cell>
          <cell r="C188">
            <v>421000</v>
          </cell>
          <cell r="D188" t="str">
            <v xml:space="preserve">PC PAYROLL                         </v>
          </cell>
          <cell r="E188">
            <v>15600</v>
          </cell>
          <cell r="F188" t="str">
            <v>D</v>
          </cell>
          <cell r="G188">
            <v>15600</v>
          </cell>
        </row>
        <row r="189">
          <cell r="A189">
            <v>230068</v>
          </cell>
          <cell r="B189" t="str">
            <v>2007/11</v>
          </cell>
          <cell r="C189">
            <v>455002</v>
          </cell>
          <cell r="D189" t="str">
            <v xml:space="preserve">PC PAYROLL                         </v>
          </cell>
          <cell r="E189">
            <v>15600</v>
          </cell>
          <cell r="F189" t="str">
            <v>C</v>
          </cell>
          <cell r="G189">
            <v>-15600</v>
          </cell>
        </row>
        <row r="190">
          <cell r="A190">
            <v>381980</v>
          </cell>
          <cell r="B190" t="str">
            <v>2007/11</v>
          </cell>
          <cell r="C190">
            <v>658000</v>
          </cell>
          <cell r="D190" t="str">
            <v xml:space="preserve">ECART PAYROLL                      </v>
          </cell>
          <cell r="E190">
            <v>0.51</v>
          </cell>
          <cell r="F190" t="str">
            <v>D</v>
          </cell>
          <cell r="G190">
            <v>0.51</v>
          </cell>
        </row>
        <row r="191">
          <cell r="A191">
            <v>249530</v>
          </cell>
          <cell r="B191" t="str">
            <v>2007/11</v>
          </cell>
          <cell r="C191">
            <v>421000</v>
          </cell>
          <cell r="D191" t="str">
            <v xml:space="preserve">ECART PAYROLL                      </v>
          </cell>
          <cell r="E191">
            <v>0.51</v>
          </cell>
          <cell r="F191" t="str">
            <v>C</v>
          </cell>
          <cell r="G191">
            <v>-0.51</v>
          </cell>
        </row>
        <row r="192">
          <cell r="A192">
            <v>370499</v>
          </cell>
          <cell r="B192" t="str">
            <v>2007/11</v>
          </cell>
          <cell r="C192">
            <v>625100</v>
          </cell>
          <cell r="D192" t="str">
            <v xml:space="preserve">NDF NR 11/28/07 (10)               </v>
          </cell>
          <cell r="E192">
            <v>78.099999999999994</v>
          </cell>
          <cell r="F192" t="str">
            <v>D</v>
          </cell>
          <cell r="G192">
            <v>78.099999999999994</v>
          </cell>
        </row>
        <row r="193">
          <cell r="A193">
            <v>341771</v>
          </cell>
          <cell r="B193" t="str">
            <v>2007/11</v>
          </cell>
          <cell r="C193">
            <v>625100</v>
          </cell>
          <cell r="D193" t="str">
            <v xml:space="preserve">NDF NR 11/28/07 (50)               </v>
          </cell>
          <cell r="E193">
            <v>78.63</v>
          </cell>
          <cell r="F193" t="str">
            <v>D</v>
          </cell>
          <cell r="G193">
            <v>78.63</v>
          </cell>
        </row>
        <row r="194">
          <cell r="A194">
            <v>370500</v>
          </cell>
          <cell r="B194" t="str">
            <v>2007/11</v>
          </cell>
          <cell r="C194">
            <v>625100</v>
          </cell>
          <cell r="D194" t="str">
            <v xml:space="preserve">NDF NR 11/28/07 (60)               </v>
          </cell>
          <cell r="E194">
            <v>150.15</v>
          </cell>
          <cell r="F194" t="str">
            <v>D</v>
          </cell>
          <cell r="G194">
            <v>150.15</v>
          </cell>
        </row>
        <row r="195">
          <cell r="A195">
            <v>370499</v>
          </cell>
          <cell r="B195" t="str">
            <v>2007/11</v>
          </cell>
          <cell r="C195">
            <v>625100</v>
          </cell>
          <cell r="D195" t="str">
            <v xml:space="preserve">NDF NR 11/28/07 (10)               </v>
          </cell>
          <cell r="E195">
            <v>3.3</v>
          </cell>
          <cell r="F195" t="str">
            <v>D</v>
          </cell>
          <cell r="G195">
            <v>3.3</v>
          </cell>
        </row>
        <row r="196">
          <cell r="A196">
            <v>341773</v>
          </cell>
          <cell r="B196" t="str">
            <v>2007/11</v>
          </cell>
          <cell r="C196">
            <v>625100</v>
          </cell>
          <cell r="D196" t="str">
            <v xml:space="preserve">NDF NR 11/28/07 (55)               </v>
          </cell>
          <cell r="E196">
            <v>487.7</v>
          </cell>
          <cell r="F196" t="str">
            <v>D</v>
          </cell>
          <cell r="G196">
            <v>487.7</v>
          </cell>
        </row>
        <row r="197">
          <cell r="A197">
            <v>370500</v>
          </cell>
          <cell r="B197" t="str">
            <v>2007/11</v>
          </cell>
          <cell r="C197">
            <v>625100</v>
          </cell>
          <cell r="D197" t="str">
            <v xml:space="preserve">NDF NR 11/28/07 (60)               </v>
          </cell>
          <cell r="E197">
            <v>167</v>
          </cell>
          <cell r="F197" t="str">
            <v>D</v>
          </cell>
          <cell r="G197">
            <v>167</v>
          </cell>
        </row>
        <row r="198">
          <cell r="A198">
            <v>370499</v>
          </cell>
          <cell r="B198" t="str">
            <v>2007/11</v>
          </cell>
          <cell r="C198">
            <v>625100</v>
          </cell>
          <cell r="D198" t="str">
            <v xml:space="preserve">NDF NR 11/28/07 (99)               </v>
          </cell>
          <cell r="E198">
            <v>382</v>
          </cell>
          <cell r="F198" t="str">
            <v>D</v>
          </cell>
          <cell r="G198">
            <v>382</v>
          </cell>
        </row>
        <row r="199">
          <cell r="A199">
            <v>370499</v>
          </cell>
          <cell r="B199" t="str">
            <v>2007/11</v>
          </cell>
          <cell r="C199">
            <v>625100</v>
          </cell>
          <cell r="D199" t="str">
            <v xml:space="preserve">NDF NR 11/28/07 (10)               </v>
          </cell>
          <cell r="E199">
            <v>21.85</v>
          </cell>
          <cell r="F199" t="str">
            <v>D</v>
          </cell>
          <cell r="G199">
            <v>21.85</v>
          </cell>
        </row>
        <row r="200">
          <cell r="A200">
            <v>370500</v>
          </cell>
          <cell r="B200" t="str">
            <v>2007/11</v>
          </cell>
          <cell r="C200">
            <v>625100</v>
          </cell>
          <cell r="D200" t="str">
            <v xml:space="preserve">NDF NR 11/28/07 (40)               </v>
          </cell>
          <cell r="E200">
            <v>296.91000000000003</v>
          </cell>
          <cell r="F200" t="str">
            <v>D</v>
          </cell>
          <cell r="G200">
            <v>296.91000000000003</v>
          </cell>
        </row>
        <row r="201">
          <cell r="A201">
            <v>341771</v>
          </cell>
          <cell r="B201" t="str">
            <v>2007/11</v>
          </cell>
          <cell r="C201">
            <v>625100</v>
          </cell>
          <cell r="D201" t="str">
            <v xml:space="preserve">NDF NR 11/28/07 (50)               </v>
          </cell>
          <cell r="E201">
            <v>72.83</v>
          </cell>
          <cell r="F201" t="str">
            <v>D</v>
          </cell>
          <cell r="G201">
            <v>72.83</v>
          </cell>
        </row>
        <row r="202">
          <cell r="A202">
            <v>370500</v>
          </cell>
          <cell r="B202" t="str">
            <v>2007/11</v>
          </cell>
          <cell r="C202">
            <v>625100</v>
          </cell>
          <cell r="D202" t="str">
            <v xml:space="preserve">NDF NR 11/28/07 (60)               </v>
          </cell>
          <cell r="E202">
            <v>196.2</v>
          </cell>
          <cell r="F202" t="str">
            <v>D</v>
          </cell>
          <cell r="G202">
            <v>196.2</v>
          </cell>
        </row>
        <row r="203">
          <cell r="A203">
            <v>370499</v>
          </cell>
          <cell r="B203" t="str">
            <v>2007/11</v>
          </cell>
          <cell r="C203">
            <v>625100</v>
          </cell>
          <cell r="D203" t="str">
            <v xml:space="preserve">NDF NR 11/28/07 (99)               </v>
          </cell>
          <cell r="E203">
            <v>65.349999999999994</v>
          </cell>
          <cell r="F203" t="str">
            <v>D</v>
          </cell>
          <cell r="G203">
            <v>65.349999999999994</v>
          </cell>
        </row>
        <row r="204">
          <cell r="A204">
            <v>342627</v>
          </cell>
          <cell r="B204" t="str">
            <v>2007/11</v>
          </cell>
          <cell r="C204">
            <v>627000</v>
          </cell>
          <cell r="D204" t="str">
            <v xml:space="preserve">NDF NR WIRE FEE                    </v>
          </cell>
          <cell r="E204">
            <v>21</v>
          </cell>
          <cell r="F204" t="str">
            <v>D</v>
          </cell>
          <cell r="G204">
            <v>21</v>
          </cell>
        </row>
        <row r="205">
          <cell r="A205">
            <v>230068</v>
          </cell>
          <cell r="B205" t="str">
            <v>2007/11</v>
          </cell>
          <cell r="C205">
            <v>455002</v>
          </cell>
          <cell r="D205" t="str">
            <v xml:space="preserve">NDF NR 11/28/07                    </v>
          </cell>
          <cell r="E205">
            <v>2021.02</v>
          </cell>
          <cell r="F205" t="str">
            <v>C</v>
          </cell>
          <cell r="G205">
            <v>-2021.02</v>
          </cell>
        </row>
        <row r="206">
          <cell r="A206">
            <v>370500</v>
          </cell>
          <cell r="B206" t="str">
            <v>2007/11</v>
          </cell>
          <cell r="C206">
            <v>625100</v>
          </cell>
          <cell r="D206" t="str">
            <v xml:space="preserve">NDF PC 11/28/07 (40)               </v>
          </cell>
          <cell r="E206">
            <v>165.5</v>
          </cell>
          <cell r="F206" t="str">
            <v>D</v>
          </cell>
          <cell r="G206">
            <v>165.5</v>
          </cell>
        </row>
        <row r="207">
          <cell r="A207">
            <v>370499</v>
          </cell>
          <cell r="B207" t="str">
            <v>2007/11</v>
          </cell>
          <cell r="C207">
            <v>625100</v>
          </cell>
          <cell r="D207" t="str">
            <v xml:space="preserve">NDF PC 11/28/07 (70)               </v>
          </cell>
          <cell r="E207">
            <v>23</v>
          </cell>
          <cell r="F207" t="str">
            <v>D</v>
          </cell>
          <cell r="G207">
            <v>23</v>
          </cell>
        </row>
        <row r="208">
          <cell r="A208">
            <v>370499</v>
          </cell>
          <cell r="B208" t="str">
            <v>2007/11</v>
          </cell>
          <cell r="C208">
            <v>625100</v>
          </cell>
          <cell r="D208" t="str">
            <v xml:space="preserve">NDF PC 11/28/07 (99)               </v>
          </cell>
          <cell r="E208">
            <v>154.94999999999999</v>
          </cell>
          <cell r="F208" t="str">
            <v>D</v>
          </cell>
          <cell r="G208">
            <v>154.94999999999999</v>
          </cell>
        </row>
        <row r="209">
          <cell r="A209">
            <v>370500</v>
          </cell>
          <cell r="B209" t="str">
            <v>2007/11</v>
          </cell>
          <cell r="C209">
            <v>625100</v>
          </cell>
          <cell r="D209" t="str">
            <v xml:space="preserve">NDF PC 11/28/07 (20)               </v>
          </cell>
          <cell r="E209">
            <v>71</v>
          </cell>
          <cell r="F209" t="str">
            <v>D</v>
          </cell>
          <cell r="G209">
            <v>71</v>
          </cell>
        </row>
        <row r="210">
          <cell r="A210">
            <v>370500</v>
          </cell>
          <cell r="B210" t="str">
            <v>2007/11</v>
          </cell>
          <cell r="C210">
            <v>625100</v>
          </cell>
          <cell r="D210" t="str">
            <v xml:space="preserve">NDF PC 11/28/07 (40)               </v>
          </cell>
          <cell r="E210">
            <v>209.5</v>
          </cell>
          <cell r="F210" t="str">
            <v>D</v>
          </cell>
          <cell r="G210">
            <v>209.5</v>
          </cell>
        </row>
        <row r="211">
          <cell r="A211">
            <v>341771</v>
          </cell>
          <cell r="B211" t="str">
            <v>2007/11</v>
          </cell>
          <cell r="C211">
            <v>625100</v>
          </cell>
          <cell r="D211" t="str">
            <v xml:space="preserve">NDF PC 11/28/07 (50)               </v>
          </cell>
          <cell r="E211">
            <v>114.35</v>
          </cell>
          <cell r="F211" t="str">
            <v>D</v>
          </cell>
          <cell r="G211">
            <v>114.35</v>
          </cell>
        </row>
        <row r="212">
          <cell r="A212">
            <v>370500</v>
          </cell>
          <cell r="B212" t="str">
            <v>2007/11</v>
          </cell>
          <cell r="C212">
            <v>625100</v>
          </cell>
          <cell r="D212" t="str">
            <v xml:space="preserve">NDF PC 11/28/07 (60)               </v>
          </cell>
          <cell r="E212">
            <v>34.700000000000003</v>
          </cell>
          <cell r="F212" t="str">
            <v>D</v>
          </cell>
          <cell r="G212">
            <v>34.700000000000003</v>
          </cell>
        </row>
        <row r="213">
          <cell r="A213">
            <v>370499</v>
          </cell>
          <cell r="B213" t="str">
            <v>2007/11</v>
          </cell>
          <cell r="C213">
            <v>625100</v>
          </cell>
          <cell r="D213" t="str">
            <v xml:space="preserve">NDF PC 11/28/07 (70)               </v>
          </cell>
          <cell r="E213">
            <v>146.63999999999999</v>
          </cell>
          <cell r="F213" t="str">
            <v>D</v>
          </cell>
          <cell r="G213">
            <v>146.63999999999999</v>
          </cell>
        </row>
        <row r="214">
          <cell r="A214">
            <v>370499</v>
          </cell>
          <cell r="B214" t="str">
            <v>2007/11</v>
          </cell>
          <cell r="C214">
            <v>625100</v>
          </cell>
          <cell r="D214" t="str">
            <v xml:space="preserve">NDF PC 11/28/07 (99)               </v>
          </cell>
          <cell r="E214">
            <v>719.65</v>
          </cell>
          <cell r="F214" t="str">
            <v>D</v>
          </cell>
          <cell r="G214">
            <v>719.65</v>
          </cell>
        </row>
        <row r="215">
          <cell r="A215">
            <v>370500</v>
          </cell>
          <cell r="B215" t="str">
            <v>2007/11</v>
          </cell>
          <cell r="C215">
            <v>625100</v>
          </cell>
          <cell r="D215" t="str">
            <v xml:space="preserve">NDF PC 11/28/07 (40)               </v>
          </cell>
          <cell r="E215">
            <v>190.1</v>
          </cell>
          <cell r="F215" t="str">
            <v>D</v>
          </cell>
          <cell r="G215">
            <v>190.1</v>
          </cell>
        </row>
        <row r="216">
          <cell r="A216">
            <v>341773</v>
          </cell>
          <cell r="B216" t="str">
            <v>2007/11</v>
          </cell>
          <cell r="C216">
            <v>625100</v>
          </cell>
          <cell r="D216" t="str">
            <v xml:space="preserve">NDF PC 11/28/07 (55)               </v>
          </cell>
          <cell r="E216">
            <v>121.81</v>
          </cell>
          <cell r="F216" t="str">
            <v>D</v>
          </cell>
          <cell r="G216">
            <v>121.81</v>
          </cell>
        </row>
        <row r="217">
          <cell r="A217">
            <v>370500</v>
          </cell>
          <cell r="B217" t="str">
            <v>2007/11</v>
          </cell>
          <cell r="C217">
            <v>625100</v>
          </cell>
          <cell r="D217" t="str">
            <v xml:space="preserve">NDF PC 11/28/07 (60)               </v>
          </cell>
          <cell r="E217">
            <v>61</v>
          </cell>
          <cell r="F217" t="str">
            <v>D</v>
          </cell>
          <cell r="G217">
            <v>61</v>
          </cell>
        </row>
        <row r="218">
          <cell r="A218">
            <v>370499</v>
          </cell>
          <cell r="B218" t="str">
            <v>2007/11</v>
          </cell>
          <cell r="C218">
            <v>625100</v>
          </cell>
          <cell r="D218" t="str">
            <v xml:space="preserve">NDF PC 11/28/07 (70)               </v>
          </cell>
          <cell r="E218">
            <v>216.7</v>
          </cell>
          <cell r="F218" t="str">
            <v>D</v>
          </cell>
          <cell r="G218">
            <v>216.7</v>
          </cell>
        </row>
        <row r="219">
          <cell r="A219">
            <v>370499</v>
          </cell>
          <cell r="B219" t="str">
            <v>2007/11</v>
          </cell>
          <cell r="C219">
            <v>625100</v>
          </cell>
          <cell r="D219" t="str">
            <v xml:space="preserve">NDF PC 11/28/07 (99)               </v>
          </cell>
          <cell r="E219">
            <v>1094.6300000000001</v>
          </cell>
          <cell r="F219" t="str">
            <v>D</v>
          </cell>
          <cell r="G219">
            <v>1094.6300000000001</v>
          </cell>
        </row>
        <row r="220">
          <cell r="A220">
            <v>342627</v>
          </cell>
          <cell r="B220" t="str">
            <v>2007/11</v>
          </cell>
          <cell r="C220">
            <v>627000</v>
          </cell>
          <cell r="D220" t="str">
            <v xml:space="preserve">NDF PC 11/28/07 WIRE               </v>
          </cell>
          <cell r="E220">
            <v>16.5</v>
          </cell>
          <cell r="F220" t="str">
            <v>D</v>
          </cell>
          <cell r="G220">
            <v>16.5</v>
          </cell>
        </row>
        <row r="221">
          <cell r="A221">
            <v>230068</v>
          </cell>
          <cell r="B221" t="str">
            <v>2007/11</v>
          </cell>
          <cell r="C221">
            <v>455002</v>
          </cell>
          <cell r="D221" t="str">
            <v xml:space="preserve">NDF PC 11/28/07                    </v>
          </cell>
          <cell r="E221">
            <v>3340.03</v>
          </cell>
          <cell r="F221" t="str">
            <v>C</v>
          </cell>
          <cell r="G221">
            <v>-3340.03</v>
          </cell>
        </row>
        <row r="222">
          <cell r="A222">
            <v>381980</v>
          </cell>
          <cell r="B222" t="str">
            <v>2007/11</v>
          </cell>
          <cell r="C222">
            <v>658000</v>
          </cell>
          <cell r="D222" t="str">
            <v xml:space="preserve">OD ECART FRA 101                   </v>
          </cell>
          <cell r="E222">
            <v>1.34</v>
          </cell>
          <cell r="F222" t="str">
            <v>D</v>
          </cell>
          <cell r="G222">
            <v>1.34</v>
          </cell>
        </row>
        <row r="223">
          <cell r="A223">
            <v>230068</v>
          </cell>
          <cell r="B223" t="str">
            <v>2007/11</v>
          </cell>
          <cell r="C223">
            <v>455001</v>
          </cell>
          <cell r="D223" t="str">
            <v xml:space="preserve">OD ECART FRA 101                   </v>
          </cell>
          <cell r="E223">
            <v>1.34</v>
          </cell>
          <cell r="F223" t="str">
            <v>C</v>
          </cell>
          <cell r="G223">
            <v>-1.34</v>
          </cell>
        </row>
        <row r="224">
          <cell r="A224">
            <v>370499</v>
          </cell>
          <cell r="B224" t="str">
            <v>2007/11</v>
          </cell>
          <cell r="C224">
            <v>625100</v>
          </cell>
          <cell r="D224" t="str">
            <v xml:space="preserve">TVA NDF PC (70)                    </v>
          </cell>
          <cell r="E224">
            <v>8.0299999999999994</v>
          </cell>
          <cell r="F224" t="str">
            <v>C</v>
          </cell>
          <cell r="G224">
            <v>-8.0299999999999994</v>
          </cell>
        </row>
        <row r="225">
          <cell r="A225">
            <v>148550</v>
          </cell>
          <cell r="B225" t="str">
            <v>2007/11</v>
          </cell>
          <cell r="C225">
            <v>445660</v>
          </cell>
          <cell r="D225" t="str">
            <v xml:space="preserve">TVA NDF PC                         </v>
          </cell>
          <cell r="E225">
            <v>8.0299999999999994</v>
          </cell>
          <cell r="F225" t="str">
            <v>D</v>
          </cell>
          <cell r="G225">
            <v>8.0299999999999994</v>
          </cell>
        </row>
        <row r="226">
          <cell r="A226">
            <v>341773</v>
          </cell>
          <cell r="B226" t="str">
            <v>2007/11</v>
          </cell>
          <cell r="C226">
            <v>625100</v>
          </cell>
          <cell r="D226" t="str">
            <v xml:space="preserve">TVA NDF PC (55)                    </v>
          </cell>
          <cell r="E226">
            <v>8.6199999999999992</v>
          </cell>
          <cell r="F226" t="str">
            <v>C</v>
          </cell>
          <cell r="G226">
            <v>-8.6199999999999992</v>
          </cell>
        </row>
        <row r="227">
          <cell r="A227">
            <v>370500</v>
          </cell>
          <cell r="B227" t="str">
            <v>2007/11</v>
          </cell>
          <cell r="C227">
            <v>625100</v>
          </cell>
          <cell r="D227" t="str">
            <v xml:space="preserve">TVA NDF PC (20)                    </v>
          </cell>
          <cell r="E227">
            <v>65.62</v>
          </cell>
          <cell r="F227" t="str">
            <v>C</v>
          </cell>
          <cell r="G227">
            <v>-65.62</v>
          </cell>
        </row>
        <row r="228">
          <cell r="A228">
            <v>370499</v>
          </cell>
          <cell r="B228" t="str">
            <v>2007/11</v>
          </cell>
          <cell r="C228">
            <v>625100</v>
          </cell>
          <cell r="D228" t="str">
            <v xml:space="preserve">TVA NDF PC (99)                    </v>
          </cell>
          <cell r="E228">
            <v>5.0999999999999996</v>
          </cell>
          <cell r="F228" t="str">
            <v>C</v>
          </cell>
          <cell r="G228">
            <v>-5.0999999999999996</v>
          </cell>
        </row>
        <row r="229">
          <cell r="A229">
            <v>370499</v>
          </cell>
          <cell r="B229" t="str">
            <v>2007/11</v>
          </cell>
          <cell r="C229">
            <v>625100</v>
          </cell>
          <cell r="D229" t="str">
            <v xml:space="preserve">TVA NDF PC (70)                    </v>
          </cell>
          <cell r="E229">
            <v>1.93</v>
          </cell>
          <cell r="F229" t="str">
            <v>C</v>
          </cell>
          <cell r="G229">
            <v>-1.93</v>
          </cell>
        </row>
        <row r="230">
          <cell r="A230">
            <v>148550</v>
          </cell>
          <cell r="B230" t="str">
            <v>2007/11</v>
          </cell>
          <cell r="C230">
            <v>445660</v>
          </cell>
          <cell r="D230" t="str">
            <v xml:space="preserve">TVA NDF PC                         </v>
          </cell>
          <cell r="E230">
            <v>81.27</v>
          </cell>
          <cell r="F230" t="str">
            <v>D</v>
          </cell>
          <cell r="G230">
            <v>81.27</v>
          </cell>
        </row>
        <row r="231">
          <cell r="A231">
            <v>370499</v>
          </cell>
          <cell r="B231" t="str">
            <v>2007/11</v>
          </cell>
          <cell r="C231">
            <v>625100</v>
          </cell>
          <cell r="D231" t="str">
            <v xml:space="preserve">TVA NDF PC (99)                    </v>
          </cell>
          <cell r="E231">
            <v>3.15</v>
          </cell>
          <cell r="F231" t="str">
            <v>C</v>
          </cell>
          <cell r="G231">
            <v>-3.15</v>
          </cell>
        </row>
        <row r="232">
          <cell r="A232">
            <v>148550</v>
          </cell>
          <cell r="B232" t="str">
            <v>2007/11</v>
          </cell>
          <cell r="C232">
            <v>445660</v>
          </cell>
          <cell r="D232" t="str">
            <v xml:space="preserve">TVA NDF PC                         </v>
          </cell>
          <cell r="E232">
            <v>3.15</v>
          </cell>
          <cell r="F232" t="str">
            <v>D</v>
          </cell>
          <cell r="G232">
            <v>3.15</v>
          </cell>
        </row>
        <row r="233">
          <cell r="A233">
            <v>370500</v>
          </cell>
          <cell r="B233" t="str">
            <v>2007/11</v>
          </cell>
          <cell r="C233">
            <v>625100</v>
          </cell>
          <cell r="D233" t="str">
            <v xml:space="preserve">TVA NDF PC (20)                    </v>
          </cell>
          <cell r="E233">
            <v>9.5299999999999994</v>
          </cell>
          <cell r="F233" t="str">
            <v>C</v>
          </cell>
          <cell r="G233">
            <v>-9.5299999999999994</v>
          </cell>
        </row>
        <row r="234">
          <cell r="A234">
            <v>341773</v>
          </cell>
          <cell r="B234" t="str">
            <v>2007/11</v>
          </cell>
          <cell r="C234">
            <v>625100</v>
          </cell>
          <cell r="D234" t="str">
            <v xml:space="preserve">TVA NDF PC (55)                    </v>
          </cell>
          <cell r="E234">
            <v>7.01</v>
          </cell>
          <cell r="F234" t="str">
            <v>C</v>
          </cell>
          <cell r="G234">
            <v>-7.01</v>
          </cell>
        </row>
        <row r="235">
          <cell r="A235">
            <v>370499</v>
          </cell>
          <cell r="B235" t="str">
            <v>2007/11</v>
          </cell>
          <cell r="C235">
            <v>625100</v>
          </cell>
          <cell r="D235" t="str">
            <v xml:space="preserve">TVA NDF PC (99)                    </v>
          </cell>
          <cell r="E235">
            <v>17.25</v>
          </cell>
          <cell r="F235" t="str">
            <v>C</v>
          </cell>
          <cell r="G235">
            <v>-17.25</v>
          </cell>
        </row>
        <row r="236">
          <cell r="A236">
            <v>341771</v>
          </cell>
          <cell r="B236" t="str">
            <v>2007/11</v>
          </cell>
          <cell r="C236">
            <v>625100</v>
          </cell>
          <cell r="D236" t="str">
            <v xml:space="preserve">TVA NDF PC (50)                    </v>
          </cell>
          <cell r="E236">
            <v>60.81</v>
          </cell>
          <cell r="F236" t="str">
            <v>C</v>
          </cell>
          <cell r="G236">
            <v>-60.81</v>
          </cell>
        </row>
        <row r="237">
          <cell r="A237">
            <v>370500</v>
          </cell>
          <cell r="B237" t="str">
            <v>2007/11</v>
          </cell>
          <cell r="C237">
            <v>625100</v>
          </cell>
          <cell r="D237" t="str">
            <v xml:space="preserve">TVA NDF PC (60)                    </v>
          </cell>
          <cell r="E237">
            <v>10.8</v>
          </cell>
          <cell r="F237" t="str">
            <v>C</v>
          </cell>
          <cell r="G237">
            <v>-10.8</v>
          </cell>
        </row>
        <row r="238">
          <cell r="A238">
            <v>370499</v>
          </cell>
          <cell r="B238" t="str">
            <v>2007/11</v>
          </cell>
          <cell r="C238">
            <v>625100</v>
          </cell>
          <cell r="D238" t="str">
            <v xml:space="preserve">TVA NDF PC (70)                    </v>
          </cell>
          <cell r="E238">
            <v>35.39</v>
          </cell>
          <cell r="F238" t="str">
            <v>C</v>
          </cell>
          <cell r="G238">
            <v>-35.39</v>
          </cell>
        </row>
        <row r="239">
          <cell r="A239">
            <v>148550</v>
          </cell>
          <cell r="B239" t="str">
            <v>2007/11</v>
          </cell>
          <cell r="C239">
            <v>445660</v>
          </cell>
          <cell r="D239" t="str">
            <v xml:space="preserve">TVA NDF PC                         </v>
          </cell>
          <cell r="E239">
            <v>140.79</v>
          </cell>
          <cell r="F239" t="str">
            <v>D</v>
          </cell>
          <cell r="G239">
            <v>140.79</v>
          </cell>
        </row>
        <row r="240">
          <cell r="A240">
            <v>341773</v>
          </cell>
          <cell r="B240" t="str">
            <v>2007/11</v>
          </cell>
          <cell r="C240">
            <v>625100</v>
          </cell>
          <cell r="D240" t="str">
            <v xml:space="preserve">TVA NDF PC (55)                    </v>
          </cell>
          <cell r="E240">
            <v>21.24</v>
          </cell>
          <cell r="F240" t="str">
            <v>C</v>
          </cell>
          <cell r="G240">
            <v>-21.24</v>
          </cell>
        </row>
        <row r="241">
          <cell r="A241">
            <v>370500</v>
          </cell>
          <cell r="B241" t="str">
            <v>2007/11</v>
          </cell>
          <cell r="C241">
            <v>625100</v>
          </cell>
          <cell r="D241" t="str">
            <v xml:space="preserve">TVA NDF PC (60)                    </v>
          </cell>
          <cell r="E241">
            <v>4.4400000000000004</v>
          </cell>
          <cell r="F241" t="str">
            <v>C</v>
          </cell>
          <cell r="G241">
            <v>-4.4400000000000004</v>
          </cell>
        </row>
        <row r="242">
          <cell r="A242">
            <v>370499</v>
          </cell>
          <cell r="B242" t="str">
            <v>2007/11</v>
          </cell>
          <cell r="C242">
            <v>625100</v>
          </cell>
          <cell r="D242" t="str">
            <v xml:space="preserve">TVA NDF PC (70)                    </v>
          </cell>
          <cell r="E242">
            <v>23.77</v>
          </cell>
          <cell r="F242" t="str">
            <v>C</v>
          </cell>
          <cell r="G242">
            <v>-23.77</v>
          </cell>
        </row>
        <row r="243">
          <cell r="A243">
            <v>370499</v>
          </cell>
          <cell r="B243" t="str">
            <v>2007/11</v>
          </cell>
          <cell r="C243">
            <v>625100</v>
          </cell>
          <cell r="D243" t="str">
            <v xml:space="preserve">TVA NDF PC (99)                    </v>
          </cell>
          <cell r="E243">
            <v>4.07</v>
          </cell>
          <cell r="F243" t="str">
            <v>C</v>
          </cell>
          <cell r="G243">
            <v>-4.07</v>
          </cell>
        </row>
        <row r="244">
          <cell r="A244">
            <v>148550</v>
          </cell>
          <cell r="B244" t="str">
            <v>2007/11</v>
          </cell>
          <cell r="C244">
            <v>445660</v>
          </cell>
          <cell r="D244" t="str">
            <v xml:space="preserve">TVA NDF PC                         </v>
          </cell>
          <cell r="E244">
            <v>53.52</v>
          </cell>
          <cell r="F244" t="str">
            <v>D</v>
          </cell>
          <cell r="G244">
            <v>53.52</v>
          </cell>
        </row>
        <row r="245">
          <cell r="A245">
            <v>370500</v>
          </cell>
          <cell r="B245" t="str">
            <v>2007/11</v>
          </cell>
          <cell r="C245">
            <v>625100</v>
          </cell>
          <cell r="D245" t="str">
            <v xml:space="preserve">TVA NDF PC (60)                    </v>
          </cell>
          <cell r="E245">
            <v>8.82</v>
          </cell>
          <cell r="F245" t="str">
            <v>C</v>
          </cell>
          <cell r="G245">
            <v>-8.82</v>
          </cell>
        </row>
        <row r="246">
          <cell r="A246">
            <v>148550</v>
          </cell>
          <cell r="B246" t="str">
            <v>2007/11</v>
          </cell>
          <cell r="C246">
            <v>445660</v>
          </cell>
          <cell r="D246" t="str">
            <v xml:space="preserve">TVA NDF PC                         </v>
          </cell>
          <cell r="E246">
            <v>8.82</v>
          </cell>
          <cell r="F246" t="str">
            <v>D</v>
          </cell>
          <cell r="G246">
            <v>8.82</v>
          </cell>
        </row>
        <row r="247">
          <cell r="A247">
            <v>370500</v>
          </cell>
          <cell r="B247" t="str">
            <v>2007/11</v>
          </cell>
          <cell r="C247">
            <v>625100</v>
          </cell>
          <cell r="D247" t="str">
            <v xml:space="preserve">TVA NDF PC (60)                    </v>
          </cell>
          <cell r="E247">
            <v>27</v>
          </cell>
          <cell r="F247" t="str">
            <v>C</v>
          </cell>
          <cell r="G247">
            <v>-27</v>
          </cell>
        </row>
        <row r="248">
          <cell r="A248">
            <v>370500</v>
          </cell>
          <cell r="B248" t="str">
            <v>2007/11</v>
          </cell>
          <cell r="C248">
            <v>625100</v>
          </cell>
          <cell r="D248" t="str">
            <v xml:space="preserve">TVA NDF PC (20)                    </v>
          </cell>
          <cell r="E248">
            <v>34.619999999999997</v>
          </cell>
          <cell r="F248" t="str">
            <v>C</v>
          </cell>
          <cell r="G248">
            <v>-34.619999999999997</v>
          </cell>
        </row>
        <row r="249">
          <cell r="A249">
            <v>341773</v>
          </cell>
          <cell r="B249" t="str">
            <v>2007/11</v>
          </cell>
          <cell r="C249">
            <v>625100</v>
          </cell>
          <cell r="D249" t="str">
            <v xml:space="preserve">TVA NDF PC (55)                    </v>
          </cell>
          <cell r="E249">
            <v>43.76</v>
          </cell>
          <cell r="F249" t="str">
            <v>C</v>
          </cell>
          <cell r="G249">
            <v>-43.76</v>
          </cell>
        </row>
        <row r="250">
          <cell r="A250">
            <v>370499</v>
          </cell>
          <cell r="B250" t="str">
            <v>2007/11</v>
          </cell>
          <cell r="C250">
            <v>625100</v>
          </cell>
          <cell r="D250" t="str">
            <v xml:space="preserve">TVA NDF PC (99)                    </v>
          </cell>
          <cell r="E250">
            <v>12.62</v>
          </cell>
          <cell r="F250" t="str">
            <v>C</v>
          </cell>
          <cell r="G250">
            <v>-12.62</v>
          </cell>
        </row>
        <row r="251">
          <cell r="A251">
            <v>370499</v>
          </cell>
          <cell r="B251" t="str">
            <v>2007/11</v>
          </cell>
          <cell r="C251">
            <v>625100</v>
          </cell>
          <cell r="D251" t="str">
            <v xml:space="preserve">TVA NDF PC (10)                    </v>
          </cell>
          <cell r="E251">
            <v>0.55000000000000004</v>
          </cell>
          <cell r="F251" t="str">
            <v>C</v>
          </cell>
          <cell r="G251">
            <v>-0.55000000000000004</v>
          </cell>
        </row>
        <row r="252">
          <cell r="A252">
            <v>148550</v>
          </cell>
          <cell r="B252" t="str">
            <v>2007/11</v>
          </cell>
          <cell r="C252">
            <v>445660</v>
          </cell>
          <cell r="D252" t="str">
            <v xml:space="preserve">TVA NDF PC                         </v>
          </cell>
          <cell r="E252">
            <v>118.55</v>
          </cell>
          <cell r="F252" t="str">
            <v>D</v>
          </cell>
          <cell r="G252">
            <v>118.55</v>
          </cell>
        </row>
        <row r="253">
          <cell r="A253">
            <v>370500</v>
          </cell>
          <cell r="B253" t="str">
            <v>2007/11</v>
          </cell>
          <cell r="C253">
            <v>625100</v>
          </cell>
          <cell r="D253" t="str">
            <v xml:space="preserve">TVA NDF NR (60)                    </v>
          </cell>
          <cell r="E253">
            <v>17.100000000000001</v>
          </cell>
          <cell r="F253" t="str">
            <v>C</v>
          </cell>
          <cell r="G253">
            <v>-17.100000000000001</v>
          </cell>
        </row>
        <row r="254">
          <cell r="A254">
            <v>370499</v>
          </cell>
          <cell r="B254" t="str">
            <v>2007/11</v>
          </cell>
          <cell r="C254">
            <v>625100</v>
          </cell>
          <cell r="D254" t="str">
            <v xml:space="preserve">TVA NDF NR (10)                    </v>
          </cell>
          <cell r="E254">
            <v>6.75</v>
          </cell>
          <cell r="F254" t="str">
            <v>C</v>
          </cell>
          <cell r="G254">
            <v>-6.75</v>
          </cell>
        </row>
        <row r="255">
          <cell r="A255">
            <v>341771</v>
          </cell>
          <cell r="B255" t="str">
            <v>2007/11</v>
          </cell>
          <cell r="C255">
            <v>625100</v>
          </cell>
          <cell r="D255" t="str">
            <v xml:space="preserve">TVA NDF NR (50)                    </v>
          </cell>
          <cell r="E255">
            <v>12.89</v>
          </cell>
          <cell r="F255" t="str">
            <v>C</v>
          </cell>
          <cell r="G255">
            <v>-12.89</v>
          </cell>
        </row>
        <row r="256">
          <cell r="A256">
            <v>148550</v>
          </cell>
          <cell r="B256" t="str">
            <v>2007/11</v>
          </cell>
          <cell r="C256">
            <v>445660</v>
          </cell>
          <cell r="D256" t="str">
            <v xml:space="preserve">TVA NDF NR                         </v>
          </cell>
          <cell r="E256">
            <v>36.74</v>
          </cell>
          <cell r="F256" t="str">
            <v>D</v>
          </cell>
          <cell r="G256">
            <v>36.74</v>
          </cell>
        </row>
        <row r="257">
          <cell r="A257">
            <v>370499</v>
          </cell>
          <cell r="B257" t="str">
            <v>2007/11</v>
          </cell>
          <cell r="C257">
            <v>625100</v>
          </cell>
          <cell r="D257" t="str">
            <v xml:space="preserve">TVA NDF NR (99)                    </v>
          </cell>
          <cell r="E257">
            <v>3.27</v>
          </cell>
          <cell r="F257" t="str">
            <v>C</v>
          </cell>
          <cell r="G257">
            <v>-3.27</v>
          </cell>
        </row>
        <row r="258">
          <cell r="A258">
            <v>370500</v>
          </cell>
          <cell r="B258" t="str">
            <v>2007/11</v>
          </cell>
          <cell r="C258">
            <v>625100</v>
          </cell>
          <cell r="D258" t="str">
            <v xml:space="preserve">TVA NDF NR (60)                    </v>
          </cell>
          <cell r="E258">
            <v>24.68</v>
          </cell>
          <cell r="F258" t="str">
            <v>C</v>
          </cell>
          <cell r="G258">
            <v>-24.68</v>
          </cell>
        </row>
        <row r="259">
          <cell r="A259">
            <v>370499</v>
          </cell>
          <cell r="B259" t="str">
            <v>2007/11</v>
          </cell>
          <cell r="C259">
            <v>625100</v>
          </cell>
          <cell r="D259" t="str">
            <v xml:space="preserve">TVA NDF NR (10)                    </v>
          </cell>
          <cell r="E259">
            <v>2.62</v>
          </cell>
          <cell r="F259" t="str">
            <v>C</v>
          </cell>
          <cell r="G259">
            <v>-2.62</v>
          </cell>
        </row>
        <row r="260">
          <cell r="A260">
            <v>341771</v>
          </cell>
          <cell r="B260" t="str">
            <v>2007/11</v>
          </cell>
          <cell r="C260">
            <v>625100</v>
          </cell>
          <cell r="D260" t="str">
            <v xml:space="preserve">TVA NDF NR (50)                    </v>
          </cell>
          <cell r="E260">
            <v>11.94</v>
          </cell>
          <cell r="F260" t="str">
            <v>C</v>
          </cell>
          <cell r="G260">
            <v>-11.94</v>
          </cell>
        </row>
        <row r="261">
          <cell r="A261">
            <v>148550</v>
          </cell>
          <cell r="B261" t="str">
            <v>2007/11</v>
          </cell>
          <cell r="C261">
            <v>445660</v>
          </cell>
          <cell r="D261" t="str">
            <v xml:space="preserve">TVA NDF NR                         </v>
          </cell>
          <cell r="E261">
            <v>42.51</v>
          </cell>
          <cell r="F261" t="str">
            <v>D</v>
          </cell>
          <cell r="G261">
            <v>42.51</v>
          </cell>
        </row>
        <row r="262">
          <cell r="A262">
            <v>341773</v>
          </cell>
          <cell r="B262" t="str">
            <v>2007/11</v>
          </cell>
          <cell r="C262">
            <v>625100</v>
          </cell>
          <cell r="D262" t="str">
            <v xml:space="preserve">TVA NDF NR (55)                    </v>
          </cell>
          <cell r="E262">
            <v>79.930000000000007</v>
          </cell>
          <cell r="F262" t="str">
            <v>C</v>
          </cell>
          <cell r="G262">
            <v>-79.930000000000007</v>
          </cell>
        </row>
        <row r="263">
          <cell r="A263">
            <v>370499</v>
          </cell>
          <cell r="B263" t="str">
            <v>2007/11</v>
          </cell>
          <cell r="C263">
            <v>625100</v>
          </cell>
          <cell r="D263" t="str">
            <v xml:space="preserve">TVA NDF NR (99)                    </v>
          </cell>
          <cell r="E263">
            <v>62.6</v>
          </cell>
          <cell r="F263" t="str">
            <v>C</v>
          </cell>
          <cell r="G263">
            <v>-62.6</v>
          </cell>
        </row>
        <row r="264">
          <cell r="A264">
            <v>370500</v>
          </cell>
          <cell r="B264" t="str">
            <v>2007/11</v>
          </cell>
          <cell r="C264">
            <v>625100</v>
          </cell>
          <cell r="D264" t="str">
            <v xml:space="preserve">TVA NDF NR (60)                    </v>
          </cell>
          <cell r="E264">
            <v>27.94</v>
          </cell>
          <cell r="F264" t="str">
            <v>C</v>
          </cell>
          <cell r="G264">
            <v>-27.94</v>
          </cell>
        </row>
        <row r="265">
          <cell r="A265">
            <v>148550</v>
          </cell>
          <cell r="B265" t="str">
            <v>2007/11</v>
          </cell>
          <cell r="C265">
            <v>445660</v>
          </cell>
          <cell r="D265" t="str">
            <v xml:space="preserve">TVA NDF NR                         </v>
          </cell>
          <cell r="E265">
            <v>170.47</v>
          </cell>
          <cell r="F265" t="str">
            <v>D</v>
          </cell>
          <cell r="G265">
            <v>170.47</v>
          </cell>
        </row>
        <row r="266">
          <cell r="A266">
            <v>370500</v>
          </cell>
          <cell r="B266" t="str">
            <v>2007/11</v>
          </cell>
          <cell r="C266">
            <v>625100</v>
          </cell>
          <cell r="D266" t="str">
            <v xml:space="preserve">TVA NDF PC (40)                    </v>
          </cell>
          <cell r="E266">
            <v>0.88</v>
          </cell>
          <cell r="F266" t="str">
            <v>C</v>
          </cell>
          <cell r="G266">
            <v>-0.88</v>
          </cell>
        </row>
        <row r="267">
          <cell r="A267">
            <v>370499</v>
          </cell>
          <cell r="B267" t="str">
            <v>2007/11</v>
          </cell>
          <cell r="C267">
            <v>625100</v>
          </cell>
          <cell r="D267" t="str">
            <v xml:space="preserve">TVA NDF PC (70)                    </v>
          </cell>
          <cell r="E267">
            <v>1.2</v>
          </cell>
          <cell r="F267" t="str">
            <v>C</v>
          </cell>
          <cell r="G267">
            <v>-1.2</v>
          </cell>
        </row>
        <row r="268">
          <cell r="A268">
            <v>148550</v>
          </cell>
          <cell r="B268" t="str">
            <v>2007/11</v>
          </cell>
          <cell r="C268">
            <v>445660</v>
          </cell>
          <cell r="D268" t="str">
            <v xml:space="preserve">TVA NDF PC                         </v>
          </cell>
          <cell r="E268">
            <v>2.08</v>
          </cell>
          <cell r="F268" t="str">
            <v>D</v>
          </cell>
          <cell r="G268">
            <v>2.08</v>
          </cell>
        </row>
        <row r="269">
          <cell r="A269">
            <v>370499</v>
          </cell>
          <cell r="B269" t="str">
            <v>2007/11</v>
          </cell>
          <cell r="C269">
            <v>625100</v>
          </cell>
          <cell r="D269" t="str">
            <v xml:space="preserve">TVA NDF PC (99)                    </v>
          </cell>
          <cell r="E269">
            <v>4.97</v>
          </cell>
          <cell r="F269" t="str">
            <v>C</v>
          </cell>
          <cell r="G269">
            <v>-4.97</v>
          </cell>
        </row>
        <row r="270">
          <cell r="A270">
            <v>341771</v>
          </cell>
          <cell r="B270" t="str">
            <v>2007/11</v>
          </cell>
          <cell r="C270">
            <v>625100</v>
          </cell>
          <cell r="D270" t="str">
            <v xml:space="preserve">TVA NDF PC (50)                    </v>
          </cell>
          <cell r="E270">
            <v>18.739999999999998</v>
          </cell>
          <cell r="F270" t="str">
            <v>C</v>
          </cell>
          <cell r="G270">
            <v>-18.739999999999998</v>
          </cell>
        </row>
        <row r="271">
          <cell r="A271">
            <v>370499</v>
          </cell>
          <cell r="B271" t="str">
            <v>2007/11</v>
          </cell>
          <cell r="C271">
            <v>625100</v>
          </cell>
          <cell r="D271" t="str">
            <v xml:space="preserve">TVA NDF PC (70)                    </v>
          </cell>
          <cell r="E271">
            <v>14.02</v>
          </cell>
          <cell r="F271" t="str">
            <v>C</v>
          </cell>
          <cell r="G271">
            <v>-14.02</v>
          </cell>
        </row>
        <row r="272">
          <cell r="A272">
            <v>370500</v>
          </cell>
          <cell r="B272" t="str">
            <v>2007/11</v>
          </cell>
          <cell r="C272">
            <v>625100</v>
          </cell>
          <cell r="D272" t="str">
            <v xml:space="preserve">TVA NDF PC (60)                    </v>
          </cell>
          <cell r="E272">
            <v>5.24</v>
          </cell>
          <cell r="F272" t="str">
            <v>C</v>
          </cell>
          <cell r="G272">
            <v>-5.24</v>
          </cell>
        </row>
        <row r="273">
          <cell r="A273">
            <v>148550</v>
          </cell>
          <cell r="B273" t="str">
            <v>2007/11</v>
          </cell>
          <cell r="C273">
            <v>445660</v>
          </cell>
          <cell r="D273" t="str">
            <v xml:space="preserve">TVA NDF PC                         </v>
          </cell>
          <cell r="E273">
            <v>42.97</v>
          </cell>
          <cell r="F273" t="str">
            <v>D</v>
          </cell>
          <cell r="G273">
            <v>42.97</v>
          </cell>
        </row>
        <row r="274">
          <cell r="A274">
            <v>370499</v>
          </cell>
          <cell r="B274" t="str">
            <v>2007/11</v>
          </cell>
          <cell r="C274">
            <v>625100</v>
          </cell>
          <cell r="D274" t="str">
            <v xml:space="preserve">TVA NDF PC (99)                    </v>
          </cell>
          <cell r="E274">
            <v>179.39</v>
          </cell>
          <cell r="F274" t="str">
            <v>C</v>
          </cell>
          <cell r="G274">
            <v>-179.39</v>
          </cell>
        </row>
        <row r="275">
          <cell r="A275">
            <v>341773</v>
          </cell>
          <cell r="B275" t="str">
            <v>2007/11</v>
          </cell>
          <cell r="C275">
            <v>625100</v>
          </cell>
          <cell r="D275" t="str">
            <v xml:space="preserve">TVA NDF PC (55)                    </v>
          </cell>
          <cell r="E275">
            <v>19.96</v>
          </cell>
          <cell r="F275" t="str">
            <v>C</v>
          </cell>
          <cell r="G275">
            <v>-19.96</v>
          </cell>
        </row>
        <row r="276">
          <cell r="A276">
            <v>370499</v>
          </cell>
          <cell r="B276" t="str">
            <v>2007/11</v>
          </cell>
          <cell r="C276">
            <v>625100</v>
          </cell>
          <cell r="D276" t="str">
            <v xml:space="preserve">TVA NDF PC (70)                    </v>
          </cell>
          <cell r="E276">
            <v>33.58</v>
          </cell>
          <cell r="F276" t="str">
            <v>C</v>
          </cell>
          <cell r="G276">
            <v>-33.58</v>
          </cell>
        </row>
        <row r="277">
          <cell r="A277">
            <v>148550</v>
          </cell>
          <cell r="B277" t="str">
            <v>2007/11</v>
          </cell>
          <cell r="C277">
            <v>445660</v>
          </cell>
          <cell r="D277" t="str">
            <v xml:space="preserve">TVA NDF PC                         </v>
          </cell>
          <cell r="E277">
            <v>232.93</v>
          </cell>
          <cell r="F277" t="str">
            <v>D</v>
          </cell>
          <cell r="G277">
            <v>232.93</v>
          </cell>
        </row>
        <row r="278">
          <cell r="A278">
            <v>321200</v>
          </cell>
          <cell r="B278" t="str">
            <v>2007/11</v>
          </cell>
          <cell r="C278">
            <v>641110</v>
          </cell>
          <cell r="D278" t="str">
            <v xml:space="preserve">ACCRUAL PAYROLL 07/11              </v>
          </cell>
          <cell r="E278">
            <v>565</v>
          </cell>
          <cell r="F278" t="str">
            <v>D</v>
          </cell>
          <cell r="G278">
            <v>565</v>
          </cell>
        </row>
        <row r="279">
          <cell r="A279">
            <v>325875</v>
          </cell>
          <cell r="B279" t="str">
            <v>2007/11</v>
          </cell>
          <cell r="C279">
            <v>645100</v>
          </cell>
          <cell r="D279" t="str">
            <v xml:space="preserve">ACC TAXPAYROLL 07/11               </v>
          </cell>
          <cell r="E279">
            <v>130</v>
          </cell>
          <cell r="F279" t="str">
            <v>D</v>
          </cell>
          <cell r="G279">
            <v>130</v>
          </cell>
        </row>
        <row r="280">
          <cell r="A280">
            <v>325875</v>
          </cell>
          <cell r="B280" t="str">
            <v>2007/11</v>
          </cell>
          <cell r="C280">
            <v>645300</v>
          </cell>
          <cell r="D280" t="str">
            <v xml:space="preserve">ACC TAXPAYROLL 07/11               </v>
          </cell>
          <cell r="E280">
            <v>68</v>
          </cell>
          <cell r="F280" t="str">
            <v>D</v>
          </cell>
          <cell r="G280">
            <v>68</v>
          </cell>
        </row>
        <row r="281">
          <cell r="A281">
            <v>325875</v>
          </cell>
          <cell r="B281" t="str">
            <v>2007/11</v>
          </cell>
          <cell r="C281">
            <v>645400</v>
          </cell>
          <cell r="D281" t="str">
            <v xml:space="preserve">ACC TAXPAYROLL 07/11               </v>
          </cell>
          <cell r="E281">
            <v>23</v>
          </cell>
          <cell r="F281" t="str">
            <v>D</v>
          </cell>
          <cell r="G281">
            <v>23</v>
          </cell>
        </row>
        <row r="282">
          <cell r="A282">
            <v>325875</v>
          </cell>
          <cell r="B282" t="str">
            <v>2007/11</v>
          </cell>
          <cell r="C282">
            <v>631200</v>
          </cell>
          <cell r="D282" t="str">
            <v xml:space="preserve">ACC TAXPAYROLL 07/11               </v>
          </cell>
          <cell r="E282">
            <v>4</v>
          </cell>
          <cell r="F282" t="str">
            <v>D</v>
          </cell>
          <cell r="G282">
            <v>4</v>
          </cell>
        </row>
        <row r="283">
          <cell r="A283">
            <v>325875</v>
          </cell>
          <cell r="B283" t="str">
            <v>2007/11</v>
          </cell>
          <cell r="C283">
            <v>633300</v>
          </cell>
          <cell r="D283" t="str">
            <v xml:space="preserve">ACC TAXPAYROLL 07/11               </v>
          </cell>
          <cell r="E283">
            <v>3</v>
          </cell>
          <cell r="F283" t="str">
            <v>D</v>
          </cell>
          <cell r="G283">
            <v>3</v>
          </cell>
        </row>
        <row r="284">
          <cell r="A284">
            <v>249530</v>
          </cell>
          <cell r="B284" t="str">
            <v>2007/11</v>
          </cell>
          <cell r="C284">
            <v>421000</v>
          </cell>
          <cell r="D284" t="str">
            <v xml:space="preserve">ACC PAYROLL 07/11                  </v>
          </cell>
          <cell r="E284">
            <v>448</v>
          </cell>
          <cell r="F284" t="str">
            <v>C</v>
          </cell>
          <cell r="G284">
            <v>-448</v>
          </cell>
        </row>
        <row r="285">
          <cell r="A285">
            <v>249530</v>
          </cell>
          <cell r="B285" t="str">
            <v>2007/11</v>
          </cell>
          <cell r="C285">
            <v>448600</v>
          </cell>
          <cell r="D285" t="str">
            <v xml:space="preserve">ACC PAYROLL TAX 07/11              </v>
          </cell>
          <cell r="E285">
            <v>345</v>
          </cell>
          <cell r="F285" t="str">
            <v>C</v>
          </cell>
          <cell r="G285">
            <v>-345</v>
          </cell>
        </row>
        <row r="286">
          <cell r="A286">
            <v>342631</v>
          </cell>
          <cell r="B286" t="str">
            <v>2007/11</v>
          </cell>
          <cell r="C286">
            <v>622605</v>
          </cell>
          <cell r="D286" t="str">
            <v xml:space="preserve">ACCRUAL AUDIT CPA                  </v>
          </cell>
          <cell r="E286">
            <v>5490.84</v>
          </cell>
          <cell r="F286" t="str">
            <v>D</v>
          </cell>
          <cell r="G286">
            <v>5490.84</v>
          </cell>
        </row>
        <row r="287">
          <cell r="A287">
            <v>249530</v>
          </cell>
          <cell r="B287" t="str">
            <v>2007/11</v>
          </cell>
          <cell r="C287">
            <v>408100</v>
          </cell>
          <cell r="D287" t="str">
            <v xml:space="preserve">ACCRUAL AUDIT CPA                  </v>
          </cell>
          <cell r="E287">
            <v>5490.84</v>
          </cell>
          <cell r="F287" t="str">
            <v>C</v>
          </cell>
          <cell r="G287">
            <v>-5490.84</v>
          </cell>
        </row>
        <row r="288">
          <cell r="A288">
            <v>361108</v>
          </cell>
          <cell r="B288" t="str">
            <v>2007/11</v>
          </cell>
          <cell r="C288">
            <v>613200</v>
          </cell>
          <cell r="D288" t="str">
            <v xml:space="preserve">ACCRUAL RENT                       </v>
          </cell>
          <cell r="E288">
            <v>147</v>
          </cell>
          <cell r="F288" t="str">
            <v>D</v>
          </cell>
          <cell r="G288">
            <v>147</v>
          </cell>
        </row>
        <row r="289">
          <cell r="A289">
            <v>249530</v>
          </cell>
          <cell r="B289" t="str">
            <v>2007/11</v>
          </cell>
          <cell r="C289">
            <v>408100</v>
          </cell>
          <cell r="D289" t="str">
            <v xml:space="preserve">ACCRUAL RENT                       </v>
          </cell>
          <cell r="E289">
            <v>147</v>
          </cell>
          <cell r="F289" t="str">
            <v>C</v>
          </cell>
          <cell r="G289">
            <v>-147</v>
          </cell>
        </row>
        <row r="290">
          <cell r="A290">
            <v>263100</v>
          </cell>
          <cell r="B290" t="str">
            <v>2007/11</v>
          </cell>
          <cell r="C290">
            <v>445200</v>
          </cell>
          <cell r="D290" t="str">
            <v xml:space="preserve">AUTOLIQ TVA                        </v>
          </cell>
          <cell r="E290">
            <v>21797.43</v>
          </cell>
          <cell r="F290" t="str">
            <v>D</v>
          </cell>
          <cell r="G290">
            <v>21797.43</v>
          </cell>
        </row>
        <row r="291">
          <cell r="A291">
            <v>263161</v>
          </cell>
          <cell r="B291" t="str">
            <v>2007/11</v>
          </cell>
          <cell r="C291">
            <v>445661</v>
          </cell>
          <cell r="D291" t="str">
            <v xml:space="preserve">AUTOLIQ TVA                        </v>
          </cell>
          <cell r="E291">
            <v>21797.43</v>
          </cell>
          <cell r="F291" t="str">
            <v>C</v>
          </cell>
          <cell r="G291">
            <v>-21797.43</v>
          </cell>
        </row>
        <row r="292">
          <cell r="A292">
            <v>323860</v>
          </cell>
          <cell r="B292" t="str">
            <v>2007/11</v>
          </cell>
          <cell r="C292">
            <v>641110</v>
          </cell>
          <cell r="D292" t="str">
            <v xml:space="preserve">ACCRUAL BONUS PC                   </v>
          </cell>
          <cell r="E292">
            <v>6875</v>
          </cell>
          <cell r="F292" t="str">
            <v>D</v>
          </cell>
          <cell r="G292">
            <v>6875</v>
          </cell>
        </row>
        <row r="293">
          <cell r="A293">
            <v>249530</v>
          </cell>
          <cell r="B293" t="str">
            <v>2007/11</v>
          </cell>
          <cell r="C293">
            <v>421000</v>
          </cell>
          <cell r="D293" t="str">
            <v xml:space="preserve">ACCRUAL BONUS PC                   </v>
          </cell>
          <cell r="E293">
            <v>6875</v>
          </cell>
          <cell r="F293" t="str">
            <v>C</v>
          </cell>
          <cell r="G293">
            <v>-6875</v>
          </cell>
        </row>
        <row r="294">
          <cell r="A294">
            <v>325875</v>
          </cell>
          <cell r="B294" t="str">
            <v>2007/11</v>
          </cell>
          <cell r="C294">
            <v>645100</v>
          </cell>
          <cell r="D294" t="str">
            <v xml:space="preserve">ACCRUAL BONUS PC                   </v>
          </cell>
          <cell r="E294">
            <v>2750</v>
          </cell>
          <cell r="F294" t="str">
            <v>D</v>
          </cell>
          <cell r="G294">
            <v>2750</v>
          </cell>
        </row>
        <row r="295">
          <cell r="A295">
            <v>249530</v>
          </cell>
          <cell r="B295" t="str">
            <v>2007/11</v>
          </cell>
          <cell r="C295">
            <v>448600</v>
          </cell>
          <cell r="D295" t="str">
            <v xml:space="preserve">ACCRUAL BONUS PC                   </v>
          </cell>
          <cell r="E295">
            <v>2750</v>
          </cell>
          <cell r="F295" t="str">
            <v>C</v>
          </cell>
          <cell r="G295">
            <v>-2750</v>
          </cell>
        </row>
        <row r="296">
          <cell r="A296">
            <v>342637</v>
          </cell>
          <cell r="B296" t="str">
            <v>2007/11</v>
          </cell>
          <cell r="C296">
            <v>622601</v>
          </cell>
          <cell r="D296" t="str">
            <v xml:space="preserve">SIRCA 406310                       </v>
          </cell>
          <cell r="E296">
            <v>20000</v>
          </cell>
          <cell r="F296" t="str">
            <v>D</v>
          </cell>
          <cell r="G296">
            <v>20000</v>
          </cell>
        </row>
        <row r="297">
          <cell r="A297">
            <v>230068</v>
          </cell>
          <cell r="B297" t="str">
            <v>2007/11</v>
          </cell>
          <cell r="C297">
            <v>455000</v>
          </cell>
          <cell r="D297" t="str">
            <v xml:space="preserve">SIRCA 406310                       </v>
          </cell>
          <cell r="E297">
            <v>20000</v>
          </cell>
          <cell r="F297" t="str">
            <v>C</v>
          </cell>
          <cell r="G297">
            <v>-20000</v>
          </cell>
        </row>
        <row r="298">
          <cell r="A298">
            <v>263161</v>
          </cell>
          <cell r="B298" t="str">
            <v>2007/11</v>
          </cell>
          <cell r="C298">
            <v>445661</v>
          </cell>
          <cell r="D298" t="str">
            <v xml:space="preserve">SIRCA 406310                       </v>
          </cell>
          <cell r="E298">
            <v>3920</v>
          </cell>
          <cell r="F298" t="str">
            <v>D</v>
          </cell>
          <cell r="G298">
            <v>3920</v>
          </cell>
        </row>
        <row r="299">
          <cell r="A299">
            <v>263100</v>
          </cell>
          <cell r="B299" t="str">
            <v>2007/11</v>
          </cell>
          <cell r="C299">
            <v>445200</v>
          </cell>
          <cell r="D299" t="str">
            <v xml:space="preserve">SIRCA 406310                       </v>
          </cell>
          <cell r="E299">
            <v>3920</v>
          </cell>
          <cell r="F299" t="str">
            <v>C</v>
          </cell>
          <cell r="G299">
            <v>-3920</v>
          </cell>
        </row>
        <row r="300">
          <cell r="A300">
            <v>342637</v>
          </cell>
          <cell r="B300" t="str">
            <v>2007/11</v>
          </cell>
          <cell r="C300">
            <v>622601</v>
          </cell>
          <cell r="D300" t="str">
            <v xml:space="preserve">SIRCA 406387                       </v>
          </cell>
          <cell r="E300">
            <v>20046</v>
          </cell>
          <cell r="F300" t="str">
            <v>D</v>
          </cell>
          <cell r="G300">
            <v>20046</v>
          </cell>
        </row>
        <row r="301">
          <cell r="A301">
            <v>230068</v>
          </cell>
          <cell r="B301" t="str">
            <v>2007/11</v>
          </cell>
          <cell r="C301">
            <v>455000</v>
          </cell>
          <cell r="D301" t="str">
            <v xml:space="preserve">SIRCA 406387                       </v>
          </cell>
          <cell r="E301">
            <v>20046</v>
          </cell>
          <cell r="F301" t="str">
            <v>C</v>
          </cell>
          <cell r="G301">
            <v>-20046</v>
          </cell>
        </row>
        <row r="302">
          <cell r="A302">
            <v>263161</v>
          </cell>
          <cell r="B302" t="str">
            <v>2007/11</v>
          </cell>
          <cell r="C302">
            <v>445661</v>
          </cell>
          <cell r="D302" t="str">
            <v xml:space="preserve">SIRCA 406387                       </v>
          </cell>
          <cell r="E302">
            <v>3929.02</v>
          </cell>
          <cell r="F302" t="str">
            <v>D</v>
          </cell>
          <cell r="G302">
            <v>3929.02</v>
          </cell>
        </row>
        <row r="303">
          <cell r="A303">
            <v>263100</v>
          </cell>
          <cell r="B303" t="str">
            <v>2007/11</v>
          </cell>
          <cell r="C303">
            <v>445200</v>
          </cell>
          <cell r="D303" t="str">
            <v xml:space="preserve">SIRCA 406387                       </v>
          </cell>
          <cell r="E303">
            <v>3929.02</v>
          </cell>
          <cell r="F303" t="str">
            <v>C</v>
          </cell>
          <cell r="G303">
            <v>-3929.02</v>
          </cell>
        </row>
        <row r="304">
          <cell r="A304">
            <v>342637</v>
          </cell>
          <cell r="B304" t="str">
            <v>2007/11</v>
          </cell>
          <cell r="C304">
            <v>622601</v>
          </cell>
          <cell r="D304" t="str">
            <v xml:space="preserve">SIRCA 406435                       </v>
          </cell>
          <cell r="E304">
            <v>10177.1</v>
          </cell>
          <cell r="F304" t="str">
            <v>D</v>
          </cell>
          <cell r="G304">
            <v>10177.1</v>
          </cell>
        </row>
        <row r="305">
          <cell r="A305">
            <v>230068</v>
          </cell>
          <cell r="B305" t="str">
            <v>2007/11</v>
          </cell>
          <cell r="C305">
            <v>455000</v>
          </cell>
          <cell r="D305" t="str">
            <v xml:space="preserve">SIRCA 406435                       </v>
          </cell>
          <cell r="E305">
            <v>10177.1</v>
          </cell>
          <cell r="F305" t="str">
            <v>C</v>
          </cell>
          <cell r="G305">
            <v>-10177.1</v>
          </cell>
        </row>
        <row r="306">
          <cell r="A306">
            <v>263161</v>
          </cell>
          <cell r="B306" t="str">
            <v>2007/11</v>
          </cell>
          <cell r="C306">
            <v>445661</v>
          </cell>
          <cell r="D306" t="str">
            <v xml:space="preserve">SIRCA 406435                       </v>
          </cell>
          <cell r="E306">
            <v>1994.71</v>
          </cell>
          <cell r="F306" t="str">
            <v>D</v>
          </cell>
          <cell r="G306">
            <v>1994.71</v>
          </cell>
        </row>
        <row r="307">
          <cell r="A307">
            <v>263100</v>
          </cell>
          <cell r="B307" t="str">
            <v>2007/11</v>
          </cell>
          <cell r="C307">
            <v>445200</v>
          </cell>
          <cell r="D307" t="str">
            <v xml:space="preserve">SIRCA 406435                       </v>
          </cell>
          <cell r="E307">
            <v>1994.71</v>
          </cell>
          <cell r="F307" t="str">
            <v>C</v>
          </cell>
          <cell r="G307">
            <v>-1994.71</v>
          </cell>
        </row>
        <row r="308">
          <cell r="A308">
            <v>342637</v>
          </cell>
          <cell r="B308" t="str">
            <v>2007/11</v>
          </cell>
          <cell r="C308">
            <v>622601</v>
          </cell>
          <cell r="D308" t="str">
            <v xml:space="preserve">SIRCA 406523                       </v>
          </cell>
          <cell r="E308">
            <v>25000</v>
          </cell>
          <cell r="F308" t="str">
            <v>D</v>
          </cell>
          <cell r="G308">
            <v>25000</v>
          </cell>
        </row>
        <row r="309">
          <cell r="A309">
            <v>230068</v>
          </cell>
          <cell r="B309" t="str">
            <v>2007/11</v>
          </cell>
          <cell r="C309">
            <v>455000</v>
          </cell>
          <cell r="D309" t="str">
            <v xml:space="preserve">SIRCA 406523                       </v>
          </cell>
          <cell r="E309">
            <v>25000</v>
          </cell>
          <cell r="F309" t="str">
            <v>C</v>
          </cell>
          <cell r="G309">
            <v>-25000</v>
          </cell>
        </row>
        <row r="310">
          <cell r="A310">
            <v>263161</v>
          </cell>
          <cell r="B310" t="str">
            <v>2007/11</v>
          </cell>
          <cell r="C310">
            <v>445661</v>
          </cell>
          <cell r="D310" t="str">
            <v xml:space="preserve">SIRCA 406523                       </v>
          </cell>
          <cell r="E310">
            <v>4900</v>
          </cell>
          <cell r="F310" t="str">
            <v>D</v>
          </cell>
          <cell r="G310">
            <v>4900</v>
          </cell>
        </row>
        <row r="311">
          <cell r="A311">
            <v>263100</v>
          </cell>
          <cell r="B311" t="str">
            <v>2007/11</v>
          </cell>
          <cell r="C311">
            <v>445200</v>
          </cell>
          <cell r="D311" t="str">
            <v xml:space="preserve">SIRCA 406523                       </v>
          </cell>
          <cell r="E311">
            <v>4900</v>
          </cell>
          <cell r="F311" t="str">
            <v>C</v>
          </cell>
          <cell r="G311">
            <v>-4900</v>
          </cell>
        </row>
        <row r="312">
          <cell r="A312">
            <v>342437</v>
          </cell>
          <cell r="B312" t="str">
            <v>2007/11</v>
          </cell>
          <cell r="C312">
            <v>622602</v>
          </cell>
          <cell r="D312" t="str">
            <v xml:space="preserve">FISCHER 100994                     </v>
          </cell>
          <cell r="E312">
            <v>2854</v>
          </cell>
          <cell r="F312" t="str">
            <v>D</v>
          </cell>
          <cell r="G312">
            <v>2854</v>
          </cell>
        </row>
        <row r="313">
          <cell r="A313">
            <v>342437</v>
          </cell>
          <cell r="B313" t="str">
            <v>2007/11</v>
          </cell>
          <cell r="C313">
            <v>622602</v>
          </cell>
          <cell r="D313" t="str">
            <v xml:space="preserve">FISCHER 100995                     </v>
          </cell>
          <cell r="E313">
            <v>2892</v>
          </cell>
          <cell r="F313" t="str">
            <v>D</v>
          </cell>
          <cell r="G313">
            <v>2892</v>
          </cell>
        </row>
        <row r="314">
          <cell r="A314">
            <v>342437</v>
          </cell>
          <cell r="B314" t="str">
            <v>2007/11</v>
          </cell>
          <cell r="C314">
            <v>622602</v>
          </cell>
          <cell r="D314" t="str">
            <v xml:space="preserve">FISCHER 100998                     </v>
          </cell>
          <cell r="E314">
            <v>8274</v>
          </cell>
          <cell r="F314" t="str">
            <v>D</v>
          </cell>
          <cell r="G314">
            <v>8274</v>
          </cell>
        </row>
        <row r="315">
          <cell r="A315">
            <v>342437</v>
          </cell>
          <cell r="B315" t="str">
            <v>2007/11</v>
          </cell>
          <cell r="C315">
            <v>622602</v>
          </cell>
          <cell r="D315" t="str">
            <v xml:space="preserve">FISCHER 110000                     </v>
          </cell>
          <cell r="E315">
            <v>935.13</v>
          </cell>
          <cell r="F315" t="str">
            <v>D</v>
          </cell>
          <cell r="G315">
            <v>935.13</v>
          </cell>
        </row>
        <row r="316">
          <cell r="A316">
            <v>342437</v>
          </cell>
          <cell r="B316" t="str">
            <v>2007/11</v>
          </cell>
          <cell r="C316">
            <v>622602</v>
          </cell>
          <cell r="D316" t="str">
            <v xml:space="preserve">FISCHER 110001                     </v>
          </cell>
          <cell r="E316">
            <v>1248</v>
          </cell>
          <cell r="F316" t="str">
            <v>D</v>
          </cell>
          <cell r="G316">
            <v>1248</v>
          </cell>
        </row>
        <row r="317">
          <cell r="A317">
            <v>342437</v>
          </cell>
          <cell r="B317" t="str">
            <v>2007/11</v>
          </cell>
          <cell r="C317">
            <v>622602</v>
          </cell>
          <cell r="D317" t="str">
            <v xml:space="preserve">FISCHER 110029                     </v>
          </cell>
          <cell r="E317">
            <v>1924</v>
          </cell>
          <cell r="F317" t="str">
            <v>D</v>
          </cell>
          <cell r="G317">
            <v>1924</v>
          </cell>
        </row>
        <row r="318">
          <cell r="A318">
            <v>342437</v>
          </cell>
          <cell r="B318" t="str">
            <v>2007/11</v>
          </cell>
          <cell r="C318">
            <v>622602</v>
          </cell>
          <cell r="D318" t="str">
            <v xml:space="preserve">FISCHER 110143                     </v>
          </cell>
          <cell r="E318">
            <v>2630</v>
          </cell>
          <cell r="F318" t="str">
            <v>D</v>
          </cell>
          <cell r="G318">
            <v>2630</v>
          </cell>
        </row>
        <row r="319">
          <cell r="A319">
            <v>342437</v>
          </cell>
          <cell r="B319" t="str">
            <v>2007/11</v>
          </cell>
          <cell r="C319">
            <v>622602</v>
          </cell>
          <cell r="D319" t="str">
            <v xml:space="preserve">FISCHER 110148                     </v>
          </cell>
          <cell r="E319">
            <v>8362</v>
          </cell>
          <cell r="F319" t="str">
            <v>D</v>
          </cell>
          <cell r="G319">
            <v>8362</v>
          </cell>
        </row>
        <row r="320">
          <cell r="A320">
            <v>342437</v>
          </cell>
          <cell r="B320" t="str">
            <v>2007/11</v>
          </cell>
          <cell r="C320">
            <v>622602</v>
          </cell>
          <cell r="D320" t="str">
            <v xml:space="preserve">FISCHER 110152                     </v>
          </cell>
          <cell r="E320">
            <v>1140</v>
          </cell>
          <cell r="F320" t="str">
            <v>D</v>
          </cell>
          <cell r="G320">
            <v>1140</v>
          </cell>
        </row>
        <row r="321">
          <cell r="A321">
            <v>342437</v>
          </cell>
          <cell r="B321" t="str">
            <v>2007/11</v>
          </cell>
          <cell r="C321">
            <v>622602</v>
          </cell>
          <cell r="D321" t="str">
            <v xml:space="preserve">FISCHER 110142                     </v>
          </cell>
          <cell r="E321">
            <v>1680</v>
          </cell>
          <cell r="F321" t="str">
            <v>D</v>
          </cell>
          <cell r="G321">
            <v>1680</v>
          </cell>
        </row>
        <row r="322">
          <cell r="A322">
            <v>230068</v>
          </cell>
          <cell r="B322" t="str">
            <v>2007/11</v>
          </cell>
          <cell r="C322">
            <v>455002</v>
          </cell>
          <cell r="D322" t="str">
            <v xml:space="preserve">FISCHER 09/25                      </v>
          </cell>
          <cell r="E322">
            <v>31939.13</v>
          </cell>
          <cell r="F322" t="str">
            <v>C</v>
          </cell>
          <cell r="G322">
            <v>-31939.13</v>
          </cell>
        </row>
        <row r="323">
          <cell r="A323">
            <v>263161</v>
          </cell>
          <cell r="B323" t="str">
            <v>2007/11</v>
          </cell>
          <cell r="C323">
            <v>445661</v>
          </cell>
          <cell r="D323" t="str">
            <v xml:space="preserve">FISCHER VAT EU                     </v>
          </cell>
          <cell r="E323">
            <v>6260.07</v>
          </cell>
          <cell r="F323" t="str">
            <v>D</v>
          </cell>
          <cell r="G323">
            <v>6260.07</v>
          </cell>
        </row>
        <row r="324">
          <cell r="A324">
            <v>263100</v>
          </cell>
          <cell r="B324" t="str">
            <v>2007/11</v>
          </cell>
          <cell r="C324">
            <v>445200</v>
          </cell>
          <cell r="D324" t="str">
            <v xml:space="preserve">FISCHER VAT EU                     </v>
          </cell>
          <cell r="E324">
            <v>6260.07</v>
          </cell>
          <cell r="F324" t="str">
            <v>C</v>
          </cell>
          <cell r="G324">
            <v>-6260.07</v>
          </cell>
        </row>
        <row r="325">
          <cell r="A325">
            <v>369601</v>
          </cell>
          <cell r="B325" t="str">
            <v>2007/11</v>
          </cell>
          <cell r="C325">
            <v>622604</v>
          </cell>
          <cell r="D325" t="str">
            <v xml:space="preserve">MAESINA 2070423                    </v>
          </cell>
          <cell r="E325">
            <v>6000</v>
          </cell>
          <cell r="F325" t="str">
            <v>D</v>
          </cell>
          <cell r="G325">
            <v>6000</v>
          </cell>
        </row>
        <row r="326">
          <cell r="A326">
            <v>230068</v>
          </cell>
          <cell r="B326" t="str">
            <v>2007/11</v>
          </cell>
          <cell r="C326">
            <v>455002</v>
          </cell>
          <cell r="D326" t="str">
            <v xml:space="preserve">MAESINA 2070423                    </v>
          </cell>
          <cell r="E326">
            <v>7176</v>
          </cell>
          <cell r="F326" t="str">
            <v>C</v>
          </cell>
          <cell r="G326">
            <v>-7176</v>
          </cell>
        </row>
        <row r="327">
          <cell r="A327">
            <v>148550</v>
          </cell>
          <cell r="B327" t="str">
            <v>2007/11</v>
          </cell>
          <cell r="C327">
            <v>445660</v>
          </cell>
          <cell r="D327" t="str">
            <v xml:space="preserve">MAESINA 2070423                    </v>
          </cell>
          <cell r="E327">
            <v>1176</v>
          </cell>
          <cell r="F327" t="str">
            <v>D</v>
          </cell>
          <cell r="G327">
            <v>1176</v>
          </cell>
        </row>
        <row r="328">
          <cell r="A328">
            <v>312701</v>
          </cell>
          <cell r="B328" t="str">
            <v>2007/11</v>
          </cell>
          <cell r="C328">
            <v>604000</v>
          </cell>
          <cell r="D328" t="str">
            <v xml:space="preserve">PROSODIE 70711409                  </v>
          </cell>
          <cell r="E328">
            <v>8000</v>
          </cell>
          <cell r="F328" t="str">
            <v>D</v>
          </cell>
          <cell r="G328">
            <v>8000</v>
          </cell>
        </row>
        <row r="329">
          <cell r="A329">
            <v>148550</v>
          </cell>
          <cell r="B329" t="str">
            <v>2007/11</v>
          </cell>
          <cell r="C329">
            <v>445660</v>
          </cell>
          <cell r="D329" t="str">
            <v xml:space="preserve">PROSODIE 70711409                  </v>
          </cell>
          <cell r="E329">
            <v>1568</v>
          </cell>
          <cell r="F329" t="str">
            <v>D</v>
          </cell>
          <cell r="G329">
            <v>1568</v>
          </cell>
        </row>
        <row r="330">
          <cell r="A330">
            <v>230068</v>
          </cell>
          <cell r="B330" t="str">
            <v>2007/11</v>
          </cell>
          <cell r="C330">
            <v>455002</v>
          </cell>
          <cell r="D330" t="str">
            <v xml:space="preserve">PROSODIE 70711409                  </v>
          </cell>
          <cell r="E330">
            <v>9568</v>
          </cell>
          <cell r="F330" t="str">
            <v>C</v>
          </cell>
          <cell r="G330">
            <v>-9568</v>
          </cell>
        </row>
        <row r="331">
          <cell r="A331">
            <v>312730</v>
          </cell>
          <cell r="B331" t="str">
            <v>2007/11</v>
          </cell>
          <cell r="C331">
            <v>601100</v>
          </cell>
          <cell r="D331" t="str">
            <v xml:space="preserve">POINTER 21893                      </v>
          </cell>
          <cell r="E331">
            <v>3963.9</v>
          </cell>
          <cell r="F331" t="str">
            <v>D</v>
          </cell>
          <cell r="G331">
            <v>3963.9</v>
          </cell>
        </row>
        <row r="332">
          <cell r="A332">
            <v>230068</v>
          </cell>
          <cell r="B332" t="str">
            <v>2007/11</v>
          </cell>
          <cell r="C332">
            <v>455002</v>
          </cell>
          <cell r="D332" t="str">
            <v xml:space="preserve">POINTER 21893                      </v>
          </cell>
          <cell r="E332">
            <v>3963.9</v>
          </cell>
          <cell r="F332" t="str">
            <v>C</v>
          </cell>
          <cell r="G332">
            <v>-3963.9</v>
          </cell>
        </row>
        <row r="333">
          <cell r="A333">
            <v>263161</v>
          </cell>
          <cell r="B333" t="str">
            <v>2007/11</v>
          </cell>
          <cell r="C333">
            <v>445661</v>
          </cell>
          <cell r="D333" t="str">
            <v xml:space="preserve">POINTER 21893                      </v>
          </cell>
          <cell r="E333">
            <v>793.63</v>
          </cell>
          <cell r="F333" t="str">
            <v>D</v>
          </cell>
          <cell r="G333">
            <v>793.63</v>
          </cell>
        </row>
        <row r="334">
          <cell r="A334">
            <v>263100</v>
          </cell>
          <cell r="B334" t="str">
            <v>2007/11</v>
          </cell>
          <cell r="C334">
            <v>445200</v>
          </cell>
          <cell r="D334" t="str">
            <v xml:space="preserve">POINTER 21893                      </v>
          </cell>
          <cell r="E334">
            <v>793.63</v>
          </cell>
          <cell r="F334" t="str">
            <v>C</v>
          </cell>
          <cell r="G334">
            <v>-793.63</v>
          </cell>
        </row>
        <row r="335">
          <cell r="A335">
            <v>290001</v>
          </cell>
          <cell r="B335" t="str">
            <v>2007/11</v>
          </cell>
          <cell r="C335">
            <v>101300</v>
          </cell>
          <cell r="D335" t="str">
            <v xml:space="preserve">VERSEMENT CAPITAL                  </v>
          </cell>
          <cell r="E335">
            <v>7500</v>
          </cell>
          <cell r="F335" t="str">
            <v>C</v>
          </cell>
          <cell r="G335">
            <v>-7500</v>
          </cell>
        </row>
        <row r="336">
          <cell r="A336">
            <v>110303</v>
          </cell>
          <cell r="B336" t="str">
            <v>2007/11</v>
          </cell>
          <cell r="C336">
            <v>512100</v>
          </cell>
          <cell r="D336" t="str">
            <v xml:space="preserve">VERSEMENT CAPITAL                  </v>
          </cell>
          <cell r="E336">
            <v>7500</v>
          </cell>
          <cell r="F336" t="str">
            <v>D</v>
          </cell>
          <cell r="G336">
            <v>7500</v>
          </cell>
        </row>
        <row r="337">
          <cell r="A337">
            <v>342437</v>
          </cell>
          <cell r="B337" t="str">
            <v>2007/11</v>
          </cell>
          <cell r="C337">
            <v>622602</v>
          </cell>
          <cell r="D337" t="str">
            <v xml:space="preserve">FISCHER additional invoices   </v>
          </cell>
          <cell r="E337">
            <v>45353</v>
          </cell>
          <cell r="F337" t="str">
            <v>D</v>
          </cell>
          <cell r="G337">
            <v>45353</v>
          </cell>
        </row>
        <row r="338">
          <cell r="A338">
            <v>230068</v>
          </cell>
          <cell r="B338" t="str">
            <v>2007/11</v>
          </cell>
          <cell r="C338">
            <v>455002</v>
          </cell>
          <cell r="D338" t="str">
            <v xml:space="preserve">FISCHER                     </v>
          </cell>
          <cell r="E338">
            <v>45353</v>
          </cell>
          <cell r="F338" t="str">
            <v>C</v>
          </cell>
          <cell r="G338">
            <v>-45353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C Marg (2)"/>
      <sheetName val="IS"/>
      <sheetName val="MNC Revenue"/>
      <sheetName val="MNC Marg"/>
      <sheetName val="MTI Marg"/>
      <sheetName val="MIS Marg"/>
      <sheetName val="MSC Marg"/>
      <sheetName val="MLS Marg"/>
      <sheetName val="Tickmarks"/>
      <sheetName val="M-2 (J-2)"/>
      <sheetName val="M-1"/>
    </sheetNames>
    <sheetDataSet>
      <sheetData sheetId="0">
        <row r="1">
          <cell r="A1" t="str">
            <v>MATSON NAVIGATION COMPANY</v>
          </cell>
        </row>
        <row r="2">
          <cell r="A2" t="str">
            <v>GROSS MARGIN ANALYSIS</v>
          </cell>
        </row>
        <row r="3">
          <cell r="A3" t="str">
            <v>DECEMBER 31, 1999</v>
          </cell>
        </row>
        <row r="6">
          <cell r="A6" t="str">
            <v>(shown in 000's)</v>
          </cell>
        </row>
        <row r="7">
          <cell r="B7" t="str">
            <v>BALANCE @</v>
          </cell>
          <cell r="C7" t="str">
            <v>%</v>
          </cell>
          <cell r="D7">
            <v>1999</v>
          </cell>
          <cell r="F7" t="str">
            <v>BALANCE @</v>
          </cell>
          <cell r="H7" t="str">
            <v>%</v>
          </cell>
        </row>
        <row r="8">
          <cell r="A8" t="str">
            <v>DESCRIPTION</v>
          </cell>
          <cell r="B8" t="str">
            <v>12/26/98</v>
          </cell>
          <cell r="C8" t="str">
            <v>OF REV</v>
          </cell>
          <cell r="D8" t="str">
            <v>EXPECTATION</v>
          </cell>
          <cell r="F8">
            <v>36525</v>
          </cell>
          <cell r="H8" t="str">
            <v>OF REV</v>
          </cell>
        </row>
        <row r="10">
          <cell r="A10" t="str">
            <v>OPERATING REVENUE:</v>
          </cell>
        </row>
        <row r="11">
          <cell r="A11" t="str">
            <v xml:space="preserve">  Hawaii </v>
          </cell>
          <cell r="B11">
            <v>438670</v>
          </cell>
          <cell r="D11">
            <v>444399.02900000004</v>
          </cell>
          <cell r="E11" t="str">
            <v>&lt;A&gt;</v>
          </cell>
          <cell r="F11">
            <v>444991</v>
          </cell>
          <cell r="G11" t="str">
            <v>&lt;E&gt;</v>
          </cell>
          <cell r="H11">
            <v>0.7406098754418784</v>
          </cell>
        </row>
        <row r="12">
          <cell r="A12" t="str">
            <v xml:space="preserve">  Mid-Pacific Service</v>
          </cell>
          <cell r="B12">
            <v>14983</v>
          </cell>
          <cell r="D12">
            <v>12710.596</v>
          </cell>
          <cell r="E12" t="str">
            <v>&lt;B&gt;</v>
          </cell>
          <cell r="F12">
            <v>12896</v>
          </cell>
          <cell r="G12" t="str">
            <v>&lt;F&gt;</v>
          </cell>
          <cell r="H12">
            <v>2.146314184713503E-2</v>
          </cell>
        </row>
        <row r="13">
          <cell r="A13" t="str">
            <v xml:space="preserve">  Pacific Coast Service</v>
          </cell>
          <cell r="B13">
            <v>24773</v>
          </cell>
          <cell r="D13">
            <v>22925.418999999998</v>
          </cell>
          <cell r="E13" t="str">
            <v>&lt;C&gt;</v>
          </cell>
          <cell r="F13">
            <v>23661</v>
          </cell>
          <cell r="G13" t="str">
            <v>&lt;G&gt;</v>
          </cell>
          <cell r="H13">
            <v>3.9379606020863982E-2</v>
          </cell>
        </row>
        <row r="14">
          <cell r="A14" t="str">
            <v xml:space="preserve">  Guam/Alliance Service</v>
          </cell>
          <cell r="B14">
            <v>82233</v>
          </cell>
          <cell r="D14">
            <v>67420.456000000006</v>
          </cell>
          <cell r="E14" t="str">
            <v>&lt;D&gt;</v>
          </cell>
          <cell r="F14">
            <v>68591</v>
          </cell>
          <cell r="G14" t="str">
            <v>&lt;H&gt;</v>
          </cell>
          <cell r="H14">
            <v>0.11415775142965562</v>
          </cell>
        </row>
        <row r="15">
          <cell r="A15" t="str">
            <v xml:space="preserve">  Charter Hire</v>
          </cell>
          <cell r="B15">
            <v>1169</v>
          </cell>
          <cell r="F15">
            <v>50705</v>
          </cell>
          <cell r="G15" t="str">
            <v>&lt;I&gt;</v>
          </cell>
          <cell r="H15">
            <v>8.4389625260466949E-2</v>
          </cell>
        </row>
        <row r="16">
          <cell r="B16">
            <v>561828</v>
          </cell>
          <cell r="D16">
            <v>547455.5</v>
          </cell>
          <cell r="F16">
            <v>600844</v>
          </cell>
        </row>
        <row r="18">
          <cell r="A18" t="str">
            <v>OPERATING EXPENSE:</v>
          </cell>
        </row>
        <row r="19">
          <cell r="A19" t="str">
            <v xml:space="preserve">  Total Cargo Handling Expense</v>
          </cell>
          <cell r="B19">
            <v>120217</v>
          </cell>
          <cell r="D19" t="str">
            <v>{f}</v>
          </cell>
          <cell r="F19">
            <v>153869</v>
          </cell>
          <cell r="G19" t="str">
            <v>8110[M]</v>
          </cell>
          <cell r="H19">
            <v>-33652</v>
          </cell>
        </row>
        <row r="20">
          <cell r="A20" t="str">
            <v xml:space="preserve">  Total Vessel &amp; Voyage Expense</v>
          </cell>
          <cell r="B20">
            <v>98224</v>
          </cell>
          <cell r="C20">
            <v>0.1748293071901009</v>
          </cell>
          <cell r="D20">
            <v>105045.14024932898</v>
          </cell>
          <cell r="E20" t="str">
            <v>{g}</v>
          </cell>
          <cell r="F20">
            <v>103916</v>
          </cell>
          <cell r="G20" t="str">
            <v>8110[M]</v>
          </cell>
        </row>
        <row r="21">
          <cell r="A21" t="str">
            <v xml:space="preserve">  Total Other Direct Operating OH Expense</v>
          </cell>
          <cell r="B21">
            <v>179840</v>
          </cell>
          <cell r="D21" t="str">
            <v>{f}</v>
          </cell>
          <cell r="F21">
            <v>157210</v>
          </cell>
          <cell r="G21" t="str">
            <v>8110[M]</v>
          </cell>
          <cell r="H21">
            <v>22630</v>
          </cell>
        </row>
        <row r="23">
          <cell r="A23" t="str">
            <v xml:space="preserve">     TOTAL OPERATING EXPENSES</v>
          </cell>
          <cell r="B23">
            <v>398281</v>
          </cell>
          <cell r="F23">
            <v>414995</v>
          </cell>
          <cell r="G23" t="str">
            <v>&lt;H&gt;</v>
          </cell>
          <cell r="H23">
            <v>-11022</v>
          </cell>
        </row>
        <row r="25">
          <cell r="A25" t="str">
            <v xml:space="preserve">     GROSS MARGIN</v>
          </cell>
          <cell r="B25">
            <v>163547</v>
          </cell>
          <cell r="F25">
            <v>185849</v>
          </cell>
        </row>
        <row r="27">
          <cell r="A27" t="str">
            <v xml:space="preserve">     GROSS PROFIT %</v>
          </cell>
          <cell r="B27">
            <v>0.29109798728436459</v>
          </cell>
          <cell r="F27">
            <v>0.30931323271930816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nancials -&gt;"/>
      <sheetName val="Talking Points"/>
      <sheetName val="Pre-tax NI roll"/>
      <sheetName val="BHN Income Roll-Up"/>
      <sheetName val="Platinum"/>
      <sheetName val="BHN Other Revenue Summary"/>
      <sheetName val="BHN Revenue Detail - YTD"/>
      <sheetName val="BHN Revenue Detail - Q2"/>
      <sheetName val="PMF Revenue Detail"/>
      <sheetName val="Cash Flow Summary"/>
      <sheetName val="Turnover calculation"/>
      <sheetName val="Key Metrics -&gt;"/>
      <sheetName val="Balance Sheet"/>
      <sheetName val="FV Sales by Productline"/>
      <sheetName val="FV Sales by Region"/>
      <sheetName val="FV by Product Detail $"/>
      <sheetName val="FV by Product Detail %"/>
      <sheetName val="FV Seasonality"/>
      <sheetName val="Store Productivity and Roll-Fwd"/>
      <sheetName val="Key Metrics I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Y3">
            <v>1000000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ing Balance.2"/>
      <sheetName val="Additions.3"/>
      <sheetName val="Retirements.4"/>
      <sheetName val="Calculation"/>
      <sheetName val="Depreciation.5"/>
      <sheetName val="Commitments"/>
      <sheetName val="Tickmarks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>
        <row r="14">
          <cell r="A14" t="str">
            <v>{f}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.0 Consolidation"/>
      <sheetName val=".1 Rent"/>
      <sheetName val=".2 Payroll"/>
      <sheetName val=".3 SG&amp;A Detail Testing"/>
      <sheetName val=".3a SG&amp;A CMA Detail"/>
      <sheetName val="4. Insurance"/>
      <sheetName val=".5 Related Party Expenses"/>
      <sheetName val="Links"/>
      <sheetName val=".6 AJE Test"/>
      <sheetName val=".7 STAT RPT Tie Out"/>
      <sheetName val=".8 Credit Balance Test"/>
      <sheetName val="XREF"/>
      <sheetName val="Tickmarks"/>
      <sheetName val="Partner Tracking Code Lookup"/>
      <sheetName val="Gegenkonto"/>
      <sheetName val="1. SG&amp;A Analytical Testing"/>
      <sheetName val="2. SG&amp;A Detail Testing"/>
      <sheetName val="Expenses DAX GL Listing"/>
    </sheetNames>
    <sheetDataSet>
      <sheetData sheetId="0">
        <row r="204">
          <cell r="F204">
            <v>72830349</v>
          </cell>
          <cell r="I204">
            <v>-1303268.5</v>
          </cell>
          <cell r="N204">
            <v>71527080.5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0 Lead"/>
      <sheetName val="Links"/>
      <sheetName val=".1 Rent"/>
      <sheetName val=".2 Payroll"/>
      <sheetName val=".3 SG&amp;A"/>
      <sheetName val=".4 CMA"/>
      <sheetName val=".5 Intercompany Expenses"/>
      <sheetName val="XREF"/>
      <sheetName val="Tickmarks"/>
      <sheetName val="Lead"/>
      <sheetName val="0. Consolidation"/>
      <sheetName val="1. SG&amp;A Analytical Testing"/>
      <sheetName val="2. SG&amp;A CMA Detail"/>
      <sheetName val="3. SG&amp;A Detail Testing"/>
    </sheetNames>
    <sheetDataSet>
      <sheetData sheetId="0">
        <row r="171">
          <cell r="L171">
            <v>55830471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1 Lead"/>
      <sheetName val="Links"/>
      <sheetName val=".2 Rollforward"/>
      <sheetName val=".3 Beg Bal"/>
      <sheetName val=".4a Additions (Interim)"/>
      <sheetName val=".4b Additions (Final)"/>
      <sheetName val=".5 Depr"/>
      <sheetName val=".6 Retire"/>
      <sheetName val=".7 Footnote"/>
      <sheetName val="8. SD"/>
      <sheetName val="9. Additions Xfer CMA"/>
      <sheetName val="10. CIP Additions CMA"/>
      <sheetName val="11. ACL Logs"/>
      <sheetName val="Tickmarks"/>
      <sheetName val="#REF"/>
      <sheetName val="Comp"/>
      <sheetName val="Store NBV"/>
      <sheetName val="6. ST Investments"/>
      <sheetName val="XREF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53">
          <cell r="D953">
            <v>25314712.86000013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Productline"/>
      <sheetName val="Summary by Region"/>
      <sheetName val="Pre-tax NI roll"/>
      <sheetName val="BHN Other Revenue Summary"/>
      <sheetName val="BHN Revenue Detail"/>
      <sheetName val="Cash Flow Summary"/>
      <sheetName val="Turnover calculation"/>
      <sheetName val="FV by Product $$"/>
      <sheetName val="FV by Product %"/>
      <sheetName val="FV Seasonality"/>
      <sheetName val="Store Productivity and Roll-Fw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/>
  </sheetPr>
  <dimension ref="A1:AI167"/>
  <sheetViews>
    <sheetView zoomScale="80" zoomScaleNormal="80" workbookViewId="0">
      <selection activeCell="J3" sqref="J3"/>
    </sheetView>
  </sheetViews>
  <sheetFormatPr defaultColWidth="9.140625" defaultRowHeight="15" outlineLevelRow="2" outlineLevelCol="1" x14ac:dyDescent="0.25"/>
  <cols>
    <col min="1" max="1" width="0.28515625" customWidth="1"/>
    <col min="2" max="2" width="37.5703125" style="1" customWidth="1"/>
    <col min="3" max="3" width="0.28515625" style="1" customWidth="1"/>
    <col min="4" max="4" width="12.7109375" style="1" customWidth="1"/>
    <col min="5" max="7" width="12.7109375" style="1" hidden="1" customWidth="1" outlineLevel="1"/>
    <col min="8" max="8" width="12.7109375" style="1" customWidth="1" collapsed="1"/>
    <col min="9" max="9" width="10.7109375" style="1" customWidth="1"/>
    <col min="10" max="10" width="10.7109375" style="87" customWidth="1"/>
    <col min="11" max="11" width="0.28515625" customWidth="1"/>
    <col min="12" max="12" width="12.7109375" style="1" customWidth="1"/>
    <col min="13" max="15" width="12.7109375" style="1" hidden="1" customWidth="1" outlineLevel="1"/>
    <col min="16" max="16" width="12.7109375" style="1" customWidth="1" collapsed="1"/>
    <col min="17" max="17" width="10.7109375" style="1" customWidth="1"/>
    <col min="18" max="18" width="10.7109375" style="87" customWidth="1"/>
    <col min="19" max="19" width="0.28515625" customWidth="1"/>
    <col min="20" max="20" width="12.7109375" style="1" customWidth="1"/>
    <col min="21" max="23" width="12.7109375" style="1" hidden="1" customWidth="1" outlineLevel="1"/>
    <col min="24" max="24" width="12.7109375" style="1" customWidth="1" collapsed="1"/>
    <col min="25" max="25" width="11.42578125" style="1" bestFit="1" customWidth="1"/>
    <col min="26" max="26" width="10.7109375" style="87" customWidth="1"/>
    <col min="27" max="27" width="0.28515625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3"/>
      <c r="E1" s="3"/>
      <c r="F1" s="3"/>
      <c r="G1" s="3"/>
      <c r="H1" s="3"/>
      <c r="I1" s="3"/>
      <c r="J1" s="4"/>
      <c r="K1" s="3"/>
      <c r="L1" s="3"/>
      <c r="M1" s="3"/>
      <c r="N1" s="3"/>
      <c r="O1" s="3"/>
      <c r="P1" s="3"/>
      <c r="Q1" s="3"/>
      <c r="R1" s="4"/>
      <c r="S1" s="3"/>
      <c r="T1" s="3"/>
      <c r="U1" s="3"/>
      <c r="V1" s="3"/>
      <c r="W1" s="3"/>
      <c r="X1" s="3"/>
      <c r="Y1" s="3"/>
      <c r="Z1" s="4"/>
      <c r="AA1" s="3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3"/>
      <c r="E2" s="3"/>
      <c r="F2" s="3"/>
      <c r="G2" s="3"/>
      <c r="H2" s="5"/>
      <c r="I2" s="3"/>
      <c r="J2" s="3"/>
      <c r="K2" s="3"/>
      <c r="L2" s="3"/>
      <c r="M2" s="3"/>
      <c r="N2" s="3"/>
      <c r="O2" s="3"/>
      <c r="P2" s="3"/>
      <c r="Q2" s="3"/>
      <c r="R2" s="5"/>
      <c r="S2" s="3"/>
      <c r="T2" s="3"/>
      <c r="U2" s="3"/>
      <c r="V2" s="3"/>
      <c r="W2" s="3"/>
      <c r="X2" s="3"/>
      <c r="Y2" s="3"/>
      <c r="Z2" s="5"/>
      <c r="AA2" s="3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3"/>
      <c r="E3" s="3"/>
      <c r="F3" s="3"/>
      <c r="G3" s="3"/>
      <c r="H3" s="5"/>
      <c r="I3" s="3"/>
      <c r="J3" s="3"/>
      <c r="K3" s="3"/>
      <c r="L3" s="3"/>
      <c r="M3" s="3"/>
      <c r="N3" s="3"/>
      <c r="O3" s="3"/>
      <c r="P3" s="3"/>
      <c r="Q3" s="3"/>
      <c r="R3" s="5"/>
      <c r="S3" s="3"/>
      <c r="T3" s="3"/>
      <c r="U3" s="3"/>
      <c r="V3" s="3"/>
      <c r="W3" s="3"/>
      <c r="X3" s="3"/>
      <c r="Y3" s="3"/>
      <c r="Z3" s="5"/>
      <c r="AA3" s="3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3"/>
      <c r="E4" s="3"/>
      <c r="F4" s="3"/>
      <c r="G4" s="3"/>
      <c r="H4" s="5"/>
      <c r="I4" s="3"/>
      <c r="J4" s="3"/>
      <c r="K4" s="3"/>
      <c r="L4" s="3"/>
      <c r="M4" s="3"/>
      <c r="N4" s="3"/>
      <c r="O4" s="3"/>
      <c r="P4" s="3"/>
      <c r="Q4" s="3"/>
      <c r="R4" s="5"/>
      <c r="S4" s="3"/>
      <c r="T4" s="3"/>
      <c r="U4" s="3"/>
      <c r="V4" s="3"/>
      <c r="W4" s="3"/>
      <c r="X4" s="3"/>
      <c r="Y4" s="3"/>
      <c r="Z4" s="5"/>
      <c r="AA4" s="3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2</v>
      </c>
      <c r="C5" s="2"/>
      <c r="D5" s="6"/>
      <c r="E5" s="6"/>
      <c r="F5" s="3"/>
      <c r="G5" s="3"/>
      <c r="H5" s="5"/>
      <c r="I5" s="6"/>
      <c r="J5" s="6"/>
      <c r="K5" s="3"/>
      <c r="L5" s="6"/>
      <c r="M5" s="6"/>
      <c r="N5" s="6"/>
      <c r="O5" s="6"/>
      <c r="P5" s="3"/>
      <c r="Q5" s="3"/>
      <c r="R5" s="5"/>
      <c r="S5" s="3"/>
      <c r="T5" s="6"/>
      <c r="U5" s="6"/>
      <c r="V5" s="6"/>
      <c r="W5" s="6"/>
      <c r="X5" s="3"/>
      <c r="Y5" s="3"/>
      <c r="Z5" s="5"/>
      <c r="AA5" s="3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6"/>
      <c r="E6" s="6"/>
      <c r="F6" s="6"/>
      <c r="G6" s="6"/>
      <c r="H6" s="3"/>
      <c r="I6" s="3"/>
      <c r="J6" s="5"/>
      <c r="K6" s="3"/>
      <c r="L6" s="6"/>
      <c r="M6" s="6"/>
      <c r="N6" s="6"/>
      <c r="O6" s="6"/>
      <c r="P6" s="3"/>
      <c r="Q6" s="3"/>
      <c r="R6" s="5"/>
      <c r="S6" s="3"/>
      <c r="T6" s="6"/>
      <c r="U6" s="6"/>
      <c r="V6" s="6"/>
      <c r="W6" s="6"/>
      <c r="X6" s="3"/>
      <c r="Y6" s="3"/>
      <c r="Z6" s="5"/>
      <c r="AA6" s="3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3"/>
      <c r="I7" s="3"/>
      <c r="J7" s="5"/>
      <c r="K7" s="3"/>
      <c r="L7" s="3"/>
      <c r="M7" s="3"/>
      <c r="N7" s="3"/>
      <c r="O7" s="3"/>
      <c r="P7" s="3"/>
      <c r="Q7" s="3"/>
      <c r="R7" s="5"/>
      <c r="S7" s="3"/>
      <c r="T7" s="3"/>
      <c r="U7" s="3"/>
      <c r="V7" s="3"/>
      <c r="W7" s="3"/>
      <c r="X7" s="3"/>
      <c r="Y7" s="3"/>
      <c r="Z7" s="5"/>
      <c r="AA7" s="3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3"/>
      <c r="E8" s="3"/>
      <c r="F8" s="3"/>
      <c r="G8" s="3"/>
      <c r="H8" s="3"/>
      <c r="I8" s="3"/>
      <c r="J8" s="5"/>
      <c r="K8" s="3"/>
      <c r="L8" s="3"/>
      <c r="M8" s="3"/>
      <c r="N8" s="3"/>
      <c r="O8" s="3"/>
      <c r="P8" s="3"/>
      <c r="Q8" s="3"/>
      <c r="R8" s="5"/>
      <c r="S8" s="3"/>
      <c r="T8" s="3"/>
      <c r="U8" s="3"/>
      <c r="V8" s="3"/>
      <c r="W8" s="3"/>
      <c r="X8" s="3"/>
      <c r="Y8" s="3"/>
      <c r="Z8" s="5"/>
      <c r="AA8" s="3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7" t="s">
        <v>3</v>
      </c>
      <c r="C9" s="8"/>
      <c r="D9" s="9" t="e">
        <f ca="1">"Period "&amp;INDIRECT("'Input Data'!$C$2")</f>
        <v>#REF!</v>
      </c>
      <c r="E9" s="10"/>
      <c r="F9" s="10"/>
      <c r="G9" s="10"/>
      <c r="H9" s="10"/>
      <c r="I9" s="10"/>
      <c r="J9" s="11"/>
      <c r="K9" s="3"/>
      <c r="L9" s="9" t="e">
        <f ca="1">"QTD - "&amp;INDIRECT("'Input Data'!$C$3")</f>
        <v>#REF!</v>
      </c>
      <c r="M9" s="10"/>
      <c r="N9" s="10"/>
      <c r="O9" s="10"/>
      <c r="P9" s="10"/>
      <c r="Q9" s="10"/>
      <c r="R9" s="11"/>
      <c r="S9" s="3"/>
      <c r="T9" s="9" t="s">
        <v>4</v>
      </c>
      <c r="U9" s="10"/>
      <c r="V9" s="10"/>
      <c r="W9" s="10"/>
      <c r="X9" s="10"/>
      <c r="Y9" s="10"/>
      <c r="Z9" s="11"/>
      <c r="AA9" s="3"/>
      <c r="AB9" s="1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8"/>
      <c r="C10" s="8"/>
      <c r="D10" s="13"/>
      <c r="E10" s="14" t="s">
        <v>6</v>
      </c>
      <c r="F10" s="14" t="s">
        <v>7</v>
      </c>
      <c r="G10" s="14" t="s">
        <v>8</v>
      </c>
      <c r="H10" s="8"/>
      <c r="I10" s="14" t="s">
        <v>9</v>
      </c>
      <c r="J10" s="15" t="s">
        <v>10</v>
      </c>
      <c r="K10" s="3"/>
      <c r="L10" s="13"/>
      <c r="M10" s="14" t="s">
        <v>6</v>
      </c>
      <c r="N10" s="14" t="s">
        <v>7</v>
      </c>
      <c r="O10" s="14" t="s">
        <v>8</v>
      </c>
      <c r="P10" s="8"/>
      <c r="Q10" s="14" t="s">
        <v>9</v>
      </c>
      <c r="R10" s="15" t="s">
        <v>10</v>
      </c>
      <c r="S10" s="3"/>
      <c r="T10" s="13"/>
      <c r="U10" s="14" t="s">
        <v>6</v>
      </c>
      <c r="V10" s="14" t="s">
        <v>7</v>
      </c>
      <c r="W10" s="14" t="s">
        <v>8</v>
      </c>
      <c r="X10" s="8"/>
      <c r="Y10" s="14" t="s">
        <v>9</v>
      </c>
      <c r="Z10" s="15" t="s">
        <v>10</v>
      </c>
      <c r="AA10" s="3"/>
      <c r="AB10" s="16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8" t="s">
        <v>11</v>
      </c>
      <c r="C11" s="8"/>
      <c r="D11" s="17" t="s">
        <v>12</v>
      </c>
      <c r="E11" s="14" t="s">
        <v>12</v>
      </c>
      <c r="F11" s="14" t="s">
        <v>13</v>
      </c>
      <c r="G11" s="14" t="s">
        <v>13</v>
      </c>
      <c r="H11" s="14" t="s">
        <v>14</v>
      </c>
      <c r="I11" s="14" t="s">
        <v>15</v>
      </c>
      <c r="J11" s="15" t="s">
        <v>15</v>
      </c>
      <c r="K11" s="3"/>
      <c r="L11" s="17" t="s">
        <v>12</v>
      </c>
      <c r="M11" s="14" t="s">
        <v>12</v>
      </c>
      <c r="N11" s="14" t="s">
        <v>13</v>
      </c>
      <c r="O11" s="14" t="s">
        <v>13</v>
      </c>
      <c r="P11" s="14" t="s">
        <v>14</v>
      </c>
      <c r="Q11" s="14" t="s">
        <v>15</v>
      </c>
      <c r="R11" s="15" t="s">
        <v>15</v>
      </c>
      <c r="S11" s="3"/>
      <c r="T11" s="17" t="s">
        <v>12</v>
      </c>
      <c r="U11" s="14" t="s">
        <v>12</v>
      </c>
      <c r="V11" s="14" t="s">
        <v>13</v>
      </c>
      <c r="W11" s="14" t="s">
        <v>13</v>
      </c>
      <c r="X11" s="14" t="s">
        <v>14</v>
      </c>
      <c r="Y11" s="14" t="s">
        <v>15</v>
      </c>
      <c r="Z11" s="15" t="s">
        <v>15</v>
      </c>
      <c r="AA11" s="3"/>
      <c r="AB11" s="18" t="s">
        <v>14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19"/>
      <c r="C12" s="19"/>
      <c r="D12" s="20"/>
      <c r="E12" s="21"/>
      <c r="F12" s="21"/>
      <c r="G12" s="21"/>
      <c r="H12" s="21"/>
      <c r="I12" s="21"/>
      <c r="J12" s="22"/>
      <c r="K12" s="3"/>
      <c r="L12" s="20"/>
      <c r="M12" s="21"/>
      <c r="N12" s="21"/>
      <c r="O12" s="21"/>
      <c r="P12" s="21"/>
      <c r="Q12" s="21"/>
      <c r="R12" s="22"/>
      <c r="S12" s="3"/>
      <c r="T12" s="20"/>
      <c r="U12" s="21"/>
      <c r="V12" s="21"/>
      <c r="W12" s="21"/>
      <c r="X12" s="21"/>
      <c r="Y12" s="21"/>
      <c r="Z12" s="22"/>
      <c r="AA12" s="3"/>
      <c r="AB12" s="23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19" t="s">
        <v>16</v>
      </c>
      <c r="C13" s="19"/>
      <c r="D13" s="24">
        <f>-10934684.35/1000*-1</f>
        <v>10934.68435</v>
      </c>
      <c r="E13" s="25">
        <f>-18926305.42/1000*-1</f>
        <v>18926.305420000001</v>
      </c>
      <c r="F13" s="25">
        <f t="shared" ref="F13:F28" si="0">D13-E13</f>
        <v>-7991.6210700000011</v>
      </c>
      <c r="G13" s="26">
        <f t="shared" ref="G13:G28" si="1">IF(ISERROR(F13/E13),"N/A",IF(ABS(F13/E13)&gt;5,"N/A",F13/E13))</f>
        <v>-0.4222493980021591</v>
      </c>
      <c r="H13" s="25">
        <f>-12502065.34/1000*-1</f>
        <v>12502.065339999999</v>
      </c>
      <c r="I13" s="25">
        <f t="shared" ref="I13:I28" si="2">D13-H13</f>
        <v>-1567.3809899999997</v>
      </c>
      <c r="J13" s="27">
        <f t="shared" ref="J13:J28" si="3">IF(ISERROR(I13/H13),"N/A",IF(ABS(I13/H13)&gt;5,"N/A",I13/H13))</f>
        <v>-0.12536976470481315</v>
      </c>
      <c r="K13" s="3"/>
      <c r="L13" s="24">
        <f>-30693394.68/1000*-1</f>
        <v>30693.394680000001</v>
      </c>
      <c r="M13" s="25">
        <f>-52110932.46/1000*-1</f>
        <v>52110.932460000004</v>
      </c>
      <c r="N13" s="25">
        <f t="shared" ref="N13:N28" si="4">L13-M13</f>
        <v>-21417.537780000002</v>
      </c>
      <c r="O13" s="26">
        <f t="shared" ref="O13:O28" si="5">IF(ISERROR(N13/M13),"N/A",IF(ABS(N13/M13)&gt;5,"N/A",N13/M13))</f>
        <v>-0.41099893571161789</v>
      </c>
      <c r="P13" s="25">
        <f>-31453038.97/1000*-1</f>
        <v>31453.038969999998</v>
      </c>
      <c r="Q13" s="25">
        <f t="shared" ref="Q13:Q28" si="6">L13-P13</f>
        <v>-759.64428999999654</v>
      </c>
      <c r="R13" s="27">
        <f t="shared" ref="R13:R28" si="7">IF(ISERROR(Q13/P13),"N/A",IF(ABS(Q13/P13)&gt;5,"N/A",Q13/P13))</f>
        <v>-2.4151697733390643E-2</v>
      </c>
      <c r="S13" s="3"/>
      <c r="T13" s="24">
        <f>-79064715.92/1000*-1</f>
        <v>79064.715920000002</v>
      </c>
      <c r="U13" s="25">
        <f>-92988052.77/1000*-1</f>
        <v>92988.052769999995</v>
      </c>
      <c r="V13" s="25">
        <f t="shared" ref="V13:V28" si="8">T13-U13</f>
        <v>-13923.336849999992</v>
      </c>
      <c r="W13" s="26">
        <f t="shared" ref="W13:W28" si="9">IF(ISERROR(V13/U13),"N/A",IF(ABS(V13/U13)&gt;5,"N/A",V13/U13))</f>
        <v>-0.14973253482830182</v>
      </c>
      <c r="X13" s="25">
        <f>-79824360.21/1000*-1</f>
        <v>79824.360209999999</v>
      </c>
      <c r="Y13" s="25">
        <f t="shared" ref="Y13:Y28" si="10">T13-X13</f>
        <v>-759.64428999999654</v>
      </c>
      <c r="Z13" s="27">
        <f t="shared" ref="Z13:Z28" si="11">IF(ISERROR(Y13/X13),"N/A",IF(ABS(Y13/X13)&gt;5,"N/A",Y13/X13))</f>
        <v>-9.516446959318468E-3</v>
      </c>
      <c r="AA13" s="3"/>
      <c r="AB13" s="28">
        <f>-217629687.52/1000*-1</f>
        <v>217629.68752000001</v>
      </c>
      <c r="AC13" s="1"/>
      <c r="AD13" s="1"/>
      <c r="AE13" s="1"/>
      <c r="AF13" s="1"/>
      <c r="AG13" s="1"/>
      <c r="AH13" s="1"/>
      <c r="AI13" s="1"/>
    </row>
    <row r="14" spans="1:35" ht="14.25" x14ac:dyDescent="0.2">
      <c r="A14" s="1"/>
      <c r="B14" s="29" t="s">
        <v>17</v>
      </c>
      <c r="C14" s="19"/>
      <c r="D14" s="30">
        <f>-1575876.17/1000*-1</f>
        <v>1575.87617</v>
      </c>
      <c r="E14" s="31">
        <f>-2190819.82/1000*-1</f>
        <v>2190.8198199999997</v>
      </c>
      <c r="F14" s="31">
        <f t="shared" si="0"/>
        <v>-614.94364999999971</v>
      </c>
      <c r="G14" s="26">
        <f t="shared" si="1"/>
        <v>-0.28069111133018682</v>
      </c>
      <c r="H14" s="31">
        <f>-1948846.12/1000*-1</f>
        <v>1948.8461200000002</v>
      </c>
      <c r="I14" s="31">
        <f t="shared" si="2"/>
        <v>-372.96995000000015</v>
      </c>
      <c r="J14" s="27">
        <f t="shared" si="3"/>
        <v>-0.19137988688403995</v>
      </c>
      <c r="K14" s="3"/>
      <c r="L14" s="30">
        <f>-4165638.91/1000*-1</f>
        <v>4165.6389100000006</v>
      </c>
      <c r="M14" s="31">
        <f>-5880378.4/1000*-1</f>
        <v>5880.3784000000005</v>
      </c>
      <c r="N14" s="31">
        <f t="shared" si="4"/>
        <v>-1714.7394899999999</v>
      </c>
      <c r="O14" s="26">
        <f t="shared" si="5"/>
        <v>-0.29160359646243172</v>
      </c>
      <c r="P14" s="31">
        <f>-4564400.86/1000*-1</f>
        <v>4564.4008600000006</v>
      </c>
      <c r="Q14" s="31">
        <f t="shared" si="6"/>
        <v>-398.76195000000007</v>
      </c>
      <c r="R14" s="27">
        <f t="shared" si="7"/>
        <v>-8.7363481480020586E-2</v>
      </c>
      <c r="S14" s="3"/>
      <c r="T14" s="30">
        <f>-12588003.37/1000*-1</f>
        <v>12588.003369999999</v>
      </c>
      <c r="U14" s="31">
        <f>-13585196.09/1000*-1</f>
        <v>13585.196089999999</v>
      </c>
      <c r="V14" s="31">
        <f t="shared" si="8"/>
        <v>-997.19272000000092</v>
      </c>
      <c r="W14" s="26">
        <f t="shared" si="9"/>
        <v>-7.3402894841836694E-2</v>
      </c>
      <c r="X14" s="31">
        <f>-12986765.32/1000*-1</f>
        <v>12986.76532</v>
      </c>
      <c r="Y14" s="31">
        <f t="shared" si="10"/>
        <v>-398.76195000000189</v>
      </c>
      <c r="Z14" s="27">
        <f t="shared" si="11"/>
        <v>-3.0705255710280432E-2</v>
      </c>
      <c r="AA14" s="3"/>
      <c r="AB14" s="32">
        <f>-27545282.54/1000*-1</f>
        <v>27545.28254</v>
      </c>
      <c r="AC14" s="1"/>
      <c r="AD14" s="1"/>
      <c r="AE14" s="1"/>
      <c r="AF14" s="1"/>
      <c r="AG14" s="1"/>
      <c r="AH14" s="1"/>
      <c r="AI14" s="1"/>
    </row>
    <row r="15" spans="1:35" ht="14.25" x14ac:dyDescent="0.2">
      <c r="A15" s="1"/>
      <c r="B15" s="19" t="s">
        <v>18</v>
      </c>
      <c r="C15" s="19"/>
      <c r="D15" s="30">
        <f>SUM(D16:D17)</f>
        <v>461.61678000000001</v>
      </c>
      <c r="E15" s="31">
        <f>SUM(E16:E17)</f>
        <v>1443.58032</v>
      </c>
      <c r="F15" s="31">
        <f t="shared" si="0"/>
        <v>-981.96353999999997</v>
      </c>
      <c r="G15" s="26">
        <f t="shared" si="1"/>
        <v>-0.68022785181776368</v>
      </c>
      <c r="H15" s="31">
        <f>SUM(H16:H17)</f>
        <v>52.485999999999997</v>
      </c>
      <c r="I15" s="31">
        <f t="shared" si="2"/>
        <v>409.13078000000002</v>
      </c>
      <c r="J15" s="27" t="str">
        <f t="shared" si="3"/>
        <v>N/A</v>
      </c>
      <c r="K15" s="3"/>
      <c r="L15" s="30">
        <f>SUM(L16:L17)</f>
        <v>1170.2066499999999</v>
      </c>
      <c r="M15" s="31">
        <f>SUM(M16:M17)</f>
        <v>1451.1387500000001</v>
      </c>
      <c r="N15" s="31">
        <f t="shared" si="4"/>
        <v>-280.93210000000022</v>
      </c>
      <c r="O15" s="26">
        <f t="shared" si="5"/>
        <v>-0.19359423762889677</v>
      </c>
      <c r="P15" s="31">
        <f>SUM(P16:P17)</f>
        <v>104.18167</v>
      </c>
      <c r="Q15" s="31">
        <f t="shared" si="6"/>
        <v>1066.0249799999999</v>
      </c>
      <c r="R15" s="27" t="str">
        <f t="shared" si="7"/>
        <v>N/A</v>
      </c>
      <c r="S15" s="3"/>
      <c r="T15" s="30">
        <f>SUM(T16:T17)</f>
        <v>4134.1417099999999</v>
      </c>
      <c r="U15" s="31">
        <f>SUM(U16:U17)</f>
        <v>7946.0096700000004</v>
      </c>
      <c r="V15" s="31">
        <f t="shared" si="8"/>
        <v>-3811.8679600000005</v>
      </c>
      <c r="W15" s="26">
        <f t="shared" si="9"/>
        <v>-0.47972103210390382</v>
      </c>
      <c r="X15" s="31">
        <f>SUM(X16:X17)</f>
        <v>3068.1167300000002</v>
      </c>
      <c r="Y15" s="31">
        <f t="shared" si="10"/>
        <v>1066.0249799999997</v>
      </c>
      <c r="Z15" s="27">
        <f t="shared" si="11"/>
        <v>0.34745254949931442</v>
      </c>
      <c r="AA15" s="3"/>
      <c r="AB15" s="32">
        <f>SUM(AB16:AB17)</f>
        <v>3474.8777300000002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3" t="s">
        <v>19</v>
      </c>
      <c r="C16" s="19"/>
      <c r="D16" s="30">
        <f>0/1000*-1</f>
        <v>0</v>
      </c>
      <c r="E16" s="31">
        <f>0/1000*-1</f>
        <v>0</v>
      </c>
      <c r="F16" s="31">
        <f t="shared" si="0"/>
        <v>0</v>
      </c>
      <c r="G16" s="26" t="str">
        <f t="shared" si="1"/>
        <v>N/A</v>
      </c>
      <c r="H16" s="31">
        <f>0/1000*-1</f>
        <v>0</v>
      </c>
      <c r="I16" s="31">
        <f t="shared" si="2"/>
        <v>0</v>
      </c>
      <c r="J16" s="27" t="str">
        <f t="shared" si="3"/>
        <v>N/A</v>
      </c>
      <c r="K16" s="3"/>
      <c r="L16" s="30">
        <f>0/1000*-1</f>
        <v>0</v>
      </c>
      <c r="M16" s="31">
        <f>0/1000*-1</f>
        <v>0</v>
      </c>
      <c r="N16" s="31">
        <f t="shared" si="4"/>
        <v>0</v>
      </c>
      <c r="O16" s="26" t="str">
        <f t="shared" si="5"/>
        <v>N/A</v>
      </c>
      <c r="P16" s="31">
        <f>0/1000*-1</f>
        <v>0</v>
      </c>
      <c r="Q16" s="31">
        <f t="shared" si="6"/>
        <v>0</v>
      </c>
      <c r="R16" s="27" t="str">
        <f t="shared" si="7"/>
        <v>N/A</v>
      </c>
      <c r="S16" s="3"/>
      <c r="T16" s="30">
        <f>0/1000*-1</f>
        <v>0</v>
      </c>
      <c r="U16" s="31">
        <f>0/1000*-1</f>
        <v>0</v>
      </c>
      <c r="V16" s="31">
        <f t="shared" si="8"/>
        <v>0</v>
      </c>
      <c r="W16" s="26" t="str">
        <f t="shared" si="9"/>
        <v>N/A</v>
      </c>
      <c r="X16" s="31">
        <f>0/1000*-1</f>
        <v>0</v>
      </c>
      <c r="Y16" s="31">
        <f t="shared" si="10"/>
        <v>0</v>
      </c>
      <c r="Z16" s="27" t="str">
        <f t="shared" si="11"/>
        <v>N/A</v>
      </c>
      <c r="AA16" s="3"/>
      <c r="AB16" s="32">
        <f>0/1000*-1</f>
        <v>0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3" t="s">
        <v>20</v>
      </c>
      <c r="C17" s="19"/>
      <c r="D17" s="30">
        <f>-461616.78/1000*-1</f>
        <v>461.61678000000001</v>
      </c>
      <c r="E17" s="31">
        <f>-1443580.32/1000*-1</f>
        <v>1443.58032</v>
      </c>
      <c r="F17" s="31">
        <f t="shared" si="0"/>
        <v>-981.96353999999997</v>
      </c>
      <c r="G17" s="26">
        <f t="shared" si="1"/>
        <v>-0.68022785181776368</v>
      </c>
      <c r="H17" s="31">
        <f>-52486/1000*-1</f>
        <v>52.485999999999997</v>
      </c>
      <c r="I17" s="31">
        <f t="shared" si="2"/>
        <v>409.13078000000002</v>
      </c>
      <c r="J17" s="27" t="str">
        <f t="shared" si="3"/>
        <v>N/A</v>
      </c>
      <c r="K17" s="3"/>
      <c r="L17" s="30">
        <f>-1170206.65/1000*-1</f>
        <v>1170.2066499999999</v>
      </c>
      <c r="M17" s="31">
        <f>-1451138.75/1000*-1</f>
        <v>1451.1387500000001</v>
      </c>
      <c r="N17" s="31">
        <f t="shared" si="4"/>
        <v>-280.93210000000022</v>
      </c>
      <c r="O17" s="26">
        <f t="shared" si="5"/>
        <v>-0.19359423762889677</v>
      </c>
      <c r="P17" s="31">
        <f>-104181.67/1000*-1</f>
        <v>104.18167</v>
      </c>
      <c r="Q17" s="31">
        <f t="shared" si="6"/>
        <v>1066.0249799999999</v>
      </c>
      <c r="R17" s="27" t="str">
        <f t="shared" si="7"/>
        <v>N/A</v>
      </c>
      <c r="S17" s="3"/>
      <c r="T17" s="30">
        <f>-4134141.71/1000*-1</f>
        <v>4134.1417099999999</v>
      </c>
      <c r="U17" s="31">
        <f>-7946009.67/1000*-1</f>
        <v>7946.0096700000004</v>
      </c>
      <c r="V17" s="31">
        <f t="shared" si="8"/>
        <v>-3811.8679600000005</v>
      </c>
      <c r="W17" s="26">
        <f t="shared" si="9"/>
        <v>-0.47972103210390382</v>
      </c>
      <c r="X17" s="31">
        <f>-3068116.73/1000*-1</f>
        <v>3068.1167300000002</v>
      </c>
      <c r="Y17" s="31">
        <f t="shared" si="10"/>
        <v>1066.0249799999997</v>
      </c>
      <c r="Z17" s="27">
        <f t="shared" si="11"/>
        <v>0.34745254949931442</v>
      </c>
      <c r="AA17" s="3"/>
      <c r="AB17" s="32">
        <f>-3474877.73/1000*-1</f>
        <v>3474.8777300000002</v>
      </c>
      <c r="AC17" s="1"/>
      <c r="AD17" s="1"/>
      <c r="AE17" s="1"/>
      <c r="AF17" s="1"/>
      <c r="AG17" s="1"/>
      <c r="AH17" s="1"/>
      <c r="AI17" s="1"/>
    </row>
    <row r="18" spans="1:35" ht="14.25" collapsed="1" x14ac:dyDescent="0.2">
      <c r="A18" s="1"/>
      <c r="B18" s="19" t="s">
        <v>21</v>
      </c>
      <c r="C18" s="19"/>
      <c r="D18" s="30">
        <f>SUM(D19:D20)</f>
        <v>5799.7389000000003</v>
      </c>
      <c r="E18" s="31">
        <f>SUM(E19:E20)</f>
        <v>2143.11841</v>
      </c>
      <c r="F18" s="31">
        <f t="shared" si="0"/>
        <v>3656.6204900000002</v>
      </c>
      <c r="G18" s="26">
        <f t="shared" si="1"/>
        <v>1.7062148656545768</v>
      </c>
      <c r="H18" s="31">
        <f>SUM(H19:H20)</f>
        <v>4708.5879999999997</v>
      </c>
      <c r="I18" s="31">
        <f t="shared" si="2"/>
        <v>1091.1509000000005</v>
      </c>
      <c r="J18" s="27">
        <f t="shared" si="3"/>
        <v>0.23173632944738434</v>
      </c>
      <c r="K18" s="3"/>
      <c r="L18" s="30">
        <f>SUM(L19:L20)</f>
        <v>7818.5352899999998</v>
      </c>
      <c r="M18" s="31">
        <f>SUM(M19:M20)</f>
        <v>5100.6937800000005</v>
      </c>
      <c r="N18" s="31">
        <f t="shared" si="4"/>
        <v>2717.8415099999993</v>
      </c>
      <c r="O18" s="26">
        <f t="shared" si="5"/>
        <v>0.53283761527828843</v>
      </c>
      <c r="P18" s="31">
        <f>SUM(P19:P20)</f>
        <v>7146.1723499999998</v>
      </c>
      <c r="Q18" s="31">
        <f t="shared" si="6"/>
        <v>672.36293999999998</v>
      </c>
      <c r="R18" s="27">
        <f t="shared" si="7"/>
        <v>9.4087143028393369E-2</v>
      </c>
      <c r="S18" s="3"/>
      <c r="T18" s="30">
        <f>SUM(T19:T20)</f>
        <v>17916.483960000001</v>
      </c>
      <c r="U18" s="31">
        <f>SUM(U19:U20)</f>
        <v>8519.7466000000004</v>
      </c>
      <c r="V18" s="31">
        <f t="shared" si="8"/>
        <v>9396.737360000001</v>
      </c>
      <c r="W18" s="26">
        <f t="shared" si="9"/>
        <v>1.1029362493011237</v>
      </c>
      <c r="X18" s="31">
        <f>SUM(X19:X20)</f>
        <v>17244.121019999999</v>
      </c>
      <c r="Y18" s="31">
        <f t="shared" si="10"/>
        <v>672.36294000000271</v>
      </c>
      <c r="Z18" s="27">
        <f t="shared" si="11"/>
        <v>3.8990850227749257E-2</v>
      </c>
      <c r="AA18" s="3"/>
      <c r="AB18" s="32">
        <f>SUM(AB19:AB20)</f>
        <v>32287.022019999997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3" t="s">
        <v>22</v>
      </c>
      <c r="C19" s="19"/>
      <c r="D19" s="30">
        <f>0/1000*-1</f>
        <v>0</v>
      </c>
      <c r="E19" s="31">
        <f>359000/1000*-1</f>
        <v>-359</v>
      </c>
      <c r="F19" s="31">
        <f t="shared" si="0"/>
        <v>359</v>
      </c>
      <c r="G19" s="26">
        <f t="shared" si="1"/>
        <v>-1</v>
      </c>
      <c r="H19" s="31">
        <f>-4708588/1000*-1</f>
        <v>4708.5879999999997</v>
      </c>
      <c r="I19" s="31">
        <f t="shared" si="2"/>
        <v>-4708.5879999999997</v>
      </c>
      <c r="J19" s="27">
        <f t="shared" si="3"/>
        <v>-1</v>
      </c>
      <c r="K19" s="3"/>
      <c r="L19" s="30">
        <f>0/1000*-1</f>
        <v>0</v>
      </c>
      <c r="M19" s="31">
        <f>359000/1000*-1</f>
        <v>-359</v>
      </c>
      <c r="N19" s="31">
        <f t="shared" si="4"/>
        <v>359</v>
      </c>
      <c r="O19" s="26">
        <f t="shared" si="5"/>
        <v>-1</v>
      </c>
      <c r="P19" s="31">
        <f>-7051876/1000*-1</f>
        <v>7051.8760000000002</v>
      </c>
      <c r="Q19" s="31">
        <f t="shared" si="6"/>
        <v>-7051.8760000000002</v>
      </c>
      <c r="R19" s="27">
        <f t="shared" si="7"/>
        <v>-1</v>
      </c>
      <c r="S19" s="3"/>
      <c r="T19" s="30">
        <f>0/1000*-1</f>
        <v>0</v>
      </c>
      <c r="U19" s="31">
        <f>209000/1000*-1</f>
        <v>-209</v>
      </c>
      <c r="V19" s="31">
        <f t="shared" si="8"/>
        <v>209</v>
      </c>
      <c r="W19" s="26">
        <f t="shared" si="9"/>
        <v>-1</v>
      </c>
      <c r="X19" s="31">
        <f>-7051876/1000*-1</f>
        <v>7051.8760000000002</v>
      </c>
      <c r="Y19" s="31">
        <f t="shared" si="10"/>
        <v>-7051.8760000000002</v>
      </c>
      <c r="Z19" s="27">
        <f t="shared" si="11"/>
        <v>-1</v>
      </c>
      <c r="AA19" s="3"/>
      <c r="AB19" s="32">
        <f>-22094777/1000*-1</f>
        <v>22094.776999999998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3" t="s">
        <v>23</v>
      </c>
      <c r="C20" s="19"/>
      <c r="D20" s="30">
        <f>-5799738.9/1000*-1</f>
        <v>5799.7389000000003</v>
      </c>
      <c r="E20" s="31">
        <f>-2502118.41/1000*-1</f>
        <v>2502.11841</v>
      </c>
      <c r="F20" s="31">
        <f t="shared" si="0"/>
        <v>3297.6204900000002</v>
      </c>
      <c r="G20" s="26">
        <f t="shared" si="1"/>
        <v>1.3179314283531451</v>
      </c>
      <c r="H20" s="31">
        <f>0/1000*-1</f>
        <v>0</v>
      </c>
      <c r="I20" s="31">
        <f t="shared" si="2"/>
        <v>5799.7389000000003</v>
      </c>
      <c r="J20" s="27" t="str">
        <f t="shared" si="3"/>
        <v>N/A</v>
      </c>
      <c r="K20" s="3"/>
      <c r="L20" s="30">
        <f>-7818535.29/1000*-1</f>
        <v>7818.5352899999998</v>
      </c>
      <c r="M20" s="31">
        <f>-5459693.78/1000*-1</f>
        <v>5459.6937800000005</v>
      </c>
      <c r="N20" s="31">
        <f t="shared" si="4"/>
        <v>2358.8415099999993</v>
      </c>
      <c r="O20" s="26">
        <f t="shared" si="5"/>
        <v>0.43204648558146774</v>
      </c>
      <c r="P20" s="31">
        <f>-94296.35/1000*-1</f>
        <v>94.296350000000004</v>
      </c>
      <c r="Q20" s="31">
        <f t="shared" si="6"/>
        <v>7724.2389400000002</v>
      </c>
      <c r="R20" s="27" t="str">
        <f t="shared" si="7"/>
        <v>N/A</v>
      </c>
      <c r="S20" s="3"/>
      <c r="T20" s="30">
        <f>-17916483.96/1000*-1</f>
        <v>17916.483960000001</v>
      </c>
      <c r="U20" s="31">
        <f>-8728746.6/1000*-1</f>
        <v>8728.7466000000004</v>
      </c>
      <c r="V20" s="31">
        <f t="shared" si="8"/>
        <v>9187.737360000001</v>
      </c>
      <c r="W20" s="26">
        <f t="shared" si="9"/>
        <v>1.0525838108302972</v>
      </c>
      <c r="X20" s="31">
        <f>-10192245.02/1000*-1</f>
        <v>10192.24502</v>
      </c>
      <c r="Y20" s="31">
        <f t="shared" si="10"/>
        <v>7724.2389400000011</v>
      </c>
      <c r="Z20" s="27">
        <f t="shared" si="11"/>
        <v>0.7578545182972849</v>
      </c>
      <c r="AA20" s="3"/>
      <c r="AB20" s="32">
        <f>-10192245.02/1000*-1</f>
        <v>10192.24502</v>
      </c>
      <c r="AC20" s="1"/>
      <c r="AD20" s="1"/>
      <c r="AE20" s="1"/>
      <c r="AF20" s="1"/>
      <c r="AG20" s="1"/>
      <c r="AH20" s="1"/>
      <c r="AI20" s="1"/>
    </row>
    <row r="21" spans="1:35" ht="14.25" collapsed="1" x14ac:dyDescent="0.2">
      <c r="A21" s="1"/>
      <c r="B21" s="19" t="s">
        <v>24</v>
      </c>
      <c r="C21" s="19"/>
      <c r="D21" s="30">
        <f>0/1000*-1</f>
        <v>0</v>
      </c>
      <c r="E21" s="31">
        <f>0/1000*-1</f>
        <v>0</v>
      </c>
      <c r="F21" s="31">
        <f t="shared" si="0"/>
        <v>0</v>
      </c>
      <c r="G21" s="26" t="str">
        <f t="shared" si="1"/>
        <v>N/A</v>
      </c>
      <c r="H21" s="31">
        <f>0/1000*-1</f>
        <v>0</v>
      </c>
      <c r="I21" s="31">
        <f t="shared" si="2"/>
        <v>0</v>
      </c>
      <c r="J21" s="27" t="str">
        <f t="shared" si="3"/>
        <v>N/A</v>
      </c>
      <c r="K21" s="3"/>
      <c r="L21" s="30">
        <f>0/1000*-1</f>
        <v>0</v>
      </c>
      <c r="M21" s="31">
        <f>0/1000*-1</f>
        <v>0</v>
      </c>
      <c r="N21" s="31">
        <f t="shared" si="4"/>
        <v>0</v>
      </c>
      <c r="O21" s="26" t="str">
        <f t="shared" si="5"/>
        <v>N/A</v>
      </c>
      <c r="P21" s="31">
        <f>0/1000*-1</f>
        <v>0</v>
      </c>
      <c r="Q21" s="31">
        <f t="shared" si="6"/>
        <v>0</v>
      </c>
      <c r="R21" s="27" t="str">
        <f t="shared" si="7"/>
        <v>N/A</v>
      </c>
      <c r="S21" s="3"/>
      <c r="T21" s="30">
        <f>0/1000*-1</f>
        <v>0</v>
      </c>
      <c r="U21" s="31">
        <f>0/1000*-1</f>
        <v>0</v>
      </c>
      <c r="V21" s="31">
        <f t="shared" si="8"/>
        <v>0</v>
      </c>
      <c r="W21" s="26" t="str">
        <f t="shared" si="9"/>
        <v>N/A</v>
      </c>
      <c r="X21" s="31">
        <f>0/1000*-1</f>
        <v>0</v>
      </c>
      <c r="Y21" s="31">
        <f t="shared" si="10"/>
        <v>0</v>
      </c>
      <c r="Z21" s="27" t="str">
        <f t="shared" si="11"/>
        <v>N/A</v>
      </c>
      <c r="AA21" s="3"/>
      <c r="AB21" s="32">
        <f>0/1000*-1</f>
        <v>0</v>
      </c>
      <c r="AC21" s="1"/>
      <c r="AD21" s="1"/>
      <c r="AE21" s="1"/>
      <c r="AF21" s="1"/>
      <c r="AG21" s="1"/>
      <c r="AH21" s="1"/>
      <c r="AI21" s="1"/>
    </row>
    <row r="22" spans="1:35" ht="14.25" x14ac:dyDescent="0.2">
      <c r="A22" s="1"/>
      <c r="B22" s="19" t="s">
        <v>25</v>
      </c>
      <c r="C22" s="19"/>
      <c r="D22" s="30">
        <f>SUM(D23:D26)</f>
        <v>2121.4252500000002</v>
      </c>
      <c r="E22" s="31">
        <f>SUM(E23:E26)</f>
        <v>4476.1444000000001</v>
      </c>
      <c r="F22" s="31">
        <f t="shared" si="0"/>
        <v>-2354.7191499999999</v>
      </c>
      <c r="G22" s="26">
        <f t="shared" si="1"/>
        <v>-0.52605969324850199</v>
      </c>
      <c r="H22" s="31">
        <f>SUM(H23:H26)</f>
        <v>3415.6110700000004</v>
      </c>
      <c r="I22" s="31">
        <f t="shared" si="2"/>
        <v>-1294.1858200000001</v>
      </c>
      <c r="J22" s="27">
        <f t="shared" si="3"/>
        <v>-0.37890315772984073</v>
      </c>
      <c r="K22" s="3"/>
      <c r="L22" s="30">
        <f>SUM(L23:L26)</f>
        <v>5818.4611299999997</v>
      </c>
      <c r="M22" s="31">
        <f>SUM(M23:M26)</f>
        <v>10241.211369999999</v>
      </c>
      <c r="N22" s="31">
        <f t="shared" si="4"/>
        <v>-4422.7502399999994</v>
      </c>
      <c r="O22" s="26">
        <f t="shared" si="5"/>
        <v>-0.4318581152377875</v>
      </c>
      <c r="P22" s="31">
        <f>SUM(P23:P26)</f>
        <v>8563.4950399999998</v>
      </c>
      <c r="Q22" s="31">
        <f t="shared" si="6"/>
        <v>-2745.0339100000001</v>
      </c>
      <c r="R22" s="27">
        <f t="shared" si="7"/>
        <v>-0.32055065101082841</v>
      </c>
      <c r="S22" s="3"/>
      <c r="T22" s="30">
        <f>SUM(T23:T26)</f>
        <v>12485.095169999999</v>
      </c>
      <c r="U22" s="31">
        <f>SUM(U23:U26)</f>
        <v>19470.620049999998</v>
      </c>
      <c r="V22" s="31">
        <f t="shared" si="8"/>
        <v>-6985.524879999999</v>
      </c>
      <c r="W22" s="26">
        <f t="shared" si="9"/>
        <v>-0.35877259491795177</v>
      </c>
      <c r="X22" s="31">
        <f>SUM(X23:X26)</f>
        <v>15230.129080000001</v>
      </c>
      <c r="Y22" s="31">
        <f t="shared" si="10"/>
        <v>-2745.0339100000019</v>
      </c>
      <c r="Z22" s="27">
        <f t="shared" si="11"/>
        <v>-0.18023707452386226</v>
      </c>
      <c r="AA22" s="3"/>
      <c r="AB22" s="32">
        <f>SUM(AB23:AB26)</f>
        <v>43256.370640000001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3" t="s">
        <v>26</v>
      </c>
      <c r="C23" s="19"/>
      <c r="D23" s="30">
        <f>0/1000*-1</f>
        <v>0</v>
      </c>
      <c r="E23" s="31">
        <f>0/1000*-1</f>
        <v>0</v>
      </c>
      <c r="F23" s="31">
        <f t="shared" si="0"/>
        <v>0</v>
      </c>
      <c r="G23" s="26" t="str">
        <f t="shared" si="1"/>
        <v>N/A</v>
      </c>
      <c r="H23" s="31">
        <f>0/1000*-1</f>
        <v>0</v>
      </c>
      <c r="I23" s="31">
        <f t="shared" si="2"/>
        <v>0</v>
      </c>
      <c r="J23" s="27" t="str">
        <f t="shared" si="3"/>
        <v>N/A</v>
      </c>
      <c r="K23" s="3"/>
      <c r="L23" s="30">
        <f>0/1000*-1</f>
        <v>0</v>
      </c>
      <c r="M23" s="31">
        <f>0/1000*-1</f>
        <v>0</v>
      </c>
      <c r="N23" s="31">
        <f t="shared" si="4"/>
        <v>0</v>
      </c>
      <c r="O23" s="26" t="str">
        <f t="shared" si="5"/>
        <v>N/A</v>
      </c>
      <c r="P23" s="31">
        <f>0/1000*-1</f>
        <v>0</v>
      </c>
      <c r="Q23" s="31">
        <f t="shared" si="6"/>
        <v>0</v>
      </c>
      <c r="R23" s="27" t="str">
        <f t="shared" si="7"/>
        <v>N/A</v>
      </c>
      <c r="S23" s="3"/>
      <c r="T23" s="30">
        <f>0/1000*-1</f>
        <v>0</v>
      </c>
      <c r="U23" s="31">
        <f>0/1000*-1</f>
        <v>0</v>
      </c>
      <c r="V23" s="31">
        <f t="shared" si="8"/>
        <v>0</v>
      </c>
      <c r="W23" s="26" t="str">
        <f t="shared" si="9"/>
        <v>N/A</v>
      </c>
      <c r="X23" s="31">
        <f>0/1000*-1</f>
        <v>0</v>
      </c>
      <c r="Y23" s="31">
        <f t="shared" si="10"/>
        <v>0</v>
      </c>
      <c r="Z23" s="27" t="str">
        <f t="shared" si="11"/>
        <v>N/A</v>
      </c>
      <c r="AA23" s="3"/>
      <c r="AB23" s="32">
        <f>0/1000*-1</f>
        <v>0</v>
      </c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3" t="s">
        <v>27</v>
      </c>
      <c r="C24" s="19"/>
      <c r="D24" s="30">
        <f>0/1000*-1</f>
        <v>0</v>
      </c>
      <c r="E24" s="31">
        <f>0/1000*-1</f>
        <v>0</v>
      </c>
      <c r="F24" s="31">
        <f t="shared" si="0"/>
        <v>0</v>
      </c>
      <c r="G24" s="26" t="str">
        <f t="shared" si="1"/>
        <v>N/A</v>
      </c>
      <c r="H24" s="31">
        <f>0/1000*-1</f>
        <v>0</v>
      </c>
      <c r="I24" s="31">
        <f t="shared" si="2"/>
        <v>0</v>
      </c>
      <c r="J24" s="27" t="str">
        <f t="shared" si="3"/>
        <v>N/A</v>
      </c>
      <c r="K24" s="3"/>
      <c r="L24" s="30">
        <f>0/1000*-1</f>
        <v>0</v>
      </c>
      <c r="M24" s="31">
        <f>0/1000*-1</f>
        <v>0</v>
      </c>
      <c r="N24" s="31">
        <f t="shared" si="4"/>
        <v>0</v>
      </c>
      <c r="O24" s="26" t="str">
        <f t="shared" si="5"/>
        <v>N/A</v>
      </c>
      <c r="P24" s="31">
        <f>0/1000*-1</f>
        <v>0</v>
      </c>
      <c r="Q24" s="31">
        <f t="shared" si="6"/>
        <v>0</v>
      </c>
      <c r="R24" s="27" t="str">
        <f t="shared" si="7"/>
        <v>N/A</v>
      </c>
      <c r="S24" s="3"/>
      <c r="T24" s="30">
        <f>0/1000*-1</f>
        <v>0</v>
      </c>
      <c r="U24" s="31">
        <f>0/1000*-1</f>
        <v>0</v>
      </c>
      <c r="V24" s="31">
        <f t="shared" si="8"/>
        <v>0</v>
      </c>
      <c r="W24" s="26" t="str">
        <f t="shared" si="9"/>
        <v>N/A</v>
      </c>
      <c r="X24" s="31">
        <f>0/1000*-1</f>
        <v>0</v>
      </c>
      <c r="Y24" s="31">
        <f t="shared" si="10"/>
        <v>0</v>
      </c>
      <c r="Z24" s="27" t="str">
        <f t="shared" si="11"/>
        <v>N/A</v>
      </c>
      <c r="AA24" s="3"/>
      <c r="AB24" s="32">
        <f>0/1000*-1</f>
        <v>0</v>
      </c>
      <c r="AC24" s="1"/>
      <c r="AD24" s="1"/>
      <c r="AE24" s="1"/>
      <c r="AF24" s="1"/>
      <c r="AG24" s="1"/>
      <c r="AH24" s="1"/>
      <c r="AI24" s="1"/>
    </row>
    <row r="25" spans="1:35" ht="14.25" hidden="1" outlineLevel="1" x14ac:dyDescent="0.2">
      <c r="A25" s="1"/>
      <c r="B25" s="33" t="s">
        <v>28</v>
      </c>
      <c r="C25" s="19"/>
      <c r="D25" s="30">
        <f>-132866.29/1000*-1</f>
        <v>132.86629000000002</v>
      </c>
      <c r="E25" s="31">
        <f>-350248.57/1000*-1</f>
        <v>350.24857000000003</v>
      </c>
      <c r="F25" s="31">
        <f t="shared" si="0"/>
        <v>-217.38228000000001</v>
      </c>
      <c r="G25" s="26">
        <f t="shared" si="1"/>
        <v>-0.62065144191737887</v>
      </c>
      <c r="H25" s="31">
        <f>-79766.18/1000*-1</f>
        <v>79.766179999999991</v>
      </c>
      <c r="I25" s="31">
        <f t="shared" si="2"/>
        <v>53.100110000000029</v>
      </c>
      <c r="J25" s="27">
        <f t="shared" si="3"/>
        <v>0.66569704102666116</v>
      </c>
      <c r="K25" s="3"/>
      <c r="L25" s="30">
        <f>-132866.29/1000*-1</f>
        <v>132.86629000000002</v>
      </c>
      <c r="M25" s="31">
        <f>-350430.17/1000*-1</f>
        <v>350.43016999999998</v>
      </c>
      <c r="N25" s="31">
        <f t="shared" si="4"/>
        <v>-217.56387999999995</v>
      </c>
      <c r="O25" s="26">
        <f t="shared" si="5"/>
        <v>-0.62084802801083017</v>
      </c>
      <c r="P25" s="31">
        <f>-79766.18/1000*-1</f>
        <v>79.766179999999991</v>
      </c>
      <c r="Q25" s="31">
        <f t="shared" si="6"/>
        <v>53.100110000000029</v>
      </c>
      <c r="R25" s="27">
        <f t="shared" si="7"/>
        <v>0.66569704102666116</v>
      </c>
      <c r="S25" s="3"/>
      <c r="T25" s="30">
        <f>-190221.05/1000*-1</f>
        <v>190.22104999999999</v>
      </c>
      <c r="U25" s="31">
        <f>-404792.78/1000*-1</f>
        <v>404.79278000000005</v>
      </c>
      <c r="V25" s="31">
        <f t="shared" si="8"/>
        <v>-214.57173000000006</v>
      </c>
      <c r="W25" s="26">
        <f t="shared" si="9"/>
        <v>-0.53007795741811414</v>
      </c>
      <c r="X25" s="31">
        <f>-137120.94/1000*-1</f>
        <v>137.12093999999999</v>
      </c>
      <c r="Y25" s="31">
        <f t="shared" si="10"/>
        <v>53.100110000000001</v>
      </c>
      <c r="Z25" s="27">
        <f t="shared" si="11"/>
        <v>0.3872501895042435</v>
      </c>
      <c r="AA25" s="3"/>
      <c r="AB25" s="32">
        <f>-296653.3/1000*-1</f>
        <v>296.6533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3" t="s">
        <v>29</v>
      </c>
      <c r="C26" s="19"/>
      <c r="D26" s="30">
        <f>SUM(D27:D28)</f>
        <v>1988.5589600000001</v>
      </c>
      <c r="E26" s="31">
        <f>SUM(E27:E28)</f>
        <v>4125.8958300000004</v>
      </c>
      <c r="F26" s="31">
        <f t="shared" si="0"/>
        <v>-2137.3368700000001</v>
      </c>
      <c r="G26" s="26">
        <f t="shared" si="1"/>
        <v>-0.51802977051895172</v>
      </c>
      <c r="H26" s="31">
        <f>SUM(H27:H28)</f>
        <v>3335.8448900000003</v>
      </c>
      <c r="I26" s="31">
        <f t="shared" si="2"/>
        <v>-1347.2859300000002</v>
      </c>
      <c r="J26" s="27">
        <f t="shared" si="3"/>
        <v>-0.40388146764222005</v>
      </c>
      <c r="K26" s="3"/>
      <c r="L26" s="30">
        <f>SUM(L27:L28)</f>
        <v>5685.5948399999997</v>
      </c>
      <c r="M26" s="31">
        <f>SUM(M27:M28)</f>
        <v>9890.7811999999994</v>
      </c>
      <c r="N26" s="31">
        <f t="shared" si="4"/>
        <v>-4205.1863599999997</v>
      </c>
      <c r="O26" s="26">
        <f t="shared" si="5"/>
        <v>-0.42516220660103166</v>
      </c>
      <c r="P26" s="31">
        <f>SUM(P27:P28)</f>
        <v>8483.7288599999993</v>
      </c>
      <c r="Q26" s="31">
        <f t="shared" si="6"/>
        <v>-2798.1340199999995</v>
      </c>
      <c r="R26" s="27">
        <f t="shared" si="7"/>
        <v>-0.32982360306126046</v>
      </c>
      <c r="S26" s="3"/>
      <c r="T26" s="30">
        <f>SUM(T27:T28)</f>
        <v>12294.874119999999</v>
      </c>
      <c r="U26" s="31">
        <f>SUM(U27:U28)</f>
        <v>19065.827269999998</v>
      </c>
      <c r="V26" s="31">
        <f t="shared" si="8"/>
        <v>-6770.9531499999994</v>
      </c>
      <c r="W26" s="26">
        <f t="shared" si="9"/>
        <v>-0.35513555504900995</v>
      </c>
      <c r="X26" s="31">
        <f>SUM(X27:X28)</f>
        <v>15093.00814</v>
      </c>
      <c r="Y26" s="31">
        <f t="shared" si="10"/>
        <v>-2798.1340200000013</v>
      </c>
      <c r="Z26" s="27">
        <f t="shared" si="11"/>
        <v>-0.18539273245233945</v>
      </c>
      <c r="AA26" s="3"/>
      <c r="AB26" s="32">
        <f>SUM(AB27:AB28)</f>
        <v>42959.717340000003</v>
      </c>
      <c r="AC26" s="1"/>
      <c r="AD26" s="1"/>
      <c r="AE26" s="1"/>
      <c r="AF26" s="1"/>
      <c r="AG26" s="1"/>
      <c r="AH26" s="1"/>
      <c r="AI26" s="1"/>
    </row>
    <row r="27" spans="1:35" ht="14.25" hidden="1" outlineLevel="2" x14ac:dyDescent="0.2">
      <c r="A27" s="1"/>
      <c r="B27" s="34" t="s">
        <v>30</v>
      </c>
      <c r="C27" s="19"/>
      <c r="D27" s="30">
        <f>-1988558.96/1000*-1</f>
        <v>1988.5589600000001</v>
      </c>
      <c r="E27" s="31">
        <f>-4125895.83/1000*-1</f>
        <v>4125.8958300000004</v>
      </c>
      <c r="F27" s="31">
        <f t="shared" si="0"/>
        <v>-2137.3368700000001</v>
      </c>
      <c r="G27" s="26">
        <f t="shared" si="1"/>
        <v>-0.51802977051895172</v>
      </c>
      <c r="H27" s="31">
        <f>-3335844.89/1000*-1</f>
        <v>3335.8448900000003</v>
      </c>
      <c r="I27" s="31">
        <f t="shared" si="2"/>
        <v>-1347.2859300000002</v>
      </c>
      <c r="J27" s="27">
        <f t="shared" si="3"/>
        <v>-0.40388146764222005</v>
      </c>
      <c r="K27" s="3"/>
      <c r="L27" s="30">
        <f>-5685594.84/1000*-1</f>
        <v>5685.5948399999997</v>
      </c>
      <c r="M27" s="31">
        <f>-9890781.2/1000*-1</f>
        <v>9890.7811999999994</v>
      </c>
      <c r="N27" s="31">
        <f t="shared" si="4"/>
        <v>-4205.1863599999997</v>
      </c>
      <c r="O27" s="26">
        <f t="shared" si="5"/>
        <v>-0.42516220660103166</v>
      </c>
      <c r="P27" s="31">
        <f>-8483728.86/1000*-1</f>
        <v>8483.7288599999993</v>
      </c>
      <c r="Q27" s="31">
        <f t="shared" si="6"/>
        <v>-2798.1340199999995</v>
      </c>
      <c r="R27" s="27">
        <f t="shared" si="7"/>
        <v>-0.32982360306126046</v>
      </c>
      <c r="S27" s="3"/>
      <c r="T27" s="30">
        <f>-12294874.12/1000*-1</f>
        <v>12294.874119999999</v>
      </c>
      <c r="U27" s="31">
        <f>-19065827.27/1000*-1</f>
        <v>19065.827269999998</v>
      </c>
      <c r="V27" s="31">
        <f t="shared" si="8"/>
        <v>-6770.9531499999994</v>
      </c>
      <c r="W27" s="26">
        <f t="shared" si="9"/>
        <v>-0.35513555504900995</v>
      </c>
      <c r="X27" s="31">
        <f>-15093008.14/1000*-1</f>
        <v>15093.00814</v>
      </c>
      <c r="Y27" s="31">
        <f t="shared" si="10"/>
        <v>-2798.1340200000013</v>
      </c>
      <c r="Z27" s="27">
        <f t="shared" si="11"/>
        <v>-0.18539273245233945</v>
      </c>
      <c r="AA27" s="3"/>
      <c r="AB27" s="32">
        <f>-42959717.34/1000*-1</f>
        <v>42959.717340000003</v>
      </c>
      <c r="AC27" s="1"/>
      <c r="AD27" s="1"/>
      <c r="AE27" s="1"/>
      <c r="AF27" s="1"/>
      <c r="AG27" s="1"/>
      <c r="AH27" s="1"/>
      <c r="AI27" s="1"/>
    </row>
    <row r="28" spans="1:35" s="35" customFormat="1" ht="14.25" hidden="1" outlineLevel="2" x14ac:dyDescent="0.2">
      <c r="B28" s="34" t="s">
        <v>31</v>
      </c>
      <c r="C28" s="19"/>
      <c r="D28" s="30">
        <f>0/1000*-1</f>
        <v>0</v>
      </c>
      <c r="E28" s="31">
        <f>0/1000*-1</f>
        <v>0</v>
      </c>
      <c r="F28" s="31">
        <f t="shared" si="0"/>
        <v>0</v>
      </c>
      <c r="G28" s="26" t="str">
        <f t="shared" si="1"/>
        <v>N/A</v>
      </c>
      <c r="H28" s="31">
        <f>0/1000*-1</f>
        <v>0</v>
      </c>
      <c r="I28" s="31">
        <f t="shared" si="2"/>
        <v>0</v>
      </c>
      <c r="J28" s="27" t="str">
        <f t="shared" si="3"/>
        <v>N/A</v>
      </c>
      <c r="K28" s="19"/>
      <c r="L28" s="30">
        <f>0/1000*-1</f>
        <v>0</v>
      </c>
      <c r="M28" s="31">
        <f>0/1000*-1</f>
        <v>0</v>
      </c>
      <c r="N28" s="31">
        <f t="shared" si="4"/>
        <v>0</v>
      </c>
      <c r="O28" s="26" t="str">
        <f t="shared" si="5"/>
        <v>N/A</v>
      </c>
      <c r="P28" s="31">
        <f>0/1000*-1</f>
        <v>0</v>
      </c>
      <c r="Q28" s="31">
        <f t="shared" si="6"/>
        <v>0</v>
      </c>
      <c r="R28" s="27" t="str">
        <f t="shared" si="7"/>
        <v>N/A</v>
      </c>
      <c r="S28" s="19"/>
      <c r="T28" s="30">
        <f>0/1000*-1</f>
        <v>0</v>
      </c>
      <c r="U28" s="31">
        <f>0/1000*-1</f>
        <v>0</v>
      </c>
      <c r="V28" s="31">
        <f t="shared" si="8"/>
        <v>0</v>
      </c>
      <c r="W28" s="26" t="str">
        <f t="shared" si="9"/>
        <v>N/A</v>
      </c>
      <c r="X28" s="31">
        <f>0/1000*-1</f>
        <v>0</v>
      </c>
      <c r="Y28" s="31">
        <f t="shared" si="10"/>
        <v>0</v>
      </c>
      <c r="Z28" s="27" t="str">
        <f t="shared" si="11"/>
        <v>N/A</v>
      </c>
      <c r="AA28" s="19"/>
      <c r="AB28" s="32">
        <f>0/1000*-1</f>
        <v>0</v>
      </c>
    </row>
    <row r="29" spans="1:35" s="35" customFormat="1" ht="5.0999999999999996" hidden="1" customHeight="1" outlineLevel="1" x14ac:dyDescent="0.2">
      <c r="B29" s="34"/>
      <c r="C29" s="19"/>
      <c r="D29" s="36"/>
      <c r="E29" s="37"/>
      <c r="F29" s="37"/>
      <c r="G29" s="38"/>
      <c r="H29" s="37"/>
      <c r="I29" s="37"/>
      <c r="J29" s="39"/>
      <c r="K29" s="19"/>
      <c r="L29" s="36"/>
      <c r="M29" s="37"/>
      <c r="N29" s="37"/>
      <c r="O29" s="38"/>
      <c r="P29" s="37"/>
      <c r="Q29" s="37"/>
      <c r="R29" s="39"/>
      <c r="S29" s="19"/>
      <c r="T29" s="36"/>
      <c r="U29" s="37"/>
      <c r="V29" s="37"/>
      <c r="W29" s="38"/>
      <c r="X29" s="37"/>
      <c r="Y29" s="37"/>
      <c r="Z29" s="39"/>
      <c r="AA29" s="19"/>
      <c r="AB29" s="40"/>
    </row>
    <row r="30" spans="1:35" ht="14.25" collapsed="1" x14ac:dyDescent="0.2">
      <c r="A30" s="1"/>
      <c r="B30" s="19" t="s">
        <v>32</v>
      </c>
      <c r="C30" s="19"/>
      <c r="D30" s="30">
        <f>SUM(D13:D15,D18,D21:D22)</f>
        <v>20893.34145</v>
      </c>
      <c r="E30" s="31">
        <f>SUM(E13:E15,E18,E21:E22)</f>
        <v>29179.968370000002</v>
      </c>
      <c r="F30" s="31">
        <f>D30-E30</f>
        <v>-8286.6269200000024</v>
      </c>
      <c r="G30" s="26">
        <f>IF(ISERROR(F30/E30),"N/A",IF(ABS(F30/E30)&gt;5,"N/A",F30/E30))</f>
        <v>-0.28398340995185944</v>
      </c>
      <c r="H30" s="31">
        <f>SUM(H13:H15,H18,H21:H22)</f>
        <v>22627.596529999999</v>
      </c>
      <c r="I30" s="31">
        <f>D30-H30</f>
        <v>-1734.255079999999</v>
      </c>
      <c r="J30" s="27">
        <f>IF(ISERROR(I30/H30),"N/A",IF(ABS(I30/H30)&gt;5,"N/A",I30/H30))</f>
        <v>-7.6643362351838745E-2</v>
      </c>
      <c r="K30" s="3"/>
      <c r="L30" s="30">
        <f>SUM(L13:L15,L18,L21:L22)</f>
        <v>49666.236659999995</v>
      </c>
      <c r="M30" s="31">
        <f>SUM(M13:M15,M18,M21:M22)</f>
        <v>74784.354760000002</v>
      </c>
      <c r="N30" s="31">
        <f>L30-M30</f>
        <v>-25118.118100000007</v>
      </c>
      <c r="O30" s="26">
        <f>IF(ISERROR(N30/M30),"N/A",IF(ABS(N30/M30)&gt;5,"N/A",N30/M30))</f>
        <v>-0.33587396963722904</v>
      </c>
      <c r="P30" s="31">
        <f>SUM(P13:P15,P18,P21:P22)</f>
        <v>51831.288889999996</v>
      </c>
      <c r="Q30" s="31">
        <f>L30-P30</f>
        <v>-2165.0522300000011</v>
      </c>
      <c r="R30" s="27">
        <f>IF(ISERROR(Q30/P30),"N/A",IF(ABS(Q30/P30)&gt;5,"N/A",Q30/P30))</f>
        <v>-4.1771143962767876E-2</v>
      </c>
      <c r="S30" s="3"/>
      <c r="T30" s="30">
        <f>SUM(T13:T15,T18,T21:T22)</f>
        <v>126188.44013</v>
      </c>
      <c r="U30" s="31">
        <f>SUM(U13:U15,U18,U21:U22)</f>
        <v>142509.62517999997</v>
      </c>
      <c r="V30" s="31">
        <f>T30-U30</f>
        <v>-16321.185049999971</v>
      </c>
      <c r="W30" s="26">
        <f>IF(ISERROR(V30/U30),"N/A",IF(ABS(V30/U30)&gt;5,"N/A",V30/U30))</f>
        <v>-0.11452689619655608</v>
      </c>
      <c r="X30" s="31">
        <f>SUM(X13:X15,X18,X21:X22)</f>
        <v>128353.49235999999</v>
      </c>
      <c r="Y30" s="31">
        <f>T30-X30</f>
        <v>-2165.0522299999866</v>
      </c>
      <c r="Z30" s="27">
        <f>IF(ISERROR(Y30/X30),"N/A",IF(ABS(Y30/X30)&gt;5,"N/A",Y30/X30))</f>
        <v>-1.6867887193342177E-2</v>
      </c>
      <c r="AA30" s="3"/>
      <c r="AB30" s="32">
        <f>SUM(AB13:AB15,AB18,AB21:AB22)</f>
        <v>324193.24044999998</v>
      </c>
      <c r="AC30" s="1"/>
      <c r="AD30" s="1"/>
      <c r="AE30" s="1"/>
      <c r="AF30" s="1"/>
      <c r="AG30" s="1"/>
      <c r="AH30" s="1"/>
      <c r="AI30" s="1"/>
    </row>
    <row r="31" spans="1:35" ht="14.25" x14ac:dyDescent="0.2">
      <c r="A31" s="1"/>
      <c r="B31" s="34"/>
      <c r="C31" s="19"/>
      <c r="D31" s="30"/>
      <c r="E31" s="31"/>
      <c r="F31" s="31"/>
      <c r="G31" s="26"/>
      <c r="H31" s="31"/>
      <c r="I31" s="31"/>
      <c r="J31" s="27"/>
      <c r="K31" s="3"/>
      <c r="L31" s="30"/>
      <c r="M31" s="31"/>
      <c r="N31" s="31"/>
      <c r="O31" s="26"/>
      <c r="P31" s="31"/>
      <c r="Q31" s="31"/>
      <c r="R31" s="27"/>
      <c r="S31" s="3"/>
      <c r="T31" s="30"/>
      <c r="U31" s="31"/>
      <c r="V31" s="31"/>
      <c r="W31" s="26"/>
      <c r="X31" s="31"/>
      <c r="Y31" s="31"/>
      <c r="Z31" s="27"/>
      <c r="AA31" s="3"/>
      <c r="AB31" s="32"/>
      <c r="AC31" s="1"/>
      <c r="AD31" s="1"/>
      <c r="AE31" s="1"/>
      <c r="AF31" s="1"/>
      <c r="AG31" s="1"/>
      <c r="AH31" s="1"/>
      <c r="AI31" s="1"/>
    </row>
    <row r="32" spans="1:35" ht="14.25" x14ac:dyDescent="0.2">
      <c r="A32" s="1"/>
      <c r="B32" s="29" t="s">
        <v>33</v>
      </c>
      <c r="C32" s="19"/>
      <c r="D32" s="30">
        <f>-2700337.15/1000*-1</f>
        <v>2700.3371499999998</v>
      </c>
      <c r="E32" s="31">
        <f>-3584219.25/1000*-1</f>
        <v>3584.2192500000001</v>
      </c>
      <c r="F32" s="31">
        <f>D32-E32</f>
        <v>-883.88210000000026</v>
      </c>
      <c r="G32" s="26">
        <f>IF(ISERROR(F32/E32),"N/A",IF(ABS(F32/E32)&gt;5,"N/A",F32/E32))</f>
        <v>-0.2466038036038114</v>
      </c>
      <c r="H32" s="31">
        <f>-3646364.29/1000*-1</f>
        <v>3646.36429</v>
      </c>
      <c r="I32" s="31">
        <f>D32-H32</f>
        <v>-946.02714000000014</v>
      </c>
      <c r="J32" s="27">
        <f>IF(ISERROR(I32/H32),"N/A",IF(ABS(I32/H32)&gt;5,"N/A",I32/H32))</f>
        <v>-0.25944394601341386</v>
      </c>
      <c r="K32" s="3"/>
      <c r="L32" s="30">
        <f>-6196989.29/1000*-1</f>
        <v>6196.9892900000004</v>
      </c>
      <c r="M32" s="31">
        <f>-10197951.81/1000*-1</f>
        <v>10197.95181</v>
      </c>
      <c r="N32" s="31">
        <f>L32-M32</f>
        <v>-4000.96252</v>
      </c>
      <c r="O32" s="26">
        <f>IF(ISERROR(N32/M32),"N/A",IF(ABS(N32/M32)&gt;5,"N/A",N32/M32))</f>
        <v>-0.39233000847059307</v>
      </c>
      <c r="P32" s="31">
        <f>-7402175.46/1000*-1</f>
        <v>7402.1754600000004</v>
      </c>
      <c r="Q32" s="31">
        <f>L32-P32</f>
        <v>-1205.1861699999999</v>
      </c>
      <c r="R32" s="27">
        <f>IF(ISERROR(Q32/P32),"N/A",IF(ABS(Q32/P32)&gt;5,"N/A",Q32/P32))</f>
        <v>-0.16281513137760717</v>
      </c>
      <c r="S32" s="3"/>
      <c r="T32" s="30">
        <f>-15433468.22/1000*-1</f>
        <v>15433.468220000001</v>
      </c>
      <c r="U32" s="31">
        <f>-17865582.33/1000*-1</f>
        <v>17865.582329999997</v>
      </c>
      <c r="V32" s="31">
        <f>T32-U32</f>
        <v>-2432.1141099999968</v>
      </c>
      <c r="W32" s="26">
        <f>IF(ISERROR(V32/U32),"N/A",IF(ABS(V32/U32)&gt;5,"N/A",V32/U32))</f>
        <v>-0.13613405178044355</v>
      </c>
      <c r="X32" s="31">
        <f>-16638654.39/1000*-1</f>
        <v>16638.65439</v>
      </c>
      <c r="Y32" s="31">
        <f>T32-X32</f>
        <v>-1205.186169999999</v>
      </c>
      <c r="Z32" s="27">
        <f>IF(ISERROR(Y32/X32),"N/A",IF(ABS(Y32/X32)&gt;5,"N/A",Y32/X32))</f>
        <v>-7.2432910844300494E-2</v>
      </c>
      <c r="AA32" s="3"/>
      <c r="AB32" s="32">
        <f>-51020610.83/1000*-1</f>
        <v>51020.610829999998</v>
      </c>
      <c r="AC32" s="1"/>
      <c r="AD32" s="1"/>
      <c r="AE32" s="1"/>
      <c r="AF32" s="1"/>
      <c r="AG32" s="1"/>
      <c r="AH32" s="1"/>
      <c r="AI32" s="1"/>
    </row>
    <row r="33" spans="1:35" ht="14.25" x14ac:dyDescent="0.2">
      <c r="A33" s="1"/>
      <c r="B33" s="34"/>
      <c r="C33" s="19"/>
      <c r="D33" s="30"/>
      <c r="E33" s="31"/>
      <c r="F33" s="31"/>
      <c r="G33" s="26"/>
      <c r="H33" s="31"/>
      <c r="I33" s="31"/>
      <c r="J33" s="27"/>
      <c r="K33" s="3"/>
      <c r="L33" s="30"/>
      <c r="M33" s="31"/>
      <c r="N33" s="31"/>
      <c r="O33" s="26"/>
      <c r="P33" s="31"/>
      <c r="Q33" s="31"/>
      <c r="R33" s="27"/>
      <c r="S33" s="3"/>
      <c r="T33" s="30"/>
      <c r="U33" s="31"/>
      <c r="V33" s="31"/>
      <c r="W33" s="26"/>
      <c r="X33" s="31"/>
      <c r="Y33" s="31"/>
      <c r="Z33" s="27"/>
      <c r="AA33" s="3"/>
      <c r="AB33" s="32"/>
      <c r="AC33" s="1"/>
      <c r="AD33" s="1"/>
      <c r="AE33" s="1"/>
      <c r="AF33" s="1"/>
      <c r="AG33" s="1"/>
      <c r="AH33" s="1"/>
      <c r="AI33" s="1"/>
    </row>
    <row r="34" spans="1:35" x14ac:dyDescent="0.25">
      <c r="A34" s="1"/>
      <c r="B34" s="41" t="s">
        <v>34</v>
      </c>
      <c r="C34" s="19"/>
      <c r="D34" s="30">
        <f>SUM(D30:D33)</f>
        <v>23593.678599999999</v>
      </c>
      <c r="E34" s="31">
        <f>SUM(E30:E33)</f>
        <v>32764.187620000004</v>
      </c>
      <c r="F34" s="31">
        <f>D34-E34</f>
        <v>-9170.509020000005</v>
      </c>
      <c r="G34" s="26">
        <f>IF(ISERROR(F34/E34),"N/A",IF(ABS(F34/E34)&gt;5,"N/A",F34/E34))</f>
        <v>-0.27989428965429675</v>
      </c>
      <c r="H34" s="31">
        <f>SUM(H30:H33)</f>
        <v>26273.96082</v>
      </c>
      <c r="I34" s="31">
        <f>D34-H34</f>
        <v>-2680.282220000001</v>
      </c>
      <c r="J34" s="27">
        <f>IF(ISERROR(I34/H34),"N/A",IF(ABS(I34/H34)&gt;5,"N/A",I34/H34))</f>
        <v>-0.10201287268266547</v>
      </c>
      <c r="K34" s="3"/>
      <c r="L34" s="30">
        <f>SUM(L30:L33)</f>
        <v>55863.225949999993</v>
      </c>
      <c r="M34" s="31">
        <f>SUM(M30:M33)</f>
        <v>84982.306570000001</v>
      </c>
      <c r="N34" s="31">
        <f>L34-M34</f>
        <v>-29119.080620000008</v>
      </c>
      <c r="O34" s="26">
        <f>IF(ISERROR(N34/M34),"N/A",IF(ABS(N34/M34)&gt;5,"N/A",N34/M34))</f>
        <v>-0.34264874413610552</v>
      </c>
      <c r="P34" s="31">
        <f>SUM(P30:P33)</f>
        <v>59233.464349999995</v>
      </c>
      <c r="Q34" s="31">
        <f>L34-P34</f>
        <v>-3370.238400000002</v>
      </c>
      <c r="R34" s="27">
        <f>IF(ISERROR(Q34/P34),"N/A",IF(ABS(Q34/P34)&gt;5,"N/A",Q34/P34))</f>
        <v>-5.6897539878570387E-2</v>
      </c>
      <c r="S34" s="3"/>
      <c r="T34" s="30">
        <f>SUM(T30:T33)</f>
        <v>141621.90835000001</v>
      </c>
      <c r="U34" s="31">
        <f>SUM(U30:U33)</f>
        <v>160375.20750999998</v>
      </c>
      <c r="V34" s="31">
        <f>T34-U34</f>
        <v>-18753.299159999966</v>
      </c>
      <c r="W34" s="26">
        <f>IF(ISERROR(V34/U34),"N/A",IF(ABS(V34/U34)&gt;5,"N/A",V34/U34))</f>
        <v>-0.1169339042559345</v>
      </c>
      <c r="X34" s="31">
        <f>SUM(X30:X33)</f>
        <v>144992.14674999999</v>
      </c>
      <c r="Y34" s="31">
        <f>T34-X34</f>
        <v>-3370.2383999999729</v>
      </c>
      <c r="Z34" s="27">
        <f>IF(ISERROR(Y34/X34),"N/A",IF(ABS(Y34/X34)&gt;5,"N/A",Y34/X34))</f>
        <v>-2.3244282366623924E-2</v>
      </c>
      <c r="AA34" s="3"/>
      <c r="AB34" s="32">
        <f>SUM(AB30:AB33)</f>
        <v>375213.85128</v>
      </c>
      <c r="AC34" s="1"/>
      <c r="AD34" s="1"/>
      <c r="AE34" s="1"/>
      <c r="AF34" s="1"/>
      <c r="AG34" s="1"/>
      <c r="AH34" s="1"/>
      <c r="AI34" s="1"/>
    </row>
    <row r="35" spans="1:35" s="35" customFormat="1" x14ac:dyDescent="0.25">
      <c r="B35" s="41"/>
      <c r="C35" s="19"/>
      <c r="D35" s="30"/>
      <c r="E35" s="31"/>
      <c r="F35" s="31"/>
      <c r="G35" s="26"/>
      <c r="H35" s="31"/>
      <c r="I35" s="31"/>
      <c r="J35" s="27"/>
      <c r="K35" s="19"/>
      <c r="L35" s="30"/>
      <c r="M35" s="31"/>
      <c r="N35" s="31"/>
      <c r="O35" s="26"/>
      <c r="P35" s="31"/>
      <c r="Q35" s="31"/>
      <c r="R35" s="27"/>
      <c r="S35" s="19"/>
      <c r="T35" s="30"/>
      <c r="U35" s="31"/>
      <c r="V35" s="31"/>
      <c r="W35" s="26"/>
      <c r="X35" s="31"/>
      <c r="Y35" s="31"/>
      <c r="Z35" s="27"/>
      <c r="AA35" s="19"/>
      <c r="AB35" s="42"/>
    </row>
    <row r="36" spans="1:35" s="35" customFormat="1" x14ac:dyDescent="0.25">
      <c r="B36" s="19"/>
      <c r="C36" s="19"/>
      <c r="D36" s="43"/>
      <c r="E36" s="44"/>
      <c r="F36" s="44"/>
      <c r="G36" s="45"/>
      <c r="H36" s="44"/>
      <c r="I36" s="44"/>
      <c r="J36" s="46"/>
      <c r="K36" s="19"/>
      <c r="L36" s="43"/>
      <c r="M36" s="44"/>
      <c r="N36" s="44"/>
      <c r="O36" s="45"/>
      <c r="P36" s="44"/>
      <c r="Q36" s="44"/>
      <c r="R36" s="46"/>
      <c r="S36" s="19"/>
      <c r="T36" s="43"/>
      <c r="U36" s="44"/>
      <c r="V36" s="44"/>
      <c r="W36" s="45"/>
      <c r="X36" s="44"/>
      <c r="Y36" s="44"/>
      <c r="Z36" s="46"/>
      <c r="AA36" s="19"/>
      <c r="AB36" s="47"/>
    </row>
    <row r="37" spans="1:35" ht="14.25" x14ac:dyDescent="0.2">
      <c r="A37" s="1"/>
      <c r="B37" s="19" t="s">
        <v>16</v>
      </c>
      <c r="C37" s="19"/>
      <c r="D37" s="30">
        <f>-841094.04/1000*-1</f>
        <v>841.09404000000006</v>
      </c>
      <c r="E37" s="31">
        <f>-1014389.45/1000*-1</f>
        <v>1014.3894499999999</v>
      </c>
      <c r="F37" s="31">
        <f t="shared" ref="F37:F52" si="12">D37-E37</f>
        <v>-173.29540999999983</v>
      </c>
      <c r="G37" s="26">
        <f t="shared" ref="G37:G52" si="13">IF(ISERROR(F37/E37),"N/A",IF(ABS(F37/E37)&gt;5,"N/A",F37/E37))</f>
        <v>-0.17083715726735904</v>
      </c>
      <c r="H37" s="31">
        <f>-1142900.389863/1000*-1</f>
        <v>1142.9003898630001</v>
      </c>
      <c r="I37" s="31">
        <f t="shared" ref="I37:I52" si="14">D37-H37</f>
        <v>-301.80634986300004</v>
      </c>
      <c r="J37" s="27">
        <f t="shared" ref="J37:J52" si="15">IF(ISERROR(I37/H37),"N/A",IF(ABS(I37/H37)&gt;5,"N/A",I37/H37))</f>
        <v>-0.26407056340157314</v>
      </c>
      <c r="K37" s="3"/>
      <c r="L37" s="30">
        <f>-2398965.28/1000*-1</f>
        <v>2398.9652799999999</v>
      </c>
      <c r="M37" s="31">
        <f>-2936204.19/1000*-1</f>
        <v>2936.2041899999999</v>
      </c>
      <c r="N37" s="31">
        <f t="shared" ref="N37:N52" si="16">L37-M37</f>
        <v>-537.23891000000003</v>
      </c>
      <c r="O37" s="26">
        <f t="shared" ref="O37:O52" si="17">IF(ISERROR(N37/M37),"N/A",IF(ABS(N37/M37)&gt;5,"N/A",N37/M37))</f>
        <v>-0.18297055491907055</v>
      </c>
      <c r="P37" s="31">
        <f>-2943444.772842/1000*-1</f>
        <v>2943.4447728419996</v>
      </c>
      <c r="Q37" s="31">
        <f t="shared" ref="Q37:Q52" si="18">L37-P37</f>
        <v>-544.47949284199967</v>
      </c>
      <c r="R37" s="27">
        <f t="shared" ref="R37:R52" si="19">IF(ISERROR(Q37/P37),"N/A",IF(ABS(Q37/P37)&gt;5,"N/A",Q37/P37))</f>
        <v>-0.18498036649632313</v>
      </c>
      <c r="S37" s="3"/>
      <c r="T37" s="30">
        <f>-5075179.58/1000*-1</f>
        <v>5075.17958</v>
      </c>
      <c r="U37" s="31">
        <f>-5848787.02/1000*-1</f>
        <v>5848.7870199999998</v>
      </c>
      <c r="V37" s="31">
        <f t="shared" ref="V37:V52" si="20">T37-U37</f>
        <v>-773.60743999999977</v>
      </c>
      <c r="W37" s="26">
        <f t="shared" ref="W37:W52" si="21">IF(ISERROR(V37/U37),"N/A",IF(ABS(V37/U37)&gt;5,"N/A",V37/U37))</f>
        <v>-0.13226801341109526</v>
      </c>
      <c r="X37" s="31">
        <f>-5619659.072842/1000*-1</f>
        <v>5619.6590728419997</v>
      </c>
      <c r="Y37" s="31">
        <f t="shared" ref="Y37:Y52" si="22">T37-X37</f>
        <v>-544.47949284199967</v>
      </c>
      <c r="Z37" s="27">
        <f t="shared" ref="Z37:Z52" si="23">IF(ISERROR(Y37/X37),"N/A",IF(ABS(Y37/X37)&gt;5,"N/A",Y37/X37))</f>
        <v>-9.6888349592823789E-2</v>
      </c>
      <c r="AA37" s="3"/>
      <c r="AB37" s="32">
        <f>-17446563.289075/1000*-1</f>
        <v>17446.563289074998</v>
      </c>
      <c r="AC37" s="1"/>
      <c r="AD37" s="1"/>
      <c r="AE37" s="1"/>
      <c r="AF37" s="1"/>
      <c r="AG37" s="1"/>
      <c r="AH37" s="1"/>
      <c r="AI37" s="1"/>
    </row>
    <row r="38" spans="1:35" ht="14.25" x14ac:dyDescent="0.2">
      <c r="A38" s="1"/>
      <c r="B38" s="29" t="s">
        <v>17</v>
      </c>
      <c r="C38" s="19"/>
      <c r="D38" s="30">
        <f>-75982.06/1000*-1</f>
        <v>75.982060000000004</v>
      </c>
      <c r="E38" s="31">
        <f>-415541.89/1000*-1</f>
        <v>415.54189000000002</v>
      </c>
      <c r="F38" s="31">
        <f t="shared" si="12"/>
        <v>-339.55983000000003</v>
      </c>
      <c r="G38" s="26">
        <f t="shared" si="13"/>
        <v>-0.81714945754325763</v>
      </c>
      <c r="H38" s="31">
        <f>-136298.397846/1000*-1</f>
        <v>136.298397846</v>
      </c>
      <c r="I38" s="31">
        <f t="shared" si="14"/>
        <v>-60.316337845999996</v>
      </c>
      <c r="J38" s="27">
        <f t="shared" si="15"/>
        <v>-0.44253152494242709</v>
      </c>
      <c r="K38" s="3"/>
      <c r="L38" s="30">
        <f>-26838.47/1000*-1</f>
        <v>26.838470000000001</v>
      </c>
      <c r="M38" s="31">
        <f>-522361.78/1000*-1</f>
        <v>522.36178000000007</v>
      </c>
      <c r="N38" s="31">
        <f t="shared" si="16"/>
        <v>-495.52331000000004</v>
      </c>
      <c r="O38" s="26">
        <f t="shared" si="17"/>
        <v>-0.94862091556545347</v>
      </c>
      <c r="P38" s="31">
        <f>-506839.61958/1000*-1</f>
        <v>506.83961957999998</v>
      </c>
      <c r="Q38" s="31">
        <f t="shared" si="18"/>
        <v>-480.00114957999995</v>
      </c>
      <c r="R38" s="27">
        <f t="shared" si="19"/>
        <v>-0.94704741112733037</v>
      </c>
      <c r="S38" s="3"/>
      <c r="T38" s="30">
        <f>-481496.78/1000*-1</f>
        <v>481.49678</v>
      </c>
      <c r="U38" s="31">
        <f>-652105.87/1000*-1</f>
        <v>652.10586999999998</v>
      </c>
      <c r="V38" s="31">
        <f t="shared" si="20"/>
        <v>-170.60908999999998</v>
      </c>
      <c r="W38" s="26">
        <f t="shared" si="21"/>
        <v>-0.26162790100325273</v>
      </c>
      <c r="X38" s="31">
        <f>-961497.92958/1000*-1</f>
        <v>961.49792958</v>
      </c>
      <c r="Y38" s="31">
        <f t="shared" si="22"/>
        <v>-480.00114958</v>
      </c>
      <c r="Z38" s="27">
        <f t="shared" si="23"/>
        <v>-0.49922223939647309</v>
      </c>
      <c r="AA38" s="3"/>
      <c r="AB38" s="32">
        <f>-1999172.980985/1000*-1</f>
        <v>1999.1729809850001</v>
      </c>
      <c r="AC38" s="1"/>
      <c r="AD38" s="1"/>
      <c r="AE38" s="1"/>
      <c r="AF38" s="1"/>
      <c r="AG38" s="1"/>
      <c r="AH38" s="1"/>
      <c r="AI38" s="1"/>
    </row>
    <row r="39" spans="1:35" ht="14.25" x14ac:dyDescent="0.2">
      <c r="A39" s="1"/>
      <c r="B39" s="19" t="s">
        <v>18</v>
      </c>
      <c r="C39" s="19"/>
      <c r="D39" s="30">
        <f>SUM(D40:D41)</f>
        <v>-6.1109999999999998E-2</v>
      </c>
      <c r="E39" s="31">
        <f>SUM(E40:E41)</f>
        <v>-7.6489999999999989E-2</v>
      </c>
      <c r="F39" s="31">
        <f t="shared" si="12"/>
        <v>1.5379999999999991E-2</v>
      </c>
      <c r="G39" s="26">
        <f t="shared" si="13"/>
        <v>-0.20107203556020387</v>
      </c>
      <c r="H39" s="31">
        <f>SUM(H40:H41)</f>
        <v>49.081292169999998</v>
      </c>
      <c r="I39" s="31">
        <f t="shared" si="14"/>
        <v>-49.142402169999997</v>
      </c>
      <c r="J39" s="27">
        <f t="shared" si="15"/>
        <v>-1.0012450772442651</v>
      </c>
      <c r="K39" s="3"/>
      <c r="L39" s="30">
        <f>SUM(L40:L41)</f>
        <v>-0.29205999999999999</v>
      </c>
      <c r="M39" s="31">
        <f>SUM(M40:M41)</f>
        <v>-11.71719</v>
      </c>
      <c r="N39" s="31">
        <f t="shared" si="16"/>
        <v>11.425130000000001</v>
      </c>
      <c r="O39" s="26">
        <f t="shared" si="17"/>
        <v>-0.97507422854797099</v>
      </c>
      <c r="P39" s="31">
        <f>SUM(P40:P41)</f>
        <v>49.304592170000006</v>
      </c>
      <c r="Q39" s="31">
        <f t="shared" si="18"/>
        <v>-49.596652170000006</v>
      </c>
      <c r="R39" s="27">
        <f t="shared" si="19"/>
        <v>-1.0059235861640026</v>
      </c>
      <c r="S39" s="3"/>
      <c r="T39" s="30">
        <f>SUM(T40:T41)</f>
        <v>-0.55601999999999996</v>
      </c>
      <c r="U39" s="31">
        <f>SUM(U40:U41)</f>
        <v>-9.9315599999999993</v>
      </c>
      <c r="V39" s="31">
        <f t="shared" si="20"/>
        <v>9.3755399999999991</v>
      </c>
      <c r="W39" s="26">
        <f t="shared" si="21"/>
        <v>-0.94401483754817972</v>
      </c>
      <c r="X39" s="31">
        <f>SUM(X40:X41)</f>
        <v>49.040632169999995</v>
      </c>
      <c r="Y39" s="31">
        <f t="shared" si="22"/>
        <v>-49.596652169999992</v>
      </c>
      <c r="Z39" s="27">
        <f t="shared" si="23"/>
        <v>-1.0113379451976179</v>
      </c>
      <c r="AA39" s="3"/>
      <c r="AB39" s="32">
        <f>SUM(AB40:AB41)</f>
        <v>291.87708237999999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3" t="s">
        <v>19</v>
      </c>
      <c r="C40" s="19"/>
      <c r="D40" s="30">
        <f>0/1000*-1</f>
        <v>0</v>
      </c>
      <c r="E40" s="31">
        <f>0/1000*-1</f>
        <v>0</v>
      </c>
      <c r="F40" s="31">
        <f t="shared" si="12"/>
        <v>0</v>
      </c>
      <c r="G40" s="26" t="str">
        <f t="shared" si="13"/>
        <v>N/A</v>
      </c>
      <c r="H40" s="31">
        <f>0/1000*-1</f>
        <v>0</v>
      </c>
      <c r="I40" s="31">
        <f t="shared" si="14"/>
        <v>0</v>
      </c>
      <c r="J40" s="27" t="str">
        <f t="shared" si="15"/>
        <v>N/A</v>
      </c>
      <c r="K40" s="3"/>
      <c r="L40" s="30">
        <f>0/1000*-1</f>
        <v>0</v>
      </c>
      <c r="M40" s="31">
        <f>0/1000*-1</f>
        <v>0</v>
      </c>
      <c r="N40" s="31">
        <f t="shared" si="16"/>
        <v>0</v>
      </c>
      <c r="O40" s="26" t="str">
        <f t="shared" si="17"/>
        <v>N/A</v>
      </c>
      <c r="P40" s="31">
        <f>0/1000*-1</f>
        <v>0</v>
      </c>
      <c r="Q40" s="31">
        <f t="shared" si="18"/>
        <v>0</v>
      </c>
      <c r="R40" s="27" t="str">
        <f t="shared" si="19"/>
        <v>N/A</v>
      </c>
      <c r="S40" s="3"/>
      <c r="T40" s="30">
        <f>0/1000*-1</f>
        <v>0</v>
      </c>
      <c r="U40" s="31">
        <f>0/1000*-1</f>
        <v>0</v>
      </c>
      <c r="V40" s="31">
        <f t="shared" si="20"/>
        <v>0</v>
      </c>
      <c r="W40" s="26" t="str">
        <f t="shared" si="21"/>
        <v>N/A</v>
      </c>
      <c r="X40" s="31">
        <f>0/1000*-1</f>
        <v>0</v>
      </c>
      <c r="Y40" s="31">
        <f t="shared" si="22"/>
        <v>0</v>
      </c>
      <c r="Z40" s="27" t="str">
        <f t="shared" si="23"/>
        <v>N/A</v>
      </c>
      <c r="AA40" s="3"/>
      <c r="AB40" s="32">
        <f>0/1000*-1</f>
        <v>0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3" t="s">
        <v>20</v>
      </c>
      <c r="C41" s="19"/>
      <c r="D41" s="30">
        <f>61.11/1000*-1</f>
        <v>-6.1109999999999998E-2</v>
      </c>
      <c r="E41" s="31">
        <f>76.49/1000*-1</f>
        <v>-7.6489999999999989E-2</v>
      </c>
      <c r="F41" s="31">
        <f t="shared" si="12"/>
        <v>1.5379999999999991E-2</v>
      </c>
      <c r="G41" s="26">
        <f t="shared" si="13"/>
        <v>-0.20107203556020387</v>
      </c>
      <c r="H41" s="31">
        <f>-49081.29217/1000*-1</f>
        <v>49.081292169999998</v>
      </c>
      <c r="I41" s="31">
        <f t="shared" si="14"/>
        <v>-49.142402169999997</v>
      </c>
      <c r="J41" s="27">
        <f t="shared" si="15"/>
        <v>-1.0012450772442651</v>
      </c>
      <c r="K41" s="3"/>
      <c r="L41" s="30">
        <f>292.06/1000*-1</f>
        <v>-0.29205999999999999</v>
      </c>
      <c r="M41" s="31">
        <f>11717.19/1000*-1</f>
        <v>-11.71719</v>
      </c>
      <c r="N41" s="31">
        <f t="shared" si="16"/>
        <v>11.425130000000001</v>
      </c>
      <c r="O41" s="26">
        <f t="shared" si="17"/>
        <v>-0.97507422854797099</v>
      </c>
      <c r="P41" s="31">
        <f>-49304.59217/1000*-1</f>
        <v>49.304592170000006</v>
      </c>
      <c r="Q41" s="31">
        <f t="shared" si="18"/>
        <v>-49.596652170000006</v>
      </c>
      <c r="R41" s="27">
        <f t="shared" si="19"/>
        <v>-1.0059235861640026</v>
      </c>
      <c r="S41" s="3"/>
      <c r="T41" s="30">
        <f>556.02/1000*-1</f>
        <v>-0.55601999999999996</v>
      </c>
      <c r="U41" s="31">
        <f>9931.56/1000*-1</f>
        <v>-9.9315599999999993</v>
      </c>
      <c r="V41" s="31">
        <f t="shared" si="20"/>
        <v>9.3755399999999991</v>
      </c>
      <c r="W41" s="26">
        <f t="shared" si="21"/>
        <v>-0.94401483754817972</v>
      </c>
      <c r="X41" s="31">
        <f>-49040.63217/1000*-1</f>
        <v>49.040632169999995</v>
      </c>
      <c r="Y41" s="31">
        <f t="shared" si="22"/>
        <v>-49.596652169999992</v>
      </c>
      <c r="Z41" s="27">
        <f t="shared" si="23"/>
        <v>-1.0113379451976179</v>
      </c>
      <c r="AA41" s="3"/>
      <c r="AB41" s="32">
        <f>-291877.08238/1000*-1</f>
        <v>291.87708237999999</v>
      </c>
      <c r="AC41" s="1"/>
      <c r="AD41" s="1"/>
      <c r="AE41" s="1"/>
      <c r="AF41" s="1"/>
      <c r="AG41" s="1"/>
      <c r="AH41" s="1"/>
      <c r="AI41" s="1"/>
    </row>
    <row r="42" spans="1:35" ht="14.25" collapsed="1" x14ac:dyDescent="0.2">
      <c r="A42" s="1"/>
      <c r="B42" s="19" t="s">
        <v>21</v>
      </c>
      <c r="C42" s="19"/>
      <c r="D42" s="30">
        <f>SUM(D43:D44)</f>
        <v>250.25001</v>
      </c>
      <c r="E42" s="31">
        <f>SUM(E43:E44)</f>
        <v>70.355379999999997</v>
      </c>
      <c r="F42" s="31">
        <f t="shared" si="12"/>
        <v>179.89463000000001</v>
      </c>
      <c r="G42" s="26">
        <f t="shared" si="13"/>
        <v>2.5569420561725344</v>
      </c>
      <c r="H42" s="31">
        <f>SUM(H43:H44)</f>
        <v>19.172098085000002</v>
      </c>
      <c r="I42" s="31">
        <f t="shared" si="14"/>
        <v>231.07791191500002</v>
      </c>
      <c r="J42" s="27" t="str">
        <f t="shared" si="15"/>
        <v>N/A</v>
      </c>
      <c r="K42" s="3"/>
      <c r="L42" s="30">
        <f>SUM(L43:L44)</f>
        <v>405.40556000000004</v>
      </c>
      <c r="M42" s="31">
        <f>SUM(M43:M44)</f>
        <v>404.63884000000002</v>
      </c>
      <c r="N42" s="31">
        <f t="shared" si="16"/>
        <v>0.76672000000002072</v>
      </c>
      <c r="O42" s="26">
        <f t="shared" si="17"/>
        <v>1.8948255189739588E-3</v>
      </c>
      <c r="P42" s="31">
        <f>SUM(P43:P44)</f>
        <v>70.822820359999994</v>
      </c>
      <c r="Q42" s="31">
        <f t="shared" si="18"/>
        <v>334.58273964000006</v>
      </c>
      <c r="R42" s="27">
        <f t="shared" si="19"/>
        <v>4.7242221919330536</v>
      </c>
      <c r="S42" s="3"/>
      <c r="T42" s="30">
        <f>SUM(T43:T44)</f>
        <v>800.85548000000006</v>
      </c>
      <c r="U42" s="31">
        <f>SUM(U43:U44)</f>
        <v>970.01681000000008</v>
      </c>
      <c r="V42" s="31">
        <f t="shared" si="20"/>
        <v>-169.16133000000002</v>
      </c>
      <c r="W42" s="26">
        <f t="shared" si="21"/>
        <v>-0.17439010154885873</v>
      </c>
      <c r="X42" s="31">
        <f>SUM(X43:X44)</f>
        <v>466.27274036000006</v>
      </c>
      <c r="Y42" s="31">
        <f t="shared" si="22"/>
        <v>334.58273964</v>
      </c>
      <c r="Z42" s="27">
        <f t="shared" si="23"/>
        <v>0.71756873323041626</v>
      </c>
      <c r="AA42" s="3"/>
      <c r="AB42" s="32">
        <f>SUM(AB43:AB44)</f>
        <v>2237.9995177660003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3" t="s">
        <v>22</v>
      </c>
      <c r="C43" s="19"/>
      <c r="D43" s="30">
        <f>-240410.92/1000*-1</f>
        <v>240.41092</v>
      </c>
      <c r="E43" s="31">
        <f>-69516.53/1000*-1</f>
        <v>69.516530000000003</v>
      </c>
      <c r="F43" s="31">
        <f t="shared" si="12"/>
        <v>170.89438999999999</v>
      </c>
      <c r="G43" s="26">
        <f t="shared" si="13"/>
        <v>2.4583273934990713</v>
      </c>
      <c r="H43" s="31">
        <f>-19172.098085/1000*-1</f>
        <v>19.172098085000002</v>
      </c>
      <c r="I43" s="31">
        <f t="shared" si="14"/>
        <v>221.23882191500002</v>
      </c>
      <c r="J43" s="27" t="str">
        <f t="shared" si="15"/>
        <v>N/A</v>
      </c>
      <c r="K43" s="3"/>
      <c r="L43" s="30">
        <f>-363152.69/1000*-1</f>
        <v>363.15269000000001</v>
      </c>
      <c r="M43" s="31">
        <f>-226724.02/1000*-1</f>
        <v>226.72402</v>
      </c>
      <c r="N43" s="31">
        <f t="shared" si="16"/>
        <v>136.42867000000001</v>
      </c>
      <c r="O43" s="26">
        <f t="shared" si="17"/>
        <v>0.60173893352808416</v>
      </c>
      <c r="P43" s="31">
        <f>-38409.04036/1000*-1</f>
        <v>38.409040359999999</v>
      </c>
      <c r="Q43" s="31">
        <f t="shared" si="18"/>
        <v>324.74364964</v>
      </c>
      <c r="R43" s="27" t="str">
        <f t="shared" si="19"/>
        <v>N/A</v>
      </c>
      <c r="S43" s="3"/>
      <c r="T43" s="30">
        <f>-757970.92/1000*-1</f>
        <v>757.97092000000009</v>
      </c>
      <c r="U43" s="31">
        <f>-473209.33/1000*-1</f>
        <v>473.20933000000002</v>
      </c>
      <c r="V43" s="31">
        <f t="shared" si="20"/>
        <v>284.76159000000007</v>
      </c>
      <c r="W43" s="26">
        <f t="shared" si="21"/>
        <v>0.60176664310486028</v>
      </c>
      <c r="X43" s="31">
        <f>-433227.27036/1000*-1</f>
        <v>433.22727036000003</v>
      </c>
      <c r="Y43" s="31">
        <f t="shared" si="22"/>
        <v>324.74364964000006</v>
      </c>
      <c r="Z43" s="27">
        <f t="shared" si="23"/>
        <v>0.74959189288833772</v>
      </c>
      <c r="AA43" s="3"/>
      <c r="AB43" s="32">
        <f>-2204954.047766/1000*-1</f>
        <v>2204.9540477660003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3">
        <v>420040</v>
      </c>
      <c r="C44" s="19"/>
      <c r="D44" s="30">
        <f>-9839.09/1000*-1</f>
        <v>9.8390900000000006</v>
      </c>
      <c r="E44" s="31">
        <f>-838.85/1000*-1</f>
        <v>0.83884999999999998</v>
      </c>
      <c r="F44" s="31">
        <f t="shared" si="12"/>
        <v>9.0002399999999998</v>
      </c>
      <c r="G44" s="26" t="str">
        <f t="shared" si="13"/>
        <v>N/A</v>
      </c>
      <c r="H44" s="31">
        <f>0/1000*-1</f>
        <v>0</v>
      </c>
      <c r="I44" s="31">
        <f t="shared" si="14"/>
        <v>9.8390900000000006</v>
      </c>
      <c r="J44" s="27" t="str">
        <f t="shared" si="15"/>
        <v>N/A</v>
      </c>
      <c r="K44" s="3"/>
      <c r="L44" s="30">
        <f>-42252.87/1000*-1</f>
        <v>42.252870000000001</v>
      </c>
      <c r="M44" s="31">
        <f>-177914.82/1000*-1</f>
        <v>177.91482000000002</v>
      </c>
      <c r="N44" s="31">
        <f t="shared" si="16"/>
        <v>-135.66195000000002</v>
      </c>
      <c r="O44" s="26">
        <f t="shared" si="17"/>
        <v>-0.76251067786258619</v>
      </c>
      <c r="P44" s="31">
        <f>-32413.78/1000*-1</f>
        <v>32.413779999999996</v>
      </c>
      <c r="Q44" s="31">
        <f t="shared" si="18"/>
        <v>9.8390900000000059</v>
      </c>
      <c r="R44" s="27">
        <f t="shared" si="19"/>
        <v>0.30354651632731533</v>
      </c>
      <c r="S44" s="3"/>
      <c r="T44" s="30">
        <f>-42884.56/1000*-1</f>
        <v>42.88456</v>
      </c>
      <c r="U44" s="31">
        <f>-496807.48/1000*-1</f>
        <v>496.80748</v>
      </c>
      <c r="V44" s="31">
        <f t="shared" si="20"/>
        <v>-453.92291999999998</v>
      </c>
      <c r="W44" s="26">
        <f t="shared" si="21"/>
        <v>-0.91367972156940946</v>
      </c>
      <c r="X44" s="31">
        <f>-33045.47/1000*-1</f>
        <v>33.045470000000002</v>
      </c>
      <c r="Y44" s="31">
        <f t="shared" si="22"/>
        <v>9.8390899999999988</v>
      </c>
      <c r="Z44" s="27">
        <f t="shared" si="23"/>
        <v>0.29774398729992335</v>
      </c>
      <c r="AA44" s="3"/>
      <c r="AB44" s="32">
        <f>-33045.47/1000*-1</f>
        <v>33.045470000000002</v>
      </c>
      <c r="AC44" s="1"/>
      <c r="AD44" s="1"/>
      <c r="AE44" s="1"/>
      <c r="AF44" s="1"/>
      <c r="AG44" s="1"/>
      <c r="AH44" s="1"/>
      <c r="AI44" s="1"/>
    </row>
    <row r="45" spans="1:35" ht="14.25" collapsed="1" x14ac:dyDescent="0.2">
      <c r="A45" s="1"/>
      <c r="B45" s="19" t="s">
        <v>24</v>
      </c>
      <c r="C45" s="19"/>
      <c r="D45" s="30">
        <v>0</v>
      </c>
      <c r="E45" s="31">
        <v>0</v>
      </c>
      <c r="F45" s="31">
        <f t="shared" si="12"/>
        <v>0</v>
      </c>
      <c r="G45" s="26" t="str">
        <f t="shared" si="13"/>
        <v>N/A</v>
      </c>
      <c r="H45" s="31">
        <v>0</v>
      </c>
      <c r="I45" s="31">
        <f t="shared" si="14"/>
        <v>0</v>
      </c>
      <c r="J45" s="27" t="str">
        <f t="shared" si="15"/>
        <v>N/A</v>
      </c>
      <c r="K45" s="3"/>
      <c r="L45" s="30">
        <v>0</v>
      </c>
      <c r="M45" s="31">
        <v>0</v>
      </c>
      <c r="N45" s="31">
        <f t="shared" si="16"/>
        <v>0</v>
      </c>
      <c r="O45" s="26" t="str">
        <f t="shared" si="17"/>
        <v>N/A</v>
      </c>
      <c r="P45" s="31">
        <v>0</v>
      </c>
      <c r="Q45" s="31">
        <f t="shared" si="18"/>
        <v>0</v>
      </c>
      <c r="R45" s="27" t="str">
        <f t="shared" si="19"/>
        <v>N/A</v>
      </c>
      <c r="S45" s="3"/>
      <c r="T45" s="30">
        <v>0</v>
      </c>
      <c r="U45" s="31">
        <v>0</v>
      </c>
      <c r="V45" s="31">
        <f t="shared" si="20"/>
        <v>0</v>
      </c>
      <c r="W45" s="26" t="str">
        <f t="shared" si="21"/>
        <v>N/A</v>
      </c>
      <c r="X45" s="31">
        <v>0</v>
      </c>
      <c r="Y45" s="31">
        <f t="shared" si="22"/>
        <v>0</v>
      </c>
      <c r="Z45" s="27" t="str">
        <f t="shared" si="23"/>
        <v>N/A</v>
      </c>
      <c r="AA45" s="3"/>
      <c r="AB45" s="32">
        <v>0</v>
      </c>
      <c r="AC45" s="1"/>
      <c r="AD45" s="1"/>
      <c r="AE45" s="1"/>
      <c r="AF45" s="1"/>
      <c r="AG45" s="1"/>
      <c r="AH45" s="1"/>
      <c r="AI45" s="1"/>
    </row>
    <row r="46" spans="1:35" ht="14.25" x14ac:dyDescent="0.2">
      <c r="A46" s="1"/>
      <c r="B46" s="19" t="s">
        <v>25</v>
      </c>
      <c r="C46" s="19"/>
      <c r="D46" s="30">
        <f>SUM(D47:D50)</f>
        <v>257.00891999999999</v>
      </c>
      <c r="E46" s="31">
        <f>SUM(E47:E50)</f>
        <v>254.46739000000002</v>
      </c>
      <c r="F46" s="31">
        <f t="shared" si="12"/>
        <v>2.5415299999999661</v>
      </c>
      <c r="G46" s="26">
        <f t="shared" si="13"/>
        <v>9.9876451752814611E-3</v>
      </c>
      <c r="H46" s="31">
        <f>SUM(H47:H50)</f>
        <v>117.70517637</v>
      </c>
      <c r="I46" s="31">
        <f t="shared" si="14"/>
        <v>139.30374362999999</v>
      </c>
      <c r="J46" s="27">
        <f t="shared" si="15"/>
        <v>1.183497174262804</v>
      </c>
      <c r="K46" s="3"/>
      <c r="L46" s="30">
        <f>SUM(L47:L50)</f>
        <v>867.67494999999997</v>
      </c>
      <c r="M46" s="31">
        <f>SUM(M47:M50)</f>
        <v>530.28447999999992</v>
      </c>
      <c r="N46" s="31">
        <f t="shared" si="16"/>
        <v>337.39047000000005</v>
      </c>
      <c r="O46" s="26">
        <f t="shared" si="17"/>
        <v>0.63624428533152644</v>
      </c>
      <c r="P46" s="31">
        <f>SUM(P47:P50)</f>
        <v>432.62561843899999</v>
      </c>
      <c r="Q46" s="31">
        <f t="shared" si="18"/>
        <v>435.04933156099997</v>
      </c>
      <c r="R46" s="27">
        <f t="shared" si="19"/>
        <v>1.0056023337932349</v>
      </c>
      <c r="S46" s="3"/>
      <c r="T46" s="30">
        <f>SUM(T47:T50)</f>
        <v>1643.4117700000002</v>
      </c>
      <c r="U46" s="31">
        <f>SUM(U47:U50)</f>
        <v>924.20557000000008</v>
      </c>
      <c r="V46" s="31">
        <f t="shared" si="20"/>
        <v>719.20620000000008</v>
      </c>
      <c r="W46" s="26">
        <f t="shared" si="21"/>
        <v>0.77818855820139676</v>
      </c>
      <c r="X46" s="31">
        <f>SUM(X47:X50)</f>
        <v>1208.362438439</v>
      </c>
      <c r="Y46" s="31">
        <f t="shared" si="22"/>
        <v>435.04933156100014</v>
      </c>
      <c r="Z46" s="27">
        <f t="shared" si="23"/>
        <v>0.36003215403071476</v>
      </c>
      <c r="AA46" s="3"/>
      <c r="AB46" s="32">
        <f>SUM(AB47:AB50)</f>
        <v>3565.3448481380001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3" t="s">
        <v>26</v>
      </c>
      <c r="C47" s="19"/>
      <c r="D47" s="30">
        <f>0/1000*-1</f>
        <v>0</v>
      </c>
      <c r="E47" s="31">
        <f>0/1000*-1</f>
        <v>0</v>
      </c>
      <c r="F47" s="31">
        <f t="shared" si="12"/>
        <v>0</v>
      </c>
      <c r="G47" s="26" t="str">
        <f t="shared" si="13"/>
        <v>N/A</v>
      </c>
      <c r="H47" s="31">
        <f>0/1000*-1</f>
        <v>0</v>
      </c>
      <c r="I47" s="31">
        <f t="shared" si="14"/>
        <v>0</v>
      </c>
      <c r="J47" s="27" t="str">
        <f t="shared" si="15"/>
        <v>N/A</v>
      </c>
      <c r="K47" s="3"/>
      <c r="L47" s="30">
        <f>0/1000*-1</f>
        <v>0</v>
      </c>
      <c r="M47" s="31">
        <f>0/1000*-1</f>
        <v>0</v>
      </c>
      <c r="N47" s="31">
        <f t="shared" si="16"/>
        <v>0</v>
      </c>
      <c r="O47" s="26" t="str">
        <f t="shared" si="17"/>
        <v>N/A</v>
      </c>
      <c r="P47" s="31">
        <f>0/1000*-1</f>
        <v>0</v>
      </c>
      <c r="Q47" s="31">
        <f t="shared" si="18"/>
        <v>0</v>
      </c>
      <c r="R47" s="27" t="str">
        <f t="shared" si="19"/>
        <v>N/A</v>
      </c>
      <c r="S47" s="3"/>
      <c r="T47" s="30">
        <f>0/1000*-1</f>
        <v>0</v>
      </c>
      <c r="U47" s="31">
        <f>0/1000*-1</f>
        <v>0</v>
      </c>
      <c r="V47" s="31">
        <f t="shared" si="20"/>
        <v>0</v>
      </c>
      <c r="W47" s="26" t="str">
        <f t="shared" si="21"/>
        <v>N/A</v>
      </c>
      <c r="X47" s="31">
        <f>0/1000*-1</f>
        <v>0</v>
      </c>
      <c r="Y47" s="31">
        <f t="shared" si="22"/>
        <v>0</v>
      </c>
      <c r="Z47" s="27" t="str">
        <f t="shared" si="23"/>
        <v>N/A</v>
      </c>
      <c r="AA47" s="3"/>
      <c r="AB47" s="32">
        <f>0/1000*-1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3" t="s">
        <v>27</v>
      </c>
      <c r="C48" s="19"/>
      <c r="D48" s="30">
        <f>8958.37/1000*-1</f>
        <v>-8.9583700000000004</v>
      </c>
      <c r="E48" s="31">
        <f>-80449.1/1000*-1</f>
        <v>80.449100000000001</v>
      </c>
      <c r="F48" s="31">
        <f t="shared" si="12"/>
        <v>-89.407470000000004</v>
      </c>
      <c r="G48" s="26">
        <f t="shared" si="13"/>
        <v>-1.1113545086271941</v>
      </c>
      <c r="H48" s="31">
        <f>0/1000*-1</f>
        <v>0</v>
      </c>
      <c r="I48" s="31">
        <f t="shared" si="14"/>
        <v>-8.9583700000000004</v>
      </c>
      <c r="J48" s="27" t="str">
        <f t="shared" si="15"/>
        <v>N/A</v>
      </c>
      <c r="K48" s="3"/>
      <c r="L48" s="30">
        <f>-27611.37/1000*-1</f>
        <v>27.611369999999997</v>
      </c>
      <c r="M48" s="31">
        <f>-130150.69/1000*-1</f>
        <v>130.15069</v>
      </c>
      <c r="N48" s="31">
        <f t="shared" si="16"/>
        <v>-102.53932</v>
      </c>
      <c r="O48" s="26">
        <f t="shared" si="17"/>
        <v>-0.78785075976162711</v>
      </c>
      <c r="P48" s="31">
        <f>-3182.11/1000*-1</f>
        <v>3.1821100000000002</v>
      </c>
      <c r="Q48" s="31">
        <f t="shared" si="18"/>
        <v>24.429259999999996</v>
      </c>
      <c r="R48" s="27" t="str">
        <f t="shared" si="19"/>
        <v>N/A</v>
      </c>
      <c r="S48" s="3"/>
      <c r="T48" s="30">
        <f>-56591.03/1000*-1</f>
        <v>56.591029999999996</v>
      </c>
      <c r="U48" s="31">
        <f>-185007.08/1000*-1</f>
        <v>185.00707999999997</v>
      </c>
      <c r="V48" s="31">
        <f t="shared" si="20"/>
        <v>-128.41604999999998</v>
      </c>
      <c r="W48" s="26">
        <f t="shared" si="21"/>
        <v>-0.69411424687098466</v>
      </c>
      <c r="X48" s="31">
        <f>-32161.77/1000*-1</f>
        <v>32.161769999999997</v>
      </c>
      <c r="Y48" s="31">
        <f t="shared" si="22"/>
        <v>24.429259999999999</v>
      </c>
      <c r="Z48" s="27">
        <f t="shared" si="23"/>
        <v>0.75957448859313403</v>
      </c>
      <c r="AA48" s="3"/>
      <c r="AB48" s="32">
        <f>-32161.77/1000*-1</f>
        <v>32.161769999999997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3" t="s">
        <v>28</v>
      </c>
      <c r="C49" s="19"/>
      <c r="D49" s="30">
        <f>-213573.43/1000*-1</f>
        <v>213.57343</v>
      </c>
      <c r="E49" s="31">
        <f>-42530.88/1000*-1</f>
        <v>42.530879999999996</v>
      </c>
      <c r="F49" s="31">
        <f t="shared" si="12"/>
        <v>171.04255000000001</v>
      </c>
      <c r="G49" s="26">
        <f t="shared" si="13"/>
        <v>4.0216085347869601</v>
      </c>
      <c r="H49" s="31">
        <f>-107855.25569/1000*-1</f>
        <v>107.85525569000001</v>
      </c>
      <c r="I49" s="31">
        <f t="shared" si="14"/>
        <v>105.71817430999999</v>
      </c>
      <c r="J49" s="27">
        <f t="shared" si="15"/>
        <v>0.98018565376042077</v>
      </c>
      <c r="K49" s="3"/>
      <c r="L49" s="30">
        <f>-572236.19/1000*-1</f>
        <v>572.23618999999997</v>
      </c>
      <c r="M49" s="31">
        <f>-42530.88/1000*-1</f>
        <v>42.530879999999996</v>
      </c>
      <c r="N49" s="31">
        <f t="shared" si="16"/>
        <v>529.70530999999994</v>
      </c>
      <c r="O49" s="26" t="str">
        <f t="shared" si="17"/>
        <v>N/A</v>
      </c>
      <c r="P49" s="31">
        <f>-317760.42756/1000*-1</f>
        <v>317.76042755999998</v>
      </c>
      <c r="Q49" s="31">
        <f t="shared" si="18"/>
        <v>254.47576243999998</v>
      </c>
      <c r="R49" s="27">
        <f t="shared" si="19"/>
        <v>0.80084157865110339</v>
      </c>
      <c r="S49" s="3"/>
      <c r="T49" s="30">
        <f>-1061344.37/1000*-1</f>
        <v>1061.34437</v>
      </c>
      <c r="U49" s="31">
        <f>-64242.2/1000*-1</f>
        <v>64.242199999999997</v>
      </c>
      <c r="V49" s="31">
        <f t="shared" si="20"/>
        <v>997.10217</v>
      </c>
      <c r="W49" s="26" t="str">
        <f t="shared" si="21"/>
        <v>N/A</v>
      </c>
      <c r="X49" s="31">
        <f>-806868.60756/1000*-1</f>
        <v>806.86860755999999</v>
      </c>
      <c r="Y49" s="31">
        <f t="shared" si="22"/>
        <v>254.47576244000004</v>
      </c>
      <c r="Z49" s="27">
        <f t="shared" si="23"/>
        <v>0.31538686727389731</v>
      </c>
      <c r="AA49" s="3"/>
      <c r="AB49" s="32">
        <f>-2547900.60833/1000*-1</f>
        <v>2547.9006083300001</v>
      </c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3" t="s">
        <v>29</v>
      </c>
      <c r="C50" s="19"/>
      <c r="D50" s="30">
        <f>SUM(D51:D52)</f>
        <v>52.393860000000004</v>
      </c>
      <c r="E50" s="31">
        <f>SUM(E51:E52)</f>
        <v>131.48741000000001</v>
      </c>
      <c r="F50" s="31">
        <f t="shared" si="12"/>
        <v>-79.093550000000008</v>
      </c>
      <c r="G50" s="26">
        <f t="shared" si="13"/>
        <v>-0.60152945441696659</v>
      </c>
      <c r="H50" s="31">
        <f>SUM(H51:H52)</f>
        <v>9.8499206799999985</v>
      </c>
      <c r="I50" s="31">
        <f t="shared" si="14"/>
        <v>42.543939320000007</v>
      </c>
      <c r="J50" s="27">
        <f t="shared" si="15"/>
        <v>4.3192164386038501</v>
      </c>
      <c r="K50" s="3"/>
      <c r="L50" s="30">
        <f>SUM(L51:L52)</f>
        <v>267.82739000000004</v>
      </c>
      <c r="M50" s="31">
        <f>SUM(M51:M52)</f>
        <v>357.60290999999995</v>
      </c>
      <c r="N50" s="31">
        <f t="shared" si="16"/>
        <v>-89.775519999999915</v>
      </c>
      <c r="O50" s="26">
        <f t="shared" si="17"/>
        <v>-0.25104806893210102</v>
      </c>
      <c r="P50" s="31">
        <f>SUM(P51:P52)</f>
        <v>111.683080879</v>
      </c>
      <c r="Q50" s="31">
        <f t="shared" si="18"/>
        <v>156.14430912100005</v>
      </c>
      <c r="R50" s="27">
        <f t="shared" si="19"/>
        <v>1.3981017347665252</v>
      </c>
      <c r="S50" s="3"/>
      <c r="T50" s="30">
        <f>SUM(T51:T52)</f>
        <v>525.47636999999997</v>
      </c>
      <c r="U50" s="31">
        <f>SUM(U51:U52)</f>
        <v>674.95629000000008</v>
      </c>
      <c r="V50" s="31">
        <f t="shared" si="20"/>
        <v>-149.47992000000011</v>
      </c>
      <c r="W50" s="26">
        <f t="shared" si="21"/>
        <v>-0.22146607449202391</v>
      </c>
      <c r="X50" s="31">
        <f>SUM(X51:X52)</f>
        <v>369.33206087899998</v>
      </c>
      <c r="Y50" s="31">
        <f t="shared" si="22"/>
        <v>156.14430912099999</v>
      </c>
      <c r="Z50" s="27">
        <f t="shared" si="23"/>
        <v>0.42277485672210774</v>
      </c>
      <c r="AA50" s="3"/>
      <c r="AB50" s="32">
        <f>SUM(AB51:AB52)</f>
        <v>985.28246980799997</v>
      </c>
      <c r="AC50" s="1"/>
      <c r="AD50" s="1"/>
      <c r="AE50" s="1"/>
      <c r="AF50" s="1"/>
      <c r="AG50" s="1"/>
      <c r="AH50" s="1"/>
      <c r="AI50" s="1"/>
    </row>
    <row r="51" spans="1:35" ht="14.25" hidden="1" outlineLevel="2" x14ac:dyDescent="0.2">
      <c r="A51" s="1"/>
      <c r="B51" s="34" t="s">
        <v>30</v>
      </c>
      <c r="C51" s="19"/>
      <c r="D51" s="30">
        <f>-52393.86/1000*-1</f>
        <v>52.393860000000004</v>
      </c>
      <c r="E51" s="31">
        <f>-131487.41/1000*-1</f>
        <v>131.48741000000001</v>
      </c>
      <c r="F51" s="31">
        <f t="shared" si="12"/>
        <v>-79.093550000000008</v>
      </c>
      <c r="G51" s="26">
        <f t="shared" si="13"/>
        <v>-0.60152945441696659</v>
      </c>
      <c r="H51" s="31">
        <f>-9849.92068/1000*-1</f>
        <v>9.8499206799999985</v>
      </c>
      <c r="I51" s="31">
        <f t="shared" si="14"/>
        <v>42.543939320000007</v>
      </c>
      <c r="J51" s="27">
        <f t="shared" si="15"/>
        <v>4.3192164386038501</v>
      </c>
      <c r="K51" s="3"/>
      <c r="L51" s="30">
        <f>-267827.39/1000*-1</f>
        <v>267.82739000000004</v>
      </c>
      <c r="M51" s="31">
        <f>-357602.91/1000*-1</f>
        <v>357.60290999999995</v>
      </c>
      <c r="N51" s="31">
        <f t="shared" si="16"/>
        <v>-89.775519999999915</v>
      </c>
      <c r="O51" s="26">
        <f t="shared" si="17"/>
        <v>-0.25104806893210102</v>
      </c>
      <c r="P51" s="31">
        <f>-111683.080879/1000*-1</f>
        <v>111.683080879</v>
      </c>
      <c r="Q51" s="31">
        <f t="shared" si="18"/>
        <v>156.14430912100005</v>
      </c>
      <c r="R51" s="27">
        <f t="shared" si="19"/>
        <v>1.3981017347665252</v>
      </c>
      <c r="S51" s="3"/>
      <c r="T51" s="30">
        <f>-525476.37/1000*-1</f>
        <v>525.47636999999997</v>
      </c>
      <c r="U51" s="31">
        <f>-674956.29/1000*-1</f>
        <v>674.95629000000008</v>
      </c>
      <c r="V51" s="31">
        <f t="shared" si="20"/>
        <v>-149.47992000000011</v>
      </c>
      <c r="W51" s="26">
        <f t="shared" si="21"/>
        <v>-0.22146607449202391</v>
      </c>
      <c r="X51" s="31">
        <f>-369332.060879/1000*-1</f>
        <v>369.33206087899998</v>
      </c>
      <c r="Y51" s="31">
        <f t="shared" si="22"/>
        <v>156.14430912099999</v>
      </c>
      <c r="Z51" s="27">
        <f t="shared" si="23"/>
        <v>0.42277485672210774</v>
      </c>
      <c r="AA51" s="3"/>
      <c r="AB51" s="32">
        <f>-985282.469808/1000*-1</f>
        <v>985.28246980799997</v>
      </c>
      <c r="AC51" s="1"/>
      <c r="AD51" s="1"/>
      <c r="AE51" s="1"/>
      <c r="AF51" s="1"/>
      <c r="AG51" s="1"/>
      <c r="AH51" s="1"/>
      <c r="AI51" s="1"/>
    </row>
    <row r="52" spans="1:35" s="35" customFormat="1" ht="14.25" hidden="1" outlineLevel="2" x14ac:dyDescent="0.2">
      <c r="B52" s="34" t="s">
        <v>31</v>
      </c>
      <c r="C52" s="19"/>
      <c r="D52" s="30">
        <f>0/1000*-1</f>
        <v>0</v>
      </c>
      <c r="E52" s="31">
        <f>0/1000*-1</f>
        <v>0</v>
      </c>
      <c r="F52" s="31">
        <f t="shared" si="12"/>
        <v>0</v>
      </c>
      <c r="G52" s="26" t="str">
        <f t="shared" si="13"/>
        <v>N/A</v>
      </c>
      <c r="H52" s="31">
        <f>0/1000*-1</f>
        <v>0</v>
      </c>
      <c r="I52" s="31">
        <f t="shared" si="14"/>
        <v>0</v>
      </c>
      <c r="J52" s="27" t="str">
        <f t="shared" si="15"/>
        <v>N/A</v>
      </c>
      <c r="K52" s="19"/>
      <c r="L52" s="30">
        <f>0/1000*-1</f>
        <v>0</v>
      </c>
      <c r="M52" s="31">
        <f>0/1000*-1</f>
        <v>0</v>
      </c>
      <c r="N52" s="31">
        <f t="shared" si="16"/>
        <v>0</v>
      </c>
      <c r="O52" s="26" t="str">
        <f t="shared" si="17"/>
        <v>N/A</v>
      </c>
      <c r="P52" s="31">
        <f>0/1000*-1</f>
        <v>0</v>
      </c>
      <c r="Q52" s="31">
        <f t="shared" si="18"/>
        <v>0</v>
      </c>
      <c r="R52" s="27" t="str">
        <f t="shared" si="19"/>
        <v>N/A</v>
      </c>
      <c r="S52" s="19"/>
      <c r="T52" s="30">
        <f>0/1000*-1</f>
        <v>0</v>
      </c>
      <c r="U52" s="31">
        <f>0/1000*-1</f>
        <v>0</v>
      </c>
      <c r="V52" s="31">
        <f t="shared" si="20"/>
        <v>0</v>
      </c>
      <c r="W52" s="26" t="str">
        <f t="shared" si="21"/>
        <v>N/A</v>
      </c>
      <c r="X52" s="31">
        <f>0/1000*-1</f>
        <v>0</v>
      </c>
      <c r="Y52" s="31">
        <f t="shared" si="22"/>
        <v>0</v>
      </c>
      <c r="Z52" s="27" t="str">
        <f t="shared" si="23"/>
        <v>N/A</v>
      </c>
      <c r="AA52" s="19"/>
      <c r="AB52" s="32">
        <f>0/1000*-1</f>
        <v>0</v>
      </c>
    </row>
    <row r="53" spans="1:35" s="35" customFormat="1" ht="5.0999999999999996" hidden="1" customHeight="1" outlineLevel="1" x14ac:dyDescent="0.2">
      <c r="B53" s="34"/>
      <c r="C53" s="19"/>
      <c r="D53" s="36"/>
      <c r="E53" s="37"/>
      <c r="F53" s="37"/>
      <c r="G53" s="38"/>
      <c r="H53" s="37"/>
      <c r="I53" s="37"/>
      <c r="J53" s="39"/>
      <c r="K53" s="19"/>
      <c r="L53" s="36"/>
      <c r="M53" s="37"/>
      <c r="N53" s="37"/>
      <c r="O53" s="38"/>
      <c r="P53" s="37"/>
      <c r="Q53" s="37"/>
      <c r="R53" s="39"/>
      <c r="S53" s="19"/>
      <c r="T53" s="36"/>
      <c r="U53" s="37"/>
      <c r="V53" s="37"/>
      <c r="W53" s="38"/>
      <c r="X53" s="37"/>
      <c r="Y53" s="37"/>
      <c r="Z53" s="39"/>
      <c r="AA53" s="19"/>
      <c r="AB53" s="40"/>
    </row>
    <row r="54" spans="1:35" ht="14.25" collapsed="1" x14ac:dyDescent="0.2">
      <c r="A54" s="1"/>
      <c r="B54" s="19" t="s">
        <v>32</v>
      </c>
      <c r="C54" s="19"/>
      <c r="D54" s="30">
        <f>SUM(D37:D39,D42,D45:D46)</f>
        <v>1424.2739200000001</v>
      </c>
      <c r="E54" s="31">
        <f>SUM(E37:E39,E42,E45:E46)</f>
        <v>1754.6776199999999</v>
      </c>
      <c r="F54" s="31">
        <f>D54-E54</f>
        <v>-330.40369999999984</v>
      </c>
      <c r="G54" s="26">
        <f>IF(ISERROR(F54/E54),"N/A",IF(ABS(F54/E54)&gt;5,"N/A",F54/E54))</f>
        <v>-0.18829880556634662</v>
      </c>
      <c r="H54" s="31">
        <f>SUM(H37:H39,H42,H45:H46)</f>
        <v>1465.157354334</v>
      </c>
      <c r="I54" s="31">
        <f>D54-H54</f>
        <v>-40.883434333999958</v>
      </c>
      <c r="J54" s="27">
        <f>IF(ISERROR(I54/H54),"N/A",IF(ABS(I54/H54)&gt;5,"N/A",I54/H54))</f>
        <v>-2.7903783994985217E-2</v>
      </c>
      <c r="K54" s="3"/>
      <c r="L54" s="30">
        <f>SUM(L37:L39,L42,L45:L46)</f>
        <v>3698.5922</v>
      </c>
      <c r="M54" s="31">
        <f>SUM(M37:M39,M42,M45:M46)</f>
        <v>4381.7721000000001</v>
      </c>
      <c r="N54" s="31">
        <f>L54-M54</f>
        <v>-683.17990000000009</v>
      </c>
      <c r="O54" s="26">
        <f>IF(ISERROR(N54/M54),"N/A",IF(ABS(N54/M54)&gt;5,"N/A",N54/M54))</f>
        <v>-0.1559140649966711</v>
      </c>
      <c r="P54" s="31">
        <f>SUM(P37:P39,P42,P45:P46)</f>
        <v>4003.0374233909997</v>
      </c>
      <c r="Q54" s="31">
        <f>L54-P54</f>
        <v>-304.44522339099967</v>
      </c>
      <c r="R54" s="27">
        <f>IF(ISERROR(Q54/P54),"N/A",IF(ABS(Q54/P54)&gt;5,"N/A",Q54/P54))</f>
        <v>-7.605355413667407E-2</v>
      </c>
      <c r="S54" s="3"/>
      <c r="T54" s="30">
        <f>SUM(T37:T39,T42,T45:T46)</f>
        <v>8000.3875900000003</v>
      </c>
      <c r="U54" s="31">
        <f>SUM(U37:U39,U42,U45:U46)</f>
        <v>8385.1837100000012</v>
      </c>
      <c r="V54" s="31">
        <f>T54-U54</f>
        <v>-384.79612000000088</v>
      </c>
      <c r="W54" s="26">
        <f>IF(ISERROR(V54/U54),"N/A",IF(ABS(V54/U54)&gt;5,"N/A",V54/U54))</f>
        <v>-4.5890004716426284E-2</v>
      </c>
      <c r="X54" s="31">
        <f>SUM(X37:X39,X42,X45:X46)</f>
        <v>8304.8328133909999</v>
      </c>
      <c r="Y54" s="31">
        <f>T54-X54</f>
        <v>-304.44522339099967</v>
      </c>
      <c r="Z54" s="27">
        <f>IF(ISERROR(Y54/X54),"N/A",IF(ABS(Y54/X54)&gt;5,"N/A",Y54/X54))</f>
        <v>-3.6658802197691645E-2</v>
      </c>
      <c r="AA54" s="3"/>
      <c r="AB54" s="32">
        <f>SUM(AB37:AB39,AB42,AB45:AB46)</f>
        <v>25540.957718344001</v>
      </c>
      <c r="AC54" s="1"/>
      <c r="AD54" s="1"/>
      <c r="AE54" s="1"/>
      <c r="AF54" s="1"/>
      <c r="AG54" s="1"/>
      <c r="AH54" s="1"/>
      <c r="AI54" s="1"/>
    </row>
    <row r="55" spans="1:35" ht="14.25" x14ac:dyDescent="0.2">
      <c r="A55" s="1"/>
      <c r="B55" s="34"/>
      <c r="C55" s="19"/>
      <c r="D55" s="30"/>
      <c r="E55" s="31"/>
      <c r="F55" s="31"/>
      <c r="G55" s="26"/>
      <c r="H55" s="31"/>
      <c r="I55" s="31"/>
      <c r="J55" s="27"/>
      <c r="K55" s="3"/>
      <c r="L55" s="30"/>
      <c r="M55" s="31"/>
      <c r="N55" s="31"/>
      <c r="O55" s="26"/>
      <c r="P55" s="31"/>
      <c r="Q55" s="31"/>
      <c r="R55" s="27"/>
      <c r="S55" s="3"/>
      <c r="T55" s="30"/>
      <c r="U55" s="31"/>
      <c r="V55" s="31"/>
      <c r="W55" s="26"/>
      <c r="X55" s="31"/>
      <c r="Y55" s="31"/>
      <c r="Z55" s="27"/>
      <c r="AA55" s="3"/>
      <c r="AB55" s="32"/>
      <c r="AC55" s="1"/>
      <c r="AD55" s="1"/>
      <c r="AE55" s="1"/>
      <c r="AF55" s="1"/>
      <c r="AG55" s="1"/>
      <c r="AH55" s="1"/>
      <c r="AI55" s="1"/>
    </row>
    <row r="56" spans="1:35" ht="14.25" x14ac:dyDescent="0.2">
      <c r="A56" s="1"/>
      <c r="B56" s="29" t="s">
        <v>33</v>
      </c>
      <c r="C56" s="19"/>
      <c r="D56" s="30">
        <f>-340501.97/1000*-1</f>
        <v>340.50196999999997</v>
      </c>
      <c r="E56" s="31">
        <f>-1366738.39/1000*-1</f>
        <v>1366.73839</v>
      </c>
      <c r="F56" s="31">
        <f>D56-E56</f>
        <v>-1026.23642</v>
      </c>
      <c r="G56" s="26">
        <f>IF(ISERROR(F56/E56),"N/A",IF(ABS(F56/E56)&gt;5,"N/A",F56/E56))</f>
        <v>-0.75086529178418704</v>
      </c>
      <c r="H56" s="31">
        <f>-1028760.24528/1000*-1</f>
        <v>1028.7602452799999</v>
      </c>
      <c r="I56" s="31">
        <f>D56-H56</f>
        <v>-688.25827527999991</v>
      </c>
      <c r="J56" s="27">
        <f>IF(ISERROR(I56/H56),"N/A",IF(ABS(I56/H56)&gt;5,"N/A",I56/H56))</f>
        <v>-0.66901717716811182</v>
      </c>
      <c r="K56" s="3"/>
      <c r="L56" s="30">
        <f>-1301689.83/1000*-1</f>
        <v>1301.68983</v>
      </c>
      <c r="M56" s="31">
        <f>-2350522.27/1000*-1</f>
        <v>2350.5222699999999</v>
      </c>
      <c r="N56" s="31">
        <f>L56-M56</f>
        <v>-1048.8324399999999</v>
      </c>
      <c r="O56" s="26">
        <f>IF(ISERROR(N56/M56),"N/A",IF(ABS(N56/M56)&gt;5,"N/A",N56/M56))</f>
        <v>-0.44621250918843663</v>
      </c>
      <c r="P56" s="31">
        <f>-2651474.02366/1000*-1</f>
        <v>2651.4740236600001</v>
      </c>
      <c r="Q56" s="31">
        <f>L56-P56</f>
        <v>-1349.78419366</v>
      </c>
      <c r="R56" s="27">
        <f>IF(ISERROR(Q56/P56),"N/A",IF(ABS(Q56/P56)&gt;5,"N/A",Q56/P56))</f>
        <v>-0.50906936353719434</v>
      </c>
      <c r="S56" s="3"/>
      <c r="T56" s="30">
        <f>-3080009.94/1000*-1</f>
        <v>3080.0099399999999</v>
      </c>
      <c r="U56" s="31">
        <f>-3570518.77/1000*-1</f>
        <v>3570.5187700000001</v>
      </c>
      <c r="V56" s="31">
        <f>T56-U56</f>
        <v>-490.50883000000022</v>
      </c>
      <c r="W56" s="26">
        <f>IF(ISERROR(V56/U56),"N/A",IF(ABS(V56/U56)&gt;5,"N/A",V56/U56))</f>
        <v>-0.13737746854079699</v>
      </c>
      <c r="X56" s="31">
        <f>-4429794.13366/1000*-1</f>
        <v>4429.7941336599997</v>
      </c>
      <c r="Y56" s="31">
        <f>T56-X56</f>
        <v>-1349.7841936599998</v>
      </c>
      <c r="Z56" s="27">
        <f>IF(ISERROR(Y56/X56),"N/A",IF(ABS(Y56/X56)&gt;5,"N/A",Y56/X56))</f>
        <v>-0.30470585154366453</v>
      </c>
      <c r="AA56" s="3"/>
      <c r="AB56" s="32">
        <f>-11444281.61567/1000*-1</f>
        <v>11444.281615669999</v>
      </c>
      <c r="AC56" s="1"/>
      <c r="AD56" s="1"/>
      <c r="AE56" s="1"/>
      <c r="AF56" s="1"/>
      <c r="AG56" s="1"/>
      <c r="AH56" s="1"/>
      <c r="AI56" s="1"/>
    </row>
    <row r="57" spans="1:35" ht="14.25" x14ac:dyDescent="0.2">
      <c r="A57" s="1"/>
      <c r="B57" s="34"/>
      <c r="C57" s="19"/>
      <c r="D57" s="30"/>
      <c r="E57" s="31"/>
      <c r="F57" s="31"/>
      <c r="G57" s="26"/>
      <c r="H57" s="31"/>
      <c r="I57" s="31"/>
      <c r="J57" s="27"/>
      <c r="K57" s="3"/>
      <c r="L57" s="30"/>
      <c r="M57" s="31"/>
      <c r="N57" s="31"/>
      <c r="O57" s="26"/>
      <c r="P57" s="31"/>
      <c r="Q57" s="31"/>
      <c r="R57" s="27"/>
      <c r="S57" s="3"/>
      <c r="T57" s="30"/>
      <c r="U57" s="31"/>
      <c r="V57" s="31"/>
      <c r="W57" s="26"/>
      <c r="X57" s="31"/>
      <c r="Y57" s="31"/>
      <c r="Z57" s="27"/>
      <c r="AA57" s="3"/>
      <c r="AB57" s="32"/>
      <c r="AC57" s="1"/>
      <c r="AD57" s="1"/>
      <c r="AE57" s="1"/>
      <c r="AF57" s="1"/>
      <c r="AG57" s="1"/>
      <c r="AH57" s="1"/>
      <c r="AI57" s="1"/>
    </row>
    <row r="58" spans="1:35" x14ac:dyDescent="0.25">
      <c r="A58" s="1"/>
      <c r="B58" s="2" t="s">
        <v>35</v>
      </c>
      <c r="C58" s="19"/>
      <c r="D58" s="30">
        <f>SUM(D54:D57)</f>
        <v>1764.7758900000001</v>
      </c>
      <c r="E58" s="31">
        <f>SUM(E54:E57)</f>
        <v>3121.4160099999999</v>
      </c>
      <c r="F58" s="31">
        <f>D58-E58</f>
        <v>-1356.6401199999998</v>
      </c>
      <c r="G58" s="26">
        <f>IF(ISERROR(F58/E58),"N/A",IF(ABS(F58/E58)&gt;5,"N/A",F58/E58))</f>
        <v>-0.43462329777695985</v>
      </c>
      <c r="H58" s="31">
        <f>SUM(H54:H57)</f>
        <v>2493.9175996140002</v>
      </c>
      <c r="I58" s="31">
        <f>D58-H58</f>
        <v>-729.14170961400009</v>
      </c>
      <c r="J58" s="27">
        <f>IF(ISERROR(I58/H58),"N/A",IF(ABS(I58/H58)&gt;5,"N/A",I58/H58))</f>
        <v>-0.29236800354865539</v>
      </c>
      <c r="K58" s="3"/>
      <c r="L58" s="30">
        <f>SUM(L54:L57)</f>
        <v>5000.2820300000003</v>
      </c>
      <c r="M58" s="31">
        <f>SUM(M54:M57)</f>
        <v>6732.2943699999996</v>
      </c>
      <c r="N58" s="31">
        <f>L58-M58</f>
        <v>-1732.0123399999993</v>
      </c>
      <c r="O58" s="26">
        <f>IF(ISERROR(N58/M58),"N/A",IF(ABS(N58/M58)&gt;5,"N/A",N58/M58))</f>
        <v>-0.25726925247328414</v>
      </c>
      <c r="P58" s="31">
        <f>SUM(P54:P57)</f>
        <v>6654.5114470509998</v>
      </c>
      <c r="Q58" s="31">
        <f>L58-P58</f>
        <v>-1654.2294170509995</v>
      </c>
      <c r="R58" s="27">
        <f>IF(ISERROR(Q58/P58),"N/A",IF(ABS(Q58/P58)&gt;5,"N/A",Q58/P58))</f>
        <v>-0.24858765819451473</v>
      </c>
      <c r="S58" s="3"/>
      <c r="T58" s="30">
        <f>SUM(T54:T57)</f>
        <v>11080.39753</v>
      </c>
      <c r="U58" s="31">
        <f>SUM(U54:U57)</f>
        <v>11955.702480000002</v>
      </c>
      <c r="V58" s="31">
        <f>T58-U58</f>
        <v>-875.30495000000155</v>
      </c>
      <c r="W58" s="26">
        <f>IF(ISERROR(V58/U58),"N/A",IF(ABS(V58/U58)&gt;5,"N/A",V58/U58))</f>
        <v>-7.3212339589768832E-2</v>
      </c>
      <c r="X58" s="31">
        <f>SUM(X54:X57)</f>
        <v>12734.626947051</v>
      </c>
      <c r="Y58" s="31">
        <f>T58-X58</f>
        <v>-1654.2294170509995</v>
      </c>
      <c r="Z58" s="27">
        <f>IF(ISERROR(Y58/X58),"N/A",IF(ABS(Y58/X58)&gt;5,"N/A",Y58/X58))</f>
        <v>-0.12990010810124869</v>
      </c>
      <c r="AA58" s="3"/>
      <c r="AB58" s="32">
        <f>SUM(AB54:AB57)</f>
        <v>36985.239334013997</v>
      </c>
      <c r="AC58" s="1"/>
      <c r="AD58" s="1"/>
      <c r="AE58" s="1"/>
      <c r="AF58" s="1"/>
      <c r="AG58" s="1"/>
      <c r="AH58" s="1"/>
      <c r="AI58" s="1"/>
    </row>
    <row r="59" spans="1:35" ht="14.25" x14ac:dyDescent="0.2">
      <c r="A59" s="1"/>
      <c r="B59" s="19"/>
      <c r="C59" s="19"/>
      <c r="D59" s="30"/>
      <c r="E59" s="31"/>
      <c r="F59" s="31"/>
      <c r="G59" s="26"/>
      <c r="H59" s="31"/>
      <c r="I59" s="31"/>
      <c r="J59" s="27"/>
      <c r="K59" s="3"/>
      <c r="L59" s="30"/>
      <c r="M59" s="31"/>
      <c r="N59" s="31"/>
      <c r="O59" s="26"/>
      <c r="P59" s="31"/>
      <c r="Q59" s="31"/>
      <c r="R59" s="27"/>
      <c r="S59" s="3"/>
      <c r="T59" s="30"/>
      <c r="U59" s="31"/>
      <c r="V59" s="31"/>
      <c r="W59" s="26"/>
      <c r="X59" s="31"/>
      <c r="Y59" s="31"/>
      <c r="Z59" s="27"/>
      <c r="AA59" s="3"/>
      <c r="AB59" s="42"/>
      <c r="AC59" s="1"/>
      <c r="AD59" s="1"/>
      <c r="AE59" s="1"/>
      <c r="AF59" s="1"/>
      <c r="AG59" s="1"/>
      <c r="AH59" s="1"/>
      <c r="AI59" s="1"/>
    </row>
    <row r="60" spans="1:35" s="35" customFormat="1" x14ac:dyDescent="0.25">
      <c r="B60" s="19"/>
      <c r="C60" s="19"/>
      <c r="D60" s="43"/>
      <c r="E60" s="44"/>
      <c r="F60" s="44"/>
      <c r="G60" s="45"/>
      <c r="H60" s="44"/>
      <c r="I60" s="44"/>
      <c r="J60" s="46"/>
      <c r="K60" s="19"/>
      <c r="L60" s="43"/>
      <c r="M60" s="44"/>
      <c r="N60" s="44"/>
      <c r="O60" s="45"/>
      <c r="P60" s="44"/>
      <c r="Q60" s="44"/>
      <c r="R60" s="46"/>
      <c r="S60" s="19"/>
      <c r="T60" s="43"/>
      <c r="U60" s="44"/>
      <c r="V60" s="44"/>
      <c r="W60" s="45"/>
      <c r="X60" s="44"/>
      <c r="Y60" s="44"/>
      <c r="Z60" s="46"/>
      <c r="AA60" s="19"/>
      <c r="AB60" s="47"/>
    </row>
    <row r="61" spans="1:35" ht="14.25" x14ac:dyDescent="0.2">
      <c r="A61" s="1"/>
      <c r="B61" s="19" t="s">
        <v>16</v>
      </c>
      <c r="C61" s="19"/>
      <c r="D61" s="30">
        <f>0/1000*-1</f>
        <v>0</v>
      </c>
      <c r="E61" s="31">
        <f>0/1000*-1</f>
        <v>0</v>
      </c>
      <c r="F61" s="31">
        <f t="shared" ref="F61:F76" si="24">D61-E61</f>
        <v>0</v>
      </c>
      <c r="G61" s="26" t="str">
        <f t="shared" ref="G61:G76" si="25">IF(ISERROR(F61/E61),"N/A",IF(ABS(F61/E61)&gt;5,"N/A",F61/E61))</f>
        <v>N/A</v>
      </c>
      <c r="H61" s="31">
        <f>0/1000*-1</f>
        <v>0</v>
      </c>
      <c r="I61" s="31">
        <f t="shared" ref="I61:I76" si="26">D61-H61</f>
        <v>0</v>
      </c>
      <c r="J61" s="27" t="str">
        <f t="shared" ref="J61:J76" si="27">IF(ISERROR(I61/H61),"N/A",IF(ABS(I61/H61)&gt;5,"N/A",I61/H61))</f>
        <v>N/A</v>
      </c>
      <c r="K61" s="3"/>
      <c r="L61" s="30">
        <f>0/1000*-1</f>
        <v>0</v>
      </c>
      <c r="M61" s="31">
        <f>0/1000*-1</f>
        <v>0</v>
      </c>
      <c r="N61" s="31">
        <f t="shared" ref="N61:N76" si="28">L61-M61</f>
        <v>0</v>
      </c>
      <c r="O61" s="26" t="str">
        <f t="shared" ref="O61:O76" si="29">IF(ISERROR(N61/M61),"N/A",IF(ABS(N61/M61)&gt;5,"N/A",N61/M61))</f>
        <v>N/A</v>
      </c>
      <c r="P61" s="31">
        <f>0/1000*-1</f>
        <v>0</v>
      </c>
      <c r="Q61" s="31">
        <f t="shared" ref="Q61:Q76" si="30">L61-P61</f>
        <v>0</v>
      </c>
      <c r="R61" s="27" t="str">
        <f t="shared" ref="R61:R76" si="31">IF(ISERROR(Q61/P61),"N/A",IF(ABS(Q61/P61)&gt;5,"N/A",Q61/P61))</f>
        <v>N/A</v>
      </c>
      <c r="S61" s="3"/>
      <c r="T61" s="30">
        <f>0/1000*-1</f>
        <v>0</v>
      </c>
      <c r="U61" s="31">
        <f>0/1000*-1</f>
        <v>0</v>
      </c>
      <c r="V61" s="31">
        <f t="shared" ref="V61:V76" si="32">T61-U61</f>
        <v>0</v>
      </c>
      <c r="W61" s="26" t="str">
        <f t="shared" ref="W61:W76" si="33">IF(ISERROR(V61/U61),"N/A",IF(ABS(V61/U61)&gt;5,"N/A",V61/U61))</f>
        <v>N/A</v>
      </c>
      <c r="X61" s="31">
        <f>0/1000*-1</f>
        <v>0</v>
      </c>
      <c r="Y61" s="31">
        <f t="shared" ref="Y61:Y76" si="34">T61-X61</f>
        <v>0</v>
      </c>
      <c r="Z61" s="27" t="str">
        <f t="shared" ref="Z61:Z76" si="35">IF(ISERROR(Y61/X61),"N/A",IF(ABS(Y61/X61)&gt;5,"N/A",Y61/X61))</f>
        <v>N/A</v>
      </c>
      <c r="AA61" s="3"/>
      <c r="AB61" s="32">
        <f>0/1000*-1</f>
        <v>0</v>
      </c>
      <c r="AC61" s="1"/>
      <c r="AD61" s="1"/>
      <c r="AE61" s="1"/>
      <c r="AF61" s="1"/>
      <c r="AG61" s="1"/>
      <c r="AH61" s="1"/>
      <c r="AI61" s="1"/>
    </row>
    <row r="62" spans="1:35" ht="14.25" x14ac:dyDescent="0.2">
      <c r="A62" s="1"/>
      <c r="B62" s="29" t="s">
        <v>17</v>
      </c>
      <c r="C62" s="19"/>
      <c r="D62" s="30">
        <f>0/1000*-1</f>
        <v>0</v>
      </c>
      <c r="E62" s="31">
        <f>-2601.71/1000*-1</f>
        <v>2.6017100000000002</v>
      </c>
      <c r="F62" s="31">
        <f t="shared" si="24"/>
        <v>-2.6017100000000002</v>
      </c>
      <c r="G62" s="26">
        <f t="shared" si="25"/>
        <v>-1</v>
      </c>
      <c r="H62" s="31">
        <f>0/1000*-1</f>
        <v>0</v>
      </c>
      <c r="I62" s="31">
        <f t="shared" si="26"/>
        <v>0</v>
      </c>
      <c r="J62" s="27" t="str">
        <f t="shared" si="27"/>
        <v>N/A</v>
      </c>
      <c r="K62" s="3"/>
      <c r="L62" s="30">
        <f>0/1000*-1</f>
        <v>0</v>
      </c>
      <c r="M62" s="31">
        <f>-6804.01/1000*-1</f>
        <v>6.8040099999999999</v>
      </c>
      <c r="N62" s="31">
        <f t="shared" si="28"/>
        <v>-6.8040099999999999</v>
      </c>
      <c r="O62" s="26">
        <f t="shared" si="29"/>
        <v>-1</v>
      </c>
      <c r="P62" s="31">
        <f>0/1000*-1</f>
        <v>0</v>
      </c>
      <c r="Q62" s="31">
        <f t="shared" si="30"/>
        <v>0</v>
      </c>
      <c r="R62" s="27" t="str">
        <f t="shared" si="31"/>
        <v>N/A</v>
      </c>
      <c r="S62" s="3"/>
      <c r="T62" s="30">
        <f>-21529.85/1000*-1</f>
        <v>21.52985</v>
      </c>
      <c r="U62" s="31">
        <f>-12969.44/1000*-1</f>
        <v>12.969440000000001</v>
      </c>
      <c r="V62" s="31">
        <f t="shared" si="32"/>
        <v>8.5604099999999992</v>
      </c>
      <c r="W62" s="26">
        <f t="shared" si="33"/>
        <v>0.66004468967048679</v>
      </c>
      <c r="X62" s="31">
        <f>-21529.85/1000*-1</f>
        <v>21.52985</v>
      </c>
      <c r="Y62" s="31">
        <f t="shared" si="34"/>
        <v>0</v>
      </c>
      <c r="Z62" s="27">
        <f t="shared" si="35"/>
        <v>0</v>
      </c>
      <c r="AA62" s="3"/>
      <c r="AB62" s="32">
        <f>-21529.85/1000*-1</f>
        <v>21.52985</v>
      </c>
      <c r="AC62" s="1"/>
      <c r="AD62" s="1"/>
      <c r="AE62" s="1"/>
      <c r="AF62" s="1"/>
      <c r="AG62" s="1"/>
      <c r="AH62" s="1"/>
      <c r="AI62" s="1"/>
    </row>
    <row r="63" spans="1:35" ht="14.25" x14ac:dyDescent="0.2">
      <c r="A63" s="1"/>
      <c r="B63" s="19" t="s">
        <v>18</v>
      </c>
      <c r="C63" s="19"/>
      <c r="D63" s="30">
        <f>SUM(D64:D65)</f>
        <v>0</v>
      </c>
      <c r="E63" s="31">
        <f>SUM(E64:E65)</f>
        <v>0</v>
      </c>
      <c r="F63" s="31">
        <f t="shared" si="24"/>
        <v>0</v>
      </c>
      <c r="G63" s="26" t="str">
        <f t="shared" si="25"/>
        <v>N/A</v>
      </c>
      <c r="H63" s="31">
        <f>SUM(H64:H65)</f>
        <v>26</v>
      </c>
      <c r="I63" s="31">
        <f t="shared" si="26"/>
        <v>-26</v>
      </c>
      <c r="J63" s="27">
        <f t="shared" si="27"/>
        <v>-1</v>
      </c>
      <c r="K63" s="3"/>
      <c r="L63" s="30">
        <f>SUM(L64:L65)</f>
        <v>0</v>
      </c>
      <c r="M63" s="31">
        <f>SUM(M64:M65)</f>
        <v>0</v>
      </c>
      <c r="N63" s="31">
        <f t="shared" si="28"/>
        <v>0</v>
      </c>
      <c r="O63" s="26" t="str">
        <f t="shared" si="29"/>
        <v>N/A</v>
      </c>
      <c r="P63" s="31">
        <f>SUM(P64:P65)</f>
        <v>84.5</v>
      </c>
      <c r="Q63" s="31">
        <f t="shared" si="30"/>
        <v>-84.5</v>
      </c>
      <c r="R63" s="27">
        <f t="shared" si="31"/>
        <v>-1</v>
      </c>
      <c r="S63" s="3"/>
      <c r="T63" s="30">
        <f>SUM(T64:T65)</f>
        <v>0</v>
      </c>
      <c r="U63" s="31">
        <f>SUM(U64:U65)</f>
        <v>0</v>
      </c>
      <c r="V63" s="31">
        <f t="shared" si="32"/>
        <v>0</v>
      </c>
      <c r="W63" s="26" t="str">
        <f t="shared" si="33"/>
        <v>N/A</v>
      </c>
      <c r="X63" s="31">
        <f>SUM(X64:X65)</f>
        <v>84.5</v>
      </c>
      <c r="Y63" s="31">
        <f t="shared" si="34"/>
        <v>-84.5</v>
      </c>
      <c r="Z63" s="27">
        <f t="shared" si="35"/>
        <v>-1</v>
      </c>
      <c r="AA63" s="3"/>
      <c r="AB63" s="32">
        <f>SUM(AB64:AB65)</f>
        <v>491.06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3" t="s">
        <v>19</v>
      </c>
      <c r="C64" s="19"/>
      <c r="D64" s="30">
        <f>0/1000*-1</f>
        <v>0</v>
      </c>
      <c r="E64" s="31">
        <f>0/1000*-1</f>
        <v>0</v>
      </c>
      <c r="F64" s="31">
        <f t="shared" si="24"/>
        <v>0</v>
      </c>
      <c r="G64" s="26" t="str">
        <f t="shared" si="25"/>
        <v>N/A</v>
      </c>
      <c r="H64" s="31">
        <f>0/1000*-1</f>
        <v>0</v>
      </c>
      <c r="I64" s="31">
        <f t="shared" si="26"/>
        <v>0</v>
      </c>
      <c r="J64" s="27" t="str">
        <f t="shared" si="27"/>
        <v>N/A</v>
      </c>
      <c r="K64" s="3"/>
      <c r="L64" s="30">
        <f>0/1000*-1</f>
        <v>0</v>
      </c>
      <c r="M64" s="31">
        <f>0/1000*-1</f>
        <v>0</v>
      </c>
      <c r="N64" s="31">
        <f t="shared" si="28"/>
        <v>0</v>
      </c>
      <c r="O64" s="26" t="str">
        <f t="shared" si="29"/>
        <v>N/A</v>
      </c>
      <c r="P64" s="31">
        <f>0/1000*-1</f>
        <v>0</v>
      </c>
      <c r="Q64" s="31">
        <f t="shared" si="30"/>
        <v>0</v>
      </c>
      <c r="R64" s="27" t="str">
        <f t="shared" si="31"/>
        <v>N/A</v>
      </c>
      <c r="S64" s="3"/>
      <c r="T64" s="30">
        <f>0/1000*-1</f>
        <v>0</v>
      </c>
      <c r="U64" s="31">
        <f>0/1000*-1</f>
        <v>0</v>
      </c>
      <c r="V64" s="31">
        <f t="shared" si="32"/>
        <v>0</v>
      </c>
      <c r="W64" s="26" t="str">
        <f t="shared" si="33"/>
        <v>N/A</v>
      </c>
      <c r="X64" s="31">
        <f>0/1000*-1</f>
        <v>0</v>
      </c>
      <c r="Y64" s="31">
        <f t="shared" si="34"/>
        <v>0</v>
      </c>
      <c r="Z64" s="27" t="str">
        <f t="shared" si="35"/>
        <v>N/A</v>
      </c>
      <c r="AA64" s="3"/>
      <c r="AB64" s="32">
        <f>0/1000*-1</f>
        <v>0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3" t="s">
        <v>20</v>
      </c>
      <c r="C65" s="19"/>
      <c r="D65" s="30">
        <f>0/1000*-1</f>
        <v>0</v>
      </c>
      <c r="E65" s="31">
        <f>0/1000*-1</f>
        <v>0</v>
      </c>
      <c r="F65" s="31">
        <f t="shared" si="24"/>
        <v>0</v>
      </c>
      <c r="G65" s="26" t="str">
        <f t="shared" si="25"/>
        <v>N/A</v>
      </c>
      <c r="H65" s="31">
        <f>-26000/1000*-1</f>
        <v>26</v>
      </c>
      <c r="I65" s="31">
        <f t="shared" si="26"/>
        <v>-26</v>
      </c>
      <c r="J65" s="27">
        <f t="shared" si="27"/>
        <v>-1</v>
      </c>
      <c r="K65" s="3"/>
      <c r="L65" s="30">
        <f>0/1000*-1</f>
        <v>0</v>
      </c>
      <c r="M65" s="31">
        <f>0/1000*-1</f>
        <v>0</v>
      </c>
      <c r="N65" s="31">
        <f t="shared" si="28"/>
        <v>0</v>
      </c>
      <c r="O65" s="26" t="str">
        <f t="shared" si="29"/>
        <v>N/A</v>
      </c>
      <c r="P65" s="31">
        <f>-84500/1000*-1</f>
        <v>84.5</v>
      </c>
      <c r="Q65" s="31">
        <f t="shared" si="30"/>
        <v>-84.5</v>
      </c>
      <c r="R65" s="27">
        <f t="shared" si="31"/>
        <v>-1</v>
      </c>
      <c r="S65" s="3"/>
      <c r="T65" s="30">
        <f>0/1000*-1</f>
        <v>0</v>
      </c>
      <c r="U65" s="31">
        <f>0/1000*-1</f>
        <v>0</v>
      </c>
      <c r="V65" s="31">
        <f t="shared" si="32"/>
        <v>0</v>
      </c>
      <c r="W65" s="26" t="str">
        <f t="shared" si="33"/>
        <v>N/A</v>
      </c>
      <c r="X65" s="31">
        <f>-84500/1000*-1</f>
        <v>84.5</v>
      </c>
      <c r="Y65" s="31">
        <f t="shared" si="34"/>
        <v>-84.5</v>
      </c>
      <c r="Z65" s="27">
        <f t="shared" si="35"/>
        <v>-1</v>
      </c>
      <c r="AA65" s="3"/>
      <c r="AB65" s="32">
        <f>-491060/1000*-1</f>
        <v>491.06</v>
      </c>
      <c r="AC65" s="1"/>
      <c r="AD65" s="1"/>
      <c r="AE65" s="1"/>
      <c r="AF65" s="1"/>
      <c r="AG65" s="1"/>
      <c r="AH65" s="1"/>
      <c r="AI65" s="1"/>
    </row>
    <row r="66" spans="1:35" ht="14.25" collapsed="1" x14ac:dyDescent="0.2">
      <c r="A66" s="1"/>
      <c r="B66" s="19" t="s">
        <v>21</v>
      </c>
      <c r="C66" s="19"/>
      <c r="D66" s="30">
        <f>SUM(D67:D68)</f>
        <v>-48.830489999999998</v>
      </c>
      <c r="E66" s="31">
        <f>SUM(E67:E68)</f>
        <v>7.0365000000000002</v>
      </c>
      <c r="F66" s="31">
        <f t="shared" si="24"/>
        <v>-55.866990000000001</v>
      </c>
      <c r="G66" s="26" t="str">
        <f t="shared" si="25"/>
        <v>N/A</v>
      </c>
      <c r="H66" s="31">
        <f>SUM(H67:H68)</f>
        <v>0</v>
      </c>
      <c r="I66" s="31">
        <f t="shared" si="26"/>
        <v>-48.830489999999998</v>
      </c>
      <c r="J66" s="27" t="str">
        <f t="shared" si="27"/>
        <v>N/A</v>
      </c>
      <c r="K66" s="3"/>
      <c r="L66" s="30">
        <f>SUM(L67:L68)</f>
        <v>-48.818080000000002</v>
      </c>
      <c r="M66" s="31">
        <f>SUM(M67:M68)</f>
        <v>35.047309999999996</v>
      </c>
      <c r="N66" s="31">
        <f t="shared" si="28"/>
        <v>-83.865389999999991</v>
      </c>
      <c r="O66" s="26">
        <f t="shared" si="29"/>
        <v>-2.3929194565859691</v>
      </c>
      <c r="P66" s="31">
        <f>SUM(P67:P68)</f>
        <v>1.2410000000000001E-2</v>
      </c>
      <c r="Q66" s="31">
        <f t="shared" si="30"/>
        <v>-48.830490000000005</v>
      </c>
      <c r="R66" s="27" t="str">
        <f t="shared" si="31"/>
        <v>N/A</v>
      </c>
      <c r="S66" s="3"/>
      <c r="T66" s="30">
        <f>SUM(T67:T68)</f>
        <v>-80.805940000000007</v>
      </c>
      <c r="U66" s="31">
        <f>SUM(U67:U68)</f>
        <v>116.22278</v>
      </c>
      <c r="V66" s="31">
        <f t="shared" si="32"/>
        <v>-197.02872000000002</v>
      </c>
      <c r="W66" s="26">
        <f t="shared" si="33"/>
        <v>-1.6952676575108598</v>
      </c>
      <c r="X66" s="31">
        <f>SUM(X67:X68)</f>
        <v>-31.975450000000002</v>
      </c>
      <c r="Y66" s="31">
        <f t="shared" si="34"/>
        <v>-48.830490000000005</v>
      </c>
      <c r="Z66" s="27">
        <f t="shared" si="35"/>
        <v>1.5271244032531208</v>
      </c>
      <c r="AA66" s="3"/>
      <c r="AB66" s="32">
        <f>SUM(AB67:AB68)</f>
        <v>-31.975450000000002</v>
      </c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3" t="s">
        <v>22</v>
      </c>
      <c r="C67" s="19"/>
      <c r="D67" s="30">
        <f>48830.49/1000*-1</f>
        <v>-48.830489999999998</v>
      </c>
      <c r="E67" s="31">
        <f>-7036.5/1000*-1</f>
        <v>7.0365000000000002</v>
      </c>
      <c r="F67" s="31">
        <f t="shared" si="24"/>
        <v>-55.866990000000001</v>
      </c>
      <c r="G67" s="26" t="str">
        <f t="shared" si="25"/>
        <v>N/A</v>
      </c>
      <c r="H67" s="31">
        <f>0/1000*-1</f>
        <v>0</v>
      </c>
      <c r="I67" s="31">
        <f t="shared" si="26"/>
        <v>-48.830489999999998</v>
      </c>
      <c r="J67" s="27" t="str">
        <f t="shared" si="27"/>
        <v>N/A</v>
      </c>
      <c r="K67" s="3"/>
      <c r="L67" s="30">
        <f>48818.08/1000*-1</f>
        <v>-48.818080000000002</v>
      </c>
      <c r="M67" s="31">
        <f>-35047.31/1000*-1</f>
        <v>35.047309999999996</v>
      </c>
      <c r="N67" s="31">
        <f t="shared" si="28"/>
        <v>-83.865389999999991</v>
      </c>
      <c r="O67" s="26">
        <f t="shared" si="29"/>
        <v>-2.3929194565859691</v>
      </c>
      <c r="P67" s="31">
        <f>-12.41/1000*-1</f>
        <v>1.2410000000000001E-2</v>
      </c>
      <c r="Q67" s="31">
        <f t="shared" si="30"/>
        <v>-48.830490000000005</v>
      </c>
      <c r="R67" s="27" t="str">
        <f t="shared" si="31"/>
        <v>N/A</v>
      </c>
      <c r="S67" s="3"/>
      <c r="T67" s="30">
        <f>80805.94/1000*-1</f>
        <v>-80.805940000000007</v>
      </c>
      <c r="U67" s="31">
        <f>-116222.78/1000*-1</f>
        <v>116.22278</v>
      </c>
      <c r="V67" s="31">
        <f t="shared" si="32"/>
        <v>-197.02872000000002</v>
      </c>
      <c r="W67" s="26">
        <f t="shared" si="33"/>
        <v>-1.6952676575108598</v>
      </c>
      <c r="X67" s="31">
        <f>31975.45/1000*-1</f>
        <v>-31.975450000000002</v>
      </c>
      <c r="Y67" s="31">
        <f t="shared" si="34"/>
        <v>-48.830490000000005</v>
      </c>
      <c r="Z67" s="27">
        <f t="shared" si="35"/>
        <v>1.5271244032531208</v>
      </c>
      <c r="AA67" s="3"/>
      <c r="AB67" s="32">
        <f>31975.45/1000*-1</f>
        <v>-31.975450000000002</v>
      </c>
      <c r="AC67" s="1"/>
      <c r="AD67" s="1"/>
      <c r="AE67" s="1"/>
      <c r="AF67" s="1"/>
      <c r="AG67" s="1"/>
      <c r="AH67" s="1"/>
      <c r="AI67" s="1"/>
    </row>
    <row r="68" spans="1:35" ht="14.25" hidden="1" outlineLevel="1" x14ac:dyDescent="0.2">
      <c r="A68" s="1"/>
      <c r="B68" s="33">
        <v>420040</v>
      </c>
      <c r="C68" s="19"/>
      <c r="D68" s="30">
        <f>0/1000*-1</f>
        <v>0</v>
      </c>
      <c r="E68" s="31">
        <f>0/1000*-1</f>
        <v>0</v>
      </c>
      <c r="F68" s="31">
        <f t="shared" si="24"/>
        <v>0</v>
      </c>
      <c r="G68" s="26" t="str">
        <f t="shared" si="25"/>
        <v>N/A</v>
      </c>
      <c r="H68" s="31">
        <f>0/1000*-1</f>
        <v>0</v>
      </c>
      <c r="I68" s="31">
        <f t="shared" si="26"/>
        <v>0</v>
      </c>
      <c r="J68" s="27" t="str">
        <f t="shared" si="27"/>
        <v>N/A</v>
      </c>
      <c r="K68" s="3"/>
      <c r="L68" s="30">
        <f>0/1000*-1</f>
        <v>0</v>
      </c>
      <c r="M68" s="31">
        <f>0/1000*-1</f>
        <v>0</v>
      </c>
      <c r="N68" s="31">
        <f t="shared" si="28"/>
        <v>0</v>
      </c>
      <c r="O68" s="26" t="str">
        <f t="shared" si="29"/>
        <v>N/A</v>
      </c>
      <c r="P68" s="31">
        <f>0/1000*-1</f>
        <v>0</v>
      </c>
      <c r="Q68" s="31">
        <f t="shared" si="30"/>
        <v>0</v>
      </c>
      <c r="R68" s="27" t="str">
        <f t="shared" si="31"/>
        <v>N/A</v>
      </c>
      <c r="S68" s="3"/>
      <c r="T68" s="30">
        <f>0/1000*-1</f>
        <v>0</v>
      </c>
      <c r="U68" s="31">
        <f>0/1000*-1</f>
        <v>0</v>
      </c>
      <c r="V68" s="31">
        <f t="shared" si="32"/>
        <v>0</v>
      </c>
      <c r="W68" s="26" t="str">
        <f t="shared" si="33"/>
        <v>N/A</v>
      </c>
      <c r="X68" s="31">
        <f>0/1000*-1</f>
        <v>0</v>
      </c>
      <c r="Y68" s="31">
        <f t="shared" si="34"/>
        <v>0</v>
      </c>
      <c r="Z68" s="27" t="str">
        <f t="shared" si="35"/>
        <v>N/A</v>
      </c>
      <c r="AA68" s="3"/>
      <c r="AB68" s="32">
        <f>0/1000*-1</f>
        <v>0</v>
      </c>
      <c r="AC68" s="1"/>
      <c r="AD68" s="1"/>
      <c r="AE68" s="1"/>
      <c r="AF68" s="1"/>
      <c r="AG68" s="1"/>
      <c r="AH68" s="1"/>
      <c r="AI68" s="1"/>
    </row>
    <row r="69" spans="1:35" ht="14.25" collapsed="1" x14ac:dyDescent="0.2">
      <c r="A69" s="1"/>
      <c r="B69" s="19" t="s">
        <v>24</v>
      </c>
      <c r="C69" s="19"/>
      <c r="D69" s="30">
        <v>0</v>
      </c>
      <c r="E69" s="31">
        <v>0</v>
      </c>
      <c r="F69" s="31">
        <f t="shared" si="24"/>
        <v>0</v>
      </c>
      <c r="G69" s="26" t="str">
        <f t="shared" si="25"/>
        <v>N/A</v>
      </c>
      <c r="H69" s="31">
        <v>0</v>
      </c>
      <c r="I69" s="31">
        <f t="shared" si="26"/>
        <v>0</v>
      </c>
      <c r="J69" s="27" t="str">
        <f t="shared" si="27"/>
        <v>N/A</v>
      </c>
      <c r="K69" s="3"/>
      <c r="L69" s="30">
        <v>0</v>
      </c>
      <c r="M69" s="31">
        <v>0</v>
      </c>
      <c r="N69" s="31">
        <f t="shared" si="28"/>
        <v>0</v>
      </c>
      <c r="O69" s="26" t="str">
        <f t="shared" si="29"/>
        <v>N/A</v>
      </c>
      <c r="P69" s="31">
        <v>0</v>
      </c>
      <c r="Q69" s="31">
        <f t="shared" si="30"/>
        <v>0</v>
      </c>
      <c r="R69" s="27" t="str">
        <f t="shared" si="31"/>
        <v>N/A</v>
      </c>
      <c r="S69" s="3"/>
      <c r="T69" s="30">
        <v>0</v>
      </c>
      <c r="U69" s="31">
        <v>0</v>
      </c>
      <c r="V69" s="31">
        <f t="shared" si="32"/>
        <v>0</v>
      </c>
      <c r="W69" s="26" t="str">
        <f t="shared" si="33"/>
        <v>N/A</v>
      </c>
      <c r="X69" s="31">
        <v>0</v>
      </c>
      <c r="Y69" s="31">
        <f t="shared" si="34"/>
        <v>0</v>
      </c>
      <c r="Z69" s="27" t="str">
        <f t="shared" si="35"/>
        <v>N/A</v>
      </c>
      <c r="AA69" s="3"/>
      <c r="AB69" s="32">
        <v>0</v>
      </c>
      <c r="AC69" s="1"/>
      <c r="AD69" s="1"/>
      <c r="AE69" s="1"/>
      <c r="AF69" s="1"/>
      <c r="AG69" s="1"/>
      <c r="AH69" s="1"/>
      <c r="AI69" s="1"/>
    </row>
    <row r="70" spans="1:35" ht="14.25" x14ac:dyDescent="0.2">
      <c r="A70" s="1"/>
      <c r="B70" s="19" t="s">
        <v>25</v>
      </c>
      <c r="C70" s="19"/>
      <c r="D70" s="30">
        <f>SUM(D71:D74)</f>
        <v>104.81122999999999</v>
      </c>
      <c r="E70" s="31">
        <f>SUM(E71:E74)</f>
        <v>118.32719</v>
      </c>
      <c r="F70" s="31">
        <f t="shared" si="24"/>
        <v>-13.515960000000007</v>
      </c>
      <c r="G70" s="26">
        <f t="shared" si="25"/>
        <v>-0.11422531034498501</v>
      </c>
      <c r="H70" s="31">
        <f>SUM(H71:H74)</f>
        <v>215.21177</v>
      </c>
      <c r="I70" s="31">
        <f t="shared" si="26"/>
        <v>-110.40054000000001</v>
      </c>
      <c r="J70" s="27">
        <f t="shared" si="27"/>
        <v>-0.51298560483007039</v>
      </c>
      <c r="K70" s="3"/>
      <c r="L70" s="30">
        <f>SUM(L71:L74)</f>
        <v>289.15539999999999</v>
      </c>
      <c r="M70" s="31">
        <f>SUM(M71:M74)</f>
        <v>385.96410000000003</v>
      </c>
      <c r="N70" s="31">
        <f t="shared" si="28"/>
        <v>-96.808700000000044</v>
      </c>
      <c r="O70" s="26">
        <f t="shared" si="29"/>
        <v>-0.25082306877764027</v>
      </c>
      <c r="P70" s="31">
        <f>SUM(P71:P74)</f>
        <v>481.48322999999999</v>
      </c>
      <c r="Q70" s="31">
        <f t="shared" si="30"/>
        <v>-192.32783000000001</v>
      </c>
      <c r="R70" s="27">
        <f t="shared" si="31"/>
        <v>-0.39944865784837408</v>
      </c>
      <c r="S70" s="3"/>
      <c r="T70" s="30">
        <f>SUM(T71:T74)</f>
        <v>663.05265999999995</v>
      </c>
      <c r="U70" s="31">
        <f>SUM(U71:U74)</f>
        <v>947.8827</v>
      </c>
      <c r="V70" s="31">
        <f t="shared" si="32"/>
        <v>-284.83004000000005</v>
      </c>
      <c r="W70" s="26">
        <f t="shared" si="33"/>
        <v>-0.30049080967507907</v>
      </c>
      <c r="X70" s="31">
        <f>SUM(X71:X74)</f>
        <v>855.38049000000001</v>
      </c>
      <c r="Y70" s="31">
        <f t="shared" si="34"/>
        <v>-192.32783000000006</v>
      </c>
      <c r="Z70" s="27">
        <f t="shared" si="35"/>
        <v>-0.22484477054182059</v>
      </c>
      <c r="AA70" s="3"/>
      <c r="AB70" s="32">
        <f>SUM(AB71:AB74)</f>
        <v>2371.7554300000002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3" t="s">
        <v>26</v>
      </c>
      <c r="C71" s="19"/>
      <c r="D71" s="30">
        <f>0/1000*-1</f>
        <v>0</v>
      </c>
      <c r="E71" s="31">
        <f>0/1000*-1</f>
        <v>0</v>
      </c>
      <c r="F71" s="31">
        <f t="shared" si="24"/>
        <v>0</v>
      </c>
      <c r="G71" s="26" t="str">
        <f t="shared" si="25"/>
        <v>N/A</v>
      </c>
      <c r="H71" s="31">
        <f>0/1000*-1</f>
        <v>0</v>
      </c>
      <c r="I71" s="31">
        <f t="shared" si="26"/>
        <v>0</v>
      </c>
      <c r="J71" s="27" t="str">
        <f t="shared" si="27"/>
        <v>N/A</v>
      </c>
      <c r="K71" s="3"/>
      <c r="L71" s="30">
        <f>0/1000*-1</f>
        <v>0</v>
      </c>
      <c r="M71" s="31">
        <f>0/1000*-1</f>
        <v>0</v>
      </c>
      <c r="N71" s="31">
        <f t="shared" si="28"/>
        <v>0</v>
      </c>
      <c r="O71" s="26" t="str">
        <f t="shared" si="29"/>
        <v>N/A</v>
      </c>
      <c r="P71" s="31">
        <f>0/1000*-1</f>
        <v>0</v>
      </c>
      <c r="Q71" s="31">
        <f t="shared" si="30"/>
        <v>0</v>
      </c>
      <c r="R71" s="27" t="str">
        <f t="shared" si="31"/>
        <v>N/A</v>
      </c>
      <c r="S71" s="3"/>
      <c r="T71" s="30">
        <f>0/1000*-1</f>
        <v>0</v>
      </c>
      <c r="U71" s="31">
        <f>0/1000*-1</f>
        <v>0</v>
      </c>
      <c r="V71" s="31">
        <f t="shared" si="32"/>
        <v>0</v>
      </c>
      <c r="W71" s="26" t="str">
        <f t="shared" si="33"/>
        <v>N/A</v>
      </c>
      <c r="X71" s="31">
        <f>0/1000*-1</f>
        <v>0</v>
      </c>
      <c r="Y71" s="31">
        <f t="shared" si="34"/>
        <v>0</v>
      </c>
      <c r="Z71" s="27" t="str">
        <f t="shared" si="35"/>
        <v>N/A</v>
      </c>
      <c r="AA71" s="3"/>
      <c r="AB71" s="32">
        <f>0/1000*-1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3" t="s">
        <v>27</v>
      </c>
      <c r="C72" s="19"/>
      <c r="D72" s="30">
        <f>0/1000*-1</f>
        <v>0</v>
      </c>
      <c r="E72" s="31">
        <f>0/1000*-1</f>
        <v>0</v>
      </c>
      <c r="F72" s="31">
        <f t="shared" si="24"/>
        <v>0</v>
      </c>
      <c r="G72" s="26" t="str">
        <f t="shared" si="25"/>
        <v>N/A</v>
      </c>
      <c r="H72" s="31">
        <f>0/1000*-1</f>
        <v>0</v>
      </c>
      <c r="I72" s="31">
        <f t="shared" si="26"/>
        <v>0</v>
      </c>
      <c r="J72" s="27" t="str">
        <f t="shared" si="27"/>
        <v>N/A</v>
      </c>
      <c r="K72" s="3"/>
      <c r="L72" s="30">
        <f>0/1000*-1</f>
        <v>0</v>
      </c>
      <c r="M72" s="31">
        <f>0/1000*-1</f>
        <v>0</v>
      </c>
      <c r="N72" s="31">
        <f t="shared" si="28"/>
        <v>0</v>
      </c>
      <c r="O72" s="26" t="str">
        <f t="shared" si="29"/>
        <v>N/A</v>
      </c>
      <c r="P72" s="31">
        <f>0/1000*-1</f>
        <v>0</v>
      </c>
      <c r="Q72" s="31">
        <f t="shared" si="30"/>
        <v>0</v>
      </c>
      <c r="R72" s="27" t="str">
        <f t="shared" si="31"/>
        <v>N/A</v>
      </c>
      <c r="S72" s="3"/>
      <c r="T72" s="30">
        <f>0/1000*-1</f>
        <v>0</v>
      </c>
      <c r="U72" s="31">
        <f>0/1000*-1</f>
        <v>0</v>
      </c>
      <c r="V72" s="31">
        <f t="shared" si="32"/>
        <v>0</v>
      </c>
      <c r="W72" s="26" t="str">
        <f t="shared" si="33"/>
        <v>N/A</v>
      </c>
      <c r="X72" s="31">
        <f>0/1000*-1</f>
        <v>0</v>
      </c>
      <c r="Y72" s="31">
        <f t="shared" si="34"/>
        <v>0</v>
      </c>
      <c r="Z72" s="27" t="str">
        <f t="shared" si="35"/>
        <v>N/A</v>
      </c>
      <c r="AA72" s="3"/>
      <c r="AB72" s="32">
        <f>0/1000*-1</f>
        <v>0</v>
      </c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3" t="s">
        <v>28</v>
      </c>
      <c r="C73" s="19"/>
      <c r="D73" s="30">
        <f>-59938.96/1000*-1</f>
        <v>59.938960000000002</v>
      </c>
      <c r="E73" s="31">
        <f>-31226.27/1000*-1</f>
        <v>31.22627</v>
      </c>
      <c r="F73" s="31">
        <f t="shared" si="24"/>
        <v>28.712690000000002</v>
      </c>
      <c r="G73" s="26">
        <f t="shared" si="25"/>
        <v>0.91950431479648398</v>
      </c>
      <c r="H73" s="31">
        <f>-87256/1000*-1</f>
        <v>87.256</v>
      </c>
      <c r="I73" s="31">
        <f t="shared" si="26"/>
        <v>-27.317039999999999</v>
      </c>
      <c r="J73" s="27">
        <f t="shared" si="27"/>
        <v>-0.31306775465297515</v>
      </c>
      <c r="K73" s="3"/>
      <c r="L73" s="30">
        <f>-87533.52/1000*-1</f>
        <v>87.53352000000001</v>
      </c>
      <c r="M73" s="31">
        <f>-106274.52/1000*-1</f>
        <v>106.27452000000001</v>
      </c>
      <c r="N73" s="31">
        <f t="shared" si="28"/>
        <v>-18.741</v>
      </c>
      <c r="O73" s="26">
        <f t="shared" si="29"/>
        <v>-0.17634518603330315</v>
      </c>
      <c r="P73" s="31">
        <f>-179354.13/1000*-1</f>
        <v>179.35413</v>
      </c>
      <c r="Q73" s="31">
        <f t="shared" si="30"/>
        <v>-91.820609999999988</v>
      </c>
      <c r="R73" s="27">
        <f t="shared" si="31"/>
        <v>-0.51195146718952045</v>
      </c>
      <c r="S73" s="3"/>
      <c r="T73" s="30">
        <f>-142761.18/1000*-1</f>
        <v>142.76118</v>
      </c>
      <c r="U73" s="31">
        <f>-325902.06/1000*-1</f>
        <v>325.90206000000001</v>
      </c>
      <c r="V73" s="31">
        <f t="shared" si="32"/>
        <v>-183.14088000000001</v>
      </c>
      <c r="W73" s="26">
        <f t="shared" si="33"/>
        <v>-0.56195066701941065</v>
      </c>
      <c r="X73" s="31">
        <f>-234581.79/1000*-1</f>
        <v>234.58179000000001</v>
      </c>
      <c r="Y73" s="31">
        <f t="shared" si="34"/>
        <v>-91.820610000000016</v>
      </c>
      <c r="Z73" s="27">
        <f t="shared" si="35"/>
        <v>-0.3914225822899553</v>
      </c>
      <c r="AA73" s="3"/>
      <c r="AB73" s="32">
        <f>-641690.91/1000*-1</f>
        <v>641.69091000000003</v>
      </c>
      <c r="AC73" s="1"/>
      <c r="AD73" s="1"/>
      <c r="AE73" s="1"/>
      <c r="AF73" s="1"/>
      <c r="AG73" s="1"/>
      <c r="AH73" s="1"/>
      <c r="AI73" s="1"/>
    </row>
    <row r="74" spans="1:35" ht="14.25" hidden="1" outlineLevel="1" x14ac:dyDescent="0.2">
      <c r="A74" s="1"/>
      <c r="B74" s="33" t="s">
        <v>29</v>
      </c>
      <c r="C74" s="19"/>
      <c r="D74" s="30">
        <f>SUM(D75:D76)</f>
        <v>44.87227</v>
      </c>
      <c r="E74" s="31">
        <f>SUM(E75:E76)</f>
        <v>87.100920000000002</v>
      </c>
      <c r="F74" s="31">
        <f t="shared" si="24"/>
        <v>-42.228650000000002</v>
      </c>
      <c r="G74" s="26">
        <f t="shared" si="25"/>
        <v>-0.48482438532222161</v>
      </c>
      <c r="H74" s="31">
        <f>SUM(H75:H76)</f>
        <v>127.95577</v>
      </c>
      <c r="I74" s="31">
        <f t="shared" si="26"/>
        <v>-83.083500000000001</v>
      </c>
      <c r="J74" s="27">
        <f t="shared" si="27"/>
        <v>-0.64931421224693497</v>
      </c>
      <c r="K74" s="3"/>
      <c r="L74" s="30">
        <f>SUM(L75:L76)</f>
        <v>201.62188</v>
      </c>
      <c r="M74" s="31">
        <f>SUM(M75:M76)</f>
        <v>279.68958000000003</v>
      </c>
      <c r="N74" s="31">
        <f t="shared" si="28"/>
        <v>-78.067700000000031</v>
      </c>
      <c r="O74" s="26">
        <f t="shared" si="29"/>
        <v>-0.27912266163079802</v>
      </c>
      <c r="P74" s="31">
        <f>SUM(P75:P76)</f>
        <v>302.12909999999999</v>
      </c>
      <c r="Q74" s="31">
        <f t="shared" si="30"/>
        <v>-100.50721999999999</v>
      </c>
      <c r="R74" s="27">
        <f t="shared" si="31"/>
        <v>-0.33266315624678322</v>
      </c>
      <c r="S74" s="3"/>
      <c r="T74" s="30">
        <f>SUM(T75:T76)</f>
        <v>520.29147999999998</v>
      </c>
      <c r="U74" s="31">
        <f>SUM(U75:U76)</f>
        <v>621.98063999999999</v>
      </c>
      <c r="V74" s="31">
        <f t="shared" si="32"/>
        <v>-101.68916000000002</v>
      </c>
      <c r="W74" s="26">
        <f t="shared" si="33"/>
        <v>-0.16349248426767754</v>
      </c>
      <c r="X74" s="31">
        <f>SUM(X75:X76)</f>
        <v>620.79869999999994</v>
      </c>
      <c r="Y74" s="31">
        <f t="shared" si="34"/>
        <v>-100.50721999999996</v>
      </c>
      <c r="Z74" s="27">
        <f t="shared" si="35"/>
        <v>-0.16189985578255878</v>
      </c>
      <c r="AA74" s="3"/>
      <c r="AB74" s="32">
        <f>SUM(AB75:AB76)</f>
        <v>1730.0645200000001</v>
      </c>
      <c r="AC74" s="1"/>
      <c r="AD74" s="1"/>
      <c r="AE74" s="1"/>
      <c r="AF74" s="1"/>
      <c r="AG74" s="1"/>
      <c r="AH74" s="1"/>
      <c r="AI74" s="1"/>
    </row>
    <row r="75" spans="1:35" ht="14.25" hidden="1" outlineLevel="2" x14ac:dyDescent="0.2">
      <c r="A75" s="1"/>
      <c r="B75" s="34" t="s">
        <v>30</v>
      </c>
      <c r="C75" s="19"/>
      <c r="D75" s="30">
        <f>-44872.27/1000*-1</f>
        <v>44.87227</v>
      </c>
      <c r="E75" s="31">
        <f>-87100.92/1000*-1</f>
        <v>87.100920000000002</v>
      </c>
      <c r="F75" s="31">
        <f t="shared" si="24"/>
        <v>-42.228650000000002</v>
      </c>
      <c r="G75" s="26">
        <f t="shared" si="25"/>
        <v>-0.48482438532222161</v>
      </c>
      <c r="H75" s="31">
        <f>-127955.77/1000*-1</f>
        <v>127.95577</v>
      </c>
      <c r="I75" s="31">
        <f t="shared" si="26"/>
        <v>-83.083500000000001</v>
      </c>
      <c r="J75" s="27">
        <f t="shared" si="27"/>
        <v>-0.64931421224693497</v>
      </c>
      <c r="K75" s="3"/>
      <c r="L75" s="30">
        <f>-201621.88/1000*-1</f>
        <v>201.62188</v>
      </c>
      <c r="M75" s="31">
        <f>-279689.58/1000*-1</f>
        <v>279.68958000000003</v>
      </c>
      <c r="N75" s="31">
        <f t="shared" si="28"/>
        <v>-78.067700000000031</v>
      </c>
      <c r="O75" s="26">
        <f t="shared" si="29"/>
        <v>-0.27912266163079802</v>
      </c>
      <c r="P75" s="31">
        <f>-302129.1/1000*-1</f>
        <v>302.12909999999999</v>
      </c>
      <c r="Q75" s="31">
        <f t="shared" si="30"/>
        <v>-100.50721999999999</v>
      </c>
      <c r="R75" s="27">
        <f t="shared" si="31"/>
        <v>-0.33266315624678322</v>
      </c>
      <c r="S75" s="3"/>
      <c r="T75" s="30">
        <f>-520291.48/1000*-1</f>
        <v>520.29147999999998</v>
      </c>
      <c r="U75" s="31">
        <f>-621980.64/1000*-1</f>
        <v>621.98063999999999</v>
      </c>
      <c r="V75" s="31">
        <f t="shared" si="32"/>
        <v>-101.68916000000002</v>
      </c>
      <c r="W75" s="26">
        <f t="shared" si="33"/>
        <v>-0.16349248426767754</v>
      </c>
      <c r="X75" s="31">
        <f>-620798.7/1000*-1</f>
        <v>620.79869999999994</v>
      </c>
      <c r="Y75" s="31">
        <f t="shared" si="34"/>
        <v>-100.50721999999996</v>
      </c>
      <c r="Z75" s="27">
        <f t="shared" si="35"/>
        <v>-0.16189985578255878</v>
      </c>
      <c r="AA75" s="3"/>
      <c r="AB75" s="32">
        <f>-1730064.52/1000*-1</f>
        <v>1730.0645200000001</v>
      </c>
      <c r="AC75" s="1"/>
      <c r="AD75" s="1"/>
      <c r="AE75" s="1"/>
      <c r="AF75" s="1"/>
      <c r="AG75" s="1"/>
      <c r="AH75" s="1"/>
      <c r="AI75" s="1"/>
    </row>
    <row r="76" spans="1:35" s="35" customFormat="1" ht="14.25" hidden="1" outlineLevel="2" x14ac:dyDescent="0.2">
      <c r="B76" s="34" t="s">
        <v>31</v>
      </c>
      <c r="C76" s="19"/>
      <c r="D76" s="30">
        <f>0/1000*-1</f>
        <v>0</v>
      </c>
      <c r="E76" s="31">
        <f>0/1000*-1</f>
        <v>0</v>
      </c>
      <c r="F76" s="31">
        <f t="shared" si="24"/>
        <v>0</v>
      </c>
      <c r="G76" s="26" t="str">
        <f t="shared" si="25"/>
        <v>N/A</v>
      </c>
      <c r="H76" s="31">
        <f>0/1000*-1</f>
        <v>0</v>
      </c>
      <c r="I76" s="31">
        <f t="shared" si="26"/>
        <v>0</v>
      </c>
      <c r="J76" s="27" t="str">
        <f t="shared" si="27"/>
        <v>N/A</v>
      </c>
      <c r="K76" s="19"/>
      <c r="L76" s="30">
        <f>0/1000*-1</f>
        <v>0</v>
      </c>
      <c r="M76" s="31">
        <f>0/1000*-1</f>
        <v>0</v>
      </c>
      <c r="N76" s="31">
        <f t="shared" si="28"/>
        <v>0</v>
      </c>
      <c r="O76" s="26" t="str">
        <f t="shared" si="29"/>
        <v>N/A</v>
      </c>
      <c r="P76" s="31">
        <f>0/1000*-1</f>
        <v>0</v>
      </c>
      <c r="Q76" s="31">
        <f t="shared" si="30"/>
        <v>0</v>
      </c>
      <c r="R76" s="27" t="str">
        <f t="shared" si="31"/>
        <v>N/A</v>
      </c>
      <c r="S76" s="19"/>
      <c r="T76" s="30">
        <f>0/1000*-1</f>
        <v>0</v>
      </c>
      <c r="U76" s="31">
        <f>0/1000*-1</f>
        <v>0</v>
      </c>
      <c r="V76" s="31">
        <f t="shared" si="32"/>
        <v>0</v>
      </c>
      <c r="W76" s="26" t="str">
        <f t="shared" si="33"/>
        <v>N/A</v>
      </c>
      <c r="X76" s="31">
        <f>0/1000*-1</f>
        <v>0</v>
      </c>
      <c r="Y76" s="31">
        <f t="shared" si="34"/>
        <v>0</v>
      </c>
      <c r="Z76" s="27" t="str">
        <f t="shared" si="35"/>
        <v>N/A</v>
      </c>
      <c r="AA76" s="19"/>
      <c r="AB76" s="32">
        <f>0/1000*-1</f>
        <v>0</v>
      </c>
    </row>
    <row r="77" spans="1:35" s="35" customFormat="1" ht="5.0999999999999996" hidden="1" customHeight="1" outlineLevel="1" x14ac:dyDescent="0.2">
      <c r="B77" s="34"/>
      <c r="C77" s="19"/>
      <c r="D77" s="36"/>
      <c r="E77" s="37"/>
      <c r="F77" s="37"/>
      <c r="G77" s="38"/>
      <c r="H77" s="37"/>
      <c r="I77" s="37"/>
      <c r="J77" s="39"/>
      <c r="K77" s="19"/>
      <c r="L77" s="36"/>
      <c r="M77" s="37"/>
      <c r="N77" s="37"/>
      <c r="O77" s="38"/>
      <c r="P77" s="37"/>
      <c r="Q77" s="37"/>
      <c r="R77" s="39"/>
      <c r="S77" s="19"/>
      <c r="T77" s="36"/>
      <c r="U77" s="37"/>
      <c r="V77" s="37"/>
      <c r="W77" s="38"/>
      <c r="X77" s="37"/>
      <c r="Y77" s="37"/>
      <c r="Z77" s="39"/>
      <c r="AA77" s="19"/>
      <c r="AB77" s="40"/>
    </row>
    <row r="78" spans="1:35" ht="14.25" collapsed="1" x14ac:dyDescent="0.2">
      <c r="A78" s="1"/>
      <c r="B78" s="19" t="s">
        <v>32</v>
      </c>
      <c r="C78" s="19"/>
      <c r="D78" s="30">
        <f>SUM(D61:D63,D66,D69:D70)</f>
        <v>55.980739999999997</v>
      </c>
      <c r="E78" s="31">
        <f>SUM(E61:E63,E66,E69:E70)</f>
        <v>127.9654</v>
      </c>
      <c r="F78" s="31">
        <f>D78-E78</f>
        <v>-71.984660000000005</v>
      </c>
      <c r="G78" s="26">
        <f>IF(ISERROR(F78/E78),"N/A",IF(ABS(F78/E78)&gt;5,"N/A",F78/E78))</f>
        <v>-0.56253221573956713</v>
      </c>
      <c r="H78" s="31">
        <f>SUM(H61:H63,H66,H69:H70)</f>
        <v>241.21177</v>
      </c>
      <c r="I78" s="31">
        <f>D78-H78</f>
        <v>-185.23103</v>
      </c>
      <c r="J78" s="27">
        <f>IF(ISERROR(I78/H78),"N/A",IF(ABS(I78/H78)&gt;5,"N/A",I78/H78))</f>
        <v>-0.76791870479620461</v>
      </c>
      <c r="K78" s="3"/>
      <c r="L78" s="30">
        <f>SUM(L61:L63,L66,L69:L70)</f>
        <v>240.33731999999998</v>
      </c>
      <c r="M78" s="31">
        <f>SUM(M61:M63,M66,M69:M70)</f>
        <v>427.81542000000002</v>
      </c>
      <c r="N78" s="31">
        <f>L78-M78</f>
        <v>-187.47810000000004</v>
      </c>
      <c r="O78" s="26">
        <f>IF(ISERROR(N78/M78),"N/A",IF(ABS(N78/M78)&gt;5,"N/A",N78/M78))</f>
        <v>-0.43822193225293288</v>
      </c>
      <c r="P78" s="31">
        <f>SUM(P61:P63,P66,P69:P70)</f>
        <v>565.99563999999998</v>
      </c>
      <c r="Q78" s="31">
        <f>L78-P78</f>
        <v>-325.65832</v>
      </c>
      <c r="R78" s="27">
        <f>IF(ISERROR(Q78/P78),"N/A",IF(ABS(Q78/P78)&gt;5,"N/A",Q78/P78))</f>
        <v>-0.5753724887350723</v>
      </c>
      <c r="S78" s="3"/>
      <c r="T78" s="30">
        <f>SUM(T61:T63,T66,T69:T70)</f>
        <v>603.77656999999999</v>
      </c>
      <c r="U78" s="31">
        <f>SUM(U61:U63,U66,U69:U70)</f>
        <v>1077.07492</v>
      </c>
      <c r="V78" s="31">
        <f>T78-U78</f>
        <v>-473.29835000000003</v>
      </c>
      <c r="W78" s="26">
        <f>IF(ISERROR(V78/U78),"N/A",IF(ABS(V78/U78)&gt;5,"N/A",V78/U78))</f>
        <v>-0.4394293667148057</v>
      </c>
      <c r="X78" s="31">
        <f>SUM(X61:X63,X66,X69:X70)</f>
        <v>929.43489</v>
      </c>
      <c r="Y78" s="31">
        <f>T78-X78</f>
        <v>-325.65832</v>
      </c>
      <c r="Z78" s="27">
        <f>IF(ISERROR(Y78/X78),"N/A",IF(ABS(Y78/X78)&gt;5,"N/A",Y78/X78))</f>
        <v>-0.35038314518190727</v>
      </c>
      <c r="AA78" s="3"/>
      <c r="AB78" s="32">
        <f>SUM(AB61:AB63,AB66,AB69:AB70)</f>
        <v>2852.3698300000001</v>
      </c>
      <c r="AC78" s="1"/>
      <c r="AD78" s="1"/>
      <c r="AE78" s="1"/>
      <c r="AF78" s="1"/>
      <c r="AG78" s="1"/>
      <c r="AH78" s="1"/>
      <c r="AI78" s="1"/>
    </row>
    <row r="79" spans="1:35" ht="14.25" x14ac:dyDescent="0.2">
      <c r="A79" s="1"/>
      <c r="B79" s="34"/>
      <c r="C79" s="19"/>
      <c r="D79" s="30"/>
      <c r="E79" s="31"/>
      <c r="F79" s="31"/>
      <c r="G79" s="26"/>
      <c r="H79" s="31"/>
      <c r="I79" s="31"/>
      <c r="J79" s="27"/>
      <c r="K79" s="3"/>
      <c r="L79" s="30"/>
      <c r="M79" s="31"/>
      <c r="N79" s="31"/>
      <c r="O79" s="26"/>
      <c r="P79" s="31"/>
      <c r="Q79" s="31"/>
      <c r="R79" s="27"/>
      <c r="S79" s="3"/>
      <c r="T79" s="30"/>
      <c r="U79" s="31"/>
      <c r="V79" s="31"/>
      <c r="W79" s="26"/>
      <c r="X79" s="31"/>
      <c r="Y79" s="31"/>
      <c r="Z79" s="27"/>
      <c r="AA79" s="3"/>
      <c r="AB79" s="32"/>
      <c r="AC79" s="1"/>
      <c r="AD79" s="1"/>
      <c r="AE79" s="1"/>
      <c r="AF79" s="1"/>
      <c r="AG79" s="1"/>
      <c r="AH79" s="1"/>
      <c r="AI79" s="1"/>
    </row>
    <row r="80" spans="1:35" ht="14.25" x14ac:dyDescent="0.2">
      <c r="A80" s="1"/>
      <c r="B80" s="29" t="s">
        <v>33</v>
      </c>
      <c r="C80" s="19"/>
      <c r="D80" s="30">
        <f>-1040140.5/1000*-1</f>
        <v>1040.1405</v>
      </c>
      <c r="E80" s="31">
        <f>-383314.39/1000*-1</f>
        <v>383.31439</v>
      </c>
      <c r="F80" s="31">
        <f>D80-E80</f>
        <v>656.82610999999997</v>
      </c>
      <c r="G80" s="26">
        <f>IF(ISERROR(F80/E80),"N/A",IF(ABS(F80/E80)&gt;5,"N/A",F80/E80))</f>
        <v>1.7135440962704269</v>
      </c>
      <c r="H80" s="31">
        <f>0/1000*-1</f>
        <v>0</v>
      </c>
      <c r="I80" s="31">
        <f>D80-H80</f>
        <v>1040.1405</v>
      </c>
      <c r="J80" s="27" t="str">
        <f>IF(ISERROR(I80/H80),"N/A",IF(ABS(I80/H80)&gt;5,"N/A",I80/H80))</f>
        <v>N/A</v>
      </c>
      <c r="K80" s="3"/>
      <c r="L80" s="30">
        <f>-1332574.34/1000*-1</f>
        <v>1332.5743400000001</v>
      </c>
      <c r="M80" s="31">
        <f>-761001.15/1000*-1</f>
        <v>761.00115000000005</v>
      </c>
      <c r="N80" s="31">
        <f>L80-M80</f>
        <v>571.57319000000007</v>
      </c>
      <c r="O80" s="26">
        <f>IF(ISERROR(N80/M80),"N/A",IF(ABS(N80/M80)&gt;5,"N/A",N80/M80))</f>
        <v>0.75108058640910069</v>
      </c>
      <c r="P80" s="31">
        <f>-215733.79/1000*-1</f>
        <v>215.73379</v>
      </c>
      <c r="Q80" s="31">
        <f>L80-P80</f>
        <v>1116.8405500000001</v>
      </c>
      <c r="R80" s="27" t="str">
        <f>IF(ISERROR(Q80/P80),"N/A",IF(ABS(Q80/P80)&gt;5,"N/A",Q80/P80))</f>
        <v>N/A</v>
      </c>
      <c r="S80" s="3"/>
      <c r="T80" s="30">
        <f>-2406116.26/1000*-1</f>
        <v>2406.1162599999998</v>
      </c>
      <c r="U80" s="31">
        <f>-1311670.49/1000*-1</f>
        <v>1311.67049</v>
      </c>
      <c r="V80" s="31">
        <f>T80-U80</f>
        <v>1094.4457699999998</v>
      </c>
      <c r="W80" s="26">
        <f>IF(ISERROR(V80/U80),"N/A",IF(ABS(V80/U80)&gt;5,"N/A",V80/U80))</f>
        <v>0.83439078514299714</v>
      </c>
      <c r="X80" s="31">
        <f>-1289275.71/1000*-1</f>
        <v>1289.2757099999999</v>
      </c>
      <c r="Y80" s="31">
        <f>T80-X80</f>
        <v>1116.8405499999999</v>
      </c>
      <c r="Z80" s="27">
        <f>IF(ISERROR(Y80/X80),"N/A",IF(ABS(Y80/X80)&gt;5,"N/A",Y80/X80))</f>
        <v>0.86625423975450522</v>
      </c>
      <c r="AA80" s="3"/>
      <c r="AB80" s="32">
        <f>-5726055.71/1000*-1</f>
        <v>5726.0557099999996</v>
      </c>
      <c r="AC80" s="1"/>
      <c r="AD80" s="1"/>
      <c r="AE80" s="1"/>
      <c r="AF80" s="1"/>
      <c r="AG80" s="1"/>
      <c r="AH80" s="1"/>
      <c r="AI80" s="1"/>
    </row>
    <row r="81" spans="1:35" ht="14.25" x14ac:dyDescent="0.2">
      <c r="A81" s="1"/>
      <c r="B81" s="34"/>
      <c r="C81" s="19"/>
      <c r="D81" s="30"/>
      <c r="E81" s="31"/>
      <c r="F81" s="31"/>
      <c r="G81" s="26"/>
      <c r="H81" s="31"/>
      <c r="I81" s="31"/>
      <c r="J81" s="27"/>
      <c r="K81" s="3"/>
      <c r="L81" s="30"/>
      <c r="M81" s="31"/>
      <c r="N81" s="31"/>
      <c r="O81" s="26"/>
      <c r="P81" s="31"/>
      <c r="Q81" s="31"/>
      <c r="R81" s="27"/>
      <c r="S81" s="3"/>
      <c r="T81" s="30"/>
      <c r="U81" s="31"/>
      <c r="V81" s="31"/>
      <c r="W81" s="26"/>
      <c r="X81" s="31"/>
      <c r="Y81" s="31"/>
      <c r="Z81" s="27"/>
      <c r="AA81" s="3"/>
      <c r="AB81" s="32"/>
      <c r="AC81" s="1"/>
      <c r="AD81" s="1"/>
      <c r="AE81" s="1"/>
      <c r="AF81" s="1"/>
      <c r="AG81" s="1"/>
      <c r="AH81" s="1"/>
      <c r="AI81" s="1"/>
    </row>
    <row r="82" spans="1:35" x14ac:dyDescent="0.25">
      <c r="A82" s="1"/>
      <c r="B82" s="2" t="s">
        <v>36</v>
      </c>
      <c r="C82" s="19"/>
      <c r="D82" s="30">
        <f>SUM(D78:D81)</f>
        <v>1096.1212399999999</v>
      </c>
      <c r="E82" s="31">
        <f>SUM(E78:E81)</f>
        <v>511.27978999999999</v>
      </c>
      <c r="F82" s="31">
        <f>D82-E82</f>
        <v>584.8414499999999</v>
      </c>
      <c r="G82" s="26">
        <f>IF(ISERROR(F82/E82),"N/A",IF(ABS(F82/E82)&gt;5,"N/A",F82/E82))</f>
        <v>1.1438775039396725</v>
      </c>
      <c r="H82" s="31">
        <f>SUM(H78:H81)</f>
        <v>241.21177</v>
      </c>
      <c r="I82" s="31">
        <f>D82-H82</f>
        <v>854.90946999999994</v>
      </c>
      <c r="J82" s="27">
        <f>IF(ISERROR(I82/H82),"N/A",IF(ABS(I82/H82)&gt;5,"N/A",I82/H82))</f>
        <v>3.544227837638271</v>
      </c>
      <c r="K82" s="3"/>
      <c r="L82" s="30">
        <f>SUM(L78:L81)</f>
        <v>1572.9116600000002</v>
      </c>
      <c r="M82" s="31">
        <f>SUM(M78:M81)</f>
        <v>1188.81657</v>
      </c>
      <c r="N82" s="31">
        <f>L82-M82</f>
        <v>384.09509000000025</v>
      </c>
      <c r="O82" s="26">
        <f>IF(ISERROR(N82/M82),"N/A",IF(ABS(N82/M82)&gt;5,"N/A",N82/M82))</f>
        <v>0.32309028969877185</v>
      </c>
      <c r="P82" s="31">
        <f>SUM(P78:P81)</f>
        <v>781.72942999999998</v>
      </c>
      <c r="Q82" s="31">
        <f>L82-P82</f>
        <v>791.18223000000023</v>
      </c>
      <c r="R82" s="27">
        <f>IF(ISERROR(Q82/P82),"N/A",IF(ABS(Q82/P82)&gt;5,"N/A",Q82/P82))</f>
        <v>1.0120921633972515</v>
      </c>
      <c r="S82" s="3"/>
      <c r="T82" s="30">
        <f>SUM(T78:T81)</f>
        <v>3009.8928299999998</v>
      </c>
      <c r="U82" s="31">
        <f>SUM(U78:U81)</f>
        <v>2388.74541</v>
      </c>
      <c r="V82" s="31">
        <f>T82-U82</f>
        <v>621.14741999999978</v>
      </c>
      <c r="W82" s="26">
        <f>IF(ISERROR(V82/U82),"N/A",IF(ABS(V82/U82)&gt;5,"N/A",V82/U82))</f>
        <v>0.26003081676251122</v>
      </c>
      <c r="X82" s="31">
        <f>SUM(X78:X81)</f>
        <v>2218.7105999999999</v>
      </c>
      <c r="Y82" s="31">
        <f>T82-X82</f>
        <v>791.18222999999989</v>
      </c>
      <c r="Z82" s="27">
        <f>IF(ISERROR(Y82/X82),"N/A",IF(ABS(Y82/X82)&gt;5,"N/A",Y82/X82))</f>
        <v>0.35659550641710547</v>
      </c>
      <c r="AA82" s="3"/>
      <c r="AB82" s="32">
        <f>SUM(AB78:AB81)</f>
        <v>8578.4255400000002</v>
      </c>
      <c r="AC82" s="1"/>
      <c r="AD82" s="1"/>
      <c r="AE82" s="1"/>
      <c r="AF82" s="1"/>
      <c r="AG82" s="1"/>
      <c r="AH82" s="1"/>
      <c r="AI82" s="1"/>
    </row>
    <row r="83" spans="1:35" ht="14.25" x14ac:dyDescent="0.2">
      <c r="A83" s="1"/>
      <c r="B83" s="19"/>
      <c r="C83" s="19"/>
      <c r="D83" s="30"/>
      <c r="E83" s="31"/>
      <c r="F83" s="31"/>
      <c r="G83" s="26"/>
      <c r="H83" s="31"/>
      <c r="I83" s="31"/>
      <c r="J83" s="27"/>
      <c r="K83" s="3"/>
      <c r="L83" s="30"/>
      <c r="M83" s="31"/>
      <c r="N83" s="31"/>
      <c r="O83" s="26"/>
      <c r="P83" s="31"/>
      <c r="Q83" s="31"/>
      <c r="R83" s="27"/>
      <c r="S83" s="3"/>
      <c r="T83" s="30"/>
      <c r="U83" s="31"/>
      <c r="V83" s="31"/>
      <c r="W83" s="26"/>
      <c r="X83" s="31"/>
      <c r="Y83" s="31"/>
      <c r="Z83" s="27"/>
      <c r="AA83" s="3"/>
      <c r="AB83" s="42"/>
      <c r="AC83" s="1"/>
      <c r="AD83" s="1"/>
      <c r="AE83" s="1"/>
      <c r="AF83" s="1"/>
      <c r="AG83" s="1"/>
      <c r="AH83" s="1"/>
      <c r="AI83" s="1"/>
    </row>
    <row r="84" spans="1:35" s="35" customFormat="1" x14ac:dyDescent="0.25">
      <c r="B84" s="19"/>
      <c r="C84" s="19"/>
      <c r="D84" s="43"/>
      <c r="E84" s="44"/>
      <c r="F84" s="44"/>
      <c r="G84" s="45"/>
      <c r="H84" s="44"/>
      <c r="I84" s="44"/>
      <c r="J84" s="46"/>
      <c r="K84" s="19"/>
      <c r="L84" s="43"/>
      <c r="M84" s="44"/>
      <c r="N84" s="44"/>
      <c r="O84" s="45"/>
      <c r="P84" s="44"/>
      <c r="Q84" s="44"/>
      <c r="R84" s="46"/>
      <c r="S84" s="19"/>
      <c r="T84" s="43"/>
      <c r="U84" s="44"/>
      <c r="V84" s="44"/>
      <c r="W84" s="45"/>
      <c r="X84" s="44"/>
      <c r="Y84" s="44"/>
      <c r="Z84" s="46"/>
      <c r="AA84" s="19"/>
      <c r="AB84" s="47"/>
    </row>
    <row r="85" spans="1:35" ht="14.25" x14ac:dyDescent="0.2">
      <c r="A85" s="1"/>
      <c r="B85" s="19" t="s">
        <v>16</v>
      </c>
      <c r="C85" s="19"/>
      <c r="D85" s="30">
        <f>-238912.13/1000*-1</f>
        <v>238.91212999999999</v>
      </c>
      <c r="E85" s="31">
        <f>-217921.33/1000*-1</f>
        <v>217.92132999999998</v>
      </c>
      <c r="F85" s="31">
        <f t="shared" ref="F85:F100" si="36">D85-E85</f>
        <v>20.990800000000007</v>
      </c>
      <c r="G85" s="26">
        <f t="shared" ref="G85:G100" si="37">IF(ISERROR(F85/E85),"N/A",IF(ABS(F85/E85)&gt;5,"N/A",F85/E85))</f>
        <v>9.6322833565672575E-2</v>
      </c>
      <c r="H85" s="31">
        <f>-143565.84/1000*-1</f>
        <v>143.56584000000001</v>
      </c>
      <c r="I85" s="31">
        <f t="shared" ref="I85:I100" si="38">D85-H85</f>
        <v>95.346289999999982</v>
      </c>
      <c r="J85" s="27">
        <f t="shared" ref="J85:J100" si="39">IF(ISERROR(I85/H85),"N/A",IF(ABS(I85/H85)&gt;5,"N/A",I85/H85))</f>
        <v>0.66412936392111088</v>
      </c>
      <c r="K85" s="3"/>
      <c r="L85" s="30">
        <f>-595474.5/1000*-1</f>
        <v>595.47450000000003</v>
      </c>
      <c r="M85" s="31">
        <f>-814083.36/1000*-1</f>
        <v>814.08335999999997</v>
      </c>
      <c r="N85" s="31">
        <f t="shared" ref="N85:N100" si="40">L85-M85</f>
        <v>-218.60885999999994</v>
      </c>
      <c r="O85" s="26">
        <f t="shared" ref="O85:O100" si="41">IF(ISERROR(N85/M85),"N/A",IF(ABS(N85/M85)&gt;5,"N/A",N85/M85))</f>
        <v>-0.26853375310361333</v>
      </c>
      <c r="P85" s="31">
        <f>-458414.31/1000*-1</f>
        <v>458.41431</v>
      </c>
      <c r="Q85" s="31">
        <f t="shared" ref="Q85:Q100" si="42">L85-P85</f>
        <v>137.06019000000003</v>
      </c>
      <c r="R85" s="27">
        <f t="shared" ref="R85:R100" si="43">IF(ISERROR(Q85/P85),"N/A",IF(ABS(Q85/P85)&gt;5,"N/A",Q85/P85))</f>
        <v>0.29898759050519175</v>
      </c>
      <c r="S85" s="3"/>
      <c r="T85" s="30">
        <f>-1364581.69/1000*-1</f>
        <v>1364.58169</v>
      </c>
      <c r="U85" s="31">
        <f>-1546148.94/1000*-1</f>
        <v>1546.14894</v>
      </c>
      <c r="V85" s="31">
        <f t="shared" ref="V85:V100" si="44">T85-U85</f>
        <v>-181.56725000000006</v>
      </c>
      <c r="W85" s="26">
        <f t="shared" ref="W85:W100" si="45">IF(ISERROR(V85/U85),"N/A",IF(ABS(V85/U85)&gt;5,"N/A",V85/U85))</f>
        <v>-0.11743192735364813</v>
      </c>
      <c r="X85" s="31">
        <f>-1227521.5/1000*-1</f>
        <v>1227.5215000000001</v>
      </c>
      <c r="Y85" s="31">
        <f t="shared" ref="Y85:Y100" si="46">T85-X85</f>
        <v>137.06018999999992</v>
      </c>
      <c r="Z85" s="27">
        <f t="shared" ref="Z85:Z100" si="47">IF(ISERROR(Y85/X85),"N/A",IF(ABS(Y85/X85)&gt;5,"N/A",Y85/X85))</f>
        <v>0.11165604024043564</v>
      </c>
      <c r="AA85" s="3"/>
      <c r="AB85" s="32">
        <f>-3508086.93/1000*-1</f>
        <v>3508.0869300000004</v>
      </c>
      <c r="AC85" s="1"/>
      <c r="AD85" s="1"/>
      <c r="AE85" s="1"/>
      <c r="AF85" s="1"/>
      <c r="AG85" s="1"/>
      <c r="AH85" s="1"/>
      <c r="AI85" s="1"/>
    </row>
    <row r="86" spans="1:35" ht="14.25" x14ac:dyDescent="0.2">
      <c r="A86" s="1"/>
      <c r="B86" s="29" t="s">
        <v>17</v>
      </c>
      <c r="C86" s="19"/>
      <c r="D86" s="30">
        <f>40729.2/1000*-1</f>
        <v>-40.729199999999999</v>
      </c>
      <c r="E86" s="31">
        <f>36163.85/1000*-1</f>
        <v>-36.163849999999996</v>
      </c>
      <c r="F86" s="31">
        <f t="shared" si="36"/>
        <v>-4.5653500000000022</v>
      </c>
      <c r="G86" s="26">
        <f t="shared" si="37"/>
        <v>0.12624070722558584</v>
      </c>
      <c r="H86" s="31">
        <f>25080/1000*-1</f>
        <v>-25.08</v>
      </c>
      <c r="I86" s="31">
        <f t="shared" si="38"/>
        <v>-15.6492</v>
      </c>
      <c r="J86" s="27">
        <f t="shared" si="39"/>
        <v>0.62397129186602873</v>
      </c>
      <c r="K86" s="3"/>
      <c r="L86" s="30">
        <f>109438.54/1000*-1</f>
        <v>-109.43853999999999</v>
      </c>
      <c r="M86" s="31">
        <f>61298.19/1000*-1</f>
        <v>-61.298190000000005</v>
      </c>
      <c r="N86" s="31">
        <f t="shared" si="40"/>
        <v>-48.140349999999984</v>
      </c>
      <c r="O86" s="26">
        <f t="shared" si="41"/>
        <v>0.78534700616771846</v>
      </c>
      <c r="P86" s="31">
        <f>81303.93/1000*-1</f>
        <v>-81.303929999999994</v>
      </c>
      <c r="Q86" s="31">
        <f t="shared" si="42"/>
        <v>-28.134609999999995</v>
      </c>
      <c r="R86" s="27">
        <f t="shared" si="43"/>
        <v>0.34604243607904311</v>
      </c>
      <c r="S86" s="3"/>
      <c r="T86" s="30">
        <f>210969.36/1000*-1</f>
        <v>-210.96935999999999</v>
      </c>
      <c r="U86" s="31">
        <f>170927.4/1000*-1</f>
        <v>-170.92740000000001</v>
      </c>
      <c r="V86" s="31">
        <f t="shared" si="44"/>
        <v>-40.041959999999989</v>
      </c>
      <c r="W86" s="26">
        <f t="shared" si="45"/>
        <v>0.23426296778632325</v>
      </c>
      <c r="X86" s="31">
        <f>182834.75/1000*-1</f>
        <v>-182.83475000000001</v>
      </c>
      <c r="Y86" s="31">
        <f t="shared" si="46"/>
        <v>-28.134609999999981</v>
      </c>
      <c r="Z86" s="27">
        <f t="shared" si="47"/>
        <v>0.15387999272567157</v>
      </c>
      <c r="AA86" s="3"/>
      <c r="AB86" s="32">
        <f>361054.75/1000*-1</f>
        <v>-361.05475000000001</v>
      </c>
      <c r="AC86" s="1"/>
      <c r="AD86" s="1"/>
      <c r="AE86" s="1"/>
      <c r="AF86" s="1"/>
      <c r="AG86" s="1"/>
      <c r="AH86" s="1"/>
      <c r="AI86" s="1"/>
    </row>
    <row r="87" spans="1:35" ht="14.25" x14ac:dyDescent="0.2">
      <c r="A87" s="1"/>
      <c r="B87" s="19" t="s">
        <v>18</v>
      </c>
      <c r="C87" s="19"/>
      <c r="D87" s="30">
        <f>SUM(D88:D89)</f>
        <v>0</v>
      </c>
      <c r="E87" s="31">
        <f>SUM(E88:E89)</f>
        <v>0</v>
      </c>
      <c r="F87" s="31">
        <f t="shared" si="36"/>
        <v>0</v>
      </c>
      <c r="G87" s="26" t="str">
        <f t="shared" si="37"/>
        <v>N/A</v>
      </c>
      <c r="H87" s="31">
        <f>SUM(H88:H89)</f>
        <v>3.6960000000000002</v>
      </c>
      <c r="I87" s="31">
        <f t="shared" si="38"/>
        <v>-3.6960000000000002</v>
      </c>
      <c r="J87" s="27">
        <f t="shared" si="39"/>
        <v>-1</v>
      </c>
      <c r="K87" s="3"/>
      <c r="L87" s="30">
        <f>SUM(L88:L89)</f>
        <v>0</v>
      </c>
      <c r="M87" s="31">
        <f>SUM(M88:M89)</f>
        <v>0</v>
      </c>
      <c r="N87" s="31">
        <f t="shared" si="40"/>
        <v>0</v>
      </c>
      <c r="O87" s="26" t="str">
        <f t="shared" si="41"/>
        <v>N/A</v>
      </c>
      <c r="P87" s="31">
        <f>SUM(P88:P89)</f>
        <v>7.3920000000000003</v>
      </c>
      <c r="Q87" s="31">
        <f t="shared" si="42"/>
        <v>-7.3920000000000003</v>
      </c>
      <c r="R87" s="27">
        <f t="shared" si="43"/>
        <v>-1</v>
      </c>
      <c r="S87" s="3"/>
      <c r="T87" s="30">
        <f>SUM(T88:T89)</f>
        <v>0</v>
      </c>
      <c r="U87" s="31">
        <f>SUM(U88:U89)</f>
        <v>0</v>
      </c>
      <c r="V87" s="31">
        <f t="shared" si="44"/>
        <v>0</v>
      </c>
      <c r="W87" s="26" t="str">
        <f t="shared" si="45"/>
        <v>N/A</v>
      </c>
      <c r="X87" s="31">
        <f>SUM(X88:X89)</f>
        <v>7.3920000000000003</v>
      </c>
      <c r="Y87" s="31">
        <f t="shared" si="46"/>
        <v>-7.3920000000000003</v>
      </c>
      <c r="Z87" s="27">
        <f t="shared" si="47"/>
        <v>-1</v>
      </c>
      <c r="AA87" s="3"/>
      <c r="AB87" s="32">
        <f>SUM(AB88:AB89)</f>
        <v>33.655999999999999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3" t="s">
        <v>19</v>
      </c>
      <c r="C88" s="19"/>
      <c r="D88" s="30">
        <f>0/1000*-1</f>
        <v>0</v>
      </c>
      <c r="E88" s="31">
        <f>0/1000*-1</f>
        <v>0</v>
      </c>
      <c r="F88" s="31">
        <f t="shared" si="36"/>
        <v>0</v>
      </c>
      <c r="G88" s="26" t="str">
        <f t="shared" si="37"/>
        <v>N/A</v>
      </c>
      <c r="H88" s="31">
        <f>0/1000*-1</f>
        <v>0</v>
      </c>
      <c r="I88" s="31">
        <f t="shared" si="38"/>
        <v>0</v>
      </c>
      <c r="J88" s="27" t="str">
        <f t="shared" si="39"/>
        <v>N/A</v>
      </c>
      <c r="K88" s="3"/>
      <c r="L88" s="30">
        <f>0/1000*-1</f>
        <v>0</v>
      </c>
      <c r="M88" s="31">
        <f>0/1000*-1</f>
        <v>0</v>
      </c>
      <c r="N88" s="31">
        <f t="shared" si="40"/>
        <v>0</v>
      </c>
      <c r="O88" s="26" t="str">
        <f t="shared" si="41"/>
        <v>N/A</v>
      </c>
      <c r="P88" s="31">
        <f>0/1000*-1</f>
        <v>0</v>
      </c>
      <c r="Q88" s="31">
        <f t="shared" si="42"/>
        <v>0</v>
      </c>
      <c r="R88" s="27" t="str">
        <f t="shared" si="43"/>
        <v>N/A</v>
      </c>
      <c r="S88" s="3"/>
      <c r="T88" s="30">
        <f>0/1000*-1</f>
        <v>0</v>
      </c>
      <c r="U88" s="31">
        <f>0/1000*-1</f>
        <v>0</v>
      </c>
      <c r="V88" s="31">
        <f t="shared" si="44"/>
        <v>0</v>
      </c>
      <c r="W88" s="26" t="str">
        <f t="shared" si="45"/>
        <v>N/A</v>
      </c>
      <c r="X88" s="31">
        <f>0/1000*-1</f>
        <v>0</v>
      </c>
      <c r="Y88" s="31">
        <f t="shared" si="46"/>
        <v>0</v>
      </c>
      <c r="Z88" s="27" t="str">
        <f t="shared" si="47"/>
        <v>N/A</v>
      </c>
      <c r="AA88" s="3"/>
      <c r="AB88" s="32">
        <f>0/1000*-1</f>
        <v>0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3" t="s">
        <v>20</v>
      </c>
      <c r="C89" s="19"/>
      <c r="D89" s="30">
        <f>0/1000*-1</f>
        <v>0</v>
      </c>
      <c r="E89" s="31">
        <f>0/1000*-1</f>
        <v>0</v>
      </c>
      <c r="F89" s="31">
        <f t="shared" si="36"/>
        <v>0</v>
      </c>
      <c r="G89" s="26" t="str">
        <f t="shared" si="37"/>
        <v>N/A</v>
      </c>
      <c r="H89" s="31">
        <f>-3696/1000*-1</f>
        <v>3.6960000000000002</v>
      </c>
      <c r="I89" s="31">
        <f t="shared" si="38"/>
        <v>-3.6960000000000002</v>
      </c>
      <c r="J89" s="27">
        <f t="shared" si="39"/>
        <v>-1</v>
      </c>
      <c r="K89" s="3"/>
      <c r="L89" s="30">
        <f>0/1000*-1</f>
        <v>0</v>
      </c>
      <c r="M89" s="31">
        <f>0/1000*-1</f>
        <v>0</v>
      </c>
      <c r="N89" s="31">
        <f t="shared" si="40"/>
        <v>0</v>
      </c>
      <c r="O89" s="26" t="str">
        <f t="shared" si="41"/>
        <v>N/A</v>
      </c>
      <c r="P89" s="31">
        <f>-7392/1000*-1</f>
        <v>7.3920000000000003</v>
      </c>
      <c r="Q89" s="31">
        <f t="shared" si="42"/>
        <v>-7.3920000000000003</v>
      </c>
      <c r="R89" s="27">
        <f t="shared" si="43"/>
        <v>-1</v>
      </c>
      <c r="S89" s="3"/>
      <c r="T89" s="30">
        <f>0/1000*-1</f>
        <v>0</v>
      </c>
      <c r="U89" s="31">
        <f>0/1000*-1</f>
        <v>0</v>
      </c>
      <c r="V89" s="31">
        <f t="shared" si="44"/>
        <v>0</v>
      </c>
      <c r="W89" s="26" t="str">
        <f t="shared" si="45"/>
        <v>N/A</v>
      </c>
      <c r="X89" s="31">
        <f>-7392/1000*-1</f>
        <v>7.3920000000000003</v>
      </c>
      <c r="Y89" s="31">
        <f t="shared" si="46"/>
        <v>-7.3920000000000003</v>
      </c>
      <c r="Z89" s="27">
        <f t="shared" si="47"/>
        <v>-1</v>
      </c>
      <c r="AA89" s="3"/>
      <c r="AB89" s="32">
        <f>-33656/1000*-1</f>
        <v>33.655999999999999</v>
      </c>
      <c r="AC89" s="1"/>
      <c r="AD89" s="1"/>
      <c r="AE89" s="1"/>
      <c r="AF89" s="1"/>
      <c r="AG89" s="1"/>
      <c r="AH89" s="1"/>
      <c r="AI89" s="1"/>
    </row>
    <row r="90" spans="1:35" ht="14.25" collapsed="1" x14ac:dyDescent="0.2">
      <c r="A90" s="1"/>
      <c r="B90" s="19" t="s">
        <v>21</v>
      </c>
      <c r="C90" s="19"/>
      <c r="D90" s="30">
        <f>SUM(D91:D92)</f>
        <v>114.61602000000001</v>
      </c>
      <c r="E90" s="31">
        <f>SUM(E91:E92)</f>
        <v>146.81292999999999</v>
      </c>
      <c r="F90" s="31">
        <f t="shared" si="36"/>
        <v>-32.196909999999988</v>
      </c>
      <c r="G90" s="26">
        <f t="shared" si="37"/>
        <v>-0.21930568377049617</v>
      </c>
      <c r="H90" s="31">
        <f>SUM(H91:H92)</f>
        <v>117.38232000000001</v>
      </c>
      <c r="I90" s="31">
        <f t="shared" si="38"/>
        <v>-2.7663000000000011</v>
      </c>
      <c r="J90" s="27">
        <f t="shared" si="39"/>
        <v>-2.3566581406808122E-2</v>
      </c>
      <c r="K90" s="3"/>
      <c r="L90" s="30">
        <f>SUM(L91:L92)</f>
        <v>331.95896000000005</v>
      </c>
      <c r="M90" s="31">
        <f>SUM(M91:M92)</f>
        <v>466.85657000000003</v>
      </c>
      <c r="N90" s="31">
        <f t="shared" si="40"/>
        <v>-134.89760999999999</v>
      </c>
      <c r="O90" s="26">
        <f t="shared" si="41"/>
        <v>-0.28894872358763202</v>
      </c>
      <c r="P90" s="31">
        <f>SUM(P91:P92)</f>
        <v>345.25973999999997</v>
      </c>
      <c r="Q90" s="31">
        <f t="shared" si="42"/>
        <v>-13.300779999999918</v>
      </c>
      <c r="R90" s="27">
        <f t="shared" si="43"/>
        <v>-3.8523981973687171E-2</v>
      </c>
      <c r="S90" s="3"/>
      <c r="T90" s="30">
        <f>SUM(T91:T92)</f>
        <v>854.49214000000006</v>
      </c>
      <c r="U90" s="31">
        <f>SUM(U91:U92)</f>
        <v>951.73482999999999</v>
      </c>
      <c r="V90" s="31">
        <f t="shared" si="44"/>
        <v>-97.242689999999925</v>
      </c>
      <c r="W90" s="26">
        <f t="shared" si="45"/>
        <v>-0.10217414235013331</v>
      </c>
      <c r="X90" s="31">
        <f>SUM(X91:X92)</f>
        <v>867.79292000000009</v>
      </c>
      <c r="Y90" s="31">
        <f t="shared" si="46"/>
        <v>-13.300780000000032</v>
      </c>
      <c r="Z90" s="27">
        <f t="shared" si="47"/>
        <v>-1.5327135879375496E-2</v>
      </c>
      <c r="AA90" s="3"/>
      <c r="AB90" s="32">
        <f>SUM(AB91:AB92)</f>
        <v>2199.2671700000001</v>
      </c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3" t="s">
        <v>22</v>
      </c>
      <c r="C91" s="19"/>
      <c r="D91" s="30">
        <f>-114616.02/1000*-1</f>
        <v>114.61602000000001</v>
      </c>
      <c r="E91" s="31">
        <f>-146812.93/1000*-1</f>
        <v>146.81292999999999</v>
      </c>
      <c r="F91" s="31">
        <f t="shared" si="36"/>
        <v>-32.196909999999988</v>
      </c>
      <c r="G91" s="26">
        <f t="shared" si="37"/>
        <v>-0.21930568377049617</v>
      </c>
      <c r="H91" s="31">
        <f>-117382.32/1000*-1</f>
        <v>117.38232000000001</v>
      </c>
      <c r="I91" s="31">
        <f t="shared" si="38"/>
        <v>-2.7663000000000011</v>
      </c>
      <c r="J91" s="27">
        <f t="shared" si="39"/>
        <v>-2.3566581406808122E-2</v>
      </c>
      <c r="K91" s="3"/>
      <c r="L91" s="30">
        <f>-331958.96/1000*-1</f>
        <v>331.95896000000005</v>
      </c>
      <c r="M91" s="31">
        <f>-466856.57/1000*-1</f>
        <v>466.85657000000003</v>
      </c>
      <c r="N91" s="31">
        <f t="shared" si="40"/>
        <v>-134.89760999999999</v>
      </c>
      <c r="O91" s="26">
        <f t="shared" si="41"/>
        <v>-0.28894872358763202</v>
      </c>
      <c r="P91" s="31">
        <f>-345259.74/1000*-1</f>
        <v>345.25973999999997</v>
      </c>
      <c r="Q91" s="31">
        <f t="shared" si="42"/>
        <v>-13.300779999999918</v>
      </c>
      <c r="R91" s="27">
        <f t="shared" si="43"/>
        <v>-3.8523981973687171E-2</v>
      </c>
      <c r="S91" s="3"/>
      <c r="T91" s="30">
        <f>-854492.14/1000*-1</f>
        <v>854.49214000000006</v>
      </c>
      <c r="U91" s="31">
        <f>-951734.83/1000*-1</f>
        <v>951.73482999999999</v>
      </c>
      <c r="V91" s="31">
        <f t="shared" si="44"/>
        <v>-97.242689999999925</v>
      </c>
      <c r="W91" s="26">
        <f t="shared" si="45"/>
        <v>-0.10217414235013331</v>
      </c>
      <c r="X91" s="31">
        <f>-867792.92/1000*-1</f>
        <v>867.79292000000009</v>
      </c>
      <c r="Y91" s="31">
        <f t="shared" si="46"/>
        <v>-13.300780000000032</v>
      </c>
      <c r="Z91" s="27">
        <f t="shared" si="47"/>
        <v>-1.5327135879375496E-2</v>
      </c>
      <c r="AA91" s="3"/>
      <c r="AB91" s="32">
        <f>-2199267.17/1000*-1</f>
        <v>2199.2671700000001</v>
      </c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3">
        <v>420040</v>
      </c>
      <c r="C92" s="19"/>
      <c r="D92" s="30">
        <f>0/1000*-1</f>
        <v>0</v>
      </c>
      <c r="E92" s="31">
        <f>0/1000*-1</f>
        <v>0</v>
      </c>
      <c r="F92" s="31">
        <f t="shared" si="36"/>
        <v>0</v>
      </c>
      <c r="G92" s="26" t="str">
        <f t="shared" si="37"/>
        <v>N/A</v>
      </c>
      <c r="H92" s="31">
        <f>0/1000*-1</f>
        <v>0</v>
      </c>
      <c r="I92" s="31">
        <f t="shared" si="38"/>
        <v>0</v>
      </c>
      <c r="J92" s="27" t="str">
        <f t="shared" si="39"/>
        <v>N/A</v>
      </c>
      <c r="K92" s="3"/>
      <c r="L92" s="30">
        <f>0/1000*-1</f>
        <v>0</v>
      </c>
      <c r="M92" s="31">
        <f>0/1000*-1</f>
        <v>0</v>
      </c>
      <c r="N92" s="31">
        <f t="shared" si="40"/>
        <v>0</v>
      </c>
      <c r="O92" s="26" t="str">
        <f t="shared" si="41"/>
        <v>N/A</v>
      </c>
      <c r="P92" s="31">
        <f>0/1000*-1</f>
        <v>0</v>
      </c>
      <c r="Q92" s="31">
        <f t="shared" si="42"/>
        <v>0</v>
      </c>
      <c r="R92" s="27" t="str">
        <f t="shared" si="43"/>
        <v>N/A</v>
      </c>
      <c r="S92" s="3"/>
      <c r="T92" s="30">
        <f>0/1000*-1</f>
        <v>0</v>
      </c>
      <c r="U92" s="31">
        <f>0/1000*-1</f>
        <v>0</v>
      </c>
      <c r="V92" s="31">
        <f t="shared" si="44"/>
        <v>0</v>
      </c>
      <c r="W92" s="26" t="str">
        <f t="shared" si="45"/>
        <v>N/A</v>
      </c>
      <c r="X92" s="31">
        <f>0/1000*-1</f>
        <v>0</v>
      </c>
      <c r="Y92" s="31">
        <f t="shared" si="46"/>
        <v>0</v>
      </c>
      <c r="Z92" s="27" t="str">
        <f t="shared" si="47"/>
        <v>N/A</v>
      </c>
      <c r="AA92" s="3"/>
      <c r="AB92" s="32">
        <f>0/1000*-1</f>
        <v>0</v>
      </c>
      <c r="AC92" s="1"/>
      <c r="AD92" s="1"/>
      <c r="AE92" s="1"/>
      <c r="AF92" s="1"/>
      <c r="AG92" s="1"/>
      <c r="AH92" s="1"/>
      <c r="AI92" s="1"/>
    </row>
    <row r="93" spans="1:35" ht="14.25" collapsed="1" x14ac:dyDescent="0.2">
      <c r="A93" s="1"/>
      <c r="B93" s="19" t="s">
        <v>24</v>
      </c>
      <c r="C93" s="19"/>
      <c r="D93" s="30">
        <v>0</v>
      </c>
      <c r="E93" s="31">
        <v>0</v>
      </c>
      <c r="F93" s="31">
        <f t="shared" si="36"/>
        <v>0</v>
      </c>
      <c r="G93" s="26" t="str">
        <f t="shared" si="37"/>
        <v>N/A</v>
      </c>
      <c r="H93" s="31">
        <v>0</v>
      </c>
      <c r="I93" s="31">
        <f t="shared" si="38"/>
        <v>0</v>
      </c>
      <c r="J93" s="27" t="str">
        <f t="shared" si="39"/>
        <v>N/A</v>
      </c>
      <c r="K93" s="3"/>
      <c r="L93" s="30">
        <v>0</v>
      </c>
      <c r="M93" s="31">
        <v>0</v>
      </c>
      <c r="N93" s="31">
        <f t="shared" si="40"/>
        <v>0</v>
      </c>
      <c r="O93" s="26" t="str">
        <f t="shared" si="41"/>
        <v>N/A</v>
      </c>
      <c r="P93" s="31">
        <v>0</v>
      </c>
      <c r="Q93" s="31">
        <f t="shared" si="42"/>
        <v>0</v>
      </c>
      <c r="R93" s="27" t="str">
        <f t="shared" si="43"/>
        <v>N/A</v>
      </c>
      <c r="S93" s="3"/>
      <c r="T93" s="30">
        <v>0</v>
      </c>
      <c r="U93" s="31">
        <v>0</v>
      </c>
      <c r="V93" s="31">
        <f t="shared" si="44"/>
        <v>0</v>
      </c>
      <c r="W93" s="26" t="str">
        <f t="shared" si="45"/>
        <v>N/A</v>
      </c>
      <c r="X93" s="31">
        <v>0</v>
      </c>
      <c r="Y93" s="31">
        <f t="shared" si="46"/>
        <v>0</v>
      </c>
      <c r="Z93" s="27" t="str">
        <f t="shared" si="47"/>
        <v>N/A</v>
      </c>
      <c r="AA93" s="3"/>
      <c r="AB93" s="32">
        <v>0</v>
      </c>
      <c r="AC93" s="1"/>
      <c r="AD93" s="1"/>
      <c r="AE93" s="1"/>
      <c r="AF93" s="1"/>
      <c r="AG93" s="1"/>
      <c r="AH93" s="1"/>
      <c r="AI93" s="1"/>
    </row>
    <row r="94" spans="1:35" ht="14.25" x14ac:dyDescent="0.2">
      <c r="A94" s="1"/>
      <c r="B94" s="19" t="s">
        <v>25</v>
      </c>
      <c r="C94" s="19"/>
      <c r="D94" s="30">
        <f>SUM(D95:D98)</f>
        <v>391.72937999999999</v>
      </c>
      <c r="E94" s="31">
        <f>SUM(E95:E98)</f>
        <v>449.27139</v>
      </c>
      <c r="F94" s="31">
        <f t="shared" si="36"/>
        <v>-57.542010000000005</v>
      </c>
      <c r="G94" s="26">
        <f t="shared" si="37"/>
        <v>-0.12807850951737659</v>
      </c>
      <c r="H94" s="31">
        <f>SUM(H95:H98)</f>
        <v>364.98989999999998</v>
      </c>
      <c r="I94" s="31">
        <f t="shared" si="38"/>
        <v>26.739480000000015</v>
      </c>
      <c r="J94" s="27">
        <f t="shared" si="39"/>
        <v>7.3260876533843861E-2</v>
      </c>
      <c r="K94" s="3"/>
      <c r="L94" s="30">
        <f>SUM(L95:L98)</f>
        <v>1279.1116100000002</v>
      </c>
      <c r="M94" s="31">
        <f>SUM(M95:M98)</f>
        <v>1306.9468099999999</v>
      </c>
      <c r="N94" s="31">
        <f t="shared" si="40"/>
        <v>-27.835199999999759</v>
      </c>
      <c r="O94" s="26">
        <f t="shared" si="41"/>
        <v>-2.1297882811313309E-2</v>
      </c>
      <c r="P94" s="31">
        <f>SUM(P95:P98)</f>
        <v>1189.41876</v>
      </c>
      <c r="Q94" s="31">
        <f t="shared" si="42"/>
        <v>89.692850000000135</v>
      </c>
      <c r="R94" s="27">
        <f t="shared" si="43"/>
        <v>7.5408975388953955E-2</v>
      </c>
      <c r="S94" s="3"/>
      <c r="T94" s="30">
        <f>SUM(T95:T98)</f>
        <v>2815.25173</v>
      </c>
      <c r="U94" s="31">
        <f>SUM(U95:U98)</f>
        <v>2946.3163100000002</v>
      </c>
      <c r="V94" s="31">
        <f t="shared" si="44"/>
        <v>-131.06458000000021</v>
      </c>
      <c r="W94" s="26">
        <f t="shared" si="45"/>
        <v>-4.4484219007700568E-2</v>
      </c>
      <c r="X94" s="31">
        <f>SUM(X95:X98)</f>
        <v>2725.5588799999996</v>
      </c>
      <c r="Y94" s="31">
        <f t="shared" si="46"/>
        <v>89.692850000000362</v>
      </c>
      <c r="Z94" s="27">
        <f t="shared" si="47"/>
        <v>3.2908058108067864E-2</v>
      </c>
      <c r="AA94" s="3"/>
      <c r="AB94" s="32">
        <f>SUM(AB95:AB98)</f>
        <v>6394.7449699999997</v>
      </c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3" t="s">
        <v>26</v>
      </c>
      <c r="C95" s="19"/>
      <c r="D95" s="30">
        <f>0/1000*-1</f>
        <v>0</v>
      </c>
      <c r="E95" s="31">
        <f>0/1000*-1</f>
        <v>0</v>
      </c>
      <c r="F95" s="31">
        <f t="shared" si="36"/>
        <v>0</v>
      </c>
      <c r="G95" s="26" t="str">
        <f t="shared" si="37"/>
        <v>N/A</v>
      </c>
      <c r="H95" s="31">
        <f>0/1000*-1</f>
        <v>0</v>
      </c>
      <c r="I95" s="31">
        <f t="shared" si="38"/>
        <v>0</v>
      </c>
      <c r="J95" s="27" t="str">
        <f t="shared" si="39"/>
        <v>N/A</v>
      </c>
      <c r="K95" s="3"/>
      <c r="L95" s="30">
        <f>0/1000*-1</f>
        <v>0</v>
      </c>
      <c r="M95" s="31">
        <f>0/1000*-1</f>
        <v>0</v>
      </c>
      <c r="N95" s="31">
        <f t="shared" si="40"/>
        <v>0</v>
      </c>
      <c r="O95" s="26" t="str">
        <f t="shared" si="41"/>
        <v>N/A</v>
      </c>
      <c r="P95" s="31">
        <f>0/1000*-1</f>
        <v>0</v>
      </c>
      <c r="Q95" s="31">
        <f t="shared" si="42"/>
        <v>0</v>
      </c>
      <c r="R95" s="27" t="str">
        <f t="shared" si="43"/>
        <v>N/A</v>
      </c>
      <c r="S95" s="3"/>
      <c r="T95" s="30">
        <f>0/1000*-1</f>
        <v>0</v>
      </c>
      <c r="U95" s="31">
        <f>0/1000*-1</f>
        <v>0</v>
      </c>
      <c r="V95" s="31">
        <f t="shared" si="44"/>
        <v>0</v>
      </c>
      <c r="W95" s="26" t="str">
        <f t="shared" si="45"/>
        <v>N/A</v>
      </c>
      <c r="X95" s="31">
        <f>0/1000*-1</f>
        <v>0</v>
      </c>
      <c r="Y95" s="31">
        <f t="shared" si="46"/>
        <v>0</v>
      </c>
      <c r="Z95" s="27" t="str">
        <f t="shared" si="47"/>
        <v>N/A</v>
      </c>
      <c r="AA95" s="3"/>
      <c r="AB95" s="32">
        <f>0/1000*-1</f>
        <v>0</v>
      </c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3" t="s">
        <v>27</v>
      </c>
      <c r="C96" s="19"/>
      <c r="D96" s="30">
        <f>-2875.07/1000*-1</f>
        <v>2.87507</v>
      </c>
      <c r="E96" s="31">
        <f>-3516.96/1000*-1</f>
        <v>3.5169600000000001</v>
      </c>
      <c r="F96" s="31">
        <f t="shared" si="36"/>
        <v>-0.64189000000000007</v>
      </c>
      <c r="G96" s="26">
        <f t="shared" si="37"/>
        <v>-0.18251273827396389</v>
      </c>
      <c r="H96" s="31">
        <f>0/1000*-1</f>
        <v>0</v>
      </c>
      <c r="I96" s="31">
        <f t="shared" si="38"/>
        <v>2.87507</v>
      </c>
      <c r="J96" s="27" t="str">
        <f t="shared" si="39"/>
        <v>N/A</v>
      </c>
      <c r="K96" s="3"/>
      <c r="L96" s="30">
        <f>-7086.3/1000*-1</f>
        <v>7.0863000000000005</v>
      </c>
      <c r="M96" s="31">
        <f>-11675.35/1000*-1</f>
        <v>11.67535</v>
      </c>
      <c r="N96" s="31">
        <f t="shared" si="40"/>
        <v>-4.5890499999999994</v>
      </c>
      <c r="O96" s="26">
        <f t="shared" si="41"/>
        <v>-0.3930545979349655</v>
      </c>
      <c r="P96" s="31">
        <f>-1865.22/1000*-1</f>
        <v>1.8652200000000001</v>
      </c>
      <c r="Q96" s="31">
        <f t="shared" si="42"/>
        <v>5.2210800000000006</v>
      </c>
      <c r="R96" s="27">
        <f t="shared" si="43"/>
        <v>2.7991765046482455</v>
      </c>
      <c r="S96" s="3"/>
      <c r="T96" s="30">
        <f>-17542.14/1000*-1</f>
        <v>17.54214</v>
      </c>
      <c r="U96" s="31">
        <f>-24965.47/1000*-1</f>
        <v>24.96547</v>
      </c>
      <c r="V96" s="31">
        <f t="shared" si="44"/>
        <v>-7.42333</v>
      </c>
      <c r="W96" s="26">
        <f t="shared" si="45"/>
        <v>-0.29734389138277789</v>
      </c>
      <c r="X96" s="31">
        <f>-12321.06/1000*-1</f>
        <v>12.321059999999999</v>
      </c>
      <c r="Y96" s="31">
        <f t="shared" si="46"/>
        <v>5.2210800000000006</v>
      </c>
      <c r="Z96" s="27">
        <f t="shared" si="47"/>
        <v>0.4237525018139674</v>
      </c>
      <c r="AA96" s="3"/>
      <c r="AB96" s="32">
        <f>-12321.06/1000*-1</f>
        <v>12.321059999999999</v>
      </c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3" t="s">
        <v>28</v>
      </c>
      <c r="C97" s="19"/>
      <c r="D97" s="30">
        <f>-200623.71/1000*-1</f>
        <v>200.62370999999999</v>
      </c>
      <c r="E97" s="31">
        <f>-161104.48/1000*-1</f>
        <v>161.10448000000002</v>
      </c>
      <c r="F97" s="31">
        <f t="shared" si="36"/>
        <v>39.519229999999965</v>
      </c>
      <c r="G97" s="26">
        <f t="shared" si="37"/>
        <v>0.24530186870036116</v>
      </c>
      <c r="H97" s="31">
        <f>-174061.8/1000*-1</f>
        <v>174.06179999999998</v>
      </c>
      <c r="I97" s="31">
        <f t="shared" si="38"/>
        <v>26.561910000000012</v>
      </c>
      <c r="J97" s="27">
        <f t="shared" si="39"/>
        <v>0.15260045570021691</v>
      </c>
      <c r="K97" s="3"/>
      <c r="L97" s="30">
        <f>-608324.88/1000*-1</f>
        <v>608.32488000000001</v>
      </c>
      <c r="M97" s="31">
        <f>-682476.02/1000*-1</f>
        <v>682.47602000000006</v>
      </c>
      <c r="N97" s="31">
        <f t="shared" si="40"/>
        <v>-74.151140000000055</v>
      </c>
      <c r="O97" s="26">
        <f t="shared" si="41"/>
        <v>-0.10865017645601679</v>
      </c>
      <c r="P97" s="31">
        <f>-545909.13/1000*-1</f>
        <v>545.90913</v>
      </c>
      <c r="Q97" s="31">
        <f t="shared" si="42"/>
        <v>62.415750000000003</v>
      </c>
      <c r="R97" s="27">
        <f t="shared" si="43"/>
        <v>0.11433358881541329</v>
      </c>
      <c r="S97" s="3"/>
      <c r="T97" s="30">
        <f>-1723189.39/1000*-1</f>
        <v>1723.18939</v>
      </c>
      <c r="U97" s="31">
        <f>-1833631.93/1000*-1</f>
        <v>1833.63193</v>
      </c>
      <c r="V97" s="31">
        <f t="shared" si="44"/>
        <v>-110.44254000000001</v>
      </c>
      <c r="W97" s="26">
        <f t="shared" si="45"/>
        <v>-6.0231575483090549E-2</v>
      </c>
      <c r="X97" s="31">
        <f>-1660773.64/1000*-1</f>
        <v>1660.7736399999999</v>
      </c>
      <c r="Y97" s="31">
        <f t="shared" si="46"/>
        <v>62.415750000000116</v>
      </c>
      <c r="Z97" s="27">
        <f t="shared" si="47"/>
        <v>3.7582334218647713E-2</v>
      </c>
      <c r="AA97" s="3"/>
      <c r="AB97" s="32">
        <f>-3846450.99/1000*-1</f>
        <v>3846.4509900000003</v>
      </c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3" t="s">
        <v>29</v>
      </c>
      <c r="C98" s="19"/>
      <c r="D98" s="30">
        <f>SUM(D99:D100)</f>
        <v>188.23060000000001</v>
      </c>
      <c r="E98" s="31">
        <f>SUM(E99:E100)</f>
        <v>284.64994999999999</v>
      </c>
      <c r="F98" s="31">
        <f t="shared" si="36"/>
        <v>-96.41934999999998</v>
      </c>
      <c r="G98" s="26">
        <f t="shared" si="37"/>
        <v>-0.33872955185834386</v>
      </c>
      <c r="H98" s="31">
        <f>SUM(H99:H100)</f>
        <v>190.9281</v>
      </c>
      <c r="I98" s="31">
        <f t="shared" si="38"/>
        <v>-2.6974999999999909</v>
      </c>
      <c r="J98" s="27">
        <f t="shared" si="39"/>
        <v>-1.412835512425877E-2</v>
      </c>
      <c r="K98" s="3"/>
      <c r="L98" s="30">
        <f>SUM(L99:L100)</f>
        <v>663.7004300000001</v>
      </c>
      <c r="M98" s="31">
        <f>SUM(M99:M100)</f>
        <v>612.79543999999999</v>
      </c>
      <c r="N98" s="31">
        <f t="shared" si="40"/>
        <v>50.904990000000112</v>
      </c>
      <c r="O98" s="26">
        <f t="shared" si="41"/>
        <v>8.307011879853432E-2</v>
      </c>
      <c r="P98" s="31">
        <f>SUM(P99:P100)</f>
        <v>641.64440999999999</v>
      </c>
      <c r="Q98" s="31">
        <f t="shared" si="42"/>
        <v>22.056020000000103</v>
      </c>
      <c r="R98" s="27">
        <f t="shared" si="43"/>
        <v>3.4374210475861706E-2</v>
      </c>
      <c r="S98" s="3"/>
      <c r="T98" s="30">
        <f>SUM(T99:T100)</f>
        <v>1074.5201999999999</v>
      </c>
      <c r="U98" s="31">
        <f>SUM(U99:U100)</f>
        <v>1087.7189099999998</v>
      </c>
      <c r="V98" s="31">
        <f t="shared" si="44"/>
        <v>-13.198709999999892</v>
      </c>
      <c r="W98" s="26">
        <f t="shared" si="45"/>
        <v>-1.2134302234388748E-2</v>
      </c>
      <c r="X98" s="31">
        <f>SUM(X99:X100)</f>
        <v>1052.4641799999999</v>
      </c>
      <c r="Y98" s="31">
        <f t="shared" si="46"/>
        <v>22.05601999999999</v>
      </c>
      <c r="Z98" s="27">
        <f t="shared" si="47"/>
        <v>2.0956551699460205E-2</v>
      </c>
      <c r="AA98" s="3"/>
      <c r="AB98" s="32">
        <f>SUM(AB99:AB100)</f>
        <v>2535.9729199999997</v>
      </c>
      <c r="AC98" s="1"/>
      <c r="AD98" s="1"/>
      <c r="AE98" s="1"/>
      <c r="AF98" s="1"/>
      <c r="AG98" s="1"/>
      <c r="AH98" s="1"/>
      <c r="AI98" s="1"/>
    </row>
    <row r="99" spans="1:35" ht="14.25" hidden="1" outlineLevel="2" x14ac:dyDescent="0.2">
      <c r="A99" s="1"/>
      <c r="B99" s="34" t="s">
        <v>30</v>
      </c>
      <c r="C99" s="19"/>
      <c r="D99" s="30">
        <f>-188230.6/1000*-1</f>
        <v>188.23060000000001</v>
      </c>
      <c r="E99" s="31">
        <f>-284649.95/1000*-1</f>
        <v>284.64994999999999</v>
      </c>
      <c r="F99" s="31">
        <f t="shared" si="36"/>
        <v>-96.41934999999998</v>
      </c>
      <c r="G99" s="26">
        <f t="shared" si="37"/>
        <v>-0.33872955185834386</v>
      </c>
      <c r="H99" s="31">
        <f>-190928.1/1000*-1</f>
        <v>190.9281</v>
      </c>
      <c r="I99" s="31">
        <f t="shared" si="38"/>
        <v>-2.6974999999999909</v>
      </c>
      <c r="J99" s="27">
        <f t="shared" si="39"/>
        <v>-1.412835512425877E-2</v>
      </c>
      <c r="K99" s="3"/>
      <c r="L99" s="30">
        <f>-663700.43/1000*-1</f>
        <v>663.7004300000001</v>
      </c>
      <c r="M99" s="31">
        <f>-612795.44/1000*-1</f>
        <v>612.79543999999999</v>
      </c>
      <c r="N99" s="31">
        <f t="shared" si="40"/>
        <v>50.904990000000112</v>
      </c>
      <c r="O99" s="26">
        <f t="shared" si="41"/>
        <v>8.307011879853432E-2</v>
      </c>
      <c r="P99" s="31">
        <f>-641644.41/1000*-1</f>
        <v>641.64440999999999</v>
      </c>
      <c r="Q99" s="31">
        <f t="shared" si="42"/>
        <v>22.056020000000103</v>
      </c>
      <c r="R99" s="27">
        <f t="shared" si="43"/>
        <v>3.4374210475861706E-2</v>
      </c>
      <c r="S99" s="3"/>
      <c r="T99" s="30">
        <f>-1074520.2/1000*-1</f>
        <v>1074.5201999999999</v>
      </c>
      <c r="U99" s="31">
        <f>-1087718.91/1000*-1</f>
        <v>1087.7189099999998</v>
      </c>
      <c r="V99" s="31">
        <f t="shared" si="44"/>
        <v>-13.198709999999892</v>
      </c>
      <c r="W99" s="26">
        <f t="shared" si="45"/>
        <v>-1.2134302234388748E-2</v>
      </c>
      <c r="X99" s="31">
        <f>-1052464.18/1000*-1</f>
        <v>1052.4641799999999</v>
      </c>
      <c r="Y99" s="31">
        <f t="shared" si="46"/>
        <v>22.05601999999999</v>
      </c>
      <c r="Z99" s="27">
        <f t="shared" si="47"/>
        <v>2.0956551699460205E-2</v>
      </c>
      <c r="AA99" s="3"/>
      <c r="AB99" s="32">
        <f>-2535972.92/1000*-1</f>
        <v>2535.9729199999997</v>
      </c>
      <c r="AC99" s="1"/>
      <c r="AD99" s="1"/>
      <c r="AE99" s="1"/>
      <c r="AF99" s="1"/>
      <c r="AG99" s="1"/>
      <c r="AH99" s="1"/>
      <c r="AI99" s="1"/>
    </row>
    <row r="100" spans="1:35" s="35" customFormat="1" ht="14.25" hidden="1" outlineLevel="2" x14ac:dyDescent="0.2">
      <c r="B100" s="34" t="s">
        <v>31</v>
      </c>
      <c r="C100" s="19"/>
      <c r="D100" s="30">
        <f>0/1000*-1</f>
        <v>0</v>
      </c>
      <c r="E100" s="31">
        <f>0/1000*-1</f>
        <v>0</v>
      </c>
      <c r="F100" s="31">
        <f t="shared" si="36"/>
        <v>0</v>
      </c>
      <c r="G100" s="26" t="str">
        <f t="shared" si="37"/>
        <v>N/A</v>
      </c>
      <c r="H100" s="31">
        <f>0/1000*-1</f>
        <v>0</v>
      </c>
      <c r="I100" s="31">
        <f t="shared" si="38"/>
        <v>0</v>
      </c>
      <c r="J100" s="27" t="str">
        <f t="shared" si="39"/>
        <v>N/A</v>
      </c>
      <c r="K100" s="19"/>
      <c r="L100" s="30">
        <f>0/1000*-1</f>
        <v>0</v>
      </c>
      <c r="M100" s="31">
        <f>0/1000*-1</f>
        <v>0</v>
      </c>
      <c r="N100" s="31">
        <f t="shared" si="40"/>
        <v>0</v>
      </c>
      <c r="O100" s="26" t="str">
        <f t="shared" si="41"/>
        <v>N/A</v>
      </c>
      <c r="P100" s="31">
        <f>0/1000*-1</f>
        <v>0</v>
      </c>
      <c r="Q100" s="31">
        <f t="shared" si="42"/>
        <v>0</v>
      </c>
      <c r="R100" s="27" t="str">
        <f t="shared" si="43"/>
        <v>N/A</v>
      </c>
      <c r="S100" s="19"/>
      <c r="T100" s="30">
        <f>0/1000*-1</f>
        <v>0</v>
      </c>
      <c r="U100" s="31">
        <f>0/1000*-1</f>
        <v>0</v>
      </c>
      <c r="V100" s="31">
        <f t="shared" si="44"/>
        <v>0</v>
      </c>
      <c r="W100" s="26" t="str">
        <f t="shared" si="45"/>
        <v>N/A</v>
      </c>
      <c r="X100" s="31">
        <f>0/1000*-1</f>
        <v>0</v>
      </c>
      <c r="Y100" s="31">
        <f t="shared" si="46"/>
        <v>0</v>
      </c>
      <c r="Z100" s="27" t="str">
        <f t="shared" si="47"/>
        <v>N/A</v>
      </c>
      <c r="AA100" s="19"/>
      <c r="AB100" s="32">
        <f>0/1000*-1</f>
        <v>0</v>
      </c>
    </row>
    <row r="101" spans="1:35" s="35" customFormat="1" ht="5.0999999999999996" hidden="1" customHeight="1" outlineLevel="1" x14ac:dyDescent="0.2">
      <c r="B101" s="34"/>
      <c r="C101" s="19"/>
      <c r="D101" s="36"/>
      <c r="E101" s="37"/>
      <c r="F101" s="37"/>
      <c r="G101" s="38"/>
      <c r="H101" s="37"/>
      <c r="I101" s="37"/>
      <c r="J101" s="39"/>
      <c r="K101" s="19"/>
      <c r="L101" s="36"/>
      <c r="M101" s="37"/>
      <c r="N101" s="37"/>
      <c r="O101" s="38"/>
      <c r="P101" s="37"/>
      <c r="Q101" s="37"/>
      <c r="R101" s="39"/>
      <c r="S101" s="19"/>
      <c r="T101" s="36"/>
      <c r="U101" s="37"/>
      <c r="V101" s="37"/>
      <c r="W101" s="38"/>
      <c r="X101" s="37"/>
      <c r="Y101" s="37"/>
      <c r="Z101" s="39"/>
      <c r="AA101" s="19"/>
      <c r="AB101" s="40"/>
    </row>
    <row r="102" spans="1:35" ht="14.25" collapsed="1" x14ac:dyDescent="0.2">
      <c r="A102" s="1"/>
      <c r="B102" s="19" t="s">
        <v>32</v>
      </c>
      <c r="C102" s="19"/>
      <c r="D102" s="30">
        <f>SUM(D85:D87,D90,D93:D94)</f>
        <v>704.52832999999998</v>
      </c>
      <c r="E102" s="31">
        <f>SUM(E85:E87,E90,E93:E94)</f>
        <v>777.84179999999992</v>
      </c>
      <c r="F102" s="31">
        <f>D102-E102</f>
        <v>-73.313469999999938</v>
      </c>
      <c r="G102" s="26">
        <f>IF(ISERROR(F102/E102),"N/A",IF(ABS(F102/E102)&gt;5,"N/A",F102/E102))</f>
        <v>-9.4252417393871024E-2</v>
      </c>
      <c r="H102" s="31">
        <f>SUM(H85:H87,H90,H93:H94)</f>
        <v>604.55405999999994</v>
      </c>
      <c r="I102" s="31">
        <f>D102-H102</f>
        <v>99.974270000000047</v>
      </c>
      <c r="J102" s="27">
        <f>IF(ISERROR(I102/H102),"N/A",IF(ABS(I102/H102)&gt;5,"N/A",I102/H102))</f>
        <v>0.16536861897842528</v>
      </c>
      <c r="K102" s="3"/>
      <c r="L102" s="30">
        <f>SUM(L85:L87,L90,L93:L94)</f>
        <v>2097.10653</v>
      </c>
      <c r="M102" s="31">
        <f>SUM(M85:M87,M90,M93:M94)</f>
        <v>2526.5885499999999</v>
      </c>
      <c r="N102" s="31">
        <f>L102-M102</f>
        <v>-429.48201999999992</v>
      </c>
      <c r="O102" s="26">
        <f>IF(ISERROR(N102/M102),"N/A",IF(ABS(N102/M102)&gt;5,"N/A",N102/M102))</f>
        <v>-0.16998494669818714</v>
      </c>
      <c r="P102" s="31">
        <f>SUM(P85:P87,P90,P93:P94)</f>
        <v>1919.1808799999999</v>
      </c>
      <c r="Q102" s="31">
        <f>L102-P102</f>
        <v>177.92565000000013</v>
      </c>
      <c r="R102" s="27">
        <f>IF(ISERROR(Q102/P102),"N/A",IF(ABS(Q102/P102)&gt;5,"N/A",Q102/P102))</f>
        <v>9.270916142099131E-2</v>
      </c>
      <c r="S102" s="3"/>
      <c r="T102" s="30">
        <f>SUM(T85:T87,T90,T93:T94)</f>
        <v>4823.3562000000002</v>
      </c>
      <c r="U102" s="31">
        <f>SUM(U85:U87,U90,U93:U94)</f>
        <v>5273.27268</v>
      </c>
      <c r="V102" s="31">
        <f>T102-U102</f>
        <v>-449.91647999999986</v>
      </c>
      <c r="W102" s="26">
        <f>IF(ISERROR(V102/U102),"N/A",IF(ABS(V102/U102)&gt;5,"N/A",V102/U102))</f>
        <v>-8.5320162127477894E-2</v>
      </c>
      <c r="X102" s="31">
        <f>SUM(X85:X87,X90,X93:X94)</f>
        <v>4645.43055</v>
      </c>
      <c r="Y102" s="31">
        <f>T102-X102</f>
        <v>177.92565000000013</v>
      </c>
      <c r="Z102" s="27">
        <f>IF(ISERROR(Y102/X102),"N/A",IF(ABS(Y102/X102)&gt;5,"N/A",Y102/X102))</f>
        <v>3.8301218387604599E-2</v>
      </c>
      <c r="AA102" s="3"/>
      <c r="AB102" s="32">
        <f>SUM(AB85:AB87,AB90,AB93:AB94)</f>
        <v>11774.70032</v>
      </c>
      <c r="AC102" s="1"/>
      <c r="AD102" s="1"/>
      <c r="AE102" s="1"/>
      <c r="AF102" s="1"/>
      <c r="AG102" s="1"/>
      <c r="AH102" s="1"/>
      <c r="AI102" s="1"/>
    </row>
    <row r="103" spans="1:35" ht="14.25" x14ac:dyDescent="0.2">
      <c r="A103" s="1"/>
      <c r="B103" s="34"/>
      <c r="C103" s="19"/>
      <c r="D103" s="30"/>
      <c r="E103" s="31"/>
      <c r="F103" s="31"/>
      <c r="G103" s="26"/>
      <c r="H103" s="31"/>
      <c r="I103" s="31"/>
      <c r="J103" s="27"/>
      <c r="K103" s="3"/>
      <c r="L103" s="30"/>
      <c r="M103" s="31"/>
      <c r="N103" s="31"/>
      <c r="O103" s="26"/>
      <c r="P103" s="31"/>
      <c r="Q103" s="31"/>
      <c r="R103" s="27"/>
      <c r="S103" s="3"/>
      <c r="T103" s="30"/>
      <c r="U103" s="31"/>
      <c r="V103" s="31"/>
      <c r="W103" s="26"/>
      <c r="X103" s="31"/>
      <c r="Y103" s="31"/>
      <c r="Z103" s="27"/>
      <c r="AA103" s="3"/>
      <c r="AB103" s="32"/>
      <c r="AC103" s="1"/>
      <c r="AD103" s="1"/>
      <c r="AE103" s="1"/>
      <c r="AF103" s="1"/>
      <c r="AG103" s="1"/>
      <c r="AH103" s="1"/>
      <c r="AI103" s="1"/>
    </row>
    <row r="104" spans="1:35" ht="14.25" x14ac:dyDescent="0.2">
      <c r="A104" s="1"/>
      <c r="B104" s="29" t="s">
        <v>33</v>
      </c>
      <c r="C104" s="19"/>
      <c r="D104" s="30">
        <f>-619746.24/1000*-1</f>
        <v>619.74623999999994</v>
      </c>
      <c r="E104" s="31">
        <f>-1026170.12/1000*-1</f>
        <v>1026.17012</v>
      </c>
      <c r="F104" s="31">
        <f>D104-E104</f>
        <v>-406.42388000000005</v>
      </c>
      <c r="G104" s="26">
        <f>IF(ISERROR(F104/E104),"N/A",IF(ABS(F104/E104)&gt;5,"N/A",F104/E104))</f>
        <v>-0.39605896924771117</v>
      </c>
      <c r="H104" s="31">
        <f>-479468.91457/1000*-1</f>
        <v>479.46891457000004</v>
      </c>
      <c r="I104" s="31">
        <f>D104-H104</f>
        <v>140.27732542999991</v>
      </c>
      <c r="J104" s="27">
        <f>IF(ISERROR(I104/H104),"N/A",IF(ABS(I104/H104)&gt;5,"N/A",I104/H104))</f>
        <v>0.29256813354793643</v>
      </c>
      <c r="K104" s="3"/>
      <c r="L104" s="30">
        <f>-2274165.33/1000*-1</f>
        <v>2274.1653300000003</v>
      </c>
      <c r="M104" s="31">
        <f>-4179577.44/1000*-1</f>
        <v>4179.57744</v>
      </c>
      <c r="N104" s="31">
        <f>L104-M104</f>
        <v>-1905.4121099999998</v>
      </c>
      <c r="O104" s="26">
        <f>IF(ISERROR(N104/M104),"N/A",IF(ABS(N104/M104)&gt;5,"N/A",N104/M104))</f>
        <v>-0.45588630366422872</v>
      </c>
      <c r="P104" s="31">
        <f>-1972150.48446/1000*-1</f>
        <v>1972.1504844599999</v>
      </c>
      <c r="Q104" s="31">
        <f>L104-P104</f>
        <v>302.01484554000035</v>
      </c>
      <c r="R104" s="27">
        <f>IF(ISERROR(Q104/P104),"N/A",IF(ABS(Q104/P104)&gt;5,"N/A",Q104/P104))</f>
        <v>0.15313985820037251</v>
      </c>
      <c r="S104" s="3"/>
      <c r="T104" s="30">
        <f>-4581706.35/1000*-1</f>
        <v>4581.7063499999995</v>
      </c>
      <c r="U104" s="31">
        <f>-5799466.93/1000*-1</f>
        <v>5799.4669299999996</v>
      </c>
      <c r="V104" s="31">
        <f>T104-U104</f>
        <v>-1217.7605800000001</v>
      </c>
      <c r="W104" s="26">
        <f>IF(ISERROR(V104/U104),"N/A",IF(ABS(V104/U104)&gt;5,"N/A",V104/U104))</f>
        <v>-0.20997801947980074</v>
      </c>
      <c r="X104" s="31">
        <f>-4279691.50446/1000*-1</f>
        <v>4279.69150446</v>
      </c>
      <c r="Y104" s="31">
        <f>T104-X104</f>
        <v>302.01484553999944</v>
      </c>
      <c r="Z104" s="27">
        <f>IF(ISERROR(Y104/X104),"N/A",IF(ABS(Y104/X104)&gt;5,"N/A",Y104/X104))</f>
        <v>7.0569302769898326E-2</v>
      </c>
      <c r="AA104" s="3"/>
      <c r="AB104" s="32">
        <f>-8393943.14676/1000*-1</f>
        <v>8393.9431467600007</v>
      </c>
      <c r="AC104" s="1"/>
      <c r="AD104" s="1"/>
      <c r="AE104" s="1"/>
      <c r="AF104" s="1"/>
      <c r="AG104" s="1"/>
      <c r="AH104" s="1"/>
      <c r="AI104" s="1"/>
    </row>
    <row r="105" spans="1:35" ht="14.25" x14ac:dyDescent="0.2">
      <c r="A105" s="1"/>
      <c r="B105" s="34"/>
      <c r="C105" s="19"/>
      <c r="D105" s="30"/>
      <c r="E105" s="31"/>
      <c r="F105" s="31"/>
      <c r="G105" s="26"/>
      <c r="H105" s="31"/>
      <c r="I105" s="31"/>
      <c r="J105" s="27"/>
      <c r="K105" s="3"/>
      <c r="L105" s="30"/>
      <c r="M105" s="31"/>
      <c r="N105" s="31"/>
      <c r="O105" s="26"/>
      <c r="P105" s="31"/>
      <c r="Q105" s="31"/>
      <c r="R105" s="27"/>
      <c r="S105" s="3"/>
      <c r="T105" s="30"/>
      <c r="U105" s="31"/>
      <c r="V105" s="31"/>
      <c r="W105" s="26"/>
      <c r="X105" s="31"/>
      <c r="Y105" s="31"/>
      <c r="Z105" s="27"/>
      <c r="AA105" s="3"/>
      <c r="AB105" s="32"/>
      <c r="AC105" s="1"/>
      <c r="AD105" s="1"/>
      <c r="AE105" s="1"/>
      <c r="AF105" s="1"/>
      <c r="AG105" s="1"/>
      <c r="AH105" s="1"/>
      <c r="AI105" s="1"/>
    </row>
    <row r="106" spans="1:35" x14ac:dyDescent="0.25">
      <c r="A106" s="1"/>
      <c r="B106" s="2" t="s">
        <v>37</v>
      </c>
      <c r="C106" s="19"/>
      <c r="D106" s="30">
        <f>SUM(D102:D105)</f>
        <v>1324.27457</v>
      </c>
      <c r="E106" s="31">
        <f>SUM(E102:E105)</f>
        <v>1804.0119199999999</v>
      </c>
      <c r="F106" s="31">
        <f>D106-E106</f>
        <v>-479.73734999999988</v>
      </c>
      <c r="G106" s="26">
        <f>IF(ISERROR(F106/E106),"N/A",IF(ABS(F106/E106)&gt;5,"N/A",F106/E106))</f>
        <v>-0.26592803777039337</v>
      </c>
      <c r="H106" s="31">
        <f>SUM(H102:H105)</f>
        <v>1084.0229745699999</v>
      </c>
      <c r="I106" s="31">
        <f>D106-H106</f>
        <v>240.25159543000018</v>
      </c>
      <c r="J106" s="27">
        <f>IF(ISERROR(I106/H106),"N/A",IF(ABS(I106/H106)&gt;5,"N/A",I106/H106))</f>
        <v>0.22162961585320731</v>
      </c>
      <c r="K106" s="3"/>
      <c r="L106" s="30">
        <f>SUM(L102:L105)</f>
        <v>4371.2718600000007</v>
      </c>
      <c r="M106" s="31">
        <f>SUM(M102:M105)</f>
        <v>6706.1659899999995</v>
      </c>
      <c r="N106" s="31">
        <f>L106-M106</f>
        <v>-2334.8941299999988</v>
      </c>
      <c r="O106" s="26">
        <f>IF(ISERROR(N106/M106),"N/A",IF(ABS(N106/M106)&gt;5,"N/A",N106/M106))</f>
        <v>-0.34817124024095308</v>
      </c>
      <c r="P106" s="31">
        <f>SUM(P102:P105)</f>
        <v>3891.3313644599998</v>
      </c>
      <c r="Q106" s="31">
        <f>L106-P106</f>
        <v>479.94049554000094</v>
      </c>
      <c r="R106" s="27">
        <f>IF(ISERROR(Q106/P106),"N/A",IF(ABS(Q106/P106)&gt;5,"N/A",Q106/P106))</f>
        <v>0.12333580735975239</v>
      </c>
      <c r="S106" s="3"/>
      <c r="T106" s="30">
        <f>SUM(T102:T105)</f>
        <v>9405.0625499999987</v>
      </c>
      <c r="U106" s="31">
        <f>SUM(U102:U105)</f>
        <v>11072.739610000001</v>
      </c>
      <c r="V106" s="31">
        <f>T106-U106</f>
        <v>-1667.6770600000018</v>
      </c>
      <c r="W106" s="26">
        <f>IF(ISERROR(V106/U106),"N/A",IF(ABS(V106/U106)&gt;5,"N/A",V106/U106))</f>
        <v>-0.15061106092424417</v>
      </c>
      <c r="X106" s="31">
        <f>SUM(X102:X105)</f>
        <v>8925.1220544600001</v>
      </c>
      <c r="Y106" s="31">
        <f>T106-X106</f>
        <v>479.94049553999866</v>
      </c>
      <c r="Z106" s="27">
        <f>IF(ISERROR(Y106/X106),"N/A",IF(ABS(Y106/X106)&gt;5,"N/A",Y106/X106))</f>
        <v>5.3774110047062736E-2</v>
      </c>
      <c r="AA106" s="3"/>
      <c r="AB106" s="32">
        <f>SUM(AB102:AB105)</f>
        <v>20168.643466760001</v>
      </c>
      <c r="AC106" s="1"/>
      <c r="AD106" s="1"/>
      <c r="AE106" s="1"/>
      <c r="AF106" s="1"/>
      <c r="AG106" s="1"/>
      <c r="AH106" s="1"/>
      <c r="AI106" s="1"/>
    </row>
    <row r="107" spans="1:35" x14ac:dyDescent="0.25">
      <c r="A107" s="1"/>
      <c r="B107" s="2"/>
      <c r="C107" s="19"/>
      <c r="D107" s="30"/>
      <c r="E107" s="31"/>
      <c r="F107" s="31"/>
      <c r="G107" s="26"/>
      <c r="H107" s="31"/>
      <c r="I107" s="31"/>
      <c r="J107" s="27"/>
      <c r="K107" s="3"/>
      <c r="L107" s="30"/>
      <c r="M107" s="31"/>
      <c r="N107" s="31"/>
      <c r="O107" s="26"/>
      <c r="P107" s="31"/>
      <c r="Q107" s="31"/>
      <c r="R107" s="27"/>
      <c r="S107" s="3"/>
      <c r="T107" s="30"/>
      <c r="U107" s="31"/>
      <c r="V107" s="31"/>
      <c r="W107" s="26"/>
      <c r="X107" s="31"/>
      <c r="Y107" s="31"/>
      <c r="Z107" s="27"/>
      <c r="AA107" s="3"/>
      <c r="AB107" s="42"/>
      <c r="AC107" s="1"/>
      <c r="AD107" s="1"/>
      <c r="AE107" s="1"/>
      <c r="AF107" s="1"/>
      <c r="AG107" s="1"/>
      <c r="AH107" s="1"/>
      <c r="AI107" s="1"/>
    </row>
    <row r="108" spans="1:35" x14ac:dyDescent="0.25">
      <c r="A108" s="1"/>
      <c r="B108" s="2"/>
      <c r="C108" s="19"/>
      <c r="D108" s="30"/>
      <c r="E108" s="31"/>
      <c r="F108" s="31"/>
      <c r="G108" s="26"/>
      <c r="H108" s="31"/>
      <c r="I108" s="31"/>
      <c r="J108" s="27"/>
      <c r="K108" s="3"/>
      <c r="L108" s="30"/>
      <c r="M108" s="31"/>
      <c r="N108" s="31"/>
      <c r="O108" s="26"/>
      <c r="P108" s="31"/>
      <c r="Q108" s="31"/>
      <c r="R108" s="27"/>
      <c r="S108" s="3"/>
      <c r="T108" s="30"/>
      <c r="U108" s="31"/>
      <c r="V108" s="31"/>
      <c r="W108" s="26"/>
      <c r="X108" s="31"/>
      <c r="Y108" s="31"/>
      <c r="Z108" s="27"/>
      <c r="AA108" s="3"/>
      <c r="AB108" s="42"/>
      <c r="AC108" s="1"/>
      <c r="AD108" s="1"/>
      <c r="AE108" s="1"/>
      <c r="AF108" s="1"/>
      <c r="AG108" s="1"/>
      <c r="AH108" s="1"/>
      <c r="AI108" s="1"/>
    </row>
    <row r="109" spans="1:35" ht="15.75" thickBot="1" x14ac:dyDescent="0.3">
      <c r="A109" s="1"/>
      <c r="B109" s="41" t="s">
        <v>38</v>
      </c>
      <c r="C109" s="19"/>
      <c r="D109" s="48">
        <f>SUM(D34,D58,D82,D106)</f>
        <v>27778.850300000002</v>
      </c>
      <c r="E109" s="49">
        <f>SUM(E34,E58,E82,E106)</f>
        <v>38200.895340000003</v>
      </c>
      <c r="F109" s="49">
        <f>D109-E109</f>
        <v>-10422.045040000001</v>
      </c>
      <c r="G109" s="50">
        <f>IF(ISERROR(F109/E109),"N/A",IF(ABS(F109/E109)&gt;5,"N/A",F109/E109))</f>
        <v>-0.27282200972622545</v>
      </c>
      <c r="H109" s="49">
        <f>SUM(H34,H58,H82,H106)</f>
        <v>30093.113164184004</v>
      </c>
      <c r="I109" s="49">
        <f>D109-H109</f>
        <v>-2314.262864184002</v>
      </c>
      <c r="J109" s="51">
        <f>IF(ISERROR(I109/H109),"N/A",IF(ABS(I109/H109)&gt;5,"N/A",I109/H109))</f>
        <v>-7.6903404827466437E-2</v>
      </c>
      <c r="K109" s="3"/>
      <c r="L109" s="48">
        <f>SUM(L34,L58,L82,L106)</f>
        <v>66807.691499999986</v>
      </c>
      <c r="M109" s="49">
        <f>SUM(M34,M58,M82,M106)</f>
        <v>99609.583499999993</v>
      </c>
      <c r="N109" s="49">
        <f>L109-M109</f>
        <v>-32801.892000000007</v>
      </c>
      <c r="O109" s="50">
        <f>IF(ISERROR(N109/M109),"N/A",IF(ABS(N109/M109)&gt;5,"N/A",N109/M109))</f>
        <v>-0.32930457941328517</v>
      </c>
      <c r="P109" s="49">
        <f>SUM(P34,P58,P82,P106)</f>
        <v>70561.036591511001</v>
      </c>
      <c r="Q109" s="49">
        <f>L109-P109</f>
        <v>-3753.3450915110152</v>
      </c>
      <c r="R109" s="51">
        <f>IF(ISERROR(Q109/P109),"N/A",IF(ABS(Q109/P109)&gt;5,"N/A",Q109/P109))</f>
        <v>-5.3192884810348284E-2</v>
      </c>
      <c r="S109" s="3"/>
      <c r="T109" s="48">
        <f>SUM(T34,T58,T82,T106)</f>
        <v>165117.26126</v>
      </c>
      <c r="U109" s="49">
        <f>SUM(U34,U58,U82,U106)</f>
        <v>185792.39500999998</v>
      </c>
      <c r="V109" s="49">
        <f>T109-U109</f>
        <v>-20675.133749999979</v>
      </c>
      <c r="W109" s="50">
        <f>IF(ISERROR(V109/U109),"N/A",IF(ABS(V109/U109)&gt;5,"N/A",V109/U109))</f>
        <v>-0.1112808398260175</v>
      </c>
      <c r="X109" s="49">
        <f>SUM(X34,X58,X82,X106)</f>
        <v>168870.60635151097</v>
      </c>
      <c r="Y109" s="49">
        <f>T109-X109</f>
        <v>-3753.3450915109715</v>
      </c>
      <c r="Z109" s="51">
        <f>IF(ISERROR(Y109/X109),"N/A",IF(ABS(Y109/X109)&gt;5,"N/A",Y109/X109))</f>
        <v>-2.2226159854594425E-2</v>
      </c>
      <c r="AA109" s="3"/>
      <c r="AB109" s="52">
        <f>SUM(AB34,AB58,AB82,AB106)</f>
        <v>440946.15962077404</v>
      </c>
      <c r="AC109" s="1"/>
      <c r="AD109" s="1"/>
      <c r="AE109" s="1"/>
      <c r="AF109" s="1"/>
      <c r="AG109" s="1"/>
      <c r="AH109" s="1"/>
      <c r="AI109" s="1"/>
    </row>
    <row r="110" spans="1:35" ht="15.75" thickTop="1" x14ac:dyDescent="0.25">
      <c r="A110" s="1"/>
      <c r="B110" s="2"/>
      <c r="C110" s="19"/>
      <c r="D110" s="30"/>
      <c r="E110" s="31"/>
      <c r="F110" s="31"/>
      <c r="G110" s="26"/>
      <c r="H110" s="31"/>
      <c r="I110" s="31"/>
      <c r="J110" s="27"/>
      <c r="K110" s="3"/>
      <c r="L110" s="30"/>
      <c r="M110" s="31"/>
      <c r="N110" s="31"/>
      <c r="O110" s="26"/>
      <c r="P110" s="31"/>
      <c r="Q110" s="31"/>
      <c r="R110" s="27"/>
      <c r="S110" s="3"/>
      <c r="T110" s="30"/>
      <c r="U110" s="31"/>
      <c r="V110" s="31"/>
      <c r="W110" s="26"/>
      <c r="X110" s="31"/>
      <c r="Y110" s="31"/>
      <c r="Z110" s="27"/>
      <c r="AA110" s="3"/>
      <c r="AB110" s="42"/>
      <c r="AC110" s="1"/>
      <c r="AD110" s="1"/>
      <c r="AE110" s="1"/>
      <c r="AF110" s="1"/>
      <c r="AG110" s="1"/>
      <c r="AH110" s="1"/>
      <c r="AI110" s="1"/>
    </row>
    <row r="111" spans="1:35" x14ac:dyDescent="0.25">
      <c r="A111" s="1"/>
      <c r="B111" s="2"/>
      <c r="C111" s="19"/>
      <c r="D111" s="30"/>
      <c r="E111" s="31"/>
      <c r="F111" s="31"/>
      <c r="G111" s="26"/>
      <c r="H111" s="31"/>
      <c r="I111" s="31"/>
      <c r="J111" s="27"/>
      <c r="K111" s="3"/>
      <c r="L111" s="30"/>
      <c r="M111" s="31"/>
      <c r="N111" s="31"/>
      <c r="O111" s="26"/>
      <c r="P111" s="31"/>
      <c r="Q111" s="31"/>
      <c r="R111" s="27"/>
      <c r="S111" s="3"/>
      <c r="T111" s="30"/>
      <c r="U111" s="31"/>
      <c r="V111" s="31"/>
      <c r="W111" s="26"/>
      <c r="X111" s="31"/>
      <c r="Y111" s="31"/>
      <c r="Z111" s="27"/>
      <c r="AA111" s="3"/>
      <c r="AB111" s="42"/>
      <c r="AC111" s="1"/>
      <c r="AD111" s="1"/>
      <c r="AE111" s="1"/>
      <c r="AF111" s="1"/>
      <c r="AG111" s="1"/>
      <c r="AH111" s="1"/>
      <c r="AI111" s="1"/>
    </row>
    <row r="112" spans="1:35" ht="14.25" x14ac:dyDescent="0.2">
      <c r="A112" s="1"/>
      <c r="B112" s="19" t="s">
        <v>16</v>
      </c>
      <c r="C112" s="19"/>
      <c r="D112" s="24">
        <f>D13+D37+D61+D85</f>
        <v>12014.69052</v>
      </c>
      <c r="E112" s="25">
        <f>E13+E37+E61+E85</f>
        <v>20158.6162</v>
      </c>
      <c r="F112" s="25">
        <f t="shared" ref="F112:F127" si="48">D112-E112</f>
        <v>-8143.9256800000003</v>
      </c>
      <c r="G112" s="26">
        <f t="shared" ref="G112:G127" si="49">IF(ISERROR(F112/E112),"N/A",IF(ABS(F112/E112)&gt;5,"N/A",F112/E112))</f>
        <v>-0.40399229784433321</v>
      </c>
      <c r="H112" s="25">
        <f>H13+H37+H61+H85</f>
        <v>13788.531569862998</v>
      </c>
      <c r="I112" s="25">
        <f t="shared" ref="I112:I127" si="50">D112-H112</f>
        <v>-1773.8410498629983</v>
      </c>
      <c r="J112" s="27">
        <f t="shared" ref="J112:J127" si="51">IF(ISERROR(I112/H112),"N/A",IF(ABS(I112/H112)&gt;5,"N/A",I112/H112))</f>
        <v>-0.12864611730954778</v>
      </c>
      <c r="K112" s="3"/>
      <c r="L112" s="24">
        <f>L13+L37+L61+L85</f>
        <v>33687.834459999998</v>
      </c>
      <c r="M112" s="25">
        <f>M13+M37+M61+M85</f>
        <v>55861.220009999997</v>
      </c>
      <c r="N112" s="25">
        <f t="shared" ref="N112:N127" si="52">L112-M112</f>
        <v>-22173.385549999999</v>
      </c>
      <c r="O112" s="26">
        <f t="shared" ref="O112:O127" si="53">IF(ISERROR(N112/M112),"N/A",IF(ABS(N112/M112)&gt;5,"N/A",N112/M112))</f>
        <v>-0.39693700828643969</v>
      </c>
      <c r="P112" s="25">
        <f>P13+P37+P61+P85</f>
        <v>34854.898052842</v>
      </c>
      <c r="Q112" s="25">
        <f t="shared" ref="Q112:Q127" si="54">L112-P112</f>
        <v>-1167.0635928420015</v>
      </c>
      <c r="R112" s="27">
        <f t="shared" ref="R112:R127" si="55">IF(ISERROR(Q112/P112),"N/A",IF(ABS(Q112/P112)&gt;5,"N/A",Q112/P112))</f>
        <v>-3.3483488922350799E-2</v>
      </c>
      <c r="S112" s="3"/>
      <c r="T112" s="24">
        <f>T13+T37+T61+T85</f>
        <v>85504.477190000005</v>
      </c>
      <c r="U112" s="25">
        <f>U13+U37+U61+U85</f>
        <v>100382.98873</v>
      </c>
      <c r="V112" s="25">
        <f t="shared" ref="V112:V127" si="56">T112-U112</f>
        <v>-14878.511539999992</v>
      </c>
      <c r="W112" s="26">
        <f t="shared" ref="W112:W127" si="57">IF(ISERROR(V112/U112),"N/A",IF(ABS(V112/U112)&gt;5,"N/A",V112/U112))</f>
        <v>-0.14821745923523663</v>
      </c>
      <c r="X112" s="25">
        <f>X13+X37+X61+X85</f>
        <v>86671.540782841999</v>
      </c>
      <c r="Y112" s="25">
        <f t="shared" ref="Y112:Y127" si="58">T112-X112</f>
        <v>-1167.0635928419943</v>
      </c>
      <c r="Z112" s="27">
        <f t="shared" ref="Z112:Z127" si="59">IF(ISERROR(Y112/X112),"N/A",IF(ABS(Y112/X112)&gt;5,"N/A",Y112/X112))</f>
        <v>-1.3465361089704234E-2</v>
      </c>
      <c r="AA112" s="3"/>
      <c r="AB112" s="28">
        <f>AB13+AB37+AB61+AB85</f>
        <v>238584.33773907501</v>
      </c>
      <c r="AC112" s="1"/>
      <c r="AD112" s="1"/>
      <c r="AE112" s="1"/>
      <c r="AF112" s="1"/>
      <c r="AG112" s="1"/>
      <c r="AH112" s="1"/>
      <c r="AI112" s="1"/>
    </row>
    <row r="113" spans="1:35" ht="14.25" x14ac:dyDescent="0.2">
      <c r="A113" s="1"/>
      <c r="B113" s="29" t="s">
        <v>17</v>
      </c>
      <c r="C113" s="19"/>
      <c r="D113" s="30">
        <f>D14+D38+D62+D86</f>
        <v>1611.1290300000001</v>
      </c>
      <c r="E113" s="31">
        <f>E14+E38+E62+E86</f>
        <v>2572.7995699999997</v>
      </c>
      <c r="F113" s="31">
        <f t="shared" si="48"/>
        <v>-961.67053999999962</v>
      </c>
      <c r="G113" s="26">
        <f t="shared" si="49"/>
        <v>-0.37378369897659758</v>
      </c>
      <c r="H113" s="31">
        <f>H14+H38+H62+H86</f>
        <v>2060.0645178460004</v>
      </c>
      <c r="I113" s="31">
        <f t="shared" si="50"/>
        <v>-448.93548784600034</v>
      </c>
      <c r="J113" s="27">
        <f t="shared" si="51"/>
        <v>-0.21792302326308036</v>
      </c>
      <c r="K113" s="3"/>
      <c r="L113" s="30">
        <f>L14+L38+L62+L86</f>
        <v>4083.0388400000002</v>
      </c>
      <c r="M113" s="31">
        <f>M14+M38+M62+M86</f>
        <v>6348.2460000000001</v>
      </c>
      <c r="N113" s="31">
        <f t="shared" si="52"/>
        <v>-2265.2071599999999</v>
      </c>
      <c r="O113" s="26">
        <f t="shared" si="53"/>
        <v>-0.35682409912911378</v>
      </c>
      <c r="P113" s="31">
        <f>P14+P38+P62+P86</f>
        <v>4989.9365495800002</v>
      </c>
      <c r="Q113" s="31">
        <f t="shared" si="54"/>
        <v>-906.89770958000008</v>
      </c>
      <c r="R113" s="27">
        <f t="shared" si="55"/>
        <v>-0.18174533895753306</v>
      </c>
      <c r="S113" s="3"/>
      <c r="T113" s="30">
        <f>T14+T38+T62+T86</f>
        <v>12880.06064</v>
      </c>
      <c r="U113" s="31">
        <f>U14+U38+U62+U86</f>
        <v>14079.343999999999</v>
      </c>
      <c r="V113" s="31">
        <f t="shared" si="56"/>
        <v>-1199.2833599999994</v>
      </c>
      <c r="W113" s="26">
        <f t="shared" si="57"/>
        <v>-8.5180343629646341E-2</v>
      </c>
      <c r="X113" s="31">
        <f>X14+X38+X62+X86</f>
        <v>13786.958349580002</v>
      </c>
      <c r="Y113" s="31">
        <f t="shared" si="58"/>
        <v>-906.8977095800019</v>
      </c>
      <c r="Z113" s="27">
        <f t="shared" si="59"/>
        <v>-6.5779389955698903E-2</v>
      </c>
      <c r="AA113" s="3"/>
      <c r="AB113" s="32">
        <f>AB14+AB38+AB62+AB86</f>
        <v>29204.930620985</v>
      </c>
      <c r="AC113" s="1"/>
      <c r="AD113" s="1"/>
      <c r="AE113" s="1"/>
      <c r="AF113" s="1"/>
      <c r="AG113" s="1"/>
      <c r="AH113" s="1"/>
      <c r="AI113" s="1"/>
    </row>
    <row r="114" spans="1:35" ht="14.25" x14ac:dyDescent="0.2">
      <c r="A114" s="1"/>
      <c r="B114" s="19" t="s">
        <v>18</v>
      </c>
      <c r="C114" s="19"/>
      <c r="D114" s="30">
        <f>SUM(D115:D116)</f>
        <v>461.55567000000002</v>
      </c>
      <c r="E114" s="31">
        <f>SUM(E115:E116)</f>
        <v>1443.5038300000001</v>
      </c>
      <c r="F114" s="31">
        <f t="shared" si="48"/>
        <v>-981.94816000000014</v>
      </c>
      <c r="G114" s="26">
        <f t="shared" si="49"/>
        <v>-0.68025324186358416</v>
      </c>
      <c r="H114" s="31">
        <f>SUM(H115:H116)</f>
        <v>131.26329217</v>
      </c>
      <c r="I114" s="31">
        <f t="shared" si="50"/>
        <v>330.29237783000002</v>
      </c>
      <c r="J114" s="27">
        <f t="shared" si="51"/>
        <v>2.5162585241442526</v>
      </c>
      <c r="K114" s="3"/>
      <c r="L114" s="30">
        <f>SUM(L115:L116)</f>
        <v>1169.9145899999999</v>
      </c>
      <c r="M114" s="31">
        <f>SUM(M115:M116)</f>
        <v>1439.42156</v>
      </c>
      <c r="N114" s="31">
        <f t="shared" si="52"/>
        <v>-269.50697000000014</v>
      </c>
      <c r="O114" s="26">
        <f t="shared" si="53"/>
        <v>-0.18723282844255865</v>
      </c>
      <c r="P114" s="31">
        <f>SUM(P115:P116)</f>
        <v>245.37826217</v>
      </c>
      <c r="Q114" s="31">
        <f t="shared" si="54"/>
        <v>924.53632782999989</v>
      </c>
      <c r="R114" s="27">
        <f t="shared" si="55"/>
        <v>3.7678004549134587</v>
      </c>
      <c r="S114" s="3"/>
      <c r="T114" s="30">
        <f>SUM(T115:T116)</f>
        <v>4133.5856899999999</v>
      </c>
      <c r="U114" s="31">
        <f>SUM(U115:U116)</f>
        <v>7936.0781100000004</v>
      </c>
      <c r="V114" s="31">
        <f t="shared" si="56"/>
        <v>-3802.4924200000005</v>
      </c>
      <c r="W114" s="26">
        <f t="shared" si="57"/>
        <v>-0.47913999425088827</v>
      </c>
      <c r="X114" s="31">
        <f>SUM(X115:X116)</f>
        <v>3209.0493621700002</v>
      </c>
      <c r="Y114" s="31">
        <f t="shared" si="58"/>
        <v>924.53632782999966</v>
      </c>
      <c r="Z114" s="27">
        <f t="shared" si="59"/>
        <v>0.28810286894584147</v>
      </c>
      <c r="AA114" s="3"/>
      <c r="AB114" s="32">
        <f>SUM(AB115:AB116)</f>
        <v>4291.4708123800001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3" t="s">
        <v>19</v>
      </c>
      <c r="C115" s="19"/>
      <c r="D115" s="30">
        <f>D16+D40+D64+D88</f>
        <v>0</v>
      </c>
      <c r="E115" s="31">
        <f>E16+E40+E64+E88</f>
        <v>0</v>
      </c>
      <c r="F115" s="31">
        <f t="shared" si="48"/>
        <v>0</v>
      </c>
      <c r="G115" s="26" t="str">
        <f t="shared" si="49"/>
        <v>N/A</v>
      </c>
      <c r="H115" s="31">
        <f>H16+H40+H64+H88</f>
        <v>0</v>
      </c>
      <c r="I115" s="31">
        <f t="shared" si="50"/>
        <v>0</v>
      </c>
      <c r="J115" s="27" t="str">
        <f t="shared" si="51"/>
        <v>N/A</v>
      </c>
      <c r="K115" s="3"/>
      <c r="L115" s="30">
        <f>L16+L40+L64+L88</f>
        <v>0</v>
      </c>
      <c r="M115" s="31">
        <f>M16+M40+M64+M88</f>
        <v>0</v>
      </c>
      <c r="N115" s="31">
        <f t="shared" si="52"/>
        <v>0</v>
      </c>
      <c r="O115" s="26" t="str">
        <f t="shared" si="53"/>
        <v>N/A</v>
      </c>
      <c r="P115" s="31">
        <f>P16+P40+P64+P88</f>
        <v>0</v>
      </c>
      <c r="Q115" s="31">
        <f t="shared" si="54"/>
        <v>0</v>
      </c>
      <c r="R115" s="27" t="str">
        <f t="shared" si="55"/>
        <v>N/A</v>
      </c>
      <c r="S115" s="3"/>
      <c r="T115" s="30">
        <f>T16+T40+T64+T88</f>
        <v>0</v>
      </c>
      <c r="U115" s="31">
        <f>U16+U40+U64+U88</f>
        <v>0</v>
      </c>
      <c r="V115" s="31">
        <f t="shared" si="56"/>
        <v>0</v>
      </c>
      <c r="W115" s="26" t="str">
        <f t="shared" si="57"/>
        <v>N/A</v>
      </c>
      <c r="X115" s="31">
        <f>X16+X40+X64+X88</f>
        <v>0</v>
      </c>
      <c r="Y115" s="31">
        <f t="shared" si="58"/>
        <v>0</v>
      </c>
      <c r="Z115" s="27" t="str">
        <f t="shared" si="59"/>
        <v>N/A</v>
      </c>
      <c r="AA115" s="3"/>
      <c r="AB115" s="32">
        <f>AB16+AB40+AB64+AB88</f>
        <v>0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3" t="s">
        <v>20</v>
      </c>
      <c r="C116" s="19"/>
      <c r="D116" s="30">
        <f>D17+D41+D65+D89</f>
        <v>461.55567000000002</v>
      </c>
      <c r="E116" s="31">
        <f>E17+E41+E65+E89</f>
        <v>1443.5038300000001</v>
      </c>
      <c r="F116" s="31">
        <f t="shared" si="48"/>
        <v>-981.94816000000014</v>
      </c>
      <c r="G116" s="26">
        <f t="shared" si="49"/>
        <v>-0.68025324186358416</v>
      </c>
      <c r="H116" s="31">
        <f>H17+H41+H65+H89</f>
        <v>131.26329217</v>
      </c>
      <c r="I116" s="31">
        <f t="shared" si="50"/>
        <v>330.29237783000002</v>
      </c>
      <c r="J116" s="27">
        <f t="shared" si="51"/>
        <v>2.5162585241442526</v>
      </c>
      <c r="K116" s="3"/>
      <c r="L116" s="30">
        <f>L17+L41+L65+L89</f>
        <v>1169.9145899999999</v>
      </c>
      <c r="M116" s="31">
        <f>M17+M41+M65+M89</f>
        <v>1439.42156</v>
      </c>
      <c r="N116" s="31">
        <f t="shared" si="52"/>
        <v>-269.50697000000014</v>
      </c>
      <c r="O116" s="26">
        <f t="shared" si="53"/>
        <v>-0.18723282844255865</v>
      </c>
      <c r="P116" s="31">
        <f>P17+P41+P65+P89</f>
        <v>245.37826217</v>
      </c>
      <c r="Q116" s="31">
        <f t="shared" si="54"/>
        <v>924.53632782999989</v>
      </c>
      <c r="R116" s="27">
        <f t="shared" si="55"/>
        <v>3.7678004549134587</v>
      </c>
      <c r="S116" s="3"/>
      <c r="T116" s="30">
        <f>T17+T41+T65+T89</f>
        <v>4133.5856899999999</v>
      </c>
      <c r="U116" s="31">
        <f>U17+U41+U65+U89</f>
        <v>7936.0781100000004</v>
      </c>
      <c r="V116" s="31">
        <f t="shared" si="56"/>
        <v>-3802.4924200000005</v>
      </c>
      <c r="W116" s="26">
        <f t="shared" si="57"/>
        <v>-0.47913999425088827</v>
      </c>
      <c r="X116" s="31">
        <f>X17+X41+X65+X89</f>
        <v>3209.0493621700002</v>
      </c>
      <c r="Y116" s="31">
        <f t="shared" si="58"/>
        <v>924.53632782999966</v>
      </c>
      <c r="Z116" s="27">
        <f t="shared" si="59"/>
        <v>0.28810286894584147</v>
      </c>
      <c r="AA116" s="3"/>
      <c r="AB116" s="32">
        <f>AB17+AB41+AB65+AB89</f>
        <v>4291.4708123800001</v>
      </c>
      <c r="AC116" s="1"/>
      <c r="AD116" s="1"/>
      <c r="AE116" s="1"/>
      <c r="AF116" s="1"/>
      <c r="AG116" s="1"/>
      <c r="AH116" s="1"/>
      <c r="AI116" s="1"/>
    </row>
    <row r="117" spans="1:35" ht="14.25" collapsed="1" x14ac:dyDescent="0.2">
      <c r="A117" s="1"/>
      <c r="B117" s="19" t="s">
        <v>21</v>
      </c>
      <c r="C117" s="19"/>
      <c r="D117" s="30">
        <f>SUM(D118:D119)</f>
        <v>6115.7744400000011</v>
      </c>
      <c r="E117" s="31">
        <f>SUM(E118:E119)</f>
        <v>2367.3232200000002</v>
      </c>
      <c r="F117" s="31">
        <f t="shared" si="48"/>
        <v>3748.4512200000008</v>
      </c>
      <c r="G117" s="26">
        <f t="shared" si="49"/>
        <v>1.5834133625403297</v>
      </c>
      <c r="H117" s="31">
        <f>SUM(H118:H119)</f>
        <v>4845.142418084999</v>
      </c>
      <c r="I117" s="31">
        <f t="shared" si="50"/>
        <v>1270.632021915002</v>
      </c>
      <c r="J117" s="27">
        <f t="shared" si="51"/>
        <v>0.26224864251094782</v>
      </c>
      <c r="K117" s="3"/>
      <c r="L117" s="30">
        <f>SUM(L118:L119)</f>
        <v>8507.0817299999999</v>
      </c>
      <c r="M117" s="31">
        <f>SUM(M118:M119)</f>
        <v>6007.2365000000009</v>
      </c>
      <c r="N117" s="31">
        <f t="shared" si="52"/>
        <v>2499.845229999999</v>
      </c>
      <c r="O117" s="26">
        <f t="shared" si="53"/>
        <v>0.41613897338651451</v>
      </c>
      <c r="P117" s="31">
        <f>SUM(P118:P119)</f>
        <v>7562.2673203600016</v>
      </c>
      <c r="Q117" s="31">
        <f t="shared" si="54"/>
        <v>944.8144096399983</v>
      </c>
      <c r="R117" s="27">
        <f t="shared" si="55"/>
        <v>0.12493798084818568</v>
      </c>
      <c r="S117" s="3"/>
      <c r="T117" s="30">
        <f>SUM(T118:T119)</f>
        <v>19491.02564</v>
      </c>
      <c r="U117" s="31">
        <f>SUM(U118:U119)</f>
        <v>10557.721020000001</v>
      </c>
      <c r="V117" s="31">
        <f t="shared" si="56"/>
        <v>8933.304619999999</v>
      </c>
      <c r="W117" s="26">
        <f t="shared" si="57"/>
        <v>0.84613948437141018</v>
      </c>
      <c r="X117" s="31">
        <f>SUM(X118:X119)</f>
        <v>18546.211230360001</v>
      </c>
      <c r="Y117" s="31">
        <f t="shared" si="58"/>
        <v>944.81440963999921</v>
      </c>
      <c r="Z117" s="27">
        <f t="shared" si="59"/>
        <v>5.0943796439315084E-2</v>
      </c>
      <c r="AA117" s="3"/>
      <c r="AB117" s="32">
        <f>SUM(AB118:AB119)</f>
        <v>36692.313257766</v>
      </c>
      <c r="AC117" s="1"/>
      <c r="AD117" s="1"/>
      <c r="AE117" s="1"/>
      <c r="AF117" s="1"/>
      <c r="AG117" s="1"/>
      <c r="AH117" s="1"/>
      <c r="AI117" s="1"/>
    </row>
    <row r="118" spans="1:35" ht="14.25" hidden="1" outlineLevel="1" x14ac:dyDescent="0.2">
      <c r="A118" s="1"/>
      <c r="B118" s="33" t="s">
        <v>22</v>
      </c>
      <c r="C118" s="19"/>
      <c r="D118" s="30">
        <f t="shared" ref="D118:E120" si="60">D19+D43+D67+D91</f>
        <v>306.19645000000003</v>
      </c>
      <c r="E118" s="31">
        <f t="shared" si="60"/>
        <v>-135.63404000000003</v>
      </c>
      <c r="F118" s="31">
        <f t="shared" si="48"/>
        <v>441.83049000000005</v>
      </c>
      <c r="G118" s="26">
        <f t="shared" si="49"/>
        <v>-3.2575192038812673</v>
      </c>
      <c r="H118" s="31">
        <f>H19+H43+H67+H91</f>
        <v>4845.142418084999</v>
      </c>
      <c r="I118" s="31">
        <f t="shared" si="50"/>
        <v>-4538.9459680849986</v>
      </c>
      <c r="J118" s="27">
        <f t="shared" si="51"/>
        <v>-0.93680341596212113</v>
      </c>
      <c r="K118" s="3"/>
      <c r="L118" s="30">
        <f t="shared" ref="L118:M120" si="61">L19+L43+L67+L91</f>
        <v>646.29357000000005</v>
      </c>
      <c r="M118" s="31">
        <f t="shared" si="61"/>
        <v>369.62790000000001</v>
      </c>
      <c r="N118" s="31">
        <f t="shared" si="52"/>
        <v>276.66567000000003</v>
      </c>
      <c r="O118" s="26">
        <f t="shared" si="53"/>
        <v>0.7484978000848963</v>
      </c>
      <c r="P118" s="31">
        <f>P19+P43+P67+P91</f>
        <v>7435.5571903600012</v>
      </c>
      <c r="Q118" s="31">
        <f t="shared" si="54"/>
        <v>-6789.2636203600014</v>
      </c>
      <c r="R118" s="27">
        <f t="shared" si="55"/>
        <v>-0.91308068064651537</v>
      </c>
      <c r="S118" s="3"/>
      <c r="T118" s="30">
        <f t="shared" ref="T118:U120" si="62">T19+T43+T67+T91</f>
        <v>1531.6571200000003</v>
      </c>
      <c r="U118" s="31">
        <f t="shared" si="62"/>
        <v>1332.1669400000001</v>
      </c>
      <c r="V118" s="31">
        <f t="shared" si="56"/>
        <v>199.49018000000024</v>
      </c>
      <c r="W118" s="26">
        <f t="shared" si="57"/>
        <v>0.14974863435659214</v>
      </c>
      <c r="X118" s="31">
        <f>X19+X43+X67+X91</f>
        <v>8320.9207403600012</v>
      </c>
      <c r="Y118" s="31">
        <f t="shared" si="58"/>
        <v>-6789.2636203600014</v>
      </c>
      <c r="Z118" s="27">
        <f t="shared" si="59"/>
        <v>-0.81592696676332799</v>
      </c>
      <c r="AA118" s="3"/>
      <c r="AB118" s="32">
        <f>AB19+AB43+AB67+AB91</f>
        <v>26467.022767765997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3" t="s">
        <v>23</v>
      </c>
      <c r="C119" s="19"/>
      <c r="D119" s="30">
        <f t="shared" si="60"/>
        <v>5809.5779900000007</v>
      </c>
      <c r="E119" s="31">
        <f t="shared" si="60"/>
        <v>2502.9572600000001</v>
      </c>
      <c r="F119" s="31">
        <f t="shared" si="48"/>
        <v>3306.6207300000005</v>
      </c>
      <c r="G119" s="26">
        <f t="shared" si="49"/>
        <v>1.3210855745894761</v>
      </c>
      <c r="H119" s="31">
        <f>H20+H44+H68+H92</f>
        <v>0</v>
      </c>
      <c r="I119" s="31">
        <f t="shared" si="50"/>
        <v>5809.5779900000007</v>
      </c>
      <c r="J119" s="27" t="str">
        <f t="shared" si="51"/>
        <v>N/A</v>
      </c>
      <c r="K119" s="3"/>
      <c r="L119" s="30">
        <f t="shared" si="61"/>
        <v>7860.7881600000001</v>
      </c>
      <c r="M119" s="31">
        <f t="shared" si="61"/>
        <v>5637.6086000000005</v>
      </c>
      <c r="N119" s="31">
        <f t="shared" si="52"/>
        <v>2223.1795599999996</v>
      </c>
      <c r="O119" s="26">
        <f t="shared" si="53"/>
        <v>0.39434797938970068</v>
      </c>
      <c r="P119" s="31">
        <f>P20+P44+P68+P92</f>
        <v>126.71012999999999</v>
      </c>
      <c r="Q119" s="31">
        <f t="shared" si="54"/>
        <v>7734.0780299999997</v>
      </c>
      <c r="R119" s="27" t="str">
        <f t="shared" si="55"/>
        <v>N/A</v>
      </c>
      <c r="S119" s="3"/>
      <c r="T119" s="30">
        <f t="shared" si="62"/>
        <v>17959.36852</v>
      </c>
      <c r="U119" s="31">
        <f t="shared" si="62"/>
        <v>9225.5540799999999</v>
      </c>
      <c r="V119" s="31">
        <f t="shared" si="56"/>
        <v>8733.8144400000001</v>
      </c>
      <c r="W119" s="26">
        <f t="shared" si="57"/>
        <v>0.94669809143864458</v>
      </c>
      <c r="X119" s="31">
        <f>X20+X44+X68+X92</f>
        <v>10225.290489999999</v>
      </c>
      <c r="Y119" s="31">
        <f t="shared" si="58"/>
        <v>7734.0780300000006</v>
      </c>
      <c r="Z119" s="27">
        <f t="shared" si="59"/>
        <v>0.7563675611527787</v>
      </c>
      <c r="AA119" s="3"/>
      <c r="AB119" s="32">
        <f>AB20+AB44+AB68+AB92</f>
        <v>10225.290489999999</v>
      </c>
      <c r="AC119" s="1"/>
      <c r="AD119" s="1"/>
      <c r="AE119" s="1"/>
      <c r="AF119" s="1"/>
      <c r="AG119" s="1"/>
      <c r="AH119" s="1"/>
      <c r="AI119" s="1"/>
    </row>
    <row r="120" spans="1:35" ht="14.25" collapsed="1" x14ac:dyDescent="0.2">
      <c r="A120" s="1"/>
      <c r="B120" s="19" t="s">
        <v>24</v>
      </c>
      <c r="C120" s="19"/>
      <c r="D120" s="30">
        <f t="shared" si="60"/>
        <v>0</v>
      </c>
      <c r="E120" s="31">
        <f t="shared" si="60"/>
        <v>0</v>
      </c>
      <c r="F120" s="31">
        <f t="shared" si="48"/>
        <v>0</v>
      </c>
      <c r="G120" s="26" t="str">
        <f t="shared" si="49"/>
        <v>N/A</v>
      </c>
      <c r="H120" s="31">
        <f>H21+H45+H69+H93</f>
        <v>0</v>
      </c>
      <c r="I120" s="31">
        <f t="shared" si="50"/>
        <v>0</v>
      </c>
      <c r="J120" s="27" t="str">
        <f t="shared" si="51"/>
        <v>N/A</v>
      </c>
      <c r="K120" s="3"/>
      <c r="L120" s="30">
        <f t="shared" si="61"/>
        <v>0</v>
      </c>
      <c r="M120" s="31">
        <f t="shared" si="61"/>
        <v>0</v>
      </c>
      <c r="N120" s="31">
        <f t="shared" si="52"/>
        <v>0</v>
      </c>
      <c r="O120" s="26" t="str">
        <f t="shared" si="53"/>
        <v>N/A</v>
      </c>
      <c r="P120" s="31">
        <f>P21+P45+P69+P93</f>
        <v>0</v>
      </c>
      <c r="Q120" s="31">
        <f t="shared" si="54"/>
        <v>0</v>
      </c>
      <c r="R120" s="27" t="str">
        <f t="shared" si="55"/>
        <v>N/A</v>
      </c>
      <c r="S120" s="3"/>
      <c r="T120" s="30">
        <f t="shared" si="62"/>
        <v>0</v>
      </c>
      <c r="U120" s="31">
        <f t="shared" si="62"/>
        <v>0</v>
      </c>
      <c r="V120" s="31">
        <f t="shared" si="56"/>
        <v>0</v>
      </c>
      <c r="W120" s="26" t="str">
        <f t="shared" si="57"/>
        <v>N/A</v>
      </c>
      <c r="X120" s="31">
        <f>X21+X45+X69+X93</f>
        <v>0</v>
      </c>
      <c r="Y120" s="31">
        <f t="shared" si="58"/>
        <v>0</v>
      </c>
      <c r="Z120" s="27" t="str">
        <f t="shared" si="59"/>
        <v>N/A</v>
      </c>
      <c r="AA120" s="3"/>
      <c r="AB120" s="32">
        <f>AB21+AB45+AB69+AB93</f>
        <v>0</v>
      </c>
      <c r="AC120" s="1"/>
      <c r="AD120" s="1"/>
      <c r="AE120" s="1"/>
      <c r="AF120" s="1"/>
      <c r="AG120" s="1"/>
      <c r="AH120" s="1"/>
      <c r="AI120" s="1"/>
    </row>
    <row r="121" spans="1:35" ht="14.25" x14ac:dyDescent="0.2">
      <c r="A121" s="1"/>
      <c r="B121" s="19" t="s">
        <v>25</v>
      </c>
      <c r="C121" s="19"/>
      <c r="D121" s="30">
        <f>SUM(D122:D125)</f>
        <v>2874.9747799999996</v>
      </c>
      <c r="E121" s="31">
        <f>SUM(E122:E125)</f>
        <v>5298.2103699999998</v>
      </c>
      <c r="F121" s="31">
        <f t="shared" si="48"/>
        <v>-2423.2355900000002</v>
      </c>
      <c r="G121" s="26">
        <f t="shared" si="49"/>
        <v>-0.45736870014091197</v>
      </c>
      <c r="H121" s="31">
        <f>SUM(H122:H125)</f>
        <v>4113.5179163700004</v>
      </c>
      <c r="I121" s="31">
        <f t="shared" si="50"/>
        <v>-1238.5431363700009</v>
      </c>
      <c r="J121" s="27">
        <f t="shared" si="51"/>
        <v>-0.30109097895043591</v>
      </c>
      <c r="K121" s="3"/>
      <c r="L121" s="30">
        <f>SUM(L122:L125)</f>
        <v>8254.4030899999998</v>
      </c>
      <c r="M121" s="31">
        <f>SUM(M122:M125)</f>
        <v>12464.40676</v>
      </c>
      <c r="N121" s="31">
        <f t="shared" si="52"/>
        <v>-4210.0036700000001</v>
      </c>
      <c r="O121" s="26">
        <f t="shared" si="53"/>
        <v>-0.33776205727740549</v>
      </c>
      <c r="P121" s="31">
        <f>SUM(P122:P125)</f>
        <v>10667.022648439</v>
      </c>
      <c r="Q121" s="31">
        <f t="shared" si="54"/>
        <v>-2412.6195584390007</v>
      </c>
      <c r="R121" s="27">
        <f t="shared" si="55"/>
        <v>-0.2261755353816616</v>
      </c>
      <c r="S121" s="3"/>
      <c r="T121" s="30">
        <f>SUM(T122:T125)</f>
        <v>17606.81133</v>
      </c>
      <c r="U121" s="31">
        <f>SUM(U122:U125)</f>
        <v>24289.024629999996</v>
      </c>
      <c r="V121" s="31">
        <f t="shared" si="56"/>
        <v>-6682.2132999999958</v>
      </c>
      <c r="W121" s="26">
        <f t="shared" si="57"/>
        <v>-0.27511245930174666</v>
      </c>
      <c r="X121" s="31">
        <f>SUM(X122:X125)</f>
        <v>20019.430888438997</v>
      </c>
      <c r="Y121" s="31">
        <f t="shared" si="58"/>
        <v>-2412.619558438997</v>
      </c>
      <c r="Z121" s="27">
        <f t="shared" si="59"/>
        <v>-0.12051389332112625</v>
      </c>
      <c r="AA121" s="3"/>
      <c r="AB121" s="32">
        <f>SUM(AB122:AB125)</f>
        <v>55588.215888138002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3" t="s">
        <v>26</v>
      </c>
      <c r="C122" s="19"/>
      <c r="D122" s="30">
        <f t="shared" ref="D122:E124" si="63">D23+D47+D71+D95</f>
        <v>0</v>
      </c>
      <c r="E122" s="31">
        <f t="shared" si="63"/>
        <v>0</v>
      </c>
      <c r="F122" s="31">
        <f t="shared" si="48"/>
        <v>0</v>
      </c>
      <c r="G122" s="26" t="str">
        <f t="shared" si="49"/>
        <v>N/A</v>
      </c>
      <c r="H122" s="31">
        <f>H23+H47+H71+H95</f>
        <v>0</v>
      </c>
      <c r="I122" s="31">
        <f t="shared" si="50"/>
        <v>0</v>
      </c>
      <c r="J122" s="27" t="str">
        <f t="shared" si="51"/>
        <v>N/A</v>
      </c>
      <c r="K122" s="3"/>
      <c r="L122" s="30">
        <f t="shared" ref="L122:M124" si="64">L23+L47+L71+L95</f>
        <v>0</v>
      </c>
      <c r="M122" s="31">
        <f t="shared" si="64"/>
        <v>0</v>
      </c>
      <c r="N122" s="31">
        <f t="shared" si="52"/>
        <v>0</v>
      </c>
      <c r="O122" s="26" t="str">
        <f t="shared" si="53"/>
        <v>N/A</v>
      </c>
      <c r="P122" s="31">
        <f>P23+P47+P71+P95</f>
        <v>0</v>
      </c>
      <c r="Q122" s="31">
        <f t="shared" si="54"/>
        <v>0</v>
      </c>
      <c r="R122" s="27" t="str">
        <f t="shared" si="55"/>
        <v>N/A</v>
      </c>
      <c r="S122" s="3"/>
      <c r="T122" s="30">
        <f t="shared" ref="T122:U124" si="65">T23+T47+T71+T95</f>
        <v>0</v>
      </c>
      <c r="U122" s="31">
        <f t="shared" si="65"/>
        <v>0</v>
      </c>
      <c r="V122" s="31">
        <f t="shared" si="56"/>
        <v>0</v>
      </c>
      <c r="W122" s="26" t="str">
        <f t="shared" si="57"/>
        <v>N/A</v>
      </c>
      <c r="X122" s="31">
        <f>X23+X47+X71+X95</f>
        <v>0</v>
      </c>
      <c r="Y122" s="31">
        <f t="shared" si="58"/>
        <v>0</v>
      </c>
      <c r="Z122" s="27" t="str">
        <f t="shared" si="59"/>
        <v>N/A</v>
      </c>
      <c r="AA122" s="3"/>
      <c r="AB122" s="32">
        <f>AB23+AB47+AB71+AB95</f>
        <v>0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3" t="s">
        <v>27</v>
      </c>
      <c r="C123" s="19"/>
      <c r="D123" s="30">
        <f t="shared" si="63"/>
        <v>-6.0833000000000004</v>
      </c>
      <c r="E123" s="31">
        <f t="shared" si="63"/>
        <v>83.966059999999999</v>
      </c>
      <c r="F123" s="31">
        <f t="shared" si="48"/>
        <v>-90.049359999999993</v>
      </c>
      <c r="G123" s="26">
        <f t="shared" si="49"/>
        <v>-1.0724495111477184</v>
      </c>
      <c r="H123" s="31">
        <f>H24+H48+H72+H96</f>
        <v>0</v>
      </c>
      <c r="I123" s="31">
        <f t="shared" si="50"/>
        <v>-6.0833000000000004</v>
      </c>
      <c r="J123" s="27" t="str">
        <f t="shared" si="51"/>
        <v>N/A</v>
      </c>
      <c r="K123" s="3"/>
      <c r="L123" s="30">
        <f t="shared" si="64"/>
        <v>34.697669999999995</v>
      </c>
      <c r="M123" s="31">
        <f t="shared" si="64"/>
        <v>141.82604000000001</v>
      </c>
      <c r="N123" s="31">
        <f t="shared" si="52"/>
        <v>-107.12837000000002</v>
      </c>
      <c r="O123" s="26">
        <f t="shared" si="53"/>
        <v>-0.75535049839930679</v>
      </c>
      <c r="P123" s="31">
        <f>P24+P48+P72+P96</f>
        <v>5.0473300000000005</v>
      </c>
      <c r="Q123" s="31">
        <f t="shared" si="54"/>
        <v>29.650339999999993</v>
      </c>
      <c r="R123" s="27" t="str">
        <f t="shared" si="55"/>
        <v>N/A</v>
      </c>
      <c r="S123" s="3"/>
      <c r="T123" s="30">
        <f t="shared" si="65"/>
        <v>74.133169999999993</v>
      </c>
      <c r="U123" s="31">
        <f t="shared" si="65"/>
        <v>209.97254999999998</v>
      </c>
      <c r="V123" s="31">
        <f t="shared" si="56"/>
        <v>-135.83938000000001</v>
      </c>
      <c r="W123" s="26">
        <f t="shared" si="57"/>
        <v>-0.64693875461340078</v>
      </c>
      <c r="X123" s="31">
        <f>X24+X48+X72+X96</f>
        <v>44.482829999999993</v>
      </c>
      <c r="Y123" s="31">
        <f t="shared" si="58"/>
        <v>29.65034</v>
      </c>
      <c r="Z123" s="27">
        <f t="shared" si="59"/>
        <v>0.66655696141634879</v>
      </c>
      <c r="AA123" s="3"/>
      <c r="AB123" s="32">
        <f>AB24+AB48+AB72+AB96</f>
        <v>44.482829999999993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3" t="s">
        <v>28</v>
      </c>
      <c r="C124" s="19"/>
      <c r="D124" s="30">
        <f t="shared" si="63"/>
        <v>607.00238999999999</v>
      </c>
      <c r="E124" s="31">
        <f t="shared" si="63"/>
        <v>585.11020000000008</v>
      </c>
      <c r="F124" s="31">
        <f t="shared" si="48"/>
        <v>21.892189999999914</v>
      </c>
      <c r="G124" s="26">
        <f t="shared" si="49"/>
        <v>3.7415498823982068E-2</v>
      </c>
      <c r="H124" s="31">
        <f>H25+H49+H73+H97</f>
        <v>448.93923568999992</v>
      </c>
      <c r="I124" s="31">
        <f t="shared" si="50"/>
        <v>158.06315431000007</v>
      </c>
      <c r="J124" s="27">
        <f t="shared" si="51"/>
        <v>0.35208139931691185</v>
      </c>
      <c r="K124" s="3"/>
      <c r="L124" s="30">
        <f t="shared" si="64"/>
        <v>1400.9608800000001</v>
      </c>
      <c r="M124" s="31">
        <f t="shared" si="64"/>
        <v>1181.7115900000001</v>
      </c>
      <c r="N124" s="31">
        <f t="shared" si="52"/>
        <v>219.24928999999997</v>
      </c>
      <c r="O124" s="26">
        <f t="shared" si="53"/>
        <v>0.18553536400535764</v>
      </c>
      <c r="P124" s="31">
        <f>P25+P49+P73+P97</f>
        <v>1122.7898675599999</v>
      </c>
      <c r="Q124" s="31">
        <f t="shared" si="54"/>
        <v>278.17101244000014</v>
      </c>
      <c r="R124" s="27">
        <f t="shared" si="55"/>
        <v>0.2477498421360978</v>
      </c>
      <c r="S124" s="3"/>
      <c r="T124" s="30">
        <f t="shared" si="65"/>
        <v>3117.5159899999999</v>
      </c>
      <c r="U124" s="31">
        <f t="shared" si="65"/>
        <v>2628.5689700000003</v>
      </c>
      <c r="V124" s="31">
        <f t="shared" si="56"/>
        <v>488.94701999999961</v>
      </c>
      <c r="W124" s="26">
        <f t="shared" si="57"/>
        <v>0.18601262724333217</v>
      </c>
      <c r="X124" s="31">
        <f>X25+X49+X73+X97</f>
        <v>2839.3449775600002</v>
      </c>
      <c r="Y124" s="31">
        <f t="shared" si="58"/>
        <v>278.17101243999969</v>
      </c>
      <c r="Z124" s="27">
        <f t="shared" si="59"/>
        <v>9.7970135590584984E-2</v>
      </c>
      <c r="AA124" s="3"/>
      <c r="AB124" s="32">
        <f>AB25+AB49+AB73+AB97</f>
        <v>7332.6958083300005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3" t="s">
        <v>29</v>
      </c>
      <c r="C125" s="19"/>
      <c r="D125" s="30">
        <f>SUM(D126:D127)</f>
        <v>2274.0556899999997</v>
      </c>
      <c r="E125" s="31">
        <f>SUM(E126:E127)</f>
        <v>4629.13411</v>
      </c>
      <c r="F125" s="31">
        <f t="shared" si="48"/>
        <v>-2355.0784200000003</v>
      </c>
      <c r="G125" s="26">
        <f t="shared" si="49"/>
        <v>-0.50875139152103765</v>
      </c>
      <c r="H125" s="31">
        <f>SUM(H126:H127)</f>
        <v>3664.5786806800006</v>
      </c>
      <c r="I125" s="31">
        <f t="shared" si="50"/>
        <v>-1390.5229906800009</v>
      </c>
      <c r="J125" s="27">
        <f t="shared" si="51"/>
        <v>-0.37944962077386069</v>
      </c>
      <c r="K125" s="3"/>
      <c r="L125" s="30">
        <f>SUM(L126:L127)</f>
        <v>6818.7445399999997</v>
      </c>
      <c r="M125" s="31">
        <f>SUM(M126:M127)</f>
        <v>11140.869129999999</v>
      </c>
      <c r="N125" s="31">
        <f t="shared" si="52"/>
        <v>-4322.1245899999994</v>
      </c>
      <c r="O125" s="26">
        <f t="shared" si="53"/>
        <v>-0.38795219112317136</v>
      </c>
      <c r="P125" s="31">
        <f>SUM(P126:P127)</f>
        <v>9539.1854508790002</v>
      </c>
      <c r="Q125" s="31">
        <f t="shared" si="54"/>
        <v>-2720.4409108790005</v>
      </c>
      <c r="R125" s="27">
        <f t="shared" si="55"/>
        <v>-0.28518587094124709</v>
      </c>
      <c r="S125" s="3"/>
      <c r="T125" s="30">
        <f>SUM(T126:T127)</f>
        <v>14415.16217</v>
      </c>
      <c r="U125" s="31">
        <f>SUM(U126:U127)</f>
        <v>21450.483109999997</v>
      </c>
      <c r="V125" s="31">
        <f t="shared" si="56"/>
        <v>-7035.3209399999978</v>
      </c>
      <c r="W125" s="26">
        <f t="shared" si="57"/>
        <v>-0.32797960325286113</v>
      </c>
      <c r="X125" s="31">
        <f>SUM(X126:X127)</f>
        <v>17135.603080878998</v>
      </c>
      <c r="Y125" s="31">
        <f t="shared" si="58"/>
        <v>-2720.4409108789987</v>
      </c>
      <c r="Z125" s="27">
        <f t="shared" si="59"/>
        <v>-0.15875956615233697</v>
      </c>
      <c r="AA125" s="3"/>
      <c r="AB125" s="32">
        <f>SUM(AB126:AB127)</f>
        <v>48211.037249808003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2" x14ac:dyDescent="0.2">
      <c r="A126" s="1"/>
      <c r="B126" s="34" t="s">
        <v>30</v>
      </c>
      <c r="C126" s="19"/>
      <c r="D126" s="30">
        <f>D27+D51+D75+D99</f>
        <v>2274.0556899999997</v>
      </c>
      <c r="E126" s="31">
        <f>E27+E51+E75+E99</f>
        <v>4629.13411</v>
      </c>
      <c r="F126" s="31">
        <f t="shared" si="48"/>
        <v>-2355.0784200000003</v>
      </c>
      <c r="G126" s="26">
        <f t="shared" si="49"/>
        <v>-0.50875139152103765</v>
      </c>
      <c r="H126" s="31">
        <f>H27+H51+H75+H99</f>
        <v>3664.5786806800006</v>
      </c>
      <c r="I126" s="31">
        <f t="shared" si="50"/>
        <v>-1390.5229906800009</v>
      </c>
      <c r="J126" s="27">
        <f t="shared" si="51"/>
        <v>-0.37944962077386069</v>
      </c>
      <c r="K126" s="3"/>
      <c r="L126" s="30">
        <f>L27+L51+L75+L99</f>
        <v>6818.7445399999997</v>
      </c>
      <c r="M126" s="31">
        <f>M27+M51+M75+M99</f>
        <v>11140.869129999999</v>
      </c>
      <c r="N126" s="31">
        <f t="shared" si="52"/>
        <v>-4322.1245899999994</v>
      </c>
      <c r="O126" s="26">
        <f t="shared" si="53"/>
        <v>-0.38795219112317136</v>
      </c>
      <c r="P126" s="31">
        <f>P27+P51+P75+P99</f>
        <v>9539.1854508790002</v>
      </c>
      <c r="Q126" s="31">
        <f t="shared" si="54"/>
        <v>-2720.4409108790005</v>
      </c>
      <c r="R126" s="27">
        <f t="shared" si="55"/>
        <v>-0.28518587094124709</v>
      </c>
      <c r="S126" s="3"/>
      <c r="T126" s="30">
        <f>T27+T51+T75+T99</f>
        <v>14415.16217</v>
      </c>
      <c r="U126" s="31">
        <f>U27+U51+U75+U99</f>
        <v>21450.483109999997</v>
      </c>
      <c r="V126" s="31">
        <f t="shared" si="56"/>
        <v>-7035.3209399999978</v>
      </c>
      <c r="W126" s="26">
        <f t="shared" si="57"/>
        <v>-0.32797960325286113</v>
      </c>
      <c r="X126" s="31">
        <f>X27+X51+X75+X99</f>
        <v>17135.603080878998</v>
      </c>
      <c r="Y126" s="31">
        <f t="shared" si="58"/>
        <v>-2720.4409108789987</v>
      </c>
      <c r="Z126" s="27">
        <f t="shared" si="59"/>
        <v>-0.15875956615233697</v>
      </c>
      <c r="AA126" s="3"/>
      <c r="AB126" s="32">
        <f>AB27+AB51+AB75+AB99</f>
        <v>48211.037249808003</v>
      </c>
      <c r="AC126" s="1"/>
      <c r="AD126" s="1"/>
      <c r="AE126" s="1"/>
      <c r="AF126" s="1"/>
      <c r="AG126" s="1"/>
      <c r="AH126" s="1"/>
      <c r="AI126" s="1"/>
    </row>
    <row r="127" spans="1:35" s="35" customFormat="1" ht="14.25" hidden="1" outlineLevel="2" x14ac:dyDescent="0.2">
      <c r="B127" s="34" t="s">
        <v>31</v>
      </c>
      <c r="C127" s="19"/>
      <c r="D127" s="30">
        <f>D28+D52+D76+D100</f>
        <v>0</v>
      </c>
      <c r="E127" s="31">
        <f>E28+E52+E76+E100</f>
        <v>0</v>
      </c>
      <c r="F127" s="31">
        <f t="shared" si="48"/>
        <v>0</v>
      </c>
      <c r="G127" s="26" t="str">
        <f t="shared" si="49"/>
        <v>N/A</v>
      </c>
      <c r="H127" s="31">
        <f>H28+H52+H76+H100</f>
        <v>0</v>
      </c>
      <c r="I127" s="31">
        <f t="shared" si="50"/>
        <v>0</v>
      </c>
      <c r="J127" s="27" t="str">
        <f t="shared" si="51"/>
        <v>N/A</v>
      </c>
      <c r="K127" s="19"/>
      <c r="L127" s="30">
        <f>L28+L52+L76+L100</f>
        <v>0</v>
      </c>
      <c r="M127" s="31">
        <f>M28+M52+M76+M100</f>
        <v>0</v>
      </c>
      <c r="N127" s="31">
        <f t="shared" si="52"/>
        <v>0</v>
      </c>
      <c r="O127" s="26" t="str">
        <f t="shared" si="53"/>
        <v>N/A</v>
      </c>
      <c r="P127" s="31">
        <f>P28+P52+P76+P100</f>
        <v>0</v>
      </c>
      <c r="Q127" s="31">
        <f t="shared" si="54"/>
        <v>0</v>
      </c>
      <c r="R127" s="27" t="str">
        <f t="shared" si="55"/>
        <v>N/A</v>
      </c>
      <c r="S127" s="19"/>
      <c r="T127" s="30">
        <f>T28+T52+T76+T100</f>
        <v>0</v>
      </c>
      <c r="U127" s="31">
        <f>U28+U52+U76+U100</f>
        <v>0</v>
      </c>
      <c r="V127" s="31">
        <f t="shared" si="56"/>
        <v>0</v>
      </c>
      <c r="W127" s="26" t="str">
        <f t="shared" si="57"/>
        <v>N/A</v>
      </c>
      <c r="X127" s="31">
        <f>X28+X52+X76+X100</f>
        <v>0</v>
      </c>
      <c r="Y127" s="31">
        <f t="shared" si="58"/>
        <v>0</v>
      </c>
      <c r="Z127" s="27" t="str">
        <f t="shared" si="59"/>
        <v>N/A</v>
      </c>
      <c r="AA127" s="19"/>
      <c r="AB127" s="32">
        <f>AB28+AB52+AB76+AB100</f>
        <v>0</v>
      </c>
    </row>
    <row r="128" spans="1:35" s="35" customFormat="1" ht="5.0999999999999996" hidden="1" customHeight="1" outlineLevel="1" x14ac:dyDescent="0.2">
      <c r="B128" s="34"/>
      <c r="C128" s="19"/>
      <c r="D128" s="36"/>
      <c r="E128" s="37"/>
      <c r="F128" s="37"/>
      <c r="G128" s="38"/>
      <c r="H128" s="37"/>
      <c r="I128" s="37"/>
      <c r="J128" s="39"/>
      <c r="K128" s="19"/>
      <c r="L128" s="36"/>
      <c r="M128" s="37"/>
      <c r="N128" s="37"/>
      <c r="O128" s="38"/>
      <c r="P128" s="37"/>
      <c r="Q128" s="37"/>
      <c r="R128" s="39"/>
      <c r="S128" s="19"/>
      <c r="T128" s="36"/>
      <c r="U128" s="37"/>
      <c r="V128" s="37"/>
      <c r="W128" s="38"/>
      <c r="X128" s="37"/>
      <c r="Y128" s="37"/>
      <c r="Z128" s="39"/>
      <c r="AA128" s="19"/>
      <c r="AB128" s="40"/>
    </row>
    <row r="129" spans="1:35" ht="14.25" collapsed="1" x14ac:dyDescent="0.2">
      <c r="A129" s="1"/>
      <c r="B129" s="19" t="s">
        <v>32</v>
      </c>
      <c r="C129" s="19"/>
      <c r="D129" s="30">
        <f>SUM(D112:D114,D117,D120:D121)</f>
        <v>23078.124440000003</v>
      </c>
      <c r="E129" s="31">
        <f>SUM(E112:E114,E117,E120:E121)</f>
        <v>31840.45319</v>
      </c>
      <c r="F129" s="31">
        <f>D129-E129</f>
        <v>-8762.3287499999969</v>
      </c>
      <c r="G129" s="26">
        <f>IF(ISERROR(F129/E129),"N/A",IF(ABS(F129/E129)&gt;5,"N/A",F129/E129))</f>
        <v>-0.27519485032807089</v>
      </c>
      <c r="H129" s="31">
        <f>SUM(H112:H114,H117,H120:H121)</f>
        <v>24938.519714333997</v>
      </c>
      <c r="I129" s="31">
        <f>D129-H129</f>
        <v>-1860.3952743339942</v>
      </c>
      <c r="J129" s="27">
        <f>IF(ISERROR(I129/H129),"N/A",IF(ABS(I129/H129)&gt;5,"N/A",I129/H129))</f>
        <v>-7.4599266341565912E-2</v>
      </c>
      <c r="K129" s="3"/>
      <c r="L129" s="30">
        <f>SUM(L112:L114,L117,L120:L121)</f>
        <v>55702.272709999997</v>
      </c>
      <c r="M129" s="31">
        <f>SUM(M112:M114,M117,M120:M121)</f>
        <v>82120.530830000003</v>
      </c>
      <c r="N129" s="31">
        <f>L129-M129</f>
        <v>-26418.258120000006</v>
      </c>
      <c r="O129" s="26">
        <f>IF(ISERROR(N129/M129),"N/A",IF(ABS(N129/M129)&gt;5,"N/A",N129/M129))</f>
        <v>-0.32170101499574055</v>
      </c>
      <c r="P129" s="31">
        <f>SUM(P112:P114,P117,P120:P121)</f>
        <v>58319.502833391001</v>
      </c>
      <c r="Q129" s="31">
        <f>L129-P129</f>
        <v>-2617.2301233910039</v>
      </c>
      <c r="R129" s="27">
        <f>IF(ISERROR(Q129/P129),"N/A",IF(ABS(Q129/P129)&gt;5,"N/A",Q129/P129))</f>
        <v>-4.4877442300356875E-2</v>
      </c>
      <c r="S129" s="3"/>
      <c r="T129" s="30">
        <f>SUM(T112:T114,T117,T120:T121)</f>
        <v>139615.96049</v>
      </c>
      <c r="U129" s="31">
        <f>SUM(U112:U114,U117,U120:U121)</f>
        <v>157245.15648999999</v>
      </c>
      <c r="V129" s="31">
        <f>T129-U129</f>
        <v>-17629.195999999996</v>
      </c>
      <c r="W129" s="26">
        <f>IF(ISERROR(V129/U129),"N/A",IF(ABS(V129/U129)&gt;5,"N/A",V129/U129))</f>
        <v>-0.11211280775520183</v>
      </c>
      <c r="X129" s="31">
        <f>SUM(X112:X114,X117,X120:X121)</f>
        <v>142233.19061339099</v>
      </c>
      <c r="Y129" s="31">
        <f>T129-X129</f>
        <v>-2617.2301233909966</v>
      </c>
      <c r="Z129" s="27">
        <f>IF(ISERROR(Y129/X129),"N/A",IF(ABS(Y129/X129)&gt;5,"N/A",Y129/X129))</f>
        <v>-1.8400980193891463E-2</v>
      </c>
      <c r="AA129" s="3"/>
      <c r="AB129" s="32">
        <f>SUM(AB112:AB114,AB117,AB120:AB121)</f>
        <v>364361.26831834402</v>
      </c>
      <c r="AC129" s="1"/>
      <c r="AD129" s="1"/>
      <c r="AE129" s="1"/>
      <c r="AF129" s="1"/>
      <c r="AG129" s="1"/>
      <c r="AH129" s="1"/>
      <c r="AI129" s="1"/>
    </row>
    <row r="130" spans="1:35" ht="14.25" x14ac:dyDescent="0.2">
      <c r="A130" s="1"/>
      <c r="B130" s="34"/>
      <c r="C130" s="19"/>
      <c r="D130" s="30"/>
      <c r="E130" s="31"/>
      <c r="F130" s="31"/>
      <c r="G130" s="26"/>
      <c r="H130" s="31"/>
      <c r="I130" s="31"/>
      <c r="J130" s="27"/>
      <c r="K130" s="3"/>
      <c r="L130" s="30"/>
      <c r="M130" s="31"/>
      <c r="N130" s="31"/>
      <c r="O130" s="26"/>
      <c r="P130" s="31"/>
      <c r="Q130" s="31"/>
      <c r="R130" s="27"/>
      <c r="S130" s="3"/>
      <c r="T130" s="30"/>
      <c r="U130" s="31"/>
      <c r="V130" s="31"/>
      <c r="W130" s="26"/>
      <c r="X130" s="31"/>
      <c r="Y130" s="31"/>
      <c r="Z130" s="27"/>
      <c r="AA130" s="3"/>
      <c r="AB130" s="32"/>
      <c r="AC130" s="1"/>
      <c r="AD130" s="1"/>
      <c r="AE130" s="1"/>
      <c r="AF130" s="1"/>
      <c r="AG130" s="1"/>
      <c r="AH130" s="1"/>
      <c r="AI130" s="1"/>
    </row>
    <row r="131" spans="1:35" ht="14.25" x14ac:dyDescent="0.2">
      <c r="A131" s="1"/>
      <c r="B131" s="29" t="s">
        <v>33</v>
      </c>
      <c r="C131" s="19"/>
      <c r="D131" s="30">
        <f>D32+D56+D80+D104</f>
        <v>4700.7258599999996</v>
      </c>
      <c r="E131" s="31">
        <f>E32+E56+E80+E104</f>
        <v>6360.4421499999999</v>
      </c>
      <c r="F131" s="31">
        <f>D131-E131</f>
        <v>-1659.7162900000003</v>
      </c>
      <c r="G131" s="26">
        <f>IF(ISERROR(F131/E131),"N/A",IF(ABS(F131/E131)&gt;5,"N/A",F131/E131))</f>
        <v>-0.26094353990783492</v>
      </c>
      <c r="H131" s="31">
        <f>H32+H56+H80+H104</f>
        <v>5154.5934498500001</v>
      </c>
      <c r="I131" s="31">
        <f>D131-H131</f>
        <v>-453.86758985000051</v>
      </c>
      <c r="J131" s="27">
        <f>IF(ISERROR(I131/H131),"N/A",IF(ABS(I131/H131)&gt;5,"N/A",I131/H131))</f>
        <v>-8.8051093508297568E-2</v>
      </c>
      <c r="K131" s="3"/>
      <c r="L131" s="30">
        <f>L32+L56+L80+L104</f>
        <v>11105.41879</v>
      </c>
      <c r="M131" s="31">
        <f>M32+M56+M80+M104</f>
        <v>17489.052670000001</v>
      </c>
      <c r="N131" s="31">
        <f>L131-M131</f>
        <v>-6383.6338800000012</v>
      </c>
      <c r="O131" s="26">
        <f>IF(ISERROR(N131/M131),"N/A",IF(ABS(N131/M131)&gt;5,"N/A",N131/M131))</f>
        <v>-0.36500741352047178</v>
      </c>
      <c r="P131" s="31">
        <f>P32+P56+P80+P104</f>
        <v>12241.53375812</v>
      </c>
      <c r="Q131" s="31">
        <f>L131-P131</f>
        <v>-1136.1149681200004</v>
      </c>
      <c r="R131" s="27">
        <f>IF(ISERROR(Q131/P131),"N/A",IF(ABS(Q131/P131)&gt;5,"N/A",Q131/P131))</f>
        <v>-9.2808220813539621E-2</v>
      </c>
      <c r="S131" s="3"/>
      <c r="T131" s="30">
        <f>T32+T56+T80+T104</f>
        <v>25501.300769999998</v>
      </c>
      <c r="U131" s="31">
        <f>U32+U56+U80+U104</f>
        <v>28547.238519999995</v>
      </c>
      <c r="V131" s="31">
        <f>T131-U131</f>
        <v>-3045.9377499999973</v>
      </c>
      <c r="W131" s="26">
        <f>IF(ISERROR(V131/U131),"N/A",IF(ABS(V131/U131)&gt;5,"N/A",V131/U131))</f>
        <v>-0.10669815743705069</v>
      </c>
      <c r="X131" s="31">
        <f>X32+X56+X80+X104</f>
        <v>26637.415738120002</v>
      </c>
      <c r="Y131" s="31">
        <f>T131-X131</f>
        <v>-1136.1149681200041</v>
      </c>
      <c r="Z131" s="27">
        <f>IF(ISERROR(Y131/X131),"N/A",IF(ABS(Y131/X131)&gt;5,"N/A",Y131/X131))</f>
        <v>-4.2651095710239798E-2</v>
      </c>
      <c r="AA131" s="3"/>
      <c r="AB131" s="32">
        <f>AB32+AB56+AB80+AB104</f>
        <v>76584.891302429984</v>
      </c>
      <c r="AC131" s="1"/>
      <c r="AD131" s="1"/>
      <c r="AE131" s="1"/>
      <c r="AF131" s="1"/>
      <c r="AG131" s="1"/>
      <c r="AH131" s="1"/>
      <c r="AI131" s="1"/>
    </row>
    <row r="132" spans="1:35" ht="14.25" x14ac:dyDescent="0.2">
      <c r="A132" s="1"/>
      <c r="B132" s="34"/>
      <c r="C132" s="19"/>
      <c r="D132" s="30"/>
      <c r="E132" s="31"/>
      <c r="F132" s="31"/>
      <c r="G132" s="26"/>
      <c r="H132" s="31"/>
      <c r="I132" s="31"/>
      <c r="J132" s="27"/>
      <c r="K132" s="3"/>
      <c r="L132" s="30"/>
      <c r="M132" s="31"/>
      <c r="N132" s="31"/>
      <c r="O132" s="26"/>
      <c r="P132" s="31"/>
      <c r="Q132" s="31"/>
      <c r="R132" s="27"/>
      <c r="S132" s="3"/>
      <c r="T132" s="30"/>
      <c r="U132" s="31"/>
      <c r="V132" s="31"/>
      <c r="W132" s="26"/>
      <c r="X132" s="31"/>
      <c r="Y132" s="31"/>
      <c r="Z132" s="27"/>
      <c r="AA132" s="3"/>
      <c r="AB132" s="32"/>
      <c r="AC132" s="1"/>
      <c r="AD132" s="1"/>
      <c r="AE132" s="1"/>
      <c r="AF132" s="1"/>
      <c r="AG132" s="1"/>
      <c r="AH132" s="1"/>
      <c r="AI132" s="1"/>
    </row>
    <row r="133" spans="1:35" ht="15.75" thickBot="1" x14ac:dyDescent="0.3">
      <c r="A133" s="1"/>
      <c r="B133" s="41" t="s">
        <v>38</v>
      </c>
      <c r="C133" s="19"/>
      <c r="D133" s="48">
        <f>SUM(D129:D132)</f>
        <v>27778.850300000002</v>
      </c>
      <c r="E133" s="49">
        <f>SUM(E129:E132)</f>
        <v>38200.895340000003</v>
      </c>
      <c r="F133" s="49">
        <f>D133-E133</f>
        <v>-10422.045040000001</v>
      </c>
      <c r="G133" s="50">
        <f>IF(ISERROR(F133/E133),"N/A",IF(ABS(F133/E133)&gt;5,"N/A",F133/E133))</f>
        <v>-0.27282200972622545</v>
      </c>
      <c r="H133" s="49">
        <f>SUM(H129:H132)</f>
        <v>30093.113164183997</v>
      </c>
      <c r="I133" s="49">
        <f>D133-H133</f>
        <v>-2314.2628641839947</v>
      </c>
      <c r="J133" s="51">
        <f>IF(ISERROR(I133/H133),"N/A",IF(ABS(I133/H133)&gt;5,"N/A",I133/H133))</f>
        <v>-7.6903404827466215E-2</v>
      </c>
      <c r="K133" s="3"/>
      <c r="L133" s="48">
        <f>SUM(L129:L132)</f>
        <v>66807.691500000001</v>
      </c>
      <c r="M133" s="49">
        <f>SUM(M129:M132)</f>
        <v>99609.583500000008</v>
      </c>
      <c r="N133" s="49">
        <f>L133-M133</f>
        <v>-32801.892000000007</v>
      </c>
      <c r="O133" s="50">
        <f>IF(ISERROR(N133/M133),"N/A",IF(ABS(N133/M133)&gt;5,"N/A",N133/M133))</f>
        <v>-0.32930457941328511</v>
      </c>
      <c r="P133" s="49">
        <f>SUM(P129:P132)</f>
        <v>70561.036591511001</v>
      </c>
      <c r="Q133" s="49">
        <f>L133-P133</f>
        <v>-3753.3450915110006</v>
      </c>
      <c r="R133" s="51">
        <f>IF(ISERROR(Q133/P133),"N/A",IF(ABS(Q133/P133)&gt;5,"N/A",Q133/P133))</f>
        <v>-5.3192884810348083E-2</v>
      </c>
      <c r="S133" s="3"/>
      <c r="T133" s="48">
        <f>SUM(T129:T132)</f>
        <v>165117.26126</v>
      </c>
      <c r="U133" s="49">
        <f>SUM(U129:U132)</f>
        <v>185792.39500999998</v>
      </c>
      <c r="V133" s="49">
        <f>T133-U133</f>
        <v>-20675.133749999979</v>
      </c>
      <c r="W133" s="50">
        <f>IF(ISERROR(V133/U133),"N/A",IF(ABS(V133/U133)&gt;5,"N/A",V133/U133))</f>
        <v>-0.1112808398260175</v>
      </c>
      <c r="X133" s="49">
        <f>SUM(X129:X132)</f>
        <v>168870.606351511</v>
      </c>
      <c r="Y133" s="49">
        <f>T133-X133</f>
        <v>-3753.3450915110006</v>
      </c>
      <c r="Z133" s="51">
        <f>IF(ISERROR(Y133/X133),"N/A",IF(ABS(Y133/X133)&gt;5,"N/A",Y133/X133))</f>
        <v>-2.2226159854594595E-2</v>
      </c>
      <c r="AA133" s="3"/>
      <c r="AB133" s="52">
        <f>SUM(AB129:AB132)</f>
        <v>440946.15962077398</v>
      </c>
      <c r="AC133" s="1"/>
      <c r="AD133" s="1"/>
      <c r="AE133" s="1"/>
      <c r="AF133" s="1"/>
      <c r="AG133" s="1"/>
      <c r="AH133" s="1"/>
      <c r="AI133" s="1"/>
    </row>
    <row r="134" spans="1:35" s="35" customFormat="1" ht="15.75" thickTop="1" x14ac:dyDescent="0.25">
      <c r="B134" s="41"/>
      <c r="C134" s="19"/>
      <c r="D134" s="31"/>
      <c r="E134" s="31"/>
      <c r="F134" s="31"/>
      <c r="G134" s="26"/>
      <c r="H134" s="31"/>
      <c r="I134" s="31"/>
      <c r="J134" s="26"/>
      <c r="K134" s="19"/>
      <c r="L134" s="31"/>
      <c r="M134" s="31"/>
      <c r="N134" s="31"/>
      <c r="O134" s="26"/>
      <c r="P134" s="31"/>
      <c r="Q134" s="31"/>
      <c r="R134" s="26"/>
      <c r="S134" s="19"/>
      <c r="T134" s="31"/>
      <c r="U134" s="31"/>
      <c r="V134" s="31"/>
      <c r="W134" s="26"/>
      <c r="X134" s="31"/>
      <c r="Y134" s="31"/>
      <c r="Z134" s="26"/>
      <c r="AA134" s="19"/>
      <c r="AB134" s="31"/>
    </row>
    <row r="135" spans="1:35" s="35" customFormat="1" x14ac:dyDescent="0.25">
      <c r="B135" s="41"/>
      <c r="C135" s="19"/>
      <c r="D135" s="31"/>
      <c r="E135" s="31"/>
      <c r="F135" s="31"/>
      <c r="G135" s="26"/>
      <c r="H135" s="31"/>
      <c r="I135" s="31"/>
      <c r="J135" s="26"/>
      <c r="K135" s="19"/>
      <c r="L135" s="31"/>
      <c r="M135" s="31"/>
      <c r="N135" s="31"/>
      <c r="O135" s="26"/>
      <c r="P135" s="31"/>
      <c r="Q135" s="31"/>
      <c r="R135" s="26"/>
      <c r="S135" s="19"/>
      <c r="T135" s="31"/>
      <c r="U135" s="31"/>
      <c r="V135" s="31"/>
      <c r="W135" s="26"/>
      <c r="X135" s="31"/>
      <c r="Y135" s="31"/>
      <c r="Z135" s="26"/>
      <c r="AA135" s="19"/>
      <c r="AB135" s="31"/>
    </row>
    <row r="136" spans="1:35" s="35" customFormat="1" x14ac:dyDescent="0.25">
      <c r="B136" s="41"/>
      <c r="C136" s="19"/>
      <c r="D136" s="31"/>
      <c r="E136" s="31"/>
      <c r="F136" s="31"/>
      <c r="G136" s="26"/>
      <c r="H136" s="31"/>
      <c r="I136" s="31"/>
      <c r="J136" s="26"/>
      <c r="K136" s="19"/>
      <c r="L136" s="31"/>
      <c r="M136" s="31"/>
      <c r="N136" s="31"/>
      <c r="O136" s="26"/>
      <c r="P136" s="31"/>
      <c r="Q136" s="31"/>
      <c r="R136" s="26"/>
      <c r="S136" s="19"/>
      <c r="T136" s="31"/>
      <c r="U136" s="31"/>
      <c r="V136" s="31"/>
      <c r="W136" s="26"/>
      <c r="X136" s="31"/>
      <c r="Y136" s="31"/>
      <c r="Z136" s="26"/>
      <c r="AA136" s="19"/>
      <c r="AB136" s="31"/>
    </row>
    <row r="137" spans="1:35" s="35" customFormat="1" x14ac:dyDescent="0.25">
      <c r="B137" s="41"/>
      <c r="C137" s="19"/>
      <c r="D137" s="31"/>
      <c r="E137" s="31"/>
      <c r="F137" s="31"/>
      <c r="G137" s="26"/>
      <c r="H137" s="31"/>
      <c r="I137" s="31"/>
      <c r="J137" s="26"/>
      <c r="K137" s="19"/>
      <c r="L137" s="31"/>
      <c r="M137" s="31"/>
      <c r="N137" s="31"/>
      <c r="O137" s="26"/>
      <c r="P137" s="31"/>
      <c r="Q137" s="31"/>
      <c r="R137" s="26"/>
      <c r="S137" s="19"/>
      <c r="T137" s="31"/>
      <c r="U137" s="31"/>
      <c r="V137" s="31"/>
      <c r="W137" s="26"/>
      <c r="X137" s="31"/>
      <c r="Y137" s="31"/>
      <c r="Z137" s="26"/>
      <c r="AA137" s="19"/>
      <c r="AB137" s="31"/>
    </row>
    <row r="138" spans="1:35" s="35" customFormat="1" x14ac:dyDescent="0.25">
      <c r="B138" s="41"/>
      <c r="C138" s="19"/>
      <c r="D138" s="31"/>
      <c r="E138" s="31"/>
      <c r="F138" s="31"/>
      <c r="G138" s="26"/>
      <c r="H138" s="31"/>
      <c r="I138" s="31"/>
      <c r="J138" s="26"/>
      <c r="K138" s="19"/>
      <c r="L138" s="31"/>
      <c r="M138" s="31"/>
      <c r="N138" s="31"/>
      <c r="O138" s="26"/>
      <c r="P138" s="31"/>
      <c r="Q138" s="31"/>
      <c r="R138" s="26"/>
      <c r="S138" s="19"/>
      <c r="T138" s="31"/>
      <c r="U138" s="31"/>
      <c r="V138" s="31"/>
      <c r="W138" s="26"/>
      <c r="X138" s="31"/>
      <c r="Y138" s="31"/>
      <c r="Z138" s="26"/>
      <c r="AA138" s="19"/>
      <c r="AB138" s="31"/>
    </row>
    <row r="139" spans="1:35" s="35" customFormat="1" ht="14.25" x14ac:dyDescent="0.2">
      <c r="B139" s="19"/>
      <c r="C139" s="19"/>
      <c r="D139" s="31"/>
      <c r="E139" s="31"/>
      <c r="F139" s="31"/>
      <c r="G139" s="26"/>
      <c r="H139" s="31"/>
      <c r="I139" s="31"/>
      <c r="J139" s="26"/>
      <c r="K139" s="19"/>
      <c r="L139" s="31"/>
      <c r="M139" s="31"/>
      <c r="N139" s="31"/>
      <c r="O139" s="26"/>
      <c r="P139" s="31"/>
      <c r="Q139" s="31"/>
      <c r="R139" s="26"/>
      <c r="S139" s="19"/>
      <c r="T139" s="31"/>
      <c r="U139" s="31"/>
      <c r="V139" s="31"/>
      <c r="W139" s="26"/>
      <c r="X139" s="31"/>
      <c r="Y139" s="31"/>
      <c r="Z139" s="26"/>
      <c r="AA139" s="19"/>
      <c r="AB139" s="31"/>
    </row>
    <row r="140" spans="1:35" s="35" customFormat="1" ht="14.25" x14ac:dyDescent="0.2">
      <c r="B140" s="19"/>
      <c r="C140" s="19"/>
      <c r="D140" s="31"/>
      <c r="E140" s="31"/>
      <c r="F140" s="31"/>
      <c r="G140" s="26"/>
      <c r="H140" s="31"/>
      <c r="I140" s="31"/>
      <c r="J140" s="26"/>
      <c r="K140" s="19"/>
      <c r="L140" s="31"/>
      <c r="M140" s="31"/>
      <c r="N140" s="31"/>
      <c r="O140" s="26"/>
      <c r="P140" s="31"/>
      <c r="Q140" s="31"/>
      <c r="R140" s="26"/>
      <c r="S140" s="19"/>
      <c r="T140" s="31"/>
      <c r="U140" s="31"/>
      <c r="V140" s="31"/>
      <c r="W140" s="26"/>
      <c r="X140" s="31"/>
      <c r="Y140" s="31"/>
      <c r="Z140" s="26"/>
      <c r="AA140" s="19"/>
      <c r="AB140" s="31"/>
    </row>
    <row r="141" spans="1:35" s="35" customFormat="1" x14ac:dyDescent="0.25">
      <c r="A141" s="53"/>
      <c r="J141" s="54"/>
      <c r="K141" s="53"/>
      <c r="R141" s="54"/>
      <c r="S141" s="53"/>
      <c r="Z141" s="54"/>
      <c r="AA141" s="53"/>
      <c r="AC141" s="53"/>
      <c r="AD141" s="53"/>
      <c r="AE141" s="53"/>
      <c r="AF141" s="53"/>
      <c r="AG141" s="53"/>
      <c r="AH141" s="53"/>
      <c r="AI141" s="53"/>
    </row>
    <row r="142" spans="1:35" s="35" customFormat="1" x14ac:dyDescent="0.25">
      <c r="B142" s="55"/>
      <c r="D142" s="56"/>
      <c r="E142" s="56"/>
      <c r="F142" s="56"/>
      <c r="G142" s="56"/>
      <c r="H142" s="56"/>
      <c r="I142" s="57"/>
      <c r="J142" s="58"/>
      <c r="L142" s="56"/>
      <c r="M142" s="56"/>
      <c r="N142" s="56"/>
      <c r="O142" s="56"/>
      <c r="P142" s="56"/>
      <c r="Q142" s="57"/>
      <c r="R142" s="58"/>
      <c r="T142" s="56"/>
      <c r="U142" s="56"/>
      <c r="V142" s="56"/>
      <c r="W142" s="56"/>
      <c r="X142" s="56"/>
      <c r="Y142" s="57"/>
      <c r="Z142" s="58"/>
      <c r="AB142" s="56"/>
    </row>
    <row r="143" spans="1:35" s="35" customFormat="1" x14ac:dyDescent="0.25">
      <c r="B143" s="55"/>
      <c r="D143" s="56"/>
      <c r="E143" s="56"/>
      <c r="F143" s="56"/>
      <c r="G143" s="56"/>
      <c r="H143" s="56"/>
      <c r="I143" s="57"/>
      <c r="J143" s="58"/>
      <c r="L143" s="56"/>
      <c r="M143" s="56"/>
      <c r="N143" s="56"/>
      <c r="O143" s="56"/>
      <c r="P143" s="56"/>
      <c r="Q143" s="57"/>
      <c r="R143" s="58"/>
      <c r="T143" s="56"/>
      <c r="U143" s="56"/>
      <c r="V143" s="56"/>
      <c r="W143" s="56"/>
      <c r="X143" s="56"/>
      <c r="Y143" s="57"/>
      <c r="Z143" s="58"/>
      <c r="AB143" s="56"/>
    </row>
    <row r="144" spans="1:35" s="35" customFormat="1" x14ac:dyDescent="0.25">
      <c r="B144" s="55"/>
      <c r="D144" s="56"/>
      <c r="E144" s="56"/>
      <c r="F144" s="56"/>
      <c r="G144" s="56"/>
      <c r="H144" s="56"/>
      <c r="I144" s="57"/>
      <c r="J144" s="58"/>
      <c r="L144" s="56"/>
      <c r="M144" s="56"/>
      <c r="N144" s="56"/>
      <c r="O144" s="56"/>
      <c r="P144" s="56"/>
      <c r="Q144" s="57"/>
      <c r="R144" s="58"/>
      <c r="T144" s="56"/>
      <c r="U144" s="56"/>
      <c r="V144" s="56"/>
      <c r="W144" s="56"/>
      <c r="X144" s="56"/>
      <c r="Y144" s="57"/>
      <c r="Z144" s="58"/>
      <c r="AB144" s="56"/>
    </row>
    <row r="145" spans="2:28" s="35" customFormat="1" x14ac:dyDescent="0.25">
      <c r="B145" s="55"/>
      <c r="D145" s="56"/>
      <c r="E145" s="56"/>
      <c r="F145" s="56"/>
      <c r="G145" s="56"/>
      <c r="H145" s="56"/>
      <c r="I145" s="57"/>
      <c r="J145" s="58"/>
      <c r="L145" s="56"/>
      <c r="M145" s="56"/>
      <c r="N145" s="56"/>
      <c r="O145" s="56"/>
      <c r="P145" s="56"/>
      <c r="Q145" s="57"/>
      <c r="R145" s="58"/>
      <c r="T145" s="56"/>
      <c r="U145" s="56"/>
      <c r="V145" s="56"/>
      <c r="W145" s="56"/>
      <c r="X145" s="56"/>
      <c r="Y145" s="57"/>
      <c r="Z145" s="58"/>
      <c r="AB145" s="56"/>
    </row>
    <row r="146" spans="2:28" s="35" customFormat="1" ht="14.25" hidden="1" outlineLevel="1" x14ac:dyDescent="0.2">
      <c r="D146" s="56"/>
      <c r="E146" s="56"/>
      <c r="F146" s="56"/>
      <c r="G146" s="56"/>
      <c r="H146" s="56"/>
      <c r="I146" s="57"/>
      <c r="J146" s="58"/>
      <c r="L146" s="56"/>
      <c r="M146" s="56"/>
      <c r="N146" s="56"/>
      <c r="O146" s="56"/>
      <c r="P146" s="56"/>
      <c r="Q146" s="57"/>
      <c r="R146" s="58"/>
      <c r="T146" s="56"/>
      <c r="U146" s="56"/>
      <c r="V146" s="56"/>
      <c r="W146" s="56"/>
      <c r="X146" s="56"/>
      <c r="Y146" s="57"/>
      <c r="Z146" s="58"/>
      <c r="AB146" s="56"/>
    </row>
    <row r="147" spans="2:28" s="63" customFormat="1" ht="11.25" hidden="1" outlineLevel="1" x14ac:dyDescent="0.2">
      <c r="B147" s="59" t="s">
        <v>39</v>
      </c>
      <c r="C147" s="59"/>
      <c r="D147" s="60"/>
      <c r="E147" s="61"/>
      <c r="F147" s="61"/>
      <c r="G147" s="61"/>
      <c r="H147" s="61"/>
      <c r="I147" s="61"/>
      <c r="J147" s="62"/>
      <c r="L147" s="60"/>
      <c r="M147" s="61"/>
      <c r="N147" s="61"/>
      <c r="O147" s="61"/>
      <c r="P147" s="61"/>
      <c r="Q147" s="61"/>
      <c r="R147" s="62"/>
      <c r="T147" s="60"/>
      <c r="U147" s="60"/>
      <c r="V147" s="61"/>
      <c r="W147" s="61"/>
      <c r="X147" s="61"/>
      <c r="Y147" s="61"/>
      <c r="Z147" s="62"/>
      <c r="AB147" s="64"/>
    </row>
    <row r="148" spans="2:28" s="63" customFormat="1" ht="11.25" hidden="1" outlineLevel="1" x14ac:dyDescent="0.2">
      <c r="B148" s="59" t="s">
        <v>40</v>
      </c>
      <c r="C148" s="59"/>
      <c r="D148" s="65">
        <f>-46563984.89/1000*-1</f>
        <v>46563.98489</v>
      </c>
      <c r="E148" s="65">
        <f>-52983511.25/1000*-1</f>
        <v>52983.511250000003</v>
      </c>
      <c r="F148" s="66"/>
      <c r="G148" s="66"/>
      <c r="H148" s="66">
        <f>-47604657.102001/1000*-1</f>
        <v>47604.657102000994</v>
      </c>
      <c r="I148" s="67"/>
      <c r="J148" s="68"/>
      <c r="L148" s="65">
        <f>-126230756.47/1000*-1</f>
        <v>126230.75646999999</v>
      </c>
      <c r="M148" s="65">
        <f>-141400575.43/1000*-1</f>
        <v>141400.57543</v>
      </c>
      <c r="N148" s="66"/>
      <c r="O148" s="66"/>
      <c r="P148" s="66">
        <f>-123529877.989836/1000*-1</f>
        <v>123529.87798983601</v>
      </c>
      <c r="Q148" s="67"/>
      <c r="R148" s="68"/>
      <c r="T148" s="65">
        <f>-277785946.35/1000*-1</f>
        <v>277785.94635000004</v>
      </c>
      <c r="U148" s="65">
        <f>-267085132.21/1000*-1</f>
        <v>267085.13221000001</v>
      </c>
      <c r="V148" s="66"/>
      <c r="W148" s="66"/>
      <c r="X148" s="66">
        <f>-275085067.869836/1000*-1</f>
        <v>275085.067869836</v>
      </c>
      <c r="Y148" s="67"/>
      <c r="Z148" s="68"/>
      <c r="AB148" s="69">
        <f>-693618433.018816/1000*-1</f>
        <v>693618.43301881594</v>
      </c>
    </row>
    <row r="149" spans="2:28" s="63" customFormat="1" ht="11.25" hidden="1" outlineLevel="1" x14ac:dyDescent="0.2">
      <c r="B149" s="59" t="s">
        <v>31</v>
      </c>
      <c r="C149" s="59"/>
      <c r="D149" s="70">
        <f>0/1000*-1</f>
        <v>0</v>
      </c>
      <c r="E149" s="70">
        <f>0/1000*-1</f>
        <v>0</v>
      </c>
      <c r="F149" s="71"/>
      <c r="G149" s="71"/>
      <c r="H149" s="71">
        <f>0/1000*-1</f>
        <v>0</v>
      </c>
      <c r="I149" s="71"/>
      <c r="J149" s="72"/>
      <c r="L149" s="73">
        <f>0/1000*-1</f>
        <v>0</v>
      </c>
      <c r="M149" s="73">
        <f>0/1000*-1</f>
        <v>0</v>
      </c>
      <c r="N149" s="74"/>
      <c r="O149" s="74"/>
      <c r="P149" s="74">
        <f>0/1000*-1</f>
        <v>0</v>
      </c>
      <c r="Q149" s="75"/>
      <c r="R149" s="72"/>
      <c r="T149" s="73">
        <f>0/1000*-1</f>
        <v>0</v>
      </c>
      <c r="U149" s="73">
        <f>0/1000*-1</f>
        <v>0</v>
      </c>
      <c r="V149" s="74"/>
      <c r="W149" s="74"/>
      <c r="X149" s="74">
        <f>0/1000*-1</f>
        <v>0</v>
      </c>
      <c r="Y149" s="75"/>
      <c r="Z149" s="72"/>
      <c r="AB149" s="76">
        <f>0/1000*-1</f>
        <v>0</v>
      </c>
    </row>
    <row r="150" spans="2:28" s="59" customFormat="1" ht="11.25" hidden="1" outlineLevel="1" x14ac:dyDescent="0.2">
      <c r="D150" s="77"/>
      <c r="E150" s="77"/>
      <c r="F150" s="78"/>
      <c r="G150" s="78"/>
      <c r="H150" s="78"/>
      <c r="I150" s="79"/>
      <c r="J150" s="80"/>
      <c r="L150" s="77"/>
      <c r="M150" s="77"/>
      <c r="N150" s="78"/>
      <c r="O150" s="78"/>
      <c r="P150" s="78"/>
      <c r="Q150" s="79"/>
      <c r="R150" s="80"/>
      <c r="T150" s="77"/>
      <c r="U150" s="77"/>
      <c r="V150" s="78"/>
      <c r="W150" s="78"/>
      <c r="X150" s="78"/>
      <c r="Y150" s="79"/>
      <c r="Z150" s="80"/>
      <c r="AB150" s="81"/>
    </row>
    <row r="151" spans="2:28" s="63" customFormat="1" ht="11.25" hidden="1" outlineLevel="1" x14ac:dyDescent="0.2">
      <c r="B151" s="59" t="s">
        <v>41</v>
      </c>
      <c r="C151" s="59"/>
      <c r="D151" s="82">
        <f>SUM(D148:D150)</f>
        <v>46563.98489</v>
      </c>
      <c r="E151" s="82">
        <f>SUM(E148:E150)</f>
        <v>52983.511250000003</v>
      </c>
      <c r="F151" s="67"/>
      <c r="G151" s="67"/>
      <c r="H151" s="67">
        <f>SUM(H148:H150)</f>
        <v>47604.657102000994</v>
      </c>
      <c r="I151" s="67"/>
      <c r="J151" s="68"/>
      <c r="L151" s="82">
        <f>SUM(L148:L150)</f>
        <v>126230.75646999999</v>
      </c>
      <c r="M151" s="82">
        <f>SUM(M148:M150)</f>
        <v>141400.57543</v>
      </c>
      <c r="N151" s="67"/>
      <c r="O151" s="67"/>
      <c r="P151" s="67">
        <f>SUM(P148:P150)</f>
        <v>123529.87798983601</v>
      </c>
      <c r="Q151" s="67"/>
      <c r="R151" s="68"/>
      <c r="T151" s="82">
        <f>SUM(T148:T150)</f>
        <v>277785.94635000004</v>
      </c>
      <c r="U151" s="82">
        <f>SUM(U148:U150)</f>
        <v>267085.13221000001</v>
      </c>
      <c r="V151" s="67"/>
      <c r="W151" s="67"/>
      <c r="X151" s="67">
        <f>SUM(X148:X150)</f>
        <v>275085.067869836</v>
      </c>
      <c r="Y151" s="67"/>
      <c r="Z151" s="68"/>
      <c r="AB151" s="83">
        <f>SUM(AB148:AB150)</f>
        <v>693618.43301881594</v>
      </c>
    </row>
    <row r="152" spans="2:28" s="63" customFormat="1" ht="11.25" hidden="1" outlineLevel="1" x14ac:dyDescent="0.2">
      <c r="B152" s="59"/>
      <c r="C152" s="59"/>
      <c r="D152" s="82"/>
      <c r="E152" s="82"/>
      <c r="F152" s="67"/>
      <c r="G152" s="67"/>
      <c r="H152" s="67"/>
      <c r="I152" s="67"/>
      <c r="J152" s="68"/>
      <c r="L152" s="82"/>
      <c r="M152" s="82"/>
      <c r="N152" s="67"/>
      <c r="O152" s="67"/>
      <c r="P152" s="67"/>
      <c r="Q152" s="67"/>
      <c r="R152" s="68"/>
      <c r="T152" s="82"/>
      <c r="U152" s="82"/>
      <c r="V152" s="67"/>
      <c r="W152" s="67"/>
      <c r="X152" s="67"/>
      <c r="Y152" s="67"/>
      <c r="Z152" s="68"/>
      <c r="AB152" s="83"/>
    </row>
    <row r="153" spans="2:28" s="85" customFormat="1" ht="11.25" hidden="1" outlineLevel="1" x14ac:dyDescent="0.2">
      <c r="B153" s="66" t="s">
        <v>42</v>
      </c>
      <c r="C153" s="66"/>
      <c r="D153" s="77">
        <f>D151-D109</f>
        <v>18785.134589999998</v>
      </c>
      <c r="E153" s="77">
        <f>E151-E109</f>
        <v>14782.61591</v>
      </c>
      <c r="F153" s="78"/>
      <c r="G153" s="78"/>
      <c r="H153" s="78">
        <f>H151-H109</f>
        <v>17511.54393781699</v>
      </c>
      <c r="I153" s="78"/>
      <c r="J153" s="84"/>
      <c r="L153" s="77">
        <f>L151-L109</f>
        <v>59423.064970000007</v>
      </c>
      <c r="M153" s="77">
        <f>M151-M109</f>
        <v>41790.991930000004</v>
      </c>
      <c r="N153" s="78"/>
      <c r="O153" s="78"/>
      <c r="P153" s="78">
        <f>P151-P109</f>
        <v>52968.841398325007</v>
      </c>
      <c r="Q153" s="78"/>
      <c r="R153" s="84"/>
      <c r="T153" s="77">
        <f>T151-T109</f>
        <v>112668.68509000004</v>
      </c>
      <c r="U153" s="77">
        <f>U151-U109</f>
        <v>81292.737200000032</v>
      </c>
      <c r="V153" s="78"/>
      <c r="W153" s="78"/>
      <c r="X153" s="78">
        <f>X151-X109</f>
        <v>106214.46151832503</v>
      </c>
      <c r="Y153" s="78"/>
      <c r="Z153" s="84"/>
      <c r="AB153" s="81">
        <f>AB151-AB109</f>
        <v>252672.2733980419</v>
      </c>
    </row>
    <row r="154" spans="2:28" s="85" customFormat="1" ht="11.25" hidden="1" outlineLevel="1" x14ac:dyDescent="0.2">
      <c r="B154" s="66"/>
      <c r="C154" s="66"/>
      <c r="D154" s="66"/>
      <c r="E154" s="66"/>
      <c r="F154" s="66"/>
      <c r="G154" s="66"/>
      <c r="H154" s="66"/>
      <c r="I154" s="66"/>
      <c r="J154" s="86"/>
      <c r="L154" s="66"/>
      <c r="M154" s="66"/>
      <c r="N154" s="66"/>
      <c r="O154" s="66"/>
      <c r="P154" s="66"/>
      <c r="Q154" s="66"/>
      <c r="R154" s="86"/>
      <c r="T154" s="66"/>
      <c r="U154" s="66"/>
      <c r="V154" s="66"/>
      <c r="W154" s="66"/>
      <c r="X154" s="66"/>
      <c r="Y154" s="66"/>
      <c r="Z154" s="86"/>
      <c r="AB154" s="66"/>
    </row>
    <row r="155" spans="2:28" s="85" customFormat="1" ht="11.25" hidden="1" outlineLevel="1" x14ac:dyDescent="0.2">
      <c r="B155" s="66"/>
      <c r="C155" s="66"/>
      <c r="D155" s="66"/>
      <c r="E155" s="66"/>
      <c r="F155" s="66"/>
      <c r="G155" s="66"/>
      <c r="H155" s="66"/>
      <c r="I155" s="66"/>
      <c r="J155" s="86"/>
      <c r="L155" s="66"/>
      <c r="M155" s="66"/>
      <c r="N155" s="66"/>
      <c r="O155" s="66"/>
      <c r="P155" s="66"/>
      <c r="Q155" s="66"/>
      <c r="R155" s="86"/>
      <c r="T155" s="66"/>
      <c r="U155" s="66"/>
      <c r="V155" s="66"/>
      <c r="W155" s="66"/>
      <c r="X155" s="66"/>
      <c r="Y155" s="66"/>
      <c r="Z155" s="86"/>
      <c r="AB155" s="66"/>
    </row>
    <row r="156" spans="2:28" s="85" customFormat="1" ht="11.25" hidden="1" outlineLevel="1" x14ac:dyDescent="0.2">
      <c r="B156" s="66" t="s">
        <v>43</v>
      </c>
      <c r="C156" s="66"/>
      <c r="D156" s="66">
        <f>SUM(D58,D82,D106)</f>
        <v>4185.1717000000008</v>
      </c>
      <c r="E156" s="66">
        <f>SUM(E58,E82,E106)</f>
        <v>5436.7077200000003</v>
      </c>
      <c r="F156" s="66"/>
      <c r="G156" s="66"/>
      <c r="H156" s="66">
        <f>SUM(H58,H82,H106)</f>
        <v>3819.152344184</v>
      </c>
      <c r="I156" s="66"/>
      <c r="J156" s="86"/>
      <c r="L156" s="66">
        <f>SUM(L58,L82,L106)</f>
        <v>10944.465550000001</v>
      </c>
      <c r="M156" s="66">
        <f>SUM(M58,M82,M106)</f>
        <v>14627.27693</v>
      </c>
      <c r="N156" s="66"/>
      <c r="O156" s="66"/>
      <c r="P156" s="66">
        <f>SUM(P58,P82,P106)</f>
        <v>11327.572241510999</v>
      </c>
      <c r="Q156" s="66"/>
      <c r="R156" s="86"/>
      <c r="T156" s="66">
        <f>SUM(T58,T82,T106)</f>
        <v>23495.352909999998</v>
      </c>
      <c r="U156" s="66">
        <f>SUM(U58,U82,U106)</f>
        <v>25417.1875</v>
      </c>
      <c r="V156" s="66"/>
      <c r="W156" s="66"/>
      <c r="X156" s="66">
        <f>SUM(X58,X82,X106)</f>
        <v>23878.459601511</v>
      </c>
      <c r="Y156" s="66"/>
      <c r="Z156" s="86"/>
      <c r="AB156" s="66">
        <f>SUM(AB58,AB82,AB106)</f>
        <v>65732.30834077399</v>
      </c>
    </row>
    <row r="157" spans="2:28" s="85" customFormat="1" ht="11.25" hidden="1" outlineLevel="1" x14ac:dyDescent="0.2">
      <c r="B157" s="66"/>
      <c r="C157" s="66"/>
      <c r="D157" s="66"/>
      <c r="E157" s="66"/>
      <c r="F157" s="66"/>
      <c r="G157" s="66"/>
      <c r="H157" s="66"/>
      <c r="I157" s="66"/>
      <c r="J157" s="86"/>
      <c r="L157" s="66"/>
      <c r="M157" s="66"/>
      <c r="N157" s="66"/>
      <c r="O157" s="66"/>
      <c r="P157" s="66"/>
      <c r="Q157" s="66"/>
      <c r="R157" s="86"/>
      <c r="T157" s="66"/>
      <c r="U157" s="66"/>
      <c r="V157" s="66"/>
      <c r="W157" s="66"/>
      <c r="X157" s="66"/>
      <c r="Y157" s="66"/>
      <c r="Z157" s="86"/>
      <c r="AB157" s="66"/>
    </row>
    <row r="158" spans="2:28" s="85" customFormat="1" ht="11.25" hidden="1" outlineLevel="1" x14ac:dyDescent="0.2">
      <c r="B158" s="66"/>
      <c r="C158" s="66"/>
      <c r="D158" s="66"/>
      <c r="E158" s="66"/>
      <c r="F158" s="66"/>
      <c r="G158" s="66"/>
      <c r="H158" s="66"/>
      <c r="I158" s="66"/>
      <c r="J158" s="86"/>
      <c r="L158" s="66"/>
      <c r="M158" s="66"/>
      <c r="N158" s="66"/>
      <c r="O158" s="66"/>
      <c r="P158" s="66"/>
      <c r="Q158" s="66"/>
      <c r="R158" s="86"/>
      <c r="T158" s="66"/>
      <c r="U158" s="66"/>
      <c r="V158" s="66"/>
      <c r="W158" s="66"/>
      <c r="X158" s="66"/>
      <c r="Y158" s="66"/>
      <c r="Z158" s="86"/>
      <c r="AB158" s="66"/>
    </row>
    <row r="159" spans="2:28" s="85" customFormat="1" ht="11.25" hidden="1" outlineLevel="1" x14ac:dyDescent="0.2">
      <c r="B159" s="66"/>
      <c r="C159" s="66"/>
      <c r="D159" s="66"/>
      <c r="E159" s="66"/>
      <c r="F159" s="66"/>
      <c r="G159" s="66"/>
      <c r="H159" s="66"/>
      <c r="I159" s="66"/>
      <c r="J159" s="86"/>
      <c r="L159" s="66"/>
      <c r="M159" s="66"/>
      <c r="N159" s="66"/>
      <c r="O159" s="66"/>
      <c r="P159" s="66"/>
      <c r="Q159" s="66"/>
      <c r="R159" s="86"/>
      <c r="T159" s="66"/>
      <c r="U159" s="66"/>
      <c r="V159" s="66"/>
      <c r="W159" s="66"/>
      <c r="X159" s="66"/>
      <c r="Y159" s="66"/>
      <c r="Z159" s="86"/>
      <c r="AB159" s="66"/>
    </row>
    <row r="160" spans="2:28" hidden="1" outlineLevel="1" x14ac:dyDescent="0.25">
      <c r="B160" s="35"/>
      <c r="C160" s="35"/>
    </row>
    <row r="161" spans="1:35" hidden="1" outlineLevel="1" x14ac:dyDescent="0.25">
      <c r="A161" s="1"/>
      <c r="B161" s="19"/>
      <c r="C161" s="19"/>
      <c r="D161" s="43"/>
      <c r="E161" s="44"/>
      <c r="F161" s="44"/>
      <c r="G161" s="88"/>
      <c r="H161" s="44"/>
      <c r="I161" s="44"/>
      <c r="J161" s="46"/>
      <c r="K161" s="3"/>
      <c r="L161" s="43"/>
      <c r="M161" s="44"/>
      <c r="N161" s="44"/>
      <c r="O161" s="88"/>
      <c r="P161" s="44"/>
      <c r="Q161" s="44"/>
      <c r="R161" s="46"/>
      <c r="S161" s="3"/>
      <c r="T161" s="43"/>
      <c r="U161" s="44"/>
      <c r="V161" s="44"/>
      <c r="W161" s="88"/>
      <c r="X161" s="44"/>
      <c r="Y161" s="44"/>
      <c r="Z161" s="46"/>
      <c r="AA161" s="3"/>
      <c r="AB161" s="47"/>
      <c r="AC161" s="1"/>
      <c r="AD161" s="1"/>
      <c r="AE161" s="1"/>
      <c r="AF161" s="1"/>
      <c r="AG161" s="1"/>
      <c r="AH161" s="1"/>
      <c r="AI161" s="1"/>
    </row>
    <row r="162" spans="1:35" hidden="1" outlineLevel="1" x14ac:dyDescent="0.25">
      <c r="B162" s="35"/>
      <c r="C162" s="35"/>
    </row>
    <row r="163" spans="1:35" hidden="1" outlineLevel="1" x14ac:dyDescent="0.25">
      <c r="B163" s="35"/>
      <c r="C163" s="35"/>
    </row>
    <row r="164" spans="1:35" collapsed="1" x14ac:dyDescent="0.25">
      <c r="B164" s="35"/>
      <c r="C164" s="35"/>
    </row>
    <row r="165" spans="1:35" x14ac:dyDescent="0.25">
      <c r="B165" s="35"/>
      <c r="C165" s="35"/>
    </row>
    <row r="166" spans="1:35" x14ac:dyDescent="0.25">
      <c r="B166" s="35"/>
      <c r="C166" s="35"/>
    </row>
    <row r="167" spans="1:35" x14ac:dyDescent="0.25">
      <c r="B167" s="35"/>
      <c r="C167" s="35"/>
    </row>
  </sheetData>
  <pageMargins left="0.2" right="0.2" top="0.25" bottom="0.25" header="0.3" footer="0"/>
  <pageSetup scale="53" orientation="landscape" r:id="rId1"/>
  <headerFooter>
    <oddFooter>&amp;C&amp;P of &amp;N</oddFooter>
  </headerFooter>
  <rowBreaks count="1" manualBreakCount="1">
    <brk id="13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1:AI404"/>
  <sheetViews>
    <sheetView zoomScale="80" zoomScaleNormal="80" workbookViewId="0">
      <selection activeCell="K4" sqref="K4"/>
    </sheetView>
  </sheetViews>
  <sheetFormatPr defaultColWidth="9.140625" defaultRowHeight="15" outlineLevelRow="1" outlineLevelCol="1" x14ac:dyDescent="0.25"/>
  <cols>
    <col min="1" max="1" width="0.28515625" customWidth="1"/>
    <col min="2" max="2" width="32.85546875" style="1" customWidth="1"/>
    <col min="3" max="3" width="0.28515625" style="1" customWidth="1"/>
    <col min="4" max="6" width="12.7109375" style="1" hidden="1" customWidth="1" outlineLevel="1"/>
    <col min="7" max="7" width="12.7109375" style="1" customWidth="1" collapsed="1"/>
    <col min="8" max="8" width="12.7109375" style="35" hidden="1" customWidth="1" outlineLevel="1"/>
    <col min="9" max="10" width="12.7109375" style="1" hidden="1" customWidth="1" outlineLevel="1"/>
    <col min="11" max="11" width="12.7109375" style="1" customWidth="1" collapsed="1"/>
    <col min="12" max="12" width="10.7109375" style="1" customWidth="1"/>
    <col min="13" max="13" width="10.7109375" style="87" customWidth="1"/>
    <col min="14" max="14" width="12.7109375" style="1" customWidth="1"/>
    <col min="15" max="17" width="12.7109375" style="1" hidden="1" customWidth="1" outlineLevel="1"/>
    <col min="18" max="18" width="12.7109375" style="1" customWidth="1" collapsed="1"/>
    <col min="19" max="19" width="10.7109375" style="1" customWidth="1"/>
    <col min="20" max="20" width="10.7109375" style="87" customWidth="1"/>
    <col min="21" max="21" width="12.7109375" style="1" customWidth="1"/>
    <col min="22" max="24" width="12.7109375" style="1" hidden="1" customWidth="1" outlineLevel="1"/>
    <col min="25" max="25" width="12.7109375" style="1" customWidth="1" collapsed="1"/>
    <col min="26" max="26" width="11.42578125" style="1" bestFit="1" customWidth="1"/>
    <col min="27" max="27" width="10.7109375" style="87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2"/>
      <c r="E1" s="2"/>
      <c r="F1" s="2"/>
      <c r="G1" s="3"/>
      <c r="H1" s="19"/>
      <c r="I1" s="3"/>
      <c r="J1" s="3"/>
      <c r="K1" s="3"/>
      <c r="L1" s="3"/>
      <c r="M1" s="4"/>
      <c r="N1" s="3"/>
      <c r="O1" s="3"/>
      <c r="P1" s="3"/>
      <c r="Q1" s="3"/>
      <c r="R1" s="3"/>
      <c r="S1" s="3"/>
      <c r="T1" s="4"/>
      <c r="U1" s="3"/>
      <c r="V1" s="3"/>
      <c r="W1" s="3"/>
      <c r="X1" s="3"/>
      <c r="Y1" s="3"/>
      <c r="Z1" s="3"/>
      <c r="AA1" s="4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2"/>
      <c r="E2" s="2"/>
      <c r="F2" s="2"/>
      <c r="G2" s="3"/>
      <c r="H2" s="19"/>
      <c r="I2" s="3"/>
      <c r="J2" s="3"/>
      <c r="K2" s="3"/>
      <c r="L2" s="3"/>
      <c r="M2" s="5"/>
      <c r="N2" s="3"/>
      <c r="O2" s="3"/>
      <c r="P2" s="3"/>
      <c r="Q2" s="3"/>
      <c r="R2" s="3"/>
      <c r="S2" s="3"/>
      <c r="T2" s="5"/>
      <c r="U2" s="3"/>
      <c r="V2" s="3"/>
      <c r="W2" s="3"/>
      <c r="X2" s="3"/>
      <c r="Y2" s="3"/>
      <c r="Z2" s="3"/>
      <c r="AA2" s="5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2"/>
      <c r="E3" s="2"/>
      <c r="F3" s="2"/>
      <c r="G3" s="3"/>
      <c r="H3" s="19"/>
      <c r="I3" s="3"/>
      <c r="J3" s="3"/>
      <c r="K3" s="3"/>
      <c r="L3" s="3"/>
      <c r="M3" s="5"/>
      <c r="N3" s="3"/>
      <c r="O3" s="3"/>
      <c r="P3" s="3"/>
      <c r="Q3" s="3"/>
      <c r="R3" s="3"/>
      <c r="S3" s="3"/>
      <c r="T3" s="5"/>
      <c r="U3" s="3"/>
      <c r="V3" s="3"/>
      <c r="W3" s="3"/>
      <c r="X3" s="3"/>
      <c r="Y3" s="3"/>
      <c r="Z3" s="3"/>
      <c r="AA3" s="5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2"/>
      <c r="E4" s="2"/>
      <c r="F4" s="2"/>
      <c r="G4" s="3"/>
      <c r="H4" s="19"/>
      <c r="I4" s="3"/>
      <c r="J4" s="3"/>
      <c r="K4" s="3"/>
      <c r="L4" s="3"/>
      <c r="M4" s="5"/>
      <c r="N4" s="3"/>
      <c r="O4" s="3"/>
      <c r="P4" s="3"/>
      <c r="Q4" s="3"/>
      <c r="R4" s="3"/>
      <c r="S4" s="3"/>
      <c r="T4" s="5"/>
      <c r="U4" s="3"/>
      <c r="V4" s="3"/>
      <c r="W4" s="3"/>
      <c r="X4" s="3"/>
      <c r="Y4" s="3"/>
      <c r="Z4" s="3"/>
      <c r="AA4" s="5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44</v>
      </c>
      <c r="C5" s="2"/>
      <c r="D5" s="2"/>
      <c r="E5" s="2"/>
      <c r="F5" s="2"/>
      <c r="G5" s="6"/>
      <c r="H5" s="89"/>
      <c r="I5" s="6"/>
      <c r="J5" s="6"/>
      <c r="K5" s="3"/>
      <c r="L5" s="3"/>
      <c r="M5" s="5"/>
      <c r="N5" s="6"/>
      <c r="O5" s="6"/>
      <c r="P5" s="6"/>
      <c r="Q5" s="6"/>
      <c r="R5" s="3"/>
      <c r="S5" s="3"/>
      <c r="T5" s="5"/>
      <c r="U5" s="6"/>
      <c r="V5" s="6"/>
      <c r="W5" s="6"/>
      <c r="X5" s="6"/>
      <c r="Y5" s="3"/>
      <c r="Z5" s="3"/>
      <c r="AA5" s="5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2"/>
      <c r="E6" s="2"/>
      <c r="F6" s="2"/>
      <c r="G6" s="6"/>
      <c r="H6" s="89"/>
      <c r="I6" s="6"/>
      <c r="J6" s="6"/>
      <c r="K6" s="3"/>
      <c r="L6" s="3"/>
      <c r="M6" s="5"/>
      <c r="N6" s="6"/>
      <c r="O6" s="6"/>
      <c r="P6" s="6"/>
      <c r="Q6" s="6"/>
      <c r="R6" s="3"/>
      <c r="S6" s="3"/>
      <c r="T6" s="5"/>
      <c r="U6" s="6"/>
      <c r="V6" s="6"/>
      <c r="W6" s="6"/>
      <c r="X6" s="6"/>
      <c r="Y6" s="3"/>
      <c r="Z6" s="3"/>
      <c r="AA6" s="5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19"/>
      <c r="I7" s="3"/>
      <c r="J7" s="3"/>
      <c r="K7" s="3"/>
      <c r="L7" s="3"/>
      <c r="M7" s="5"/>
      <c r="N7" s="3"/>
      <c r="O7" s="3"/>
      <c r="P7" s="3"/>
      <c r="Q7" s="3"/>
      <c r="R7" s="3"/>
      <c r="S7" s="3"/>
      <c r="T7" s="5"/>
      <c r="U7" s="3"/>
      <c r="V7" s="3"/>
      <c r="W7" s="3"/>
      <c r="X7" s="3"/>
      <c r="Y7" s="3"/>
      <c r="Z7" s="3"/>
      <c r="AA7" s="5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2"/>
      <c r="E8" s="2"/>
      <c r="F8" s="2"/>
      <c r="G8" s="3"/>
      <c r="H8" s="19"/>
      <c r="I8" s="3"/>
      <c r="J8" s="3"/>
      <c r="K8" s="3"/>
      <c r="L8" s="3"/>
      <c r="M8" s="5"/>
      <c r="N8" s="3"/>
      <c r="O8" s="3"/>
      <c r="P8" s="3"/>
      <c r="Q8" s="3"/>
      <c r="R8" s="3"/>
      <c r="S8" s="3"/>
      <c r="T8" s="5"/>
      <c r="U8" s="3"/>
      <c r="V8" s="3"/>
      <c r="W8" s="3"/>
      <c r="X8" s="3"/>
      <c r="Y8" s="3"/>
      <c r="Z8" s="3"/>
      <c r="AA8" s="5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90" t="s">
        <v>45</v>
      </c>
      <c r="C9" s="91"/>
      <c r="D9" s="91"/>
      <c r="E9" s="91"/>
      <c r="F9" s="91"/>
      <c r="G9" s="9" t="e">
        <f ca="1">"Period "&amp;INDIRECT("'Input Data'!$C$2")</f>
        <v>#REF!</v>
      </c>
      <c r="H9" s="10"/>
      <c r="I9" s="10"/>
      <c r="J9" s="10"/>
      <c r="K9" s="10"/>
      <c r="L9" s="10"/>
      <c r="M9" s="11"/>
      <c r="N9" s="9" t="e">
        <f ca="1">"QTD - "&amp;INDIRECT("'Input Data'!$C$3")</f>
        <v>#REF!</v>
      </c>
      <c r="O9" s="10"/>
      <c r="P9" s="10"/>
      <c r="Q9" s="10"/>
      <c r="R9" s="10"/>
      <c r="S9" s="10"/>
      <c r="T9" s="11"/>
      <c r="U9" s="9" t="s">
        <v>4</v>
      </c>
      <c r="V9" s="10"/>
      <c r="W9" s="10"/>
      <c r="X9" s="10"/>
      <c r="Y9" s="10"/>
      <c r="Z9" s="10"/>
      <c r="AA9" s="11"/>
      <c r="AB9" s="9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90"/>
      <c r="C10" s="91"/>
      <c r="D10" s="91"/>
      <c r="E10" s="91"/>
      <c r="F10" s="91"/>
      <c r="G10" s="13"/>
      <c r="H10" s="14" t="s">
        <v>6</v>
      </c>
      <c r="I10" s="14" t="s">
        <v>7</v>
      </c>
      <c r="J10" s="14" t="s">
        <v>8</v>
      </c>
      <c r="K10" s="8"/>
      <c r="L10" s="14" t="s">
        <v>9</v>
      </c>
      <c r="M10" s="15" t="s">
        <v>10</v>
      </c>
      <c r="N10" s="13"/>
      <c r="O10" s="14" t="s">
        <v>6</v>
      </c>
      <c r="P10" s="14" t="s">
        <v>7</v>
      </c>
      <c r="Q10" s="14" t="s">
        <v>8</v>
      </c>
      <c r="R10" s="8"/>
      <c r="S10" s="14" t="s">
        <v>9</v>
      </c>
      <c r="T10" s="15" t="s">
        <v>10</v>
      </c>
      <c r="U10" s="13"/>
      <c r="V10" s="14" t="s">
        <v>6</v>
      </c>
      <c r="W10" s="14" t="s">
        <v>7</v>
      </c>
      <c r="X10" s="14" t="s">
        <v>8</v>
      </c>
      <c r="Y10" s="8"/>
      <c r="Z10" s="14" t="s">
        <v>9</v>
      </c>
      <c r="AA10" s="15" t="s">
        <v>10</v>
      </c>
      <c r="AB10" s="93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91" t="s">
        <v>11</v>
      </c>
      <c r="C11" s="91"/>
      <c r="D11" s="91"/>
      <c r="E11" s="91" t="s">
        <v>46</v>
      </c>
      <c r="F11" s="91" t="s">
        <v>47</v>
      </c>
      <c r="G11" s="17" t="s">
        <v>12</v>
      </c>
      <c r="H11" s="14" t="s">
        <v>12</v>
      </c>
      <c r="I11" s="14" t="s">
        <v>13</v>
      </c>
      <c r="J11" s="14" t="s">
        <v>13</v>
      </c>
      <c r="K11" s="14" t="s">
        <v>48</v>
      </c>
      <c r="L11" s="14" t="s">
        <v>15</v>
      </c>
      <c r="M11" s="15" t="s">
        <v>15</v>
      </c>
      <c r="N11" s="17" t="s">
        <v>12</v>
      </c>
      <c r="O11" s="14" t="s">
        <v>12</v>
      </c>
      <c r="P11" s="14" t="s">
        <v>13</v>
      </c>
      <c r="Q11" s="14" t="s">
        <v>13</v>
      </c>
      <c r="R11" s="14" t="s">
        <v>48</v>
      </c>
      <c r="S11" s="14" t="s">
        <v>15</v>
      </c>
      <c r="T11" s="15" t="s">
        <v>15</v>
      </c>
      <c r="U11" s="17" t="s">
        <v>12</v>
      </c>
      <c r="V11" s="14" t="s">
        <v>12</v>
      </c>
      <c r="W11" s="14" t="s">
        <v>13</v>
      </c>
      <c r="X11" s="14" t="s">
        <v>13</v>
      </c>
      <c r="Y11" s="14" t="s">
        <v>48</v>
      </c>
      <c r="Z11" s="14" t="s">
        <v>15</v>
      </c>
      <c r="AA11" s="15" t="s">
        <v>15</v>
      </c>
      <c r="AB11" s="94" t="s">
        <v>48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3"/>
      <c r="C12" s="3"/>
      <c r="D12" s="3"/>
      <c r="E12" s="3"/>
      <c r="F12" s="3"/>
      <c r="G12" s="95"/>
      <c r="H12" s="45"/>
      <c r="I12" s="45"/>
      <c r="J12" s="45"/>
      <c r="K12" s="45"/>
      <c r="L12" s="45"/>
      <c r="M12" s="46"/>
      <c r="N12" s="95"/>
      <c r="O12" s="45"/>
      <c r="P12" s="45"/>
      <c r="Q12" s="45"/>
      <c r="R12" s="45"/>
      <c r="S12" s="45"/>
      <c r="T12" s="46"/>
      <c r="U12" s="95"/>
      <c r="V12" s="45"/>
      <c r="W12" s="45"/>
      <c r="X12" s="45"/>
      <c r="Y12" s="45"/>
      <c r="Z12" s="45"/>
      <c r="AA12" s="46"/>
      <c r="AB12" s="96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3" t="s">
        <v>49</v>
      </c>
      <c r="C13" s="3"/>
      <c r="D13" s="3"/>
      <c r="E13" s="3"/>
      <c r="F13" s="3"/>
      <c r="G13" s="97">
        <f>SUM(G14:G23)</f>
        <v>736.23942999999997</v>
      </c>
      <c r="H13" s="98">
        <f>SUM(H14:H23)</f>
        <v>699.53334000000007</v>
      </c>
      <c r="I13" s="99">
        <f t="shared" ref="I13:I22" si="0">G13-H13</f>
        <v>36.706089999999904</v>
      </c>
      <c r="J13" s="26">
        <f t="shared" ref="J13:J22" si="1">IF(ISERROR(I13/H13),"N/A",IF(ABS(I13/H13)&gt;5,"N/A",I13/H13))</f>
        <v>5.2472252430455855E-2</v>
      </c>
      <c r="K13" s="98">
        <f>SUM(K14:K23)</f>
        <v>442.33889381699998</v>
      </c>
      <c r="L13" s="99">
        <f t="shared" ref="L13:L22" si="2">K13-G13</f>
        <v>-293.90053618299999</v>
      </c>
      <c r="M13" s="27">
        <f t="shared" ref="M13:M22" si="3">IF(ISERROR(L13/K13),"N/A",IF(ABS(L13/K13)&gt;5,"N/A",L13/K13))</f>
        <v>-0.66442390730531053</v>
      </c>
      <c r="N13" s="97">
        <f>SUM(N14:N23)</f>
        <v>1937.6547100000003</v>
      </c>
      <c r="O13" s="98">
        <f>SUM(O14:O23)</f>
        <v>2348.1925099999999</v>
      </c>
      <c r="P13" s="99">
        <f t="shared" ref="P13:P22" si="4">N13-O13</f>
        <v>-410.53779999999961</v>
      </c>
      <c r="Q13" s="26">
        <f t="shared" ref="Q13:Q22" si="5">IF(ISERROR(P13/O13),"N/A",IF(ABS(P13/O13)&gt;5,"N/A",P13/O13))</f>
        <v>-0.17483140681681147</v>
      </c>
      <c r="R13" s="98">
        <f>SUM(R14:R23)</f>
        <v>1547.8932348320002</v>
      </c>
      <c r="S13" s="99">
        <f t="shared" ref="S13:S22" si="6">R13-N13</f>
        <v>-389.76147516800006</v>
      </c>
      <c r="T13" s="27">
        <f t="shared" ref="T13:T22" si="7">IF(ISERROR(S13/R13),"N/A",IF(ABS(S13/R13)&gt;5,"N/A",S13/R13))</f>
        <v>-0.25180126535684655</v>
      </c>
      <c r="U13" s="97">
        <f>SUM(U14:U23)</f>
        <v>4665.0132899999999</v>
      </c>
      <c r="V13" s="100">
        <f>SUM(V14:V23)</f>
        <v>4667.0673899999983</v>
      </c>
      <c r="W13" s="99">
        <f t="shared" ref="W13:W22" si="8">U13-V13</f>
        <v>-2.0540999999984706</v>
      </c>
      <c r="X13" s="26">
        <f t="shared" ref="X13:X22" si="9">IF(ISERROR(W13/V13),"N/A",IF(ABS(W13/V13)&gt;5,"N/A",W13/V13))</f>
        <v>-4.4012649236643473E-4</v>
      </c>
      <c r="Y13" s="98">
        <f>SUM(Y14:Y23)</f>
        <v>4275.2518148320005</v>
      </c>
      <c r="Z13" s="99">
        <f t="shared" ref="Z13:Z22" si="10">Y13-U13</f>
        <v>-389.76147516799938</v>
      </c>
      <c r="AA13" s="27">
        <f t="shared" ref="AA13:AA22" si="11">IF(ISERROR(Z13/Y13),"N/A",IF(ABS(Z13/Y13)&gt;5,"N/A",Z13/Y13))</f>
        <v>-9.1166904792791811E-2</v>
      </c>
      <c r="AB13" s="101">
        <f>SUM(AB14:AB23)</f>
        <v>8239.1648358620005</v>
      </c>
      <c r="AC13" s="1"/>
      <c r="AD13" s="1"/>
      <c r="AE13" s="1"/>
      <c r="AF13" s="1"/>
      <c r="AG13" s="1"/>
      <c r="AH13" s="1"/>
      <c r="AI13" s="1"/>
    </row>
    <row r="14" spans="1:35" ht="14.25" hidden="1" outlineLevel="1" x14ac:dyDescent="0.2">
      <c r="A14" s="1"/>
      <c r="B14" s="3"/>
      <c r="C14" s="3"/>
      <c r="D14" s="3" t="s">
        <v>50</v>
      </c>
      <c r="E14" s="3" t="s">
        <v>51</v>
      </c>
      <c r="F14" s="3">
        <v>930</v>
      </c>
      <c r="G14" s="24">
        <f>570463.21/1000*1</f>
        <v>570.46321</v>
      </c>
      <c r="H14" s="25">
        <f>531310.16/1000*1</f>
        <v>531.31016</v>
      </c>
      <c r="I14" s="99">
        <f t="shared" si="0"/>
        <v>39.153050000000007</v>
      </c>
      <c r="J14" s="26">
        <f t="shared" si="1"/>
        <v>7.3691513823112301E-2</v>
      </c>
      <c r="K14" s="25">
        <f>266676.746429/1000*1</f>
        <v>266.67674642899999</v>
      </c>
      <c r="L14" s="99">
        <f t="shared" si="2"/>
        <v>-303.78646357100001</v>
      </c>
      <c r="M14" s="27">
        <f t="shared" si="3"/>
        <v>-1.1391561793029454</v>
      </c>
      <c r="N14" s="24">
        <f>1478359.69/1000*1</f>
        <v>1478.35969</v>
      </c>
      <c r="O14" s="25">
        <f>1835476.44/1000*1</f>
        <v>1835.4764399999999</v>
      </c>
      <c r="P14" s="99">
        <f t="shared" si="4"/>
        <v>-357.11674999999991</v>
      </c>
      <c r="Q14" s="26">
        <f t="shared" si="5"/>
        <v>-0.19456351616259368</v>
      </c>
      <c r="R14" s="25">
        <f>1061314.378608/1000*1</f>
        <v>1061.314378608</v>
      </c>
      <c r="S14" s="99">
        <f t="shared" si="6"/>
        <v>-417.04531139200003</v>
      </c>
      <c r="T14" s="27">
        <f t="shared" si="7"/>
        <v>-0.39295172080772978</v>
      </c>
      <c r="U14" s="24">
        <f>3550018.43/1000*1</f>
        <v>3550.0184300000001</v>
      </c>
      <c r="V14" s="25">
        <f>3625068.31/1000*1</f>
        <v>3625.0683100000001</v>
      </c>
      <c r="W14" s="99">
        <f t="shared" si="8"/>
        <v>-75.04988000000003</v>
      </c>
      <c r="X14" s="26">
        <f t="shared" si="9"/>
        <v>-2.0703025041754326E-2</v>
      </c>
      <c r="Y14" s="25">
        <f>3132973.118608/1000*1</f>
        <v>3132.9731186080003</v>
      </c>
      <c r="Z14" s="99">
        <f t="shared" si="10"/>
        <v>-417.0453113919998</v>
      </c>
      <c r="AA14" s="27">
        <f t="shared" si="11"/>
        <v>-0.13311487063677574</v>
      </c>
      <c r="AB14" s="28">
        <f>5480296.537006/1000*1</f>
        <v>5480.2965370060001</v>
      </c>
      <c r="AC14" s="1"/>
      <c r="AD14" s="1"/>
      <c r="AE14" s="1"/>
      <c r="AF14" s="1"/>
      <c r="AG14" s="1"/>
      <c r="AH14" s="1"/>
      <c r="AI14" s="1"/>
    </row>
    <row r="15" spans="1:35" ht="14.25" hidden="1" outlineLevel="1" x14ac:dyDescent="0.2">
      <c r="A15" s="1"/>
      <c r="B15" s="3"/>
      <c r="C15" s="3"/>
      <c r="D15" s="3" t="s">
        <v>50</v>
      </c>
      <c r="E15" s="3" t="s">
        <v>51</v>
      </c>
      <c r="F15" s="3">
        <v>931</v>
      </c>
      <c r="G15" s="24">
        <f>149377.57/1000*1</f>
        <v>149.37757000000002</v>
      </c>
      <c r="H15" s="25">
        <f>139448.93/1000*1</f>
        <v>139.44892999999999</v>
      </c>
      <c r="I15" s="99">
        <f t="shared" si="0"/>
        <v>9.9286400000000299</v>
      </c>
      <c r="J15" s="26">
        <f t="shared" si="1"/>
        <v>7.1199112105055459E-2</v>
      </c>
      <c r="K15" s="25">
        <f>175662.147388/1000*1</f>
        <v>175.66214738800002</v>
      </c>
      <c r="L15" s="99">
        <f t="shared" si="2"/>
        <v>26.284577388000002</v>
      </c>
      <c r="M15" s="27">
        <f t="shared" si="3"/>
        <v>0.14963142474822994</v>
      </c>
      <c r="N15" s="24">
        <f>447977.07/1000*1</f>
        <v>447.97707000000003</v>
      </c>
      <c r="O15" s="25">
        <f>440486.9/1000*1</f>
        <v>440.48690000000005</v>
      </c>
      <c r="P15" s="99">
        <f t="shared" si="4"/>
        <v>7.4901699999999778</v>
      </c>
      <c r="Q15" s="26">
        <f t="shared" si="5"/>
        <v>1.7004296836069306E-2</v>
      </c>
      <c r="R15" s="25">
        <f>493286.856224/1000*1</f>
        <v>493.28685622399996</v>
      </c>
      <c r="S15" s="99">
        <f t="shared" si="6"/>
        <v>45.309786223999936</v>
      </c>
      <c r="T15" s="27">
        <f t="shared" si="7"/>
        <v>9.1852814751311573E-2</v>
      </c>
      <c r="U15" s="24">
        <f>1027591/1000*1</f>
        <v>1027.5909999999999</v>
      </c>
      <c r="V15" s="25">
        <f>910311.02/1000*1</f>
        <v>910.31101999999998</v>
      </c>
      <c r="W15" s="99">
        <f t="shared" si="8"/>
        <v>117.27997999999991</v>
      </c>
      <c r="X15" s="26">
        <f t="shared" si="9"/>
        <v>0.12883506562405442</v>
      </c>
      <c r="Y15" s="25">
        <f>1072900.786224/1000*1</f>
        <v>1072.9007862239998</v>
      </c>
      <c r="Z15" s="99">
        <f t="shared" si="10"/>
        <v>45.309786223999936</v>
      </c>
      <c r="AA15" s="27">
        <f t="shared" si="11"/>
        <v>4.2231105434701557E-2</v>
      </c>
      <c r="AB15" s="28">
        <f>2689490.388856/1000*1</f>
        <v>2689.4903888559998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"/>
      <c r="C16" s="3"/>
      <c r="D16" s="3" t="s">
        <v>50</v>
      </c>
      <c r="E16" s="3" t="s">
        <v>52</v>
      </c>
      <c r="F16" s="3">
        <v>930</v>
      </c>
      <c r="G16" s="24">
        <f t="shared" ref="G16:H18" si="12">0/1000*1</f>
        <v>0</v>
      </c>
      <c r="H16" s="25">
        <f t="shared" si="12"/>
        <v>0</v>
      </c>
      <c r="I16" s="99">
        <f t="shared" si="0"/>
        <v>0</v>
      </c>
      <c r="J16" s="26" t="str">
        <f t="shared" si="1"/>
        <v>N/A</v>
      </c>
      <c r="K16" s="25">
        <f t="shared" ref="K16:K22" si="13">0/1000*1</f>
        <v>0</v>
      </c>
      <c r="L16" s="99">
        <f t="shared" si="2"/>
        <v>0</v>
      </c>
      <c r="M16" s="27" t="str">
        <f t="shared" si="3"/>
        <v>N/A</v>
      </c>
      <c r="N16" s="24">
        <f>0/1000*1</f>
        <v>0</v>
      </c>
      <c r="O16" s="25">
        <f>3535.9/1000*1</f>
        <v>3.5359000000000003</v>
      </c>
      <c r="P16" s="99">
        <f t="shared" si="4"/>
        <v>-3.5359000000000003</v>
      </c>
      <c r="Q16" s="26">
        <f t="shared" si="5"/>
        <v>-1</v>
      </c>
      <c r="R16" s="25">
        <f>0/1000*1</f>
        <v>0</v>
      </c>
      <c r="S16" s="99">
        <f t="shared" si="6"/>
        <v>0</v>
      </c>
      <c r="T16" s="27" t="str">
        <f t="shared" si="7"/>
        <v>N/A</v>
      </c>
      <c r="U16" s="24">
        <f>5124/1000*1</f>
        <v>5.1239999999999997</v>
      </c>
      <c r="V16" s="25">
        <f>18665.95/1000*1</f>
        <v>18.665950000000002</v>
      </c>
      <c r="W16" s="99">
        <f t="shared" si="8"/>
        <v>-13.541950000000003</v>
      </c>
      <c r="X16" s="26">
        <f t="shared" si="9"/>
        <v>-0.72548946075608267</v>
      </c>
      <c r="Y16" s="25">
        <f>5124/1000*1</f>
        <v>5.1239999999999997</v>
      </c>
      <c r="Z16" s="99">
        <f t="shared" si="10"/>
        <v>0</v>
      </c>
      <c r="AA16" s="27">
        <f t="shared" si="11"/>
        <v>0</v>
      </c>
      <c r="AB16" s="28">
        <f>5124/1000*1</f>
        <v>5.1239999999999997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"/>
      <c r="C17" s="3"/>
      <c r="D17" s="3" t="s">
        <v>50</v>
      </c>
      <c r="E17" s="3" t="s">
        <v>53</v>
      </c>
      <c r="F17" s="3">
        <v>930</v>
      </c>
      <c r="G17" s="24">
        <f t="shared" si="12"/>
        <v>0</v>
      </c>
      <c r="H17" s="25">
        <f t="shared" si="12"/>
        <v>0</v>
      </c>
      <c r="I17" s="99">
        <f t="shared" si="0"/>
        <v>0</v>
      </c>
      <c r="J17" s="26" t="str">
        <f t="shared" si="1"/>
        <v>N/A</v>
      </c>
      <c r="K17" s="25">
        <f t="shared" si="13"/>
        <v>0</v>
      </c>
      <c r="L17" s="99">
        <f t="shared" si="2"/>
        <v>0</v>
      </c>
      <c r="M17" s="27" t="str">
        <f t="shared" si="3"/>
        <v>N/A</v>
      </c>
      <c r="N17" s="24">
        <f>0/1000*1</f>
        <v>0</v>
      </c>
      <c r="O17" s="25">
        <f>0/1000*1</f>
        <v>0</v>
      </c>
      <c r="P17" s="99">
        <f t="shared" si="4"/>
        <v>0</v>
      </c>
      <c r="Q17" s="26" t="str">
        <f t="shared" si="5"/>
        <v>N/A</v>
      </c>
      <c r="R17" s="25">
        <f>0/1000*1</f>
        <v>0</v>
      </c>
      <c r="S17" s="99">
        <f t="shared" si="6"/>
        <v>0</v>
      </c>
      <c r="T17" s="27" t="str">
        <f t="shared" si="7"/>
        <v>N/A</v>
      </c>
      <c r="U17" s="24">
        <f>0/1000*1</f>
        <v>0</v>
      </c>
      <c r="V17" s="25">
        <f>356/1000*1</f>
        <v>0.35599999999999998</v>
      </c>
      <c r="W17" s="99">
        <f t="shared" si="8"/>
        <v>-0.35599999999999998</v>
      </c>
      <c r="X17" s="26">
        <f t="shared" si="9"/>
        <v>-1</v>
      </c>
      <c r="Y17" s="25">
        <f>0/1000*1</f>
        <v>0</v>
      </c>
      <c r="Z17" s="99">
        <f t="shared" si="10"/>
        <v>0</v>
      </c>
      <c r="AA17" s="27" t="str">
        <f t="shared" si="11"/>
        <v>N/A</v>
      </c>
      <c r="AB17" s="28">
        <f>0/1000*1</f>
        <v>0</v>
      </c>
      <c r="AC17" s="1"/>
      <c r="AD17" s="1"/>
      <c r="AE17" s="1"/>
      <c r="AF17" s="1"/>
      <c r="AG17" s="1"/>
      <c r="AH17" s="1"/>
      <c r="AI17" s="1"/>
    </row>
    <row r="18" spans="1:35" ht="14.25" hidden="1" outlineLevel="1" x14ac:dyDescent="0.2">
      <c r="A18" s="1"/>
      <c r="B18" s="3"/>
      <c r="C18" s="3"/>
      <c r="D18" s="3" t="s">
        <v>50</v>
      </c>
      <c r="E18" s="3" t="s">
        <v>54</v>
      </c>
      <c r="F18" s="3">
        <v>930</v>
      </c>
      <c r="G18" s="24">
        <f t="shared" si="12"/>
        <v>0</v>
      </c>
      <c r="H18" s="25">
        <f t="shared" si="12"/>
        <v>0</v>
      </c>
      <c r="I18" s="99">
        <f t="shared" si="0"/>
        <v>0</v>
      </c>
      <c r="J18" s="26" t="str">
        <f t="shared" si="1"/>
        <v>N/A</v>
      </c>
      <c r="K18" s="25">
        <f t="shared" si="13"/>
        <v>0</v>
      </c>
      <c r="L18" s="99">
        <f t="shared" si="2"/>
        <v>0</v>
      </c>
      <c r="M18" s="27" t="str">
        <f t="shared" si="3"/>
        <v>N/A</v>
      </c>
      <c r="N18" s="24">
        <f>0/1000*1</f>
        <v>0</v>
      </c>
      <c r="O18" s="25">
        <f>0/1000*1</f>
        <v>0</v>
      </c>
      <c r="P18" s="99">
        <f t="shared" si="4"/>
        <v>0</v>
      </c>
      <c r="Q18" s="26" t="str">
        <f t="shared" si="5"/>
        <v>N/A</v>
      </c>
      <c r="R18" s="25">
        <f>0/1000*1</f>
        <v>0</v>
      </c>
      <c r="S18" s="99">
        <f t="shared" si="6"/>
        <v>0</v>
      </c>
      <c r="T18" s="27" t="str">
        <f t="shared" si="7"/>
        <v>N/A</v>
      </c>
      <c r="U18" s="24">
        <f>0/1000*1</f>
        <v>0</v>
      </c>
      <c r="V18" s="25">
        <f>89/1000*1</f>
        <v>8.8999999999999996E-2</v>
      </c>
      <c r="W18" s="99">
        <f t="shared" si="8"/>
        <v>-8.8999999999999996E-2</v>
      </c>
      <c r="X18" s="26">
        <f t="shared" si="9"/>
        <v>-1</v>
      </c>
      <c r="Y18" s="25">
        <f>0/1000*1</f>
        <v>0</v>
      </c>
      <c r="Z18" s="99">
        <f t="shared" si="10"/>
        <v>0</v>
      </c>
      <c r="AA18" s="27" t="str">
        <f t="shared" si="11"/>
        <v>N/A</v>
      </c>
      <c r="AB18" s="28">
        <f>0/1000*1</f>
        <v>0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"/>
      <c r="C19" s="3"/>
      <c r="D19" s="3" t="s">
        <v>50</v>
      </c>
      <c r="E19" s="3" t="s">
        <v>55</v>
      </c>
      <c r="F19" s="3">
        <v>930</v>
      </c>
      <c r="G19" s="24">
        <f>1091.65/1000*1</f>
        <v>1.09165</v>
      </c>
      <c r="H19" s="25">
        <f>8257.1/1000*1</f>
        <v>8.2571000000000012</v>
      </c>
      <c r="I19" s="99">
        <f t="shared" si="0"/>
        <v>-7.1654500000000017</v>
      </c>
      <c r="J19" s="26">
        <f t="shared" si="1"/>
        <v>-0.86779256639740354</v>
      </c>
      <c r="K19" s="25">
        <f t="shared" si="13"/>
        <v>0</v>
      </c>
      <c r="L19" s="99">
        <f t="shared" si="2"/>
        <v>-1.09165</v>
      </c>
      <c r="M19" s="27" t="str">
        <f t="shared" si="3"/>
        <v>N/A</v>
      </c>
      <c r="N19" s="24">
        <f>-30806.05/1000*1</f>
        <v>-30.806049999999999</v>
      </c>
      <c r="O19" s="25">
        <f>8040/1000*1</f>
        <v>8.0399999999999991</v>
      </c>
      <c r="P19" s="99">
        <f t="shared" si="4"/>
        <v>-38.846049999999998</v>
      </c>
      <c r="Q19" s="26">
        <f t="shared" si="5"/>
        <v>-4.8315982587064683</v>
      </c>
      <c r="R19" s="25">
        <f>-33500/1000*1</f>
        <v>-33.5</v>
      </c>
      <c r="S19" s="99">
        <f t="shared" si="6"/>
        <v>-2.693950000000001</v>
      </c>
      <c r="T19" s="27">
        <f t="shared" si="7"/>
        <v>8.0416417910447791E-2</v>
      </c>
      <c r="U19" s="24">
        <f>7059.83/1000*1</f>
        <v>7.0598299999999998</v>
      </c>
      <c r="V19" s="25">
        <f>16437.3/1000*1</f>
        <v>16.4373</v>
      </c>
      <c r="W19" s="99">
        <f t="shared" si="8"/>
        <v>-9.3774700000000006</v>
      </c>
      <c r="X19" s="26">
        <f t="shared" si="9"/>
        <v>-0.57049941292061346</v>
      </c>
      <c r="Y19" s="25">
        <f>4365.88/1000*1</f>
        <v>4.3658799999999998</v>
      </c>
      <c r="Z19" s="99">
        <f t="shared" si="10"/>
        <v>-2.6939500000000001</v>
      </c>
      <c r="AA19" s="27">
        <f t="shared" si="11"/>
        <v>-0.61704627703922243</v>
      </c>
      <c r="AB19" s="28">
        <f>4365.88/1000*1</f>
        <v>4.3658799999999998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"/>
      <c r="C20" s="3"/>
      <c r="D20" s="3" t="s">
        <v>50</v>
      </c>
      <c r="E20" s="3" t="s">
        <v>55</v>
      </c>
      <c r="F20" s="3">
        <v>931</v>
      </c>
      <c r="G20" s="24">
        <f>15307/1000*1</f>
        <v>15.307</v>
      </c>
      <c r="H20" s="25">
        <f>20517.15/1000*1</f>
        <v>20.517150000000001</v>
      </c>
      <c r="I20" s="99">
        <f t="shared" si="0"/>
        <v>-5.2101500000000005</v>
      </c>
      <c r="J20" s="26">
        <f t="shared" si="1"/>
        <v>-0.25394121503230227</v>
      </c>
      <c r="K20" s="25">
        <f t="shared" si="13"/>
        <v>0</v>
      </c>
      <c r="L20" s="99">
        <f t="shared" si="2"/>
        <v>-15.307</v>
      </c>
      <c r="M20" s="27" t="str">
        <f t="shared" si="3"/>
        <v>N/A</v>
      </c>
      <c r="N20" s="24">
        <f>41290/1000*1</f>
        <v>41.29</v>
      </c>
      <c r="O20" s="25">
        <f>60543.27/1000*1</f>
        <v>60.54327</v>
      </c>
      <c r="P20" s="99">
        <f t="shared" si="4"/>
        <v>-19.253270000000001</v>
      </c>
      <c r="Q20" s="26">
        <f t="shared" si="5"/>
        <v>-0.31800842603975638</v>
      </c>
      <c r="R20" s="25">
        <f>25958/1000*1</f>
        <v>25.957999999999998</v>
      </c>
      <c r="S20" s="99">
        <f t="shared" si="6"/>
        <v>-15.332000000000001</v>
      </c>
      <c r="T20" s="27">
        <f t="shared" si="7"/>
        <v>-0.59064642884659846</v>
      </c>
      <c r="U20" s="24">
        <f>72850.03/1000*1</f>
        <v>72.850030000000004</v>
      </c>
      <c r="V20" s="25">
        <f>96029.81/1000*1</f>
        <v>96.029809999999998</v>
      </c>
      <c r="W20" s="99">
        <f t="shared" si="8"/>
        <v>-23.179779999999994</v>
      </c>
      <c r="X20" s="26">
        <f t="shared" si="9"/>
        <v>-0.2413810878101289</v>
      </c>
      <c r="Y20" s="25">
        <f>57518.03/1000*1</f>
        <v>57.518029999999996</v>
      </c>
      <c r="Z20" s="99">
        <f t="shared" si="10"/>
        <v>-15.332000000000008</v>
      </c>
      <c r="AA20" s="27">
        <f t="shared" si="11"/>
        <v>-0.26655989434965016</v>
      </c>
      <c r="AB20" s="28">
        <f>57518.03/1000*1</f>
        <v>57.518029999999996</v>
      </c>
      <c r="AC20" s="1"/>
      <c r="AD20" s="1"/>
      <c r="AE20" s="1"/>
      <c r="AF20" s="1"/>
      <c r="AG20" s="1"/>
      <c r="AH20" s="1"/>
      <c r="AI20" s="1"/>
    </row>
    <row r="21" spans="1:35" ht="14.25" hidden="1" outlineLevel="1" x14ac:dyDescent="0.2">
      <c r="A21" s="1"/>
      <c r="B21" s="3"/>
      <c r="C21" s="3"/>
      <c r="D21" s="3" t="s">
        <v>50</v>
      </c>
      <c r="E21" s="3" t="s">
        <v>56</v>
      </c>
      <c r="F21" s="3">
        <v>930</v>
      </c>
      <c r="G21" s="24">
        <f>0/1000*1</f>
        <v>0</v>
      </c>
      <c r="H21" s="25">
        <f>0/1000*1</f>
        <v>0</v>
      </c>
      <c r="I21" s="99">
        <f t="shared" si="0"/>
        <v>0</v>
      </c>
      <c r="J21" s="26" t="str">
        <f t="shared" si="1"/>
        <v>N/A</v>
      </c>
      <c r="K21" s="25">
        <f t="shared" si="13"/>
        <v>0</v>
      </c>
      <c r="L21" s="99">
        <f t="shared" si="2"/>
        <v>0</v>
      </c>
      <c r="M21" s="27" t="str">
        <f t="shared" si="3"/>
        <v>N/A</v>
      </c>
      <c r="N21" s="24">
        <f>0/1000*1</f>
        <v>0</v>
      </c>
      <c r="O21" s="25">
        <f>0/1000*1</f>
        <v>0</v>
      </c>
      <c r="P21" s="99">
        <f t="shared" si="4"/>
        <v>0</v>
      </c>
      <c r="Q21" s="26" t="str">
        <f t="shared" si="5"/>
        <v>N/A</v>
      </c>
      <c r="R21" s="25">
        <f>0/1000*1</f>
        <v>0</v>
      </c>
      <c r="S21" s="99">
        <f t="shared" si="6"/>
        <v>0</v>
      </c>
      <c r="T21" s="27" t="str">
        <f t="shared" si="7"/>
        <v>N/A</v>
      </c>
      <c r="U21" s="24">
        <f>0/1000*1</f>
        <v>0</v>
      </c>
      <c r="V21" s="25">
        <f>0/1000*1</f>
        <v>0</v>
      </c>
      <c r="W21" s="99">
        <f t="shared" si="8"/>
        <v>0</v>
      </c>
      <c r="X21" s="26" t="str">
        <f t="shared" si="9"/>
        <v>N/A</v>
      </c>
      <c r="Y21" s="25">
        <f>0/1000*1</f>
        <v>0</v>
      </c>
      <c r="Z21" s="99">
        <f t="shared" si="10"/>
        <v>0</v>
      </c>
      <c r="AA21" s="27" t="str">
        <f t="shared" si="11"/>
        <v>N/A</v>
      </c>
      <c r="AB21" s="28">
        <f>0/1000*1</f>
        <v>0</v>
      </c>
      <c r="AC21" s="1"/>
      <c r="AD21" s="1"/>
      <c r="AE21" s="1"/>
      <c r="AF21" s="1"/>
      <c r="AG21" s="1"/>
      <c r="AH21" s="1"/>
      <c r="AI21" s="1"/>
    </row>
    <row r="22" spans="1:35" ht="14.25" hidden="1" outlineLevel="1" x14ac:dyDescent="0.2">
      <c r="A22" s="1"/>
      <c r="B22" s="3"/>
      <c r="C22" s="3"/>
      <c r="D22" s="3" t="s">
        <v>50</v>
      </c>
      <c r="E22" s="3" t="s">
        <v>57</v>
      </c>
      <c r="F22" s="3">
        <v>930</v>
      </c>
      <c r="G22" s="24">
        <f>0/1000*1</f>
        <v>0</v>
      </c>
      <c r="H22" s="25">
        <f>0/1000*1</f>
        <v>0</v>
      </c>
      <c r="I22" s="99">
        <f t="shared" si="0"/>
        <v>0</v>
      </c>
      <c r="J22" s="26" t="str">
        <f t="shared" si="1"/>
        <v>N/A</v>
      </c>
      <c r="K22" s="25">
        <f t="shared" si="13"/>
        <v>0</v>
      </c>
      <c r="L22" s="99">
        <f t="shared" si="2"/>
        <v>0</v>
      </c>
      <c r="M22" s="27" t="str">
        <f t="shared" si="3"/>
        <v>N/A</v>
      </c>
      <c r="N22" s="24">
        <f>834/1000*1</f>
        <v>0.83399999999999996</v>
      </c>
      <c r="O22" s="25">
        <f>110/1000*1</f>
        <v>0.11</v>
      </c>
      <c r="P22" s="99">
        <f t="shared" si="4"/>
        <v>0.72399999999999998</v>
      </c>
      <c r="Q22" s="26" t="str">
        <f t="shared" si="5"/>
        <v>N/A</v>
      </c>
      <c r="R22" s="25">
        <f>834/1000*1</f>
        <v>0.83399999999999996</v>
      </c>
      <c r="S22" s="99">
        <f t="shared" si="6"/>
        <v>0</v>
      </c>
      <c r="T22" s="27">
        <f t="shared" si="7"/>
        <v>0</v>
      </c>
      <c r="U22" s="24">
        <f>2370/1000*1</f>
        <v>2.37</v>
      </c>
      <c r="V22" s="25">
        <f>110/1000*1</f>
        <v>0.11</v>
      </c>
      <c r="W22" s="99">
        <f t="shared" si="8"/>
        <v>2.2600000000000002</v>
      </c>
      <c r="X22" s="26" t="str">
        <f t="shared" si="9"/>
        <v>N/A</v>
      </c>
      <c r="Y22" s="25">
        <f>2370/1000*1</f>
        <v>2.37</v>
      </c>
      <c r="Z22" s="99">
        <f t="shared" si="10"/>
        <v>0</v>
      </c>
      <c r="AA22" s="27">
        <f t="shared" si="11"/>
        <v>0</v>
      </c>
      <c r="AB22" s="28">
        <f>2370/1000*1</f>
        <v>2.37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"/>
      <c r="C23" s="3"/>
      <c r="D23" s="3"/>
      <c r="E23" s="3"/>
      <c r="F23" s="3"/>
      <c r="G23" s="24"/>
      <c r="H23" s="25"/>
      <c r="I23" s="99"/>
      <c r="J23" s="26"/>
      <c r="K23" s="25"/>
      <c r="L23" s="99"/>
      <c r="M23" s="27"/>
      <c r="N23" s="24"/>
      <c r="O23" s="25"/>
      <c r="P23" s="99"/>
      <c r="Q23" s="26"/>
      <c r="R23" s="25"/>
      <c r="S23" s="99"/>
      <c r="T23" s="27"/>
      <c r="U23" s="24"/>
      <c r="V23" s="25"/>
      <c r="W23" s="99"/>
      <c r="X23" s="26"/>
      <c r="Y23" s="25"/>
      <c r="Z23" s="99"/>
      <c r="AA23" s="27"/>
      <c r="AB23" s="28"/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"/>
      <c r="C24" s="3"/>
      <c r="D24" s="3"/>
      <c r="E24" s="3"/>
      <c r="F24" s="3"/>
      <c r="G24" s="24"/>
      <c r="H24" s="25"/>
      <c r="I24" s="99"/>
      <c r="J24" s="26"/>
      <c r="K24" s="25"/>
      <c r="L24" s="99"/>
      <c r="M24" s="27"/>
      <c r="N24" s="24"/>
      <c r="O24" s="25"/>
      <c r="P24" s="99"/>
      <c r="Q24" s="26"/>
      <c r="R24" s="25"/>
      <c r="S24" s="99"/>
      <c r="T24" s="27"/>
      <c r="U24" s="24"/>
      <c r="V24" s="25"/>
      <c r="W24" s="99"/>
      <c r="X24" s="26"/>
      <c r="Y24" s="25"/>
      <c r="Z24" s="99"/>
      <c r="AA24" s="27"/>
      <c r="AB24" s="28"/>
      <c r="AC24" s="1"/>
      <c r="AD24" s="1"/>
      <c r="AE24" s="1"/>
      <c r="AF24" s="1"/>
      <c r="AG24" s="1"/>
      <c r="AH24" s="1"/>
      <c r="AI24" s="1"/>
    </row>
    <row r="25" spans="1:35" ht="14.25" collapsed="1" x14ac:dyDescent="0.2">
      <c r="A25" s="1"/>
      <c r="B25" s="3" t="s">
        <v>58</v>
      </c>
      <c r="C25" s="3"/>
      <c r="D25" s="3"/>
      <c r="E25" s="3"/>
      <c r="F25" s="3"/>
      <c r="G25" s="102">
        <f>SUM(G26:G49)</f>
        <v>2096.4807500000002</v>
      </c>
      <c r="H25" s="103">
        <f>SUM(H26:H49)</f>
        <v>2370.8642200000004</v>
      </c>
      <c r="I25" s="89">
        <f t="shared" ref="I25:I48" si="14">G25-H25</f>
        <v>-274.38347000000022</v>
      </c>
      <c r="J25" s="26">
        <f t="shared" ref="J25:J48" si="15">IF(ISERROR(I25/H25),"N/A",IF(ABS(I25/H25)&gt;5,"N/A",I25/H25))</f>
        <v>-0.11573141459783816</v>
      </c>
      <c r="K25" s="103">
        <f>SUM(K26:K49)</f>
        <v>1860.369085412</v>
      </c>
      <c r="L25" s="89">
        <f t="shared" ref="L25:L48" si="16">K25-G25</f>
        <v>-236.11166458800017</v>
      </c>
      <c r="M25" s="27">
        <f t="shared" ref="M25:M48" si="17">IF(ISERROR(L25/K25),"N/A",IF(ABS(L25/K25)&gt;5,"N/A",L25/K25))</f>
        <v>-0.12691657071677825</v>
      </c>
      <c r="N25" s="102">
        <f>SUM(N26:N49)</f>
        <v>6695.6872199999989</v>
      </c>
      <c r="O25" s="103">
        <f>SUM(O26:O49)</f>
        <v>7577.1021900000014</v>
      </c>
      <c r="P25" s="89">
        <f t="shared" ref="P25:P48" si="18">N25-O25</f>
        <v>-881.41497000000254</v>
      </c>
      <c r="Q25" s="26">
        <f t="shared" ref="Q25:Q48" si="19">IF(ISERROR(P25/O25),"N/A",IF(ABS(P25/O25)&gt;5,"N/A",P25/O25))</f>
        <v>-0.11632612942230919</v>
      </c>
      <c r="R25" s="103">
        <f>SUM(R26:R49)</f>
        <v>6332.0164313810001</v>
      </c>
      <c r="S25" s="89">
        <f t="shared" ref="S25:S48" si="20">R25-N25</f>
        <v>-363.67078861899881</v>
      </c>
      <c r="T25" s="27">
        <f t="shared" ref="T25:T48" si="21">IF(ISERROR(S25/R25),"N/A",IF(ABS(S25/R25)&gt;5,"N/A",S25/R25))</f>
        <v>-5.7433645752508408E-2</v>
      </c>
      <c r="U25" s="102">
        <f>SUM(U26:U49)</f>
        <v>16065.457249999998</v>
      </c>
      <c r="V25" s="103">
        <f>SUM(V26:V49)</f>
        <v>15838.155129999999</v>
      </c>
      <c r="W25" s="89">
        <f t="shared" ref="W25:W48" si="22">U25-V25</f>
        <v>227.30211999999847</v>
      </c>
      <c r="X25" s="26">
        <f t="shared" ref="X25:X48" si="23">IF(ISERROR(W25/V25),"N/A",IF(ABS(W25/V25)&gt;5,"N/A",W25/V25))</f>
        <v>1.4351552825079475E-2</v>
      </c>
      <c r="Y25" s="103">
        <f>SUM(Y26:Y49)</f>
        <v>15701.786461381002</v>
      </c>
      <c r="Z25" s="89">
        <f t="shared" ref="Z25:Z48" si="24">Y25-U25</f>
        <v>-363.67078861899608</v>
      </c>
      <c r="AA25" s="27">
        <f t="shared" ref="AA25:AA48" si="25">IF(ISERROR(Z25/Y25),"N/A",IF(ABS(Z25/Y25)&gt;5,"N/A",Z25/Y25))</f>
        <v>-2.3161109056823243E-2</v>
      </c>
      <c r="AB25" s="104">
        <f>SUM(AB26:AB49)</f>
        <v>32809.517938292993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"/>
      <c r="C26" s="3"/>
      <c r="D26" s="3" t="s">
        <v>59</v>
      </c>
      <c r="E26" s="3" t="s">
        <v>51</v>
      </c>
      <c r="F26" s="3">
        <v>810</v>
      </c>
      <c r="G26" s="105">
        <f>13860.09/1000*1</f>
        <v>13.86009</v>
      </c>
      <c r="H26" s="106">
        <f>69694.08/1000*1</f>
        <v>69.69408</v>
      </c>
      <c r="I26" s="89">
        <f t="shared" si="14"/>
        <v>-55.83399</v>
      </c>
      <c r="J26" s="26">
        <f t="shared" si="15"/>
        <v>-0.80112959379046256</v>
      </c>
      <c r="K26" s="106">
        <f>25155.823667/1000*1</f>
        <v>25.155823667</v>
      </c>
      <c r="L26" s="89">
        <f t="shared" si="16"/>
        <v>11.295733667</v>
      </c>
      <c r="M26" s="27">
        <f t="shared" si="17"/>
        <v>0.44903056312236794</v>
      </c>
      <c r="N26" s="105">
        <f>48880.1/1000*1</f>
        <v>48.880099999999999</v>
      </c>
      <c r="O26" s="106">
        <f>291132.64/1000*1</f>
        <v>291.13264000000004</v>
      </c>
      <c r="P26" s="89">
        <f t="shared" si="18"/>
        <v>-242.25254000000004</v>
      </c>
      <c r="Q26" s="26">
        <f t="shared" si="19"/>
        <v>-0.83210367618003944</v>
      </c>
      <c r="R26" s="106">
        <f>69907.420134/1000*1</f>
        <v>69.907420134000006</v>
      </c>
      <c r="S26" s="89">
        <f t="shared" si="20"/>
        <v>21.027320134000007</v>
      </c>
      <c r="T26" s="27">
        <f t="shared" si="21"/>
        <v>0.30078810080095075</v>
      </c>
      <c r="U26" s="105">
        <f>122704.69/1000*1</f>
        <v>122.70469</v>
      </c>
      <c r="V26" s="106">
        <f>587007.17/1000*1</f>
        <v>587.00717000000009</v>
      </c>
      <c r="W26" s="89">
        <f t="shared" si="22"/>
        <v>-464.30248000000006</v>
      </c>
      <c r="X26" s="26">
        <f t="shared" si="23"/>
        <v>-0.79096560268590921</v>
      </c>
      <c r="Y26" s="106">
        <f>143732.010134/1000*1</f>
        <v>143.73201013400001</v>
      </c>
      <c r="Z26" s="89">
        <f t="shared" si="24"/>
        <v>21.027320134000007</v>
      </c>
      <c r="AA26" s="27">
        <f t="shared" si="25"/>
        <v>0.14629531803247192</v>
      </c>
      <c r="AB26" s="107">
        <f>409901.250661/1000*1</f>
        <v>409.90125066100001</v>
      </c>
      <c r="AC26" s="1"/>
      <c r="AD26" s="1"/>
      <c r="AE26" s="1"/>
      <c r="AF26" s="1"/>
      <c r="AG26" s="1"/>
      <c r="AH26" s="1"/>
      <c r="AI26" s="1"/>
    </row>
    <row r="27" spans="1:35" ht="14.25" hidden="1" outlineLevel="1" x14ac:dyDescent="0.2">
      <c r="A27" s="1"/>
      <c r="B27" s="3"/>
      <c r="C27" s="3"/>
      <c r="D27" s="3" t="s">
        <v>59</v>
      </c>
      <c r="E27" s="3" t="s">
        <v>51</v>
      </c>
      <c r="F27" s="3">
        <v>811</v>
      </c>
      <c r="G27" s="105">
        <f>120333.6/1000*1</f>
        <v>120.3336</v>
      </c>
      <c r="H27" s="106">
        <f>-51513.07/1000*1</f>
        <v>-51.513069999999999</v>
      </c>
      <c r="I27" s="89">
        <f t="shared" si="14"/>
        <v>171.84667000000002</v>
      </c>
      <c r="J27" s="26">
        <f t="shared" si="15"/>
        <v>-3.3359819168222749</v>
      </c>
      <c r="K27" s="106">
        <f>128573.192949/1000*1</f>
        <v>128.573192949</v>
      </c>
      <c r="L27" s="89">
        <f t="shared" si="16"/>
        <v>8.2395929489999986</v>
      </c>
      <c r="M27" s="27">
        <f t="shared" si="17"/>
        <v>6.4084843504417954E-2</v>
      </c>
      <c r="N27" s="105">
        <f>290098.28/1000*1</f>
        <v>290.09828000000005</v>
      </c>
      <c r="O27" s="106">
        <f>193963.21/1000*1</f>
        <v>193.96321</v>
      </c>
      <c r="P27" s="89">
        <f t="shared" si="18"/>
        <v>96.135070000000042</v>
      </c>
      <c r="Q27" s="26">
        <f t="shared" si="19"/>
        <v>0.49563558986263445</v>
      </c>
      <c r="R27" s="106">
        <f>316539.823498/1000*1</f>
        <v>316.53982349799998</v>
      </c>
      <c r="S27" s="89">
        <f t="shared" si="20"/>
        <v>26.44154349799993</v>
      </c>
      <c r="T27" s="27">
        <f t="shared" si="21"/>
        <v>8.35330708338725E-2</v>
      </c>
      <c r="U27" s="105">
        <f>826416.9/1000*1</f>
        <v>826.41690000000006</v>
      </c>
      <c r="V27" s="106">
        <f>581922.62/1000*1</f>
        <v>581.92262000000005</v>
      </c>
      <c r="W27" s="89">
        <f t="shared" si="22"/>
        <v>244.49428</v>
      </c>
      <c r="X27" s="26">
        <f t="shared" si="23"/>
        <v>0.42014912566897639</v>
      </c>
      <c r="Y27" s="106">
        <f>852858.443498/1000*1</f>
        <v>852.85844349800004</v>
      </c>
      <c r="Z27" s="89">
        <f t="shared" si="24"/>
        <v>26.441543497999987</v>
      </c>
      <c r="AA27" s="27">
        <f t="shared" si="25"/>
        <v>3.1003437557058075E-2</v>
      </c>
      <c r="AB27" s="107">
        <f>1768235.366717/1000*1</f>
        <v>1768.235366717</v>
      </c>
      <c r="AC27" s="1"/>
      <c r="AD27" s="1"/>
      <c r="AE27" s="1"/>
      <c r="AF27" s="1"/>
      <c r="AG27" s="1"/>
      <c r="AH27" s="1"/>
      <c r="AI27" s="1"/>
    </row>
    <row r="28" spans="1:35" ht="14.25" hidden="1" outlineLevel="1" x14ac:dyDescent="0.2">
      <c r="A28" s="1"/>
      <c r="B28" s="3"/>
      <c r="C28" s="3"/>
      <c r="D28" s="3" t="s">
        <v>59</v>
      </c>
      <c r="E28" s="3" t="s">
        <v>51</v>
      </c>
      <c r="F28" s="3">
        <v>815</v>
      </c>
      <c r="G28" s="105">
        <f>139981.69/1000*1</f>
        <v>139.98169000000001</v>
      </c>
      <c r="H28" s="106">
        <f>99562.64/1000*1</f>
        <v>99.562640000000002</v>
      </c>
      <c r="I28" s="89">
        <f t="shared" si="14"/>
        <v>40.419050000000013</v>
      </c>
      <c r="J28" s="26">
        <f t="shared" si="15"/>
        <v>0.40596603304211309</v>
      </c>
      <c r="K28" s="106">
        <f>223622.799433/1000*1</f>
        <v>223.62279943300001</v>
      </c>
      <c r="L28" s="89">
        <f t="shared" si="16"/>
        <v>83.641109432999997</v>
      </c>
      <c r="M28" s="27">
        <f t="shared" si="17"/>
        <v>0.37402764675638472</v>
      </c>
      <c r="N28" s="105">
        <f>601664.46/1000*1</f>
        <v>601.66445999999996</v>
      </c>
      <c r="O28" s="106">
        <f>277311.2/1000*1</f>
        <v>277.31119999999999</v>
      </c>
      <c r="P28" s="89">
        <f t="shared" si="18"/>
        <v>324.35325999999998</v>
      </c>
      <c r="Q28" s="26">
        <f t="shared" si="19"/>
        <v>1.1696363507856877</v>
      </c>
      <c r="R28" s="106">
        <f>671178.271661/1000*1</f>
        <v>671.17827166099994</v>
      </c>
      <c r="S28" s="89">
        <f t="shared" si="20"/>
        <v>69.513811660999977</v>
      </c>
      <c r="T28" s="27">
        <f t="shared" si="21"/>
        <v>0.10356981832706014</v>
      </c>
      <c r="U28" s="105">
        <f>1670723.88/1000*1</f>
        <v>1670.7238799999998</v>
      </c>
      <c r="V28" s="106">
        <f>569410.05/1000*1</f>
        <v>569.41005000000007</v>
      </c>
      <c r="W28" s="89">
        <f t="shared" si="22"/>
        <v>1101.3138299999996</v>
      </c>
      <c r="X28" s="26">
        <f t="shared" si="23"/>
        <v>1.9341313522653831</v>
      </c>
      <c r="Y28" s="106">
        <f>1740237.691661/1000*1</f>
        <v>1740.2376916610001</v>
      </c>
      <c r="Z28" s="89">
        <f t="shared" si="24"/>
        <v>69.513811661000318</v>
      </c>
      <c r="AA28" s="27">
        <f t="shared" si="25"/>
        <v>3.9945009807626712E-2</v>
      </c>
      <c r="AB28" s="107">
        <f>3719994.47592/1000*1</f>
        <v>3719.9944759200002</v>
      </c>
      <c r="AC28" s="1"/>
      <c r="AD28" s="1"/>
      <c r="AE28" s="1"/>
      <c r="AF28" s="1"/>
      <c r="AG28" s="1"/>
      <c r="AH28" s="1"/>
      <c r="AI28" s="1"/>
    </row>
    <row r="29" spans="1:35" ht="14.25" hidden="1" outlineLevel="1" x14ac:dyDescent="0.2">
      <c r="A29" s="1"/>
      <c r="B29" s="3"/>
      <c r="C29" s="3"/>
      <c r="D29" s="3" t="s">
        <v>59</v>
      </c>
      <c r="E29" s="3" t="s">
        <v>51</v>
      </c>
      <c r="F29" s="3">
        <v>830</v>
      </c>
      <c r="G29" s="105">
        <f>382252.37/1000*1</f>
        <v>382.25236999999998</v>
      </c>
      <c r="H29" s="106">
        <f>335500.12/1000*1</f>
        <v>335.50011999999998</v>
      </c>
      <c r="I29" s="89">
        <f t="shared" si="14"/>
        <v>46.752250000000004</v>
      </c>
      <c r="J29" s="26">
        <f t="shared" si="15"/>
        <v>0.13935091886107226</v>
      </c>
      <c r="K29" s="106">
        <f>276841.585796/1000*1</f>
        <v>276.841585796</v>
      </c>
      <c r="L29" s="89">
        <f t="shared" si="16"/>
        <v>-105.41078420399998</v>
      </c>
      <c r="M29" s="27">
        <f t="shared" si="17"/>
        <v>-0.38076210227200274</v>
      </c>
      <c r="N29" s="105">
        <f>1017090.95/1000*1</f>
        <v>1017.0909499999999</v>
      </c>
      <c r="O29" s="106">
        <f>901282.62/1000*1</f>
        <v>901.28261999999995</v>
      </c>
      <c r="P29" s="89">
        <f t="shared" si="18"/>
        <v>115.80832999999996</v>
      </c>
      <c r="Q29" s="26">
        <f t="shared" si="19"/>
        <v>0.1284928028457932</v>
      </c>
      <c r="R29" s="106">
        <f>900326.360747/1000*1</f>
        <v>900.32636074699997</v>
      </c>
      <c r="S29" s="89">
        <f t="shared" si="20"/>
        <v>-116.76458925299994</v>
      </c>
      <c r="T29" s="27">
        <f t="shared" si="21"/>
        <v>-0.12969140341078148</v>
      </c>
      <c r="U29" s="105">
        <f>2023622.39/1000*1</f>
        <v>2023.62239</v>
      </c>
      <c r="V29" s="106">
        <f>1746845.43/1000*1</f>
        <v>1746.8454299999999</v>
      </c>
      <c r="W29" s="89">
        <f t="shared" si="22"/>
        <v>276.77696000000014</v>
      </c>
      <c r="X29" s="26">
        <f t="shared" si="23"/>
        <v>0.15844387559808321</v>
      </c>
      <c r="Y29" s="106">
        <f>1906857.800747/1000*1</f>
        <v>1906.8578007469998</v>
      </c>
      <c r="Z29" s="89">
        <f t="shared" si="24"/>
        <v>-116.76458925300017</v>
      </c>
      <c r="AA29" s="27">
        <f t="shared" si="25"/>
        <v>-6.1234030774218379E-2</v>
      </c>
      <c r="AB29" s="107">
        <f>4207383.174585/1000*1</f>
        <v>4207.3831745849993</v>
      </c>
      <c r="AC29" s="1"/>
      <c r="AD29" s="1"/>
      <c r="AE29" s="1"/>
      <c r="AF29" s="1"/>
      <c r="AG29" s="1"/>
      <c r="AH29" s="1"/>
      <c r="AI29" s="1"/>
    </row>
    <row r="30" spans="1:35" ht="14.25" hidden="1" outlineLevel="1" x14ac:dyDescent="0.2">
      <c r="A30" s="1"/>
      <c r="B30" s="3"/>
      <c r="C30" s="3"/>
      <c r="D30" s="3" t="s">
        <v>59</v>
      </c>
      <c r="E30" s="3" t="s">
        <v>51</v>
      </c>
      <c r="F30" s="3">
        <v>831</v>
      </c>
      <c r="G30" s="105">
        <f>69999.81/1000*1</f>
        <v>69.999809999999997</v>
      </c>
      <c r="H30" s="106">
        <f>101004.42/1000*1</f>
        <v>101.00442</v>
      </c>
      <c r="I30" s="89">
        <f t="shared" si="14"/>
        <v>-31.00461</v>
      </c>
      <c r="J30" s="26">
        <f t="shared" si="15"/>
        <v>-0.30696290320760222</v>
      </c>
      <c r="K30" s="106">
        <f>61068.30621/1000*1</f>
        <v>61.068306210000003</v>
      </c>
      <c r="L30" s="89">
        <f t="shared" si="16"/>
        <v>-8.9315037899999936</v>
      </c>
      <c r="M30" s="27">
        <f t="shared" si="17"/>
        <v>-0.14625432313918427</v>
      </c>
      <c r="N30" s="105">
        <f>261708.61/1000*1</f>
        <v>261.70860999999996</v>
      </c>
      <c r="O30" s="106">
        <f>311276.43/1000*1</f>
        <v>311.27643</v>
      </c>
      <c r="P30" s="89">
        <f t="shared" si="18"/>
        <v>-49.56782000000004</v>
      </c>
      <c r="Q30" s="26">
        <f t="shared" si="19"/>
        <v>-0.15924051814652346</v>
      </c>
      <c r="R30" s="106">
        <f>220723.195644/1000*1</f>
        <v>220.72319564399999</v>
      </c>
      <c r="S30" s="89">
        <f t="shared" si="20"/>
        <v>-40.985414355999978</v>
      </c>
      <c r="T30" s="27">
        <f t="shared" si="21"/>
        <v>-0.18568693805115313</v>
      </c>
      <c r="U30" s="105">
        <f>771407.01/1000*1</f>
        <v>771.40701000000001</v>
      </c>
      <c r="V30" s="106">
        <f>596952.66/1000*1</f>
        <v>596.95266000000004</v>
      </c>
      <c r="W30" s="89">
        <f t="shared" si="22"/>
        <v>174.45434999999998</v>
      </c>
      <c r="X30" s="26">
        <f t="shared" si="23"/>
        <v>0.29224151543273125</v>
      </c>
      <c r="Y30" s="106">
        <f>730421.595644/1000*1</f>
        <v>730.42159564400004</v>
      </c>
      <c r="Z30" s="89">
        <f t="shared" si="24"/>
        <v>-40.985414355999978</v>
      </c>
      <c r="AA30" s="27">
        <f t="shared" si="25"/>
        <v>-5.6111996962334952E-2</v>
      </c>
      <c r="AB30" s="107">
        <f>1282583.384554/1000*1</f>
        <v>1282.5833845540001</v>
      </c>
      <c r="AC30" s="1"/>
      <c r="AD30" s="1"/>
      <c r="AE30" s="1"/>
      <c r="AF30" s="1"/>
      <c r="AG30" s="1"/>
      <c r="AH30" s="1"/>
      <c r="AI30" s="1"/>
    </row>
    <row r="31" spans="1:35" ht="14.25" hidden="1" outlineLevel="1" x14ac:dyDescent="0.2">
      <c r="A31" s="1"/>
      <c r="B31" s="3"/>
      <c r="C31" s="3"/>
      <c r="D31" s="3" t="s">
        <v>59</v>
      </c>
      <c r="E31" s="3" t="s">
        <v>51</v>
      </c>
      <c r="F31" s="3">
        <v>832</v>
      </c>
      <c r="G31" s="105">
        <f>0/1000*1</f>
        <v>0</v>
      </c>
      <c r="H31" s="106">
        <f>0/1000*1</f>
        <v>0</v>
      </c>
      <c r="I31" s="89">
        <f t="shared" si="14"/>
        <v>0</v>
      </c>
      <c r="J31" s="26" t="str">
        <f t="shared" si="15"/>
        <v>N/A</v>
      </c>
      <c r="K31" s="106">
        <f>0/1000*1</f>
        <v>0</v>
      </c>
      <c r="L31" s="89">
        <f t="shared" si="16"/>
        <v>0</v>
      </c>
      <c r="M31" s="27" t="str">
        <f t="shared" si="17"/>
        <v>N/A</v>
      </c>
      <c r="N31" s="105">
        <f>0/1000*1</f>
        <v>0</v>
      </c>
      <c r="O31" s="106">
        <f>26143.48/1000*1</f>
        <v>26.14348</v>
      </c>
      <c r="P31" s="89">
        <f t="shared" si="18"/>
        <v>-26.14348</v>
      </c>
      <c r="Q31" s="26">
        <f t="shared" si="19"/>
        <v>-1</v>
      </c>
      <c r="R31" s="106">
        <f>0/1000*1</f>
        <v>0</v>
      </c>
      <c r="S31" s="89">
        <f t="shared" si="20"/>
        <v>0</v>
      </c>
      <c r="T31" s="27" t="str">
        <f t="shared" si="21"/>
        <v>N/A</v>
      </c>
      <c r="U31" s="105">
        <f>0/1000*1</f>
        <v>0</v>
      </c>
      <c r="V31" s="106">
        <f>62934.96/1000*1</f>
        <v>62.934959999999997</v>
      </c>
      <c r="W31" s="89">
        <f t="shared" si="22"/>
        <v>-62.934959999999997</v>
      </c>
      <c r="X31" s="26">
        <f t="shared" si="23"/>
        <v>-1</v>
      </c>
      <c r="Y31" s="106">
        <f>0/1000*1</f>
        <v>0</v>
      </c>
      <c r="Z31" s="89">
        <f t="shared" si="24"/>
        <v>0</v>
      </c>
      <c r="AA31" s="27" t="str">
        <f t="shared" si="25"/>
        <v>N/A</v>
      </c>
      <c r="AB31" s="107">
        <f>0/1000*1</f>
        <v>0</v>
      </c>
      <c r="AC31" s="1"/>
      <c r="AD31" s="1"/>
      <c r="AE31" s="1"/>
      <c r="AF31" s="1"/>
      <c r="AG31" s="1"/>
      <c r="AH31" s="1"/>
      <c r="AI31" s="1"/>
    </row>
    <row r="32" spans="1:35" ht="14.25" hidden="1" outlineLevel="1" x14ac:dyDescent="0.2">
      <c r="A32" s="1"/>
      <c r="B32" s="3"/>
      <c r="C32" s="3"/>
      <c r="D32" s="3" t="s">
        <v>59</v>
      </c>
      <c r="E32" s="3" t="s">
        <v>51</v>
      </c>
      <c r="F32" s="3">
        <v>840</v>
      </c>
      <c r="G32" s="105">
        <f>271305.05/1000*1</f>
        <v>271.30504999999999</v>
      </c>
      <c r="H32" s="106">
        <f>390475.69/1000*1</f>
        <v>390.47568999999999</v>
      </c>
      <c r="I32" s="89">
        <f t="shared" si="14"/>
        <v>-119.17063999999999</v>
      </c>
      <c r="J32" s="26">
        <f t="shared" si="15"/>
        <v>-0.30519349360775827</v>
      </c>
      <c r="K32" s="106">
        <f>268887.368808/1000*1</f>
        <v>268.88736880800002</v>
      </c>
      <c r="L32" s="89">
        <f t="shared" si="16"/>
        <v>-2.417681191999975</v>
      </c>
      <c r="M32" s="27">
        <f t="shared" si="17"/>
        <v>-8.991427164160801E-3</v>
      </c>
      <c r="N32" s="105">
        <f>889498.39/1000*1</f>
        <v>889.49838999999997</v>
      </c>
      <c r="O32" s="106">
        <f>1442841.7/1000*1</f>
        <v>1442.8416999999999</v>
      </c>
      <c r="P32" s="89">
        <f t="shared" si="18"/>
        <v>-553.34330999999997</v>
      </c>
      <c r="Q32" s="26">
        <f t="shared" si="19"/>
        <v>-0.38350936904582117</v>
      </c>
      <c r="R32" s="106">
        <f>974146.554859/1000*1</f>
        <v>974.14655485900005</v>
      </c>
      <c r="S32" s="89">
        <f t="shared" si="20"/>
        <v>84.648164859000076</v>
      </c>
      <c r="T32" s="27">
        <f t="shared" si="21"/>
        <v>8.6894692011975777E-2</v>
      </c>
      <c r="U32" s="105">
        <f>2060143.7/1000*1</f>
        <v>2060.1437000000001</v>
      </c>
      <c r="V32" s="106">
        <f>2725364.54/1000*1</f>
        <v>2725.36454</v>
      </c>
      <c r="W32" s="89">
        <f t="shared" si="22"/>
        <v>-665.22083999999995</v>
      </c>
      <c r="X32" s="26">
        <f t="shared" si="23"/>
        <v>-0.24408508668715559</v>
      </c>
      <c r="Y32" s="106">
        <f>2144791.864859/1000*1</f>
        <v>2144.7918648589998</v>
      </c>
      <c r="Z32" s="89">
        <f t="shared" si="24"/>
        <v>84.648164858999735</v>
      </c>
      <c r="AA32" s="27">
        <f t="shared" si="25"/>
        <v>3.9466843494655166E-2</v>
      </c>
      <c r="AB32" s="107">
        <f>4478104.280113/1000*1</f>
        <v>4478.1042801130006</v>
      </c>
      <c r="AC32" s="1"/>
      <c r="AD32" s="1"/>
      <c r="AE32" s="1"/>
      <c r="AF32" s="1"/>
      <c r="AG32" s="1"/>
      <c r="AH32" s="1"/>
      <c r="AI32" s="1"/>
    </row>
    <row r="33" spans="1:35" ht="14.25" hidden="1" outlineLevel="1" x14ac:dyDescent="0.2">
      <c r="A33" s="1"/>
      <c r="B33" s="3"/>
      <c r="C33" s="3"/>
      <c r="D33" s="3" t="s">
        <v>59</v>
      </c>
      <c r="E33" s="3" t="s">
        <v>51</v>
      </c>
      <c r="F33" s="3">
        <v>841</v>
      </c>
      <c r="G33" s="105">
        <f>173475.71/1000*1</f>
        <v>173.47570999999999</v>
      </c>
      <c r="H33" s="106">
        <f>197286.05/1000*1</f>
        <v>197.28604999999999</v>
      </c>
      <c r="I33" s="89">
        <f t="shared" si="14"/>
        <v>-23.810339999999997</v>
      </c>
      <c r="J33" s="26">
        <f t="shared" si="15"/>
        <v>-0.12068942532936311</v>
      </c>
      <c r="K33" s="106">
        <f>190076.312464/1000*1</f>
        <v>190.07631246399998</v>
      </c>
      <c r="L33" s="89">
        <f t="shared" si="16"/>
        <v>16.600602463999991</v>
      </c>
      <c r="M33" s="27">
        <f t="shared" si="17"/>
        <v>8.7336513681283173E-2</v>
      </c>
      <c r="N33" s="105">
        <f>643046.94/1000*1</f>
        <v>643.04693999999995</v>
      </c>
      <c r="O33" s="106">
        <f>648764.2/1000*1</f>
        <v>648.76419999999996</v>
      </c>
      <c r="P33" s="89">
        <f t="shared" si="18"/>
        <v>-5.7172600000000102</v>
      </c>
      <c r="Q33" s="26">
        <f t="shared" si="19"/>
        <v>-8.8125392862306688E-3</v>
      </c>
      <c r="R33" s="106">
        <f>638322.888162/1000*1</f>
        <v>638.32288816200003</v>
      </c>
      <c r="S33" s="89">
        <f t="shared" si="20"/>
        <v>-4.724051837999923</v>
      </c>
      <c r="T33" s="27">
        <f t="shared" si="21"/>
        <v>-7.4007245010475099E-3</v>
      </c>
      <c r="U33" s="105">
        <f>1543699.08/1000*1</f>
        <v>1543.6990800000001</v>
      </c>
      <c r="V33" s="106">
        <f>1314532.98/1000*1</f>
        <v>1314.53298</v>
      </c>
      <c r="W33" s="89">
        <f t="shared" si="22"/>
        <v>229.16610000000014</v>
      </c>
      <c r="X33" s="26">
        <f t="shared" si="23"/>
        <v>0.174332712443624</v>
      </c>
      <c r="Y33" s="106">
        <f>1538975.028162/1000*1</f>
        <v>1538.9750281619999</v>
      </c>
      <c r="Z33" s="89">
        <f t="shared" si="24"/>
        <v>-4.7240518380001504</v>
      </c>
      <c r="AA33" s="27">
        <f t="shared" si="25"/>
        <v>-3.0696091564540147E-3</v>
      </c>
      <c r="AB33" s="107">
        <f>3164155.281358/1000*1</f>
        <v>3164.1552813579997</v>
      </c>
      <c r="AC33" s="1"/>
      <c r="AD33" s="1"/>
      <c r="AE33" s="1"/>
      <c r="AF33" s="1"/>
      <c r="AG33" s="1"/>
      <c r="AH33" s="1"/>
      <c r="AI33" s="1"/>
    </row>
    <row r="34" spans="1:35" ht="14.25" hidden="1" outlineLevel="1" x14ac:dyDescent="0.2">
      <c r="A34" s="1"/>
      <c r="B34" s="3"/>
      <c r="C34" s="3"/>
      <c r="D34" s="3" t="s">
        <v>59</v>
      </c>
      <c r="E34" s="3" t="s">
        <v>51</v>
      </c>
      <c r="F34" s="3">
        <v>842</v>
      </c>
      <c r="G34" s="105">
        <f>265914.99/1000*1</f>
        <v>265.91498999999999</v>
      </c>
      <c r="H34" s="106">
        <f>235586.34/1000*1</f>
        <v>235.58634000000001</v>
      </c>
      <c r="I34" s="89">
        <f t="shared" si="14"/>
        <v>30.328649999999982</v>
      </c>
      <c r="J34" s="26">
        <f t="shared" si="15"/>
        <v>0.12873687837758327</v>
      </c>
      <c r="K34" s="106">
        <f>113043.099062/1000*1</f>
        <v>113.043099062</v>
      </c>
      <c r="L34" s="89">
        <f t="shared" si="16"/>
        <v>-152.87189093799998</v>
      </c>
      <c r="M34" s="27">
        <f t="shared" si="17"/>
        <v>-1.3523328023248491</v>
      </c>
      <c r="N34" s="105">
        <f>674330.41/1000*1</f>
        <v>674.33041000000003</v>
      </c>
      <c r="O34" s="106">
        <f>675381.85/1000*1</f>
        <v>675.38184999999999</v>
      </c>
      <c r="P34" s="89">
        <f t="shared" si="18"/>
        <v>-1.0514399999999569</v>
      </c>
      <c r="Q34" s="26">
        <f t="shared" si="19"/>
        <v>-1.5568081967259808E-3</v>
      </c>
      <c r="R34" s="106">
        <f>444380.765648/1000*1</f>
        <v>444.38076564800002</v>
      </c>
      <c r="S34" s="89">
        <f t="shared" si="20"/>
        <v>-229.94964435200001</v>
      </c>
      <c r="T34" s="27">
        <f t="shared" si="21"/>
        <v>-0.51746084017989702</v>
      </c>
      <c r="U34" s="105">
        <f>1311592/1000*1</f>
        <v>1311.5920000000001</v>
      </c>
      <c r="V34" s="106">
        <f>1404333.54/1000*1</f>
        <v>1404.3335400000001</v>
      </c>
      <c r="W34" s="89">
        <f t="shared" si="22"/>
        <v>-92.741539999999986</v>
      </c>
      <c r="X34" s="26">
        <f t="shared" si="23"/>
        <v>-6.6039539296341224E-2</v>
      </c>
      <c r="Y34" s="106">
        <f>1081642.355648/1000*1</f>
        <v>1081.6423556479999</v>
      </c>
      <c r="Z34" s="89">
        <f t="shared" si="24"/>
        <v>-229.94964435200018</v>
      </c>
      <c r="AA34" s="27">
        <f t="shared" si="25"/>
        <v>-0.2125930471853979</v>
      </c>
      <c r="AB34" s="107">
        <f>2050186.935665/1000*1</f>
        <v>2050.186935665</v>
      </c>
      <c r="AC34" s="1"/>
      <c r="AD34" s="1"/>
      <c r="AE34" s="1"/>
      <c r="AF34" s="1"/>
      <c r="AG34" s="1"/>
      <c r="AH34" s="1"/>
      <c r="AI34" s="1"/>
    </row>
    <row r="35" spans="1:35" ht="14.25" hidden="1" outlineLevel="1" x14ac:dyDescent="0.2">
      <c r="A35" s="1"/>
      <c r="B35" s="3"/>
      <c r="C35" s="3"/>
      <c r="D35" s="3" t="s">
        <v>59</v>
      </c>
      <c r="E35" s="3" t="s">
        <v>51</v>
      </c>
      <c r="F35" s="3">
        <v>843</v>
      </c>
      <c r="G35" s="105">
        <f>-383715.35/1000*1</f>
        <v>-383.71535</v>
      </c>
      <c r="H35" s="106">
        <f>-902821.98/1000*1</f>
        <v>-902.82197999999994</v>
      </c>
      <c r="I35" s="89">
        <f t="shared" si="14"/>
        <v>519.10663</v>
      </c>
      <c r="J35" s="26">
        <f t="shared" si="15"/>
        <v>-0.57498226837587629</v>
      </c>
      <c r="K35" s="106">
        <f>23667.699812/1000*1</f>
        <v>23.667699811999999</v>
      </c>
      <c r="L35" s="89">
        <f t="shared" si="16"/>
        <v>407.38304981200002</v>
      </c>
      <c r="M35" s="27" t="str">
        <f t="shared" si="17"/>
        <v>N/A</v>
      </c>
      <c r="N35" s="105">
        <f>-202713.8/1000*1</f>
        <v>-202.71379999999999</v>
      </c>
      <c r="O35" s="106">
        <f>-796403.39/1000*1</f>
        <v>-796.40339000000006</v>
      </c>
      <c r="P35" s="89">
        <f t="shared" si="18"/>
        <v>593.68959000000007</v>
      </c>
      <c r="Q35" s="26">
        <f t="shared" si="19"/>
        <v>-0.74546341396161064</v>
      </c>
      <c r="R35" s="106">
        <f>160386.9758/1000*1</f>
        <v>160.38697579999999</v>
      </c>
      <c r="S35" s="89">
        <f t="shared" si="20"/>
        <v>363.10077579999995</v>
      </c>
      <c r="T35" s="27">
        <f t="shared" si="21"/>
        <v>2.2639043724646375</v>
      </c>
      <c r="U35" s="105">
        <f>346419.26/1000*1</f>
        <v>346.41926000000001</v>
      </c>
      <c r="V35" s="106">
        <f>573496.19/1000*1</f>
        <v>573.49618999999996</v>
      </c>
      <c r="W35" s="89">
        <f t="shared" si="22"/>
        <v>-227.07692999999995</v>
      </c>
      <c r="X35" s="26">
        <f t="shared" si="23"/>
        <v>-0.39595194172083337</v>
      </c>
      <c r="Y35" s="106">
        <f>709520.0358/1000*1</f>
        <v>709.52003579999996</v>
      </c>
      <c r="Z35" s="89">
        <f t="shared" si="24"/>
        <v>363.10077579999995</v>
      </c>
      <c r="AA35" s="27">
        <f t="shared" si="25"/>
        <v>0.51175549312091739</v>
      </c>
      <c r="AB35" s="107">
        <f>2767919.275728/1000*1</f>
        <v>2767.9192757279998</v>
      </c>
      <c r="AC35" s="1"/>
      <c r="AD35" s="1"/>
      <c r="AE35" s="1"/>
      <c r="AF35" s="1"/>
      <c r="AG35" s="1"/>
      <c r="AH35" s="1"/>
      <c r="AI35" s="1"/>
    </row>
    <row r="36" spans="1:35" ht="14.25" hidden="1" outlineLevel="1" x14ac:dyDescent="0.2">
      <c r="A36" s="1"/>
      <c r="B36" s="3"/>
      <c r="C36" s="3"/>
      <c r="D36" s="3" t="s">
        <v>59</v>
      </c>
      <c r="E36" s="3" t="s">
        <v>51</v>
      </c>
      <c r="F36" s="3">
        <v>844</v>
      </c>
      <c r="G36" s="105">
        <f>268298.7/1000*1</f>
        <v>268.2987</v>
      </c>
      <c r="H36" s="106">
        <f>470309.16/1000*1</f>
        <v>470.30915999999996</v>
      </c>
      <c r="I36" s="89">
        <f t="shared" si="14"/>
        <v>-202.01045999999997</v>
      </c>
      <c r="J36" s="26">
        <f t="shared" si="15"/>
        <v>-0.42952695201598878</v>
      </c>
      <c r="K36" s="106">
        <f>286405.584952/1000*1</f>
        <v>286.40558495200003</v>
      </c>
      <c r="L36" s="89">
        <f t="shared" si="16"/>
        <v>18.10688495200003</v>
      </c>
      <c r="M36" s="27">
        <f t="shared" si="17"/>
        <v>6.3221130813613996E-2</v>
      </c>
      <c r="N36" s="105">
        <f>936912.89/1000*1</f>
        <v>936.91289000000006</v>
      </c>
      <c r="O36" s="106">
        <f>1333737.31/1000*1</f>
        <v>1333.73731</v>
      </c>
      <c r="P36" s="89">
        <f t="shared" si="18"/>
        <v>-396.82441999999992</v>
      </c>
      <c r="Q36" s="26">
        <f t="shared" si="19"/>
        <v>-0.29752816917148395</v>
      </c>
      <c r="R36" s="106">
        <f>979452.8716/1000*1</f>
        <v>979.45287159999998</v>
      </c>
      <c r="S36" s="89">
        <f t="shared" si="20"/>
        <v>42.539981599999919</v>
      </c>
      <c r="T36" s="27">
        <f t="shared" si="21"/>
        <v>4.3432392546369374E-2</v>
      </c>
      <c r="U36" s="105">
        <f>1897066.05/1000*1</f>
        <v>1897.0660500000001</v>
      </c>
      <c r="V36" s="106">
        <f>2228980.26/1000*1</f>
        <v>2228.9802599999998</v>
      </c>
      <c r="W36" s="89">
        <f t="shared" si="22"/>
        <v>-331.91420999999968</v>
      </c>
      <c r="X36" s="26">
        <f t="shared" si="23"/>
        <v>-0.14890854618874</v>
      </c>
      <c r="Y36" s="106">
        <f>1939606.0316/1000*1</f>
        <v>1939.6060316000001</v>
      </c>
      <c r="Z36" s="89">
        <f t="shared" si="24"/>
        <v>42.539981599999919</v>
      </c>
      <c r="AA36" s="27">
        <f t="shared" si="25"/>
        <v>2.193227949745458E-2</v>
      </c>
      <c r="AB36" s="107">
        <f>3965678.080768/1000*1</f>
        <v>3965.6780807679997</v>
      </c>
      <c r="AC36" s="1"/>
      <c r="AD36" s="1"/>
      <c r="AE36" s="1"/>
      <c r="AF36" s="1"/>
      <c r="AG36" s="1"/>
      <c r="AH36" s="1"/>
      <c r="AI36" s="1"/>
    </row>
    <row r="37" spans="1:35" ht="14.25" hidden="1" outlineLevel="1" x14ac:dyDescent="0.2">
      <c r="A37" s="1"/>
      <c r="B37" s="3"/>
      <c r="C37" s="3"/>
      <c r="D37" s="3" t="s">
        <v>59</v>
      </c>
      <c r="E37" s="3" t="s">
        <v>51</v>
      </c>
      <c r="F37" s="3">
        <v>845</v>
      </c>
      <c r="G37" s="105">
        <f>78259.62/1000*1</f>
        <v>78.259619999999998</v>
      </c>
      <c r="H37" s="106">
        <f>186434.81/1000*1</f>
        <v>186.43481</v>
      </c>
      <c r="I37" s="89">
        <f t="shared" si="14"/>
        <v>-108.17519</v>
      </c>
      <c r="J37" s="26">
        <f t="shared" si="15"/>
        <v>-0.58023064469559094</v>
      </c>
      <c r="K37" s="106">
        <f>86134.940609/1000*1</f>
        <v>86.134940608999997</v>
      </c>
      <c r="L37" s="89">
        <f t="shared" si="16"/>
        <v>7.8753206089999992</v>
      </c>
      <c r="M37" s="27">
        <f t="shared" si="17"/>
        <v>9.1430034702747895E-2</v>
      </c>
      <c r="N37" s="105">
        <f>296538.22/1000*1</f>
        <v>296.53821999999997</v>
      </c>
      <c r="O37" s="106">
        <f>429392.05/1000*1</f>
        <v>429.39204999999998</v>
      </c>
      <c r="P37" s="89">
        <f t="shared" si="18"/>
        <v>-132.85383000000002</v>
      </c>
      <c r="Q37" s="26">
        <f t="shared" si="19"/>
        <v>-0.309399836350021</v>
      </c>
      <c r="R37" s="106">
        <f>315623.054866/1000*1</f>
        <v>315.62305486600002</v>
      </c>
      <c r="S37" s="89">
        <f t="shared" si="20"/>
        <v>19.084834866000051</v>
      </c>
      <c r="T37" s="27">
        <f t="shared" si="21"/>
        <v>6.046717618300302E-2</v>
      </c>
      <c r="U37" s="105">
        <f>794164.83/1000*1</f>
        <v>794.16482999999994</v>
      </c>
      <c r="V37" s="106">
        <f>853601.02/1000*1</f>
        <v>853.60102000000006</v>
      </c>
      <c r="W37" s="89">
        <f t="shared" si="22"/>
        <v>-59.436190000000124</v>
      </c>
      <c r="X37" s="26">
        <f t="shared" si="23"/>
        <v>-6.9629942569656392E-2</v>
      </c>
      <c r="Y37" s="106">
        <f>813249.664866/1000*1</f>
        <v>813.24966486599999</v>
      </c>
      <c r="Z37" s="89">
        <f t="shared" si="24"/>
        <v>19.084834866000051</v>
      </c>
      <c r="AA37" s="27">
        <f t="shared" si="25"/>
        <v>2.3467375014712955E-2</v>
      </c>
      <c r="AB37" s="107">
        <f>1594072.9345/1000*1</f>
        <v>1594.0729345</v>
      </c>
      <c r="AC37" s="1"/>
      <c r="AD37" s="1"/>
      <c r="AE37" s="1"/>
      <c r="AF37" s="1"/>
      <c r="AG37" s="1"/>
      <c r="AH37" s="1"/>
      <c r="AI37" s="1"/>
    </row>
    <row r="38" spans="1:35" ht="14.25" hidden="1" outlineLevel="1" x14ac:dyDescent="0.2">
      <c r="A38" s="1"/>
      <c r="B38" s="3"/>
      <c r="C38" s="3"/>
      <c r="D38" s="3" t="s">
        <v>59</v>
      </c>
      <c r="E38" s="3" t="s">
        <v>51</v>
      </c>
      <c r="F38" s="3">
        <v>899</v>
      </c>
      <c r="G38" s="105">
        <f>129944.1/1000*1</f>
        <v>129.94409999999999</v>
      </c>
      <c r="H38" s="106">
        <f>138713.75/1000*1</f>
        <v>138.71375</v>
      </c>
      <c r="I38" s="89">
        <f t="shared" si="14"/>
        <v>-8.7696500000000128</v>
      </c>
      <c r="J38" s="26">
        <f t="shared" si="15"/>
        <v>-6.322120193564093E-2</v>
      </c>
      <c r="K38" s="106">
        <f>74523.935799/1000*1</f>
        <v>74.523935799</v>
      </c>
      <c r="L38" s="89">
        <f t="shared" si="16"/>
        <v>-55.420164200999992</v>
      </c>
      <c r="M38" s="27">
        <f t="shared" si="17"/>
        <v>-0.74365589534179766</v>
      </c>
      <c r="N38" s="105">
        <f>452803.66/1000*1</f>
        <v>452.80365999999998</v>
      </c>
      <c r="O38" s="106">
        <f>454109.11/1000*1</f>
        <v>454.10910999999999</v>
      </c>
      <c r="P38" s="89">
        <f t="shared" si="18"/>
        <v>-1.3054500000000075</v>
      </c>
      <c r="Q38" s="26">
        <f t="shared" si="19"/>
        <v>-2.874749638913889E-3</v>
      </c>
      <c r="R38" s="106">
        <f>307518.543237/1000*1</f>
        <v>307.51854323700002</v>
      </c>
      <c r="S38" s="89">
        <f t="shared" si="20"/>
        <v>-145.28511676299996</v>
      </c>
      <c r="T38" s="27">
        <f t="shared" si="21"/>
        <v>-0.47244343457698701</v>
      </c>
      <c r="U38" s="105">
        <f>963528.12/1000*1</f>
        <v>963.52811999999994</v>
      </c>
      <c r="V38" s="106">
        <f>742102.8/1000*1</f>
        <v>742.1028</v>
      </c>
      <c r="W38" s="89">
        <f t="shared" si="22"/>
        <v>221.42531999999994</v>
      </c>
      <c r="X38" s="26">
        <f t="shared" si="23"/>
        <v>0.29837553503369069</v>
      </c>
      <c r="Y38" s="106">
        <f>818243.003237/1000*1</f>
        <v>818.24300323699993</v>
      </c>
      <c r="Z38" s="89">
        <f t="shared" si="24"/>
        <v>-145.28511676300002</v>
      </c>
      <c r="AA38" s="27">
        <f t="shared" si="25"/>
        <v>-0.17755742021410104</v>
      </c>
      <c r="AB38" s="107">
        <f>1453262.427877/1000*1</f>
        <v>1453.2624278770002</v>
      </c>
      <c r="AC38" s="1"/>
      <c r="AD38" s="1"/>
      <c r="AE38" s="1"/>
      <c r="AF38" s="1"/>
      <c r="AG38" s="1"/>
      <c r="AH38" s="1"/>
      <c r="AI38" s="1"/>
    </row>
    <row r="39" spans="1:35" ht="14.25" hidden="1" outlineLevel="1" x14ac:dyDescent="0.2">
      <c r="A39" s="1"/>
      <c r="B39" s="3"/>
      <c r="C39" s="3"/>
      <c r="D39" s="3" t="s">
        <v>59</v>
      </c>
      <c r="E39" s="3" t="s">
        <v>52</v>
      </c>
      <c r="F39" s="3">
        <v>830</v>
      </c>
      <c r="G39" s="105">
        <f>47227.44/1000*1</f>
        <v>47.227440000000001</v>
      </c>
      <c r="H39" s="106">
        <f>49383.43/1000*1</f>
        <v>49.383429999999997</v>
      </c>
      <c r="I39" s="89">
        <f t="shared" si="14"/>
        <v>-2.1559899999999956</v>
      </c>
      <c r="J39" s="26">
        <f t="shared" si="15"/>
        <v>-4.3658166312060459E-2</v>
      </c>
      <c r="K39" s="106">
        <f>46520.69867/1000*1</f>
        <v>46.520698669999994</v>
      </c>
      <c r="L39" s="89">
        <f t="shared" si="16"/>
        <v>-0.70674133000000694</v>
      </c>
      <c r="M39" s="27">
        <f t="shared" si="17"/>
        <v>-1.5191975834528176E-2</v>
      </c>
      <c r="N39" s="105">
        <f>151200.28/1000*1</f>
        <v>151.20027999999999</v>
      </c>
      <c r="O39" s="106">
        <f>148807.43/1000*1</f>
        <v>148.80742999999998</v>
      </c>
      <c r="P39" s="89">
        <f t="shared" si="18"/>
        <v>2.3928500000000099</v>
      </c>
      <c r="Q39" s="26">
        <f t="shared" si="19"/>
        <v>1.6080178254540181E-2</v>
      </c>
      <c r="R39" s="106">
        <f>152627.44734/1000*1</f>
        <v>152.62744734</v>
      </c>
      <c r="S39" s="89">
        <f t="shared" si="20"/>
        <v>1.4271673400000111</v>
      </c>
      <c r="T39" s="27">
        <f t="shared" si="21"/>
        <v>9.3506598247744179E-3</v>
      </c>
      <c r="U39" s="105">
        <f>315517.23/1000*1</f>
        <v>315.51722999999998</v>
      </c>
      <c r="V39" s="106">
        <f>305223.64/1000*1</f>
        <v>305.22363999999999</v>
      </c>
      <c r="W39" s="89">
        <f t="shared" si="22"/>
        <v>10.293589999999995</v>
      </c>
      <c r="X39" s="26">
        <f t="shared" si="23"/>
        <v>3.3724746877404371E-2</v>
      </c>
      <c r="Y39" s="106">
        <f>316944.39734/1000*1</f>
        <v>316.94439734000002</v>
      </c>
      <c r="Z39" s="89">
        <f t="shared" si="24"/>
        <v>1.4271673400000395</v>
      </c>
      <c r="AA39" s="27">
        <f t="shared" si="25"/>
        <v>4.5028949934996171E-3</v>
      </c>
      <c r="AB39" s="107">
        <f>678809.12607/1000*1</f>
        <v>678.80912607000005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"/>
      <c r="C40" s="3"/>
      <c r="D40" s="3" t="s">
        <v>59</v>
      </c>
      <c r="E40" s="3" t="s">
        <v>52</v>
      </c>
      <c r="F40" s="3">
        <v>840</v>
      </c>
      <c r="G40" s="105">
        <f>30714.22/1000*1</f>
        <v>30.714220000000001</v>
      </c>
      <c r="H40" s="106">
        <f>0/1000*1</f>
        <v>0</v>
      </c>
      <c r="I40" s="89">
        <f t="shared" si="14"/>
        <v>30.714220000000001</v>
      </c>
      <c r="J40" s="26" t="str">
        <f t="shared" si="15"/>
        <v>N/A</v>
      </c>
      <c r="K40" s="106">
        <f>55847.737181/1000*1</f>
        <v>55.847737180999999</v>
      </c>
      <c r="L40" s="89">
        <f t="shared" si="16"/>
        <v>25.133517180999998</v>
      </c>
      <c r="M40" s="27">
        <f t="shared" si="17"/>
        <v>0.45003644641041413</v>
      </c>
      <c r="N40" s="105">
        <f>101351.31/1000*1</f>
        <v>101.35131</v>
      </c>
      <c r="O40" s="106">
        <f>0/1000*1</f>
        <v>0</v>
      </c>
      <c r="P40" s="89">
        <f t="shared" si="18"/>
        <v>101.35131</v>
      </c>
      <c r="Q40" s="26" t="str">
        <f t="shared" si="19"/>
        <v>N/A</v>
      </c>
      <c r="R40" s="106">
        <f>157275.478185/1000*1</f>
        <v>157.27547818500003</v>
      </c>
      <c r="S40" s="89">
        <f t="shared" si="20"/>
        <v>55.924168185000028</v>
      </c>
      <c r="T40" s="27">
        <f t="shared" si="21"/>
        <v>0.35558097696080465</v>
      </c>
      <c r="U40" s="105">
        <f>241315.27/1000*1</f>
        <v>241.31527</v>
      </c>
      <c r="V40" s="106">
        <f>-356.81/1000*1</f>
        <v>-0.35681000000000002</v>
      </c>
      <c r="W40" s="89">
        <f t="shared" si="22"/>
        <v>241.67207999999999</v>
      </c>
      <c r="X40" s="26" t="str">
        <f t="shared" si="23"/>
        <v>N/A</v>
      </c>
      <c r="Y40" s="106">
        <f>297239.438185/1000*1</f>
        <v>297.23943818499998</v>
      </c>
      <c r="Z40" s="89">
        <f t="shared" si="24"/>
        <v>55.924168184999985</v>
      </c>
      <c r="AA40" s="27">
        <f t="shared" si="25"/>
        <v>0.18814518196671173</v>
      </c>
      <c r="AB40" s="107">
        <f>601764.843777/1000*1</f>
        <v>601.76484377700001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"/>
      <c r="C41" s="3"/>
      <c r="D41" s="3" t="s">
        <v>59</v>
      </c>
      <c r="E41" s="3" t="s">
        <v>52</v>
      </c>
      <c r="F41" s="3">
        <v>842</v>
      </c>
      <c r="G41" s="105">
        <f>19901.12/1000*1</f>
        <v>19.901119999999999</v>
      </c>
      <c r="H41" s="106">
        <f>83790.35/1000*1</f>
        <v>83.790350000000004</v>
      </c>
      <c r="I41" s="89">
        <f t="shared" si="14"/>
        <v>-63.889230000000005</v>
      </c>
      <c r="J41" s="26">
        <f t="shared" si="15"/>
        <v>-0.76248911718354206</v>
      </c>
      <c r="K41" s="106">
        <f t="shared" ref="K41:K48" si="26">0/1000*1</f>
        <v>0</v>
      </c>
      <c r="L41" s="89">
        <f t="shared" si="16"/>
        <v>-19.901119999999999</v>
      </c>
      <c r="M41" s="27" t="str">
        <f t="shared" si="17"/>
        <v>N/A</v>
      </c>
      <c r="N41" s="105">
        <f>64548.93/1000*1</f>
        <v>64.548929999999999</v>
      </c>
      <c r="O41" s="106">
        <f>271718.92/1000*1</f>
        <v>271.71891999999997</v>
      </c>
      <c r="P41" s="89">
        <f t="shared" si="18"/>
        <v>-207.16998999999998</v>
      </c>
      <c r="Q41" s="26">
        <f t="shared" si="19"/>
        <v>-0.76244226938632031</v>
      </c>
      <c r="R41" s="106">
        <f>23606.78/1000*1</f>
        <v>23.606780000000001</v>
      </c>
      <c r="S41" s="89">
        <f t="shared" si="20"/>
        <v>-40.942149999999998</v>
      </c>
      <c r="T41" s="27">
        <f t="shared" si="21"/>
        <v>-1.7343386095011686</v>
      </c>
      <c r="U41" s="105">
        <f>110060.73/1000*1</f>
        <v>110.06072999999999</v>
      </c>
      <c r="V41" s="106">
        <f>533160.65/1000*1</f>
        <v>533.16065000000003</v>
      </c>
      <c r="W41" s="89">
        <f t="shared" si="22"/>
        <v>-423.09992000000005</v>
      </c>
      <c r="X41" s="26">
        <f t="shared" si="23"/>
        <v>-0.79356929285760314</v>
      </c>
      <c r="Y41" s="106">
        <f>69118.58/1000*1</f>
        <v>69.118580000000009</v>
      </c>
      <c r="Z41" s="89">
        <f t="shared" si="24"/>
        <v>-40.942149999999984</v>
      </c>
      <c r="AA41" s="27">
        <f t="shared" si="25"/>
        <v>-0.59234651522065385</v>
      </c>
      <c r="AB41" s="107">
        <f>69118.58/1000*1</f>
        <v>69.118580000000009</v>
      </c>
      <c r="AC41" s="1"/>
      <c r="AD41" s="1"/>
      <c r="AE41" s="1"/>
      <c r="AF41" s="1"/>
      <c r="AG41" s="1"/>
      <c r="AH41" s="1"/>
      <c r="AI41" s="1"/>
    </row>
    <row r="42" spans="1:35" ht="14.25" hidden="1" outlineLevel="1" x14ac:dyDescent="0.2">
      <c r="A42" s="1"/>
      <c r="B42" s="3"/>
      <c r="C42" s="3"/>
      <c r="D42" s="3" t="s">
        <v>59</v>
      </c>
      <c r="E42" s="3" t="s">
        <v>54</v>
      </c>
      <c r="F42" s="3">
        <v>811</v>
      </c>
      <c r="G42" s="105">
        <f>0/1000*1</f>
        <v>0</v>
      </c>
      <c r="H42" s="106">
        <f>0/1000*1</f>
        <v>0</v>
      </c>
      <c r="I42" s="89">
        <f t="shared" si="14"/>
        <v>0</v>
      </c>
      <c r="J42" s="26" t="str">
        <f t="shared" si="15"/>
        <v>N/A</v>
      </c>
      <c r="K42" s="106">
        <f t="shared" si="26"/>
        <v>0</v>
      </c>
      <c r="L42" s="89">
        <f t="shared" si="16"/>
        <v>0</v>
      </c>
      <c r="M42" s="27" t="str">
        <f t="shared" si="17"/>
        <v>N/A</v>
      </c>
      <c r="N42" s="105">
        <f>0/1000*1</f>
        <v>0</v>
      </c>
      <c r="O42" s="106">
        <f>0/1000*1</f>
        <v>0</v>
      </c>
      <c r="P42" s="89">
        <f t="shared" si="18"/>
        <v>0</v>
      </c>
      <c r="Q42" s="26" t="str">
        <f t="shared" si="19"/>
        <v>N/A</v>
      </c>
      <c r="R42" s="106">
        <f t="shared" ref="R42:R48" si="27">0/1000*1</f>
        <v>0</v>
      </c>
      <c r="S42" s="89">
        <f t="shared" si="20"/>
        <v>0</v>
      </c>
      <c r="T42" s="27" t="str">
        <f t="shared" si="21"/>
        <v>N/A</v>
      </c>
      <c r="U42" s="105">
        <f>0/1000*1</f>
        <v>0</v>
      </c>
      <c r="V42" s="106">
        <f>0/1000*1</f>
        <v>0</v>
      </c>
      <c r="W42" s="89">
        <f t="shared" si="22"/>
        <v>0</v>
      </c>
      <c r="X42" s="26" t="str">
        <f t="shared" si="23"/>
        <v>N/A</v>
      </c>
      <c r="Y42" s="106">
        <f>0/1000*1</f>
        <v>0</v>
      </c>
      <c r="Z42" s="89">
        <f t="shared" si="24"/>
        <v>0</v>
      </c>
      <c r="AA42" s="27" t="str">
        <f t="shared" si="25"/>
        <v>N/A</v>
      </c>
      <c r="AB42" s="107">
        <f>0/1000*1</f>
        <v>0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"/>
      <c r="C43" s="3"/>
      <c r="D43" s="3" t="s">
        <v>59</v>
      </c>
      <c r="E43" s="3" t="s">
        <v>55</v>
      </c>
      <c r="F43" s="3">
        <v>811</v>
      </c>
      <c r="G43" s="105">
        <f>0/1000*1</f>
        <v>0</v>
      </c>
      <c r="H43" s="106">
        <f>0/1000*1</f>
        <v>0</v>
      </c>
      <c r="I43" s="89">
        <f t="shared" si="14"/>
        <v>0</v>
      </c>
      <c r="J43" s="26" t="str">
        <f t="shared" si="15"/>
        <v>N/A</v>
      </c>
      <c r="K43" s="106">
        <f t="shared" si="26"/>
        <v>0</v>
      </c>
      <c r="L43" s="89">
        <f t="shared" si="16"/>
        <v>0</v>
      </c>
      <c r="M43" s="27" t="str">
        <f t="shared" si="17"/>
        <v>N/A</v>
      </c>
      <c r="N43" s="105">
        <f>0/1000*1</f>
        <v>0</v>
      </c>
      <c r="O43" s="106">
        <f>0/1000*1</f>
        <v>0</v>
      </c>
      <c r="P43" s="89">
        <f t="shared" si="18"/>
        <v>0</v>
      </c>
      <c r="Q43" s="26" t="str">
        <f t="shared" si="19"/>
        <v>N/A</v>
      </c>
      <c r="R43" s="106">
        <f t="shared" si="27"/>
        <v>0</v>
      </c>
      <c r="S43" s="89">
        <f t="shared" si="20"/>
        <v>0</v>
      </c>
      <c r="T43" s="27" t="str">
        <f t="shared" si="21"/>
        <v>N/A</v>
      </c>
      <c r="U43" s="105">
        <f>10/1000*1</f>
        <v>0.01</v>
      </c>
      <c r="V43" s="106">
        <f>0/1000*1</f>
        <v>0</v>
      </c>
      <c r="W43" s="89">
        <f t="shared" si="22"/>
        <v>0.01</v>
      </c>
      <c r="X43" s="26" t="str">
        <f t="shared" si="23"/>
        <v>N/A</v>
      </c>
      <c r="Y43" s="106">
        <f>10/1000*1</f>
        <v>0.01</v>
      </c>
      <c r="Z43" s="89">
        <f t="shared" si="24"/>
        <v>0</v>
      </c>
      <c r="AA43" s="27">
        <f t="shared" si="25"/>
        <v>0</v>
      </c>
      <c r="AB43" s="107">
        <f>10/1000*1</f>
        <v>0.01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"/>
      <c r="C44" s="3"/>
      <c r="D44" s="3" t="s">
        <v>59</v>
      </c>
      <c r="E44" s="3" t="s">
        <v>55</v>
      </c>
      <c r="F44" s="3">
        <v>843</v>
      </c>
      <c r="G44" s="105">
        <f>466772.72/1000*1</f>
        <v>466.77271999999999</v>
      </c>
      <c r="H44" s="106">
        <f>954845.51/1000*1</f>
        <v>954.84550999999999</v>
      </c>
      <c r="I44" s="89">
        <f t="shared" si="14"/>
        <v>-488.07279</v>
      </c>
      <c r="J44" s="26">
        <f t="shared" si="15"/>
        <v>-0.51115367343561158</v>
      </c>
      <c r="K44" s="106">
        <f t="shared" si="26"/>
        <v>0</v>
      </c>
      <c r="L44" s="89">
        <f t="shared" si="16"/>
        <v>-466.77271999999999</v>
      </c>
      <c r="M44" s="27" t="str">
        <f t="shared" si="17"/>
        <v>N/A</v>
      </c>
      <c r="N44" s="105">
        <f>466772.72/1000*1</f>
        <v>466.77271999999999</v>
      </c>
      <c r="O44" s="106">
        <f>954845.51/1000*1</f>
        <v>954.84550999999999</v>
      </c>
      <c r="P44" s="89">
        <f t="shared" si="18"/>
        <v>-488.07279</v>
      </c>
      <c r="Q44" s="26">
        <f t="shared" si="19"/>
        <v>-0.51115367343561158</v>
      </c>
      <c r="R44" s="106">
        <f t="shared" si="27"/>
        <v>0</v>
      </c>
      <c r="S44" s="89">
        <f t="shared" si="20"/>
        <v>-466.77271999999999</v>
      </c>
      <c r="T44" s="27" t="str">
        <f t="shared" si="21"/>
        <v>N/A</v>
      </c>
      <c r="U44" s="105">
        <f>1062610.32/1000*1</f>
        <v>1062.61032</v>
      </c>
      <c r="V44" s="106">
        <f>984845.51/1000*1</f>
        <v>984.84550999999999</v>
      </c>
      <c r="W44" s="89">
        <f t="shared" si="22"/>
        <v>77.764810000000011</v>
      </c>
      <c r="X44" s="26">
        <f t="shared" si="23"/>
        <v>7.8961430204418565E-2</v>
      </c>
      <c r="Y44" s="106">
        <f>595837.6/1000*1</f>
        <v>595.83759999999995</v>
      </c>
      <c r="Z44" s="89">
        <f t="shared" si="24"/>
        <v>-466.77272000000005</v>
      </c>
      <c r="AA44" s="27">
        <f t="shared" si="25"/>
        <v>-0.78338916510136336</v>
      </c>
      <c r="AB44" s="107">
        <f>595837.6/1000*1</f>
        <v>595.83759999999995</v>
      </c>
      <c r="AC44" s="1"/>
      <c r="AD44" s="1"/>
      <c r="AE44" s="1"/>
      <c r="AF44" s="1"/>
      <c r="AG44" s="1"/>
      <c r="AH44" s="1"/>
      <c r="AI44" s="1"/>
    </row>
    <row r="45" spans="1:35" ht="14.25" hidden="1" outlineLevel="1" x14ac:dyDescent="0.2">
      <c r="A45" s="1"/>
      <c r="B45" s="3"/>
      <c r="C45" s="3"/>
      <c r="D45" s="3" t="s">
        <v>59</v>
      </c>
      <c r="E45" s="3" t="s">
        <v>55</v>
      </c>
      <c r="F45" s="3">
        <v>899</v>
      </c>
      <c r="G45" s="105">
        <f>1954.87/1000*1</f>
        <v>1.9548699999999999</v>
      </c>
      <c r="H45" s="106">
        <f>12612.92/1000*1</f>
        <v>12.612920000000001</v>
      </c>
      <c r="I45" s="89">
        <f t="shared" si="14"/>
        <v>-10.658050000000001</v>
      </c>
      <c r="J45" s="26">
        <f t="shared" si="15"/>
        <v>-0.84501051302949681</v>
      </c>
      <c r="K45" s="106">
        <f t="shared" si="26"/>
        <v>0</v>
      </c>
      <c r="L45" s="89">
        <f t="shared" si="16"/>
        <v>-1.9548699999999999</v>
      </c>
      <c r="M45" s="27" t="str">
        <f t="shared" si="17"/>
        <v>N/A</v>
      </c>
      <c r="N45" s="105">
        <f>1954.87/1000*1</f>
        <v>1.9548699999999999</v>
      </c>
      <c r="O45" s="106">
        <f>12612.92/1000*1</f>
        <v>12.612920000000001</v>
      </c>
      <c r="P45" s="89">
        <f t="shared" si="18"/>
        <v>-10.658050000000001</v>
      </c>
      <c r="Q45" s="26">
        <f t="shared" si="19"/>
        <v>-0.84501051302949681</v>
      </c>
      <c r="R45" s="106">
        <f t="shared" si="27"/>
        <v>0</v>
      </c>
      <c r="S45" s="89">
        <f t="shared" si="20"/>
        <v>-1.9548699999999999</v>
      </c>
      <c r="T45" s="27" t="str">
        <f t="shared" si="21"/>
        <v>N/A</v>
      </c>
      <c r="U45" s="105">
        <f>4455.79/1000*1</f>
        <v>4.4557900000000004</v>
      </c>
      <c r="V45" s="106">
        <f>12612.92/1000*1</f>
        <v>12.612920000000001</v>
      </c>
      <c r="W45" s="89">
        <f t="shared" si="22"/>
        <v>-8.1571300000000004</v>
      </c>
      <c r="X45" s="26">
        <f t="shared" si="23"/>
        <v>-0.64672811688332277</v>
      </c>
      <c r="Y45" s="106">
        <f>2500.92/1000*1</f>
        <v>2.5009200000000003</v>
      </c>
      <c r="Z45" s="89">
        <f t="shared" si="24"/>
        <v>-1.9548700000000001</v>
      </c>
      <c r="AA45" s="27">
        <f t="shared" si="25"/>
        <v>-0.78166034899157111</v>
      </c>
      <c r="AB45" s="107">
        <f>2500.92/1000*1</f>
        <v>2.5009200000000003</v>
      </c>
      <c r="AC45" s="1"/>
      <c r="AD45" s="1"/>
      <c r="AE45" s="1"/>
      <c r="AF45" s="1"/>
      <c r="AG45" s="1"/>
      <c r="AH45" s="1"/>
      <c r="AI45" s="1"/>
    </row>
    <row r="46" spans="1:35" ht="14.25" hidden="1" outlineLevel="1" x14ac:dyDescent="0.2">
      <c r="A46" s="1"/>
      <c r="B46" s="3"/>
      <c r="C46" s="3"/>
      <c r="D46" s="3" t="s">
        <v>59</v>
      </c>
      <c r="E46" s="3" t="s">
        <v>56</v>
      </c>
      <c r="F46" s="3">
        <v>840</v>
      </c>
      <c r="G46" s="105">
        <f t="shared" ref="G46:H48" si="28">0/1000*1</f>
        <v>0</v>
      </c>
      <c r="H46" s="106">
        <f t="shared" si="28"/>
        <v>0</v>
      </c>
      <c r="I46" s="89">
        <f t="shared" si="14"/>
        <v>0</v>
      </c>
      <c r="J46" s="26" t="str">
        <f t="shared" si="15"/>
        <v>N/A</v>
      </c>
      <c r="K46" s="106">
        <f t="shared" si="26"/>
        <v>0</v>
      </c>
      <c r="L46" s="89">
        <f t="shared" si="16"/>
        <v>0</v>
      </c>
      <c r="M46" s="27" t="str">
        <f t="shared" si="17"/>
        <v>N/A</v>
      </c>
      <c r="N46" s="105">
        <f>0/1000*1</f>
        <v>0</v>
      </c>
      <c r="O46" s="106">
        <f>0/1000*1</f>
        <v>0</v>
      </c>
      <c r="P46" s="89">
        <f t="shared" si="18"/>
        <v>0</v>
      </c>
      <c r="Q46" s="26" t="str">
        <f t="shared" si="19"/>
        <v>N/A</v>
      </c>
      <c r="R46" s="106">
        <f t="shared" si="27"/>
        <v>0</v>
      </c>
      <c r="S46" s="89">
        <f t="shared" si="20"/>
        <v>0</v>
      </c>
      <c r="T46" s="27" t="str">
        <f t="shared" si="21"/>
        <v>N/A</v>
      </c>
      <c r="U46" s="105">
        <f>0/1000*1</f>
        <v>0</v>
      </c>
      <c r="V46" s="106">
        <f>0/1000*1</f>
        <v>0</v>
      </c>
      <c r="W46" s="89">
        <f t="shared" si="22"/>
        <v>0</v>
      </c>
      <c r="X46" s="26" t="str">
        <f t="shared" si="23"/>
        <v>N/A</v>
      </c>
      <c r="Y46" s="106">
        <f>0/1000*1</f>
        <v>0</v>
      </c>
      <c r="Z46" s="89">
        <f t="shared" si="24"/>
        <v>0</v>
      </c>
      <c r="AA46" s="27" t="str">
        <f t="shared" si="25"/>
        <v>N/A</v>
      </c>
      <c r="AB46" s="107">
        <f>0/1000*1</f>
        <v>0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"/>
      <c r="C47" s="3"/>
      <c r="D47" s="3" t="s">
        <v>59</v>
      </c>
      <c r="E47" s="3" t="s">
        <v>56</v>
      </c>
      <c r="F47" s="3">
        <v>841</v>
      </c>
      <c r="G47" s="105">
        <f t="shared" si="28"/>
        <v>0</v>
      </c>
      <c r="H47" s="106">
        <f t="shared" si="28"/>
        <v>0</v>
      </c>
      <c r="I47" s="89">
        <f t="shared" si="14"/>
        <v>0</v>
      </c>
      <c r="J47" s="26" t="str">
        <f t="shared" si="15"/>
        <v>N/A</v>
      </c>
      <c r="K47" s="106">
        <f t="shared" si="26"/>
        <v>0</v>
      </c>
      <c r="L47" s="89">
        <f t="shared" si="16"/>
        <v>0</v>
      </c>
      <c r="M47" s="27" t="str">
        <f t="shared" si="17"/>
        <v>N/A</v>
      </c>
      <c r="N47" s="105">
        <f>0/1000*1</f>
        <v>0</v>
      </c>
      <c r="O47" s="106">
        <f>0/1000*1</f>
        <v>0</v>
      </c>
      <c r="P47" s="89">
        <f t="shared" si="18"/>
        <v>0</v>
      </c>
      <c r="Q47" s="26" t="str">
        <f t="shared" si="19"/>
        <v>N/A</v>
      </c>
      <c r="R47" s="106">
        <f t="shared" si="27"/>
        <v>0</v>
      </c>
      <c r="S47" s="89">
        <f t="shared" si="20"/>
        <v>0</v>
      </c>
      <c r="T47" s="27" t="str">
        <f t="shared" si="21"/>
        <v>N/A</v>
      </c>
      <c r="U47" s="105">
        <f>0/1000*1</f>
        <v>0</v>
      </c>
      <c r="V47" s="106">
        <f>0/1000*1</f>
        <v>0</v>
      </c>
      <c r="W47" s="89">
        <f t="shared" si="22"/>
        <v>0</v>
      </c>
      <c r="X47" s="26" t="str">
        <f t="shared" si="23"/>
        <v>N/A</v>
      </c>
      <c r="Y47" s="106">
        <f>0/1000*1</f>
        <v>0</v>
      </c>
      <c r="Z47" s="89">
        <f t="shared" si="24"/>
        <v>0</v>
      </c>
      <c r="AA47" s="27" t="str">
        <f t="shared" si="25"/>
        <v>N/A</v>
      </c>
      <c r="AB47" s="107">
        <f>0/1000*1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"/>
      <c r="C48" s="3"/>
      <c r="D48" s="3" t="s">
        <v>59</v>
      </c>
      <c r="E48" s="3" t="s">
        <v>57</v>
      </c>
      <c r="F48" s="3">
        <v>811</v>
      </c>
      <c r="G48" s="105">
        <f t="shared" si="28"/>
        <v>0</v>
      </c>
      <c r="H48" s="106">
        <f t="shared" si="28"/>
        <v>0</v>
      </c>
      <c r="I48" s="89">
        <f t="shared" si="14"/>
        <v>0</v>
      </c>
      <c r="J48" s="26" t="str">
        <f t="shared" si="15"/>
        <v>N/A</v>
      </c>
      <c r="K48" s="106">
        <f t="shared" si="26"/>
        <v>0</v>
      </c>
      <c r="L48" s="89">
        <f t="shared" si="16"/>
        <v>0</v>
      </c>
      <c r="M48" s="27" t="str">
        <f t="shared" si="17"/>
        <v>N/A</v>
      </c>
      <c r="N48" s="105">
        <f>0/1000*1</f>
        <v>0</v>
      </c>
      <c r="O48" s="106">
        <f>185/1000*1</f>
        <v>0.185</v>
      </c>
      <c r="P48" s="89">
        <f t="shared" si="18"/>
        <v>-0.185</v>
      </c>
      <c r="Q48" s="26">
        <f t="shared" si="19"/>
        <v>-1</v>
      </c>
      <c r="R48" s="106">
        <f t="shared" si="27"/>
        <v>0</v>
      </c>
      <c r="S48" s="89">
        <f t="shared" si="20"/>
        <v>0</v>
      </c>
      <c r="T48" s="27" t="str">
        <f t="shared" si="21"/>
        <v>N/A</v>
      </c>
      <c r="U48" s="105">
        <f>0/1000*1</f>
        <v>0</v>
      </c>
      <c r="V48" s="106">
        <f>15185/1000*1</f>
        <v>15.185</v>
      </c>
      <c r="W48" s="89">
        <f t="shared" si="22"/>
        <v>-15.185</v>
      </c>
      <c r="X48" s="26">
        <f t="shared" si="23"/>
        <v>-1</v>
      </c>
      <c r="Y48" s="106">
        <f>0/1000*1</f>
        <v>0</v>
      </c>
      <c r="Z48" s="89">
        <f t="shared" si="24"/>
        <v>0</v>
      </c>
      <c r="AA48" s="27" t="str">
        <f t="shared" si="25"/>
        <v>N/A</v>
      </c>
      <c r="AB48" s="107">
        <f>0/1000*1</f>
        <v>0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"/>
      <c r="C49" s="3"/>
      <c r="D49" s="3"/>
      <c r="E49" s="3"/>
      <c r="F49" s="3"/>
      <c r="G49" s="105"/>
      <c r="H49" s="106"/>
      <c r="I49" s="89"/>
      <c r="J49" s="26"/>
      <c r="K49" s="106"/>
      <c r="L49" s="89"/>
      <c r="M49" s="27"/>
      <c r="N49" s="105"/>
      <c r="O49" s="106"/>
      <c r="P49" s="89"/>
      <c r="Q49" s="26"/>
      <c r="R49" s="106"/>
      <c r="S49" s="89"/>
      <c r="T49" s="27"/>
      <c r="U49" s="105"/>
      <c r="V49" s="106"/>
      <c r="W49" s="89"/>
      <c r="X49" s="26"/>
      <c r="Y49" s="106"/>
      <c r="Z49" s="89"/>
      <c r="AA49" s="27"/>
      <c r="AB49" s="107"/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"/>
      <c r="C50" s="3"/>
      <c r="D50" s="3"/>
      <c r="E50" s="3"/>
      <c r="F50" s="3"/>
      <c r="G50" s="105"/>
      <c r="H50" s="106"/>
      <c r="I50" s="89"/>
      <c r="J50" s="26"/>
      <c r="K50" s="106"/>
      <c r="L50" s="89"/>
      <c r="M50" s="27"/>
      <c r="N50" s="105"/>
      <c r="O50" s="106"/>
      <c r="P50" s="89"/>
      <c r="Q50" s="26"/>
      <c r="R50" s="106"/>
      <c r="S50" s="89"/>
      <c r="T50" s="27"/>
      <c r="U50" s="105"/>
      <c r="V50" s="106"/>
      <c r="W50" s="89"/>
      <c r="X50" s="26"/>
      <c r="Y50" s="106"/>
      <c r="Z50" s="89"/>
      <c r="AA50" s="27"/>
      <c r="AB50" s="107"/>
      <c r="AC50" s="1"/>
      <c r="AD50" s="1"/>
      <c r="AE50" s="1"/>
      <c r="AF50" s="1"/>
      <c r="AG50" s="1"/>
      <c r="AH50" s="1"/>
      <c r="AI50" s="1"/>
    </row>
    <row r="51" spans="1:35" ht="14.25" collapsed="1" x14ac:dyDescent="0.2">
      <c r="A51" s="1"/>
      <c r="B51" s="3" t="s">
        <v>60</v>
      </c>
      <c r="C51" s="3"/>
      <c r="D51" s="3"/>
      <c r="E51" s="3"/>
      <c r="F51" s="3"/>
      <c r="G51" s="102">
        <f>SUM(G52:G53)</f>
        <v>1.15333</v>
      </c>
      <c r="H51" s="103">
        <f>SUM(H52:H53)</f>
        <v>1.3060799999999999</v>
      </c>
      <c r="I51" s="89">
        <f>G51-H51</f>
        <v>-0.15274999999999994</v>
      </c>
      <c r="J51" s="26">
        <f>IF(ISERROR(I51/H51),"N/A",IF(ABS(I51/H51)&gt;5,"N/A",I51/H51))</f>
        <v>-0.11695301972314097</v>
      </c>
      <c r="K51" s="103">
        <f>SUM(K52:K53)</f>
        <v>0</v>
      </c>
      <c r="L51" s="89">
        <f>K51-G51</f>
        <v>-1.15333</v>
      </c>
      <c r="M51" s="27" t="str">
        <f>IF(ISERROR(L51/K51),"N/A",IF(ABS(L51/K51)&gt;5,"N/A",L51/K51))</f>
        <v>N/A</v>
      </c>
      <c r="N51" s="102">
        <f>SUM(N52:N53)</f>
        <v>3.4684299999999997</v>
      </c>
      <c r="O51" s="103">
        <f>SUM(O52:O53)</f>
        <v>-21.88505</v>
      </c>
      <c r="P51" s="89">
        <f>N51-O51</f>
        <v>25.353479999999998</v>
      </c>
      <c r="Q51" s="26">
        <f>IF(ISERROR(P51/O51),"N/A",IF(ABS(P51/O51)&gt;5,"N/A",P51/O51))</f>
        <v>-1.1584839879278319</v>
      </c>
      <c r="R51" s="103">
        <f>SUM(R52:R53)</f>
        <v>1.15333</v>
      </c>
      <c r="S51" s="89">
        <f>R51-N51</f>
        <v>-2.3150999999999997</v>
      </c>
      <c r="T51" s="27">
        <f>IF(ISERROR(S51/R51),"N/A",IF(ABS(S51/R51)&gt;5,"N/A",S51/R51))</f>
        <v>-2.0073179402252608</v>
      </c>
      <c r="U51" s="102">
        <f>SUM(U52:U53)</f>
        <v>7.0970200000000006</v>
      </c>
      <c r="V51" s="103">
        <f>SUM(V52:V53)</f>
        <v>21.510860000000001</v>
      </c>
      <c r="W51" s="89">
        <f>U51-V51</f>
        <v>-14.41384</v>
      </c>
      <c r="X51" s="26">
        <f>IF(ISERROR(W51/V51),"N/A",IF(ABS(W51/V51)&gt;5,"N/A",W51/V51))</f>
        <v>-0.67007269816269543</v>
      </c>
      <c r="Y51" s="103">
        <f>SUM(Y52:Y53)</f>
        <v>4.7819200000000004</v>
      </c>
      <c r="Z51" s="89">
        <f>Y51-U51</f>
        <v>-2.3151000000000002</v>
      </c>
      <c r="AA51" s="27">
        <f>IF(ISERROR(Z51/Y51),"N/A",IF(ABS(Z51/Y51)&gt;5,"N/A",Z51/Y51))</f>
        <v>-0.48413607923177299</v>
      </c>
      <c r="AB51" s="104">
        <f>SUM(AB52:AB53)</f>
        <v>4.7819200000000004</v>
      </c>
      <c r="AC51" s="1"/>
      <c r="AD51" s="1"/>
      <c r="AE51" s="1"/>
      <c r="AF51" s="1"/>
      <c r="AG51" s="1"/>
      <c r="AH51" s="1"/>
      <c r="AI51" s="1"/>
    </row>
    <row r="52" spans="1:35" ht="14.25" hidden="1" outlineLevel="1" x14ac:dyDescent="0.2">
      <c r="A52" s="1"/>
      <c r="B52" s="3"/>
      <c r="C52" s="3"/>
      <c r="D52" s="3" t="s">
        <v>61</v>
      </c>
      <c r="E52" s="3" t="s">
        <v>51</v>
      </c>
      <c r="F52" s="3">
        <v>850</v>
      </c>
      <c r="G52" s="105">
        <f>1153.33/1000*1</f>
        <v>1.15333</v>
      </c>
      <c r="H52" s="106">
        <f>1306.08/1000*1</f>
        <v>1.3060799999999999</v>
      </c>
      <c r="I52" s="89">
        <f>G52-H52</f>
        <v>-0.15274999999999994</v>
      </c>
      <c r="J52" s="26">
        <f>IF(ISERROR(I52/H52),"N/A",IF(ABS(I52/H52)&gt;5,"N/A",I52/H52))</f>
        <v>-0.11695301972314097</v>
      </c>
      <c r="K52" s="106">
        <f>0/1000*1</f>
        <v>0</v>
      </c>
      <c r="L52" s="89">
        <f>K52-G52</f>
        <v>-1.15333</v>
      </c>
      <c r="M52" s="27" t="str">
        <f>IF(ISERROR(L52/K52),"N/A",IF(ABS(L52/K52)&gt;5,"N/A",L52/K52))</f>
        <v>N/A</v>
      </c>
      <c r="N52" s="105">
        <f>3468.43/1000*1</f>
        <v>3.4684299999999997</v>
      </c>
      <c r="O52" s="106">
        <f>-21885.05/1000*1</f>
        <v>-21.88505</v>
      </c>
      <c r="P52" s="89">
        <f>N52-O52</f>
        <v>25.353479999999998</v>
      </c>
      <c r="Q52" s="26">
        <f>IF(ISERROR(P52/O52),"N/A",IF(ABS(P52/O52)&gt;5,"N/A",P52/O52))</f>
        <v>-1.1584839879278319</v>
      </c>
      <c r="R52" s="106">
        <f>1153.33/1000*1</f>
        <v>1.15333</v>
      </c>
      <c r="S52" s="89">
        <f>R52-N52</f>
        <v>-2.3150999999999997</v>
      </c>
      <c r="T52" s="27">
        <f>IF(ISERROR(S52/R52),"N/A",IF(ABS(S52/R52)&gt;5,"N/A",S52/R52))</f>
        <v>-2.0073179402252608</v>
      </c>
      <c r="U52" s="105">
        <f>7097.02/1000*1</f>
        <v>7.0970200000000006</v>
      </c>
      <c r="V52" s="106">
        <f>21510.86/1000*1</f>
        <v>21.510860000000001</v>
      </c>
      <c r="W52" s="89">
        <f>U52-V52</f>
        <v>-14.41384</v>
      </c>
      <c r="X52" s="26">
        <f>IF(ISERROR(W52/V52),"N/A",IF(ABS(W52/V52)&gt;5,"N/A",W52/V52))</f>
        <v>-0.67007269816269543</v>
      </c>
      <c r="Y52" s="106">
        <f>4781.92/1000*1</f>
        <v>4.7819200000000004</v>
      </c>
      <c r="Z52" s="89">
        <f>Y52-U52</f>
        <v>-2.3151000000000002</v>
      </c>
      <c r="AA52" s="27">
        <f>IF(ISERROR(Z52/Y52),"N/A",IF(ABS(Z52/Y52)&gt;5,"N/A",Z52/Y52))</f>
        <v>-0.48413607923177299</v>
      </c>
      <c r="AB52" s="107">
        <f>4781.92/1000*1</f>
        <v>4.7819200000000004</v>
      </c>
      <c r="AC52" s="1"/>
      <c r="AD52" s="1"/>
      <c r="AE52" s="1"/>
      <c r="AF52" s="1"/>
      <c r="AG52" s="1"/>
      <c r="AH52" s="1"/>
      <c r="AI52" s="1"/>
    </row>
    <row r="53" spans="1:35" ht="14.25" hidden="1" outlineLevel="1" x14ac:dyDescent="0.2">
      <c r="A53" s="1"/>
      <c r="B53" s="3"/>
      <c r="C53" s="3"/>
      <c r="D53" s="3"/>
      <c r="E53" s="3"/>
      <c r="F53" s="3"/>
      <c r="G53" s="105"/>
      <c r="H53" s="106"/>
      <c r="I53" s="89"/>
      <c r="J53" s="26"/>
      <c r="K53" s="106"/>
      <c r="L53" s="89"/>
      <c r="M53" s="27"/>
      <c r="N53" s="105"/>
      <c r="O53" s="106"/>
      <c r="P53" s="89"/>
      <c r="Q53" s="26"/>
      <c r="R53" s="106"/>
      <c r="S53" s="89"/>
      <c r="T53" s="27"/>
      <c r="U53" s="105"/>
      <c r="V53" s="106"/>
      <c r="W53" s="89"/>
      <c r="X53" s="26"/>
      <c r="Y53" s="106"/>
      <c r="Z53" s="89"/>
      <c r="AA53" s="27"/>
      <c r="AB53" s="107"/>
      <c r="AC53" s="1"/>
      <c r="AD53" s="1"/>
      <c r="AE53" s="1"/>
      <c r="AF53" s="1"/>
      <c r="AG53" s="1"/>
      <c r="AH53" s="1"/>
      <c r="AI53" s="1"/>
    </row>
    <row r="54" spans="1:35" ht="14.25" hidden="1" outlineLevel="1" x14ac:dyDescent="0.2">
      <c r="A54" s="1"/>
      <c r="B54" s="3"/>
      <c r="C54" s="3"/>
      <c r="D54" s="3"/>
      <c r="E54" s="3"/>
      <c r="F54" s="3"/>
      <c r="G54" s="105"/>
      <c r="H54" s="106"/>
      <c r="I54" s="89"/>
      <c r="J54" s="26"/>
      <c r="K54" s="106"/>
      <c r="L54" s="89"/>
      <c r="M54" s="27"/>
      <c r="N54" s="105"/>
      <c r="O54" s="106"/>
      <c r="P54" s="89"/>
      <c r="Q54" s="26"/>
      <c r="R54" s="106"/>
      <c r="S54" s="89"/>
      <c r="T54" s="27"/>
      <c r="U54" s="105"/>
      <c r="V54" s="106"/>
      <c r="W54" s="89"/>
      <c r="X54" s="26"/>
      <c r="Y54" s="106"/>
      <c r="Z54" s="89"/>
      <c r="AA54" s="27"/>
      <c r="AB54" s="107"/>
      <c r="AC54" s="1"/>
      <c r="AD54" s="1"/>
      <c r="AE54" s="1"/>
      <c r="AF54" s="1"/>
      <c r="AG54" s="1"/>
      <c r="AH54" s="1"/>
      <c r="AI54" s="1"/>
    </row>
    <row r="55" spans="1:35" ht="14.25" collapsed="1" x14ac:dyDescent="0.2">
      <c r="A55" s="1"/>
      <c r="B55" s="3" t="s">
        <v>62</v>
      </c>
      <c r="C55" s="3"/>
      <c r="D55" s="3"/>
      <c r="E55" s="3"/>
      <c r="F55" s="3"/>
      <c r="G55" s="102">
        <f>SUM(G56:G60)</f>
        <v>846.31024000000002</v>
      </c>
      <c r="H55" s="103">
        <f>SUM(H56:H60)</f>
        <v>1006.23986</v>
      </c>
      <c r="I55" s="89">
        <f>G55-H55</f>
        <v>-159.92962</v>
      </c>
      <c r="J55" s="26">
        <f>IF(ISERROR(I55/H55),"N/A",IF(ABS(I55/H55)&gt;5,"N/A",I55/H55))</f>
        <v>-0.15893786994285836</v>
      </c>
      <c r="K55" s="103">
        <f>SUM(K56:K60)</f>
        <v>755.71014914400007</v>
      </c>
      <c r="L55" s="89">
        <f>K55-G55</f>
        <v>-90.600090855999952</v>
      </c>
      <c r="M55" s="27">
        <f>IF(ISERROR(L55/K55),"N/A",IF(ABS(L55/K55)&gt;5,"N/A",L55/K55))</f>
        <v>-0.11988735490534766</v>
      </c>
      <c r="N55" s="102">
        <f>SUM(N56:N60)</f>
        <v>2567.5111499999998</v>
      </c>
      <c r="O55" s="103">
        <f>SUM(O56:O60)</f>
        <v>3332.4767999999999</v>
      </c>
      <c r="P55" s="89">
        <f>N55-O55</f>
        <v>-764.9656500000001</v>
      </c>
      <c r="Q55" s="26">
        <f>IF(ISERROR(P55/O55),"N/A",IF(ABS(P55/O55)&gt;5,"N/A",P55/O55))</f>
        <v>-0.22954867982876884</v>
      </c>
      <c r="R55" s="103">
        <f>SUM(R56:R60)</f>
        <v>2450.480928724</v>
      </c>
      <c r="S55" s="89">
        <f>R55-N55</f>
        <v>-117.03022127599979</v>
      </c>
      <c r="T55" s="27">
        <f>IF(ISERROR(S55/R55),"N/A",IF(ABS(S55/R55)&gt;5,"N/A",S55/R55))</f>
        <v>-4.7758062470185832E-2</v>
      </c>
      <c r="U55" s="102">
        <f>SUM(U56:U60)</f>
        <v>5557.7234800000006</v>
      </c>
      <c r="V55" s="103">
        <f>SUM(V56:V60)</f>
        <v>6634.6971599999997</v>
      </c>
      <c r="W55" s="89">
        <f>U55-V55</f>
        <v>-1076.9736799999991</v>
      </c>
      <c r="X55" s="26">
        <f>IF(ISERROR(W55/V55),"N/A",IF(ABS(W55/V55)&gt;5,"N/A",W55/V55))</f>
        <v>-0.1623244669693408</v>
      </c>
      <c r="Y55" s="103">
        <f>SUM(Y56:Y60)</f>
        <v>5440.6932587239999</v>
      </c>
      <c r="Z55" s="89">
        <f>Y55-U55</f>
        <v>-117.0302212760007</v>
      </c>
      <c r="AA55" s="27">
        <f>IF(ISERROR(Z55/Y55),"N/A",IF(ABS(Z55/Y55)&gt;5,"N/A",Z55/Y55))</f>
        <v>-2.1510167125916538E-2</v>
      </c>
      <c r="AB55" s="104">
        <f>SUM(AB56:AB60)</f>
        <v>11520.931836864</v>
      </c>
      <c r="AC55" s="1"/>
      <c r="AD55" s="1"/>
      <c r="AE55" s="1"/>
      <c r="AF55" s="1"/>
      <c r="AG55" s="1"/>
      <c r="AH55" s="1"/>
      <c r="AI55" s="1"/>
    </row>
    <row r="56" spans="1:35" ht="14.25" hidden="1" outlineLevel="1" x14ac:dyDescent="0.2">
      <c r="A56" s="1"/>
      <c r="B56" s="3"/>
      <c r="C56" s="3"/>
      <c r="D56" s="3" t="s">
        <v>62</v>
      </c>
      <c r="E56" s="3" t="s">
        <v>51</v>
      </c>
      <c r="F56" s="3">
        <v>860</v>
      </c>
      <c r="G56" s="105">
        <f>337727.56/1000*1</f>
        <v>337.72755999999998</v>
      </c>
      <c r="H56" s="106">
        <f>429003.09/1000*1</f>
        <v>429.00309000000004</v>
      </c>
      <c r="I56" s="89">
        <f>G56-H56</f>
        <v>-91.27553000000006</v>
      </c>
      <c r="J56" s="26">
        <f>IF(ISERROR(I56/H56),"N/A",IF(ABS(I56/H56)&gt;5,"N/A",I56/H56))</f>
        <v>-0.21276194071236187</v>
      </c>
      <c r="K56" s="106">
        <f>312691.795546/1000*1</f>
        <v>312.69179554599998</v>
      </c>
      <c r="L56" s="89">
        <f>K56-G56</f>
        <v>-25.035764454000002</v>
      </c>
      <c r="M56" s="27">
        <f>IF(ISERROR(L56/K56),"N/A",IF(ABS(L56/K56)&gt;5,"N/A",L56/K56))</f>
        <v>-8.0065306511430359E-2</v>
      </c>
      <c r="N56" s="105">
        <f>1111549.39/1000*1</f>
        <v>1111.5493899999999</v>
      </c>
      <c r="O56" s="106">
        <f>1357137.59/1000*1</f>
        <v>1357.13759</v>
      </c>
      <c r="P56" s="89">
        <f>N56-O56</f>
        <v>-245.58820000000014</v>
      </c>
      <c r="Q56" s="26">
        <f>IF(ISERROR(P56/O56),"N/A",IF(ABS(P56/O56)&gt;5,"N/A",P56/O56))</f>
        <v>-0.18096042863273734</v>
      </c>
      <c r="R56" s="106">
        <f>1108879.809928/1000*1</f>
        <v>1108.879809928</v>
      </c>
      <c r="S56" s="89">
        <f>R56-N56</f>
        <v>-2.669580071999917</v>
      </c>
      <c r="T56" s="27">
        <f>IF(ISERROR(S56/R56),"N/A",IF(ABS(S56/R56)&gt;5,"N/A",S56/R56))</f>
        <v>-2.4074566495833789E-3</v>
      </c>
      <c r="U56" s="105">
        <f>2640669.5/1000*1</f>
        <v>2640.6695</v>
      </c>
      <c r="V56" s="106">
        <f>2657926.7/1000*1</f>
        <v>2657.9267</v>
      </c>
      <c r="W56" s="89">
        <f>U56-V56</f>
        <v>-17.257200000000012</v>
      </c>
      <c r="X56" s="26">
        <f>IF(ISERROR(W56/V56),"N/A",IF(ABS(W56/V56)&gt;5,"N/A",W56/V56))</f>
        <v>-6.4927298408944132E-3</v>
      </c>
      <c r="Y56" s="106">
        <f>2637999.919928/1000*1</f>
        <v>2637.9999199280001</v>
      </c>
      <c r="Z56" s="89">
        <f>Y56-U56</f>
        <v>-2.669580071999917</v>
      </c>
      <c r="AA56" s="27">
        <f>IF(ISERROR(Z56/Y56),"N/A",IF(ABS(Z56/Y56)&gt;5,"N/A",Z56/Y56))</f>
        <v>-1.011971248305716E-3</v>
      </c>
      <c r="AB56" s="107">
        <f>5598521.805656/1000*1</f>
        <v>5598.5218056559997</v>
      </c>
      <c r="AC56" s="1"/>
      <c r="AD56" s="1"/>
      <c r="AE56" s="1"/>
      <c r="AF56" s="1"/>
      <c r="AG56" s="1"/>
      <c r="AH56" s="1"/>
      <c r="AI56" s="1"/>
    </row>
    <row r="57" spans="1:35" ht="14.25" hidden="1" outlineLevel="1" x14ac:dyDescent="0.2">
      <c r="A57" s="1"/>
      <c r="B57" s="3"/>
      <c r="C57" s="3"/>
      <c r="D57" s="3" t="s">
        <v>62</v>
      </c>
      <c r="E57" s="3" t="s">
        <v>51</v>
      </c>
      <c r="F57" s="3">
        <v>861</v>
      </c>
      <c r="G57" s="105">
        <f>508582.68/1000*1</f>
        <v>508.58267999999998</v>
      </c>
      <c r="H57" s="106">
        <f>577236.77/1000*1</f>
        <v>577.23676999999998</v>
      </c>
      <c r="I57" s="89">
        <f>G57-H57</f>
        <v>-68.654089999999997</v>
      </c>
      <c r="J57" s="26">
        <f>IF(ISERROR(I57/H57),"N/A",IF(ABS(I57/H57)&gt;5,"N/A",I57/H57))</f>
        <v>-0.11893575317455955</v>
      </c>
      <c r="K57" s="106">
        <f>443018.353598/1000*1</f>
        <v>443.01835359800003</v>
      </c>
      <c r="L57" s="89">
        <f>K57-G57</f>
        <v>-65.564326401999949</v>
      </c>
      <c r="M57" s="27">
        <f>IF(ISERROR(L57/K57),"N/A",IF(ABS(L57/K57)&gt;5,"N/A",L57/K57))</f>
        <v>-0.14799460534651748</v>
      </c>
      <c r="N57" s="105">
        <f>1455961.76/1000*1</f>
        <v>1455.9617599999999</v>
      </c>
      <c r="O57" s="106">
        <f>1877054.18/1000*1</f>
        <v>1877.0541799999999</v>
      </c>
      <c r="P57" s="89">
        <f>N57-O57</f>
        <v>-421.09241999999995</v>
      </c>
      <c r="Q57" s="26">
        <f>IF(ISERROR(P57/O57),"N/A",IF(ABS(P57/O57)&gt;5,"N/A",P57/O57))</f>
        <v>-0.2243368489235617</v>
      </c>
      <c r="R57" s="106">
        <f>1341601.118796/1000*1</f>
        <v>1341.601118796</v>
      </c>
      <c r="S57" s="89">
        <f>R57-N57</f>
        <v>-114.36064120399988</v>
      </c>
      <c r="T57" s="27">
        <f>IF(ISERROR(S57/R57),"N/A",IF(ABS(S57/R57)&gt;5,"N/A",S57/R57))</f>
        <v>-8.5241909537635996E-2</v>
      </c>
      <c r="U57" s="105">
        <f>2917053.98/1000*1</f>
        <v>2917.0539800000001</v>
      </c>
      <c r="V57" s="106">
        <f>3586880.84/1000*1</f>
        <v>3586.8808399999998</v>
      </c>
      <c r="W57" s="89">
        <f>U57-V57</f>
        <v>-669.82685999999967</v>
      </c>
      <c r="X57" s="26">
        <f>IF(ISERROR(W57/V57),"N/A",IF(ABS(W57/V57)&gt;5,"N/A",W57/V57))</f>
        <v>-0.18674354958499254</v>
      </c>
      <c r="Y57" s="106">
        <f>2802693.338796/1000*1</f>
        <v>2802.6933387959998</v>
      </c>
      <c r="Z57" s="89">
        <f>Y57-U57</f>
        <v>-114.36064120400033</v>
      </c>
      <c r="AA57" s="27">
        <f>IF(ISERROR(Z57/Y57),"N/A",IF(ABS(Z57/Y57)&gt;5,"N/A",Z57/Y57))</f>
        <v>-4.0803836659892359E-2</v>
      </c>
      <c r="AB57" s="107">
        <f>5922410.031208/1000*1</f>
        <v>5922.410031208</v>
      </c>
      <c r="AC57" s="1"/>
      <c r="AD57" s="1"/>
      <c r="AE57" s="1"/>
      <c r="AF57" s="1"/>
      <c r="AG57" s="1"/>
      <c r="AH57" s="1"/>
      <c r="AI57" s="1"/>
    </row>
    <row r="58" spans="1:35" ht="14.25" hidden="1" outlineLevel="1" x14ac:dyDescent="0.2">
      <c r="A58" s="1"/>
      <c r="B58" s="3"/>
      <c r="C58" s="3"/>
      <c r="D58" s="3" t="s">
        <v>62</v>
      </c>
      <c r="E58" s="3" t="s">
        <v>52</v>
      </c>
      <c r="F58" s="3">
        <v>860</v>
      </c>
      <c r="G58" s="105">
        <f>0/1000*1</f>
        <v>0</v>
      </c>
      <c r="H58" s="106">
        <f>0/1000*1</f>
        <v>0</v>
      </c>
      <c r="I58" s="89">
        <f>G58-H58</f>
        <v>0</v>
      </c>
      <c r="J58" s="26" t="str">
        <f>IF(ISERROR(I58/H58),"N/A",IF(ABS(I58/H58)&gt;5,"N/A",I58/H58))</f>
        <v>N/A</v>
      </c>
      <c r="K58" s="106">
        <f>0/1000*1</f>
        <v>0</v>
      </c>
      <c r="L58" s="89">
        <f>K58-G58</f>
        <v>0</v>
      </c>
      <c r="M58" s="27" t="str">
        <f>IF(ISERROR(L58/K58),"N/A",IF(ABS(L58/K58)&gt;5,"N/A",L58/K58))</f>
        <v>N/A</v>
      </c>
      <c r="N58" s="105">
        <f>0/1000*1</f>
        <v>0</v>
      </c>
      <c r="O58" s="106">
        <f>1083.5/1000*1</f>
        <v>1.0834999999999999</v>
      </c>
      <c r="P58" s="89">
        <f>N58-O58</f>
        <v>-1.0834999999999999</v>
      </c>
      <c r="Q58" s="26">
        <f>IF(ISERROR(P58/O58),"N/A",IF(ABS(P58/O58)&gt;5,"N/A",P58/O58))</f>
        <v>-1</v>
      </c>
      <c r="R58" s="106">
        <f>0/1000*1</f>
        <v>0</v>
      </c>
      <c r="S58" s="89">
        <f>R58-N58</f>
        <v>0</v>
      </c>
      <c r="T58" s="27" t="str">
        <f>IF(ISERROR(S58/R58),"N/A",IF(ABS(S58/R58)&gt;5,"N/A",S58/R58))</f>
        <v>N/A</v>
      </c>
      <c r="U58" s="105">
        <f>0/1000*1</f>
        <v>0</v>
      </c>
      <c r="V58" s="106">
        <f>1083.5/1000*1</f>
        <v>1.0834999999999999</v>
      </c>
      <c r="W58" s="89">
        <f>U58-V58</f>
        <v>-1.0834999999999999</v>
      </c>
      <c r="X58" s="26">
        <f>IF(ISERROR(W58/V58),"N/A",IF(ABS(W58/V58)&gt;5,"N/A",W58/V58))</f>
        <v>-1</v>
      </c>
      <c r="Y58" s="106">
        <f>0/1000*1</f>
        <v>0</v>
      </c>
      <c r="Z58" s="89">
        <f>Y58-U58</f>
        <v>0</v>
      </c>
      <c r="AA58" s="27" t="str">
        <f>IF(ISERROR(Z58/Y58),"N/A",IF(ABS(Z58/Y58)&gt;5,"N/A",Z58/Y58))</f>
        <v>N/A</v>
      </c>
      <c r="AB58" s="107">
        <f>0/1000*1</f>
        <v>0</v>
      </c>
      <c r="AC58" s="1"/>
      <c r="AD58" s="1"/>
      <c r="AE58" s="1"/>
      <c r="AF58" s="1"/>
      <c r="AG58" s="1"/>
      <c r="AH58" s="1"/>
      <c r="AI58" s="1"/>
    </row>
    <row r="59" spans="1:35" ht="14.25" hidden="1" outlineLevel="1" x14ac:dyDescent="0.2">
      <c r="A59" s="1"/>
      <c r="B59" s="3"/>
      <c r="C59" s="3"/>
      <c r="D59" s="3" t="s">
        <v>62</v>
      </c>
      <c r="E59" s="3" t="s">
        <v>52</v>
      </c>
      <c r="F59" s="3">
        <v>861</v>
      </c>
      <c r="G59" s="105">
        <f>0/1000*1</f>
        <v>0</v>
      </c>
      <c r="H59" s="106">
        <f>0/1000*1</f>
        <v>0</v>
      </c>
      <c r="I59" s="89">
        <f>G59-H59</f>
        <v>0</v>
      </c>
      <c r="J59" s="26" t="str">
        <f>IF(ISERROR(I59/H59),"N/A",IF(ABS(I59/H59)&gt;5,"N/A",I59/H59))</f>
        <v>N/A</v>
      </c>
      <c r="K59" s="106">
        <f>0/1000*1</f>
        <v>0</v>
      </c>
      <c r="L59" s="89">
        <f>K59-G59</f>
        <v>0</v>
      </c>
      <c r="M59" s="27" t="str">
        <f>IF(ISERROR(L59/K59),"N/A",IF(ABS(L59/K59)&gt;5,"N/A",L59/K59))</f>
        <v>N/A</v>
      </c>
      <c r="N59" s="105">
        <f>0/1000*1</f>
        <v>0</v>
      </c>
      <c r="O59" s="106">
        <f>97201.53/1000*1</f>
        <v>97.201530000000005</v>
      </c>
      <c r="P59" s="89">
        <f>N59-O59</f>
        <v>-97.201530000000005</v>
      </c>
      <c r="Q59" s="26">
        <f>IF(ISERROR(P59/O59),"N/A",IF(ABS(P59/O59)&gt;5,"N/A",P59/O59))</f>
        <v>-1</v>
      </c>
      <c r="R59" s="106">
        <f>0/1000*1</f>
        <v>0</v>
      </c>
      <c r="S59" s="89">
        <f>R59-N59</f>
        <v>0</v>
      </c>
      <c r="T59" s="27" t="str">
        <f>IF(ISERROR(S59/R59),"N/A",IF(ABS(S59/R59)&gt;5,"N/A",S59/R59))</f>
        <v>N/A</v>
      </c>
      <c r="U59" s="105">
        <f>0/1000*1</f>
        <v>0</v>
      </c>
      <c r="V59" s="106">
        <f>388806.12/1000*1</f>
        <v>388.80612000000002</v>
      </c>
      <c r="W59" s="89">
        <f>U59-V59</f>
        <v>-388.80612000000002</v>
      </c>
      <c r="X59" s="26">
        <f>IF(ISERROR(W59/V59),"N/A",IF(ABS(W59/V59)&gt;5,"N/A",W59/V59))</f>
        <v>-1</v>
      </c>
      <c r="Y59" s="106">
        <f>0/1000*1</f>
        <v>0</v>
      </c>
      <c r="Z59" s="89">
        <f>Y59-U59</f>
        <v>0</v>
      </c>
      <c r="AA59" s="27" t="str">
        <f>IF(ISERROR(Z59/Y59),"N/A",IF(ABS(Z59/Y59)&gt;5,"N/A",Z59/Y59))</f>
        <v>N/A</v>
      </c>
      <c r="AB59" s="107">
        <f>0/1000*1</f>
        <v>0</v>
      </c>
      <c r="AC59" s="1"/>
      <c r="AD59" s="1"/>
      <c r="AE59" s="1"/>
      <c r="AF59" s="1"/>
      <c r="AG59" s="1"/>
      <c r="AH59" s="1"/>
      <c r="AI59" s="1"/>
    </row>
    <row r="60" spans="1:35" ht="14.25" hidden="1" outlineLevel="1" x14ac:dyDescent="0.2">
      <c r="A60" s="1"/>
      <c r="B60" s="3"/>
      <c r="C60" s="3"/>
      <c r="D60" s="3"/>
      <c r="E60" s="3"/>
      <c r="F60" s="3"/>
      <c r="G60" s="105"/>
      <c r="H60" s="106"/>
      <c r="I60" s="89"/>
      <c r="J60" s="26"/>
      <c r="K60" s="106"/>
      <c r="L60" s="89"/>
      <c r="M60" s="27"/>
      <c r="N60" s="105"/>
      <c r="O60" s="106"/>
      <c r="P60" s="89"/>
      <c r="Q60" s="26"/>
      <c r="R60" s="106"/>
      <c r="S60" s="89"/>
      <c r="T60" s="27"/>
      <c r="U60" s="105"/>
      <c r="V60" s="106"/>
      <c r="W60" s="89"/>
      <c r="X60" s="26"/>
      <c r="Y60" s="106"/>
      <c r="Z60" s="89"/>
      <c r="AA60" s="27"/>
      <c r="AB60" s="107"/>
      <c r="AC60" s="1"/>
      <c r="AD60" s="1"/>
      <c r="AE60" s="1"/>
      <c r="AF60" s="1"/>
      <c r="AG60" s="1"/>
      <c r="AH60" s="1"/>
      <c r="AI60" s="1"/>
    </row>
    <row r="61" spans="1:35" ht="14.25" hidden="1" outlineLevel="1" x14ac:dyDescent="0.2">
      <c r="A61" s="1"/>
      <c r="B61" s="3"/>
      <c r="C61" s="3"/>
      <c r="D61" s="3"/>
      <c r="E61" s="3"/>
      <c r="F61" s="3"/>
      <c r="G61" s="105"/>
      <c r="H61" s="106"/>
      <c r="I61" s="89"/>
      <c r="J61" s="26"/>
      <c r="K61" s="106"/>
      <c r="L61" s="89"/>
      <c r="M61" s="27"/>
      <c r="N61" s="105"/>
      <c r="O61" s="106"/>
      <c r="P61" s="89"/>
      <c r="Q61" s="26"/>
      <c r="R61" s="106"/>
      <c r="S61" s="89"/>
      <c r="T61" s="27"/>
      <c r="U61" s="105"/>
      <c r="V61" s="106"/>
      <c r="W61" s="89"/>
      <c r="X61" s="26"/>
      <c r="Y61" s="106"/>
      <c r="Z61" s="89"/>
      <c r="AA61" s="27"/>
      <c r="AB61" s="107"/>
      <c r="AC61" s="1"/>
      <c r="AD61" s="1"/>
      <c r="AE61" s="1"/>
      <c r="AF61" s="1"/>
      <c r="AG61" s="1"/>
      <c r="AH61" s="1"/>
      <c r="AI61" s="1"/>
    </row>
    <row r="62" spans="1:35" ht="14.25" collapsed="1" x14ac:dyDescent="0.2">
      <c r="A62" s="1"/>
      <c r="B62" s="3" t="s">
        <v>63</v>
      </c>
      <c r="C62" s="3"/>
      <c r="D62" s="3"/>
      <c r="E62" s="3"/>
      <c r="F62" s="3"/>
      <c r="G62" s="102">
        <f>SUM(G63:G66)</f>
        <v>49.825940000000003</v>
      </c>
      <c r="H62" s="103">
        <f>SUM(H63:H66)</f>
        <v>47.620770000000007</v>
      </c>
      <c r="I62" s="89">
        <f>G62-H62</f>
        <v>2.2051699999999954</v>
      </c>
      <c r="J62" s="26">
        <f>IF(ISERROR(I62/H62),"N/A",IF(ABS(I62/H62)&gt;5,"N/A",I62/H62))</f>
        <v>4.6306895079604865E-2</v>
      </c>
      <c r="K62" s="103">
        <f>SUM(K63:K66)</f>
        <v>92.011118199999999</v>
      </c>
      <c r="L62" s="89">
        <f>K62-G62</f>
        <v>42.185178199999996</v>
      </c>
      <c r="M62" s="27">
        <f>IF(ISERROR(L62/K62),"N/A",IF(ABS(L62/K62)&gt;5,"N/A",L62/K62))</f>
        <v>0.45847913844829241</v>
      </c>
      <c r="N62" s="102">
        <f>SUM(N63:N66)</f>
        <v>324.08538000000004</v>
      </c>
      <c r="O62" s="103">
        <f>SUM(O63:O66)</f>
        <v>112.59281999999999</v>
      </c>
      <c r="P62" s="89">
        <f>N62-O62</f>
        <v>211.49256000000005</v>
      </c>
      <c r="Q62" s="26">
        <f>IF(ISERROR(P62/O62),"N/A",IF(ABS(P62/O62)&gt;5,"N/A",P62/O62))</f>
        <v>1.8783840745795342</v>
      </c>
      <c r="R62" s="103">
        <f>SUM(R63:R66)</f>
        <v>327.35015598400003</v>
      </c>
      <c r="S62" s="89">
        <f>R62-N62</f>
        <v>3.2647759839999821</v>
      </c>
      <c r="T62" s="27">
        <f>IF(ISERROR(S62/R62),"N/A",IF(ABS(S62/R62)&gt;5,"N/A",S62/R62))</f>
        <v>9.973344824554033E-3</v>
      </c>
      <c r="U62" s="102">
        <f>SUM(U63:U66)</f>
        <v>838.23051999999996</v>
      </c>
      <c r="V62" s="103">
        <f>SUM(V63:V66)</f>
        <v>236.60022000000001</v>
      </c>
      <c r="W62" s="89">
        <f>U62-V62</f>
        <v>601.63029999999992</v>
      </c>
      <c r="X62" s="26">
        <f>IF(ISERROR(W62/V62),"N/A",IF(ABS(W62/V62)&gt;5,"N/A",W62/V62))</f>
        <v>2.5428137809846496</v>
      </c>
      <c r="Y62" s="103">
        <f>SUM(Y63:Y66)</f>
        <v>841.49529598399999</v>
      </c>
      <c r="Z62" s="89">
        <f>Y62-U62</f>
        <v>3.264775984000039</v>
      </c>
      <c r="AA62" s="27">
        <f>IF(ISERROR(Z62/Y62),"N/A",IF(ABS(Z62/Y62)&gt;5,"N/A",Z62/Y62))</f>
        <v>3.8797317104219613E-3</v>
      </c>
      <c r="AB62" s="104">
        <f>SUM(AB63:AB66)</f>
        <v>1709.0655405690002</v>
      </c>
      <c r="AC62" s="1"/>
      <c r="AD62" s="1"/>
      <c r="AE62" s="1"/>
      <c r="AF62" s="1"/>
      <c r="AG62" s="1"/>
      <c r="AH62" s="1"/>
      <c r="AI62" s="1"/>
    </row>
    <row r="63" spans="1:35" ht="14.25" hidden="1" outlineLevel="1" x14ac:dyDescent="0.2">
      <c r="A63" s="1"/>
      <c r="B63" s="3"/>
      <c r="C63" s="3"/>
      <c r="D63" s="3" t="s">
        <v>64</v>
      </c>
      <c r="E63" s="3" t="s">
        <v>51</v>
      </c>
      <c r="F63" s="3">
        <v>640</v>
      </c>
      <c r="G63" s="105">
        <f>11.03/1000*1</f>
        <v>1.103E-2</v>
      </c>
      <c r="H63" s="106">
        <f>2939.03/1000*1</f>
        <v>2.9390300000000003</v>
      </c>
      <c r="I63" s="89">
        <f>G63-H63</f>
        <v>-2.9280000000000004</v>
      </c>
      <c r="J63" s="26">
        <f>IF(ISERROR(I63/H63),"N/A",IF(ABS(I63/H63)&gt;5,"N/A",I63/H63))</f>
        <v>-0.99624706110519456</v>
      </c>
      <c r="K63" s="106">
        <f>0/1000*1</f>
        <v>0</v>
      </c>
      <c r="L63" s="89">
        <f>K63-G63</f>
        <v>-1.103E-2</v>
      </c>
      <c r="M63" s="27" t="str">
        <f>IF(ISERROR(L63/K63),"N/A",IF(ABS(L63/K63)&gt;5,"N/A",L63/K63))</f>
        <v>N/A</v>
      </c>
      <c r="N63" s="105">
        <f>33.09/1000*1</f>
        <v>3.3090000000000001E-2</v>
      </c>
      <c r="O63" s="106">
        <f>2973.25/1000*1</f>
        <v>2.9732500000000002</v>
      </c>
      <c r="P63" s="89">
        <f>N63-O63</f>
        <v>-2.9401600000000001</v>
      </c>
      <c r="Q63" s="26">
        <f>IF(ISERROR(P63/O63),"N/A",IF(ABS(P63/O63)&gt;5,"N/A",P63/O63))</f>
        <v>-0.98887076431514331</v>
      </c>
      <c r="R63" s="106">
        <f>11.03/1000*1</f>
        <v>1.103E-2</v>
      </c>
      <c r="S63" s="89">
        <f>R63-N63</f>
        <v>-2.2060000000000003E-2</v>
      </c>
      <c r="T63" s="27">
        <f>IF(ISERROR(S63/R63),"N/A",IF(ABS(S63/R63)&gt;5,"N/A",S63/R63))</f>
        <v>-2.0000000000000004</v>
      </c>
      <c r="U63" s="105">
        <f>66.18/1000*1</f>
        <v>6.6180000000000003E-2</v>
      </c>
      <c r="V63" s="106">
        <f>2997.25/1000*1</f>
        <v>2.9972500000000002</v>
      </c>
      <c r="W63" s="89">
        <f>U63-V63</f>
        <v>-2.9310700000000001</v>
      </c>
      <c r="X63" s="26">
        <f>IF(ISERROR(W63/V63),"N/A",IF(ABS(W63/V63)&gt;5,"N/A",W63/V63))</f>
        <v>-0.97791975977979806</v>
      </c>
      <c r="Y63" s="106">
        <f>44.12/1000*1</f>
        <v>4.4119999999999999E-2</v>
      </c>
      <c r="Z63" s="89">
        <f>Y63-U63</f>
        <v>-2.2060000000000003E-2</v>
      </c>
      <c r="AA63" s="27">
        <f>IF(ISERROR(Z63/Y63),"N/A",IF(ABS(Z63/Y63)&gt;5,"N/A",Z63/Y63))</f>
        <v>-0.50000000000000011</v>
      </c>
      <c r="AB63" s="107">
        <f>44.12/1000*1</f>
        <v>4.4119999999999999E-2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"/>
      <c r="C64" s="3"/>
      <c r="D64" s="3" t="s">
        <v>64</v>
      </c>
      <c r="E64" s="3" t="s">
        <v>51</v>
      </c>
      <c r="F64" s="3">
        <v>641</v>
      </c>
      <c r="G64" s="105">
        <f>47310.07/1000*1</f>
        <v>47.310070000000003</v>
      </c>
      <c r="H64" s="106">
        <f>40462.15/1000*1</f>
        <v>40.462150000000001</v>
      </c>
      <c r="I64" s="89">
        <f>G64-H64</f>
        <v>6.847920000000002</v>
      </c>
      <c r="J64" s="26">
        <f>IF(ISERROR(I64/H64),"N/A",IF(ABS(I64/H64)&gt;5,"N/A",I64/H64))</f>
        <v>0.16924261315822323</v>
      </c>
      <c r="K64" s="106">
        <f>92011.1182/1000*1</f>
        <v>92.011118199999999</v>
      </c>
      <c r="L64" s="89">
        <f>K64-G64</f>
        <v>44.701048199999995</v>
      </c>
      <c r="M64" s="27">
        <f>IF(ISERROR(L64/K64),"N/A",IF(ABS(L64/K64)&gt;5,"N/A",L64/K64))</f>
        <v>0.48582224707709287</v>
      </c>
      <c r="N64" s="105">
        <f>315006.59/1000*1</f>
        <v>315.00659000000002</v>
      </c>
      <c r="O64" s="106">
        <f>97916.03/1000*1</f>
        <v>97.916029999999992</v>
      </c>
      <c r="P64" s="89">
        <f>N64-O64</f>
        <v>217.09056000000004</v>
      </c>
      <c r="Q64" s="26">
        <f>IF(ISERROR(P64/O64),"N/A",IF(ABS(P64/O64)&gt;5,"N/A",P64/O64))</f>
        <v>2.2171094967800475</v>
      </c>
      <c r="R64" s="106">
        <f>323685.085984/1000*1</f>
        <v>323.68508598400001</v>
      </c>
      <c r="S64" s="89">
        <f>R64-N64</f>
        <v>8.6784959839999942</v>
      </c>
      <c r="T64" s="27">
        <f>IF(ISERROR(S64/R64),"N/A",IF(ABS(S64/R64)&gt;5,"N/A",S64/R64))</f>
        <v>2.6811541092841635E-2</v>
      </c>
      <c r="U64" s="105">
        <f>818157.69/1000*1</f>
        <v>818.15768999999989</v>
      </c>
      <c r="V64" s="106">
        <f>211183.84/1000*1</f>
        <v>211.18384</v>
      </c>
      <c r="W64" s="89">
        <f>U64-V64</f>
        <v>606.97384999999986</v>
      </c>
      <c r="X64" s="26">
        <f>IF(ISERROR(W64/V64),"N/A",IF(ABS(W64/V64)&gt;5,"N/A",W64/V64))</f>
        <v>2.8741491299713076</v>
      </c>
      <c r="Y64" s="106">
        <f>826836.185984/1000*1</f>
        <v>826.83618598399994</v>
      </c>
      <c r="Z64" s="89">
        <f>Y64-U64</f>
        <v>8.6784959840000511</v>
      </c>
      <c r="AA64" s="27">
        <f>IF(ISERROR(Z64/Y64),"N/A",IF(ABS(Z64/Y64)&gt;5,"N/A",Z64/Y64))</f>
        <v>1.0496028271515427E-2</v>
      </c>
      <c r="AB64" s="107">
        <f>1694406.430569/1000*1</f>
        <v>1694.4064305690001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"/>
      <c r="C65" s="3"/>
      <c r="D65" s="3" t="s">
        <v>64</v>
      </c>
      <c r="E65" s="3" t="s">
        <v>51</v>
      </c>
      <c r="F65" s="3">
        <v>642</v>
      </c>
      <c r="G65" s="105">
        <f>2504.84/1000*1</f>
        <v>2.5048400000000002</v>
      </c>
      <c r="H65" s="106">
        <f>4219.59/1000*1</f>
        <v>4.2195900000000002</v>
      </c>
      <c r="I65" s="89">
        <f>G65-H65</f>
        <v>-1.71475</v>
      </c>
      <c r="J65" s="26">
        <f>IF(ISERROR(I65/H65),"N/A",IF(ABS(I65/H65)&gt;5,"N/A",I65/H65))</f>
        <v>-0.40637834481549151</v>
      </c>
      <c r="K65" s="106">
        <f>0/1000*1</f>
        <v>0</v>
      </c>
      <c r="L65" s="89">
        <f>K65-G65</f>
        <v>-2.5048400000000002</v>
      </c>
      <c r="M65" s="27" t="str">
        <f>IF(ISERROR(L65/K65),"N/A",IF(ABS(L65/K65)&gt;5,"N/A",L65/K65))</f>
        <v>N/A</v>
      </c>
      <c r="N65" s="105">
        <f>9045.7/1000*1</f>
        <v>9.0457000000000001</v>
      </c>
      <c r="O65" s="106">
        <f>11703.54/1000*1</f>
        <v>11.70354</v>
      </c>
      <c r="P65" s="89">
        <f>N65-O65</f>
        <v>-2.6578400000000002</v>
      </c>
      <c r="Q65" s="26">
        <f>IF(ISERROR(P65/O65),"N/A",IF(ABS(P65/O65)&gt;5,"N/A",P65/O65))</f>
        <v>-0.22709710053539359</v>
      </c>
      <c r="R65" s="106">
        <f>3654.04/1000*1</f>
        <v>3.6540400000000002</v>
      </c>
      <c r="S65" s="89">
        <f>R65-N65</f>
        <v>-5.3916599999999999</v>
      </c>
      <c r="T65" s="27">
        <f>IF(ISERROR(S65/R65),"N/A",IF(ABS(S65/R65)&gt;5,"N/A",S65/R65))</f>
        <v>-1.475533929568368</v>
      </c>
      <c r="U65" s="105">
        <f>20006.65/1000*1</f>
        <v>20.00665</v>
      </c>
      <c r="V65" s="106">
        <f>22419.13/1000*1</f>
        <v>22.419130000000003</v>
      </c>
      <c r="W65" s="89">
        <f>U65-V65</f>
        <v>-2.4124800000000022</v>
      </c>
      <c r="X65" s="26">
        <f>IF(ISERROR(W65/V65),"N/A",IF(ABS(W65/V65)&gt;5,"N/A",W65/V65))</f>
        <v>-0.1076081007603775</v>
      </c>
      <c r="Y65" s="106">
        <f>14614.99/1000*1</f>
        <v>14.614990000000001</v>
      </c>
      <c r="Z65" s="89">
        <f>Y65-U65</f>
        <v>-5.3916599999999999</v>
      </c>
      <c r="AA65" s="27">
        <f>IF(ISERROR(Z65/Y65),"N/A",IF(ABS(Z65/Y65)&gt;5,"N/A",Z65/Y65))</f>
        <v>-0.36891301328293757</v>
      </c>
      <c r="AB65" s="107">
        <f>14614.99/1000*1</f>
        <v>14.614990000000001</v>
      </c>
      <c r="AC65" s="1"/>
      <c r="AD65" s="1"/>
      <c r="AE65" s="1"/>
      <c r="AF65" s="1"/>
      <c r="AG65" s="1"/>
      <c r="AH65" s="1"/>
      <c r="AI65" s="1"/>
    </row>
    <row r="66" spans="1:35" ht="14.25" hidden="1" outlineLevel="1" x14ac:dyDescent="0.2">
      <c r="A66" s="1"/>
      <c r="B66" s="3"/>
      <c r="C66" s="3"/>
      <c r="D66" s="3"/>
      <c r="E66" s="3"/>
      <c r="F66" s="3"/>
      <c r="G66" s="105"/>
      <c r="H66" s="106"/>
      <c r="I66" s="89"/>
      <c r="J66" s="26"/>
      <c r="K66" s="106"/>
      <c r="L66" s="89"/>
      <c r="M66" s="27"/>
      <c r="N66" s="105"/>
      <c r="O66" s="106"/>
      <c r="P66" s="89"/>
      <c r="Q66" s="26"/>
      <c r="R66" s="106"/>
      <c r="S66" s="89"/>
      <c r="T66" s="27"/>
      <c r="U66" s="105"/>
      <c r="V66" s="106"/>
      <c r="W66" s="89"/>
      <c r="X66" s="26"/>
      <c r="Y66" s="106"/>
      <c r="Z66" s="89"/>
      <c r="AA66" s="27"/>
      <c r="AB66" s="107"/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"/>
      <c r="C67" s="3"/>
      <c r="D67" s="3"/>
      <c r="E67" s="3"/>
      <c r="F67" s="3"/>
      <c r="G67" s="105"/>
      <c r="H67" s="106"/>
      <c r="I67" s="89"/>
      <c r="J67" s="26"/>
      <c r="K67" s="106"/>
      <c r="L67" s="89"/>
      <c r="M67" s="27"/>
      <c r="N67" s="105"/>
      <c r="O67" s="106"/>
      <c r="P67" s="89"/>
      <c r="Q67" s="26"/>
      <c r="R67" s="106"/>
      <c r="S67" s="89"/>
      <c r="T67" s="27"/>
      <c r="U67" s="105"/>
      <c r="V67" s="106"/>
      <c r="W67" s="89"/>
      <c r="X67" s="26"/>
      <c r="Y67" s="106"/>
      <c r="Z67" s="89"/>
      <c r="AA67" s="27"/>
      <c r="AB67" s="107"/>
      <c r="AC67" s="1"/>
      <c r="AD67" s="1"/>
      <c r="AE67" s="1"/>
      <c r="AF67" s="1"/>
      <c r="AG67" s="1"/>
      <c r="AH67" s="1"/>
      <c r="AI67" s="1"/>
    </row>
    <row r="68" spans="1:35" ht="14.25" collapsed="1" x14ac:dyDescent="0.2">
      <c r="A68" s="1"/>
      <c r="B68" s="3" t="s">
        <v>65</v>
      </c>
      <c r="C68" s="3"/>
      <c r="D68" s="3"/>
      <c r="E68" s="3"/>
      <c r="F68" s="3"/>
      <c r="G68" s="102">
        <f>SUM(G69:G72)</f>
        <v>1.4000000000000001E-4</v>
      </c>
      <c r="H68" s="103">
        <f>SUM(H69:H72)</f>
        <v>4.7849300000000001</v>
      </c>
      <c r="I68" s="89">
        <f>G68-H68</f>
        <v>-4.7847900000000001</v>
      </c>
      <c r="J68" s="26">
        <f>IF(ISERROR(I68/H68),"N/A",IF(ABS(I68/H68)&gt;5,"N/A",I68/H68))</f>
        <v>-0.99997074147375198</v>
      </c>
      <c r="K68" s="103">
        <f>SUM(K69:K72)</f>
        <v>0</v>
      </c>
      <c r="L68" s="89">
        <f>K68-G68</f>
        <v>-1.4000000000000001E-4</v>
      </c>
      <c r="M68" s="27" t="str">
        <f>IF(ISERROR(L68/K68),"N/A",IF(ABS(L68/K68)&gt;5,"N/A",L68/K68))</f>
        <v>N/A</v>
      </c>
      <c r="N68" s="102">
        <f>SUM(N69:N72)</f>
        <v>5.5689999999999996E-2</v>
      </c>
      <c r="O68" s="103">
        <f>SUM(O69:O72)</f>
        <v>14.65802</v>
      </c>
      <c r="P68" s="89">
        <f>N68-O68</f>
        <v>-14.60233</v>
      </c>
      <c r="Q68" s="26">
        <f>IF(ISERROR(P68/O68),"N/A",IF(ABS(P68/O68)&gt;5,"N/A",P68/O68))</f>
        <v>-0.9962007146940719</v>
      </c>
      <c r="R68" s="103">
        <f>SUM(R69:R72)</f>
        <v>0</v>
      </c>
      <c r="S68" s="89">
        <f>R68-N68</f>
        <v>-5.5689999999999996E-2</v>
      </c>
      <c r="T68" s="27" t="str">
        <f>IF(ISERROR(S68/R68),"N/A",IF(ABS(S68/R68)&gt;5,"N/A",S68/R68))</f>
        <v>N/A</v>
      </c>
      <c r="U68" s="102">
        <f>SUM(U69:U72)</f>
        <v>8.3569999999999992E-2</v>
      </c>
      <c r="V68" s="103">
        <f>SUM(V69:V72)</f>
        <v>486.65656999999999</v>
      </c>
      <c r="W68" s="89">
        <f>U68-V68</f>
        <v>-486.57299999999998</v>
      </c>
      <c r="X68" s="26">
        <f>IF(ISERROR(W68/V68),"N/A",IF(ABS(W68/V68)&gt;5,"N/A",W68/V68))</f>
        <v>-0.99982827725925905</v>
      </c>
      <c r="Y68" s="103">
        <f>SUM(Y69:Y72)</f>
        <v>2.7879999999999999E-2</v>
      </c>
      <c r="Z68" s="89">
        <f>Y68-U68</f>
        <v>-5.568999999999999E-2</v>
      </c>
      <c r="AA68" s="27">
        <f>IF(ISERROR(Z68/Y68),"N/A",IF(ABS(Z68/Y68)&gt;5,"N/A",Z68/Y68))</f>
        <v>-1.997489239598278</v>
      </c>
      <c r="AB68" s="104">
        <f>SUM(AB69:AB72)</f>
        <v>2.7879999999999999E-2</v>
      </c>
      <c r="AC68" s="1"/>
      <c r="AD68" s="1"/>
      <c r="AE68" s="1"/>
      <c r="AF68" s="1"/>
      <c r="AG68" s="1"/>
      <c r="AH68" s="1"/>
      <c r="AI68" s="1"/>
    </row>
    <row r="69" spans="1:35" ht="14.25" hidden="1" outlineLevel="1" x14ac:dyDescent="0.2">
      <c r="A69" s="1"/>
      <c r="B69" s="3"/>
      <c r="C69" s="3"/>
      <c r="D69" s="3" t="s">
        <v>65</v>
      </c>
      <c r="E69" s="3" t="s">
        <v>51</v>
      </c>
      <c r="F69" s="3">
        <v>925</v>
      </c>
      <c r="G69" s="105">
        <f>0/1000*1</f>
        <v>0</v>
      </c>
      <c r="H69" s="106">
        <f>0/1000*1</f>
        <v>0</v>
      </c>
      <c r="I69" s="89">
        <f>G69-H69</f>
        <v>0</v>
      </c>
      <c r="J69" s="26" t="str">
        <f>IF(ISERROR(I69/H69),"N/A",IF(ABS(I69/H69)&gt;5,"N/A",I69/H69))</f>
        <v>N/A</v>
      </c>
      <c r="K69" s="106">
        <f>0/1000*1</f>
        <v>0</v>
      </c>
      <c r="L69" s="89">
        <f>K69-G69</f>
        <v>0</v>
      </c>
      <c r="M69" s="27" t="str">
        <f>IF(ISERROR(L69/K69),"N/A",IF(ABS(L69/K69)&gt;5,"N/A",L69/K69))</f>
        <v>N/A</v>
      </c>
      <c r="N69" s="105">
        <f>0/1000*1</f>
        <v>0</v>
      </c>
      <c r="O69" s="106">
        <f>0/1000*1</f>
        <v>0</v>
      </c>
      <c r="P69" s="89">
        <f>N69-O69</f>
        <v>0</v>
      </c>
      <c r="Q69" s="26" t="str">
        <f>IF(ISERROR(P69/O69),"N/A",IF(ABS(P69/O69)&gt;5,"N/A",P69/O69))</f>
        <v>N/A</v>
      </c>
      <c r="R69" s="106">
        <f>0/1000*1</f>
        <v>0</v>
      </c>
      <c r="S69" s="89">
        <f>R69-N69</f>
        <v>0</v>
      </c>
      <c r="T69" s="27" t="str">
        <f>IF(ISERROR(S69/R69),"N/A",IF(ABS(S69/R69)&gt;5,"N/A",S69/R69))</f>
        <v>N/A</v>
      </c>
      <c r="U69" s="105">
        <f>0/1000*1</f>
        <v>0</v>
      </c>
      <c r="V69" s="106">
        <f>0/1000*1</f>
        <v>0</v>
      </c>
      <c r="W69" s="89">
        <f>U69-V69</f>
        <v>0</v>
      </c>
      <c r="X69" s="26" t="str">
        <f>IF(ISERROR(W69/V69),"N/A",IF(ABS(W69/V69)&gt;5,"N/A",W69/V69))</f>
        <v>N/A</v>
      </c>
      <c r="Y69" s="106">
        <f>0/1000*1</f>
        <v>0</v>
      </c>
      <c r="Z69" s="89">
        <f>Y69-U69</f>
        <v>0</v>
      </c>
      <c r="AA69" s="27" t="str">
        <f>IF(ISERROR(Z69/Y69),"N/A",IF(ABS(Z69/Y69)&gt;5,"N/A",Z69/Y69))</f>
        <v>N/A</v>
      </c>
      <c r="AB69" s="107">
        <f>0/1000*1</f>
        <v>0</v>
      </c>
      <c r="AC69" s="1"/>
      <c r="AD69" s="1"/>
      <c r="AE69" s="1"/>
      <c r="AF69" s="1"/>
      <c r="AG69" s="1"/>
      <c r="AH69" s="1"/>
      <c r="AI69" s="1"/>
    </row>
    <row r="70" spans="1:35" ht="14.25" hidden="1" outlineLevel="1" x14ac:dyDescent="0.2">
      <c r="A70" s="1"/>
      <c r="B70" s="3"/>
      <c r="C70" s="3"/>
      <c r="D70" s="3" t="s">
        <v>65</v>
      </c>
      <c r="E70" s="3" t="s">
        <v>56</v>
      </c>
      <c r="F70" s="3">
        <v>925</v>
      </c>
      <c r="G70" s="105">
        <f>0.14/1000*1</f>
        <v>1.4000000000000001E-4</v>
      </c>
      <c r="H70" s="106">
        <f>4784.93/1000*1</f>
        <v>4.7849300000000001</v>
      </c>
      <c r="I70" s="89">
        <f>G70-H70</f>
        <v>-4.7847900000000001</v>
      </c>
      <c r="J70" s="26">
        <f>IF(ISERROR(I70/H70),"N/A",IF(ABS(I70/H70)&gt;5,"N/A",I70/H70))</f>
        <v>-0.99997074147375198</v>
      </c>
      <c r="K70" s="106">
        <f>0/1000*1</f>
        <v>0</v>
      </c>
      <c r="L70" s="89">
        <f>K70-G70</f>
        <v>-1.4000000000000001E-4</v>
      </c>
      <c r="M70" s="27" t="str">
        <f>IF(ISERROR(L70/K70),"N/A",IF(ABS(L70/K70)&gt;5,"N/A",L70/K70))</f>
        <v>N/A</v>
      </c>
      <c r="N70" s="105">
        <f>55.69/1000*1</f>
        <v>5.5689999999999996E-2</v>
      </c>
      <c r="O70" s="106">
        <f>14658.02/1000*1</f>
        <v>14.65802</v>
      </c>
      <c r="P70" s="89">
        <f>N70-O70</f>
        <v>-14.60233</v>
      </c>
      <c r="Q70" s="26">
        <f>IF(ISERROR(P70/O70),"N/A",IF(ABS(P70/O70)&gt;5,"N/A",P70/O70))</f>
        <v>-0.9962007146940719</v>
      </c>
      <c r="R70" s="106">
        <f>0/1000*1</f>
        <v>0</v>
      </c>
      <c r="S70" s="89">
        <f>R70-N70</f>
        <v>-5.5689999999999996E-2</v>
      </c>
      <c r="T70" s="27" t="str">
        <f>IF(ISERROR(S70/R70),"N/A",IF(ABS(S70/R70)&gt;5,"N/A",S70/R70))</f>
        <v>N/A</v>
      </c>
      <c r="U70" s="105">
        <f>83.57/1000*1</f>
        <v>8.3569999999999992E-2</v>
      </c>
      <c r="V70" s="106">
        <f>480913.9/1000*1</f>
        <v>480.91390000000001</v>
      </c>
      <c r="W70" s="89">
        <f>U70-V70</f>
        <v>-480.83033</v>
      </c>
      <c r="X70" s="26">
        <f>IF(ISERROR(W70/V70),"N/A",IF(ABS(W70/V70)&gt;5,"N/A",W70/V70))</f>
        <v>-0.99982622669047405</v>
      </c>
      <c r="Y70" s="106">
        <f>27.88/1000*1</f>
        <v>2.7879999999999999E-2</v>
      </c>
      <c r="Z70" s="89">
        <f>Y70-U70</f>
        <v>-5.568999999999999E-2</v>
      </c>
      <c r="AA70" s="27">
        <f>IF(ISERROR(Z70/Y70),"N/A",IF(ABS(Z70/Y70)&gt;5,"N/A",Z70/Y70))</f>
        <v>-1.997489239598278</v>
      </c>
      <c r="AB70" s="107">
        <f>27.88/1000*1</f>
        <v>2.7879999999999999E-2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"/>
      <c r="C71" s="3"/>
      <c r="D71" s="3" t="s">
        <v>65</v>
      </c>
      <c r="E71" s="3" t="s">
        <v>56</v>
      </c>
      <c r="F71" s="3">
        <v>995</v>
      </c>
      <c r="G71" s="105">
        <f>0/1000*1</f>
        <v>0</v>
      </c>
      <c r="H71" s="106">
        <f>0/1000*1</f>
        <v>0</v>
      </c>
      <c r="I71" s="89">
        <f>G71-H71</f>
        <v>0</v>
      </c>
      <c r="J71" s="26" t="str">
        <f>IF(ISERROR(I71/H71),"N/A",IF(ABS(I71/H71)&gt;5,"N/A",I71/H71))</f>
        <v>N/A</v>
      </c>
      <c r="K71" s="106">
        <f>0/1000*1</f>
        <v>0</v>
      </c>
      <c r="L71" s="89">
        <f>K71-G71</f>
        <v>0</v>
      </c>
      <c r="M71" s="27" t="str">
        <f>IF(ISERROR(L71/K71),"N/A",IF(ABS(L71/K71)&gt;5,"N/A",L71/K71))</f>
        <v>N/A</v>
      </c>
      <c r="N71" s="105">
        <f>0/1000*1</f>
        <v>0</v>
      </c>
      <c r="O71" s="106">
        <f>0/1000*1</f>
        <v>0</v>
      </c>
      <c r="P71" s="89">
        <f>N71-O71</f>
        <v>0</v>
      </c>
      <c r="Q71" s="26" t="str">
        <f>IF(ISERROR(P71/O71),"N/A",IF(ABS(P71/O71)&gt;5,"N/A",P71/O71))</f>
        <v>N/A</v>
      </c>
      <c r="R71" s="106">
        <f>0/1000*1</f>
        <v>0</v>
      </c>
      <c r="S71" s="89">
        <f>R71-N71</f>
        <v>0</v>
      </c>
      <c r="T71" s="27" t="str">
        <f>IF(ISERROR(S71/R71),"N/A",IF(ABS(S71/R71)&gt;5,"N/A",S71/R71))</f>
        <v>N/A</v>
      </c>
      <c r="U71" s="105">
        <f>0/1000*1</f>
        <v>0</v>
      </c>
      <c r="V71" s="106">
        <f>5742.67/1000*1</f>
        <v>5.7426700000000004</v>
      </c>
      <c r="W71" s="89">
        <f>U71-V71</f>
        <v>-5.7426700000000004</v>
      </c>
      <c r="X71" s="26">
        <f>IF(ISERROR(W71/V71),"N/A",IF(ABS(W71/V71)&gt;5,"N/A",W71/V71))</f>
        <v>-1</v>
      </c>
      <c r="Y71" s="106">
        <f>0/1000*1</f>
        <v>0</v>
      </c>
      <c r="Z71" s="89">
        <f>Y71-U71</f>
        <v>0</v>
      </c>
      <c r="AA71" s="27" t="str">
        <f>IF(ISERROR(Z71/Y71),"N/A",IF(ABS(Z71/Y71)&gt;5,"N/A",Z71/Y71))</f>
        <v>N/A</v>
      </c>
      <c r="AB71" s="107">
        <f>0/1000*1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"/>
      <c r="C72" s="3"/>
      <c r="D72" s="3"/>
      <c r="E72" s="3"/>
      <c r="F72" s="3"/>
      <c r="G72" s="105"/>
      <c r="H72" s="106"/>
      <c r="I72" s="89"/>
      <c r="J72" s="26"/>
      <c r="K72" s="106"/>
      <c r="L72" s="89"/>
      <c r="M72" s="27"/>
      <c r="N72" s="105"/>
      <c r="O72" s="106"/>
      <c r="P72" s="89"/>
      <c r="Q72" s="26"/>
      <c r="R72" s="106"/>
      <c r="S72" s="89"/>
      <c r="T72" s="27"/>
      <c r="U72" s="105"/>
      <c r="V72" s="106"/>
      <c r="W72" s="89"/>
      <c r="X72" s="26"/>
      <c r="Y72" s="106"/>
      <c r="Z72" s="89"/>
      <c r="AA72" s="27"/>
      <c r="AB72" s="107"/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"/>
      <c r="C73" s="3"/>
      <c r="D73" s="3"/>
      <c r="E73" s="3"/>
      <c r="F73" s="3"/>
      <c r="G73" s="105"/>
      <c r="H73" s="106"/>
      <c r="I73" s="89"/>
      <c r="J73" s="26"/>
      <c r="K73" s="106"/>
      <c r="L73" s="89"/>
      <c r="M73" s="27"/>
      <c r="N73" s="105"/>
      <c r="O73" s="106"/>
      <c r="P73" s="89"/>
      <c r="Q73" s="26"/>
      <c r="R73" s="106"/>
      <c r="S73" s="89"/>
      <c r="T73" s="27"/>
      <c r="U73" s="105"/>
      <c r="V73" s="106"/>
      <c r="W73" s="89"/>
      <c r="X73" s="26"/>
      <c r="Y73" s="106"/>
      <c r="Z73" s="89"/>
      <c r="AA73" s="27"/>
      <c r="AB73" s="107"/>
      <c r="AC73" s="1"/>
      <c r="AD73" s="1"/>
      <c r="AE73" s="1"/>
      <c r="AF73" s="1"/>
      <c r="AG73" s="1"/>
      <c r="AH73" s="1"/>
      <c r="AI73" s="1"/>
    </row>
    <row r="74" spans="1:35" ht="14.25" collapsed="1" x14ac:dyDescent="0.2">
      <c r="A74" s="1"/>
      <c r="B74" s="3" t="s">
        <v>66</v>
      </c>
      <c r="C74" s="3"/>
      <c r="D74" s="3"/>
      <c r="E74" s="3"/>
      <c r="F74" s="3"/>
      <c r="G74" s="102">
        <f>SUM(G75:G90)</f>
        <v>284.00509000000005</v>
      </c>
      <c r="H74" s="103">
        <f>SUM(H75:H90)</f>
        <v>316.86344000000003</v>
      </c>
      <c r="I74" s="89">
        <f t="shared" ref="I74:I89" si="29">G74-H74</f>
        <v>-32.858349999999973</v>
      </c>
      <c r="J74" s="26">
        <f t="shared" ref="J74:J89" si="30">IF(ISERROR(I74/H74),"N/A",IF(ABS(I74/H74)&gt;5,"N/A",I74/H74))</f>
        <v>-0.10369877320021512</v>
      </c>
      <c r="K74" s="103">
        <f>SUM(K75:K90)</f>
        <v>311.95299906400004</v>
      </c>
      <c r="L74" s="89">
        <f t="shared" ref="L74:L89" si="31">K74-G74</f>
        <v>27.947909063999987</v>
      </c>
      <c r="M74" s="27">
        <f t="shared" ref="M74:M89" si="32">IF(ISERROR(L74/K74),"N/A",IF(ABS(L74/K74)&gt;5,"N/A",L74/K74))</f>
        <v>8.9590127832899005E-2</v>
      </c>
      <c r="N74" s="102">
        <f>SUM(N75:N90)</f>
        <v>904.15618999999992</v>
      </c>
      <c r="O74" s="103">
        <f>SUM(O75:O90)</f>
        <v>740.72999000000004</v>
      </c>
      <c r="P74" s="89">
        <f t="shared" ref="P74:P89" si="33">N74-O74</f>
        <v>163.42619999999988</v>
      </c>
      <c r="Q74" s="26">
        <f t="shared" ref="Q74:Q89" si="34">IF(ISERROR(P74/O74),"N/A",IF(ABS(P74/O74)&gt;5,"N/A",P74/O74))</f>
        <v>0.22062857209278089</v>
      </c>
      <c r="R74" s="103">
        <f>SUM(R75:R90)</f>
        <v>939.60971977599991</v>
      </c>
      <c r="S74" s="89">
        <f t="shared" ref="S74:S89" si="35">R74-N74</f>
        <v>35.453529775999982</v>
      </c>
      <c r="T74" s="27">
        <f t="shared" ref="T74:T89" si="36">IF(ISERROR(S74/R74),"N/A",IF(ABS(S74/R74)&gt;5,"N/A",S74/R74))</f>
        <v>3.7732187130260844E-2</v>
      </c>
      <c r="U74" s="102">
        <f>SUM(U75:U90)</f>
        <v>1984.4394600000001</v>
      </c>
      <c r="V74" s="103">
        <f>SUM(V75:V90)</f>
        <v>1472.8676400000004</v>
      </c>
      <c r="W74" s="89">
        <f t="shared" ref="W74:W89" si="37">U74-V74</f>
        <v>511.57181999999966</v>
      </c>
      <c r="X74" s="26">
        <f t="shared" ref="X74:X89" si="38">IF(ISERROR(W74/V74),"N/A",IF(ABS(W74/V74)&gt;5,"N/A",W74/V74))</f>
        <v>0.34733047702779291</v>
      </c>
      <c r="Y74" s="103">
        <f>SUM(Y75:Y90)</f>
        <v>2019.8929897760001</v>
      </c>
      <c r="Z74" s="89">
        <f t="shared" ref="Z74:Z89" si="39">Y74-U74</f>
        <v>35.453529776000096</v>
      </c>
      <c r="AA74" s="27">
        <f t="shared" ref="AA74:AA89" si="40">IF(ISERROR(Z74/Y74),"N/A",IF(ABS(Z74/Y74)&gt;5,"N/A",Z74/Y74))</f>
        <v>1.7552182197499374E-2</v>
      </c>
      <c r="AB74" s="104">
        <f>SUM(AB75:AB90)</f>
        <v>4305.5161525599997</v>
      </c>
      <c r="AC74" s="1"/>
      <c r="AD74" s="1"/>
      <c r="AE74" s="1"/>
      <c r="AF74" s="1"/>
      <c r="AG74" s="1"/>
      <c r="AH74" s="1"/>
      <c r="AI74" s="1"/>
    </row>
    <row r="75" spans="1:35" ht="14.25" hidden="1" outlineLevel="1" x14ac:dyDescent="0.2">
      <c r="A75" s="1"/>
      <c r="B75" s="3"/>
      <c r="C75" s="3"/>
      <c r="D75" s="3" t="s">
        <v>67</v>
      </c>
      <c r="E75" s="3" t="s">
        <v>51</v>
      </c>
      <c r="F75" s="3">
        <v>846</v>
      </c>
      <c r="G75" s="105">
        <f>0/1000*1</f>
        <v>0</v>
      </c>
      <c r="H75" s="106">
        <f>1054.91/1000*1</f>
        <v>1.05491</v>
      </c>
      <c r="I75" s="89">
        <f t="shared" si="29"/>
        <v>-1.05491</v>
      </c>
      <c r="J75" s="26">
        <f t="shared" si="30"/>
        <v>-1</v>
      </c>
      <c r="K75" s="106">
        <f>0/1000*1</f>
        <v>0</v>
      </c>
      <c r="L75" s="89">
        <f t="shared" si="31"/>
        <v>0</v>
      </c>
      <c r="M75" s="27" t="str">
        <f t="shared" si="32"/>
        <v>N/A</v>
      </c>
      <c r="N75" s="105">
        <f>-21665.42/1000*1</f>
        <v>-21.665419999999997</v>
      </c>
      <c r="O75" s="106">
        <f>2338.96/1000*1</f>
        <v>2.3389600000000002</v>
      </c>
      <c r="P75" s="89">
        <f t="shared" si="33"/>
        <v>-24.004379999999998</v>
      </c>
      <c r="Q75" s="26" t="str">
        <f t="shared" si="34"/>
        <v>N/A</v>
      </c>
      <c r="R75" s="106">
        <f>-21696.89/1000*1</f>
        <v>-21.69689</v>
      </c>
      <c r="S75" s="89">
        <f t="shared" si="35"/>
        <v>-3.1470000000002329E-2</v>
      </c>
      <c r="T75" s="27">
        <f t="shared" si="36"/>
        <v>1.4504382886211954E-3</v>
      </c>
      <c r="U75" s="105">
        <f>-21546.39/1000*1</f>
        <v>-21.546389999999999</v>
      </c>
      <c r="V75" s="106">
        <f>2575.02/1000*1</f>
        <v>2.5750199999999999</v>
      </c>
      <c r="W75" s="89">
        <f t="shared" si="37"/>
        <v>-24.121409999999997</v>
      </c>
      <c r="X75" s="26" t="str">
        <f t="shared" si="38"/>
        <v>N/A</v>
      </c>
      <c r="Y75" s="106">
        <f>-21577.86/1000*1</f>
        <v>-21.577860000000001</v>
      </c>
      <c r="Z75" s="89">
        <f t="shared" si="39"/>
        <v>-3.1470000000002329E-2</v>
      </c>
      <c r="AA75" s="27">
        <f t="shared" si="40"/>
        <v>1.4584393447729445E-3</v>
      </c>
      <c r="AB75" s="107">
        <f>-21577.86/1000*1</f>
        <v>-21.577860000000001</v>
      </c>
      <c r="AC75" s="1"/>
      <c r="AD75" s="1"/>
      <c r="AE75" s="1"/>
      <c r="AF75" s="1"/>
      <c r="AG75" s="1"/>
      <c r="AH75" s="1"/>
      <c r="AI75" s="1"/>
    </row>
    <row r="76" spans="1:35" ht="14.25" hidden="1" outlineLevel="1" x14ac:dyDescent="0.2">
      <c r="A76" s="1"/>
      <c r="B76" s="3"/>
      <c r="C76" s="3"/>
      <c r="D76" s="3" t="s">
        <v>67</v>
      </c>
      <c r="E76" s="3" t="s">
        <v>51</v>
      </c>
      <c r="F76" s="3">
        <v>865</v>
      </c>
      <c r="G76" s="105">
        <f>36264.23/1000*1</f>
        <v>36.264230000000005</v>
      </c>
      <c r="H76" s="106">
        <f>44176.03/1000*1</f>
        <v>44.176029999999997</v>
      </c>
      <c r="I76" s="89">
        <f t="shared" si="29"/>
        <v>-7.9117999999999924</v>
      </c>
      <c r="J76" s="26">
        <f t="shared" si="30"/>
        <v>-0.17909712574896369</v>
      </c>
      <c r="K76" s="106">
        <f>59173.81/1000*1</f>
        <v>59.173809999999996</v>
      </c>
      <c r="L76" s="89">
        <f t="shared" si="31"/>
        <v>22.909579999999991</v>
      </c>
      <c r="M76" s="27">
        <f t="shared" si="32"/>
        <v>0.38715742657097779</v>
      </c>
      <c r="N76" s="105">
        <f>122571.43/1000*1</f>
        <v>122.57142999999999</v>
      </c>
      <c r="O76" s="106">
        <f>30938.93/1000*1</f>
        <v>30.938929999999999</v>
      </c>
      <c r="P76" s="89">
        <f t="shared" si="33"/>
        <v>91.632499999999993</v>
      </c>
      <c r="Q76" s="26">
        <f t="shared" si="34"/>
        <v>2.9617216885005395</v>
      </c>
      <c r="R76" s="106">
        <f>142182.02/1000*1</f>
        <v>142.18201999999999</v>
      </c>
      <c r="S76" s="89">
        <f t="shared" si="35"/>
        <v>19.610590000000002</v>
      </c>
      <c r="T76" s="27">
        <f t="shared" si="36"/>
        <v>0.13792594872403699</v>
      </c>
      <c r="U76" s="105">
        <f>260591.28/1000*1</f>
        <v>260.59127999999998</v>
      </c>
      <c r="V76" s="106">
        <f>274600.12/1000*1</f>
        <v>274.60012</v>
      </c>
      <c r="W76" s="89">
        <f t="shared" si="37"/>
        <v>-14.008840000000021</v>
      </c>
      <c r="X76" s="26">
        <f t="shared" si="38"/>
        <v>-5.1015418347231681E-2</v>
      </c>
      <c r="Y76" s="106">
        <f>280201.87/1000*1</f>
        <v>280.20186999999999</v>
      </c>
      <c r="Z76" s="89">
        <f t="shared" si="39"/>
        <v>19.610590000000002</v>
      </c>
      <c r="AA76" s="27">
        <f t="shared" si="40"/>
        <v>6.9987363039368741E-2</v>
      </c>
      <c r="AB76" s="107">
        <f>625751.36/1000*1</f>
        <v>625.75135999999998</v>
      </c>
      <c r="AC76" s="1"/>
      <c r="AD76" s="1"/>
      <c r="AE76" s="1"/>
      <c r="AF76" s="1"/>
      <c r="AG76" s="1"/>
      <c r="AH76" s="1"/>
      <c r="AI76" s="1"/>
    </row>
    <row r="77" spans="1:35" ht="14.25" hidden="1" outlineLevel="1" x14ac:dyDescent="0.2">
      <c r="A77" s="1"/>
      <c r="B77" s="3"/>
      <c r="C77" s="3"/>
      <c r="D77" s="3" t="s">
        <v>67</v>
      </c>
      <c r="E77" s="3" t="s">
        <v>51</v>
      </c>
      <c r="F77" s="3">
        <v>921</v>
      </c>
      <c r="G77" s="105">
        <f>27159.06/1000*1</f>
        <v>27.15906</v>
      </c>
      <c r="H77" s="106">
        <f>475.02/1000*1</f>
        <v>0.47502</v>
      </c>
      <c r="I77" s="89">
        <f t="shared" si="29"/>
        <v>26.68404</v>
      </c>
      <c r="J77" s="26" t="str">
        <f t="shared" si="30"/>
        <v>N/A</v>
      </c>
      <c r="K77" s="106">
        <f>28997.66736/1000*1</f>
        <v>28.997667360000001</v>
      </c>
      <c r="L77" s="89">
        <f t="shared" si="31"/>
        <v>1.838607360000001</v>
      </c>
      <c r="M77" s="27">
        <f t="shared" si="32"/>
        <v>6.3405353857400787E-2</v>
      </c>
      <c r="N77" s="105">
        <f>104383.9/1000*1</f>
        <v>104.3839</v>
      </c>
      <c r="O77" s="106">
        <f>2388.96/1000*1</f>
        <v>2.38896</v>
      </c>
      <c r="P77" s="89">
        <f t="shared" si="33"/>
        <v>101.99494</v>
      </c>
      <c r="Q77" s="26" t="str">
        <f t="shared" si="34"/>
        <v>N/A</v>
      </c>
      <c r="R77" s="106">
        <f>107631.38472/1000*1</f>
        <v>107.63138472</v>
      </c>
      <c r="S77" s="89">
        <f t="shared" si="35"/>
        <v>3.2474847200000028</v>
      </c>
      <c r="T77" s="27">
        <f t="shared" si="36"/>
        <v>3.0172284119991975E-2</v>
      </c>
      <c r="U77" s="105">
        <f>288843.23/1000*1</f>
        <v>288.84323000000001</v>
      </c>
      <c r="V77" s="106">
        <f>8968.94/1000*1</f>
        <v>8.9689399999999999</v>
      </c>
      <c r="W77" s="89">
        <f t="shared" si="37"/>
        <v>279.87429000000003</v>
      </c>
      <c r="X77" s="26" t="str">
        <f t="shared" si="38"/>
        <v>N/A</v>
      </c>
      <c r="Y77" s="106">
        <f>292090.71472/1000*1</f>
        <v>292.09071471999999</v>
      </c>
      <c r="Z77" s="89">
        <f t="shared" si="39"/>
        <v>3.2474847199999886</v>
      </c>
      <c r="AA77" s="27">
        <f t="shared" si="40"/>
        <v>1.1118068998232443E-2</v>
      </c>
      <c r="AB77" s="107">
        <f>563516.18288/1000*1</f>
        <v>563.51618287999997</v>
      </c>
      <c r="AC77" s="1"/>
      <c r="AD77" s="1"/>
      <c r="AE77" s="1"/>
      <c r="AF77" s="1"/>
      <c r="AG77" s="1"/>
      <c r="AH77" s="1"/>
      <c r="AI77" s="1"/>
    </row>
    <row r="78" spans="1:35" ht="14.25" hidden="1" outlineLevel="1" x14ac:dyDescent="0.2">
      <c r="A78" s="1"/>
      <c r="B78" s="3"/>
      <c r="C78" s="3"/>
      <c r="D78" s="3" t="s">
        <v>67</v>
      </c>
      <c r="E78" s="3" t="s">
        <v>51</v>
      </c>
      <c r="F78" s="3">
        <v>935</v>
      </c>
      <c r="G78" s="105">
        <f>156.47/1000*1</f>
        <v>0.15647</v>
      </c>
      <c r="H78" s="106">
        <f>46.64/1000*1</f>
        <v>4.6640000000000001E-2</v>
      </c>
      <c r="I78" s="89">
        <f t="shared" si="29"/>
        <v>0.10983</v>
      </c>
      <c r="J78" s="26">
        <f t="shared" si="30"/>
        <v>2.354845626072041</v>
      </c>
      <c r="K78" s="106">
        <f>0/1000*1</f>
        <v>0</v>
      </c>
      <c r="L78" s="89">
        <f t="shared" si="31"/>
        <v>-0.15647</v>
      </c>
      <c r="M78" s="27" t="str">
        <f t="shared" si="32"/>
        <v>N/A</v>
      </c>
      <c r="N78" s="105">
        <f>202.82/1000*1</f>
        <v>0.20282</v>
      </c>
      <c r="O78" s="106">
        <f>852.51/1000*1</f>
        <v>0.85250999999999999</v>
      </c>
      <c r="P78" s="89">
        <f t="shared" si="33"/>
        <v>-0.64968999999999999</v>
      </c>
      <c r="Q78" s="26">
        <f t="shared" si="34"/>
        <v>-0.76209076726372715</v>
      </c>
      <c r="R78" s="106">
        <f>16.16/1000*1</f>
        <v>1.6160000000000001E-2</v>
      </c>
      <c r="S78" s="89">
        <f t="shared" si="35"/>
        <v>-0.18665999999999999</v>
      </c>
      <c r="T78" s="27" t="str">
        <f t="shared" si="36"/>
        <v>N/A</v>
      </c>
      <c r="U78" s="105">
        <f>269.33/1000*1</f>
        <v>0.26932999999999996</v>
      </c>
      <c r="V78" s="106">
        <f>1629.37/1000*1</f>
        <v>1.62937</v>
      </c>
      <c r="W78" s="89">
        <f t="shared" si="37"/>
        <v>-1.3600400000000001</v>
      </c>
      <c r="X78" s="26">
        <f t="shared" si="38"/>
        <v>-0.83470298336166748</v>
      </c>
      <c r="Y78" s="106">
        <f>82.67/1000*1</f>
        <v>8.2670000000000007E-2</v>
      </c>
      <c r="Z78" s="89">
        <f t="shared" si="39"/>
        <v>-0.18665999999999994</v>
      </c>
      <c r="AA78" s="27">
        <f t="shared" si="40"/>
        <v>-2.2578928269021401</v>
      </c>
      <c r="AB78" s="107">
        <f>82.67/1000*1</f>
        <v>8.2670000000000007E-2</v>
      </c>
      <c r="AC78" s="1"/>
      <c r="AD78" s="1"/>
      <c r="AE78" s="1"/>
      <c r="AF78" s="1"/>
      <c r="AG78" s="1"/>
      <c r="AH78" s="1"/>
      <c r="AI78" s="1"/>
    </row>
    <row r="79" spans="1:35" ht="14.25" hidden="1" outlineLevel="1" x14ac:dyDescent="0.2">
      <c r="A79" s="1"/>
      <c r="B79" s="3"/>
      <c r="C79" s="3"/>
      <c r="D79" s="3" t="s">
        <v>67</v>
      </c>
      <c r="E79" s="3" t="s">
        <v>68</v>
      </c>
      <c r="F79" s="3">
        <v>846</v>
      </c>
      <c r="G79" s="105">
        <f>0/1000*1</f>
        <v>0</v>
      </c>
      <c r="H79" s="106">
        <f>128.55/1000*1</f>
        <v>0.12855</v>
      </c>
      <c r="I79" s="89">
        <f t="shared" si="29"/>
        <v>-0.12855</v>
      </c>
      <c r="J79" s="26">
        <f t="shared" si="30"/>
        <v>-1</v>
      </c>
      <c r="K79" s="106">
        <f>0/1000*1</f>
        <v>0</v>
      </c>
      <c r="L79" s="89">
        <f t="shared" si="31"/>
        <v>0</v>
      </c>
      <c r="M79" s="27" t="str">
        <f t="shared" si="32"/>
        <v>N/A</v>
      </c>
      <c r="N79" s="105">
        <f>141.35/1000*1</f>
        <v>0.14135</v>
      </c>
      <c r="O79" s="106">
        <f>391.54/1000*1</f>
        <v>0.39154</v>
      </c>
      <c r="P79" s="89">
        <f t="shared" si="33"/>
        <v>-0.25019000000000002</v>
      </c>
      <c r="Q79" s="26">
        <f t="shared" si="34"/>
        <v>-0.638989630689074</v>
      </c>
      <c r="R79" s="106">
        <f>141.35/1000*1</f>
        <v>0.14135</v>
      </c>
      <c r="S79" s="89">
        <f t="shared" si="35"/>
        <v>0</v>
      </c>
      <c r="T79" s="27">
        <f t="shared" si="36"/>
        <v>0</v>
      </c>
      <c r="U79" s="105">
        <f>575.05/1000*1</f>
        <v>0.57504999999999995</v>
      </c>
      <c r="V79" s="106">
        <f>782.48/1000*1</f>
        <v>0.78248000000000006</v>
      </c>
      <c r="W79" s="89">
        <f t="shared" si="37"/>
        <v>-0.20743000000000011</v>
      </c>
      <c r="X79" s="26">
        <f t="shared" si="38"/>
        <v>-0.26509303752172592</v>
      </c>
      <c r="Y79" s="106">
        <f>575.05/1000*1</f>
        <v>0.57504999999999995</v>
      </c>
      <c r="Z79" s="89">
        <f t="shared" si="39"/>
        <v>0</v>
      </c>
      <c r="AA79" s="27">
        <f t="shared" si="40"/>
        <v>0</v>
      </c>
      <c r="AB79" s="107">
        <f>575.05/1000*1</f>
        <v>0.57504999999999995</v>
      </c>
      <c r="AC79" s="1"/>
      <c r="AD79" s="1"/>
      <c r="AE79" s="1"/>
      <c r="AF79" s="1"/>
      <c r="AG79" s="1"/>
      <c r="AH79" s="1"/>
      <c r="AI79" s="1"/>
    </row>
    <row r="80" spans="1:35" ht="14.25" hidden="1" outlineLevel="1" x14ac:dyDescent="0.2">
      <c r="A80" s="1"/>
      <c r="B80" s="3"/>
      <c r="C80" s="3"/>
      <c r="D80" s="3" t="s">
        <v>67</v>
      </c>
      <c r="E80" s="3" t="s">
        <v>69</v>
      </c>
      <c r="F80" s="3">
        <v>846</v>
      </c>
      <c r="G80" s="105">
        <f>0/1000*1</f>
        <v>0</v>
      </c>
      <c r="H80" s="106">
        <f>0/1000*1</f>
        <v>0</v>
      </c>
      <c r="I80" s="89">
        <f t="shared" si="29"/>
        <v>0</v>
      </c>
      <c r="J80" s="26" t="str">
        <f t="shared" si="30"/>
        <v>N/A</v>
      </c>
      <c r="K80" s="106">
        <f>0/1000*1</f>
        <v>0</v>
      </c>
      <c r="L80" s="89">
        <f t="shared" si="31"/>
        <v>0</v>
      </c>
      <c r="M80" s="27" t="str">
        <f t="shared" si="32"/>
        <v>N/A</v>
      </c>
      <c r="N80" s="105">
        <f>0/1000*1</f>
        <v>0</v>
      </c>
      <c r="O80" s="106">
        <f>0/1000*1</f>
        <v>0</v>
      </c>
      <c r="P80" s="89">
        <f t="shared" si="33"/>
        <v>0</v>
      </c>
      <c r="Q80" s="26" t="str">
        <f t="shared" si="34"/>
        <v>N/A</v>
      </c>
      <c r="R80" s="106">
        <f>0/1000*1</f>
        <v>0</v>
      </c>
      <c r="S80" s="89">
        <f t="shared" si="35"/>
        <v>0</v>
      </c>
      <c r="T80" s="27" t="str">
        <f t="shared" si="36"/>
        <v>N/A</v>
      </c>
      <c r="U80" s="105">
        <f>0/1000*1</f>
        <v>0</v>
      </c>
      <c r="V80" s="106">
        <f>1082.38/1000*1</f>
        <v>1.0823800000000001</v>
      </c>
      <c r="W80" s="89">
        <f t="shared" si="37"/>
        <v>-1.0823800000000001</v>
      </c>
      <c r="X80" s="26">
        <f t="shared" si="38"/>
        <v>-1</v>
      </c>
      <c r="Y80" s="106">
        <f>0/1000*1</f>
        <v>0</v>
      </c>
      <c r="Z80" s="89">
        <f t="shared" si="39"/>
        <v>0</v>
      </c>
      <c r="AA80" s="27" t="str">
        <f t="shared" si="40"/>
        <v>N/A</v>
      </c>
      <c r="AB80" s="107">
        <f>0/1000*1</f>
        <v>0</v>
      </c>
      <c r="AC80" s="1"/>
      <c r="AD80" s="1"/>
      <c r="AE80" s="1"/>
      <c r="AF80" s="1"/>
      <c r="AG80" s="1"/>
      <c r="AH80" s="1"/>
      <c r="AI80" s="1"/>
    </row>
    <row r="81" spans="1:35" ht="14.25" hidden="1" outlineLevel="1" x14ac:dyDescent="0.2">
      <c r="A81" s="1"/>
      <c r="B81" s="3"/>
      <c r="C81" s="3"/>
      <c r="D81" s="3" t="s">
        <v>67</v>
      </c>
      <c r="E81" s="3" t="s">
        <v>52</v>
      </c>
      <c r="F81" s="3">
        <v>846</v>
      </c>
      <c r="G81" s="105">
        <f>14482.23/1000*1</f>
        <v>14.482229999999999</v>
      </c>
      <c r="H81" s="106">
        <f>20109.74/1000*1</f>
        <v>20.109740000000002</v>
      </c>
      <c r="I81" s="89">
        <f t="shared" si="29"/>
        <v>-5.6275100000000027</v>
      </c>
      <c r="J81" s="26">
        <f t="shared" si="30"/>
        <v>-0.27984001782220963</v>
      </c>
      <c r="K81" s="106">
        <f>14076/1000*1</f>
        <v>14.076000000000001</v>
      </c>
      <c r="L81" s="89">
        <f t="shared" si="31"/>
        <v>-0.40622999999999898</v>
      </c>
      <c r="M81" s="27">
        <f t="shared" si="32"/>
        <v>-2.8859761295822604E-2</v>
      </c>
      <c r="N81" s="105">
        <f>44991.05/1000*1</f>
        <v>44.991050000000001</v>
      </c>
      <c r="O81" s="106">
        <f>69712.73/1000*1</f>
        <v>69.712729999999993</v>
      </c>
      <c r="P81" s="89">
        <f t="shared" si="33"/>
        <v>-24.721679999999992</v>
      </c>
      <c r="Q81" s="26">
        <f t="shared" si="34"/>
        <v>-0.35462217589240869</v>
      </c>
      <c r="R81" s="106">
        <f>44178.59/1000*1</f>
        <v>44.17859</v>
      </c>
      <c r="S81" s="89">
        <f t="shared" si="35"/>
        <v>-0.81246000000000151</v>
      </c>
      <c r="T81" s="27">
        <f t="shared" si="36"/>
        <v>-1.8390356052558524E-2</v>
      </c>
      <c r="U81" s="105">
        <f>77618.05/1000*1</f>
        <v>77.618049999999997</v>
      </c>
      <c r="V81" s="106">
        <f>136810.07/1000*1</f>
        <v>136.81007</v>
      </c>
      <c r="W81" s="89">
        <f t="shared" si="37"/>
        <v>-59.192019999999999</v>
      </c>
      <c r="X81" s="26">
        <f t="shared" si="38"/>
        <v>-0.43265835621602999</v>
      </c>
      <c r="Y81" s="106">
        <f>76805.59/1000*1</f>
        <v>76.805589999999995</v>
      </c>
      <c r="Z81" s="89">
        <f t="shared" si="39"/>
        <v>-0.81246000000000151</v>
      </c>
      <c r="AA81" s="27">
        <f t="shared" si="40"/>
        <v>-1.0578136304922619E-2</v>
      </c>
      <c r="AB81" s="107">
        <f>175337.59/1000*1</f>
        <v>175.33759000000001</v>
      </c>
      <c r="AC81" s="1"/>
      <c r="AD81" s="1"/>
      <c r="AE81" s="1"/>
      <c r="AF81" s="1"/>
      <c r="AG81" s="1"/>
      <c r="AH81" s="1"/>
      <c r="AI81" s="1"/>
    </row>
    <row r="82" spans="1:35" ht="14.25" hidden="1" outlineLevel="1" x14ac:dyDescent="0.2">
      <c r="A82" s="1"/>
      <c r="B82" s="3"/>
      <c r="C82" s="3"/>
      <c r="D82" s="3" t="s">
        <v>67</v>
      </c>
      <c r="E82" s="3" t="s">
        <v>52</v>
      </c>
      <c r="F82" s="3">
        <v>865</v>
      </c>
      <c r="G82" s="105">
        <f>97291.46/1000*1</f>
        <v>97.291460000000001</v>
      </c>
      <c r="H82" s="106">
        <f>98974.1/1000*1</f>
        <v>98.974100000000007</v>
      </c>
      <c r="I82" s="89">
        <f t="shared" si="29"/>
        <v>-1.6826400000000064</v>
      </c>
      <c r="J82" s="26">
        <f t="shared" si="30"/>
        <v>-1.7000811323366481E-2</v>
      </c>
      <c r="K82" s="106">
        <f>97291.53/1000*1</f>
        <v>97.291529999999995</v>
      </c>
      <c r="L82" s="89">
        <f t="shared" si="31"/>
        <v>6.9999999993797246E-5</v>
      </c>
      <c r="M82" s="27">
        <f t="shared" si="32"/>
        <v>7.1948709197807098E-7</v>
      </c>
      <c r="N82" s="105">
        <f>300243.73/1000*1</f>
        <v>300.24372999999997</v>
      </c>
      <c r="O82" s="106">
        <f>205109.67/1000*1</f>
        <v>205.10967000000002</v>
      </c>
      <c r="P82" s="89">
        <f t="shared" si="33"/>
        <v>95.134059999999948</v>
      </c>
      <c r="Q82" s="26">
        <f t="shared" si="34"/>
        <v>0.46382045273633338</v>
      </c>
      <c r="R82" s="106">
        <f>297919.4/1000*1</f>
        <v>297.9194</v>
      </c>
      <c r="S82" s="89">
        <f t="shared" si="35"/>
        <v>-2.3243299999999749</v>
      </c>
      <c r="T82" s="27">
        <f t="shared" si="36"/>
        <v>-7.8018752723051097E-3</v>
      </c>
      <c r="U82" s="105">
        <f>600711.82/1000*1</f>
        <v>600.71181999999999</v>
      </c>
      <c r="V82" s="106">
        <f>206656.81/1000*1</f>
        <v>206.65681000000001</v>
      </c>
      <c r="W82" s="89">
        <f t="shared" si="37"/>
        <v>394.05500999999998</v>
      </c>
      <c r="X82" s="26">
        <f t="shared" si="38"/>
        <v>1.906808732797143</v>
      </c>
      <c r="Y82" s="106">
        <f>598387.49/1000*1</f>
        <v>598.38748999999996</v>
      </c>
      <c r="Z82" s="89">
        <f t="shared" si="39"/>
        <v>-2.3243300000000318</v>
      </c>
      <c r="AA82" s="27">
        <f t="shared" si="40"/>
        <v>-3.8843225148307028E-3</v>
      </c>
      <c r="AB82" s="107">
        <f>1279428.2/1000*1</f>
        <v>1279.4282000000001</v>
      </c>
      <c r="AC82" s="1"/>
      <c r="AD82" s="1"/>
      <c r="AE82" s="1"/>
      <c r="AF82" s="1"/>
      <c r="AG82" s="1"/>
      <c r="AH82" s="1"/>
      <c r="AI82" s="1"/>
    </row>
    <row r="83" spans="1:35" ht="14.25" hidden="1" outlineLevel="1" x14ac:dyDescent="0.2">
      <c r="A83" s="1"/>
      <c r="B83" s="3"/>
      <c r="C83" s="3"/>
      <c r="D83" s="3" t="s">
        <v>67</v>
      </c>
      <c r="E83" s="3" t="s">
        <v>52</v>
      </c>
      <c r="F83" s="3">
        <v>921</v>
      </c>
      <c r="G83" s="105">
        <f>45676.93/1000*1</f>
        <v>45.676929999999999</v>
      </c>
      <c r="H83" s="106">
        <f>51296.55/1000*1</f>
        <v>51.296550000000003</v>
      </c>
      <c r="I83" s="89">
        <f t="shared" si="29"/>
        <v>-5.6196200000000047</v>
      </c>
      <c r="J83" s="26">
        <f t="shared" si="30"/>
        <v>-0.10955161701907837</v>
      </c>
      <c r="K83" s="106">
        <f>59503.184068/1000*1</f>
        <v>59.503184068000003</v>
      </c>
      <c r="L83" s="89">
        <f t="shared" si="31"/>
        <v>13.826254068000004</v>
      </c>
      <c r="M83" s="27">
        <f t="shared" si="32"/>
        <v>0.23236158341038382</v>
      </c>
      <c r="N83" s="105">
        <f>124609.8/1000*1</f>
        <v>124.60980000000001</v>
      </c>
      <c r="O83" s="106">
        <f>191611.38/1000*1</f>
        <v>191.61138</v>
      </c>
      <c r="P83" s="89">
        <f t="shared" si="33"/>
        <v>-67.00157999999999</v>
      </c>
      <c r="Q83" s="26">
        <f t="shared" si="34"/>
        <v>-0.34967432518882746</v>
      </c>
      <c r="R83" s="106">
        <f>163284.02196/1000*1</f>
        <v>163.28402196000002</v>
      </c>
      <c r="S83" s="89">
        <f t="shared" si="35"/>
        <v>38.674221960000011</v>
      </c>
      <c r="T83" s="27">
        <f t="shared" si="36"/>
        <v>0.2368524580407145</v>
      </c>
      <c r="U83" s="105">
        <f>335931.17/1000*1</f>
        <v>335.93117000000001</v>
      </c>
      <c r="V83" s="106">
        <f>422334.18/1000*1</f>
        <v>422.33418</v>
      </c>
      <c r="W83" s="89">
        <f t="shared" si="37"/>
        <v>-86.403009999999995</v>
      </c>
      <c r="X83" s="26">
        <f t="shared" si="38"/>
        <v>-0.20458445963336425</v>
      </c>
      <c r="Y83" s="106">
        <f>374605.39196/1000*1</f>
        <v>374.60539195999996</v>
      </c>
      <c r="Z83" s="89">
        <f t="shared" si="39"/>
        <v>38.674221959999954</v>
      </c>
      <c r="AA83" s="27">
        <f t="shared" si="40"/>
        <v>0.10323989667540491</v>
      </c>
      <c r="AB83" s="107">
        <f>782127.9413/1000*1</f>
        <v>782.12794129999997</v>
      </c>
      <c r="AC83" s="1"/>
      <c r="AD83" s="1"/>
      <c r="AE83" s="1"/>
      <c r="AF83" s="1"/>
      <c r="AG83" s="1"/>
      <c r="AH83" s="1"/>
      <c r="AI83" s="1"/>
    </row>
    <row r="84" spans="1:35" ht="14.25" hidden="1" outlineLevel="1" x14ac:dyDescent="0.2">
      <c r="A84" s="1"/>
      <c r="B84" s="3"/>
      <c r="C84" s="3"/>
      <c r="D84" s="3" t="s">
        <v>67</v>
      </c>
      <c r="E84" s="3" t="s">
        <v>52</v>
      </c>
      <c r="F84" s="3">
        <v>935</v>
      </c>
      <c r="G84" s="105">
        <f>46983.39/1000*1</f>
        <v>46.98339</v>
      </c>
      <c r="H84" s="106">
        <f>100572.25/1000*1</f>
        <v>100.57225</v>
      </c>
      <c r="I84" s="89">
        <f t="shared" si="29"/>
        <v>-53.588859999999997</v>
      </c>
      <c r="J84" s="26">
        <f t="shared" si="30"/>
        <v>-0.53283942638252602</v>
      </c>
      <c r="K84" s="106">
        <f>52910.807636/1000*1</f>
        <v>52.910807636000001</v>
      </c>
      <c r="L84" s="89">
        <f t="shared" si="31"/>
        <v>5.9274176360000013</v>
      </c>
      <c r="M84" s="27">
        <f t="shared" si="32"/>
        <v>0.11202659533715081</v>
      </c>
      <c r="N84" s="105">
        <f>162870.6/1000*1</f>
        <v>162.8706</v>
      </c>
      <c r="O84" s="106">
        <f>225424.21/1000*1</f>
        <v>225.42420999999999</v>
      </c>
      <c r="P84" s="89">
        <f t="shared" si="33"/>
        <v>-62.553609999999992</v>
      </c>
      <c r="Q84" s="26">
        <f t="shared" si="34"/>
        <v>-0.27749286556222152</v>
      </c>
      <c r="R84" s="106">
        <f>176302.823096/1000*1</f>
        <v>176.302823096</v>
      </c>
      <c r="S84" s="89">
        <f t="shared" si="35"/>
        <v>13.432223096000001</v>
      </c>
      <c r="T84" s="27">
        <f t="shared" si="36"/>
        <v>7.6188360799451973E-2</v>
      </c>
      <c r="U84" s="105">
        <f>360442.85/1000*1</f>
        <v>360.44284999999996</v>
      </c>
      <c r="V84" s="106">
        <f>394463.5/1000*1</f>
        <v>394.46350000000001</v>
      </c>
      <c r="W84" s="89">
        <f t="shared" si="37"/>
        <v>-34.020650000000046</v>
      </c>
      <c r="X84" s="26">
        <f t="shared" si="38"/>
        <v>-8.624536870965259E-2</v>
      </c>
      <c r="Y84" s="106">
        <f>373875.073096/1000*1</f>
        <v>373.87507309599999</v>
      </c>
      <c r="Z84" s="89">
        <f t="shared" si="39"/>
        <v>13.43222309600003</v>
      </c>
      <c r="AA84" s="27">
        <f t="shared" si="40"/>
        <v>3.5927035693420067E-2</v>
      </c>
      <c r="AB84" s="107">
        <f>855428.01838/1000*1</f>
        <v>855.42801838000003</v>
      </c>
      <c r="AC84" s="1"/>
      <c r="AD84" s="1"/>
      <c r="AE84" s="1"/>
      <c r="AF84" s="1"/>
      <c r="AG84" s="1"/>
      <c r="AH84" s="1"/>
      <c r="AI84" s="1"/>
    </row>
    <row r="85" spans="1:35" ht="14.25" hidden="1" outlineLevel="1" x14ac:dyDescent="0.2">
      <c r="A85" s="1"/>
      <c r="B85" s="3"/>
      <c r="C85" s="3"/>
      <c r="D85" s="3" t="s">
        <v>67</v>
      </c>
      <c r="E85" s="3" t="s">
        <v>53</v>
      </c>
      <c r="F85" s="3">
        <v>921</v>
      </c>
      <c r="G85" s="105">
        <f>0/1000*1</f>
        <v>0</v>
      </c>
      <c r="H85" s="106">
        <f>29.65/1000*1</f>
        <v>2.9649999999999999E-2</v>
      </c>
      <c r="I85" s="89">
        <f t="shared" si="29"/>
        <v>-2.9649999999999999E-2</v>
      </c>
      <c r="J85" s="26">
        <f t="shared" si="30"/>
        <v>-1</v>
      </c>
      <c r="K85" s="106">
        <f>0/1000*1</f>
        <v>0</v>
      </c>
      <c r="L85" s="89">
        <f t="shared" si="31"/>
        <v>0</v>
      </c>
      <c r="M85" s="27" t="str">
        <f t="shared" si="32"/>
        <v>N/A</v>
      </c>
      <c r="N85" s="105">
        <f>0/1000*1</f>
        <v>0</v>
      </c>
      <c r="O85" s="106">
        <f>4448.6/1000*1</f>
        <v>4.4486000000000008</v>
      </c>
      <c r="P85" s="89">
        <f t="shared" si="33"/>
        <v>-4.4486000000000008</v>
      </c>
      <c r="Q85" s="26">
        <f t="shared" si="34"/>
        <v>-1</v>
      </c>
      <c r="R85" s="106">
        <f>0/1000*1</f>
        <v>0</v>
      </c>
      <c r="S85" s="89">
        <f t="shared" si="35"/>
        <v>0</v>
      </c>
      <c r="T85" s="27" t="str">
        <f t="shared" si="36"/>
        <v>N/A</v>
      </c>
      <c r="U85" s="105">
        <f>0/1000*1</f>
        <v>0</v>
      </c>
      <c r="V85" s="106">
        <f>13443.77/1000*1</f>
        <v>13.443770000000001</v>
      </c>
      <c r="W85" s="89">
        <f t="shared" si="37"/>
        <v>-13.443770000000001</v>
      </c>
      <c r="X85" s="26">
        <f t="shared" si="38"/>
        <v>-1</v>
      </c>
      <c r="Y85" s="106">
        <f>0/1000*1</f>
        <v>0</v>
      </c>
      <c r="Z85" s="89">
        <f t="shared" si="39"/>
        <v>0</v>
      </c>
      <c r="AA85" s="27" t="str">
        <f t="shared" si="40"/>
        <v>N/A</v>
      </c>
      <c r="AB85" s="107">
        <f>0/1000*1</f>
        <v>0</v>
      </c>
      <c r="AC85" s="1"/>
      <c r="AD85" s="1"/>
      <c r="AE85" s="1"/>
      <c r="AF85" s="1"/>
      <c r="AG85" s="1"/>
      <c r="AH85" s="1"/>
      <c r="AI85" s="1"/>
    </row>
    <row r="86" spans="1:35" ht="14.25" hidden="1" outlineLevel="1" x14ac:dyDescent="0.2">
      <c r="A86" s="1"/>
      <c r="B86" s="3"/>
      <c r="C86" s="3"/>
      <c r="D86" s="3" t="s">
        <v>67</v>
      </c>
      <c r="E86" s="3" t="s">
        <v>54</v>
      </c>
      <c r="F86" s="3">
        <v>846</v>
      </c>
      <c r="G86" s="105">
        <f>0/1000*1</f>
        <v>0</v>
      </c>
      <c r="H86" s="106">
        <f>0/1000*1</f>
        <v>0</v>
      </c>
      <c r="I86" s="89">
        <f t="shared" si="29"/>
        <v>0</v>
      </c>
      <c r="J86" s="26" t="str">
        <f t="shared" si="30"/>
        <v>N/A</v>
      </c>
      <c r="K86" s="106">
        <f>0/1000*1</f>
        <v>0</v>
      </c>
      <c r="L86" s="89">
        <f t="shared" si="31"/>
        <v>0</v>
      </c>
      <c r="M86" s="27" t="str">
        <f t="shared" si="32"/>
        <v>N/A</v>
      </c>
      <c r="N86" s="105">
        <f>25/1000*1</f>
        <v>2.5000000000000001E-2</v>
      </c>
      <c r="O86" s="106">
        <f>0/1000*1</f>
        <v>0</v>
      </c>
      <c r="P86" s="89">
        <f t="shared" si="33"/>
        <v>2.5000000000000001E-2</v>
      </c>
      <c r="Q86" s="26" t="str">
        <f t="shared" si="34"/>
        <v>N/A</v>
      </c>
      <c r="R86" s="106">
        <f>25/1000*1</f>
        <v>2.5000000000000001E-2</v>
      </c>
      <c r="S86" s="89">
        <f t="shared" si="35"/>
        <v>0</v>
      </c>
      <c r="T86" s="27">
        <f t="shared" si="36"/>
        <v>0</v>
      </c>
      <c r="U86" s="105">
        <f>25/1000*1</f>
        <v>2.5000000000000001E-2</v>
      </c>
      <c r="V86" s="106">
        <f>0/1000*1</f>
        <v>0</v>
      </c>
      <c r="W86" s="89">
        <f t="shared" si="37"/>
        <v>2.5000000000000001E-2</v>
      </c>
      <c r="X86" s="26" t="str">
        <f t="shared" si="38"/>
        <v>N/A</v>
      </c>
      <c r="Y86" s="106">
        <f>25/1000*1</f>
        <v>2.5000000000000001E-2</v>
      </c>
      <c r="Z86" s="89">
        <f t="shared" si="39"/>
        <v>0</v>
      </c>
      <c r="AA86" s="27">
        <f t="shared" si="40"/>
        <v>0</v>
      </c>
      <c r="AB86" s="107">
        <f>25/1000*1</f>
        <v>2.5000000000000001E-2</v>
      </c>
      <c r="AC86" s="1"/>
      <c r="AD86" s="1"/>
      <c r="AE86" s="1"/>
      <c r="AF86" s="1"/>
      <c r="AG86" s="1"/>
      <c r="AH86" s="1"/>
      <c r="AI86" s="1"/>
    </row>
    <row r="87" spans="1:35" ht="14.25" hidden="1" outlineLevel="1" x14ac:dyDescent="0.2">
      <c r="A87" s="1"/>
      <c r="B87" s="3"/>
      <c r="C87" s="3"/>
      <c r="D87" s="3" t="s">
        <v>67</v>
      </c>
      <c r="E87" s="3" t="s">
        <v>54</v>
      </c>
      <c r="F87" s="3">
        <v>865</v>
      </c>
      <c r="G87" s="105">
        <f>0/1000*1</f>
        <v>0</v>
      </c>
      <c r="H87" s="106">
        <f>0/1000*1</f>
        <v>0</v>
      </c>
      <c r="I87" s="89">
        <f t="shared" si="29"/>
        <v>0</v>
      </c>
      <c r="J87" s="26" t="str">
        <f t="shared" si="30"/>
        <v>N/A</v>
      </c>
      <c r="K87" s="106">
        <f>0/1000*1</f>
        <v>0</v>
      </c>
      <c r="L87" s="89">
        <f t="shared" si="31"/>
        <v>0</v>
      </c>
      <c r="M87" s="27" t="str">
        <f t="shared" si="32"/>
        <v>N/A</v>
      </c>
      <c r="N87" s="105">
        <f>64.75/1000*1</f>
        <v>6.4750000000000002E-2</v>
      </c>
      <c r="O87" s="106">
        <f>0/1000*1</f>
        <v>0</v>
      </c>
      <c r="P87" s="89">
        <f t="shared" si="33"/>
        <v>6.4750000000000002E-2</v>
      </c>
      <c r="Q87" s="26" t="str">
        <f t="shared" si="34"/>
        <v>N/A</v>
      </c>
      <c r="R87" s="106">
        <f>0/1000*1</f>
        <v>0</v>
      </c>
      <c r="S87" s="89">
        <f t="shared" si="35"/>
        <v>-6.4750000000000002E-2</v>
      </c>
      <c r="T87" s="27" t="str">
        <f t="shared" si="36"/>
        <v>N/A</v>
      </c>
      <c r="U87" s="105">
        <f>64.75/1000*1</f>
        <v>6.4750000000000002E-2</v>
      </c>
      <c r="V87" s="106">
        <f>0/1000*1</f>
        <v>0</v>
      </c>
      <c r="W87" s="89">
        <f t="shared" si="37"/>
        <v>6.4750000000000002E-2</v>
      </c>
      <c r="X87" s="26" t="str">
        <f t="shared" si="38"/>
        <v>N/A</v>
      </c>
      <c r="Y87" s="106">
        <f>0/1000*1</f>
        <v>0</v>
      </c>
      <c r="Z87" s="89">
        <f t="shared" si="39"/>
        <v>-6.4750000000000002E-2</v>
      </c>
      <c r="AA87" s="27" t="str">
        <f t="shared" si="40"/>
        <v>N/A</v>
      </c>
      <c r="AB87" s="107">
        <f>0/1000*1</f>
        <v>0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"/>
      <c r="C88" s="3"/>
      <c r="D88" s="3" t="s">
        <v>67</v>
      </c>
      <c r="E88" s="3" t="s">
        <v>54</v>
      </c>
      <c r="F88" s="3">
        <v>921</v>
      </c>
      <c r="G88" s="105">
        <f>10100/1000*1</f>
        <v>10.1</v>
      </c>
      <c r="H88" s="106">
        <f>0/1000*1</f>
        <v>0</v>
      </c>
      <c r="I88" s="89">
        <f t="shared" si="29"/>
        <v>10.1</v>
      </c>
      <c r="J88" s="26" t="str">
        <f t="shared" si="30"/>
        <v>N/A</v>
      </c>
      <c r="K88" s="106">
        <f>0/1000*1</f>
        <v>0</v>
      </c>
      <c r="L88" s="89">
        <f t="shared" si="31"/>
        <v>-10.1</v>
      </c>
      <c r="M88" s="27" t="str">
        <f t="shared" si="32"/>
        <v>N/A</v>
      </c>
      <c r="N88" s="105">
        <f>50300/1000*1</f>
        <v>50.3</v>
      </c>
      <c r="O88" s="106">
        <f>115/1000*1</f>
        <v>0.115</v>
      </c>
      <c r="P88" s="89">
        <f t="shared" si="33"/>
        <v>50.184999999999995</v>
      </c>
      <c r="Q88" s="26" t="str">
        <f t="shared" si="34"/>
        <v>N/A</v>
      </c>
      <c r="R88" s="106">
        <f>20100/1000*1</f>
        <v>20.100000000000001</v>
      </c>
      <c r="S88" s="89">
        <f t="shared" si="35"/>
        <v>-30.199999999999996</v>
      </c>
      <c r="T88" s="27">
        <f t="shared" si="36"/>
        <v>-1.5024875621890543</v>
      </c>
      <c r="U88" s="105">
        <f>65496.14/1000*1</f>
        <v>65.496139999999997</v>
      </c>
      <c r="V88" s="106">
        <f>1246/1000*1</f>
        <v>1.246</v>
      </c>
      <c r="W88" s="89">
        <f t="shared" si="37"/>
        <v>64.250140000000002</v>
      </c>
      <c r="X88" s="26" t="str">
        <f t="shared" si="38"/>
        <v>N/A</v>
      </c>
      <c r="Y88" s="106">
        <f>35296.14/1000*1</f>
        <v>35.296140000000001</v>
      </c>
      <c r="Z88" s="89">
        <f t="shared" si="39"/>
        <v>-30.199999999999996</v>
      </c>
      <c r="AA88" s="27">
        <f t="shared" si="40"/>
        <v>-0.85561763977590732</v>
      </c>
      <c r="AB88" s="107">
        <f>35296.14/1000*1</f>
        <v>35.296140000000001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"/>
      <c r="C89" s="3"/>
      <c r="D89" s="3" t="s">
        <v>67</v>
      </c>
      <c r="E89" s="3" t="s">
        <v>54</v>
      </c>
      <c r="F89" s="3">
        <v>935</v>
      </c>
      <c r="G89" s="105">
        <f>5891.32/1000*1</f>
        <v>5.8913199999999994</v>
      </c>
      <c r="H89" s="106">
        <f>0/1000*1</f>
        <v>0</v>
      </c>
      <c r="I89" s="89">
        <f t="shared" si="29"/>
        <v>5.8913199999999994</v>
      </c>
      <c r="J89" s="26" t="str">
        <f t="shared" si="30"/>
        <v>N/A</v>
      </c>
      <c r="K89" s="106">
        <f>0/1000*1</f>
        <v>0</v>
      </c>
      <c r="L89" s="89">
        <f t="shared" si="31"/>
        <v>-5.8913199999999994</v>
      </c>
      <c r="M89" s="27" t="str">
        <f t="shared" si="32"/>
        <v>N/A</v>
      </c>
      <c r="N89" s="105">
        <f>15417.18/1000*1</f>
        <v>15.41718</v>
      </c>
      <c r="O89" s="106">
        <f>7397.5/1000*1</f>
        <v>7.3975</v>
      </c>
      <c r="P89" s="89">
        <f t="shared" si="33"/>
        <v>8.019680000000001</v>
      </c>
      <c r="Q89" s="26">
        <f t="shared" si="34"/>
        <v>1.0841067928354176</v>
      </c>
      <c r="R89" s="106">
        <f>9525.86/1000*1</f>
        <v>9.5258599999999998</v>
      </c>
      <c r="S89" s="89">
        <f t="shared" si="35"/>
        <v>-5.8913200000000003</v>
      </c>
      <c r="T89" s="27">
        <f t="shared" si="36"/>
        <v>-0.61845544654235951</v>
      </c>
      <c r="U89" s="105">
        <f>15417.18/1000*1</f>
        <v>15.41718</v>
      </c>
      <c r="V89" s="106">
        <f>8275/1000*1</f>
        <v>8.2750000000000004</v>
      </c>
      <c r="W89" s="89">
        <f t="shared" si="37"/>
        <v>7.1421799999999998</v>
      </c>
      <c r="X89" s="26">
        <f t="shared" si="38"/>
        <v>0.86310332326283978</v>
      </c>
      <c r="Y89" s="106">
        <f>9525.86/1000*1</f>
        <v>9.5258599999999998</v>
      </c>
      <c r="Z89" s="89">
        <f t="shared" si="39"/>
        <v>-5.8913200000000003</v>
      </c>
      <c r="AA89" s="27">
        <f t="shared" si="40"/>
        <v>-0.61845544654235951</v>
      </c>
      <c r="AB89" s="107">
        <f>9525.86/1000*1</f>
        <v>9.5258599999999998</v>
      </c>
      <c r="AC89" s="1"/>
      <c r="AD89" s="1"/>
      <c r="AE89" s="1"/>
      <c r="AF89" s="1"/>
      <c r="AG89" s="1"/>
      <c r="AH89" s="1"/>
      <c r="AI89" s="1"/>
    </row>
    <row r="90" spans="1:35" ht="14.25" hidden="1" outlineLevel="1" x14ac:dyDescent="0.2">
      <c r="A90" s="1"/>
      <c r="B90" s="3"/>
      <c r="C90" s="3"/>
      <c r="D90" s="3"/>
      <c r="E90" s="3"/>
      <c r="F90" s="3"/>
      <c r="G90" s="105"/>
      <c r="H90" s="106"/>
      <c r="I90" s="89"/>
      <c r="J90" s="26"/>
      <c r="K90" s="106"/>
      <c r="L90" s="89"/>
      <c r="M90" s="27"/>
      <c r="N90" s="105"/>
      <c r="O90" s="106"/>
      <c r="P90" s="89"/>
      <c r="Q90" s="26"/>
      <c r="R90" s="106"/>
      <c r="S90" s="89"/>
      <c r="T90" s="27"/>
      <c r="U90" s="105"/>
      <c r="V90" s="106"/>
      <c r="W90" s="89"/>
      <c r="X90" s="26"/>
      <c r="Y90" s="106"/>
      <c r="Z90" s="89"/>
      <c r="AA90" s="27"/>
      <c r="AB90" s="107"/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"/>
      <c r="C91" s="3"/>
      <c r="D91" s="3"/>
      <c r="E91" s="3"/>
      <c r="F91" s="3"/>
      <c r="G91" s="105"/>
      <c r="H91" s="106"/>
      <c r="I91" s="89"/>
      <c r="J91" s="26"/>
      <c r="K91" s="106"/>
      <c r="L91" s="89"/>
      <c r="M91" s="27"/>
      <c r="N91" s="105"/>
      <c r="O91" s="106"/>
      <c r="P91" s="89"/>
      <c r="Q91" s="26"/>
      <c r="R91" s="106"/>
      <c r="S91" s="89"/>
      <c r="T91" s="27"/>
      <c r="U91" s="105"/>
      <c r="V91" s="106"/>
      <c r="W91" s="89"/>
      <c r="X91" s="26"/>
      <c r="Y91" s="106"/>
      <c r="Z91" s="89"/>
      <c r="AA91" s="27"/>
      <c r="AB91" s="107"/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"/>
      <c r="C92" s="3"/>
      <c r="D92" s="3"/>
      <c r="E92" s="3"/>
      <c r="F92" s="3"/>
      <c r="G92" s="105"/>
      <c r="H92" s="106"/>
      <c r="I92" s="89"/>
      <c r="J92" s="26"/>
      <c r="K92" s="106"/>
      <c r="L92" s="89"/>
      <c r="M92" s="27"/>
      <c r="N92" s="105"/>
      <c r="O92" s="106"/>
      <c r="P92" s="89"/>
      <c r="Q92" s="26"/>
      <c r="R92" s="106"/>
      <c r="S92" s="89"/>
      <c r="T92" s="27"/>
      <c r="U92" s="105"/>
      <c r="V92" s="106"/>
      <c r="W92" s="89"/>
      <c r="X92" s="26"/>
      <c r="Y92" s="106"/>
      <c r="Z92" s="89"/>
      <c r="AA92" s="27"/>
      <c r="AB92" s="107"/>
      <c r="AC92" s="1"/>
      <c r="AD92" s="1"/>
      <c r="AE92" s="1"/>
      <c r="AF92" s="1"/>
      <c r="AG92" s="1"/>
      <c r="AH92" s="1"/>
      <c r="AI92" s="1"/>
    </row>
    <row r="93" spans="1:35" ht="14.25" hidden="1" outlineLevel="1" x14ac:dyDescent="0.2">
      <c r="A93" s="1"/>
      <c r="B93" s="3"/>
      <c r="C93" s="3"/>
      <c r="D93" s="3"/>
      <c r="E93" s="3"/>
      <c r="F93" s="3"/>
      <c r="G93" s="105"/>
      <c r="H93" s="106"/>
      <c r="I93" s="89"/>
      <c r="J93" s="26"/>
      <c r="K93" s="106"/>
      <c r="L93" s="89"/>
      <c r="M93" s="27"/>
      <c r="N93" s="105"/>
      <c r="O93" s="106"/>
      <c r="P93" s="89"/>
      <c r="Q93" s="26"/>
      <c r="R93" s="106"/>
      <c r="S93" s="89"/>
      <c r="T93" s="27"/>
      <c r="U93" s="105"/>
      <c r="V93" s="106"/>
      <c r="W93" s="89"/>
      <c r="X93" s="26"/>
      <c r="Y93" s="106"/>
      <c r="Z93" s="89"/>
      <c r="AA93" s="27"/>
      <c r="AB93" s="107"/>
      <c r="AC93" s="1"/>
      <c r="AD93" s="1"/>
      <c r="AE93" s="1"/>
      <c r="AF93" s="1"/>
      <c r="AG93" s="1"/>
      <c r="AH93" s="1"/>
      <c r="AI93" s="1"/>
    </row>
    <row r="94" spans="1:35" ht="14.25" hidden="1" outlineLevel="1" x14ac:dyDescent="0.2">
      <c r="A94" s="1"/>
      <c r="B94" s="3"/>
      <c r="C94" s="3"/>
      <c r="D94" s="3"/>
      <c r="E94" s="3"/>
      <c r="F94" s="3"/>
      <c r="G94" s="105"/>
      <c r="H94" s="106"/>
      <c r="I94" s="89"/>
      <c r="J94" s="26"/>
      <c r="K94" s="106"/>
      <c r="L94" s="89"/>
      <c r="M94" s="27"/>
      <c r="N94" s="105"/>
      <c r="O94" s="106"/>
      <c r="P94" s="89"/>
      <c r="Q94" s="26"/>
      <c r="R94" s="106"/>
      <c r="S94" s="89"/>
      <c r="T94" s="27"/>
      <c r="U94" s="105"/>
      <c r="V94" s="106"/>
      <c r="W94" s="89"/>
      <c r="X94" s="26"/>
      <c r="Y94" s="106"/>
      <c r="Z94" s="89"/>
      <c r="AA94" s="27"/>
      <c r="AB94" s="107"/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"/>
      <c r="C95" s="3"/>
      <c r="D95" s="3"/>
      <c r="E95" s="3"/>
      <c r="F95" s="3"/>
      <c r="G95" s="105"/>
      <c r="H95" s="106"/>
      <c r="I95" s="89"/>
      <c r="J95" s="26"/>
      <c r="K95" s="106"/>
      <c r="L95" s="89"/>
      <c r="M95" s="27"/>
      <c r="N95" s="105"/>
      <c r="O95" s="106"/>
      <c r="P95" s="89"/>
      <c r="Q95" s="26"/>
      <c r="R95" s="106"/>
      <c r="S95" s="89"/>
      <c r="T95" s="27"/>
      <c r="U95" s="105"/>
      <c r="V95" s="106"/>
      <c r="W95" s="89"/>
      <c r="X95" s="26"/>
      <c r="Y95" s="106"/>
      <c r="Z95" s="89"/>
      <c r="AA95" s="27"/>
      <c r="AB95" s="107"/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"/>
      <c r="C96" s="3"/>
      <c r="D96" s="3"/>
      <c r="E96" s="3"/>
      <c r="F96" s="3"/>
      <c r="G96" s="105"/>
      <c r="H96" s="106"/>
      <c r="I96" s="89"/>
      <c r="J96" s="26"/>
      <c r="K96" s="106"/>
      <c r="L96" s="89"/>
      <c r="M96" s="27"/>
      <c r="N96" s="105"/>
      <c r="O96" s="106"/>
      <c r="P96" s="89"/>
      <c r="Q96" s="26"/>
      <c r="R96" s="106"/>
      <c r="S96" s="89"/>
      <c r="T96" s="27"/>
      <c r="U96" s="105"/>
      <c r="V96" s="106"/>
      <c r="W96" s="89"/>
      <c r="X96" s="26"/>
      <c r="Y96" s="106"/>
      <c r="Z96" s="89"/>
      <c r="AA96" s="27"/>
      <c r="AB96" s="107"/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"/>
      <c r="C97" s="3"/>
      <c r="D97" s="3"/>
      <c r="E97" s="3"/>
      <c r="F97" s="3"/>
      <c r="G97" s="105"/>
      <c r="H97" s="106"/>
      <c r="I97" s="89"/>
      <c r="J97" s="26"/>
      <c r="K97" s="106"/>
      <c r="L97" s="89"/>
      <c r="M97" s="27"/>
      <c r="N97" s="105"/>
      <c r="O97" s="106"/>
      <c r="P97" s="89"/>
      <c r="Q97" s="26"/>
      <c r="R97" s="106"/>
      <c r="S97" s="89"/>
      <c r="T97" s="27"/>
      <c r="U97" s="105"/>
      <c r="V97" s="106"/>
      <c r="W97" s="89"/>
      <c r="X97" s="26"/>
      <c r="Y97" s="106"/>
      <c r="Z97" s="89"/>
      <c r="AA97" s="27"/>
      <c r="AB97" s="107"/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"/>
      <c r="C98" s="3"/>
      <c r="D98" s="3"/>
      <c r="E98" s="3"/>
      <c r="F98" s="3"/>
      <c r="G98" s="105"/>
      <c r="H98" s="106"/>
      <c r="I98" s="89"/>
      <c r="J98" s="26"/>
      <c r="K98" s="106"/>
      <c r="L98" s="89"/>
      <c r="M98" s="27"/>
      <c r="N98" s="105"/>
      <c r="O98" s="106"/>
      <c r="P98" s="89"/>
      <c r="Q98" s="26"/>
      <c r="R98" s="106"/>
      <c r="S98" s="89"/>
      <c r="T98" s="27"/>
      <c r="U98" s="105"/>
      <c r="V98" s="106"/>
      <c r="W98" s="89"/>
      <c r="X98" s="26"/>
      <c r="Y98" s="106"/>
      <c r="Z98" s="89"/>
      <c r="AA98" s="27"/>
      <c r="AB98" s="107"/>
      <c r="AC98" s="1"/>
      <c r="AD98" s="1"/>
      <c r="AE98" s="1"/>
      <c r="AF98" s="1"/>
      <c r="AG98" s="1"/>
      <c r="AH98" s="1"/>
      <c r="AI98" s="1"/>
    </row>
    <row r="99" spans="1:35" ht="14.25" hidden="1" outlineLevel="1" x14ac:dyDescent="0.2">
      <c r="A99" s="1"/>
      <c r="B99" s="3"/>
      <c r="C99" s="3"/>
      <c r="D99" s="3"/>
      <c r="E99" s="3"/>
      <c r="F99" s="3"/>
      <c r="G99" s="105"/>
      <c r="H99" s="106"/>
      <c r="I99" s="89"/>
      <c r="J99" s="26"/>
      <c r="K99" s="106"/>
      <c r="L99" s="89"/>
      <c r="M99" s="27"/>
      <c r="N99" s="105"/>
      <c r="O99" s="106"/>
      <c r="P99" s="89"/>
      <c r="Q99" s="26"/>
      <c r="R99" s="106"/>
      <c r="S99" s="89"/>
      <c r="T99" s="27"/>
      <c r="U99" s="105"/>
      <c r="V99" s="106"/>
      <c r="W99" s="89"/>
      <c r="X99" s="26"/>
      <c r="Y99" s="106"/>
      <c r="Z99" s="89"/>
      <c r="AA99" s="27"/>
      <c r="AB99" s="107"/>
      <c r="AC99" s="1"/>
      <c r="AD99" s="1"/>
      <c r="AE99" s="1"/>
      <c r="AF99" s="1"/>
      <c r="AG99" s="1"/>
      <c r="AH99" s="1"/>
      <c r="AI99" s="1"/>
    </row>
    <row r="100" spans="1:35" ht="14.25" collapsed="1" x14ac:dyDescent="0.2">
      <c r="A100" s="1"/>
      <c r="B100" s="3" t="s">
        <v>70</v>
      </c>
      <c r="C100" s="3"/>
      <c r="D100" s="3"/>
      <c r="E100" s="3"/>
      <c r="F100" s="3"/>
      <c r="G100" s="102">
        <f>SUM(G101:G104)</f>
        <v>83.521749999999997</v>
      </c>
      <c r="H100" s="103">
        <f>SUM(H101:H104)</f>
        <v>156.71229</v>
      </c>
      <c r="I100" s="89">
        <f>G100-H100</f>
        <v>-73.190539999999999</v>
      </c>
      <c r="J100" s="26">
        <f>IF(ISERROR(I100/H100),"N/A",IF(ABS(I100/H100)&gt;5,"N/A",I100/H100))</f>
        <v>-0.46703765224795069</v>
      </c>
      <c r="K100" s="103">
        <f>SUM(K101:K104)</f>
        <v>84.397151803999989</v>
      </c>
      <c r="L100" s="89">
        <f>K100-G100</f>
        <v>0.87540180399999201</v>
      </c>
      <c r="M100" s="27">
        <f>IF(ISERROR(L100/K100),"N/A",IF(ABS(L100/K100)&gt;5,"N/A",L100/K100))</f>
        <v>1.0372409320553664E-2</v>
      </c>
      <c r="N100" s="102">
        <f>SUM(N101:N104)</f>
        <v>498.33213000000001</v>
      </c>
      <c r="O100" s="103">
        <f>SUM(O101:O104)</f>
        <v>454.17059</v>
      </c>
      <c r="P100" s="89">
        <f>N100-O100</f>
        <v>44.161540000000002</v>
      </c>
      <c r="Q100" s="26">
        <f>IF(ISERROR(P100/O100),"N/A",IF(ABS(P100/O100)&gt;5,"N/A",P100/O100))</f>
        <v>9.723557837595781E-2</v>
      </c>
      <c r="R100" s="103">
        <f>SUM(R101:R104)</f>
        <v>428.67190292800001</v>
      </c>
      <c r="S100" s="89">
        <f>R100-N100</f>
        <v>-69.660227071999998</v>
      </c>
      <c r="T100" s="27">
        <f>IF(ISERROR(S100/R100),"N/A",IF(ABS(S100/R100)&gt;5,"N/A",S100/R100))</f>
        <v>-0.16250243273746862</v>
      </c>
      <c r="U100" s="102">
        <f>SUM(U101:U104)</f>
        <v>1254.51558</v>
      </c>
      <c r="V100" s="108">
        <f>SUM(V101:V104)</f>
        <v>898.59788000000003</v>
      </c>
      <c r="W100" s="89">
        <f>U100-V100</f>
        <v>355.91769999999997</v>
      </c>
      <c r="X100" s="26">
        <f>IF(ISERROR(W100/V100),"N/A",IF(ABS(W100/V100)&gt;5,"N/A",W100/V100))</f>
        <v>0.39608117036732821</v>
      </c>
      <c r="Y100" s="103">
        <f>SUM(Y101:Y104)</f>
        <v>1184.855352928</v>
      </c>
      <c r="Z100" s="89">
        <f>Y100-U100</f>
        <v>-69.660227071999998</v>
      </c>
      <c r="AA100" s="27">
        <f>IF(ISERROR(Z100/Y100),"N/A",IF(ABS(Z100/Y100)&gt;5,"N/A",Z100/Y100))</f>
        <v>-5.8792178218089235E-2</v>
      </c>
      <c r="AB100" s="104">
        <f>SUM(AB101:AB104)</f>
        <v>2120.826404079</v>
      </c>
      <c r="AC100" s="1"/>
      <c r="AD100" s="1"/>
      <c r="AE100" s="1"/>
      <c r="AF100" s="1"/>
      <c r="AG100" s="1"/>
      <c r="AH100" s="1"/>
      <c r="AI100" s="1"/>
    </row>
    <row r="101" spans="1:35" ht="14.25" hidden="1" outlineLevel="1" x14ac:dyDescent="0.2">
      <c r="A101" s="1"/>
      <c r="B101" s="3"/>
      <c r="C101" s="3"/>
      <c r="D101" s="3" t="s">
        <v>67</v>
      </c>
      <c r="E101" s="3" t="s">
        <v>51</v>
      </c>
      <c r="F101" s="3">
        <v>920</v>
      </c>
      <c r="G101" s="105">
        <f>83566.92/1000*1</f>
        <v>83.566919999999996</v>
      </c>
      <c r="H101" s="106">
        <f>156712.29/1000*1</f>
        <v>156.71229</v>
      </c>
      <c r="I101" s="89">
        <f>G101-H101</f>
        <v>-73.14537</v>
      </c>
      <c r="J101" s="26">
        <f>IF(ISERROR(I101/H101),"N/A",IF(ABS(I101/H101)&gt;5,"N/A",I101/H101))</f>
        <v>-0.46674941703678763</v>
      </c>
      <c r="K101" s="106">
        <f>84397.151804/1000*1</f>
        <v>84.397151803999989</v>
      </c>
      <c r="L101" s="89">
        <f>K101-G101</f>
        <v>0.83023180399999319</v>
      </c>
      <c r="M101" s="27">
        <f>IF(ISERROR(L101/K101),"N/A",IF(ABS(L101/K101)&gt;5,"N/A",L101/K101))</f>
        <v>9.83720168576405E-3</v>
      </c>
      <c r="N101" s="105">
        <f>498398.48/1000*1</f>
        <v>498.39848000000001</v>
      </c>
      <c r="O101" s="106">
        <f>454170.59/1000*1</f>
        <v>454.17059</v>
      </c>
      <c r="P101" s="89">
        <f>N101-O101</f>
        <v>44.227890000000002</v>
      </c>
      <c r="Q101" s="26">
        <f>IF(ISERROR(P101/O101),"N/A",IF(ABS(P101/O101)&gt;5,"N/A",P101/O101))</f>
        <v>9.7381668857069767E-2</v>
      </c>
      <c r="R101" s="106">
        <f>428671.902928/1000*1</f>
        <v>428.67190292800001</v>
      </c>
      <c r="S101" s="89">
        <f>R101-N101</f>
        <v>-69.726577071999998</v>
      </c>
      <c r="T101" s="27">
        <f>IF(ISERROR(S101/R101),"N/A",IF(ABS(S101/R101)&gt;5,"N/A",S101/R101))</f>
        <v>-0.16265721311739742</v>
      </c>
      <c r="U101" s="105">
        <f>1254498.66/1000*1</f>
        <v>1254.49866</v>
      </c>
      <c r="V101" s="106">
        <f>898597.88/1000*1</f>
        <v>898.59788000000003</v>
      </c>
      <c r="W101" s="89">
        <f>U101-V101</f>
        <v>355.90077999999994</v>
      </c>
      <c r="X101" s="26">
        <f>IF(ISERROR(W101/V101),"N/A",IF(ABS(W101/V101)&gt;5,"N/A",W101/V101))</f>
        <v>0.39606234103289883</v>
      </c>
      <c r="Y101" s="106">
        <f>1184772.082928/1000*1</f>
        <v>1184.7720829279999</v>
      </c>
      <c r="Z101" s="89">
        <f>Y101-U101</f>
        <v>-69.726577072000055</v>
      </c>
      <c r="AA101" s="27">
        <f>IF(ISERROR(Z101/Y101),"N/A",IF(ABS(Z101/Y101)&gt;5,"N/A",Z101/Y101))</f>
        <v>-5.8852312674080309E-2</v>
      </c>
      <c r="AB101" s="107">
        <f>2120743.134079/1000*1</f>
        <v>2120.7431340789999</v>
      </c>
      <c r="AC101" s="1"/>
      <c r="AD101" s="1"/>
      <c r="AE101" s="1"/>
      <c r="AF101" s="1"/>
      <c r="AG101" s="1"/>
      <c r="AH101" s="1"/>
      <c r="AI101" s="1"/>
    </row>
    <row r="102" spans="1:35" ht="14.25" hidden="1" outlineLevel="1" x14ac:dyDescent="0.2">
      <c r="A102" s="1"/>
      <c r="B102" s="3"/>
      <c r="C102" s="3"/>
      <c r="D102" s="3" t="s">
        <v>67</v>
      </c>
      <c r="E102" s="3" t="s">
        <v>54</v>
      </c>
      <c r="F102" s="3">
        <v>920</v>
      </c>
      <c r="G102" s="105">
        <f>-45.17/1000*1</f>
        <v>-4.5170000000000002E-2</v>
      </c>
      <c r="H102" s="106">
        <f>0/1000*1</f>
        <v>0</v>
      </c>
      <c r="I102" s="89">
        <f>G102-H102</f>
        <v>-4.5170000000000002E-2</v>
      </c>
      <c r="J102" s="26" t="str">
        <f>IF(ISERROR(I102/H102),"N/A",IF(ABS(I102/H102)&gt;5,"N/A",I102/H102))</f>
        <v>N/A</v>
      </c>
      <c r="K102" s="106">
        <f>0/1000*1</f>
        <v>0</v>
      </c>
      <c r="L102" s="89">
        <f>K102-G102</f>
        <v>4.5170000000000002E-2</v>
      </c>
      <c r="M102" s="27" t="str">
        <f>IF(ISERROR(L102/K102),"N/A",IF(ABS(L102/K102)&gt;5,"N/A",L102/K102))</f>
        <v>N/A</v>
      </c>
      <c r="N102" s="105">
        <f>-66.35/1000*1</f>
        <v>-6.6349999999999992E-2</v>
      </c>
      <c r="O102" s="106">
        <f>0/1000*1</f>
        <v>0</v>
      </c>
      <c r="P102" s="89">
        <f>N102-O102</f>
        <v>-6.6349999999999992E-2</v>
      </c>
      <c r="Q102" s="26" t="str">
        <f>IF(ISERROR(P102/O102),"N/A",IF(ABS(P102/O102)&gt;5,"N/A",P102/O102))</f>
        <v>N/A</v>
      </c>
      <c r="R102" s="106">
        <f>0/1000*1</f>
        <v>0</v>
      </c>
      <c r="S102" s="89">
        <f>R102-N102</f>
        <v>6.6349999999999992E-2</v>
      </c>
      <c r="T102" s="27" t="str">
        <f>IF(ISERROR(S102/R102),"N/A",IF(ABS(S102/R102)&gt;5,"N/A",S102/R102))</f>
        <v>N/A</v>
      </c>
      <c r="U102" s="105">
        <f>16.92/1000*1</f>
        <v>1.6920000000000001E-2</v>
      </c>
      <c r="V102" s="106">
        <f>0/1000*1</f>
        <v>0</v>
      </c>
      <c r="W102" s="89">
        <f>U102-V102</f>
        <v>1.6920000000000001E-2</v>
      </c>
      <c r="X102" s="26" t="str">
        <f>IF(ISERROR(W102/V102),"N/A",IF(ABS(W102/V102)&gt;5,"N/A",W102/V102))</f>
        <v>N/A</v>
      </c>
      <c r="Y102" s="106">
        <f>83.27/1000*1</f>
        <v>8.3269999999999997E-2</v>
      </c>
      <c r="Z102" s="89">
        <f>Y102-U102</f>
        <v>6.6349999999999992E-2</v>
      </c>
      <c r="AA102" s="27">
        <f>IF(ISERROR(Z102/Y102),"N/A",IF(ABS(Z102/Y102)&gt;5,"N/A",Z102/Y102))</f>
        <v>0.79680557223489845</v>
      </c>
      <c r="AB102" s="107">
        <f>83.27/1000*1</f>
        <v>8.3269999999999997E-2</v>
      </c>
      <c r="AC102" s="1"/>
      <c r="AD102" s="1"/>
      <c r="AE102" s="1"/>
      <c r="AF102" s="1"/>
      <c r="AG102" s="1"/>
      <c r="AH102" s="1"/>
      <c r="AI102" s="1"/>
    </row>
    <row r="103" spans="1:35" ht="14.25" hidden="1" outlineLevel="1" x14ac:dyDescent="0.2">
      <c r="A103" s="1"/>
      <c r="B103" s="3"/>
      <c r="C103" s="3"/>
      <c r="D103" s="3" t="s">
        <v>67</v>
      </c>
      <c r="E103" s="3" t="s">
        <v>56</v>
      </c>
      <c r="F103" s="3">
        <v>920</v>
      </c>
      <c r="G103" s="105">
        <f>0/1000*1</f>
        <v>0</v>
      </c>
      <c r="H103" s="106">
        <f>0/1000*1</f>
        <v>0</v>
      </c>
      <c r="I103" s="89">
        <f>G103-H103</f>
        <v>0</v>
      </c>
      <c r="J103" s="26" t="str">
        <f>IF(ISERROR(I103/H103),"N/A",IF(ABS(I103/H103)&gt;5,"N/A",I103/H103))</f>
        <v>N/A</v>
      </c>
      <c r="K103" s="106">
        <f>0/1000*1</f>
        <v>0</v>
      </c>
      <c r="L103" s="89">
        <f>K103-G103</f>
        <v>0</v>
      </c>
      <c r="M103" s="27" t="str">
        <f>IF(ISERROR(L103/K103),"N/A",IF(ABS(L103/K103)&gt;5,"N/A",L103/K103))</f>
        <v>N/A</v>
      </c>
      <c r="N103" s="105">
        <f>0/1000*1</f>
        <v>0</v>
      </c>
      <c r="O103" s="106">
        <f>0/1000*1</f>
        <v>0</v>
      </c>
      <c r="P103" s="89">
        <f>N103-O103</f>
        <v>0</v>
      </c>
      <c r="Q103" s="26" t="str">
        <f>IF(ISERROR(P103/O103),"N/A",IF(ABS(P103/O103)&gt;5,"N/A",P103/O103))</f>
        <v>N/A</v>
      </c>
      <c r="R103" s="106">
        <f>0/1000*1</f>
        <v>0</v>
      </c>
      <c r="S103" s="89">
        <f>R103-N103</f>
        <v>0</v>
      </c>
      <c r="T103" s="27" t="str">
        <f>IF(ISERROR(S103/R103),"N/A",IF(ABS(S103/R103)&gt;5,"N/A",S103/R103))</f>
        <v>N/A</v>
      </c>
      <c r="U103" s="105">
        <f>0/1000*1</f>
        <v>0</v>
      </c>
      <c r="V103" s="106">
        <f>0/1000*1</f>
        <v>0</v>
      </c>
      <c r="W103" s="89">
        <f>U103-V103</f>
        <v>0</v>
      </c>
      <c r="X103" s="26" t="str">
        <f>IF(ISERROR(W103/V103),"N/A",IF(ABS(W103/V103)&gt;5,"N/A",W103/V103))</f>
        <v>N/A</v>
      </c>
      <c r="Y103" s="106">
        <f>0/1000*1</f>
        <v>0</v>
      </c>
      <c r="Z103" s="89">
        <f>Y103-U103</f>
        <v>0</v>
      </c>
      <c r="AA103" s="27" t="str">
        <f>IF(ISERROR(Z103/Y103),"N/A",IF(ABS(Z103/Y103)&gt;5,"N/A",Z103/Y103))</f>
        <v>N/A</v>
      </c>
      <c r="AB103" s="107">
        <f>0/1000*1</f>
        <v>0</v>
      </c>
      <c r="AC103" s="1"/>
      <c r="AD103" s="1"/>
      <c r="AE103" s="1"/>
      <c r="AF103" s="1"/>
      <c r="AG103" s="1"/>
      <c r="AH103" s="1"/>
      <c r="AI103" s="1"/>
    </row>
    <row r="104" spans="1:35" ht="14.25" hidden="1" outlineLevel="1" x14ac:dyDescent="0.2">
      <c r="A104" s="1"/>
      <c r="B104" s="3"/>
      <c r="C104" s="3"/>
      <c r="D104" s="3"/>
      <c r="E104" s="3"/>
      <c r="F104" s="3"/>
      <c r="G104" s="105"/>
      <c r="H104" s="106"/>
      <c r="I104" s="89"/>
      <c r="J104" s="26"/>
      <c r="K104" s="106"/>
      <c r="L104" s="89"/>
      <c r="M104" s="27"/>
      <c r="N104" s="105"/>
      <c r="O104" s="106"/>
      <c r="P104" s="89"/>
      <c r="Q104" s="26"/>
      <c r="R104" s="106"/>
      <c r="S104" s="89"/>
      <c r="T104" s="27"/>
      <c r="U104" s="105"/>
      <c r="V104" s="106"/>
      <c r="W104" s="89"/>
      <c r="X104" s="26"/>
      <c r="Y104" s="106"/>
      <c r="Z104" s="89"/>
      <c r="AA104" s="27"/>
      <c r="AB104" s="107"/>
      <c r="AC104" s="1"/>
      <c r="AD104" s="1"/>
      <c r="AE104" s="1"/>
      <c r="AF104" s="1"/>
      <c r="AG104" s="1"/>
      <c r="AH104" s="1"/>
      <c r="AI104" s="1"/>
    </row>
    <row r="105" spans="1:35" ht="14.25" hidden="1" outlineLevel="1" x14ac:dyDescent="0.2">
      <c r="A105" s="1"/>
      <c r="B105" s="3"/>
      <c r="C105" s="3"/>
      <c r="D105" s="3"/>
      <c r="E105" s="3"/>
      <c r="F105" s="3"/>
      <c r="G105" s="105"/>
      <c r="H105" s="106"/>
      <c r="I105" s="89"/>
      <c r="J105" s="26"/>
      <c r="K105" s="106"/>
      <c r="L105" s="89"/>
      <c r="M105" s="27"/>
      <c r="N105" s="105"/>
      <c r="O105" s="106"/>
      <c r="P105" s="89"/>
      <c r="Q105" s="26"/>
      <c r="R105" s="106"/>
      <c r="S105" s="89"/>
      <c r="T105" s="27"/>
      <c r="U105" s="105"/>
      <c r="V105" s="106"/>
      <c r="W105" s="89"/>
      <c r="X105" s="26"/>
      <c r="Y105" s="106"/>
      <c r="Z105" s="89"/>
      <c r="AA105" s="27"/>
      <c r="AB105" s="107"/>
      <c r="AC105" s="1"/>
      <c r="AD105" s="1"/>
      <c r="AE105" s="1"/>
      <c r="AF105" s="1"/>
      <c r="AG105" s="1"/>
      <c r="AH105" s="1"/>
      <c r="AI105" s="1"/>
    </row>
    <row r="106" spans="1:35" ht="14.25" collapsed="1" x14ac:dyDescent="0.2">
      <c r="A106" s="1"/>
      <c r="B106" s="3" t="s">
        <v>71</v>
      </c>
      <c r="C106" s="3"/>
      <c r="D106" s="3"/>
      <c r="E106" s="3"/>
      <c r="F106" s="3"/>
      <c r="G106" s="102">
        <f>SUM(G107:G116)</f>
        <v>386.41120999999998</v>
      </c>
      <c r="H106" s="103">
        <f>SUM(H107:H116)</f>
        <v>551.85935999999992</v>
      </c>
      <c r="I106" s="89">
        <f t="shared" ref="I106:I115" si="41">G106-H106</f>
        <v>-165.44814999999994</v>
      </c>
      <c r="J106" s="26">
        <f t="shared" ref="J106:J115" si="42">IF(ISERROR(I106/H106),"N/A",IF(ABS(I106/H106)&gt;5,"N/A",I106/H106))</f>
        <v>-0.29980129357595742</v>
      </c>
      <c r="K106" s="103">
        <f>SUM(K107:K116)</f>
        <v>410.70123999999998</v>
      </c>
      <c r="L106" s="89">
        <f t="shared" ref="L106:L115" si="43">K106-G106</f>
        <v>24.290030000000002</v>
      </c>
      <c r="M106" s="27">
        <f t="shared" ref="M106:M115" si="44">IF(ISERROR(L106/K106),"N/A",IF(ABS(L106/K106)&gt;5,"N/A",L106/K106))</f>
        <v>5.9142821190410824E-2</v>
      </c>
      <c r="N106" s="102">
        <f>SUM(N107:N116)</f>
        <v>1276.1469200000001</v>
      </c>
      <c r="O106" s="103">
        <f>SUM(O107:O116)</f>
        <v>1184.15968</v>
      </c>
      <c r="P106" s="89">
        <f t="shared" ref="P106:P115" si="45">N106-O106</f>
        <v>91.987240000000156</v>
      </c>
      <c r="Q106" s="26">
        <f t="shared" ref="Q106:Q115" si="46">IF(ISERROR(P106/O106),"N/A",IF(ABS(P106/O106)&gt;5,"N/A",P106/O106))</f>
        <v>7.7681449177529976E-2</v>
      </c>
      <c r="R106" s="103">
        <f>SUM(R107:R116)</f>
        <v>1128.0486100000001</v>
      </c>
      <c r="S106" s="89">
        <f t="shared" ref="S106:S115" si="47">R106-N106</f>
        <v>-148.09831000000008</v>
      </c>
      <c r="T106" s="27">
        <f t="shared" ref="T106:T115" si="48">IF(ISERROR(S106/R106),"N/A",IF(ABS(S106/R106)&gt;5,"N/A",S106/R106))</f>
        <v>-0.13128717032859077</v>
      </c>
      <c r="U106" s="102">
        <f>SUM(U107:U116)</f>
        <v>2421.0821199999996</v>
      </c>
      <c r="V106" s="103">
        <f>SUM(V107:V116)</f>
        <v>1780.1509999999998</v>
      </c>
      <c r="W106" s="89">
        <f t="shared" ref="W106:W115" si="49">U106-V106</f>
        <v>640.93111999999974</v>
      </c>
      <c r="X106" s="26">
        <f t="shared" ref="X106:X115" si="50">IF(ISERROR(W106/V106),"N/A",IF(ABS(W106/V106)&gt;5,"N/A",W106/V106))</f>
        <v>0.3600431199375782</v>
      </c>
      <c r="Y106" s="103">
        <f>SUM(Y107:Y116)</f>
        <v>2272.9838099999997</v>
      </c>
      <c r="Z106" s="89">
        <f t="shared" ref="Z106:Z115" si="51">Y106-U106</f>
        <v>-148.09830999999986</v>
      </c>
      <c r="AA106" s="27">
        <f t="shared" ref="AA106:AA115" si="52">IF(ISERROR(Z106/Y106),"N/A",IF(ABS(Z106/Y106)&gt;5,"N/A",Z106/Y106))</f>
        <v>-6.5155901836361899E-2</v>
      </c>
      <c r="AB106" s="104">
        <f>SUM(AB107:AB116)</f>
        <v>2427.0503899999994</v>
      </c>
      <c r="AC106" s="1"/>
      <c r="AD106" s="1"/>
      <c r="AE106" s="1"/>
      <c r="AF106" s="1"/>
      <c r="AG106" s="1"/>
      <c r="AH106" s="1"/>
      <c r="AI106" s="1"/>
    </row>
    <row r="107" spans="1:35" ht="14.25" hidden="1" outlineLevel="1" x14ac:dyDescent="0.2">
      <c r="A107" s="1"/>
      <c r="B107" s="3"/>
      <c r="C107" s="3"/>
      <c r="D107" s="3" t="s">
        <v>67</v>
      </c>
      <c r="E107" s="3" t="s">
        <v>51</v>
      </c>
      <c r="F107" s="3"/>
      <c r="G107" s="105">
        <f>0/1000*1</f>
        <v>0</v>
      </c>
      <c r="H107" s="106">
        <f>0.01/1000*1</f>
        <v>1.0000000000000001E-5</v>
      </c>
      <c r="I107" s="89">
        <f t="shared" si="41"/>
        <v>-1.0000000000000001E-5</v>
      </c>
      <c r="J107" s="26">
        <f t="shared" si="42"/>
        <v>-1</v>
      </c>
      <c r="K107" s="106">
        <f>0/1000*1</f>
        <v>0</v>
      </c>
      <c r="L107" s="89">
        <f t="shared" si="43"/>
        <v>0</v>
      </c>
      <c r="M107" s="27" t="str">
        <f t="shared" si="44"/>
        <v>N/A</v>
      </c>
      <c r="N107" s="105">
        <f>0/1000*1</f>
        <v>0</v>
      </c>
      <c r="O107" s="106">
        <f>0.01/1000*1</f>
        <v>1.0000000000000001E-5</v>
      </c>
      <c r="P107" s="89">
        <f t="shared" si="45"/>
        <v>-1.0000000000000001E-5</v>
      </c>
      <c r="Q107" s="26">
        <f t="shared" si="46"/>
        <v>-1</v>
      </c>
      <c r="R107" s="106">
        <f>0/1000*1</f>
        <v>0</v>
      </c>
      <c r="S107" s="89">
        <f t="shared" si="47"/>
        <v>0</v>
      </c>
      <c r="T107" s="27" t="str">
        <f t="shared" si="48"/>
        <v>N/A</v>
      </c>
      <c r="U107" s="105">
        <f>0/1000*1</f>
        <v>0</v>
      </c>
      <c r="V107" s="106">
        <f>0.01/1000*1</f>
        <v>1.0000000000000001E-5</v>
      </c>
      <c r="W107" s="89">
        <f t="shared" si="49"/>
        <v>-1.0000000000000001E-5</v>
      </c>
      <c r="X107" s="26">
        <f t="shared" si="50"/>
        <v>-1</v>
      </c>
      <c r="Y107" s="106">
        <f>0/1000*1</f>
        <v>0</v>
      </c>
      <c r="Z107" s="89">
        <f t="shared" si="51"/>
        <v>0</v>
      </c>
      <c r="AA107" s="27" t="str">
        <f t="shared" si="52"/>
        <v>N/A</v>
      </c>
      <c r="AB107" s="107">
        <f>0/1000*1</f>
        <v>0</v>
      </c>
      <c r="AC107" s="1"/>
      <c r="AD107" s="1"/>
      <c r="AE107" s="1"/>
      <c r="AF107" s="1"/>
      <c r="AG107" s="1"/>
      <c r="AH107" s="1"/>
      <c r="AI107" s="1"/>
    </row>
    <row r="108" spans="1:35" ht="14.25" hidden="1" outlineLevel="1" x14ac:dyDescent="0.2">
      <c r="A108" s="1"/>
      <c r="B108" s="3"/>
      <c r="C108" s="3"/>
      <c r="D108" s="3" t="s">
        <v>67</v>
      </c>
      <c r="E108" s="3" t="s">
        <v>51</v>
      </c>
      <c r="F108" s="3">
        <v>100</v>
      </c>
      <c r="G108" s="105">
        <f>21378.01/1000*1</f>
        <v>21.37801</v>
      </c>
      <c r="H108" s="106">
        <f>30429.37/1000*1</f>
        <v>30.429369999999999</v>
      </c>
      <c r="I108" s="89">
        <f t="shared" si="41"/>
        <v>-9.051359999999999</v>
      </c>
      <c r="J108" s="26">
        <f t="shared" si="42"/>
        <v>-0.29745472877026369</v>
      </c>
      <c r="K108" s="106">
        <f>0/1000*1</f>
        <v>0</v>
      </c>
      <c r="L108" s="89">
        <f t="shared" si="43"/>
        <v>-21.37801</v>
      </c>
      <c r="M108" s="27" t="str">
        <f t="shared" si="44"/>
        <v>N/A</v>
      </c>
      <c r="N108" s="105">
        <f>49374.58/1000*1</f>
        <v>49.374580000000002</v>
      </c>
      <c r="O108" s="106">
        <f>81225.32/1000*1</f>
        <v>81.225320000000011</v>
      </c>
      <c r="P108" s="89">
        <f t="shared" si="45"/>
        <v>-31.850740000000009</v>
      </c>
      <c r="Q108" s="26">
        <f t="shared" si="46"/>
        <v>-0.3921282181467553</v>
      </c>
      <c r="R108" s="106">
        <f>11471.83/1000*1</f>
        <v>11.471830000000001</v>
      </c>
      <c r="S108" s="89">
        <f t="shared" si="47"/>
        <v>-37.902749999999997</v>
      </c>
      <c r="T108" s="27">
        <f t="shared" si="48"/>
        <v>-3.3039846301767022</v>
      </c>
      <c r="U108" s="105">
        <f>113014.65/1000*1</f>
        <v>113.01464999999999</v>
      </c>
      <c r="V108" s="106">
        <f>139467.87/1000*1</f>
        <v>139.46787</v>
      </c>
      <c r="W108" s="89">
        <f t="shared" si="49"/>
        <v>-26.453220000000016</v>
      </c>
      <c r="X108" s="26">
        <f t="shared" si="50"/>
        <v>-0.18967250306468447</v>
      </c>
      <c r="Y108" s="106">
        <f>75111.9/1000*1</f>
        <v>75.111899999999991</v>
      </c>
      <c r="Z108" s="89">
        <f t="shared" si="51"/>
        <v>-37.902749999999997</v>
      </c>
      <c r="AA108" s="27">
        <f t="shared" si="52"/>
        <v>-0.50461711126998521</v>
      </c>
      <c r="AB108" s="107">
        <f>75111.9/1000*1</f>
        <v>75.111899999999991</v>
      </c>
      <c r="AC108" s="1"/>
      <c r="AD108" s="1"/>
      <c r="AE108" s="1"/>
      <c r="AF108" s="1"/>
      <c r="AG108" s="1"/>
      <c r="AH108" s="1"/>
      <c r="AI108" s="1"/>
    </row>
    <row r="109" spans="1:35" ht="14.25" hidden="1" outlineLevel="1" x14ac:dyDescent="0.2">
      <c r="A109" s="1"/>
      <c r="B109" s="3"/>
      <c r="C109" s="3"/>
      <c r="D109" s="3" t="s">
        <v>67</v>
      </c>
      <c r="E109" s="3" t="s">
        <v>51</v>
      </c>
      <c r="F109" s="3">
        <v>910</v>
      </c>
      <c r="G109" s="105">
        <f>0/1000*1</f>
        <v>0</v>
      </c>
      <c r="H109" s="106">
        <f>0/1000*1</f>
        <v>0</v>
      </c>
      <c r="I109" s="89">
        <f t="shared" si="41"/>
        <v>0</v>
      </c>
      <c r="J109" s="26" t="str">
        <f t="shared" si="42"/>
        <v>N/A</v>
      </c>
      <c r="K109" s="106">
        <f>0/1000*1</f>
        <v>0</v>
      </c>
      <c r="L109" s="89">
        <f t="shared" si="43"/>
        <v>0</v>
      </c>
      <c r="M109" s="27" t="str">
        <f t="shared" si="44"/>
        <v>N/A</v>
      </c>
      <c r="N109" s="105">
        <f>0/1000*1</f>
        <v>0</v>
      </c>
      <c r="O109" s="106">
        <f>0/1000*1</f>
        <v>0</v>
      </c>
      <c r="P109" s="89">
        <f t="shared" si="45"/>
        <v>0</v>
      </c>
      <c r="Q109" s="26" t="str">
        <f t="shared" si="46"/>
        <v>N/A</v>
      </c>
      <c r="R109" s="106">
        <f>0/1000*1</f>
        <v>0</v>
      </c>
      <c r="S109" s="89">
        <f t="shared" si="47"/>
        <v>0</v>
      </c>
      <c r="T109" s="27" t="str">
        <f t="shared" si="48"/>
        <v>N/A</v>
      </c>
      <c r="U109" s="105">
        <f>0/1000*1</f>
        <v>0</v>
      </c>
      <c r="V109" s="106">
        <f>0/1000*1</f>
        <v>0</v>
      </c>
      <c r="W109" s="89">
        <f t="shared" si="49"/>
        <v>0</v>
      </c>
      <c r="X109" s="26" t="str">
        <f t="shared" si="50"/>
        <v>N/A</v>
      </c>
      <c r="Y109" s="106">
        <f>0/1000*1</f>
        <v>0</v>
      </c>
      <c r="Z109" s="89">
        <f t="shared" si="51"/>
        <v>0</v>
      </c>
      <c r="AA109" s="27" t="str">
        <f t="shared" si="52"/>
        <v>N/A</v>
      </c>
      <c r="AB109" s="107">
        <f>0/1000*1</f>
        <v>0</v>
      </c>
      <c r="AC109" s="1"/>
      <c r="AD109" s="1"/>
      <c r="AE109" s="1"/>
      <c r="AF109" s="1"/>
      <c r="AG109" s="1"/>
      <c r="AH109" s="1"/>
      <c r="AI109" s="1"/>
    </row>
    <row r="110" spans="1:35" ht="14.25" hidden="1" outlineLevel="1" x14ac:dyDescent="0.2">
      <c r="A110" s="1"/>
      <c r="B110" s="3"/>
      <c r="C110" s="3"/>
      <c r="D110" s="3" t="s">
        <v>67</v>
      </c>
      <c r="E110" s="3" t="s">
        <v>51</v>
      </c>
      <c r="F110" s="3">
        <v>998</v>
      </c>
      <c r="G110" s="105">
        <f>390951.95/1000*1</f>
        <v>390.95195000000001</v>
      </c>
      <c r="H110" s="106">
        <f>396429.98/1000*1</f>
        <v>396.42998</v>
      </c>
      <c r="I110" s="89">
        <f t="shared" si="41"/>
        <v>-5.4780299999999897</v>
      </c>
      <c r="J110" s="26">
        <f t="shared" si="42"/>
        <v>-1.381840495514489E-2</v>
      </c>
      <c r="K110" s="106">
        <f>410701.24/1000*1</f>
        <v>410.70123999999998</v>
      </c>
      <c r="L110" s="89">
        <f t="shared" si="43"/>
        <v>19.749289999999974</v>
      </c>
      <c r="M110" s="27">
        <f t="shared" si="44"/>
        <v>4.8086755228691234E-2</v>
      </c>
      <c r="N110" s="105">
        <f>1153961.09/1000*1</f>
        <v>1153.96109</v>
      </c>
      <c r="O110" s="106">
        <f>977934.35/1000*1</f>
        <v>977.93434999999999</v>
      </c>
      <c r="P110" s="89">
        <f t="shared" si="45"/>
        <v>176.02674000000002</v>
      </c>
      <c r="Q110" s="26">
        <f t="shared" si="46"/>
        <v>0.17999852444082778</v>
      </c>
      <c r="R110" s="106">
        <f>1041769.78/1000*1</f>
        <v>1041.7697800000001</v>
      </c>
      <c r="S110" s="89">
        <f t="shared" si="47"/>
        <v>-112.19130999999993</v>
      </c>
      <c r="T110" s="27">
        <f t="shared" si="48"/>
        <v>-0.10769299719943874</v>
      </c>
      <c r="U110" s="105">
        <f>2212384.59/1000*1</f>
        <v>2212.3845899999997</v>
      </c>
      <c r="V110" s="106">
        <f>1531117.12/1000*1</f>
        <v>1531.1171200000001</v>
      </c>
      <c r="W110" s="89">
        <f t="shared" si="49"/>
        <v>681.26746999999955</v>
      </c>
      <c r="X110" s="26">
        <f t="shared" si="50"/>
        <v>0.44494798020415283</v>
      </c>
      <c r="Y110" s="106">
        <f>2100193.28/1000*1</f>
        <v>2100.19328</v>
      </c>
      <c r="Z110" s="89">
        <f t="shared" si="51"/>
        <v>-112.1913099999997</v>
      </c>
      <c r="AA110" s="27">
        <f t="shared" si="52"/>
        <v>-5.3419516702767331E-2</v>
      </c>
      <c r="AB110" s="107">
        <f>2254259.86/1000*1</f>
        <v>2254.2598599999997</v>
      </c>
      <c r="AC110" s="1"/>
      <c r="AD110" s="1"/>
      <c r="AE110" s="1"/>
      <c r="AF110" s="1"/>
      <c r="AG110" s="1"/>
      <c r="AH110" s="1"/>
      <c r="AI110" s="1"/>
    </row>
    <row r="111" spans="1:35" ht="14.25" hidden="1" outlineLevel="1" x14ac:dyDescent="0.2">
      <c r="A111" s="1"/>
      <c r="B111" s="3"/>
      <c r="C111" s="3"/>
      <c r="D111" s="3" t="s">
        <v>67</v>
      </c>
      <c r="E111" s="3" t="s">
        <v>69</v>
      </c>
      <c r="F111" s="3">
        <v>998</v>
      </c>
      <c r="G111" s="105">
        <f>150/1000*1</f>
        <v>0.15</v>
      </c>
      <c r="H111" s="106">
        <f>0/1000*1</f>
        <v>0</v>
      </c>
      <c r="I111" s="89">
        <f t="shared" si="41"/>
        <v>0.15</v>
      </c>
      <c r="J111" s="26" t="str">
        <f t="shared" si="42"/>
        <v>N/A</v>
      </c>
      <c r="K111" s="106">
        <f>0/1000*1</f>
        <v>0</v>
      </c>
      <c r="L111" s="89">
        <f t="shared" si="43"/>
        <v>-0.15</v>
      </c>
      <c r="M111" s="27" t="str">
        <f t="shared" si="44"/>
        <v>N/A</v>
      </c>
      <c r="N111" s="105">
        <f>150/1000*1</f>
        <v>0.15</v>
      </c>
      <c r="O111" s="106">
        <f>0/1000*1</f>
        <v>0</v>
      </c>
      <c r="P111" s="89">
        <f t="shared" si="45"/>
        <v>0.15</v>
      </c>
      <c r="Q111" s="26" t="str">
        <f t="shared" si="46"/>
        <v>N/A</v>
      </c>
      <c r="R111" s="106">
        <f>0/1000*1</f>
        <v>0</v>
      </c>
      <c r="S111" s="89">
        <f t="shared" si="47"/>
        <v>-0.15</v>
      </c>
      <c r="T111" s="27" t="str">
        <f t="shared" si="48"/>
        <v>N/A</v>
      </c>
      <c r="U111" s="105">
        <f>3676.81/1000*1</f>
        <v>3.6768100000000001</v>
      </c>
      <c r="V111" s="106">
        <f>9225/1000*1</f>
        <v>9.2249999999999996</v>
      </c>
      <c r="W111" s="89">
        <f t="shared" si="49"/>
        <v>-5.54819</v>
      </c>
      <c r="X111" s="26">
        <f t="shared" si="50"/>
        <v>-0.60142981029810305</v>
      </c>
      <c r="Y111" s="106">
        <f>3526.81/1000*1</f>
        <v>3.5268099999999998</v>
      </c>
      <c r="Z111" s="89">
        <f t="shared" si="51"/>
        <v>-0.15000000000000036</v>
      </c>
      <c r="AA111" s="27">
        <f t="shared" si="52"/>
        <v>-4.2531352695495468E-2</v>
      </c>
      <c r="AB111" s="107">
        <f>3526.81/1000*1</f>
        <v>3.5268099999999998</v>
      </c>
      <c r="AC111" s="1"/>
      <c r="AD111" s="1"/>
      <c r="AE111" s="1"/>
      <c r="AF111" s="1"/>
      <c r="AG111" s="1"/>
      <c r="AH111" s="1"/>
      <c r="AI111" s="1"/>
    </row>
    <row r="112" spans="1:35" ht="14.25" hidden="1" outlineLevel="1" x14ac:dyDescent="0.2">
      <c r="A112" s="1"/>
      <c r="B112" s="3"/>
      <c r="C112" s="3"/>
      <c r="D112" s="3" t="s">
        <v>67</v>
      </c>
      <c r="E112" s="3" t="s">
        <v>54</v>
      </c>
      <c r="F112" s="3">
        <v>998</v>
      </c>
      <c r="G112" s="105">
        <f>0/1000*1</f>
        <v>0</v>
      </c>
      <c r="H112" s="106">
        <f>0/1000*1</f>
        <v>0</v>
      </c>
      <c r="I112" s="89">
        <f t="shared" si="41"/>
        <v>0</v>
      </c>
      <c r="J112" s="26" t="str">
        <f t="shared" si="42"/>
        <v>N/A</v>
      </c>
      <c r="K112" s="106">
        <f>0/1000*1</f>
        <v>0</v>
      </c>
      <c r="L112" s="89">
        <f t="shared" si="43"/>
        <v>0</v>
      </c>
      <c r="M112" s="27" t="str">
        <f t="shared" si="44"/>
        <v>N/A</v>
      </c>
      <c r="N112" s="105">
        <f>0/1000*1</f>
        <v>0</v>
      </c>
      <c r="O112" s="106">
        <f>0/1000*1</f>
        <v>0</v>
      </c>
      <c r="P112" s="89">
        <f t="shared" si="45"/>
        <v>0</v>
      </c>
      <c r="Q112" s="26" t="str">
        <f t="shared" si="46"/>
        <v>N/A</v>
      </c>
      <c r="R112" s="106">
        <f>0/1000*1</f>
        <v>0</v>
      </c>
      <c r="S112" s="89">
        <f t="shared" si="47"/>
        <v>0</v>
      </c>
      <c r="T112" s="27" t="str">
        <f t="shared" si="48"/>
        <v>N/A</v>
      </c>
      <c r="U112" s="105">
        <f>0/1000*1</f>
        <v>0</v>
      </c>
      <c r="V112" s="106">
        <f>0/1000*1</f>
        <v>0</v>
      </c>
      <c r="W112" s="89">
        <f t="shared" si="49"/>
        <v>0</v>
      </c>
      <c r="X112" s="26" t="str">
        <f t="shared" si="50"/>
        <v>N/A</v>
      </c>
      <c r="Y112" s="106">
        <f>0/1000*1</f>
        <v>0</v>
      </c>
      <c r="Z112" s="89">
        <f t="shared" si="51"/>
        <v>0</v>
      </c>
      <c r="AA112" s="27" t="str">
        <f t="shared" si="52"/>
        <v>N/A</v>
      </c>
      <c r="AB112" s="107">
        <f>0/1000*1</f>
        <v>0</v>
      </c>
      <c r="AC112" s="1"/>
      <c r="AD112" s="1"/>
      <c r="AE112" s="1"/>
      <c r="AF112" s="1"/>
      <c r="AG112" s="1"/>
      <c r="AH112" s="1"/>
      <c r="AI112" s="1"/>
    </row>
    <row r="113" spans="1:35" ht="14.25" hidden="1" outlineLevel="1" x14ac:dyDescent="0.2">
      <c r="A113" s="1"/>
      <c r="B113" s="3"/>
      <c r="C113" s="3"/>
      <c r="D113" s="3" t="s">
        <v>67</v>
      </c>
      <c r="E113" s="3" t="s">
        <v>72</v>
      </c>
      <c r="F113" s="3">
        <v>998</v>
      </c>
      <c r="G113" s="105">
        <f>0/1000*1</f>
        <v>0</v>
      </c>
      <c r="H113" s="106">
        <f>0/1000*1</f>
        <v>0</v>
      </c>
      <c r="I113" s="89">
        <f t="shared" si="41"/>
        <v>0</v>
      </c>
      <c r="J113" s="26" t="str">
        <f t="shared" si="42"/>
        <v>N/A</v>
      </c>
      <c r="K113" s="106">
        <f>0/1000*1</f>
        <v>0</v>
      </c>
      <c r="L113" s="89">
        <f t="shared" si="43"/>
        <v>0</v>
      </c>
      <c r="M113" s="27" t="str">
        <f t="shared" si="44"/>
        <v>N/A</v>
      </c>
      <c r="N113" s="105">
        <f>0/1000*1</f>
        <v>0</v>
      </c>
      <c r="O113" s="106">
        <f>0/1000*1</f>
        <v>0</v>
      </c>
      <c r="P113" s="89">
        <f t="shared" si="45"/>
        <v>0</v>
      </c>
      <c r="Q113" s="26" t="str">
        <f t="shared" si="46"/>
        <v>N/A</v>
      </c>
      <c r="R113" s="106">
        <f>0/1000*1</f>
        <v>0</v>
      </c>
      <c r="S113" s="89">
        <f t="shared" si="47"/>
        <v>0</v>
      </c>
      <c r="T113" s="27" t="str">
        <f t="shared" si="48"/>
        <v>N/A</v>
      </c>
      <c r="U113" s="105">
        <f>225/1000*1</f>
        <v>0.22500000000000001</v>
      </c>
      <c r="V113" s="106">
        <f>225/1000*1</f>
        <v>0.22500000000000001</v>
      </c>
      <c r="W113" s="89">
        <f t="shared" si="49"/>
        <v>0</v>
      </c>
      <c r="X113" s="26">
        <f t="shared" si="50"/>
        <v>0</v>
      </c>
      <c r="Y113" s="106">
        <f>225/1000*1</f>
        <v>0.22500000000000001</v>
      </c>
      <c r="Z113" s="89">
        <f t="shared" si="51"/>
        <v>0</v>
      </c>
      <c r="AA113" s="27">
        <f t="shared" si="52"/>
        <v>0</v>
      </c>
      <c r="AB113" s="107">
        <f>225/1000*1</f>
        <v>0.22500000000000001</v>
      </c>
      <c r="AC113" s="1"/>
      <c r="AD113" s="1"/>
      <c r="AE113" s="1"/>
      <c r="AF113" s="1"/>
      <c r="AG113" s="1"/>
      <c r="AH113" s="1"/>
      <c r="AI113" s="1"/>
    </row>
    <row r="114" spans="1:35" ht="14.25" hidden="1" outlineLevel="1" x14ac:dyDescent="0.2">
      <c r="A114" s="1"/>
      <c r="B114" s="3"/>
      <c r="C114" s="3"/>
      <c r="D114" s="3" t="s">
        <v>67</v>
      </c>
      <c r="E114" s="3" t="s">
        <v>55</v>
      </c>
      <c r="F114" s="3">
        <v>998</v>
      </c>
      <c r="G114" s="105">
        <f>8.25/1000*1</f>
        <v>8.2500000000000004E-3</v>
      </c>
      <c r="H114" s="106">
        <f>0/1000*1</f>
        <v>0</v>
      </c>
      <c r="I114" s="89">
        <f t="shared" si="41"/>
        <v>8.2500000000000004E-3</v>
      </c>
      <c r="J114" s="26" t="str">
        <f t="shared" si="42"/>
        <v>N/A</v>
      </c>
      <c r="K114" s="106">
        <f>0/1000*1</f>
        <v>0</v>
      </c>
      <c r="L114" s="89">
        <f t="shared" si="43"/>
        <v>-8.2500000000000004E-3</v>
      </c>
      <c r="M114" s="27" t="str">
        <f t="shared" si="44"/>
        <v>N/A</v>
      </c>
      <c r="N114" s="105">
        <f>8.25/1000*1</f>
        <v>8.2500000000000004E-3</v>
      </c>
      <c r="O114" s="106">
        <f>0/1000*1</f>
        <v>0</v>
      </c>
      <c r="P114" s="89">
        <f t="shared" si="45"/>
        <v>8.2500000000000004E-3</v>
      </c>
      <c r="Q114" s="26" t="str">
        <f t="shared" si="46"/>
        <v>N/A</v>
      </c>
      <c r="R114" s="106">
        <f>0/1000*1</f>
        <v>0</v>
      </c>
      <c r="S114" s="89">
        <f t="shared" si="47"/>
        <v>-8.2500000000000004E-3</v>
      </c>
      <c r="T114" s="27" t="str">
        <f t="shared" si="48"/>
        <v>N/A</v>
      </c>
      <c r="U114" s="105">
        <f>39279.07/1000*1</f>
        <v>39.279069999999997</v>
      </c>
      <c r="V114" s="106">
        <f>0/1000*1</f>
        <v>0</v>
      </c>
      <c r="W114" s="89">
        <f t="shared" si="49"/>
        <v>39.279069999999997</v>
      </c>
      <c r="X114" s="26" t="str">
        <f t="shared" si="50"/>
        <v>N/A</v>
      </c>
      <c r="Y114" s="106">
        <f>39270.82/1000*1</f>
        <v>39.270820000000001</v>
      </c>
      <c r="Z114" s="89">
        <f t="shared" si="51"/>
        <v>-8.2499999999967599E-3</v>
      </c>
      <c r="AA114" s="27">
        <f t="shared" si="52"/>
        <v>-2.1007964692351113E-4</v>
      </c>
      <c r="AB114" s="107">
        <f>39270.82/1000*1</f>
        <v>39.270820000000001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"/>
      <c r="C115" s="3"/>
      <c r="D115" s="3" t="s">
        <v>67</v>
      </c>
      <c r="E115" s="3" t="s">
        <v>57</v>
      </c>
      <c r="F115" s="3">
        <v>998</v>
      </c>
      <c r="G115" s="105">
        <f>-26077/1000*1</f>
        <v>-26.077000000000002</v>
      </c>
      <c r="H115" s="106">
        <f>125000/1000*1</f>
        <v>125</v>
      </c>
      <c r="I115" s="89">
        <f t="shared" si="41"/>
        <v>-151.077</v>
      </c>
      <c r="J115" s="26">
        <f t="shared" si="42"/>
        <v>-1.2086159999999999</v>
      </c>
      <c r="K115" s="106">
        <f>0/1000*1</f>
        <v>0</v>
      </c>
      <c r="L115" s="89">
        <f t="shared" si="43"/>
        <v>26.077000000000002</v>
      </c>
      <c r="M115" s="27" t="str">
        <f t="shared" si="44"/>
        <v>N/A</v>
      </c>
      <c r="N115" s="105">
        <f>72653/1000*1</f>
        <v>72.653000000000006</v>
      </c>
      <c r="O115" s="106">
        <f>125000/1000*1</f>
        <v>125</v>
      </c>
      <c r="P115" s="89">
        <f t="shared" si="45"/>
        <v>-52.346999999999994</v>
      </c>
      <c r="Q115" s="26">
        <f t="shared" si="46"/>
        <v>-0.41877599999999993</v>
      </c>
      <c r="R115" s="106">
        <f>74807/1000*1</f>
        <v>74.807000000000002</v>
      </c>
      <c r="S115" s="89">
        <f t="shared" si="47"/>
        <v>2.1539999999999964</v>
      </c>
      <c r="T115" s="27">
        <f t="shared" si="48"/>
        <v>2.879409680912209E-2</v>
      </c>
      <c r="U115" s="105">
        <f>52502/1000*1</f>
        <v>52.502000000000002</v>
      </c>
      <c r="V115" s="106">
        <f>100116/1000*1</f>
        <v>100.116</v>
      </c>
      <c r="W115" s="89">
        <f t="shared" si="49"/>
        <v>-47.613999999999997</v>
      </c>
      <c r="X115" s="26">
        <f t="shared" si="50"/>
        <v>-0.47558831755164005</v>
      </c>
      <c r="Y115" s="106">
        <f>54656/1000*1</f>
        <v>54.655999999999999</v>
      </c>
      <c r="Z115" s="89">
        <f t="shared" si="51"/>
        <v>2.1539999999999964</v>
      </c>
      <c r="AA115" s="27">
        <f t="shared" si="52"/>
        <v>3.9410128805620545E-2</v>
      </c>
      <c r="AB115" s="107">
        <f>54656/1000*1</f>
        <v>54.655999999999999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"/>
      <c r="C116" s="3"/>
      <c r="D116" s="3"/>
      <c r="E116" s="3"/>
      <c r="F116" s="3"/>
      <c r="G116" s="105"/>
      <c r="H116" s="106"/>
      <c r="I116" s="89"/>
      <c r="J116" s="26"/>
      <c r="K116" s="106"/>
      <c r="L116" s="89"/>
      <c r="M116" s="27"/>
      <c r="N116" s="105"/>
      <c r="O116" s="106"/>
      <c r="P116" s="89"/>
      <c r="Q116" s="26"/>
      <c r="R116" s="106"/>
      <c r="S116" s="89"/>
      <c r="T116" s="27"/>
      <c r="U116" s="105"/>
      <c r="V116" s="106"/>
      <c r="W116" s="89"/>
      <c r="X116" s="26"/>
      <c r="Y116" s="106"/>
      <c r="Z116" s="89"/>
      <c r="AA116" s="27"/>
      <c r="AB116" s="107"/>
      <c r="AC116" s="1"/>
      <c r="AD116" s="1"/>
      <c r="AE116" s="1"/>
      <c r="AF116" s="1"/>
      <c r="AG116" s="1"/>
      <c r="AH116" s="1"/>
      <c r="AI116" s="1"/>
    </row>
    <row r="117" spans="1:35" ht="14.25" hidden="1" outlineLevel="1" x14ac:dyDescent="0.2">
      <c r="A117" s="1"/>
      <c r="B117" s="3"/>
      <c r="C117" s="3"/>
      <c r="D117" s="3"/>
      <c r="E117" s="3"/>
      <c r="F117" s="3"/>
      <c r="G117" s="105"/>
      <c r="H117" s="106"/>
      <c r="I117" s="89"/>
      <c r="J117" s="26"/>
      <c r="K117" s="106"/>
      <c r="L117" s="89"/>
      <c r="M117" s="27"/>
      <c r="N117" s="105"/>
      <c r="O117" s="106"/>
      <c r="P117" s="89"/>
      <c r="Q117" s="26"/>
      <c r="R117" s="106"/>
      <c r="S117" s="89"/>
      <c r="T117" s="27"/>
      <c r="U117" s="105"/>
      <c r="V117" s="106"/>
      <c r="W117" s="89"/>
      <c r="X117" s="26"/>
      <c r="Y117" s="106"/>
      <c r="Z117" s="89"/>
      <c r="AA117" s="27"/>
      <c r="AB117" s="107"/>
      <c r="AC117" s="1"/>
      <c r="AD117" s="1"/>
      <c r="AE117" s="1"/>
      <c r="AF117" s="1"/>
      <c r="AG117" s="1"/>
      <c r="AH117" s="1"/>
      <c r="AI117" s="1"/>
    </row>
    <row r="118" spans="1:35" ht="14.25" collapsed="1" x14ac:dyDescent="0.2">
      <c r="A118" s="1"/>
      <c r="B118" s="3" t="s">
        <v>73</v>
      </c>
      <c r="C118" s="3"/>
      <c r="D118" s="3"/>
      <c r="E118" s="3"/>
      <c r="F118" s="3"/>
      <c r="G118" s="102">
        <f>SUM(G119:G145)</f>
        <v>-555.26060999999982</v>
      </c>
      <c r="H118" s="103">
        <f>SUM(H119:H145)</f>
        <v>1965.9774499999999</v>
      </c>
      <c r="I118" s="89">
        <f t="shared" ref="I118:I144" si="53">G118-H118</f>
        <v>-2521.2380599999997</v>
      </c>
      <c r="J118" s="26">
        <f t="shared" ref="J118:J144" si="54">IF(ISERROR(I118/H118),"N/A",IF(ABS(I118/H118)&gt;5,"N/A",I118/H118))</f>
        <v>-1.2824348824550351</v>
      </c>
      <c r="K118" s="103">
        <f>SUM(K119:K145)</f>
        <v>2179.4389999999999</v>
      </c>
      <c r="L118" s="89">
        <f t="shared" ref="L118:L144" si="55">K118-G118</f>
        <v>2734.6996099999997</v>
      </c>
      <c r="M118" s="27">
        <f t="shared" ref="M118:M144" si="56">IF(ISERROR(L118/K118),"N/A",IF(ABS(L118/K118)&gt;5,"N/A",L118/K118))</f>
        <v>1.2547722647892416</v>
      </c>
      <c r="N118" s="102">
        <f>SUM(N119:N145)</f>
        <v>-555.26060999999982</v>
      </c>
      <c r="O118" s="103">
        <f>SUM(O119:O145)</f>
        <v>1965.9774499999999</v>
      </c>
      <c r="P118" s="89">
        <f t="shared" ref="P118:P144" si="57">N118-O118</f>
        <v>-2521.2380599999997</v>
      </c>
      <c r="Q118" s="26">
        <f t="shared" ref="Q118:Q144" si="58">IF(ISERROR(P118/O118),"N/A",IF(ABS(P118/O118)&gt;5,"N/A",P118/O118))</f>
        <v>-1.2824348824550351</v>
      </c>
      <c r="R118" s="103">
        <f>SUM(R119:R145)</f>
        <v>2179.4389999999999</v>
      </c>
      <c r="S118" s="89">
        <f t="shared" ref="S118:S144" si="59">R118-N118</f>
        <v>2734.6996099999997</v>
      </c>
      <c r="T118" s="27">
        <f t="shared" ref="T118:T144" si="60">IF(ISERROR(S118/R118),"N/A",IF(ABS(S118/R118)&gt;5,"N/A",S118/R118))</f>
        <v>1.2547722647892416</v>
      </c>
      <c r="U118" s="102">
        <f>SUM(U119:U145)</f>
        <v>4633.3575200000005</v>
      </c>
      <c r="V118" s="108">
        <f>SUM(V119:V145)</f>
        <v>2019.9587199999999</v>
      </c>
      <c r="W118" s="89">
        <f t="shared" ref="W118:W144" si="61">U118-V118</f>
        <v>2613.3988000000008</v>
      </c>
      <c r="X118" s="26">
        <f t="shared" ref="X118:X144" si="62">IF(ISERROR(W118/V118),"N/A",IF(ABS(W118/V118)&gt;5,"N/A",W118/V118))</f>
        <v>1.2937882215731622</v>
      </c>
      <c r="Y118" s="103">
        <f>SUM(Y119:Y145)</f>
        <v>7368.0571300000001</v>
      </c>
      <c r="Z118" s="89">
        <f t="shared" ref="Z118:Z144" si="63">Y118-U118</f>
        <v>2734.6996099999997</v>
      </c>
      <c r="AA118" s="27">
        <f t="shared" ref="AA118:AA144" si="64">IF(ISERROR(Z118/Y118),"N/A",IF(ABS(Z118/Y118)&gt;5,"N/A",Z118/Y118))</f>
        <v>0.37115613543023651</v>
      </c>
      <c r="AB118" s="104">
        <f>SUM(AB119:AB145)</f>
        <v>12964.754130000001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"/>
      <c r="C119" s="3"/>
      <c r="D119" s="3" t="s">
        <v>67</v>
      </c>
      <c r="E119" s="3" t="s">
        <v>51</v>
      </c>
      <c r="F119" s="3">
        <v>641</v>
      </c>
      <c r="G119" s="105">
        <f>106172.67/1000*1</f>
        <v>106.17267</v>
      </c>
      <c r="H119" s="106">
        <f>-265566.15/1000*1</f>
        <v>-265.56615000000005</v>
      </c>
      <c r="I119" s="89">
        <f t="shared" si="53"/>
        <v>371.73882000000003</v>
      </c>
      <c r="J119" s="26">
        <f t="shared" si="54"/>
        <v>-1.3997974515953933</v>
      </c>
      <c r="K119" s="106">
        <f>145956/1000*1</f>
        <v>145.95599999999999</v>
      </c>
      <c r="L119" s="89">
        <f t="shared" si="55"/>
        <v>39.783329999999992</v>
      </c>
      <c r="M119" s="27">
        <f t="shared" si="56"/>
        <v>0.27257070624023677</v>
      </c>
      <c r="N119" s="105">
        <f>106172.67/1000*1</f>
        <v>106.17267</v>
      </c>
      <c r="O119" s="106">
        <f>-265566.15/1000*1</f>
        <v>-265.56615000000005</v>
      </c>
      <c r="P119" s="89">
        <f t="shared" si="57"/>
        <v>371.73882000000003</v>
      </c>
      <c r="Q119" s="26">
        <f t="shared" si="58"/>
        <v>-1.3997974515953933</v>
      </c>
      <c r="R119" s="106">
        <f>145956/1000*1</f>
        <v>145.95599999999999</v>
      </c>
      <c r="S119" s="89">
        <f t="shared" si="59"/>
        <v>39.783329999999992</v>
      </c>
      <c r="T119" s="27">
        <f t="shared" si="60"/>
        <v>0.27257070624023677</v>
      </c>
      <c r="U119" s="105">
        <f>280644.8/1000*1</f>
        <v>280.64479999999998</v>
      </c>
      <c r="V119" s="106">
        <f>-2145708.63/1000*1</f>
        <v>-2145.7086300000001</v>
      </c>
      <c r="W119" s="89">
        <f t="shared" si="61"/>
        <v>2426.3534300000001</v>
      </c>
      <c r="X119" s="26">
        <f t="shared" si="62"/>
        <v>-1.1307935271714875</v>
      </c>
      <c r="Y119" s="106">
        <f>320428.13/1000*1</f>
        <v>320.42813000000001</v>
      </c>
      <c r="Z119" s="89">
        <f t="shared" si="63"/>
        <v>39.783330000000035</v>
      </c>
      <c r="AA119" s="27">
        <f t="shared" si="64"/>
        <v>0.1241567960965226</v>
      </c>
      <c r="AB119" s="107">
        <f>709646.13/1000*1</f>
        <v>709.64612999999997</v>
      </c>
      <c r="AC119" s="1"/>
      <c r="AD119" s="1"/>
      <c r="AE119" s="1"/>
      <c r="AF119" s="1"/>
      <c r="AG119" s="1"/>
      <c r="AH119" s="1"/>
      <c r="AI119" s="1"/>
    </row>
    <row r="120" spans="1:35" ht="14.25" hidden="1" outlineLevel="1" x14ac:dyDescent="0.2">
      <c r="A120" s="1"/>
      <c r="B120" s="3"/>
      <c r="C120" s="3"/>
      <c r="D120" s="3" t="s">
        <v>67</v>
      </c>
      <c r="E120" s="3" t="s">
        <v>51</v>
      </c>
      <c r="F120" s="3">
        <v>810</v>
      </c>
      <c r="G120" s="105">
        <f>-2408.54/1000*1</f>
        <v>-2.4085399999999999</v>
      </c>
      <c r="H120" s="106">
        <f>82168.01/1000*1</f>
        <v>82.168009999999995</v>
      </c>
      <c r="I120" s="89">
        <f t="shared" si="53"/>
        <v>-84.576549999999997</v>
      </c>
      <c r="J120" s="26">
        <f t="shared" si="54"/>
        <v>-1.0293123808158431</v>
      </c>
      <c r="K120" s="106">
        <f>50332/1000*1</f>
        <v>50.332000000000001</v>
      </c>
      <c r="L120" s="89">
        <f t="shared" si="55"/>
        <v>52.740540000000003</v>
      </c>
      <c r="M120" s="27">
        <f t="shared" si="56"/>
        <v>1.0478530557100851</v>
      </c>
      <c r="N120" s="105">
        <f>-2408.54/1000*1</f>
        <v>-2.4085399999999999</v>
      </c>
      <c r="O120" s="106">
        <f>82168.01/1000*1</f>
        <v>82.168009999999995</v>
      </c>
      <c r="P120" s="89">
        <f t="shared" si="57"/>
        <v>-84.576549999999997</v>
      </c>
      <c r="Q120" s="26">
        <f t="shared" si="58"/>
        <v>-1.0293123808158431</v>
      </c>
      <c r="R120" s="106">
        <f>50332/1000*1</f>
        <v>50.332000000000001</v>
      </c>
      <c r="S120" s="89">
        <f t="shared" si="59"/>
        <v>52.740540000000003</v>
      </c>
      <c r="T120" s="27">
        <f t="shared" si="60"/>
        <v>1.0478530557100851</v>
      </c>
      <c r="U120" s="105">
        <f>-2408.54/1000*1</f>
        <v>-2.4085399999999999</v>
      </c>
      <c r="V120" s="106">
        <f>176935.47/1000*1</f>
        <v>176.93547000000001</v>
      </c>
      <c r="W120" s="89">
        <f t="shared" si="61"/>
        <v>-179.34401</v>
      </c>
      <c r="X120" s="26">
        <f t="shared" si="62"/>
        <v>-1.0136125334281474</v>
      </c>
      <c r="Y120" s="106">
        <f>50332/1000*1</f>
        <v>50.332000000000001</v>
      </c>
      <c r="Z120" s="89">
        <f t="shared" si="63"/>
        <v>52.740540000000003</v>
      </c>
      <c r="AA120" s="27">
        <f t="shared" si="64"/>
        <v>1.0478530557100851</v>
      </c>
      <c r="AB120" s="107">
        <f>184550/1000*1</f>
        <v>184.55</v>
      </c>
      <c r="AC120" s="1"/>
      <c r="AD120" s="1"/>
      <c r="AE120" s="1"/>
      <c r="AF120" s="1"/>
      <c r="AG120" s="1"/>
      <c r="AH120" s="1"/>
      <c r="AI120" s="1"/>
    </row>
    <row r="121" spans="1:35" ht="14.25" hidden="1" outlineLevel="1" x14ac:dyDescent="0.2">
      <c r="A121" s="1"/>
      <c r="B121" s="3"/>
      <c r="C121" s="3"/>
      <c r="D121" s="3" t="s">
        <v>67</v>
      </c>
      <c r="E121" s="3" t="s">
        <v>51</v>
      </c>
      <c r="F121" s="3">
        <v>811</v>
      </c>
      <c r="G121" s="105">
        <f>-3907.21/1000*1</f>
        <v>-3.9072100000000001</v>
      </c>
      <c r="H121" s="106">
        <f>2255.87/1000*1</f>
        <v>2.2558699999999998</v>
      </c>
      <c r="I121" s="89">
        <f t="shared" si="53"/>
        <v>-6.1630799999999999</v>
      </c>
      <c r="J121" s="26">
        <f t="shared" si="54"/>
        <v>-2.7320191323081562</v>
      </c>
      <c r="K121" s="106">
        <f>2241/1000*1</f>
        <v>2.2410000000000001</v>
      </c>
      <c r="L121" s="89">
        <f t="shared" si="55"/>
        <v>6.1482100000000006</v>
      </c>
      <c r="M121" s="27">
        <f t="shared" si="56"/>
        <v>2.7435118250780901</v>
      </c>
      <c r="N121" s="105">
        <f>-3907.21/1000*1</f>
        <v>-3.9072100000000001</v>
      </c>
      <c r="O121" s="106">
        <f>2255.87/1000*1</f>
        <v>2.2558699999999998</v>
      </c>
      <c r="P121" s="89">
        <f t="shared" si="57"/>
        <v>-6.1630799999999999</v>
      </c>
      <c r="Q121" s="26">
        <f t="shared" si="58"/>
        <v>-2.7320191323081562</v>
      </c>
      <c r="R121" s="106">
        <f>2241/1000*1</f>
        <v>2.2410000000000001</v>
      </c>
      <c r="S121" s="89">
        <f t="shared" si="59"/>
        <v>6.1482100000000006</v>
      </c>
      <c r="T121" s="27">
        <f t="shared" si="60"/>
        <v>2.7435118250780901</v>
      </c>
      <c r="U121" s="105">
        <f>-2215.08/1000*1</f>
        <v>-2.2150799999999999</v>
      </c>
      <c r="V121" s="106">
        <f>4511.76/1000*1</f>
        <v>4.5117600000000007</v>
      </c>
      <c r="W121" s="89">
        <f t="shared" si="61"/>
        <v>-6.726840000000001</v>
      </c>
      <c r="X121" s="26">
        <f t="shared" si="62"/>
        <v>-1.4909569657960531</v>
      </c>
      <c r="Y121" s="106">
        <f>3933.13/1000*1</f>
        <v>3.9331300000000002</v>
      </c>
      <c r="Z121" s="89">
        <f t="shared" si="63"/>
        <v>6.1482100000000006</v>
      </c>
      <c r="AA121" s="27">
        <f t="shared" si="64"/>
        <v>1.5631850460066157</v>
      </c>
      <c r="AB121" s="107">
        <f>9376.13/1000*1</f>
        <v>9.3761299999999999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"/>
      <c r="C122" s="3"/>
      <c r="D122" s="3" t="s">
        <v>67</v>
      </c>
      <c r="E122" s="3" t="s">
        <v>51</v>
      </c>
      <c r="F122" s="3">
        <v>815</v>
      </c>
      <c r="G122" s="105">
        <f>-388.41/1000*1</f>
        <v>-0.38841000000000003</v>
      </c>
      <c r="H122" s="106">
        <f>28630.01/1000*1</f>
        <v>28.630009999999999</v>
      </c>
      <c r="I122" s="89">
        <f t="shared" si="53"/>
        <v>-29.018419999999999</v>
      </c>
      <c r="J122" s="26">
        <f t="shared" si="54"/>
        <v>-1.0135665338573057</v>
      </c>
      <c r="K122" s="106">
        <f>11628/1000*1</f>
        <v>11.628</v>
      </c>
      <c r="L122" s="89">
        <f t="shared" si="55"/>
        <v>12.01641</v>
      </c>
      <c r="M122" s="27">
        <f t="shared" si="56"/>
        <v>1.0334029927760577</v>
      </c>
      <c r="N122" s="105">
        <f>-388.41/1000*1</f>
        <v>-0.38841000000000003</v>
      </c>
      <c r="O122" s="106">
        <f>28630.01/1000*1</f>
        <v>28.630009999999999</v>
      </c>
      <c r="P122" s="89">
        <f t="shared" si="57"/>
        <v>-29.018419999999999</v>
      </c>
      <c r="Q122" s="26">
        <f t="shared" si="58"/>
        <v>-1.0135665338573057</v>
      </c>
      <c r="R122" s="106">
        <f>11628/1000*1</f>
        <v>11.628</v>
      </c>
      <c r="S122" s="89">
        <f t="shared" si="59"/>
        <v>12.01641</v>
      </c>
      <c r="T122" s="27">
        <f t="shared" si="60"/>
        <v>1.0334029927760577</v>
      </c>
      <c r="U122" s="105">
        <f>4822.52/1000*1</f>
        <v>4.8225200000000008</v>
      </c>
      <c r="V122" s="106">
        <f>57260.02/1000*1</f>
        <v>57.260019999999997</v>
      </c>
      <c r="W122" s="89">
        <f t="shared" si="61"/>
        <v>-52.4375</v>
      </c>
      <c r="X122" s="26">
        <f t="shared" si="62"/>
        <v>-0.9157785833815637</v>
      </c>
      <c r="Y122" s="106">
        <f>16838.93/1000*1</f>
        <v>16.838930000000001</v>
      </c>
      <c r="Z122" s="89">
        <f t="shared" si="63"/>
        <v>12.01641</v>
      </c>
      <c r="AA122" s="27">
        <f t="shared" si="64"/>
        <v>0.71360888132440714</v>
      </c>
      <c r="AB122" s="107">
        <f>47313.93/1000*1</f>
        <v>47.313929999999999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"/>
      <c r="C123" s="3"/>
      <c r="D123" s="3" t="s">
        <v>67</v>
      </c>
      <c r="E123" s="3" t="s">
        <v>51</v>
      </c>
      <c r="F123" s="3">
        <v>830</v>
      </c>
      <c r="G123" s="105">
        <f>-74211.65/1000*1</f>
        <v>-74.211649999999992</v>
      </c>
      <c r="H123" s="106">
        <f>119708.83/1000*1</f>
        <v>119.70883000000001</v>
      </c>
      <c r="I123" s="89">
        <f t="shared" si="53"/>
        <v>-193.92048</v>
      </c>
      <c r="J123" s="26">
        <f t="shared" si="54"/>
        <v>-1.619934636400673</v>
      </c>
      <c r="K123" s="106">
        <f>120930/1000*1</f>
        <v>120.93</v>
      </c>
      <c r="L123" s="89">
        <f t="shared" si="55"/>
        <v>195.14165</v>
      </c>
      <c r="M123" s="27">
        <f t="shared" si="56"/>
        <v>1.6136744397585379</v>
      </c>
      <c r="N123" s="105">
        <f>-74211.65/1000*1</f>
        <v>-74.211649999999992</v>
      </c>
      <c r="O123" s="106">
        <f>119708.83/1000*1</f>
        <v>119.70883000000001</v>
      </c>
      <c r="P123" s="89">
        <f t="shared" si="57"/>
        <v>-193.92048</v>
      </c>
      <c r="Q123" s="26">
        <f t="shared" si="58"/>
        <v>-1.619934636400673</v>
      </c>
      <c r="R123" s="106">
        <f>120930/1000*1</f>
        <v>120.93</v>
      </c>
      <c r="S123" s="89">
        <f t="shared" si="59"/>
        <v>195.14165</v>
      </c>
      <c r="T123" s="27">
        <f t="shared" si="60"/>
        <v>1.6136744397585379</v>
      </c>
      <c r="U123" s="105">
        <f>64842.12/1000*1</f>
        <v>64.842120000000008</v>
      </c>
      <c r="V123" s="106">
        <f>253889.18/1000*1</f>
        <v>253.88917999999998</v>
      </c>
      <c r="W123" s="89">
        <f t="shared" si="61"/>
        <v>-189.04705999999999</v>
      </c>
      <c r="X123" s="26">
        <f t="shared" si="62"/>
        <v>-0.74460463419512402</v>
      </c>
      <c r="Y123" s="106">
        <f>259983.77/1000*1</f>
        <v>259.98376999999999</v>
      </c>
      <c r="Z123" s="89">
        <f t="shared" si="63"/>
        <v>195.14164999999997</v>
      </c>
      <c r="AA123" s="27">
        <f t="shared" si="64"/>
        <v>0.75059166193335825</v>
      </c>
      <c r="AB123" s="107">
        <f>566167.77/1000*1</f>
        <v>566.16777000000002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"/>
      <c r="C124" s="3"/>
      <c r="D124" s="3" t="s">
        <v>67</v>
      </c>
      <c r="E124" s="3" t="s">
        <v>51</v>
      </c>
      <c r="F124" s="3">
        <v>831</v>
      </c>
      <c r="G124" s="105">
        <f>-135677.55/1000*1</f>
        <v>-135.67755</v>
      </c>
      <c r="H124" s="106">
        <f>85725.36/1000*1</f>
        <v>85.725359999999995</v>
      </c>
      <c r="I124" s="89">
        <f t="shared" si="53"/>
        <v>-221.40290999999999</v>
      </c>
      <c r="J124" s="26">
        <f t="shared" si="54"/>
        <v>-2.5827002651257458</v>
      </c>
      <c r="K124" s="106">
        <f>133877/1000*1</f>
        <v>133.87700000000001</v>
      </c>
      <c r="L124" s="89">
        <f t="shared" si="55"/>
        <v>269.55455000000001</v>
      </c>
      <c r="M124" s="27">
        <f t="shared" si="56"/>
        <v>2.013449285538218</v>
      </c>
      <c r="N124" s="105">
        <f>-135677.55/1000*1</f>
        <v>-135.67755</v>
      </c>
      <c r="O124" s="106">
        <f>85725.36/1000*1</f>
        <v>85.725359999999995</v>
      </c>
      <c r="P124" s="89">
        <f t="shared" si="57"/>
        <v>-221.40290999999999</v>
      </c>
      <c r="Q124" s="26">
        <f t="shared" si="58"/>
        <v>-2.5827002651257458</v>
      </c>
      <c r="R124" s="106">
        <f>133877/1000*1</f>
        <v>133.87700000000001</v>
      </c>
      <c r="S124" s="89">
        <f t="shared" si="59"/>
        <v>269.55455000000001</v>
      </c>
      <c r="T124" s="27">
        <f t="shared" si="60"/>
        <v>2.013449285538218</v>
      </c>
      <c r="U124" s="105">
        <f>-70324.15/1000*1</f>
        <v>-70.324149999999989</v>
      </c>
      <c r="V124" s="106">
        <f>123876/1000*1</f>
        <v>123.876</v>
      </c>
      <c r="W124" s="89">
        <f t="shared" si="61"/>
        <v>-194.20015000000001</v>
      </c>
      <c r="X124" s="26">
        <f t="shared" si="62"/>
        <v>-1.5676979398753592</v>
      </c>
      <c r="Y124" s="106">
        <f>199230.4/1000*1</f>
        <v>199.2304</v>
      </c>
      <c r="Z124" s="89">
        <f t="shared" si="63"/>
        <v>269.55455000000001</v>
      </c>
      <c r="AA124" s="27">
        <f t="shared" si="64"/>
        <v>1.3529790132429589</v>
      </c>
      <c r="AB124" s="107">
        <f>526741.4/1000*1</f>
        <v>526.7414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"/>
      <c r="C125" s="3"/>
      <c r="D125" s="3" t="s">
        <v>67</v>
      </c>
      <c r="E125" s="3" t="s">
        <v>51</v>
      </c>
      <c r="F125" s="3">
        <v>840</v>
      </c>
      <c r="G125" s="105">
        <f>-19254.35/1000*1</f>
        <v>-19.254349999999999</v>
      </c>
      <c r="H125" s="106">
        <f>9171.31/1000*1</f>
        <v>9.1713100000000001</v>
      </c>
      <c r="I125" s="89">
        <f t="shared" si="53"/>
        <v>-28.425660000000001</v>
      </c>
      <c r="J125" s="26">
        <f t="shared" si="54"/>
        <v>-3.0994110983054766</v>
      </c>
      <c r="K125" s="106">
        <f>8465/1000*1</f>
        <v>8.4649999999999999</v>
      </c>
      <c r="L125" s="89">
        <f t="shared" si="55"/>
        <v>27.719349999999999</v>
      </c>
      <c r="M125" s="27">
        <f t="shared" si="56"/>
        <v>3.2745835794447724</v>
      </c>
      <c r="N125" s="105">
        <f>-19254.35/1000*1</f>
        <v>-19.254349999999999</v>
      </c>
      <c r="O125" s="106">
        <f>9171.31/1000*1</f>
        <v>9.1713100000000001</v>
      </c>
      <c r="P125" s="89">
        <f t="shared" si="57"/>
        <v>-28.425660000000001</v>
      </c>
      <c r="Q125" s="26">
        <f t="shared" si="58"/>
        <v>-3.0994110983054766</v>
      </c>
      <c r="R125" s="106">
        <f>8465/1000*1</f>
        <v>8.4649999999999999</v>
      </c>
      <c r="S125" s="89">
        <f t="shared" si="59"/>
        <v>27.719349999999999</v>
      </c>
      <c r="T125" s="27">
        <f t="shared" si="60"/>
        <v>3.2745835794447724</v>
      </c>
      <c r="U125" s="105">
        <f>-10532.4/1000*1</f>
        <v>-10.532399999999999</v>
      </c>
      <c r="V125" s="106">
        <f>18342.65/1000*1</f>
        <v>18.342650000000003</v>
      </c>
      <c r="W125" s="89">
        <f t="shared" si="61"/>
        <v>-28.875050000000002</v>
      </c>
      <c r="X125" s="26">
        <f t="shared" si="62"/>
        <v>-1.574202746059048</v>
      </c>
      <c r="Y125" s="106">
        <f>17186.95/1000*1</f>
        <v>17.18695</v>
      </c>
      <c r="Z125" s="89">
        <f t="shared" si="63"/>
        <v>27.719349999999999</v>
      </c>
      <c r="AA125" s="27">
        <f t="shared" si="64"/>
        <v>1.6128137918595213</v>
      </c>
      <c r="AB125" s="107">
        <f>38515.95/1000*1</f>
        <v>38.515949999999997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1" x14ac:dyDescent="0.2">
      <c r="A126" s="1"/>
      <c r="B126" s="3"/>
      <c r="C126" s="3"/>
      <c r="D126" s="3" t="s">
        <v>67</v>
      </c>
      <c r="E126" s="3" t="s">
        <v>51</v>
      </c>
      <c r="F126" s="3">
        <v>841</v>
      </c>
      <c r="G126" s="105">
        <f>-37638.7/1000*1</f>
        <v>-37.6387</v>
      </c>
      <c r="H126" s="106">
        <f>-59428.44/1000*1</f>
        <v>-59.428440000000002</v>
      </c>
      <c r="I126" s="89">
        <f t="shared" si="53"/>
        <v>21.789740000000002</v>
      </c>
      <c r="J126" s="26">
        <f t="shared" si="54"/>
        <v>-0.36665508971798688</v>
      </c>
      <c r="K126" s="106">
        <f>39209/1000*1</f>
        <v>39.209000000000003</v>
      </c>
      <c r="L126" s="89">
        <f t="shared" si="55"/>
        <v>76.847700000000003</v>
      </c>
      <c r="M126" s="27">
        <f t="shared" si="56"/>
        <v>1.9599505215639266</v>
      </c>
      <c r="N126" s="105">
        <f>-37638.7/1000*1</f>
        <v>-37.6387</v>
      </c>
      <c r="O126" s="106">
        <f>-59428.44/1000*1</f>
        <v>-59.428440000000002</v>
      </c>
      <c r="P126" s="89">
        <f t="shared" si="57"/>
        <v>21.789740000000002</v>
      </c>
      <c r="Q126" s="26">
        <f t="shared" si="58"/>
        <v>-0.36665508971798688</v>
      </c>
      <c r="R126" s="106">
        <f>39209/1000*1</f>
        <v>39.209000000000003</v>
      </c>
      <c r="S126" s="89">
        <f t="shared" si="59"/>
        <v>76.847700000000003</v>
      </c>
      <c r="T126" s="27">
        <f t="shared" si="60"/>
        <v>1.9599505215639266</v>
      </c>
      <c r="U126" s="105">
        <f>-12482.82/1000*1</f>
        <v>-12.48282</v>
      </c>
      <c r="V126" s="106">
        <f>-108898.31/1000*1</f>
        <v>-108.89831</v>
      </c>
      <c r="W126" s="89">
        <f t="shared" si="61"/>
        <v>96.415489999999991</v>
      </c>
      <c r="X126" s="26">
        <f t="shared" si="62"/>
        <v>-0.88537177482368634</v>
      </c>
      <c r="Y126" s="106">
        <f>64364.88/1000*1</f>
        <v>64.364879999999999</v>
      </c>
      <c r="Z126" s="89">
        <f t="shared" si="63"/>
        <v>76.847700000000003</v>
      </c>
      <c r="AA126" s="27">
        <f t="shared" si="64"/>
        <v>1.1939383713602822</v>
      </c>
      <c r="AB126" s="107">
        <f>163426.88/1000*1</f>
        <v>163.42688000000001</v>
      </c>
      <c r="AC126" s="1"/>
      <c r="AD126" s="1"/>
      <c r="AE126" s="1"/>
      <c r="AF126" s="1"/>
      <c r="AG126" s="1"/>
      <c r="AH126" s="1"/>
      <c r="AI126" s="1"/>
    </row>
    <row r="127" spans="1:35" ht="14.25" hidden="1" outlineLevel="1" x14ac:dyDescent="0.2">
      <c r="A127" s="1"/>
      <c r="B127" s="3"/>
      <c r="C127" s="3"/>
      <c r="D127" s="3" t="s">
        <v>67</v>
      </c>
      <c r="E127" s="3" t="s">
        <v>51</v>
      </c>
      <c r="F127" s="3">
        <v>842</v>
      </c>
      <c r="G127" s="105">
        <f>-3904.21/1000*1</f>
        <v>-3.90421</v>
      </c>
      <c r="H127" s="106">
        <f>5747.36/1000*1</f>
        <v>5.7473599999999996</v>
      </c>
      <c r="I127" s="89">
        <f t="shared" si="53"/>
        <v>-9.6515699999999995</v>
      </c>
      <c r="J127" s="26">
        <f t="shared" si="54"/>
        <v>-1.6793049330475209</v>
      </c>
      <c r="K127" s="106">
        <f>5132/1000*1</f>
        <v>5.1319999999999997</v>
      </c>
      <c r="L127" s="89">
        <f t="shared" si="55"/>
        <v>9.0362100000000005</v>
      </c>
      <c r="M127" s="27">
        <f t="shared" si="56"/>
        <v>1.7607579890880751</v>
      </c>
      <c r="N127" s="105">
        <f>-3904.21/1000*1</f>
        <v>-3.90421</v>
      </c>
      <c r="O127" s="106">
        <f>5747.36/1000*1</f>
        <v>5.7473599999999996</v>
      </c>
      <c r="P127" s="89">
        <f t="shared" si="57"/>
        <v>-9.6515699999999995</v>
      </c>
      <c r="Q127" s="26">
        <f t="shared" si="58"/>
        <v>-1.6793049330475209</v>
      </c>
      <c r="R127" s="106">
        <f>5132/1000*1</f>
        <v>5.1319999999999997</v>
      </c>
      <c r="S127" s="89">
        <f t="shared" si="59"/>
        <v>9.0362100000000005</v>
      </c>
      <c r="T127" s="27">
        <f t="shared" si="60"/>
        <v>1.7607579890880751</v>
      </c>
      <c r="U127" s="105">
        <f>1170/1000*1</f>
        <v>1.17</v>
      </c>
      <c r="V127" s="106">
        <f>11494.74/1000*1</f>
        <v>11.49474</v>
      </c>
      <c r="W127" s="89">
        <f t="shared" si="61"/>
        <v>-10.32474</v>
      </c>
      <c r="X127" s="26">
        <f t="shared" si="62"/>
        <v>-0.89821431367738636</v>
      </c>
      <c r="Y127" s="106">
        <f>10206.21/1000*1</f>
        <v>10.206209999999999</v>
      </c>
      <c r="Z127" s="89">
        <f t="shared" si="63"/>
        <v>9.0362099999999987</v>
      </c>
      <c r="AA127" s="27">
        <f t="shared" si="64"/>
        <v>0.88536391079548626</v>
      </c>
      <c r="AB127" s="107">
        <f>23361.21/1000*1</f>
        <v>23.36121</v>
      </c>
      <c r="AC127" s="1"/>
      <c r="AD127" s="1"/>
      <c r="AE127" s="1"/>
      <c r="AF127" s="1"/>
      <c r="AG127" s="1"/>
      <c r="AH127" s="1"/>
      <c r="AI127" s="1"/>
    </row>
    <row r="128" spans="1:35" ht="14.25" hidden="1" outlineLevel="1" x14ac:dyDescent="0.2">
      <c r="A128" s="1"/>
      <c r="B128" s="3"/>
      <c r="C128" s="3"/>
      <c r="D128" s="3" t="s">
        <v>67</v>
      </c>
      <c r="E128" s="3" t="s">
        <v>51</v>
      </c>
      <c r="F128" s="3">
        <v>843</v>
      </c>
      <c r="G128" s="105">
        <f>5112.23/1000*1</f>
        <v>5.1122299999999994</v>
      </c>
      <c r="H128" s="106">
        <f>-20133.3/1000*1</f>
        <v>-20.133299999999998</v>
      </c>
      <c r="I128" s="89">
        <f t="shared" si="53"/>
        <v>25.245529999999999</v>
      </c>
      <c r="J128" s="26">
        <f t="shared" si="54"/>
        <v>-1.2539191290051805</v>
      </c>
      <c r="K128" s="106">
        <f>4056/1000*1</f>
        <v>4.056</v>
      </c>
      <c r="L128" s="89">
        <f t="shared" si="55"/>
        <v>-1.0562299999999993</v>
      </c>
      <c r="M128" s="27">
        <f t="shared" si="56"/>
        <v>-0.26041173570019704</v>
      </c>
      <c r="N128" s="105">
        <f>5112.23/1000*1</f>
        <v>5.1122299999999994</v>
      </c>
      <c r="O128" s="106">
        <f>-20133.3/1000*1</f>
        <v>-20.133299999999998</v>
      </c>
      <c r="P128" s="89">
        <f t="shared" si="57"/>
        <v>25.245529999999999</v>
      </c>
      <c r="Q128" s="26">
        <f t="shared" si="58"/>
        <v>-1.2539191290051805</v>
      </c>
      <c r="R128" s="106">
        <f>4056/1000*1</f>
        <v>4.056</v>
      </c>
      <c r="S128" s="89">
        <f t="shared" si="59"/>
        <v>-1.0562299999999993</v>
      </c>
      <c r="T128" s="27">
        <f t="shared" si="60"/>
        <v>-0.26041173570019704</v>
      </c>
      <c r="U128" s="105">
        <f>10224.46/1000*1</f>
        <v>10.224459999999999</v>
      </c>
      <c r="V128" s="106">
        <f>-40266.6/1000*1</f>
        <v>-40.266599999999997</v>
      </c>
      <c r="W128" s="89">
        <f t="shared" si="61"/>
        <v>50.491059999999997</v>
      </c>
      <c r="X128" s="26">
        <f t="shared" si="62"/>
        <v>-1.2539191290051805</v>
      </c>
      <c r="Y128" s="106">
        <f>9168.23/1000*1</f>
        <v>9.1682299999999994</v>
      </c>
      <c r="Z128" s="89">
        <f t="shared" si="63"/>
        <v>-1.0562299999999993</v>
      </c>
      <c r="AA128" s="27">
        <f t="shared" si="64"/>
        <v>-0.11520544314442367</v>
      </c>
      <c r="AB128" s="107">
        <f>19984.23/1000*1</f>
        <v>19.98423</v>
      </c>
      <c r="AC128" s="1"/>
      <c r="AD128" s="1"/>
      <c r="AE128" s="1"/>
      <c r="AF128" s="1"/>
      <c r="AG128" s="1"/>
      <c r="AH128" s="1"/>
      <c r="AI128" s="1"/>
    </row>
    <row r="129" spans="1:35" ht="14.25" hidden="1" outlineLevel="1" x14ac:dyDescent="0.2">
      <c r="A129" s="1"/>
      <c r="B129" s="3"/>
      <c r="C129" s="3"/>
      <c r="D129" s="3" t="s">
        <v>67</v>
      </c>
      <c r="E129" s="3" t="s">
        <v>51</v>
      </c>
      <c r="F129" s="3">
        <v>844</v>
      </c>
      <c r="G129" s="105">
        <f>15346.97/1000*1</f>
        <v>15.346969999999999</v>
      </c>
      <c r="H129" s="106">
        <f>89887.36/1000*1</f>
        <v>89.887360000000001</v>
      </c>
      <c r="I129" s="89">
        <f t="shared" si="53"/>
        <v>-74.540390000000002</v>
      </c>
      <c r="J129" s="26">
        <f t="shared" si="54"/>
        <v>-0.82926442605500927</v>
      </c>
      <c r="K129" s="106">
        <f>76720/1000*1</f>
        <v>76.72</v>
      </c>
      <c r="L129" s="89">
        <f t="shared" si="55"/>
        <v>61.37303</v>
      </c>
      <c r="M129" s="27">
        <f t="shared" si="56"/>
        <v>0.79996128779979148</v>
      </c>
      <c r="N129" s="105">
        <f>15346.97/1000*1</f>
        <v>15.346969999999999</v>
      </c>
      <c r="O129" s="106">
        <f>89887.36/1000*1</f>
        <v>89.887360000000001</v>
      </c>
      <c r="P129" s="89">
        <f t="shared" si="57"/>
        <v>-74.540390000000002</v>
      </c>
      <c r="Q129" s="26">
        <f t="shared" si="58"/>
        <v>-0.82926442605500927</v>
      </c>
      <c r="R129" s="106">
        <f>76720/1000*1</f>
        <v>76.72</v>
      </c>
      <c r="S129" s="89">
        <f t="shared" si="59"/>
        <v>61.37303</v>
      </c>
      <c r="T129" s="27">
        <f t="shared" si="60"/>
        <v>0.79996128779979148</v>
      </c>
      <c r="U129" s="105">
        <f>97693.94/1000*1</f>
        <v>97.693939999999998</v>
      </c>
      <c r="V129" s="106">
        <f>179774.78/1000*1</f>
        <v>179.77477999999999</v>
      </c>
      <c r="W129" s="89">
        <f t="shared" si="61"/>
        <v>-82.080839999999995</v>
      </c>
      <c r="X129" s="26">
        <f t="shared" si="62"/>
        <v>-0.45657594463472573</v>
      </c>
      <c r="Y129" s="106">
        <f>159066.97/1000*1</f>
        <v>159.06697</v>
      </c>
      <c r="Z129" s="89">
        <f t="shared" si="63"/>
        <v>61.37303</v>
      </c>
      <c r="AA129" s="27">
        <f t="shared" si="64"/>
        <v>0.38583138913125709</v>
      </c>
      <c r="AB129" s="107">
        <f>357621.97/1000*1</f>
        <v>357.62196999999998</v>
      </c>
      <c r="AC129" s="1"/>
      <c r="AD129" s="1"/>
      <c r="AE129" s="1"/>
      <c r="AF129" s="1"/>
      <c r="AG129" s="1"/>
      <c r="AH129" s="1"/>
      <c r="AI129" s="1"/>
    </row>
    <row r="130" spans="1:35" ht="14.25" hidden="1" outlineLevel="1" x14ac:dyDescent="0.2">
      <c r="A130" s="1"/>
      <c r="B130" s="3"/>
      <c r="C130" s="3"/>
      <c r="D130" s="3" t="s">
        <v>67</v>
      </c>
      <c r="E130" s="3" t="s">
        <v>51</v>
      </c>
      <c r="F130" s="3">
        <v>845</v>
      </c>
      <c r="G130" s="105">
        <f>14668.98/1000*1</f>
        <v>14.668979999999999</v>
      </c>
      <c r="H130" s="106">
        <f>29613.55/1000*1</f>
        <v>29.61355</v>
      </c>
      <c r="I130" s="89">
        <f t="shared" si="53"/>
        <v>-14.944570000000001</v>
      </c>
      <c r="J130" s="26">
        <f t="shared" si="54"/>
        <v>-0.50465310643269723</v>
      </c>
      <c r="K130" s="106">
        <f>25456/1000*1</f>
        <v>25.456</v>
      </c>
      <c r="L130" s="89">
        <f t="shared" si="55"/>
        <v>10.78702</v>
      </c>
      <c r="M130" s="27">
        <f t="shared" si="56"/>
        <v>0.42375157133878066</v>
      </c>
      <c r="N130" s="105">
        <f>14668.98/1000*1</f>
        <v>14.668979999999999</v>
      </c>
      <c r="O130" s="106">
        <f>29613.55/1000*1</f>
        <v>29.61355</v>
      </c>
      <c r="P130" s="89">
        <f t="shared" si="57"/>
        <v>-14.944570000000001</v>
      </c>
      <c r="Q130" s="26">
        <f t="shared" si="58"/>
        <v>-0.50465310643269723</v>
      </c>
      <c r="R130" s="106">
        <f>25456/1000*1</f>
        <v>25.456</v>
      </c>
      <c r="S130" s="89">
        <f t="shared" si="59"/>
        <v>10.78702</v>
      </c>
      <c r="T130" s="27">
        <f t="shared" si="60"/>
        <v>0.42375157133878066</v>
      </c>
      <c r="U130" s="105">
        <f>43334.2/1000*1</f>
        <v>43.334199999999996</v>
      </c>
      <c r="V130" s="106">
        <f>64004.9/1000*1</f>
        <v>64.004900000000006</v>
      </c>
      <c r="W130" s="89">
        <f t="shared" si="61"/>
        <v>-20.670700000000011</v>
      </c>
      <c r="X130" s="26">
        <f t="shared" si="62"/>
        <v>-0.32295496126077861</v>
      </c>
      <c r="Y130" s="106">
        <f>54121.22/1000*1</f>
        <v>54.121220000000001</v>
      </c>
      <c r="Z130" s="89">
        <f t="shared" si="63"/>
        <v>10.787020000000005</v>
      </c>
      <c r="AA130" s="27">
        <f t="shared" si="64"/>
        <v>0.199312210626442</v>
      </c>
      <c r="AB130" s="107">
        <f>120669.22/1000*1</f>
        <v>120.66922</v>
      </c>
      <c r="AC130" s="1"/>
      <c r="AD130" s="1"/>
      <c r="AE130" s="1"/>
      <c r="AF130" s="1"/>
      <c r="AG130" s="1"/>
      <c r="AH130" s="1"/>
      <c r="AI130" s="1"/>
    </row>
    <row r="131" spans="1:35" ht="14.25" hidden="1" outlineLevel="1" x14ac:dyDescent="0.2">
      <c r="A131" s="1"/>
      <c r="B131" s="3"/>
      <c r="C131" s="3"/>
      <c r="D131" s="3" t="s">
        <v>67</v>
      </c>
      <c r="E131" s="3" t="s">
        <v>51</v>
      </c>
      <c r="F131" s="3">
        <v>860</v>
      </c>
      <c r="G131" s="105">
        <f>-30715.38/1000*1</f>
        <v>-30.71538</v>
      </c>
      <c r="H131" s="106">
        <f>84579.08/1000*1</f>
        <v>84.579080000000005</v>
      </c>
      <c r="I131" s="89">
        <f t="shared" si="53"/>
        <v>-115.29446</v>
      </c>
      <c r="J131" s="26">
        <f t="shared" si="54"/>
        <v>-1.3631557590836882</v>
      </c>
      <c r="K131" s="106">
        <f>127151/1000*1</f>
        <v>127.151</v>
      </c>
      <c r="L131" s="89">
        <f t="shared" si="55"/>
        <v>157.86637999999999</v>
      </c>
      <c r="M131" s="27">
        <f t="shared" si="56"/>
        <v>1.2415661693576927</v>
      </c>
      <c r="N131" s="105">
        <f>-30715.38/1000*1</f>
        <v>-30.71538</v>
      </c>
      <c r="O131" s="106">
        <f>84579.08/1000*1</f>
        <v>84.579080000000005</v>
      </c>
      <c r="P131" s="89">
        <f t="shared" si="57"/>
        <v>-115.29446</v>
      </c>
      <c r="Q131" s="26">
        <f t="shared" si="58"/>
        <v>-1.3631557590836882</v>
      </c>
      <c r="R131" s="106">
        <f>127151/1000*1</f>
        <v>127.151</v>
      </c>
      <c r="S131" s="89">
        <f t="shared" si="59"/>
        <v>157.86637999999999</v>
      </c>
      <c r="T131" s="27">
        <f t="shared" si="60"/>
        <v>1.2415661693576927</v>
      </c>
      <c r="U131" s="105">
        <f>66379.86/1000*1</f>
        <v>66.379859999999994</v>
      </c>
      <c r="V131" s="106">
        <f>219829.8/1000*1</f>
        <v>219.82979999999998</v>
      </c>
      <c r="W131" s="89">
        <f t="shared" si="61"/>
        <v>-153.44993999999997</v>
      </c>
      <c r="X131" s="26">
        <f t="shared" si="62"/>
        <v>-0.69803975621139625</v>
      </c>
      <c r="Y131" s="106">
        <f>224246.24/1000*1</f>
        <v>224.24624</v>
      </c>
      <c r="Z131" s="89">
        <f t="shared" si="63"/>
        <v>157.86637999999999</v>
      </c>
      <c r="AA131" s="27">
        <f t="shared" si="64"/>
        <v>0.70398674243099901</v>
      </c>
      <c r="AB131" s="107">
        <f>551029.24/1000*1</f>
        <v>551.02923999999996</v>
      </c>
      <c r="AC131" s="1"/>
      <c r="AD131" s="1"/>
      <c r="AE131" s="1"/>
      <c r="AF131" s="1"/>
      <c r="AG131" s="1"/>
      <c r="AH131" s="1"/>
      <c r="AI131" s="1"/>
    </row>
    <row r="132" spans="1:35" ht="14.25" hidden="1" outlineLevel="1" x14ac:dyDescent="0.2">
      <c r="A132" s="1"/>
      <c r="B132" s="3"/>
      <c r="C132" s="3"/>
      <c r="D132" s="3" t="s">
        <v>67</v>
      </c>
      <c r="E132" s="3" t="s">
        <v>51</v>
      </c>
      <c r="F132" s="3">
        <v>861</v>
      </c>
      <c r="G132" s="105">
        <f>1526.8/1000*1</f>
        <v>1.5267999999999999</v>
      </c>
      <c r="H132" s="106">
        <f>1498/1000*1</f>
        <v>1.498</v>
      </c>
      <c r="I132" s="89">
        <f t="shared" si="53"/>
        <v>2.8799999999999937E-2</v>
      </c>
      <c r="J132" s="26">
        <f t="shared" si="54"/>
        <v>1.9225634178905163E-2</v>
      </c>
      <c r="K132" s="106">
        <f>1241/1000*1</f>
        <v>1.2410000000000001</v>
      </c>
      <c r="L132" s="89">
        <f t="shared" si="55"/>
        <v>-0.28579999999999983</v>
      </c>
      <c r="M132" s="27">
        <f t="shared" si="56"/>
        <v>-0.23029814665592249</v>
      </c>
      <c r="N132" s="105">
        <f>1526.8/1000*1</f>
        <v>1.5267999999999999</v>
      </c>
      <c r="O132" s="106">
        <f>1498/1000*1</f>
        <v>1.498</v>
      </c>
      <c r="P132" s="89">
        <f t="shared" si="57"/>
        <v>2.8799999999999937E-2</v>
      </c>
      <c r="Q132" s="26">
        <f t="shared" si="58"/>
        <v>1.9225634178905163E-2</v>
      </c>
      <c r="R132" s="106">
        <f>1241/1000*1</f>
        <v>1.2410000000000001</v>
      </c>
      <c r="S132" s="89">
        <f t="shared" si="59"/>
        <v>-0.28579999999999983</v>
      </c>
      <c r="T132" s="27">
        <f t="shared" si="60"/>
        <v>-0.23029814665592249</v>
      </c>
      <c r="U132" s="105">
        <f>3053.6/1000*1</f>
        <v>3.0535999999999999</v>
      </c>
      <c r="V132" s="106">
        <f>2996/1000*1</f>
        <v>2.996</v>
      </c>
      <c r="W132" s="89">
        <f t="shared" si="61"/>
        <v>5.7599999999999874E-2</v>
      </c>
      <c r="X132" s="26">
        <f t="shared" si="62"/>
        <v>1.9225634178905163E-2</v>
      </c>
      <c r="Y132" s="106">
        <f>2767.8/1000*1</f>
        <v>2.7678000000000003</v>
      </c>
      <c r="Z132" s="89">
        <f t="shared" si="63"/>
        <v>-0.28579999999999961</v>
      </c>
      <c r="AA132" s="27">
        <f t="shared" si="64"/>
        <v>-0.10325890599031706</v>
      </c>
      <c r="AB132" s="107">
        <f>6075.8/1000*1</f>
        <v>6.0758000000000001</v>
      </c>
      <c r="AC132" s="1"/>
      <c r="AD132" s="1"/>
      <c r="AE132" s="1"/>
      <c r="AF132" s="1"/>
      <c r="AG132" s="1"/>
      <c r="AH132" s="1"/>
      <c r="AI132" s="1"/>
    </row>
    <row r="133" spans="1:35" ht="14.25" hidden="1" outlineLevel="1" x14ac:dyDescent="0.2">
      <c r="A133" s="1"/>
      <c r="B133" s="3"/>
      <c r="C133" s="3"/>
      <c r="D133" s="3" t="s">
        <v>67</v>
      </c>
      <c r="E133" s="3" t="s">
        <v>51</v>
      </c>
      <c r="F133" s="3">
        <v>899</v>
      </c>
      <c r="G133" s="105">
        <f>-112080.9/1000*1</f>
        <v>-112.0809</v>
      </c>
      <c r="H133" s="106">
        <f>-270500.7/1000*1</f>
        <v>-270.50069999999999</v>
      </c>
      <c r="I133" s="89">
        <f t="shared" si="53"/>
        <v>158.41980000000001</v>
      </c>
      <c r="J133" s="26">
        <f t="shared" si="54"/>
        <v>-0.58565393730958926</v>
      </c>
      <c r="K133" s="106">
        <f>326915/1000*1</f>
        <v>326.91500000000002</v>
      </c>
      <c r="L133" s="89">
        <f t="shared" si="55"/>
        <v>438.99590000000001</v>
      </c>
      <c r="M133" s="27">
        <f t="shared" si="56"/>
        <v>1.3428441643852378</v>
      </c>
      <c r="N133" s="105">
        <f>-112080.9/1000*1</f>
        <v>-112.0809</v>
      </c>
      <c r="O133" s="106">
        <f>-270500.7/1000*1</f>
        <v>-270.50069999999999</v>
      </c>
      <c r="P133" s="89">
        <f t="shared" si="57"/>
        <v>158.41980000000001</v>
      </c>
      <c r="Q133" s="26">
        <f t="shared" si="58"/>
        <v>-0.58565393730958926</v>
      </c>
      <c r="R133" s="106">
        <f>326915/1000*1</f>
        <v>326.91500000000002</v>
      </c>
      <c r="S133" s="89">
        <f t="shared" si="59"/>
        <v>438.99590000000001</v>
      </c>
      <c r="T133" s="27">
        <f t="shared" si="60"/>
        <v>1.3428441643852378</v>
      </c>
      <c r="U133" s="105">
        <f>33918.2/1000*1</f>
        <v>33.918199999999999</v>
      </c>
      <c r="V133" s="106">
        <f>-264570.44/1000*1</f>
        <v>-264.57044000000002</v>
      </c>
      <c r="W133" s="89">
        <f t="shared" si="61"/>
        <v>298.48864000000003</v>
      </c>
      <c r="X133" s="26">
        <f t="shared" si="62"/>
        <v>-1.1282010189800493</v>
      </c>
      <c r="Y133" s="106">
        <f>472914.1/1000*1</f>
        <v>472.91409999999996</v>
      </c>
      <c r="Z133" s="89">
        <f t="shared" si="63"/>
        <v>438.99589999999995</v>
      </c>
      <c r="AA133" s="27">
        <f t="shared" si="64"/>
        <v>0.92827830677918033</v>
      </c>
      <c r="AB133" s="107">
        <f>1320559.1/1000*1</f>
        <v>1320.5591000000002</v>
      </c>
      <c r="AC133" s="1"/>
      <c r="AD133" s="1"/>
      <c r="AE133" s="1"/>
      <c r="AF133" s="1"/>
      <c r="AG133" s="1"/>
      <c r="AH133" s="1"/>
      <c r="AI133" s="1"/>
    </row>
    <row r="134" spans="1:35" ht="14.25" hidden="1" outlineLevel="1" x14ac:dyDescent="0.2">
      <c r="A134" s="1"/>
      <c r="B134" s="3"/>
      <c r="C134" s="3"/>
      <c r="D134" s="3" t="s">
        <v>67</v>
      </c>
      <c r="E134" s="3" t="s">
        <v>51</v>
      </c>
      <c r="F134" s="3">
        <v>920</v>
      </c>
      <c r="G134" s="105">
        <f>-251228.62/1000*1</f>
        <v>-251.22862000000001</v>
      </c>
      <c r="H134" s="106">
        <f>1470219.23/1000*1</f>
        <v>1470.2192299999999</v>
      </c>
      <c r="I134" s="89">
        <f t="shared" si="53"/>
        <v>-1721.44785</v>
      </c>
      <c r="J134" s="26">
        <f t="shared" si="54"/>
        <v>-1.170878339007986</v>
      </c>
      <c r="K134" s="106">
        <f>732993/1000*1</f>
        <v>732.99300000000005</v>
      </c>
      <c r="L134" s="89">
        <f t="shared" si="55"/>
        <v>984.22162000000003</v>
      </c>
      <c r="M134" s="27">
        <f t="shared" si="56"/>
        <v>1.3427435459820216</v>
      </c>
      <c r="N134" s="105">
        <f>-251228.62/1000*1</f>
        <v>-251.22862000000001</v>
      </c>
      <c r="O134" s="106">
        <f>1470219.23/1000*1</f>
        <v>1470.2192299999999</v>
      </c>
      <c r="P134" s="89">
        <f t="shared" si="57"/>
        <v>-1721.44785</v>
      </c>
      <c r="Q134" s="26">
        <f t="shared" si="58"/>
        <v>-1.170878339007986</v>
      </c>
      <c r="R134" s="106">
        <f>732993/1000*1</f>
        <v>732.99300000000005</v>
      </c>
      <c r="S134" s="89">
        <f t="shared" si="59"/>
        <v>984.22162000000003</v>
      </c>
      <c r="T134" s="27">
        <f t="shared" si="60"/>
        <v>1.3427435459820216</v>
      </c>
      <c r="U134" s="105">
        <f>665554/1000*1</f>
        <v>665.55399999999997</v>
      </c>
      <c r="V134" s="106">
        <f>2277097.77/1000*1</f>
        <v>2277.0977699999999</v>
      </c>
      <c r="W134" s="89">
        <f t="shared" si="61"/>
        <v>-1611.5437699999998</v>
      </c>
      <c r="X134" s="26">
        <f t="shared" si="62"/>
        <v>-0.70771830319784634</v>
      </c>
      <c r="Y134" s="106">
        <f>1649775.62/1000*1</f>
        <v>1649.7756200000001</v>
      </c>
      <c r="Z134" s="89">
        <f t="shared" si="63"/>
        <v>984.22162000000014</v>
      </c>
      <c r="AA134" s="27">
        <f t="shared" si="64"/>
        <v>0.59657907903863927</v>
      </c>
      <c r="AB134" s="107">
        <f>3511821.62/1000*1</f>
        <v>3511.8216200000002</v>
      </c>
      <c r="AC134" s="1"/>
      <c r="AD134" s="1"/>
      <c r="AE134" s="1"/>
      <c r="AF134" s="1"/>
      <c r="AG134" s="1"/>
      <c r="AH134" s="1"/>
      <c r="AI134" s="1"/>
    </row>
    <row r="135" spans="1:35" ht="14.25" hidden="1" outlineLevel="1" x14ac:dyDescent="0.2">
      <c r="A135" s="1"/>
      <c r="B135" s="3"/>
      <c r="C135" s="3"/>
      <c r="D135" s="3" t="s">
        <v>67</v>
      </c>
      <c r="E135" s="3" t="s">
        <v>51</v>
      </c>
      <c r="F135" s="3">
        <v>921</v>
      </c>
      <c r="G135" s="105">
        <f>0/1000*1</f>
        <v>0</v>
      </c>
      <c r="H135" s="106">
        <f>0/1000*1</f>
        <v>0</v>
      </c>
      <c r="I135" s="89">
        <f t="shared" si="53"/>
        <v>0</v>
      </c>
      <c r="J135" s="26" t="str">
        <f t="shared" si="54"/>
        <v>N/A</v>
      </c>
      <c r="K135" s="106">
        <f>0/1000*1</f>
        <v>0</v>
      </c>
      <c r="L135" s="89">
        <f t="shared" si="55"/>
        <v>0</v>
      </c>
      <c r="M135" s="27" t="str">
        <f t="shared" si="56"/>
        <v>N/A</v>
      </c>
      <c r="N135" s="105">
        <f>0/1000*1</f>
        <v>0</v>
      </c>
      <c r="O135" s="106">
        <f>0/1000*1</f>
        <v>0</v>
      </c>
      <c r="P135" s="89">
        <f t="shared" si="57"/>
        <v>0</v>
      </c>
      <c r="Q135" s="26" t="str">
        <f t="shared" si="58"/>
        <v>N/A</v>
      </c>
      <c r="R135" s="106">
        <f>0/1000*1</f>
        <v>0</v>
      </c>
      <c r="S135" s="89">
        <f t="shared" si="59"/>
        <v>0</v>
      </c>
      <c r="T135" s="27" t="str">
        <f t="shared" si="60"/>
        <v>N/A</v>
      </c>
      <c r="U135" s="105">
        <f>65709.83/1000*1</f>
        <v>65.709829999999997</v>
      </c>
      <c r="V135" s="106">
        <f>0/1000*1</f>
        <v>0</v>
      </c>
      <c r="W135" s="89">
        <f t="shared" si="61"/>
        <v>65.709829999999997</v>
      </c>
      <c r="X135" s="26" t="str">
        <f t="shared" si="62"/>
        <v>N/A</v>
      </c>
      <c r="Y135" s="106">
        <f>65709.83/1000*1</f>
        <v>65.709829999999997</v>
      </c>
      <c r="Z135" s="89">
        <f t="shared" si="63"/>
        <v>0</v>
      </c>
      <c r="AA135" s="27">
        <f t="shared" si="64"/>
        <v>0</v>
      </c>
      <c r="AB135" s="107">
        <f>65709.83/1000*1</f>
        <v>65.709829999999997</v>
      </c>
      <c r="AC135" s="1"/>
      <c r="AD135" s="1"/>
      <c r="AE135" s="1"/>
      <c r="AF135" s="1"/>
      <c r="AG135" s="1"/>
      <c r="AH135" s="1"/>
      <c r="AI135" s="1"/>
    </row>
    <row r="136" spans="1:35" ht="14.25" hidden="1" outlineLevel="1" x14ac:dyDescent="0.2">
      <c r="A136" s="1"/>
      <c r="B136" s="3"/>
      <c r="C136" s="3"/>
      <c r="D136" s="3" t="s">
        <v>67</v>
      </c>
      <c r="E136" s="3" t="s">
        <v>51</v>
      </c>
      <c r="F136" s="3">
        <v>925</v>
      </c>
      <c r="G136" s="105">
        <f>0/1000*1</f>
        <v>0</v>
      </c>
      <c r="H136" s="106">
        <f>0/1000*1</f>
        <v>0</v>
      </c>
      <c r="I136" s="89">
        <f t="shared" si="53"/>
        <v>0</v>
      </c>
      <c r="J136" s="26" t="str">
        <f t="shared" si="54"/>
        <v>N/A</v>
      </c>
      <c r="K136" s="106">
        <f>0/1000*1</f>
        <v>0</v>
      </c>
      <c r="L136" s="89">
        <f t="shared" si="55"/>
        <v>0</v>
      </c>
      <c r="M136" s="27" t="str">
        <f t="shared" si="56"/>
        <v>N/A</v>
      </c>
      <c r="N136" s="105">
        <f>0/1000*1</f>
        <v>0</v>
      </c>
      <c r="O136" s="106">
        <f>0/1000*1</f>
        <v>0</v>
      </c>
      <c r="P136" s="89">
        <f t="shared" si="57"/>
        <v>0</v>
      </c>
      <c r="Q136" s="26" t="str">
        <f t="shared" si="58"/>
        <v>N/A</v>
      </c>
      <c r="R136" s="106">
        <f>0/1000*1</f>
        <v>0</v>
      </c>
      <c r="S136" s="89">
        <f t="shared" si="59"/>
        <v>0</v>
      </c>
      <c r="T136" s="27" t="str">
        <f t="shared" si="60"/>
        <v>N/A</v>
      </c>
      <c r="U136" s="105">
        <f>0/1000*1</f>
        <v>0</v>
      </c>
      <c r="V136" s="106">
        <f>0/1000*1</f>
        <v>0</v>
      </c>
      <c r="W136" s="89">
        <f t="shared" si="61"/>
        <v>0</v>
      </c>
      <c r="X136" s="26" t="str">
        <f t="shared" si="62"/>
        <v>N/A</v>
      </c>
      <c r="Y136" s="106">
        <f>0/1000*1</f>
        <v>0</v>
      </c>
      <c r="Z136" s="89">
        <f t="shared" si="63"/>
        <v>0</v>
      </c>
      <c r="AA136" s="27" t="str">
        <f t="shared" si="64"/>
        <v>N/A</v>
      </c>
      <c r="AB136" s="107">
        <f>0/1000*1</f>
        <v>0</v>
      </c>
      <c r="AC136" s="1"/>
      <c r="AD136" s="1"/>
      <c r="AE136" s="1"/>
      <c r="AF136" s="1"/>
      <c r="AG136" s="1"/>
      <c r="AH136" s="1"/>
      <c r="AI136" s="1"/>
    </row>
    <row r="137" spans="1:35" ht="14.25" hidden="1" outlineLevel="1" x14ac:dyDescent="0.2">
      <c r="A137" s="1"/>
      <c r="B137" s="3"/>
      <c r="C137" s="3"/>
      <c r="D137" s="3" t="s">
        <v>67</v>
      </c>
      <c r="E137" s="3" t="s">
        <v>51</v>
      </c>
      <c r="F137" s="3">
        <v>930</v>
      </c>
      <c r="G137" s="105">
        <f>-24705.25/1000*1</f>
        <v>-24.705249999999999</v>
      </c>
      <c r="H137" s="106">
        <f>293561.25/1000*1</f>
        <v>293.56124999999997</v>
      </c>
      <c r="I137" s="89">
        <f t="shared" si="53"/>
        <v>-318.26649999999995</v>
      </c>
      <c r="J137" s="26">
        <f t="shared" si="54"/>
        <v>-1.0841570541071071</v>
      </c>
      <c r="K137" s="106">
        <f>230712/1000*1</f>
        <v>230.71199999999999</v>
      </c>
      <c r="L137" s="89">
        <f t="shared" si="55"/>
        <v>255.41725</v>
      </c>
      <c r="M137" s="27">
        <f t="shared" si="56"/>
        <v>1.1070826398280107</v>
      </c>
      <c r="N137" s="105">
        <f>-24705.25/1000*1</f>
        <v>-24.705249999999999</v>
      </c>
      <c r="O137" s="106">
        <f>293561.25/1000*1</f>
        <v>293.56124999999997</v>
      </c>
      <c r="P137" s="89">
        <f t="shared" si="57"/>
        <v>-318.26649999999995</v>
      </c>
      <c r="Q137" s="26">
        <f t="shared" si="58"/>
        <v>-1.0841570541071071</v>
      </c>
      <c r="R137" s="106">
        <f>230712/1000*1</f>
        <v>230.71199999999999</v>
      </c>
      <c r="S137" s="89">
        <f t="shared" si="59"/>
        <v>255.41725</v>
      </c>
      <c r="T137" s="27">
        <f t="shared" si="60"/>
        <v>1.1070826398280107</v>
      </c>
      <c r="U137" s="105">
        <f>174085.48/1000*1</f>
        <v>174.08548000000002</v>
      </c>
      <c r="V137" s="106">
        <f>599749.14/1000*1</f>
        <v>599.74914000000001</v>
      </c>
      <c r="W137" s="89">
        <f t="shared" si="61"/>
        <v>-425.66365999999999</v>
      </c>
      <c r="X137" s="26">
        <f t="shared" si="62"/>
        <v>-0.70973617402769429</v>
      </c>
      <c r="Y137" s="106">
        <f>429502.73/1000*1</f>
        <v>429.50272999999999</v>
      </c>
      <c r="Z137" s="89">
        <f t="shared" si="63"/>
        <v>255.41724999999997</v>
      </c>
      <c r="AA137" s="27">
        <f t="shared" si="64"/>
        <v>0.59468131902211652</v>
      </c>
      <c r="AB137" s="107">
        <f>1023392.73/1000*1</f>
        <v>1023.39273</v>
      </c>
      <c r="AC137" s="1"/>
      <c r="AD137" s="1"/>
      <c r="AE137" s="1"/>
      <c r="AF137" s="1"/>
      <c r="AG137" s="1"/>
      <c r="AH137" s="1"/>
      <c r="AI137" s="1"/>
    </row>
    <row r="138" spans="1:35" ht="14.25" hidden="1" outlineLevel="1" x14ac:dyDescent="0.2">
      <c r="A138" s="1"/>
      <c r="B138" s="3"/>
      <c r="C138" s="3"/>
      <c r="D138" s="3" t="s">
        <v>67</v>
      </c>
      <c r="E138" s="3" t="s">
        <v>51</v>
      </c>
      <c r="F138" s="3">
        <v>931</v>
      </c>
      <c r="G138" s="105">
        <f>4336.31/1000*1</f>
        <v>4.3363100000000001</v>
      </c>
      <c r="H138" s="106">
        <f>49011.63/1000*1</f>
        <v>49.011629999999997</v>
      </c>
      <c r="I138" s="89">
        <f t="shared" si="53"/>
        <v>-44.675319999999999</v>
      </c>
      <c r="J138" s="26">
        <f t="shared" si="54"/>
        <v>-0.91152487685065775</v>
      </c>
      <c r="K138" s="106">
        <f>35542/1000*1</f>
        <v>35.542000000000002</v>
      </c>
      <c r="L138" s="89">
        <f t="shared" si="55"/>
        <v>31.205690000000001</v>
      </c>
      <c r="M138" s="27">
        <f t="shared" si="56"/>
        <v>0.87799476675482524</v>
      </c>
      <c r="N138" s="105">
        <f>4336.31/1000*1</f>
        <v>4.3363100000000001</v>
      </c>
      <c r="O138" s="106">
        <f>49011.63/1000*1</f>
        <v>49.011629999999997</v>
      </c>
      <c r="P138" s="89">
        <f t="shared" si="57"/>
        <v>-44.675319999999999</v>
      </c>
      <c r="Q138" s="26">
        <f t="shared" si="58"/>
        <v>-0.91152487685065775</v>
      </c>
      <c r="R138" s="106">
        <f>35542/1000*1</f>
        <v>35.542000000000002</v>
      </c>
      <c r="S138" s="89">
        <f t="shared" si="59"/>
        <v>31.205690000000001</v>
      </c>
      <c r="T138" s="27">
        <f t="shared" si="60"/>
        <v>0.87799476675482524</v>
      </c>
      <c r="U138" s="105">
        <f>17071.8/1000*1</f>
        <v>17.0718</v>
      </c>
      <c r="V138" s="106">
        <f>108668.56/1000*1</f>
        <v>108.66856</v>
      </c>
      <c r="W138" s="89">
        <f t="shared" si="61"/>
        <v>-91.596760000000003</v>
      </c>
      <c r="X138" s="26">
        <f t="shared" si="62"/>
        <v>-0.84290028320978949</v>
      </c>
      <c r="Y138" s="106">
        <f>48277.49/1000*1</f>
        <v>48.27749</v>
      </c>
      <c r="Z138" s="89">
        <f t="shared" si="63"/>
        <v>31.205690000000001</v>
      </c>
      <c r="AA138" s="27">
        <f t="shared" si="64"/>
        <v>0.64638178165434867</v>
      </c>
      <c r="AB138" s="107">
        <f>142253.49/1000*1</f>
        <v>142.25349</v>
      </c>
      <c r="AC138" s="1"/>
      <c r="AD138" s="1"/>
      <c r="AE138" s="1"/>
      <c r="AF138" s="1"/>
      <c r="AG138" s="1"/>
      <c r="AH138" s="1"/>
      <c r="AI138" s="1"/>
    </row>
    <row r="139" spans="1:35" ht="14.25" hidden="1" outlineLevel="1" x14ac:dyDescent="0.2">
      <c r="A139" s="1"/>
      <c r="B139" s="3"/>
      <c r="C139" s="3"/>
      <c r="D139" s="3" t="s">
        <v>67</v>
      </c>
      <c r="E139" s="3" t="s">
        <v>51</v>
      </c>
      <c r="F139" s="3">
        <v>932</v>
      </c>
      <c r="G139" s="105">
        <f>-5434.32/1000*1</f>
        <v>-5.4343199999999996</v>
      </c>
      <c r="H139" s="106">
        <f>2865.73/1000*1</f>
        <v>2.8657300000000001</v>
      </c>
      <c r="I139" s="89">
        <f t="shared" si="53"/>
        <v>-8.3000499999999988</v>
      </c>
      <c r="J139" s="26">
        <f t="shared" si="54"/>
        <v>-2.8963126323833714</v>
      </c>
      <c r="K139" s="106">
        <f>9095/1000*1</f>
        <v>9.0950000000000006</v>
      </c>
      <c r="L139" s="89">
        <f t="shared" si="55"/>
        <v>14.52932</v>
      </c>
      <c r="M139" s="27">
        <f t="shared" si="56"/>
        <v>1.5975063221550301</v>
      </c>
      <c r="N139" s="105">
        <f>-5434.32/1000*1</f>
        <v>-5.4343199999999996</v>
      </c>
      <c r="O139" s="106">
        <f>2865.73/1000*1</f>
        <v>2.8657300000000001</v>
      </c>
      <c r="P139" s="89">
        <f t="shared" si="57"/>
        <v>-8.3000499999999988</v>
      </c>
      <c r="Q139" s="26">
        <f t="shared" si="58"/>
        <v>-2.8963126323833714</v>
      </c>
      <c r="R139" s="106">
        <f>9095/1000*1</f>
        <v>9.0950000000000006</v>
      </c>
      <c r="S139" s="89">
        <f t="shared" si="59"/>
        <v>14.52932</v>
      </c>
      <c r="T139" s="27">
        <f t="shared" si="60"/>
        <v>1.5975063221550301</v>
      </c>
      <c r="U139" s="105">
        <f>5232.42/1000*1</f>
        <v>5.2324200000000003</v>
      </c>
      <c r="V139" s="106">
        <f>5731.46/1000*1</f>
        <v>5.7314600000000002</v>
      </c>
      <c r="W139" s="89">
        <f t="shared" si="61"/>
        <v>-0.49903999999999993</v>
      </c>
      <c r="X139" s="26">
        <f t="shared" si="62"/>
        <v>-8.7070310182745747E-2</v>
      </c>
      <c r="Y139" s="106">
        <f>19761.74/1000*1</f>
        <v>19.761740000000003</v>
      </c>
      <c r="Z139" s="89">
        <f t="shared" si="63"/>
        <v>14.529320000000002</v>
      </c>
      <c r="AA139" s="27">
        <f t="shared" si="64"/>
        <v>0.73522473223511697</v>
      </c>
      <c r="AB139" s="107">
        <f>42416.74/1000*1</f>
        <v>42.416739999999997</v>
      </c>
      <c r="AC139" s="1"/>
      <c r="AD139" s="1"/>
      <c r="AE139" s="1"/>
      <c r="AF139" s="1"/>
      <c r="AG139" s="1"/>
      <c r="AH139" s="1"/>
      <c r="AI139" s="1"/>
    </row>
    <row r="140" spans="1:35" ht="14.25" hidden="1" outlineLevel="1" x14ac:dyDescent="0.2">
      <c r="A140" s="1"/>
      <c r="B140" s="3"/>
      <c r="C140" s="3"/>
      <c r="D140" s="3" t="s">
        <v>67</v>
      </c>
      <c r="E140" s="3" t="s">
        <v>51</v>
      </c>
      <c r="F140" s="3">
        <v>998</v>
      </c>
      <c r="G140" s="105">
        <f>0/1000*1</f>
        <v>0</v>
      </c>
      <c r="H140" s="106">
        <f>0/1000*1</f>
        <v>0</v>
      </c>
      <c r="I140" s="89">
        <f t="shared" si="53"/>
        <v>0</v>
      </c>
      <c r="J140" s="26" t="str">
        <f t="shared" si="54"/>
        <v>N/A</v>
      </c>
      <c r="K140" s="106">
        <f>0/1000*1</f>
        <v>0</v>
      </c>
      <c r="L140" s="89">
        <f t="shared" si="55"/>
        <v>0</v>
      </c>
      <c r="M140" s="27" t="str">
        <f t="shared" si="56"/>
        <v>N/A</v>
      </c>
      <c r="N140" s="105">
        <f>0/1000*1</f>
        <v>0</v>
      </c>
      <c r="O140" s="106">
        <f>0/1000*1</f>
        <v>0</v>
      </c>
      <c r="P140" s="89">
        <f t="shared" si="57"/>
        <v>0</v>
      </c>
      <c r="Q140" s="26" t="str">
        <f t="shared" si="58"/>
        <v>N/A</v>
      </c>
      <c r="R140" s="106">
        <f>0/1000*1</f>
        <v>0</v>
      </c>
      <c r="S140" s="89">
        <f t="shared" si="59"/>
        <v>0</v>
      </c>
      <c r="T140" s="27" t="str">
        <f t="shared" si="60"/>
        <v>N/A</v>
      </c>
      <c r="U140" s="105">
        <f>3189990.04/1000*1</f>
        <v>3189.9900400000001</v>
      </c>
      <c r="V140" s="106">
        <f>0/1000*1</f>
        <v>0</v>
      </c>
      <c r="W140" s="89">
        <f t="shared" si="61"/>
        <v>3189.9900400000001</v>
      </c>
      <c r="X140" s="26" t="str">
        <f t="shared" si="62"/>
        <v>N/A</v>
      </c>
      <c r="Y140" s="106">
        <f>3189990.04/1000*1</f>
        <v>3189.9900400000001</v>
      </c>
      <c r="Z140" s="89">
        <f t="shared" si="63"/>
        <v>0</v>
      </c>
      <c r="AA140" s="27">
        <f t="shared" si="64"/>
        <v>0</v>
      </c>
      <c r="AB140" s="107">
        <f>3189990.04/1000*1</f>
        <v>3189.9900400000001</v>
      </c>
      <c r="AC140" s="1"/>
      <c r="AD140" s="1"/>
      <c r="AE140" s="1"/>
      <c r="AF140" s="1"/>
      <c r="AG140" s="1"/>
      <c r="AH140" s="1"/>
      <c r="AI140" s="1"/>
    </row>
    <row r="141" spans="1:35" ht="14.25" hidden="1" outlineLevel="1" x14ac:dyDescent="0.2">
      <c r="A141" s="1"/>
      <c r="B141" s="3"/>
      <c r="C141" s="3"/>
      <c r="D141" s="3" t="s">
        <v>67</v>
      </c>
      <c r="E141" s="3" t="s">
        <v>52</v>
      </c>
      <c r="F141" s="3">
        <v>846</v>
      </c>
      <c r="G141" s="105">
        <f>0/1000*1</f>
        <v>0</v>
      </c>
      <c r="H141" s="106">
        <f>0/1000*1</f>
        <v>0</v>
      </c>
      <c r="I141" s="89">
        <f t="shared" si="53"/>
        <v>0</v>
      </c>
      <c r="J141" s="26" t="str">
        <f t="shared" si="54"/>
        <v>N/A</v>
      </c>
      <c r="K141" s="106">
        <f>1230/1000*1</f>
        <v>1.23</v>
      </c>
      <c r="L141" s="89">
        <f t="shared" si="55"/>
        <v>1.23</v>
      </c>
      <c r="M141" s="27">
        <f t="shared" si="56"/>
        <v>1</v>
      </c>
      <c r="N141" s="105">
        <f>0/1000*1</f>
        <v>0</v>
      </c>
      <c r="O141" s="106">
        <f>0/1000*1</f>
        <v>0</v>
      </c>
      <c r="P141" s="89">
        <f t="shared" si="57"/>
        <v>0</v>
      </c>
      <c r="Q141" s="26" t="str">
        <f t="shared" si="58"/>
        <v>N/A</v>
      </c>
      <c r="R141" s="106">
        <f>1230/1000*1</f>
        <v>1.23</v>
      </c>
      <c r="S141" s="89">
        <f t="shared" si="59"/>
        <v>1.23</v>
      </c>
      <c r="T141" s="27">
        <f t="shared" si="60"/>
        <v>1</v>
      </c>
      <c r="U141" s="105">
        <f>0/1000*1</f>
        <v>0</v>
      </c>
      <c r="V141" s="106">
        <f>0/1000*1</f>
        <v>0</v>
      </c>
      <c r="W141" s="89">
        <f t="shared" si="61"/>
        <v>0</v>
      </c>
      <c r="X141" s="26" t="str">
        <f t="shared" si="62"/>
        <v>N/A</v>
      </c>
      <c r="Y141" s="106">
        <f>1230/1000*1</f>
        <v>1.23</v>
      </c>
      <c r="Z141" s="89">
        <f t="shared" si="63"/>
        <v>1.23</v>
      </c>
      <c r="AA141" s="27">
        <f t="shared" si="64"/>
        <v>1</v>
      </c>
      <c r="AB141" s="107">
        <f>4510/1000*1</f>
        <v>4.51</v>
      </c>
      <c r="AC141" s="1"/>
      <c r="AD141" s="1"/>
      <c r="AE141" s="1"/>
      <c r="AF141" s="1"/>
      <c r="AG141" s="1"/>
      <c r="AH141" s="1"/>
      <c r="AI141" s="1"/>
    </row>
    <row r="142" spans="1:35" ht="14.25" hidden="1" outlineLevel="1" x14ac:dyDescent="0.2">
      <c r="A142" s="1"/>
      <c r="B142" s="3"/>
      <c r="C142" s="3"/>
      <c r="D142" s="3" t="s">
        <v>67</v>
      </c>
      <c r="E142" s="3" t="s">
        <v>52</v>
      </c>
      <c r="F142" s="3">
        <v>921</v>
      </c>
      <c r="G142" s="105">
        <f>0/1000*1</f>
        <v>0</v>
      </c>
      <c r="H142" s="106">
        <f>217666.67/1000*1</f>
        <v>217.66667000000001</v>
      </c>
      <c r="I142" s="89">
        <f t="shared" si="53"/>
        <v>-217.66667000000001</v>
      </c>
      <c r="J142" s="26">
        <f t="shared" si="54"/>
        <v>-1</v>
      </c>
      <c r="K142" s="106">
        <f>80006/1000*1</f>
        <v>80.006</v>
      </c>
      <c r="L142" s="89">
        <f t="shared" si="55"/>
        <v>80.006</v>
      </c>
      <c r="M142" s="27">
        <f t="shared" si="56"/>
        <v>1</v>
      </c>
      <c r="N142" s="105">
        <f>0/1000*1</f>
        <v>0</v>
      </c>
      <c r="O142" s="106">
        <f>217666.67/1000*1</f>
        <v>217.66667000000001</v>
      </c>
      <c r="P142" s="89">
        <f t="shared" si="57"/>
        <v>-217.66667000000001</v>
      </c>
      <c r="Q142" s="26">
        <f t="shared" si="58"/>
        <v>-1</v>
      </c>
      <c r="R142" s="106">
        <f>80006/1000*1</f>
        <v>80.006</v>
      </c>
      <c r="S142" s="89">
        <f t="shared" si="59"/>
        <v>80.006</v>
      </c>
      <c r="T142" s="27">
        <f t="shared" si="60"/>
        <v>1</v>
      </c>
      <c r="U142" s="105">
        <f>0/1000*1</f>
        <v>0</v>
      </c>
      <c r="V142" s="106">
        <f>458042.32/1000*1</f>
        <v>458.04232000000002</v>
      </c>
      <c r="W142" s="89">
        <f t="shared" si="61"/>
        <v>-458.04232000000002</v>
      </c>
      <c r="X142" s="26">
        <f t="shared" si="62"/>
        <v>-1</v>
      </c>
      <c r="Y142" s="106">
        <f>80006/1000*1</f>
        <v>80.006</v>
      </c>
      <c r="Z142" s="89">
        <f t="shared" si="63"/>
        <v>80.006</v>
      </c>
      <c r="AA142" s="27">
        <f t="shared" si="64"/>
        <v>1</v>
      </c>
      <c r="AB142" s="107">
        <f>293352/1000*1</f>
        <v>293.35199999999998</v>
      </c>
      <c r="AC142" s="1"/>
      <c r="AD142" s="1"/>
      <c r="AE142" s="1"/>
      <c r="AF142" s="1"/>
      <c r="AG142" s="1"/>
      <c r="AH142" s="1"/>
      <c r="AI142" s="1"/>
    </row>
    <row r="143" spans="1:35" ht="14.25" hidden="1" outlineLevel="1" x14ac:dyDescent="0.2">
      <c r="A143" s="1"/>
      <c r="B143" s="3"/>
      <c r="C143" s="3"/>
      <c r="D143" s="3" t="s">
        <v>67</v>
      </c>
      <c r="E143" s="3" t="s">
        <v>52</v>
      </c>
      <c r="F143" s="3">
        <v>935</v>
      </c>
      <c r="G143" s="105">
        <f>-869.48/1000*1</f>
        <v>-0.86948000000000003</v>
      </c>
      <c r="H143" s="106">
        <f>9296.79/1000*1</f>
        <v>9.2967900000000014</v>
      </c>
      <c r="I143" s="89">
        <f t="shared" si="53"/>
        <v>-10.166270000000001</v>
      </c>
      <c r="J143" s="26">
        <f t="shared" si="54"/>
        <v>-1.0935247542431312</v>
      </c>
      <c r="K143" s="106">
        <f>8319/1000*1</f>
        <v>8.3190000000000008</v>
      </c>
      <c r="L143" s="89">
        <f t="shared" si="55"/>
        <v>9.1884800000000002</v>
      </c>
      <c r="M143" s="27">
        <f t="shared" si="56"/>
        <v>1.104517369876187</v>
      </c>
      <c r="N143" s="105">
        <f>-869.48/1000*1</f>
        <v>-0.86948000000000003</v>
      </c>
      <c r="O143" s="106">
        <f>9296.79/1000*1</f>
        <v>9.2967900000000014</v>
      </c>
      <c r="P143" s="89">
        <f t="shared" si="57"/>
        <v>-10.166270000000001</v>
      </c>
      <c r="Q143" s="26">
        <f t="shared" si="58"/>
        <v>-1.0935247542431312</v>
      </c>
      <c r="R143" s="106">
        <f>8319/1000*1</f>
        <v>8.3190000000000008</v>
      </c>
      <c r="S143" s="89">
        <f t="shared" si="59"/>
        <v>9.1884800000000002</v>
      </c>
      <c r="T143" s="27">
        <f t="shared" si="60"/>
        <v>1.104517369876187</v>
      </c>
      <c r="U143" s="105">
        <f>7593.24/1000*1</f>
        <v>7.5932399999999998</v>
      </c>
      <c r="V143" s="106">
        <f>18593.59/1000*1</f>
        <v>18.593589999999999</v>
      </c>
      <c r="W143" s="89">
        <f t="shared" si="61"/>
        <v>-11.000349999999999</v>
      </c>
      <c r="X143" s="26">
        <f t="shared" si="62"/>
        <v>-0.59162055310459138</v>
      </c>
      <c r="Y143" s="106">
        <f>16781.72/1000*1</f>
        <v>16.78172</v>
      </c>
      <c r="Z143" s="89">
        <f t="shared" si="63"/>
        <v>9.1884800000000002</v>
      </c>
      <c r="AA143" s="27">
        <f t="shared" si="64"/>
        <v>0.54752909713664633</v>
      </c>
      <c r="AB143" s="107">
        <f>38079.72/1000*1</f>
        <v>38.079720000000002</v>
      </c>
      <c r="AC143" s="1"/>
      <c r="AD143" s="1"/>
      <c r="AE143" s="1"/>
      <c r="AF143" s="1"/>
      <c r="AG143" s="1"/>
      <c r="AH143" s="1"/>
      <c r="AI143" s="1"/>
    </row>
    <row r="144" spans="1:35" ht="14.25" hidden="1" outlineLevel="1" x14ac:dyDescent="0.2">
      <c r="A144" s="1"/>
      <c r="B144" s="3"/>
      <c r="C144" s="3"/>
      <c r="D144" s="3" t="s">
        <v>67</v>
      </c>
      <c r="E144" s="3" t="s">
        <v>56</v>
      </c>
      <c r="F144" s="3">
        <v>925</v>
      </c>
      <c r="G144" s="105">
        <f>0/1000*1</f>
        <v>0</v>
      </c>
      <c r="H144" s="106">
        <f>0/1000*1</f>
        <v>0</v>
      </c>
      <c r="I144" s="89">
        <f t="shared" si="53"/>
        <v>0</v>
      </c>
      <c r="J144" s="26" t="str">
        <f t="shared" si="54"/>
        <v>N/A</v>
      </c>
      <c r="K144" s="106">
        <f>2233/1000*1</f>
        <v>2.2330000000000001</v>
      </c>
      <c r="L144" s="89">
        <f t="shared" si="55"/>
        <v>2.2330000000000001</v>
      </c>
      <c r="M144" s="27">
        <f t="shared" si="56"/>
        <v>1</v>
      </c>
      <c r="N144" s="105">
        <f>0/1000*1</f>
        <v>0</v>
      </c>
      <c r="O144" s="106">
        <f>0/1000*1</f>
        <v>0</v>
      </c>
      <c r="P144" s="89">
        <f t="shared" si="57"/>
        <v>0</v>
      </c>
      <c r="Q144" s="26" t="str">
        <f t="shared" si="58"/>
        <v>N/A</v>
      </c>
      <c r="R144" s="106">
        <f>2233/1000*1</f>
        <v>2.2330000000000001</v>
      </c>
      <c r="S144" s="89">
        <f t="shared" si="59"/>
        <v>2.2330000000000001</v>
      </c>
      <c r="T144" s="27">
        <f t="shared" si="60"/>
        <v>1</v>
      </c>
      <c r="U144" s="105">
        <f>0/1000*1</f>
        <v>0</v>
      </c>
      <c r="V144" s="106">
        <f>-1395.44/1000*1</f>
        <v>-1.39544</v>
      </c>
      <c r="W144" s="89">
        <f t="shared" si="61"/>
        <v>1.39544</v>
      </c>
      <c r="X144" s="26">
        <f t="shared" si="62"/>
        <v>-1</v>
      </c>
      <c r="Y144" s="106">
        <f>2233/1000*1</f>
        <v>2.2330000000000001</v>
      </c>
      <c r="Z144" s="89">
        <f t="shared" si="63"/>
        <v>2.2330000000000001</v>
      </c>
      <c r="AA144" s="27">
        <f t="shared" si="64"/>
        <v>1</v>
      </c>
      <c r="AB144" s="107">
        <f>8189/1000*1</f>
        <v>8.1890000000000001</v>
      </c>
      <c r="AC144" s="1"/>
      <c r="AD144" s="1"/>
      <c r="AE144" s="1"/>
      <c r="AF144" s="1"/>
      <c r="AG144" s="1"/>
      <c r="AH144" s="1"/>
      <c r="AI144" s="1"/>
    </row>
    <row r="145" spans="1:35" ht="14.25" hidden="1" outlineLevel="1" x14ac:dyDescent="0.2">
      <c r="A145" s="1"/>
      <c r="B145" s="3"/>
      <c r="C145" s="3"/>
      <c r="D145" s="3"/>
      <c r="E145" s="3"/>
      <c r="F145" s="3"/>
      <c r="G145" s="105"/>
      <c r="H145" s="106"/>
      <c r="I145" s="89"/>
      <c r="J145" s="26"/>
      <c r="K145" s="106"/>
      <c r="L145" s="89"/>
      <c r="M145" s="27"/>
      <c r="N145" s="105"/>
      <c r="O145" s="106"/>
      <c r="P145" s="89"/>
      <c r="Q145" s="26"/>
      <c r="R145" s="106"/>
      <c r="S145" s="89"/>
      <c r="T145" s="27"/>
      <c r="U145" s="105"/>
      <c r="V145" s="106"/>
      <c r="W145" s="89"/>
      <c r="X145" s="26"/>
      <c r="Y145" s="106"/>
      <c r="Z145" s="89"/>
      <c r="AA145" s="27"/>
      <c r="AB145" s="107"/>
      <c r="AC145" s="1"/>
      <c r="AD145" s="1"/>
      <c r="AE145" s="1"/>
      <c r="AF145" s="1"/>
      <c r="AG145" s="1"/>
      <c r="AH145" s="1"/>
      <c r="AI145" s="1"/>
    </row>
    <row r="146" spans="1:35" ht="14.25" hidden="1" outlineLevel="1" x14ac:dyDescent="0.2">
      <c r="A146" s="1"/>
      <c r="B146" s="3"/>
      <c r="C146" s="3"/>
      <c r="D146" s="3"/>
      <c r="E146" s="3"/>
      <c r="F146" s="3"/>
      <c r="G146" s="105"/>
      <c r="H146" s="106"/>
      <c r="I146" s="89"/>
      <c r="J146" s="26"/>
      <c r="K146" s="106"/>
      <c r="L146" s="89"/>
      <c r="M146" s="27"/>
      <c r="N146" s="105"/>
      <c r="O146" s="106"/>
      <c r="P146" s="89"/>
      <c r="Q146" s="26"/>
      <c r="R146" s="106"/>
      <c r="S146" s="89"/>
      <c r="T146" s="27"/>
      <c r="U146" s="105"/>
      <c r="V146" s="106"/>
      <c r="W146" s="89"/>
      <c r="X146" s="26"/>
      <c r="Y146" s="106"/>
      <c r="Z146" s="89"/>
      <c r="AA146" s="27"/>
      <c r="AB146" s="107"/>
      <c r="AC146" s="1"/>
      <c r="AD146" s="1"/>
      <c r="AE146" s="1"/>
      <c r="AF146" s="1"/>
      <c r="AG146" s="1"/>
      <c r="AH146" s="1"/>
      <c r="AI146" s="1"/>
    </row>
    <row r="147" spans="1:35" ht="14.25" hidden="1" outlineLevel="1" x14ac:dyDescent="0.2">
      <c r="A147" s="1"/>
      <c r="B147" s="3"/>
      <c r="C147" s="3"/>
      <c r="D147" s="3"/>
      <c r="E147" s="3"/>
      <c r="F147" s="3"/>
      <c r="G147" s="105"/>
      <c r="H147" s="106"/>
      <c r="I147" s="89"/>
      <c r="J147" s="26"/>
      <c r="K147" s="106"/>
      <c r="L147" s="89"/>
      <c r="M147" s="27"/>
      <c r="N147" s="105"/>
      <c r="O147" s="106"/>
      <c r="P147" s="89"/>
      <c r="Q147" s="26"/>
      <c r="R147" s="106"/>
      <c r="S147" s="89"/>
      <c r="T147" s="27"/>
      <c r="U147" s="105"/>
      <c r="V147" s="106"/>
      <c r="W147" s="89"/>
      <c r="X147" s="26"/>
      <c r="Y147" s="106"/>
      <c r="Z147" s="89"/>
      <c r="AA147" s="27"/>
      <c r="AB147" s="107"/>
      <c r="AC147" s="1"/>
      <c r="AD147" s="1"/>
      <c r="AE147" s="1"/>
      <c r="AF147" s="1"/>
      <c r="AG147" s="1"/>
      <c r="AH147" s="1"/>
      <c r="AI147" s="1"/>
    </row>
    <row r="148" spans="1:35" ht="14.25" collapsed="1" x14ac:dyDescent="0.2">
      <c r="A148" s="1"/>
      <c r="B148" s="3" t="s">
        <v>74</v>
      </c>
      <c r="C148" s="3"/>
      <c r="D148" s="3"/>
      <c r="E148" s="3"/>
      <c r="F148" s="3"/>
      <c r="G148" s="105">
        <f>563153.7/1000*1</f>
        <v>563.15369999999996</v>
      </c>
      <c r="H148" s="106">
        <f>416123.47/1000*1</f>
        <v>416.12347</v>
      </c>
      <c r="I148" s="89">
        <f>G148-H148</f>
        <v>147.03022999999996</v>
      </c>
      <c r="J148" s="26">
        <f>IF(ISERROR(I148/H148),"N/A",IF(ABS(I148/H148)&gt;5,"N/A",I148/H148))</f>
        <v>0.35333318257679619</v>
      </c>
      <c r="K148" s="106">
        <f>115000/1000*1</f>
        <v>115</v>
      </c>
      <c r="L148" s="89">
        <f>K148-G148</f>
        <v>-448.15369999999996</v>
      </c>
      <c r="M148" s="27">
        <f>IF(ISERROR(L148/K148),"N/A",IF(ABS(L148/K148)&gt;5,"N/A",L148/K148))</f>
        <v>-3.8969886956521735</v>
      </c>
      <c r="N148" s="105">
        <f>563033.67/1000*1</f>
        <v>563.03367000000003</v>
      </c>
      <c r="O148" s="106">
        <f>416123.47/1000*1</f>
        <v>416.12347</v>
      </c>
      <c r="P148" s="89">
        <f>N148-O148</f>
        <v>146.91020000000003</v>
      </c>
      <c r="Q148" s="26">
        <f>IF(ISERROR(P148/O148),"N/A",IF(ABS(P148/O148)&gt;5,"N/A",P148/O148))</f>
        <v>0.353044734535161</v>
      </c>
      <c r="R148" s="106">
        <f>114879.97/1000*1</f>
        <v>114.87997</v>
      </c>
      <c r="S148" s="89">
        <f>R148-N148</f>
        <v>-448.15370000000001</v>
      </c>
      <c r="T148" s="27">
        <f>IF(ISERROR(S148/R148),"N/A",IF(ABS(S148/R148)&gt;5,"N/A",S148/R148))</f>
        <v>-3.9010603850262147</v>
      </c>
      <c r="U148" s="105">
        <f>707634.43/1000*1</f>
        <v>707.63443000000007</v>
      </c>
      <c r="V148" s="106">
        <f>972000.18/1000*1</f>
        <v>972.00018</v>
      </c>
      <c r="W148" s="89">
        <f>U148-V148</f>
        <v>-264.36574999999993</v>
      </c>
      <c r="X148" s="26">
        <f>IF(ISERROR(W148/V148),"N/A",IF(ABS(W148/V148)&gt;5,"N/A",W148/V148))</f>
        <v>-0.27198117391295129</v>
      </c>
      <c r="Y148" s="106">
        <f>259480.73/1000*1</f>
        <v>259.48072999999999</v>
      </c>
      <c r="Z148" s="89">
        <f>Y148-U148</f>
        <v>-448.15370000000007</v>
      </c>
      <c r="AA148" s="27">
        <f>IF(ISERROR(Z148/Y148),"N/A",IF(ABS(Z148/Y148)&gt;5,"N/A",Z148/Y148))</f>
        <v>-1.7271174626339307</v>
      </c>
      <c r="AB148" s="107">
        <f>469480.73/1000*1</f>
        <v>469.48072999999999</v>
      </c>
      <c r="AC148" s="1"/>
      <c r="AD148" s="1"/>
      <c r="AE148" s="1"/>
      <c r="AF148" s="1"/>
      <c r="AG148" s="1"/>
      <c r="AH148" s="1"/>
      <c r="AI148" s="1"/>
    </row>
    <row r="149" spans="1:35" ht="5.0999999999999996" customHeight="1" x14ac:dyDescent="0.2">
      <c r="A149" s="1"/>
      <c r="B149" s="3"/>
      <c r="C149" s="3"/>
      <c r="D149" s="3"/>
      <c r="E149" s="3"/>
      <c r="F149" s="3"/>
      <c r="G149" s="109"/>
      <c r="H149" s="110"/>
      <c r="I149" s="111"/>
      <c r="J149" s="38"/>
      <c r="K149" s="110"/>
      <c r="L149" s="111"/>
      <c r="M149" s="39"/>
      <c r="N149" s="109"/>
      <c r="O149" s="110"/>
      <c r="P149" s="111"/>
      <c r="Q149" s="38"/>
      <c r="R149" s="110"/>
      <c r="S149" s="111"/>
      <c r="T149" s="39"/>
      <c r="U149" s="109"/>
      <c r="V149" s="110"/>
      <c r="W149" s="111"/>
      <c r="X149" s="38"/>
      <c r="Y149" s="110"/>
      <c r="Z149" s="111"/>
      <c r="AA149" s="39"/>
      <c r="AB149" s="112"/>
      <c r="AC149" s="1"/>
      <c r="AD149" s="1"/>
      <c r="AE149" s="1"/>
      <c r="AF149" s="1"/>
      <c r="AG149" s="1"/>
      <c r="AH149" s="1"/>
      <c r="AI149" s="1"/>
    </row>
    <row r="150" spans="1:35" x14ac:dyDescent="0.25">
      <c r="A150" s="1"/>
      <c r="B150" s="2" t="s">
        <v>34</v>
      </c>
      <c r="C150" s="3"/>
      <c r="D150" s="3"/>
      <c r="E150" s="3"/>
      <c r="F150" s="3"/>
      <c r="G150" s="105">
        <f>SUM(G13,G25,G51,G55,G62,G68,G74,G100,G106,G118,G148)</f>
        <v>4491.8409700000011</v>
      </c>
      <c r="H150" s="106">
        <f>SUM(H13,H25,H51,H55,H62,H68,H74,H100,H106,H118,H148)</f>
        <v>7537.8852100000022</v>
      </c>
      <c r="I150" s="89">
        <f>G150-H150</f>
        <v>-3046.0442400000011</v>
      </c>
      <c r="J150" s="26">
        <f>IF(ISERROR(I150/H150),"N/A",IF(ABS(I150/H150)&gt;5,"N/A",I150/H150))</f>
        <v>-0.40409798705332106</v>
      </c>
      <c r="K150" s="106">
        <f>SUM(K13,K25,K51,K55,K62,K68,K74,K100,K106,K118,K148)</f>
        <v>6251.9196374410003</v>
      </c>
      <c r="L150" s="89">
        <f>K150-G150</f>
        <v>1760.0786674409992</v>
      </c>
      <c r="M150" s="27">
        <f>IF(ISERROR(L150/K150),"N/A",IF(ABS(L150/K150)&gt;5,"N/A",L150/K150))</f>
        <v>0.28152611829819113</v>
      </c>
      <c r="N150" s="105">
        <f>SUM(N13,N25,N51,N55,N62,N68,N74,N100,N106,N118,N148)</f>
        <v>14214.87088</v>
      </c>
      <c r="O150" s="106">
        <f>SUM(O13,O25,O51,O55,O62,O68,O74,O100,O106,O118,O148)</f>
        <v>18124.298470000002</v>
      </c>
      <c r="P150" s="89">
        <f>N150-O150</f>
        <v>-3909.4275900000011</v>
      </c>
      <c r="Q150" s="26">
        <f>IF(ISERROR(P150/O150),"N/A",IF(ABS(P150/O150)&gt;5,"N/A",P150/O150))</f>
        <v>-0.21570090541551321</v>
      </c>
      <c r="R150" s="106">
        <f>SUM(R13,R25,R51,R55,R62,R68,R74,R100,R106,R118,R148)</f>
        <v>15449.543283625</v>
      </c>
      <c r="S150" s="89">
        <f>R150-N150</f>
        <v>1234.6724036249998</v>
      </c>
      <c r="T150" s="27">
        <f>IF(ISERROR(S150/R150),"N/A",IF(ABS(S150/R150)&gt;5,"N/A",S150/R150))</f>
        <v>7.9916433836178927E-2</v>
      </c>
      <c r="U150" s="105">
        <f>SUM(U13,U25,U51,U55,U62,U68,U74,U100,U106,U118,U148)</f>
        <v>38134.634239999999</v>
      </c>
      <c r="V150" s="106">
        <f>SUM(V13,V25,V51,V55,V62,V68,V74,V100,V106,V118,V148)</f>
        <v>35028.262750000002</v>
      </c>
      <c r="W150" s="89">
        <f>U150-V150</f>
        <v>3106.3714899999977</v>
      </c>
      <c r="X150" s="26">
        <f>IF(ISERROR(W150/V150),"N/A",IF(ABS(W150/V150)&gt;5,"N/A",W150/V150))</f>
        <v>8.8681859907539878E-2</v>
      </c>
      <c r="Y150" s="106">
        <f>SUM(Y13,Y25,Y51,Y55,Y62,Y68,Y74,Y100,Y106,Y118,Y148)</f>
        <v>39369.306643625008</v>
      </c>
      <c r="Z150" s="89">
        <f>Y150-U150</f>
        <v>1234.6724036250089</v>
      </c>
      <c r="AA150" s="27">
        <f>IF(ISERROR(Z150/Y150),"N/A",IF(ABS(Z150/Y150)&gt;5,"N/A",Z150/Y150))</f>
        <v>3.1361294086314238E-2</v>
      </c>
      <c r="AB150" s="107">
        <f>SUM(AB13,AB25,AB51,AB55,AB62,AB68,AB74,AB100,AB106,AB118,AB148)</f>
        <v>76571.117758226988</v>
      </c>
      <c r="AC150" s="1"/>
      <c r="AD150" s="1"/>
      <c r="AE150" s="1"/>
      <c r="AF150" s="1"/>
      <c r="AG150" s="1"/>
      <c r="AH150" s="1"/>
      <c r="AI150" s="1"/>
    </row>
    <row r="151" spans="1:35" ht="5.0999999999999996" customHeight="1" x14ac:dyDescent="0.2">
      <c r="A151" s="1"/>
      <c r="B151" s="3"/>
      <c r="C151" s="3"/>
      <c r="D151" s="3"/>
      <c r="E151" s="3"/>
      <c r="F151" s="3"/>
      <c r="G151" s="105"/>
      <c r="H151" s="106"/>
      <c r="I151" s="89"/>
      <c r="J151" s="26"/>
      <c r="K151" s="106"/>
      <c r="L151" s="89"/>
      <c r="M151" s="27"/>
      <c r="N151" s="105"/>
      <c r="O151" s="106"/>
      <c r="P151" s="89"/>
      <c r="Q151" s="26"/>
      <c r="R151" s="106"/>
      <c r="S151" s="89"/>
      <c r="T151" s="27"/>
      <c r="U151" s="105"/>
      <c r="V151" s="106"/>
      <c r="W151" s="89"/>
      <c r="X151" s="26"/>
      <c r="Y151" s="106"/>
      <c r="Z151" s="89"/>
      <c r="AA151" s="27"/>
      <c r="AB151" s="107"/>
      <c r="AC151" s="1"/>
      <c r="AD151" s="1"/>
      <c r="AE151" s="1"/>
      <c r="AF151" s="1"/>
      <c r="AG151" s="1"/>
      <c r="AH151" s="1"/>
      <c r="AI151" s="1"/>
    </row>
    <row r="152" spans="1:35" x14ac:dyDescent="0.25">
      <c r="A152" s="1"/>
      <c r="B152" s="3"/>
      <c r="C152" s="3"/>
      <c r="D152" s="3"/>
      <c r="E152" s="3"/>
      <c r="F152" s="3"/>
      <c r="G152" s="95"/>
      <c r="H152" s="45"/>
      <c r="I152" s="45"/>
      <c r="J152" s="45"/>
      <c r="K152" s="45"/>
      <c r="L152" s="45"/>
      <c r="M152" s="46"/>
      <c r="N152" s="95"/>
      <c r="O152" s="45"/>
      <c r="P152" s="45"/>
      <c r="Q152" s="45"/>
      <c r="R152" s="45"/>
      <c r="S152" s="45"/>
      <c r="T152" s="46"/>
      <c r="U152" s="95"/>
      <c r="V152" s="45"/>
      <c r="W152" s="45"/>
      <c r="X152" s="45"/>
      <c r="Y152" s="45"/>
      <c r="Z152" s="45"/>
      <c r="AA152" s="46"/>
      <c r="AB152" s="96"/>
      <c r="AC152" s="1"/>
      <c r="AD152" s="1"/>
      <c r="AE152" s="1"/>
      <c r="AF152" s="1"/>
      <c r="AG152" s="1"/>
      <c r="AH152" s="1"/>
      <c r="AI152" s="1"/>
    </row>
    <row r="153" spans="1:35" ht="14.25" x14ac:dyDescent="0.2">
      <c r="A153" s="1"/>
      <c r="B153" s="3" t="s">
        <v>49</v>
      </c>
      <c r="C153" s="3"/>
      <c r="D153" s="3"/>
      <c r="E153" s="3"/>
      <c r="F153" s="3"/>
      <c r="G153" s="102">
        <f>SUM(G154:G157)</f>
        <v>2.6001900000000004</v>
      </c>
      <c r="H153" s="103">
        <f>SUM(H154:H157)</f>
        <v>109.58387</v>
      </c>
      <c r="I153" s="89">
        <f>G153-H153</f>
        <v>-106.98368000000001</v>
      </c>
      <c r="J153" s="26">
        <f>IF(ISERROR(I153/H153),"N/A",IF(ABS(I153/H153)&gt;5,"N/A",I153/H153))</f>
        <v>-0.97627214662157857</v>
      </c>
      <c r="K153" s="103">
        <f>SUM(K154:K157)</f>
        <v>50.413531556000002</v>
      </c>
      <c r="L153" s="89">
        <f>K153-G153</f>
        <v>47.813341556000005</v>
      </c>
      <c r="M153" s="27">
        <f>IF(ISERROR(L153/K153),"N/A",IF(ABS(L153/K153)&gt;5,"N/A",L153/K153))</f>
        <v>0.94842277619230719</v>
      </c>
      <c r="N153" s="102">
        <f>SUM(N154:N157)</f>
        <v>119.20317999999999</v>
      </c>
      <c r="O153" s="103">
        <f>SUM(O154:O157)</f>
        <v>164.61149999999998</v>
      </c>
      <c r="P153" s="89">
        <f>N153-O153</f>
        <v>-45.408319999999989</v>
      </c>
      <c r="Q153" s="26">
        <f>IF(ISERROR(P153/O153),"N/A",IF(ABS(P153/O153)&gt;5,"N/A",P153/O153))</f>
        <v>-0.27585144415791119</v>
      </c>
      <c r="R153" s="103">
        <f>SUM(R154:R157)</f>
        <v>150.58028311199999</v>
      </c>
      <c r="S153" s="89">
        <f>R153-N153</f>
        <v>31.377103112</v>
      </c>
      <c r="T153" s="27">
        <f>IF(ISERROR(S153/R153),"N/A",IF(ABS(S153/R153)&gt;5,"N/A",S153/R153))</f>
        <v>0.20837457908524484</v>
      </c>
      <c r="U153" s="102">
        <f>SUM(U154:U157)</f>
        <v>266.71593999999999</v>
      </c>
      <c r="V153" s="103">
        <f>SUM(V154:V157)</f>
        <v>429.34642000000002</v>
      </c>
      <c r="W153" s="89">
        <f>U153-V153</f>
        <v>-162.63048000000003</v>
      </c>
      <c r="X153" s="26">
        <f>IF(ISERROR(W153/V153),"N/A",IF(ABS(W153/V153)&gt;5,"N/A",W153/V153))</f>
        <v>-0.37878615594372494</v>
      </c>
      <c r="Y153" s="103">
        <f>SUM(Y154:Y157)</f>
        <v>298.09304311199998</v>
      </c>
      <c r="Z153" s="89">
        <f>Y153-U153</f>
        <v>31.377103111999986</v>
      </c>
      <c r="AA153" s="27">
        <f>IF(ISERROR(Z153/Y153),"N/A",IF(ABS(Z153/Y153)&gt;5,"N/A",Z153/Y153))</f>
        <v>0.10525942767544204</v>
      </c>
      <c r="AB153" s="104">
        <f>SUM(AB154:AB157)</f>
        <v>707.46568614399996</v>
      </c>
      <c r="AC153" s="1"/>
      <c r="AD153" s="1"/>
      <c r="AE153" s="1"/>
      <c r="AF153" s="1"/>
      <c r="AG153" s="1"/>
      <c r="AH153" s="1"/>
      <c r="AI153" s="1"/>
    </row>
    <row r="154" spans="1:35" ht="14.25" hidden="1" outlineLevel="1" x14ac:dyDescent="0.2">
      <c r="A154" s="1"/>
      <c r="B154" s="3"/>
      <c r="C154" s="3"/>
      <c r="D154" s="3" t="s">
        <v>50</v>
      </c>
      <c r="E154" s="3" t="s">
        <v>75</v>
      </c>
      <c r="F154" s="3">
        <v>930</v>
      </c>
      <c r="G154" s="24">
        <f>4814.18/1000*1</f>
        <v>4.8141800000000003</v>
      </c>
      <c r="H154" s="25">
        <f>83751.13/1000*1</f>
        <v>83.751130000000003</v>
      </c>
      <c r="I154" s="99">
        <f>G154-H154</f>
        <v>-78.936949999999996</v>
      </c>
      <c r="J154" s="26">
        <f>IF(ISERROR(I154/H154),"N/A",IF(ABS(I154/H154)&gt;5,"N/A",I154/H154))</f>
        <v>-0.94251802930897755</v>
      </c>
      <c r="K154" s="25">
        <f>50413.531556/1000*1</f>
        <v>50.413531556000002</v>
      </c>
      <c r="L154" s="99">
        <f>K154-G154</f>
        <v>45.599351556000002</v>
      </c>
      <c r="M154" s="27">
        <f>IF(ISERROR(L154/K154),"N/A",IF(ABS(L154/K154)&gt;5,"N/A",L154/K154))</f>
        <v>0.90450619404331267</v>
      </c>
      <c r="N154" s="24">
        <f>111150.04/1000*1</f>
        <v>111.15003999999999</v>
      </c>
      <c r="O154" s="25">
        <f>150274.59/1000*1</f>
        <v>150.27458999999999</v>
      </c>
      <c r="P154" s="99">
        <f>N154-O154</f>
        <v>-39.124549999999999</v>
      </c>
      <c r="Q154" s="26">
        <f>IF(ISERROR(P154/O154),"N/A",IF(ABS(P154/O154)&gt;5,"N/A",P154/O154))</f>
        <v>-0.26035372979556959</v>
      </c>
      <c r="R154" s="25">
        <f>134425.373112/1000*1</f>
        <v>134.42537311199999</v>
      </c>
      <c r="S154" s="99">
        <f>R154-N154</f>
        <v>23.275333111999998</v>
      </c>
      <c r="T154" s="27">
        <f>IF(ISERROR(S154/R154),"N/A",IF(ABS(S154/R154)&gt;5,"N/A",S154/R154))</f>
        <v>0.17314687378704577</v>
      </c>
      <c r="U154" s="24">
        <f>252387.01/1000*1</f>
        <v>252.38701</v>
      </c>
      <c r="V154" s="25">
        <f>414214.89/1000*1</f>
        <v>414.21489000000003</v>
      </c>
      <c r="W154" s="99">
        <f>U154-V154</f>
        <v>-161.82788000000002</v>
      </c>
      <c r="X154" s="26">
        <f>IF(ISERROR(W154/V154),"N/A",IF(ABS(W154/V154)&gt;5,"N/A",W154/V154))</f>
        <v>-0.39068581044974027</v>
      </c>
      <c r="Y154" s="25">
        <f>275662.343112/1000*1</f>
        <v>275.66234311199997</v>
      </c>
      <c r="Z154" s="99">
        <f>Y154-U154</f>
        <v>23.27533311199997</v>
      </c>
      <c r="AA154" s="27">
        <f>IF(ISERROR(Z154/Y154),"N/A",IF(ABS(Z154/Y154)&gt;5,"N/A",Z154/Y154))</f>
        <v>8.4434213426617138E-2</v>
      </c>
      <c r="AB154" s="28">
        <f>685034.986144/1000*1</f>
        <v>685.03498614399996</v>
      </c>
      <c r="AC154" s="1"/>
      <c r="AD154" s="1"/>
      <c r="AE154" s="1"/>
      <c r="AF154" s="1"/>
      <c r="AG154" s="1"/>
      <c r="AH154" s="1"/>
      <c r="AI154" s="1"/>
    </row>
    <row r="155" spans="1:35" ht="14.25" hidden="1" outlineLevel="1" x14ac:dyDescent="0.2">
      <c r="A155" s="1"/>
      <c r="B155" s="3"/>
      <c r="C155" s="3"/>
      <c r="D155" s="3" t="s">
        <v>50</v>
      </c>
      <c r="E155" s="3" t="s">
        <v>75</v>
      </c>
      <c r="F155" s="3">
        <v>931</v>
      </c>
      <c r="G155" s="24">
        <f>0/1000*1</f>
        <v>0</v>
      </c>
      <c r="H155" s="25">
        <f>0/1000*1</f>
        <v>0</v>
      </c>
      <c r="I155" s="99">
        <f>G155-H155</f>
        <v>0</v>
      </c>
      <c r="J155" s="26" t="str">
        <f>IF(ISERROR(I155/H155),"N/A",IF(ABS(I155/H155)&gt;5,"N/A",I155/H155))</f>
        <v>N/A</v>
      </c>
      <c r="K155" s="25">
        <f>0/1000*1</f>
        <v>0</v>
      </c>
      <c r="L155" s="99">
        <f>K155-G155</f>
        <v>0</v>
      </c>
      <c r="M155" s="27" t="str">
        <f>IF(ISERROR(L155/K155),"N/A",IF(ABS(L155/K155)&gt;5,"N/A",L155/K155))</f>
        <v>N/A</v>
      </c>
      <c r="N155" s="24">
        <f>0/1000*1</f>
        <v>0</v>
      </c>
      <c r="O155" s="25">
        <f>0/1000*1</f>
        <v>0</v>
      </c>
      <c r="P155" s="99">
        <f>N155-O155</f>
        <v>0</v>
      </c>
      <c r="Q155" s="26" t="str">
        <f>IF(ISERROR(P155/O155),"N/A",IF(ABS(P155/O155)&gt;5,"N/A",P155/O155))</f>
        <v>N/A</v>
      </c>
      <c r="R155" s="25">
        <f>0/1000*1</f>
        <v>0</v>
      </c>
      <c r="S155" s="99">
        <f>R155-N155</f>
        <v>0</v>
      </c>
      <c r="T155" s="27" t="str">
        <f>IF(ISERROR(S155/R155),"N/A",IF(ABS(S155/R155)&gt;5,"N/A",S155/R155))</f>
        <v>N/A</v>
      </c>
      <c r="U155" s="24">
        <f>0/1000*1</f>
        <v>0</v>
      </c>
      <c r="V155" s="25">
        <f>4.33/1000*1</f>
        <v>4.3299999999999996E-3</v>
      </c>
      <c r="W155" s="99">
        <f>U155-V155</f>
        <v>-4.3299999999999996E-3</v>
      </c>
      <c r="X155" s="26">
        <f>IF(ISERROR(W155/V155),"N/A",IF(ABS(W155/V155)&gt;5,"N/A",W155/V155))</f>
        <v>-1</v>
      </c>
      <c r="Y155" s="25">
        <f>0/1000*1</f>
        <v>0</v>
      </c>
      <c r="Z155" s="99">
        <f>Y155-U155</f>
        <v>0</v>
      </c>
      <c r="AA155" s="27" t="str">
        <f>IF(ISERROR(Z155/Y155),"N/A",IF(ABS(Z155/Y155)&gt;5,"N/A",Z155/Y155))</f>
        <v>N/A</v>
      </c>
      <c r="AB155" s="28">
        <f>0/1000*1</f>
        <v>0</v>
      </c>
      <c r="AC155" s="1"/>
      <c r="AD155" s="1"/>
      <c r="AE155" s="1"/>
      <c r="AF155" s="1"/>
      <c r="AG155" s="1"/>
      <c r="AH155" s="1"/>
      <c r="AI155" s="1"/>
    </row>
    <row r="156" spans="1:35" ht="14.25" hidden="1" outlineLevel="1" x14ac:dyDescent="0.2">
      <c r="A156" s="1"/>
      <c r="B156" s="3"/>
      <c r="C156" s="3"/>
      <c r="D156" s="3" t="s">
        <v>50</v>
      </c>
      <c r="E156" s="3" t="s">
        <v>76</v>
      </c>
      <c r="F156" s="3">
        <v>930</v>
      </c>
      <c r="G156" s="24">
        <f>-2213.99/1000*1</f>
        <v>-2.2139899999999999</v>
      </c>
      <c r="H156" s="25">
        <f>25832.74/1000*1</f>
        <v>25.832740000000001</v>
      </c>
      <c r="I156" s="99">
        <f>G156-H156</f>
        <v>-28.04673</v>
      </c>
      <c r="J156" s="26">
        <f>IF(ISERROR(I156/H156),"N/A",IF(ABS(I156/H156)&gt;5,"N/A",I156/H156))</f>
        <v>-1.0857048071555708</v>
      </c>
      <c r="K156" s="25">
        <f>0/1000*1</f>
        <v>0</v>
      </c>
      <c r="L156" s="99">
        <f>K156-G156</f>
        <v>2.2139899999999999</v>
      </c>
      <c r="M156" s="27" t="str">
        <f>IF(ISERROR(L156/K156),"N/A",IF(ABS(L156/K156)&gt;5,"N/A",L156/K156))</f>
        <v>N/A</v>
      </c>
      <c r="N156" s="24">
        <f>8053.14/1000*1</f>
        <v>8.0531400000000009</v>
      </c>
      <c r="O156" s="25">
        <f>14336.91/1000*1</f>
        <v>14.33691</v>
      </c>
      <c r="P156" s="99">
        <f>N156-O156</f>
        <v>-6.2837699999999987</v>
      </c>
      <c r="Q156" s="26">
        <f>IF(ISERROR(P156/O156),"N/A",IF(ABS(P156/O156)&gt;5,"N/A",P156/O156))</f>
        <v>-0.43829318869965694</v>
      </c>
      <c r="R156" s="25">
        <f>16154.91/1000*1</f>
        <v>16.154910000000001</v>
      </c>
      <c r="S156" s="99">
        <f>R156-N156</f>
        <v>8.1017700000000001</v>
      </c>
      <c r="T156" s="27">
        <f>IF(ISERROR(S156/R156),"N/A",IF(ABS(S156/R156)&gt;5,"N/A",S156/R156))</f>
        <v>0.5015051151631299</v>
      </c>
      <c r="U156" s="24">
        <f>14328.93/1000*1</f>
        <v>14.32893</v>
      </c>
      <c r="V156" s="25">
        <f>15127.2/1000*1</f>
        <v>15.1272</v>
      </c>
      <c r="W156" s="99">
        <f>U156-V156</f>
        <v>-0.79827000000000048</v>
      </c>
      <c r="X156" s="26">
        <f>IF(ISERROR(W156/V156),"N/A",IF(ABS(W156/V156)&gt;5,"N/A",W156/V156))</f>
        <v>-5.2770506108202477E-2</v>
      </c>
      <c r="Y156" s="25">
        <f>22430.7/1000*1</f>
        <v>22.430700000000002</v>
      </c>
      <c r="Z156" s="99">
        <f>Y156-U156</f>
        <v>8.1017700000000019</v>
      </c>
      <c r="AA156" s="27">
        <f>IF(ISERROR(Z156/Y156),"N/A",IF(ABS(Z156/Y156)&gt;5,"N/A",Z156/Y156))</f>
        <v>0.36119113536358655</v>
      </c>
      <c r="AB156" s="28">
        <f>22430.7/1000*1</f>
        <v>22.430700000000002</v>
      </c>
      <c r="AC156" s="1"/>
      <c r="AD156" s="1"/>
      <c r="AE156" s="1"/>
      <c r="AF156" s="1"/>
      <c r="AG156" s="1"/>
      <c r="AH156" s="1"/>
      <c r="AI156" s="1"/>
    </row>
    <row r="157" spans="1:35" ht="14.25" hidden="1" outlineLevel="1" x14ac:dyDescent="0.2">
      <c r="A157" s="1"/>
      <c r="B157" s="3"/>
      <c r="C157" s="3"/>
      <c r="D157" s="3"/>
      <c r="E157" s="3"/>
      <c r="F157" s="3"/>
      <c r="G157" s="24"/>
      <c r="H157" s="25"/>
      <c r="I157" s="99"/>
      <c r="J157" s="26"/>
      <c r="K157" s="25"/>
      <c r="L157" s="99"/>
      <c r="M157" s="27"/>
      <c r="N157" s="24"/>
      <c r="O157" s="25"/>
      <c r="P157" s="99"/>
      <c r="Q157" s="26"/>
      <c r="R157" s="25"/>
      <c r="S157" s="99"/>
      <c r="T157" s="27"/>
      <c r="U157" s="24"/>
      <c r="V157" s="25"/>
      <c r="W157" s="99"/>
      <c r="X157" s="26"/>
      <c r="Y157" s="25"/>
      <c r="Z157" s="99"/>
      <c r="AA157" s="27"/>
      <c r="AB157" s="28"/>
      <c r="AC157" s="1"/>
      <c r="AD157" s="1"/>
      <c r="AE157" s="1"/>
      <c r="AF157" s="1"/>
      <c r="AG157" s="1"/>
      <c r="AH157" s="1"/>
      <c r="AI157" s="1"/>
    </row>
    <row r="158" spans="1:35" ht="14.25" hidden="1" outlineLevel="1" x14ac:dyDescent="0.2">
      <c r="A158" s="1"/>
      <c r="B158" s="3"/>
      <c r="C158" s="3"/>
      <c r="D158" s="3"/>
      <c r="E158" s="3"/>
      <c r="F158" s="3"/>
      <c r="G158" s="24"/>
      <c r="H158" s="25"/>
      <c r="I158" s="99"/>
      <c r="J158" s="26"/>
      <c r="K158" s="25"/>
      <c r="L158" s="99"/>
      <c r="M158" s="27"/>
      <c r="N158" s="24"/>
      <c r="O158" s="25"/>
      <c r="P158" s="99"/>
      <c r="Q158" s="26"/>
      <c r="R158" s="25"/>
      <c r="S158" s="99"/>
      <c r="T158" s="27"/>
      <c r="U158" s="24"/>
      <c r="V158" s="25"/>
      <c r="W158" s="99"/>
      <c r="X158" s="26"/>
      <c r="Y158" s="25"/>
      <c r="Z158" s="99"/>
      <c r="AA158" s="27"/>
      <c r="AB158" s="28"/>
      <c r="AC158" s="1"/>
      <c r="AD158" s="1"/>
      <c r="AE158" s="1"/>
      <c r="AF158" s="1"/>
      <c r="AG158" s="1"/>
      <c r="AH158" s="1"/>
      <c r="AI158" s="1"/>
    </row>
    <row r="159" spans="1:35" ht="14.25" collapsed="1" x14ac:dyDescent="0.2">
      <c r="A159" s="1"/>
      <c r="B159" s="3" t="s">
        <v>58</v>
      </c>
      <c r="C159" s="3"/>
      <c r="D159" s="3"/>
      <c r="E159" s="3"/>
      <c r="F159" s="3"/>
      <c r="G159" s="102">
        <f>SUM(G160:G175)</f>
        <v>41.582329999999999</v>
      </c>
      <c r="H159" s="103">
        <f>SUM(H160:H175)</f>
        <v>12.1159</v>
      </c>
      <c r="I159" s="89">
        <f t="shared" ref="I159:I174" si="65">G159-H159</f>
        <v>29.466429999999999</v>
      </c>
      <c r="J159" s="26">
        <f t="shared" ref="J159:J174" si="66">IF(ISERROR(I159/H159),"N/A",IF(ABS(I159/H159)&gt;5,"N/A",I159/H159))</f>
        <v>2.4320463192994328</v>
      </c>
      <c r="K159" s="103">
        <f>SUM(K160:K175)</f>
        <v>7.1486243690000002</v>
      </c>
      <c r="L159" s="89">
        <f t="shared" ref="L159:L174" si="67">K159-G159</f>
        <v>-34.433705630999995</v>
      </c>
      <c r="M159" s="27">
        <f t="shared" ref="M159:M174" si="68">IF(ISERROR(L159/K159),"N/A",IF(ABS(L159/K159)&gt;5,"N/A",L159/K159))</f>
        <v>-4.8168296239373989</v>
      </c>
      <c r="N159" s="102">
        <f>SUM(N160:N175)</f>
        <v>68.262029999999996</v>
      </c>
      <c r="O159" s="103">
        <f>SUM(O160:O175)</f>
        <v>41.303730000000002</v>
      </c>
      <c r="P159" s="89">
        <f t="shared" ref="P159:P174" si="69">N159-O159</f>
        <v>26.958299999999994</v>
      </c>
      <c r="Q159" s="26">
        <f t="shared" ref="Q159:Q174" si="70">IF(ISERROR(P159/O159),"N/A",IF(ABS(P159/O159)&gt;5,"N/A",P159/O159))</f>
        <v>0.65268439436341452</v>
      </c>
      <c r="R159" s="103">
        <f>SUM(R160:R175)</f>
        <v>34.523008738000001</v>
      </c>
      <c r="S159" s="89">
        <f t="shared" ref="S159:S174" si="71">R159-N159</f>
        <v>-33.739021261999994</v>
      </c>
      <c r="T159" s="27">
        <f t="shared" ref="T159:T174" si="72">IF(ISERROR(S159/R159),"N/A",IF(ABS(S159/R159)&gt;5,"N/A",S159/R159))</f>
        <v>-0.97729087050465968</v>
      </c>
      <c r="U159" s="102">
        <f>SUM(U160:U175)</f>
        <v>84.276989999999998</v>
      </c>
      <c r="V159" s="103">
        <f>SUM(V160:V175)</f>
        <v>59.631339999999994</v>
      </c>
      <c r="W159" s="89">
        <f t="shared" ref="W159:W174" si="73">U159-V159</f>
        <v>24.645650000000003</v>
      </c>
      <c r="X159" s="26">
        <f t="shared" ref="X159:X174" si="74">IF(ISERROR(W159/V159),"N/A",IF(ABS(W159/V159)&gt;5,"N/A",W159/V159))</f>
        <v>0.41330028806999819</v>
      </c>
      <c r="Y159" s="103">
        <f>SUM(Y160:Y175)</f>
        <v>50.537968738000004</v>
      </c>
      <c r="Z159" s="89">
        <f t="shared" ref="Z159:Z174" si="75">Y159-U159</f>
        <v>-33.739021261999994</v>
      </c>
      <c r="AA159" s="27">
        <f t="shared" ref="AA159:AA174" si="76">IF(ISERROR(Z159/Y159),"N/A",IF(ABS(Z159/Y159)&gt;5,"N/A",Z159/Y159))</f>
        <v>-0.66759749361733423</v>
      </c>
      <c r="AB159" s="104">
        <f>SUM(AB160:AB175)</f>
        <v>105.630693017</v>
      </c>
      <c r="AC159" s="1"/>
      <c r="AD159" s="1"/>
      <c r="AE159" s="1"/>
      <c r="AF159" s="1"/>
      <c r="AG159" s="1"/>
      <c r="AH159" s="1"/>
      <c r="AI159" s="1"/>
    </row>
    <row r="160" spans="1:35" ht="14.25" hidden="1" outlineLevel="1" x14ac:dyDescent="0.2">
      <c r="A160" s="1"/>
      <c r="B160" s="3"/>
      <c r="C160" s="3"/>
      <c r="D160" s="3" t="s">
        <v>59</v>
      </c>
      <c r="E160" s="3" t="s">
        <v>75</v>
      </c>
      <c r="F160" s="3">
        <v>810</v>
      </c>
      <c r="G160" s="105">
        <f t="shared" ref="G160:H164" si="77">0/1000*1</f>
        <v>0</v>
      </c>
      <c r="H160" s="106">
        <f t="shared" si="77"/>
        <v>0</v>
      </c>
      <c r="I160" s="89">
        <f t="shared" si="65"/>
        <v>0</v>
      </c>
      <c r="J160" s="26" t="str">
        <f t="shared" si="66"/>
        <v>N/A</v>
      </c>
      <c r="K160" s="106">
        <f t="shared" ref="K160:K173" si="78">0/1000*1</f>
        <v>0</v>
      </c>
      <c r="L160" s="89">
        <f t="shared" si="67"/>
        <v>0</v>
      </c>
      <c r="M160" s="27" t="str">
        <f t="shared" si="68"/>
        <v>N/A</v>
      </c>
      <c r="N160" s="105">
        <f t="shared" ref="N160:O162" si="79">0/1000*1</f>
        <v>0</v>
      </c>
      <c r="O160" s="106">
        <f t="shared" si="79"/>
        <v>0</v>
      </c>
      <c r="P160" s="89">
        <f t="shared" si="69"/>
        <v>0</v>
      </c>
      <c r="Q160" s="26" t="str">
        <f t="shared" si="70"/>
        <v>N/A</v>
      </c>
      <c r="R160" s="106">
        <f>0/1000*1</f>
        <v>0</v>
      </c>
      <c r="S160" s="89">
        <f t="shared" si="71"/>
        <v>0</v>
      </c>
      <c r="T160" s="27" t="str">
        <f t="shared" si="72"/>
        <v>N/A</v>
      </c>
      <c r="U160" s="105">
        <f>0/1000*1</f>
        <v>0</v>
      </c>
      <c r="V160" s="106">
        <f>0.98/1000*1</f>
        <v>9.7999999999999997E-4</v>
      </c>
      <c r="W160" s="89">
        <f t="shared" si="73"/>
        <v>-9.7999999999999997E-4</v>
      </c>
      <c r="X160" s="26">
        <f t="shared" si="74"/>
        <v>-1</v>
      </c>
      <c r="Y160" s="106">
        <f>0/1000*1</f>
        <v>0</v>
      </c>
      <c r="Z160" s="89">
        <f t="shared" si="75"/>
        <v>0</v>
      </c>
      <c r="AA160" s="27" t="str">
        <f t="shared" si="76"/>
        <v>N/A</v>
      </c>
      <c r="AB160" s="107">
        <f>0/1000*1</f>
        <v>0</v>
      </c>
      <c r="AC160" s="1"/>
      <c r="AD160" s="1"/>
      <c r="AE160" s="1"/>
      <c r="AF160" s="1"/>
      <c r="AG160" s="1"/>
      <c r="AH160" s="1"/>
      <c r="AI160" s="1"/>
    </row>
    <row r="161" spans="1:35" ht="14.25" hidden="1" outlineLevel="1" x14ac:dyDescent="0.2">
      <c r="A161" s="1"/>
      <c r="B161" s="3"/>
      <c r="C161" s="3"/>
      <c r="D161" s="3" t="s">
        <v>59</v>
      </c>
      <c r="E161" s="3" t="s">
        <v>75</v>
      </c>
      <c r="F161" s="3">
        <v>811</v>
      </c>
      <c r="G161" s="105">
        <f t="shared" si="77"/>
        <v>0</v>
      </c>
      <c r="H161" s="106">
        <f t="shared" si="77"/>
        <v>0</v>
      </c>
      <c r="I161" s="89">
        <f t="shared" si="65"/>
        <v>0</v>
      </c>
      <c r="J161" s="26" t="str">
        <f t="shared" si="66"/>
        <v>N/A</v>
      </c>
      <c r="K161" s="106">
        <f t="shared" si="78"/>
        <v>0</v>
      </c>
      <c r="L161" s="89">
        <f t="shared" si="67"/>
        <v>0</v>
      </c>
      <c r="M161" s="27" t="str">
        <f t="shared" si="68"/>
        <v>N/A</v>
      </c>
      <c r="N161" s="105">
        <f t="shared" si="79"/>
        <v>0</v>
      </c>
      <c r="O161" s="106">
        <f t="shared" si="79"/>
        <v>0</v>
      </c>
      <c r="P161" s="89">
        <f t="shared" si="69"/>
        <v>0</v>
      </c>
      <c r="Q161" s="26" t="str">
        <f t="shared" si="70"/>
        <v>N/A</v>
      </c>
      <c r="R161" s="106">
        <f>0/1000*1</f>
        <v>0</v>
      </c>
      <c r="S161" s="89">
        <f t="shared" si="71"/>
        <v>0</v>
      </c>
      <c r="T161" s="27" t="str">
        <f t="shared" si="72"/>
        <v>N/A</v>
      </c>
      <c r="U161" s="105">
        <f>0/1000*1</f>
        <v>0</v>
      </c>
      <c r="V161" s="106">
        <f>0.34/1000*1</f>
        <v>3.4000000000000002E-4</v>
      </c>
      <c r="W161" s="89">
        <f t="shared" si="73"/>
        <v>-3.4000000000000002E-4</v>
      </c>
      <c r="X161" s="26">
        <f t="shared" si="74"/>
        <v>-1</v>
      </c>
      <c r="Y161" s="106">
        <f>0/1000*1</f>
        <v>0</v>
      </c>
      <c r="Z161" s="89">
        <f t="shared" si="75"/>
        <v>0</v>
      </c>
      <c r="AA161" s="27" t="str">
        <f t="shared" si="76"/>
        <v>N/A</v>
      </c>
      <c r="AB161" s="107">
        <f>0/1000*1</f>
        <v>0</v>
      </c>
      <c r="AC161" s="1"/>
      <c r="AD161" s="1"/>
      <c r="AE161" s="1"/>
      <c r="AF161" s="1"/>
      <c r="AG161" s="1"/>
      <c r="AH161" s="1"/>
      <c r="AI161" s="1"/>
    </row>
    <row r="162" spans="1:35" ht="14.25" hidden="1" outlineLevel="1" x14ac:dyDescent="0.2">
      <c r="A162" s="1"/>
      <c r="B162" s="3"/>
      <c r="C162" s="3"/>
      <c r="D162" s="3" t="s">
        <v>59</v>
      </c>
      <c r="E162" s="3" t="s">
        <v>75</v>
      </c>
      <c r="F162" s="3">
        <v>815</v>
      </c>
      <c r="G162" s="105">
        <f t="shared" si="77"/>
        <v>0</v>
      </c>
      <c r="H162" s="106">
        <f t="shared" si="77"/>
        <v>0</v>
      </c>
      <c r="I162" s="89">
        <f t="shared" si="65"/>
        <v>0</v>
      </c>
      <c r="J162" s="26" t="str">
        <f t="shared" si="66"/>
        <v>N/A</v>
      </c>
      <c r="K162" s="106">
        <f t="shared" si="78"/>
        <v>0</v>
      </c>
      <c r="L162" s="89">
        <f t="shared" si="67"/>
        <v>0</v>
      </c>
      <c r="M162" s="27" t="str">
        <f t="shared" si="68"/>
        <v>N/A</v>
      </c>
      <c r="N162" s="105">
        <f t="shared" si="79"/>
        <v>0</v>
      </c>
      <c r="O162" s="106">
        <f t="shared" si="79"/>
        <v>0</v>
      </c>
      <c r="P162" s="89">
        <f t="shared" si="69"/>
        <v>0</v>
      </c>
      <c r="Q162" s="26" t="str">
        <f t="shared" si="70"/>
        <v>N/A</v>
      </c>
      <c r="R162" s="106">
        <f>0/1000*1</f>
        <v>0</v>
      </c>
      <c r="S162" s="89">
        <f t="shared" si="71"/>
        <v>0</v>
      </c>
      <c r="T162" s="27" t="str">
        <f t="shared" si="72"/>
        <v>N/A</v>
      </c>
      <c r="U162" s="105">
        <f>0/1000*1</f>
        <v>0</v>
      </c>
      <c r="V162" s="106">
        <f>2.84/1000*1</f>
        <v>2.8399999999999996E-3</v>
      </c>
      <c r="W162" s="89">
        <f t="shared" si="73"/>
        <v>-2.8399999999999996E-3</v>
      </c>
      <c r="X162" s="26">
        <f t="shared" si="74"/>
        <v>-1</v>
      </c>
      <c r="Y162" s="106">
        <f>0/1000*1</f>
        <v>0</v>
      </c>
      <c r="Z162" s="89">
        <f t="shared" si="75"/>
        <v>0</v>
      </c>
      <c r="AA162" s="27" t="str">
        <f t="shared" si="76"/>
        <v>N/A</v>
      </c>
      <c r="AB162" s="107">
        <f>0/1000*1</f>
        <v>0</v>
      </c>
      <c r="AC162" s="1"/>
      <c r="AD162" s="1"/>
      <c r="AE162" s="1"/>
      <c r="AF162" s="1"/>
      <c r="AG162" s="1"/>
      <c r="AH162" s="1"/>
      <c r="AI162" s="1"/>
    </row>
    <row r="163" spans="1:35" ht="14.25" hidden="1" outlineLevel="1" x14ac:dyDescent="0.2">
      <c r="A163" s="1"/>
      <c r="B163" s="3"/>
      <c r="C163" s="3"/>
      <c r="D163" s="3" t="s">
        <v>59</v>
      </c>
      <c r="E163" s="3" t="s">
        <v>75</v>
      </c>
      <c r="F163" s="3">
        <v>830</v>
      </c>
      <c r="G163" s="105">
        <f t="shared" si="77"/>
        <v>0</v>
      </c>
      <c r="H163" s="106">
        <f t="shared" si="77"/>
        <v>0</v>
      </c>
      <c r="I163" s="89">
        <f t="shared" si="65"/>
        <v>0</v>
      </c>
      <c r="J163" s="26" t="str">
        <f t="shared" si="66"/>
        <v>N/A</v>
      </c>
      <c r="K163" s="106">
        <f t="shared" si="78"/>
        <v>0</v>
      </c>
      <c r="L163" s="89">
        <f t="shared" si="67"/>
        <v>0</v>
      </c>
      <c r="M163" s="27" t="str">
        <f t="shared" si="68"/>
        <v>N/A</v>
      </c>
      <c r="N163" s="105">
        <f>10401.85/1000*1</f>
        <v>10.40185</v>
      </c>
      <c r="O163" s="106">
        <f>0/1000*1</f>
        <v>0</v>
      </c>
      <c r="P163" s="89">
        <f t="shared" si="69"/>
        <v>10.40185</v>
      </c>
      <c r="Q163" s="26" t="str">
        <f t="shared" si="70"/>
        <v>N/A</v>
      </c>
      <c r="R163" s="106">
        <f>10252.52/1000*1</f>
        <v>10.252520000000001</v>
      </c>
      <c r="S163" s="89">
        <f t="shared" si="71"/>
        <v>-0.14932999999999907</v>
      </c>
      <c r="T163" s="27">
        <f t="shared" si="72"/>
        <v>-1.4565199580200678E-2</v>
      </c>
      <c r="U163" s="105">
        <f>10512.7/1000*1</f>
        <v>10.512700000000001</v>
      </c>
      <c r="V163" s="106">
        <f>-9120.94/1000*1</f>
        <v>-9.1209400000000009</v>
      </c>
      <c r="W163" s="89">
        <f t="shared" si="73"/>
        <v>19.63364</v>
      </c>
      <c r="X163" s="26">
        <f t="shared" si="74"/>
        <v>-2.1525895357276768</v>
      </c>
      <c r="Y163" s="106">
        <f>10363.37/1000*1</f>
        <v>10.363370000000002</v>
      </c>
      <c r="Z163" s="89">
        <f t="shared" si="75"/>
        <v>-0.14932999999999907</v>
      </c>
      <c r="AA163" s="27">
        <f t="shared" si="76"/>
        <v>-1.4409405434718537E-2</v>
      </c>
      <c r="AB163" s="107">
        <f>10363.37/1000*1</f>
        <v>10.363370000000002</v>
      </c>
      <c r="AC163" s="1"/>
      <c r="AD163" s="1"/>
      <c r="AE163" s="1"/>
      <c r="AF163" s="1"/>
      <c r="AG163" s="1"/>
      <c r="AH163" s="1"/>
      <c r="AI163" s="1"/>
    </row>
    <row r="164" spans="1:35" ht="14.25" hidden="1" outlineLevel="1" x14ac:dyDescent="0.2">
      <c r="A164" s="1"/>
      <c r="B164" s="3"/>
      <c r="C164" s="3"/>
      <c r="D164" s="3" t="s">
        <v>59</v>
      </c>
      <c r="E164" s="3" t="s">
        <v>75</v>
      </c>
      <c r="F164" s="3">
        <v>831</v>
      </c>
      <c r="G164" s="105">
        <f t="shared" si="77"/>
        <v>0</v>
      </c>
      <c r="H164" s="106">
        <f t="shared" si="77"/>
        <v>0</v>
      </c>
      <c r="I164" s="89">
        <f t="shared" si="65"/>
        <v>0</v>
      </c>
      <c r="J164" s="26" t="str">
        <f t="shared" si="66"/>
        <v>N/A</v>
      </c>
      <c r="K164" s="106">
        <f t="shared" si="78"/>
        <v>0</v>
      </c>
      <c r="L164" s="89">
        <f t="shared" si="67"/>
        <v>0</v>
      </c>
      <c r="M164" s="27" t="str">
        <f t="shared" si="68"/>
        <v>N/A</v>
      </c>
      <c r="N164" s="105">
        <f>0/1000*1</f>
        <v>0</v>
      </c>
      <c r="O164" s="106">
        <f>0/1000*1</f>
        <v>0</v>
      </c>
      <c r="P164" s="89">
        <f t="shared" si="69"/>
        <v>0</v>
      </c>
      <c r="Q164" s="26" t="str">
        <f t="shared" si="70"/>
        <v>N/A</v>
      </c>
      <c r="R164" s="106">
        <f>0/1000*1</f>
        <v>0</v>
      </c>
      <c r="S164" s="89">
        <f t="shared" si="71"/>
        <v>0</v>
      </c>
      <c r="T164" s="27" t="str">
        <f t="shared" si="72"/>
        <v>N/A</v>
      </c>
      <c r="U164" s="105">
        <f>0/1000*1</f>
        <v>0</v>
      </c>
      <c r="V164" s="106">
        <f>0.9/1000*1</f>
        <v>8.9999999999999998E-4</v>
      </c>
      <c r="W164" s="89">
        <f t="shared" si="73"/>
        <v>-8.9999999999999998E-4</v>
      </c>
      <c r="X164" s="26">
        <f t="shared" si="74"/>
        <v>-1</v>
      </c>
      <c r="Y164" s="106">
        <f>0/1000*1</f>
        <v>0</v>
      </c>
      <c r="Z164" s="89">
        <f t="shared" si="75"/>
        <v>0</v>
      </c>
      <c r="AA164" s="27" t="str">
        <f t="shared" si="76"/>
        <v>N/A</v>
      </c>
      <c r="AB164" s="107">
        <f>0/1000*1</f>
        <v>0</v>
      </c>
      <c r="AC164" s="1"/>
      <c r="AD164" s="1"/>
      <c r="AE164" s="1"/>
      <c r="AF164" s="1"/>
      <c r="AG164" s="1"/>
      <c r="AH164" s="1"/>
      <c r="AI164" s="1"/>
    </row>
    <row r="165" spans="1:35" ht="14.25" hidden="1" outlineLevel="1" x14ac:dyDescent="0.2">
      <c r="A165" s="1"/>
      <c r="B165" s="3"/>
      <c r="C165" s="3"/>
      <c r="D165" s="3" t="s">
        <v>59</v>
      </c>
      <c r="E165" s="3" t="s">
        <v>75</v>
      </c>
      <c r="F165" s="3">
        <v>840</v>
      </c>
      <c r="G165" s="105">
        <f>30.81/1000*1</f>
        <v>3.0809999999999997E-2</v>
      </c>
      <c r="H165" s="106">
        <f>30.85/1000*1</f>
        <v>3.0850000000000002E-2</v>
      </c>
      <c r="I165" s="89">
        <f t="shared" si="65"/>
        <v>-4.0000000000005309E-5</v>
      </c>
      <c r="J165" s="26">
        <f t="shared" si="66"/>
        <v>-1.2965964343599776E-3</v>
      </c>
      <c r="K165" s="106">
        <f t="shared" si="78"/>
        <v>0</v>
      </c>
      <c r="L165" s="89">
        <f t="shared" si="67"/>
        <v>-3.0809999999999997E-2</v>
      </c>
      <c r="M165" s="27" t="str">
        <f t="shared" si="68"/>
        <v>N/A</v>
      </c>
      <c r="N165" s="105">
        <f>45.67/1000*1</f>
        <v>4.5670000000000002E-2</v>
      </c>
      <c r="O165" s="106">
        <f>66.69/1000*1</f>
        <v>6.6689999999999999E-2</v>
      </c>
      <c r="P165" s="89">
        <f t="shared" si="69"/>
        <v>-2.1019999999999997E-2</v>
      </c>
      <c r="Q165" s="26">
        <f t="shared" si="70"/>
        <v>-0.31518968361073618</v>
      </c>
      <c r="R165" s="106">
        <f>14.86/1000*1</f>
        <v>1.486E-2</v>
      </c>
      <c r="S165" s="89">
        <f t="shared" si="71"/>
        <v>-3.0810000000000004E-2</v>
      </c>
      <c r="T165" s="27">
        <f t="shared" si="72"/>
        <v>-2.0733512786002692</v>
      </c>
      <c r="U165" s="105">
        <f>122.39/1000*1</f>
        <v>0.12239</v>
      </c>
      <c r="V165" s="106">
        <f>132.2/1000*1</f>
        <v>0.13219999999999998</v>
      </c>
      <c r="W165" s="89">
        <f t="shared" si="73"/>
        <v>-9.8099999999999854E-3</v>
      </c>
      <c r="X165" s="26">
        <f t="shared" si="74"/>
        <v>-7.4205748865355414E-2</v>
      </c>
      <c r="Y165" s="106">
        <f>91.58/1000*1</f>
        <v>9.1579999999999995E-2</v>
      </c>
      <c r="Z165" s="89">
        <f t="shared" si="75"/>
        <v>-3.0810000000000004E-2</v>
      </c>
      <c r="AA165" s="27">
        <f t="shared" si="76"/>
        <v>-0.33642716750382184</v>
      </c>
      <c r="AB165" s="107">
        <f>91.58/1000*1</f>
        <v>9.1579999999999995E-2</v>
      </c>
      <c r="AC165" s="1"/>
      <c r="AD165" s="1"/>
      <c r="AE165" s="1"/>
      <c r="AF165" s="1"/>
      <c r="AG165" s="1"/>
      <c r="AH165" s="1"/>
      <c r="AI165" s="1"/>
    </row>
    <row r="166" spans="1:35" ht="14.25" hidden="1" outlineLevel="1" x14ac:dyDescent="0.2">
      <c r="A166" s="1"/>
      <c r="B166" s="3"/>
      <c r="C166" s="3"/>
      <c r="D166" s="3" t="s">
        <v>59</v>
      </c>
      <c r="E166" s="3" t="s">
        <v>75</v>
      </c>
      <c r="F166" s="3">
        <v>841</v>
      </c>
      <c r="G166" s="105">
        <f t="shared" ref="G166:H168" si="80">0/1000*1</f>
        <v>0</v>
      </c>
      <c r="H166" s="106">
        <f t="shared" si="80"/>
        <v>0</v>
      </c>
      <c r="I166" s="89">
        <f t="shared" si="65"/>
        <v>0</v>
      </c>
      <c r="J166" s="26" t="str">
        <f t="shared" si="66"/>
        <v>N/A</v>
      </c>
      <c r="K166" s="106">
        <f t="shared" si="78"/>
        <v>0</v>
      </c>
      <c r="L166" s="89">
        <f t="shared" si="67"/>
        <v>0</v>
      </c>
      <c r="M166" s="27" t="str">
        <f t="shared" si="68"/>
        <v>N/A</v>
      </c>
      <c r="N166" s="105">
        <f t="shared" ref="N166:O168" si="81">0/1000*1</f>
        <v>0</v>
      </c>
      <c r="O166" s="106">
        <f t="shared" si="81"/>
        <v>0</v>
      </c>
      <c r="P166" s="89">
        <f t="shared" si="69"/>
        <v>0</v>
      </c>
      <c r="Q166" s="26" t="str">
        <f t="shared" si="70"/>
        <v>N/A</v>
      </c>
      <c r="R166" s="106">
        <f t="shared" ref="R166:R173" si="82">0/1000*1</f>
        <v>0</v>
      </c>
      <c r="S166" s="89">
        <f t="shared" si="71"/>
        <v>0</v>
      </c>
      <c r="T166" s="27" t="str">
        <f t="shared" si="72"/>
        <v>N/A</v>
      </c>
      <c r="U166" s="105">
        <f>0/1000*1</f>
        <v>0</v>
      </c>
      <c r="V166" s="106">
        <f>1.78/1000*1</f>
        <v>1.7800000000000001E-3</v>
      </c>
      <c r="W166" s="89">
        <f t="shared" si="73"/>
        <v>-1.7800000000000001E-3</v>
      </c>
      <c r="X166" s="26">
        <f t="shared" si="74"/>
        <v>-1</v>
      </c>
      <c r="Y166" s="106">
        <f t="shared" ref="Y166:Y173" si="83">0/1000*1</f>
        <v>0</v>
      </c>
      <c r="Z166" s="89">
        <f t="shared" si="75"/>
        <v>0</v>
      </c>
      <c r="AA166" s="27" t="str">
        <f t="shared" si="76"/>
        <v>N/A</v>
      </c>
      <c r="AB166" s="107">
        <f t="shared" ref="AB166:AB173" si="84">0/1000*1</f>
        <v>0</v>
      </c>
      <c r="AC166" s="1"/>
      <c r="AD166" s="1"/>
      <c r="AE166" s="1"/>
      <c r="AF166" s="1"/>
      <c r="AG166" s="1"/>
      <c r="AH166" s="1"/>
      <c r="AI166" s="1"/>
    </row>
    <row r="167" spans="1:35" ht="14.25" hidden="1" outlineLevel="1" x14ac:dyDescent="0.2">
      <c r="A167" s="1"/>
      <c r="B167" s="3"/>
      <c r="C167" s="3"/>
      <c r="D167" s="3" t="s">
        <v>59</v>
      </c>
      <c r="E167" s="3" t="s">
        <v>75</v>
      </c>
      <c r="F167" s="3">
        <v>842</v>
      </c>
      <c r="G167" s="105">
        <f t="shared" si="80"/>
        <v>0</v>
      </c>
      <c r="H167" s="106">
        <f t="shared" si="80"/>
        <v>0</v>
      </c>
      <c r="I167" s="89">
        <f t="shared" si="65"/>
        <v>0</v>
      </c>
      <c r="J167" s="26" t="str">
        <f t="shared" si="66"/>
        <v>N/A</v>
      </c>
      <c r="K167" s="106">
        <f t="shared" si="78"/>
        <v>0</v>
      </c>
      <c r="L167" s="89">
        <f t="shared" si="67"/>
        <v>0</v>
      </c>
      <c r="M167" s="27" t="str">
        <f t="shared" si="68"/>
        <v>N/A</v>
      </c>
      <c r="N167" s="105">
        <f t="shared" si="81"/>
        <v>0</v>
      </c>
      <c r="O167" s="106">
        <f t="shared" si="81"/>
        <v>0</v>
      </c>
      <c r="P167" s="89">
        <f t="shared" si="69"/>
        <v>0</v>
      </c>
      <c r="Q167" s="26" t="str">
        <f t="shared" si="70"/>
        <v>N/A</v>
      </c>
      <c r="R167" s="106">
        <f t="shared" si="82"/>
        <v>0</v>
      </c>
      <c r="S167" s="89">
        <f t="shared" si="71"/>
        <v>0</v>
      </c>
      <c r="T167" s="27" t="str">
        <f t="shared" si="72"/>
        <v>N/A</v>
      </c>
      <c r="U167" s="105">
        <f>0/1000*1</f>
        <v>0</v>
      </c>
      <c r="V167" s="106">
        <f>2.47/1000*1</f>
        <v>2.4700000000000004E-3</v>
      </c>
      <c r="W167" s="89">
        <f t="shared" si="73"/>
        <v>-2.4700000000000004E-3</v>
      </c>
      <c r="X167" s="26">
        <f t="shared" si="74"/>
        <v>-1</v>
      </c>
      <c r="Y167" s="106">
        <f t="shared" si="83"/>
        <v>0</v>
      </c>
      <c r="Z167" s="89">
        <f t="shared" si="75"/>
        <v>0</v>
      </c>
      <c r="AA167" s="27" t="str">
        <f t="shared" si="76"/>
        <v>N/A</v>
      </c>
      <c r="AB167" s="107">
        <f t="shared" si="84"/>
        <v>0</v>
      </c>
      <c r="AC167" s="1"/>
      <c r="AD167" s="1"/>
      <c r="AE167" s="1"/>
      <c r="AF167" s="1"/>
      <c r="AG167" s="1"/>
      <c r="AH167" s="1"/>
      <c r="AI167" s="1"/>
    </row>
    <row r="168" spans="1:35" ht="14.25" hidden="1" outlineLevel="1" x14ac:dyDescent="0.2">
      <c r="A168" s="1"/>
      <c r="B168" s="3"/>
      <c r="C168" s="3"/>
      <c r="D168" s="3" t="s">
        <v>59</v>
      </c>
      <c r="E168" s="3" t="s">
        <v>75</v>
      </c>
      <c r="F168" s="3">
        <v>843</v>
      </c>
      <c r="G168" s="105">
        <f t="shared" si="80"/>
        <v>0</v>
      </c>
      <c r="H168" s="106">
        <f t="shared" si="80"/>
        <v>0</v>
      </c>
      <c r="I168" s="89">
        <f t="shared" si="65"/>
        <v>0</v>
      </c>
      <c r="J168" s="26" t="str">
        <f t="shared" si="66"/>
        <v>N/A</v>
      </c>
      <c r="K168" s="106">
        <f t="shared" si="78"/>
        <v>0</v>
      </c>
      <c r="L168" s="89">
        <f t="shared" si="67"/>
        <v>0</v>
      </c>
      <c r="M168" s="27" t="str">
        <f t="shared" si="68"/>
        <v>N/A</v>
      </c>
      <c r="N168" s="105">
        <f t="shared" si="81"/>
        <v>0</v>
      </c>
      <c r="O168" s="106">
        <f t="shared" si="81"/>
        <v>0</v>
      </c>
      <c r="P168" s="89">
        <f t="shared" si="69"/>
        <v>0</v>
      </c>
      <c r="Q168" s="26" t="str">
        <f t="shared" si="70"/>
        <v>N/A</v>
      </c>
      <c r="R168" s="106">
        <f t="shared" si="82"/>
        <v>0</v>
      </c>
      <c r="S168" s="89">
        <f t="shared" si="71"/>
        <v>0</v>
      </c>
      <c r="T168" s="27" t="str">
        <f t="shared" si="72"/>
        <v>N/A</v>
      </c>
      <c r="U168" s="105">
        <f>0/1000*1</f>
        <v>0</v>
      </c>
      <c r="V168" s="106">
        <f>0.21/1000*1</f>
        <v>2.0999999999999998E-4</v>
      </c>
      <c r="W168" s="89">
        <f t="shared" si="73"/>
        <v>-2.0999999999999998E-4</v>
      </c>
      <c r="X168" s="26">
        <f t="shared" si="74"/>
        <v>-1</v>
      </c>
      <c r="Y168" s="106">
        <f t="shared" si="83"/>
        <v>0</v>
      </c>
      <c r="Z168" s="89">
        <f t="shared" si="75"/>
        <v>0</v>
      </c>
      <c r="AA168" s="27" t="str">
        <f t="shared" si="76"/>
        <v>N/A</v>
      </c>
      <c r="AB168" s="107">
        <f t="shared" si="84"/>
        <v>0</v>
      </c>
      <c r="AC168" s="1"/>
      <c r="AD168" s="1"/>
      <c r="AE168" s="1"/>
      <c r="AF168" s="1"/>
      <c r="AG168" s="1"/>
      <c r="AH168" s="1"/>
      <c r="AI168" s="1"/>
    </row>
    <row r="169" spans="1:35" ht="14.25" hidden="1" outlineLevel="1" x14ac:dyDescent="0.2">
      <c r="A169" s="1"/>
      <c r="B169" s="3"/>
      <c r="C169" s="3"/>
      <c r="D169" s="3" t="s">
        <v>59</v>
      </c>
      <c r="E169" s="3" t="s">
        <v>75</v>
      </c>
      <c r="F169" s="3">
        <v>844</v>
      </c>
      <c r="G169" s="105">
        <f>15701.08/1000*1</f>
        <v>15.701079999999999</v>
      </c>
      <c r="H169" s="106">
        <f>5725.43/1000*1</f>
        <v>5.7254300000000002</v>
      </c>
      <c r="I169" s="89">
        <f t="shared" si="65"/>
        <v>9.9756499999999981</v>
      </c>
      <c r="J169" s="26">
        <f t="shared" si="66"/>
        <v>1.7423407499524048</v>
      </c>
      <c r="K169" s="106">
        <f t="shared" si="78"/>
        <v>0</v>
      </c>
      <c r="L169" s="89">
        <f t="shared" si="67"/>
        <v>-15.701079999999999</v>
      </c>
      <c r="M169" s="27" t="str">
        <f t="shared" si="68"/>
        <v>N/A</v>
      </c>
      <c r="N169" s="105">
        <f>15701.08/1000*1</f>
        <v>15.701079999999999</v>
      </c>
      <c r="O169" s="106">
        <f>18678.87/1000*1</f>
        <v>18.67887</v>
      </c>
      <c r="P169" s="89">
        <f t="shared" si="69"/>
        <v>-2.9777900000000006</v>
      </c>
      <c r="Q169" s="26">
        <f t="shared" si="70"/>
        <v>-0.15942024330165586</v>
      </c>
      <c r="R169" s="106">
        <f t="shared" si="82"/>
        <v>0</v>
      </c>
      <c r="S169" s="89">
        <f t="shared" si="71"/>
        <v>-15.701079999999999</v>
      </c>
      <c r="T169" s="27" t="str">
        <f t="shared" si="72"/>
        <v>N/A</v>
      </c>
      <c r="U169" s="105">
        <f>15701.08/1000*1</f>
        <v>15.701079999999999</v>
      </c>
      <c r="V169" s="106">
        <f>33457.64/1000*1</f>
        <v>33.457639999999998</v>
      </c>
      <c r="W169" s="89">
        <f t="shared" si="73"/>
        <v>-17.75656</v>
      </c>
      <c r="X169" s="26">
        <f t="shared" si="74"/>
        <v>-0.53071764774801811</v>
      </c>
      <c r="Y169" s="106">
        <f t="shared" si="83"/>
        <v>0</v>
      </c>
      <c r="Z169" s="89">
        <f t="shared" si="75"/>
        <v>-15.701079999999999</v>
      </c>
      <c r="AA169" s="27" t="str">
        <f t="shared" si="76"/>
        <v>N/A</v>
      </c>
      <c r="AB169" s="107">
        <f t="shared" si="84"/>
        <v>0</v>
      </c>
      <c r="AC169" s="1"/>
      <c r="AD169" s="1"/>
      <c r="AE169" s="1"/>
      <c r="AF169" s="1"/>
      <c r="AG169" s="1"/>
      <c r="AH169" s="1"/>
      <c r="AI169" s="1"/>
    </row>
    <row r="170" spans="1:35" ht="14.25" hidden="1" outlineLevel="1" x14ac:dyDescent="0.2">
      <c r="A170" s="1"/>
      <c r="B170" s="3"/>
      <c r="C170" s="3"/>
      <c r="D170" s="3" t="s">
        <v>59</v>
      </c>
      <c r="E170" s="3" t="s">
        <v>75</v>
      </c>
      <c r="F170" s="3">
        <v>845</v>
      </c>
      <c r="G170" s="105">
        <f>0/1000*1</f>
        <v>0</v>
      </c>
      <c r="H170" s="106">
        <f>0/1000*1</f>
        <v>0</v>
      </c>
      <c r="I170" s="89">
        <f t="shared" si="65"/>
        <v>0</v>
      </c>
      <c r="J170" s="26" t="str">
        <f t="shared" si="66"/>
        <v>N/A</v>
      </c>
      <c r="K170" s="106">
        <f t="shared" si="78"/>
        <v>0</v>
      </c>
      <c r="L170" s="89">
        <f t="shared" si="67"/>
        <v>0</v>
      </c>
      <c r="M170" s="27" t="str">
        <f t="shared" si="68"/>
        <v>N/A</v>
      </c>
      <c r="N170" s="105">
        <f>0/1000*1</f>
        <v>0</v>
      </c>
      <c r="O170" s="106">
        <f>0/1000*1</f>
        <v>0</v>
      </c>
      <c r="P170" s="89">
        <f t="shared" si="69"/>
        <v>0</v>
      </c>
      <c r="Q170" s="26" t="str">
        <f t="shared" si="70"/>
        <v>N/A</v>
      </c>
      <c r="R170" s="106">
        <f t="shared" si="82"/>
        <v>0</v>
      </c>
      <c r="S170" s="89">
        <f t="shared" si="71"/>
        <v>0</v>
      </c>
      <c r="T170" s="27" t="str">
        <f t="shared" si="72"/>
        <v>N/A</v>
      </c>
      <c r="U170" s="105">
        <f>0/1000*1</f>
        <v>0</v>
      </c>
      <c r="V170" s="106">
        <f>2.83/1000*1</f>
        <v>2.8300000000000001E-3</v>
      </c>
      <c r="W170" s="89">
        <f t="shared" si="73"/>
        <v>-2.8300000000000001E-3</v>
      </c>
      <c r="X170" s="26">
        <f t="shared" si="74"/>
        <v>-1</v>
      </c>
      <c r="Y170" s="106">
        <f t="shared" si="83"/>
        <v>0</v>
      </c>
      <c r="Z170" s="89">
        <f t="shared" si="75"/>
        <v>0</v>
      </c>
      <c r="AA170" s="27" t="str">
        <f t="shared" si="76"/>
        <v>N/A</v>
      </c>
      <c r="AB170" s="107">
        <f t="shared" si="84"/>
        <v>0</v>
      </c>
      <c r="AC170" s="1"/>
      <c r="AD170" s="1"/>
      <c r="AE170" s="1"/>
      <c r="AF170" s="1"/>
      <c r="AG170" s="1"/>
      <c r="AH170" s="1"/>
      <c r="AI170" s="1"/>
    </row>
    <row r="171" spans="1:35" ht="14.25" hidden="1" outlineLevel="1" x14ac:dyDescent="0.2">
      <c r="A171" s="1"/>
      <c r="B171" s="3"/>
      <c r="C171" s="3"/>
      <c r="D171" s="3" t="s">
        <v>59</v>
      </c>
      <c r="E171" s="3" t="s">
        <v>76</v>
      </c>
      <c r="F171" s="3">
        <v>830</v>
      </c>
      <c r="G171" s="105">
        <f>11421.26/1000*1</f>
        <v>11.42126</v>
      </c>
      <c r="H171" s="106">
        <f>0/1000*1</f>
        <v>0</v>
      </c>
      <c r="I171" s="89">
        <f t="shared" si="65"/>
        <v>11.42126</v>
      </c>
      <c r="J171" s="26" t="str">
        <f t="shared" si="66"/>
        <v>N/A</v>
      </c>
      <c r="K171" s="106">
        <f t="shared" si="78"/>
        <v>0</v>
      </c>
      <c r="L171" s="89">
        <f t="shared" si="67"/>
        <v>-11.42126</v>
      </c>
      <c r="M171" s="27" t="str">
        <f t="shared" si="68"/>
        <v>N/A</v>
      </c>
      <c r="N171" s="105">
        <f>11421.26/1000*1</f>
        <v>11.42126</v>
      </c>
      <c r="O171" s="106">
        <f>0/1000*1</f>
        <v>0</v>
      </c>
      <c r="P171" s="89">
        <f t="shared" si="69"/>
        <v>11.42126</v>
      </c>
      <c r="Q171" s="26" t="str">
        <f t="shared" si="70"/>
        <v>N/A</v>
      </c>
      <c r="R171" s="106">
        <f t="shared" si="82"/>
        <v>0</v>
      </c>
      <c r="S171" s="89">
        <f t="shared" si="71"/>
        <v>-11.42126</v>
      </c>
      <c r="T171" s="27" t="str">
        <f t="shared" si="72"/>
        <v>N/A</v>
      </c>
      <c r="U171" s="105">
        <f>11421.26/1000*1</f>
        <v>11.42126</v>
      </c>
      <c r="V171" s="106">
        <f>0/1000*1</f>
        <v>0</v>
      </c>
      <c r="W171" s="89">
        <f t="shared" si="73"/>
        <v>11.42126</v>
      </c>
      <c r="X171" s="26" t="str">
        <f t="shared" si="74"/>
        <v>N/A</v>
      </c>
      <c r="Y171" s="106">
        <f t="shared" si="83"/>
        <v>0</v>
      </c>
      <c r="Z171" s="89">
        <f t="shared" si="75"/>
        <v>-11.42126</v>
      </c>
      <c r="AA171" s="27" t="str">
        <f t="shared" si="76"/>
        <v>N/A</v>
      </c>
      <c r="AB171" s="107">
        <f t="shared" si="84"/>
        <v>0</v>
      </c>
      <c r="AC171" s="1"/>
      <c r="AD171" s="1"/>
      <c r="AE171" s="1"/>
      <c r="AF171" s="1"/>
      <c r="AG171" s="1"/>
      <c r="AH171" s="1"/>
      <c r="AI171" s="1"/>
    </row>
    <row r="172" spans="1:35" ht="14.25" hidden="1" outlineLevel="1" x14ac:dyDescent="0.2">
      <c r="A172" s="1"/>
      <c r="B172" s="3"/>
      <c r="C172" s="3"/>
      <c r="D172" s="3" t="s">
        <v>59</v>
      </c>
      <c r="E172" s="3" t="s">
        <v>76</v>
      </c>
      <c r="F172" s="3">
        <v>840</v>
      </c>
      <c r="G172" s="105">
        <f>5845.18/1000*1</f>
        <v>5.84518</v>
      </c>
      <c r="H172" s="106">
        <f>0/1000*1</f>
        <v>0</v>
      </c>
      <c r="I172" s="89">
        <f t="shared" si="65"/>
        <v>5.84518</v>
      </c>
      <c r="J172" s="26" t="str">
        <f t="shared" si="66"/>
        <v>N/A</v>
      </c>
      <c r="K172" s="106">
        <f t="shared" si="78"/>
        <v>0</v>
      </c>
      <c r="L172" s="89">
        <f t="shared" si="67"/>
        <v>-5.84518</v>
      </c>
      <c r="M172" s="27" t="str">
        <f t="shared" si="68"/>
        <v>N/A</v>
      </c>
      <c r="N172" s="105">
        <f>5845.18/1000*1</f>
        <v>5.84518</v>
      </c>
      <c r="O172" s="106">
        <f>0/1000*1</f>
        <v>0</v>
      </c>
      <c r="P172" s="89">
        <f t="shared" si="69"/>
        <v>5.84518</v>
      </c>
      <c r="Q172" s="26" t="str">
        <f t="shared" si="70"/>
        <v>N/A</v>
      </c>
      <c r="R172" s="106">
        <f t="shared" si="82"/>
        <v>0</v>
      </c>
      <c r="S172" s="89">
        <f t="shared" si="71"/>
        <v>-5.84518</v>
      </c>
      <c r="T172" s="27" t="str">
        <f t="shared" si="72"/>
        <v>N/A</v>
      </c>
      <c r="U172" s="105">
        <f>5845.18/1000*1</f>
        <v>5.84518</v>
      </c>
      <c r="V172" s="106">
        <f>33.8/1000*1</f>
        <v>3.3799999999999997E-2</v>
      </c>
      <c r="W172" s="89">
        <f t="shared" si="73"/>
        <v>5.8113799999999998</v>
      </c>
      <c r="X172" s="26" t="str">
        <f t="shared" si="74"/>
        <v>N/A</v>
      </c>
      <c r="Y172" s="106">
        <f t="shared" si="83"/>
        <v>0</v>
      </c>
      <c r="Z172" s="89">
        <f t="shared" si="75"/>
        <v>-5.84518</v>
      </c>
      <c r="AA172" s="27" t="str">
        <f t="shared" si="76"/>
        <v>N/A</v>
      </c>
      <c r="AB172" s="107">
        <f t="shared" si="84"/>
        <v>0</v>
      </c>
      <c r="AC172" s="1"/>
      <c r="AD172" s="1"/>
      <c r="AE172" s="1"/>
      <c r="AF172" s="1"/>
      <c r="AG172" s="1"/>
      <c r="AH172" s="1"/>
      <c r="AI172" s="1"/>
    </row>
    <row r="173" spans="1:35" ht="14.25" hidden="1" outlineLevel="1" x14ac:dyDescent="0.2">
      <c r="A173" s="1"/>
      <c r="B173" s="3"/>
      <c r="C173" s="3"/>
      <c r="D173" s="3" t="s">
        <v>59</v>
      </c>
      <c r="E173" s="3" t="s">
        <v>77</v>
      </c>
      <c r="F173" s="3">
        <v>830</v>
      </c>
      <c r="G173" s="105">
        <f>0/1000*1</f>
        <v>0</v>
      </c>
      <c r="H173" s="106">
        <f>0/1000*1</f>
        <v>0</v>
      </c>
      <c r="I173" s="89">
        <f t="shared" si="65"/>
        <v>0</v>
      </c>
      <c r="J173" s="26" t="str">
        <f t="shared" si="66"/>
        <v>N/A</v>
      </c>
      <c r="K173" s="106">
        <f t="shared" si="78"/>
        <v>0</v>
      </c>
      <c r="L173" s="89">
        <f t="shared" si="67"/>
        <v>0</v>
      </c>
      <c r="M173" s="27" t="str">
        <f t="shared" si="68"/>
        <v>N/A</v>
      </c>
      <c r="N173" s="105">
        <f>0/1000*1</f>
        <v>0</v>
      </c>
      <c r="O173" s="106">
        <f>0/1000*1</f>
        <v>0</v>
      </c>
      <c r="P173" s="89">
        <f t="shared" si="69"/>
        <v>0</v>
      </c>
      <c r="Q173" s="26" t="str">
        <f t="shared" si="70"/>
        <v>N/A</v>
      </c>
      <c r="R173" s="106">
        <f t="shared" si="82"/>
        <v>0</v>
      </c>
      <c r="S173" s="89">
        <f t="shared" si="71"/>
        <v>0</v>
      </c>
      <c r="T173" s="27" t="str">
        <f t="shared" si="72"/>
        <v>N/A</v>
      </c>
      <c r="U173" s="105">
        <f>0/1000*1</f>
        <v>0</v>
      </c>
      <c r="V173" s="106">
        <f>0/1000*1</f>
        <v>0</v>
      </c>
      <c r="W173" s="89">
        <f t="shared" si="73"/>
        <v>0</v>
      </c>
      <c r="X173" s="26" t="str">
        <f t="shared" si="74"/>
        <v>N/A</v>
      </c>
      <c r="Y173" s="106">
        <f t="shared" si="83"/>
        <v>0</v>
      </c>
      <c r="Z173" s="89">
        <f t="shared" si="75"/>
        <v>0</v>
      </c>
      <c r="AA173" s="27" t="str">
        <f t="shared" si="76"/>
        <v>N/A</v>
      </c>
      <c r="AB173" s="107">
        <f t="shared" si="84"/>
        <v>0</v>
      </c>
      <c r="AC173" s="1"/>
      <c r="AD173" s="1"/>
      <c r="AE173" s="1"/>
      <c r="AF173" s="1"/>
      <c r="AG173" s="1"/>
      <c r="AH173" s="1"/>
      <c r="AI173" s="1"/>
    </row>
    <row r="174" spans="1:35" ht="14.25" hidden="1" outlineLevel="1" x14ac:dyDescent="0.2">
      <c r="A174" s="1"/>
      <c r="B174" s="3"/>
      <c r="C174" s="3"/>
      <c r="D174" s="3" t="s">
        <v>59</v>
      </c>
      <c r="E174" s="3" t="s">
        <v>77</v>
      </c>
      <c r="F174" s="3">
        <v>840</v>
      </c>
      <c r="G174" s="105">
        <f>8584/1000*1</f>
        <v>8.5839999999999996</v>
      </c>
      <c r="H174" s="106">
        <f>6359.62/1000*1</f>
        <v>6.3596199999999996</v>
      </c>
      <c r="I174" s="89">
        <f t="shared" si="65"/>
        <v>2.22438</v>
      </c>
      <c r="J174" s="26">
        <f t="shared" si="66"/>
        <v>0.34976618099823575</v>
      </c>
      <c r="K174" s="106">
        <f>7148.624369/1000*1</f>
        <v>7.1486243690000002</v>
      </c>
      <c r="L174" s="89">
        <f t="shared" si="67"/>
        <v>-1.4353756309999994</v>
      </c>
      <c r="M174" s="27">
        <f t="shared" si="68"/>
        <v>-0.20079046777510146</v>
      </c>
      <c r="N174" s="105">
        <f>24846.99/1000*1</f>
        <v>24.846990000000002</v>
      </c>
      <c r="O174" s="106">
        <f>22558.17/1000*1</f>
        <v>22.558169999999997</v>
      </c>
      <c r="P174" s="89">
        <f t="shared" si="69"/>
        <v>2.2888200000000047</v>
      </c>
      <c r="Q174" s="26">
        <f t="shared" si="70"/>
        <v>0.10146301761180118</v>
      </c>
      <c r="R174" s="106">
        <f>24255.628738/1000*1</f>
        <v>24.255628737999999</v>
      </c>
      <c r="S174" s="89">
        <f t="shared" si="71"/>
        <v>-0.59136126200000305</v>
      </c>
      <c r="T174" s="27">
        <f t="shared" si="72"/>
        <v>-2.4380372423558287E-2</v>
      </c>
      <c r="U174" s="105">
        <f>40674.38/1000*1</f>
        <v>40.674379999999999</v>
      </c>
      <c r="V174" s="106">
        <f>35116.29/1000*1</f>
        <v>35.116289999999999</v>
      </c>
      <c r="W174" s="89">
        <f t="shared" si="73"/>
        <v>5.55809</v>
      </c>
      <c r="X174" s="26">
        <f t="shared" si="74"/>
        <v>0.15827668583440904</v>
      </c>
      <c r="Y174" s="106">
        <f>40083.018738/1000*1</f>
        <v>40.083018738</v>
      </c>
      <c r="Z174" s="89">
        <f t="shared" si="75"/>
        <v>-0.5913612619999995</v>
      </c>
      <c r="AA174" s="27">
        <f t="shared" si="76"/>
        <v>-1.4753411310295596E-2</v>
      </c>
      <c r="AB174" s="107">
        <f>95175.743017/1000*1</f>
        <v>95.175743017000002</v>
      </c>
      <c r="AC174" s="1"/>
      <c r="AD174" s="1"/>
      <c r="AE174" s="1"/>
      <c r="AF174" s="1"/>
      <c r="AG174" s="1"/>
      <c r="AH174" s="1"/>
      <c r="AI174" s="1"/>
    </row>
    <row r="175" spans="1:35" ht="14.25" hidden="1" outlineLevel="1" x14ac:dyDescent="0.2">
      <c r="A175" s="1"/>
      <c r="B175" s="3"/>
      <c r="C175" s="3"/>
      <c r="D175" s="3"/>
      <c r="E175" s="3"/>
      <c r="F175" s="3"/>
      <c r="G175" s="105"/>
      <c r="H175" s="106"/>
      <c r="I175" s="89"/>
      <c r="J175" s="26"/>
      <c r="K175" s="106"/>
      <c r="L175" s="89"/>
      <c r="M175" s="27"/>
      <c r="N175" s="105"/>
      <c r="O175" s="106"/>
      <c r="P175" s="89"/>
      <c r="Q175" s="26"/>
      <c r="R175" s="106"/>
      <c r="S175" s="89"/>
      <c r="T175" s="27"/>
      <c r="U175" s="105"/>
      <c r="V175" s="106"/>
      <c r="W175" s="89"/>
      <c r="X175" s="26"/>
      <c r="Y175" s="106"/>
      <c r="Z175" s="89"/>
      <c r="AA175" s="27"/>
      <c r="AB175" s="107"/>
      <c r="AC175" s="1"/>
      <c r="AD175" s="1"/>
      <c r="AE175" s="1"/>
      <c r="AF175" s="1"/>
      <c r="AG175" s="1"/>
      <c r="AH175" s="1"/>
      <c r="AI175" s="1"/>
    </row>
    <row r="176" spans="1:35" ht="14.25" hidden="1" outlineLevel="1" x14ac:dyDescent="0.2">
      <c r="A176" s="1"/>
      <c r="B176" s="3"/>
      <c r="C176" s="3"/>
      <c r="D176" s="3"/>
      <c r="E176" s="3"/>
      <c r="F176" s="3"/>
      <c r="G176" s="105"/>
      <c r="H176" s="106"/>
      <c r="I176" s="89"/>
      <c r="J176" s="26"/>
      <c r="K176" s="106"/>
      <c r="L176" s="89"/>
      <c r="M176" s="27"/>
      <c r="N176" s="105"/>
      <c r="O176" s="106"/>
      <c r="P176" s="89"/>
      <c r="Q176" s="26"/>
      <c r="R176" s="106"/>
      <c r="S176" s="89"/>
      <c r="T176" s="27"/>
      <c r="U176" s="105"/>
      <c r="V176" s="106"/>
      <c r="W176" s="89"/>
      <c r="X176" s="26"/>
      <c r="Y176" s="106"/>
      <c r="Z176" s="89"/>
      <c r="AA176" s="27"/>
      <c r="AB176" s="107"/>
      <c r="AC176" s="1"/>
      <c r="AD176" s="1"/>
      <c r="AE176" s="1"/>
      <c r="AF176" s="1"/>
      <c r="AG176" s="1"/>
      <c r="AH176" s="1"/>
      <c r="AI176" s="1"/>
    </row>
    <row r="177" spans="1:35" ht="14.25" collapsed="1" x14ac:dyDescent="0.2">
      <c r="A177" s="1"/>
      <c r="B177" s="3" t="s">
        <v>60</v>
      </c>
      <c r="C177" s="3"/>
      <c r="D177" s="3"/>
      <c r="E177" s="3"/>
      <c r="F177" s="3"/>
      <c r="G177" s="102">
        <f>SUM(G178:G178)</f>
        <v>0</v>
      </c>
      <c r="H177" s="103">
        <f>SUM(H178:H178)</f>
        <v>0</v>
      </c>
      <c r="I177" s="89">
        <f>G177-H177</f>
        <v>0</v>
      </c>
      <c r="J177" s="26" t="str">
        <f>IF(ISERROR(I177/H177),"N/A",IF(ABS(I177/H177)&gt;5,"N/A",I177/H177))</f>
        <v>N/A</v>
      </c>
      <c r="K177" s="103">
        <f>SUM(K178:K178)</f>
        <v>0</v>
      </c>
      <c r="L177" s="89">
        <f>K177-G177</f>
        <v>0</v>
      </c>
      <c r="M177" s="27" t="str">
        <f>IF(ISERROR(L177/K177),"N/A",IF(ABS(L177/K177)&gt;5,"N/A",L177/K177))</f>
        <v>N/A</v>
      </c>
      <c r="N177" s="102">
        <f>SUM(N178:N178)</f>
        <v>0</v>
      </c>
      <c r="O177" s="103">
        <f>SUM(O178:O178)</f>
        <v>0</v>
      </c>
      <c r="P177" s="89">
        <f>N177-O177</f>
        <v>0</v>
      </c>
      <c r="Q177" s="26" t="str">
        <f>IF(ISERROR(P177/O177),"N/A",IF(ABS(P177/O177)&gt;5,"N/A",P177/O177))</f>
        <v>N/A</v>
      </c>
      <c r="R177" s="103">
        <f>SUM(R178:R178)</f>
        <v>0</v>
      </c>
      <c r="S177" s="89">
        <f>R177-N177</f>
        <v>0</v>
      </c>
      <c r="T177" s="27" t="str">
        <f>IF(ISERROR(S177/R177),"N/A",IF(ABS(S177/R177)&gt;5,"N/A",S177/R177))</f>
        <v>N/A</v>
      </c>
      <c r="U177" s="102">
        <f>SUM(U178:U178)</f>
        <v>0</v>
      </c>
      <c r="V177" s="103">
        <f>SUM(V178:V178)</f>
        <v>0</v>
      </c>
      <c r="W177" s="89">
        <f>U177-V177</f>
        <v>0</v>
      </c>
      <c r="X177" s="26" t="str">
        <f>IF(ISERROR(W177/V177),"N/A",IF(ABS(W177/V177)&gt;5,"N/A",W177/V177))</f>
        <v>N/A</v>
      </c>
      <c r="Y177" s="103">
        <f>SUM(Y178:Y178)</f>
        <v>0</v>
      </c>
      <c r="Z177" s="89">
        <f>Y177-U177</f>
        <v>0</v>
      </c>
      <c r="AA177" s="27" t="str">
        <f>IF(ISERROR(Z177/Y177),"N/A",IF(ABS(Z177/Y177)&gt;5,"N/A",Z177/Y177))</f>
        <v>N/A</v>
      </c>
      <c r="AB177" s="104">
        <f>SUM(AB178:AB178)</f>
        <v>0</v>
      </c>
      <c r="AC177" s="1"/>
      <c r="AD177" s="1"/>
      <c r="AE177" s="1"/>
      <c r="AF177" s="1"/>
      <c r="AG177" s="1"/>
      <c r="AH177" s="1"/>
      <c r="AI177" s="1"/>
    </row>
    <row r="178" spans="1:35" ht="14.25" hidden="1" outlineLevel="1" x14ac:dyDescent="0.2">
      <c r="A178" s="1"/>
      <c r="B178" s="3"/>
      <c r="C178" s="3"/>
      <c r="D178" s="3"/>
      <c r="E178" s="3"/>
      <c r="F178" s="3"/>
      <c r="G178" s="105"/>
      <c r="H178" s="106"/>
      <c r="I178" s="89"/>
      <c r="J178" s="26"/>
      <c r="K178" s="106"/>
      <c r="L178" s="89"/>
      <c r="M178" s="27"/>
      <c r="N178" s="105"/>
      <c r="O178" s="106"/>
      <c r="P178" s="89"/>
      <c r="Q178" s="26"/>
      <c r="R178" s="106"/>
      <c r="S178" s="89"/>
      <c r="T178" s="27"/>
      <c r="U178" s="105"/>
      <c r="V178" s="106"/>
      <c r="W178" s="89"/>
      <c r="X178" s="26"/>
      <c r="Y178" s="106"/>
      <c r="Z178" s="89"/>
      <c r="AA178" s="27"/>
      <c r="AB178" s="107"/>
      <c r="AC178" s="1"/>
      <c r="AD178" s="1"/>
      <c r="AE178" s="1"/>
      <c r="AF178" s="1"/>
      <c r="AG178" s="1"/>
      <c r="AH178" s="1"/>
      <c r="AI178" s="1"/>
    </row>
    <row r="179" spans="1:35" ht="14.25" hidden="1" outlineLevel="1" x14ac:dyDescent="0.2">
      <c r="A179" s="1"/>
      <c r="B179" s="3"/>
      <c r="C179" s="3"/>
      <c r="D179" s="3"/>
      <c r="E179" s="3"/>
      <c r="F179" s="3"/>
      <c r="G179" s="105"/>
      <c r="H179" s="106"/>
      <c r="I179" s="89"/>
      <c r="J179" s="26"/>
      <c r="K179" s="106"/>
      <c r="L179" s="89"/>
      <c r="M179" s="27"/>
      <c r="N179" s="105"/>
      <c r="O179" s="106"/>
      <c r="P179" s="89"/>
      <c r="Q179" s="26"/>
      <c r="R179" s="106"/>
      <c r="S179" s="89"/>
      <c r="T179" s="27"/>
      <c r="U179" s="105"/>
      <c r="V179" s="106"/>
      <c r="W179" s="89"/>
      <c r="X179" s="26"/>
      <c r="Y179" s="106"/>
      <c r="Z179" s="89"/>
      <c r="AA179" s="27"/>
      <c r="AB179" s="107"/>
      <c r="AC179" s="1"/>
      <c r="AD179" s="1"/>
      <c r="AE179" s="1"/>
      <c r="AF179" s="1"/>
      <c r="AG179" s="1"/>
      <c r="AH179" s="1"/>
      <c r="AI179" s="1"/>
    </row>
    <row r="180" spans="1:35" ht="14.25" collapsed="1" x14ac:dyDescent="0.2">
      <c r="A180" s="1"/>
      <c r="B180" s="3" t="s">
        <v>62</v>
      </c>
      <c r="C180" s="3"/>
      <c r="D180" s="3"/>
      <c r="E180" s="3"/>
      <c r="F180" s="3"/>
      <c r="G180" s="102">
        <f>SUM(G181:G183)</f>
        <v>1.3529</v>
      </c>
      <c r="H180" s="103">
        <f>SUM(H181:H183)</f>
        <v>0</v>
      </c>
      <c r="I180" s="89">
        <f>G180-H180</f>
        <v>1.3529</v>
      </c>
      <c r="J180" s="26" t="str">
        <f>IF(ISERROR(I180/H180),"N/A",IF(ABS(I180/H180)&gt;5,"N/A",I180/H180))</f>
        <v>N/A</v>
      </c>
      <c r="K180" s="103">
        <f>SUM(K181:K183)</f>
        <v>0</v>
      </c>
      <c r="L180" s="89">
        <f>K180-G180</f>
        <v>-1.3529</v>
      </c>
      <c r="M180" s="27" t="str">
        <f>IF(ISERROR(L180/K180),"N/A",IF(ABS(L180/K180)&gt;5,"N/A",L180/K180))</f>
        <v>N/A</v>
      </c>
      <c r="N180" s="102">
        <f>SUM(N181:N183)</f>
        <v>3.9882600000000004</v>
      </c>
      <c r="O180" s="103">
        <f>SUM(O181:O183)</f>
        <v>0</v>
      </c>
      <c r="P180" s="89">
        <f>N180-O180</f>
        <v>3.9882600000000004</v>
      </c>
      <c r="Q180" s="26" t="str">
        <f>IF(ISERROR(P180/O180),"N/A",IF(ABS(P180/O180)&gt;5,"N/A",P180/O180))</f>
        <v>N/A</v>
      </c>
      <c r="R180" s="103">
        <f>SUM(R181:R183)</f>
        <v>1.3154600000000001</v>
      </c>
      <c r="S180" s="89">
        <f>R180-N180</f>
        <v>-2.6728000000000005</v>
      </c>
      <c r="T180" s="27">
        <f>IF(ISERROR(S180/R180),"N/A",IF(ABS(S180/R180)&gt;5,"N/A",S180/R180))</f>
        <v>-2.0318367719276909</v>
      </c>
      <c r="U180" s="102">
        <f>SUM(U181:U183)</f>
        <v>8.1725499999999993</v>
      </c>
      <c r="V180" s="103">
        <f>SUM(V181:V183)</f>
        <v>6.6499999999999988E-3</v>
      </c>
      <c r="W180" s="89">
        <f>U180-V180</f>
        <v>8.1658999999999988</v>
      </c>
      <c r="X180" s="26" t="str">
        <f>IF(ISERROR(W180/V180),"N/A",IF(ABS(W180/V180)&gt;5,"N/A",W180/V180))</f>
        <v>N/A</v>
      </c>
      <c r="Y180" s="103">
        <f>SUM(Y181:Y183)</f>
        <v>5.4997499999999997</v>
      </c>
      <c r="Z180" s="89">
        <f>Y180-U180</f>
        <v>-2.6727999999999996</v>
      </c>
      <c r="AA180" s="27">
        <f>IF(ISERROR(Z180/Y180),"N/A",IF(ABS(Z180/Y180)&gt;5,"N/A",Z180/Y180))</f>
        <v>-0.48598572662393741</v>
      </c>
      <c r="AB180" s="104">
        <f>SUM(AB181:AB183)</f>
        <v>5.4997499999999997</v>
      </c>
      <c r="AC180" s="1"/>
      <c r="AD180" s="1"/>
      <c r="AE180" s="1"/>
      <c r="AF180" s="1"/>
      <c r="AG180" s="1"/>
      <c r="AH180" s="1"/>
      <c r="AI180" s="1"/>
    </row>
    <row r="181" spans="1:35" ht="14.25" hidden="1" outlineLevel="1" x14ac:dyDescent="0.2">
      <c r="A181" s="1"/>
      <c r="B181" s="3"/>
      <c r="C181" s="3"/>
      <c r="D181" s="3" t="s">
        <v>62</v>
      </c>
      <c r="E181" s="3" t="s">
        <v>75</v>
      </c>
      <c r="F181" s="3">
        <v>860</v>
      </c>
      <c r="G181" s="105">
        <f>1352.9/1000*1</f>
        <v>1.3529</v>
      </c>
      <c r="H181" s="106">
        <f>0/1000*1</f>
        <v>0</v>
      </c>
      <c r="I181" s="89">
        <f>G181-H181</f>
        <v>1.3529</v>
      </c>
      <c r="J181" s="26" t="str">
        <f>IF(ISERROR(I181/H181),"N/A",IF(ABS(I181/H181)&gt;5,"N/A",I181/H181))</f>
        <v>N/A</v>
      </c>
      <c r="K181" s="106">
        <f>0/1000*1</f>
        <v>0</v>
      </c>
      <c r="L181" s="89">
        <f>K181-G181</f>
        <v>-1.3529</v>
      </c>
      <c r="M181" s="27" t="str">
        <f>IF(ISERROR(L181/K181),"N/A",IF(ABS(L181/K181)&gt;5,"N/A",L181/K181))</f>
        <v>N/A</v>
      </c>
      <c r="N181" s="105">
        <f>3988.26/1000*1</f>
        <v>3.9882600000000004</v>
      </c>
      <c r="O181" s="106">
        <f>0/1000*1</f>
        <v>0</v>
      </c>
      <c r="P181" s="89">
        <f>N181-O181</f>
        <v>3.9882600000000004</v>
      </c>
      <c r="Q181" s="26" t="str">
        <f>IF(ISERROR(P181/O181),"N/A",IF(ABS(P181/O181)&gt;5,"N/A",P181/O181))</f>
        <v>N/A</v>
      </c>
      <c r="R181" s="106">
        <f>1315.46/1000*1</f>
        <v>1.3154600000000001</v>
      </c>
      <c r="S181" s="89">
        <f>R181-N181</f>
        <v>-2.6728000000000005</v>
      </c>
      <c r="T181" s="27">
        <f>IF(ISERROR(S181/R181),"N/A",IF(ABS(S181/R181)&gt;5,"N/A",S181/R181))</f>
        <v>-2.0318367719276909</v>
      </c>
      <c r="U181" s="105">
        <f>8172.55/1000*1</f>
        <v>8.1725499999999993</v>
      </c>
      <c r="V181" s="106">
        <f>5.81/1000*1</f>
        <v>5.8099999999999992E-3</v>
      </c>
      <c r="W181" s="89">
        <f>U181-V181</f>
        <v>8.166739999999999</v>
      </c>
      <c r="X181" s="26" t="str">
        <f>IF(ISERROR(W181/V181),"N/A",IF(ABS(W181/V181)&gt;5,"N/A",W181/V181))</f>
        <v>N/A</v>
      </c>
      <c r="Y181" s="106">
        <f>5499.75/1000*1</f>
        <v>5.4997499999999997</v>
      </c>
      <c r="Z181" s="89">
        <f>Y181-U181</f>
        <v>-2.6727999999999996</v>
      </c>
      <c r="AA181" s="27">
        <f>IF(ISERROR(Z181/Y181),"N/A",IF(ABS(Z181/Y181)&gt;5,"N/A",Z181/Y181))</f>
        <v>-0.48598572662393741</v>
      </c>
      <c r="AB181" s="107">
        <f>5499.75/1000*1</f>
        <v>5.4997499999999997</v>
      </c>
      <c r="AC181" s="1"/>
      <c r="AD181" s="1"/>
      <c r="AE181" s="1"/>
      <c r="AF181" s="1"/>
      <c r="AG181" s="1"/>
      <c r="AH181" s="1"/>
      <c r="AI181" s="1"/>
    </row>
    <row r="182" spans="1:35" ht="14.25" hidden="1" outlineLevel="1" x14ac:dyDescent="0.2">
      <c r="A182" s="1"/>
      <c r="B182" s="3"/>
      <c r="C182" s="3"/>
      <c r="D182" s="3" t="s">
        <v>62</v>
      </c>
      <c r="E182" s="3" t="s">
        <v>75</v>
      </c>
      <c r="F182" s="3">
        <v>861</v>
      </c>
      <c r="G182" s="105">
        <f>0/1000*1</f>
        <v>0</v>
      </c>
      <c r="H182" s="106">
        <f>0/1000*1</f>
        <v>0</v>
      </c>
      <c r="I182" s="89">
        <f>G182-H182</f>
        <v>0</v>
      </c>
      <c r="J182" s="26" t="str">
        <f>IF(ISERROR(I182/H182),"N/A",IF(ABS(I182/H182)&gt;5,"N/A",I182/H182))</f>
        <v>N/A</v>
      </c>
      <c r="K182" s="106">
        <f>0/1000*1</f>
        <v>0</v>
      </c>
      <c r="L182" s="89">
        <f>K182-G182</f>
        <v>0</v>
      </c>
      <c r="M182" s="27" t="str">
        <f>IF(ISERROR(L182/K182),"N/A",IF(ABS(L182/K182)&gt;5,"N/A",L182/K182))</f>
        <v>N/A</v>
      </c>
      <c r="N182" s="105">
        <f>0/1000*1</f>
        <v>0</v>
      </c>
      <c r="O182" s="106">
        <f>0/1000*1</f>
        <v>0</v>
      </c>
      <c r="P182" s="89">
        <f>N182-O182</f>
        <v>0</v>
      </c>
      <c r="Q182" s="26" t="str">
        <f>IF(ISERROR(P182/O182),"N/A",IF(ABS(P182/O182)&gt;5,"N/A",P182/O182))</f>
        <v>N/A</v>
      </c>
      <c r="R182" s="106">
        <f>0/1000*1</f>
        <v>0</v>
      </c>
      <c r="S182" s="89">
        <f>R182-N182</f>
        <v>0</v>
      </c>
      <c r="T182" s="27" t="str">
        <f>IF(ISERROR(S182/R182),"N/A",IF(ABS(S182/R182)&gt;5,"N/A",S182/R182))</f>
        <v>N/A</v>
      </c>
      <c r="U182" s="105">
        <f>0/1000*1</f>
        <v>0</v>
      </c>
      <c r="V182" s="106">
        <f>0.84/1000*1</f>
        <v>8.3999999999999993E-4</v>
      </c>
      <c r="W182" s="89">
        <f>U182-V182</f>
        <v>-8.3999999999999993E-4</v>
      </c>
      <c r="X182" s="26">
        <f>IF(ISERROR(W182/V182),"N/A",IF(ABS(W182/V182)&gt;5,"N/A",W182/V182))</f>
        <v>-1</v>
      </c>
      <c r="Y182" s="106">
        <f>0/1000*1</f>
        <v>0</v>
      </c>
      <c r="Z182" s="89">
        <f>Y182-U182</f>
        <v>0</v>
      </c>
      <c r="AA182" s="27" t="str">
        <f>IF(ISERROR(Z182/Y182),"N/A",IF(ABS(Z182/Y182)&gt;5,"N/A",Z182/Y182))</f>
        <v>N/A</v>
      </c>
      <c r="AB182" s="107">
        <f>0/1000*1</f>
        <v>0</v>
      </c>
      <c r="AC182" s="1"/>
      <c r="AD182" s="1"/>
      <c r="AE182" s="1"/>
      <c r="AF182" s="1"/>
      <c r="AG182" s="1"/>
      <c r="AH182" s="1"/>
      <c r="AI182" s="1"/>
    </row>
    <row r="183" spans="1:35" ht="14.25" hidden="1" outlineLevel="1" x14ac:dyDescent="0.2">
      <c r="A183" s="1"/>
      <c r="B183" s="3"/>
      <c r="C183" s="3"/>
      <c r="D183" s="3"/>
      <c r="E183" s="3"/>
      <c r="F183" s="3"/>
      <c r="G183" s="105"/>
      <c r="H183" s="106"/>
      <c r="I183" s="89"/>
      <c r="J183" s="26"/>
      <c r="K183" s="106"/>
      <c r="L183" s="89"/>
      <c r="M183" s="27"/>
      <c r="N183" s="105"/>
      <c r="O183" s="106"/>
      <c r="P183" s="89"/>
      <c r="Q183" s="26"/>
      <c r="R183" s="106"/>
      <c r="S183" s="89"/>
      <c r="T183" s="27"/>
      <c r="U183" s="105"/>
      <c r="V183" s="106"/>
      <c r="W183" s="89"/>
      <c r="X183" s="26"/>
      <c r="Y183" s="106"/>
      <c r="Z183" s="89"/>
      <c r="AA183" s="27"/>
      <c r="AB183" s="107"/>
      <c r="AC183" s="1"/>
      <c r="AD183" s="1"/>
      <c r="AE183" s="1"/>
      <c r="AF183" s="1"/>
      <c r="AG183" s="1"/>
      <c r="AH183" s="1"/>
      <c r="AI183" s="1"/>
    </row>
    <row r="184" spans="1:35" ht="14.25" hidden="1" outlineLevel="1" x14ac:dyDescent="0.2">
      <c r="A184" s="1"/>
      <c r="B184" s="3"/>
      <c r="C184" s="3"/>
      <c r="D184" s="3"/>
      <c r="E184" s="3"/>
      <c r="F184" s="3"/>
      <c r="G184" s="105"/>
      <c r="H184" s="106"/>
      <c r="I184" s="89"/>
      <c r="J184" s="26"/>
      <c r="K184" s="106"/>
      <c r="L184" s="89"/>
      <c r="M184" s="27"/>
      <c r="N184" s="105"/>
      <c r="O184" s="106"/>
      <c r="P184" s="89"/>
      <c r="Q184" s="26"/>
      <c r="R184" s="106"/>
      <c r="S184" s="89"/>
      <c r="T184" s="27"/>
      <c r="U184" s="105"/>
      <c r="V184" s="106"/>
      <c r="W184" s="89"/>
      <c r="X184" s="26"/>
      <c r="Y184" s="106"/>
      <c r="Z184" s="89"/>
      <c r="AA184" s="27"/>
      <c r="AB184" s="107"/>
      <c r="AC184" s="1"/>
      <c r="AD184" s="1"/>
      <c r="AE184" s="1"/>
      <c r="AF184" s="1"/>
      <c r="AG184" s="1"/>
      <c r="AH184" s="1"/>
      <c r="AI184" s="1"/>
    </row>
    <row r="185" spans="1:35" ht="14.25" collapsed="1" x14ac:dyDescent="0.2">
      <c r="A185" s="1"/>
      <c r="B185" s="3" t="s">
        <v>63</v>
      </c>
      <c r="C185" s="3"/>
      <c r="D185" s="3"/>
      <c r="E185" s="3"/>
      <c r="F185" s="3"/>
      <c r="G185" s="102">
        <f>SUM(G186:G187)</f>
        <v>0</v>
      </c>
      <c r="H185" s="103">
        <f>SUM(H186:H187)</f>
        <v>0</v>
      </c>
      <c r="I185" s="89">
        <f>G185-H185</f>
        <v>0</v>
      </c>
      <c r="J185" s="26" t="str">
        <f>IF(ISERROR(I185/H185),"N/A",IF(ABS(I185/H185)&gt;5,"N/A",I185/H185))</f>
        <v>N/A</v>
      </c>
      <c r="K185" s="103">
        <f>SUM(K186:K187)</f>
        <v>0</v>
      </c>
      <c r="L185" s="89">
        <f>K185-G185</f>
        <v>0</v>
      </c>
      <c r="M185" s="27" t="str">
        <f>IF(ISERROR(L185/K185),"N/A",IF(ABS(L185/K185)&gt;5,"N/A",L185/K185))</f>
        <v>N/A</v>
      </c>
      <c r="N185" s="102">
        <f>SUM(N186:N187)</f>
        <v>0</v>
      </c>
      <c r="O185" s="103">
        <f>SUM(O186:O187)</f>
        <v>0</v>
      </c>
      <c r="P185" s="89">
        <f>N185-O185</f>
        <v>0</v>
      </c>
      <c r="Q185" s="26" t="str">
        <f>IF(ISERROR(P185/O185),"N/A",IF(ABS(P185/O185)&gt;5,"N/A",P185/O185))</f>
        <v>N/A</v>
      </c>
      <c r="R185" s="103">
        <f>SUM(R186:R187)</f>
        <v>0</v>
      </c>
      <c r="S185" s="89">
        <f>R185-N185</f>
        <v>0</v>
      </c>
      <c r="T185" s="27" t="str">
        <f>IF(ISERROR(S185/R185),"N/A",IF(ABS(S185/R185)&gt;5,"N/A",S185/R185))</f>
        <v>N/A</v>
      </c>
      <c r="U185" s="102">
        <f>SUM(U186:U187)</f>
        <v>0</v>
      </c>
      <c r="V185" s="103">
        <f>SUM(V186:V187)</f>
        <v>0.22741</v>
      </c>
      <c r="W185" s="89">
        <f>U185-V185</f>
        <v>-0.22741</v>
      </c>
      <c r="X185" s="26">
        <f>IF(ISERROR(W185/V185),"N/A",IF(ABS(W185/V185)&gt;5,"N/A",W185/V185))</f>
        <v>-1</v>
      </c>
      <c r="Y185" s="103">
        <f>SUM(Y186:Y187)</f>
        <v>0</v>
      </c>
      <c r="Z185" s="89">
        <f>Y185-U185</f>
        <v>0</v>
      </c>
      <c r="AA185" s="27" t="str">
        <f>IF(ISERROR(Z185/Y185),"N/A",IF(ABS(Z185/Y185)&gt;5,"N/A",Z185/Y185))</f>
        <v>N/A</v>
      </c>
      <c r="AB185" s="104">
        <f>SUM(AB186:AB187)</f>
        <v>0</v>
      </c>
      <c r="AC185" s="1"/>
      <c r="AD185" s="1"/>
      <c r="AE185" s="1"/>
      <c r="AF185" s="1"/>
      <c r="AG185" s="1"/>
      <c r="AH185" s="1"/>
      <c r="AI185" s="1"/>
    </row>
    <row r="186" spans="1:35" ht="14.25" hidden="1" outlineLevel="1" x14ac:dyDescent="0.2">
      <c r="A186" s="1"/>
      <c r="B186" s="3"/>
      <c r="C186" s="3"/>
      <c r="D186" s="3" t="s">
        <v>64</v>
      </c>
      <c r="E186" s="3" t="s">
        <v>75</v>
      </c>
      <c r="F186" s="3">
        <v>641</v>
      </c>
      <c r="G186" s="105">
        <f>0/1000*1</f>
        <v>0</v>
      </c>
      <c r="H186" s="106">
        <f>0/1000*1</f>
        <v>0</v>
      </c>
      <c r="I186" s="89">
        <f>G186-H186</f>
        <v>0</v>
      </c>
      <c r="J186" s="26" t="str">
        <f>IF(ISERROR(I186/H186),"N/A",IF(ABS(I186/H186)&gt;5,"N/A",I186/H186))</f>
        <v>N/A</v>
      </c>
      <c r="K186" s="106">
        <f>0/1000*1</f>
        <v>0</v>
      </c>
      <c r="L186" s="89">
        <f>K186-G186</f>
        <v>0</v>
      </c>
      <c r="M186" s="27" t="str">
        <f>IF(ISERROR(L186/K186),"N/A",IF(ABS(L186/K186)&gt;5,"N/A",L186/K186))</f>
        <v>N/A</v>
      </c>
      <c r="N186" s="105">
        <f>0/1000*1</f>
        <v>0</v>
      </c>
      <c r="O186" s="106">
        <f>0/1000*1</f>
        <v>0</v>
      </c>
      <c r="P186" s="89">
        <f>N186-O186</f>
        <v>0</v>
      </c>
      <c r="Q186" s="26" t="str">
        <f>IF(ISERROR(P186/O186),"N/A",IF(ABS(P186/O186)&gt;5,"N/A",P186/O186))</f>
        <v>N/A</v>
      </c>
      <c r="R186" s="106">
        <f>0/1000*1</f>
        <v>0</v>
      </c>
      <c r="S186" s="89">
        <f>R186-N186</f>
        <v>0</v>
      </c>
      <c r="T186" s="27" t="str">
        <f>IF(ISERROR(S186/R186),"N/A",IF(ABS(S186/R186)&gt;5,"N/A",S186/R186))</f>
        <v>N/A</v>
      </c>
      <c r="U186" s="105">
        <f>0/1000*1</f>
        <v>0</v>
      </c>
      <c r="V186" s="106">
        <f>227.41/1000*1</f>
        <v>0.22741</v>
      </c>
      <c r="W186" s="89">
        <f>U186-V186</f>
        <v>-0.22741</v>
      </c>
      <c r="X186" s="26">
        <f>IF(ISERROR(W186/V186),"N/A",IF(ABS(W186/V186)&gt;5,"N/A",W186/V186))</f>
        <v>-1</v>
      </c>
      <c r="Y186" s="106">
        <f>0/1000*1</f>
        <v>0</v>
      </c>
      <c r="Z186" s="89">
        <f>Y186-U186</f>
        <v>0</v>
      </c>
      <c r="AA186" s="27" t="str">
        <f>IF(ISERROR(Z186/Y186),"N/A",IF(ABS(Z186/Y186)&gt;5,"N/A",Z186/Y186))</f>
        <v>N/A</v>
      </c>
      <c r="AB186" s="107">
        <f>0/1000*1</f>
        <v>0</v>
      </c>
      <c r="AC186" s="1"/>
      <c r="AD186" s="1"/>
      <c r="AE186" s="1"/>
      <c r="AF186" s="1"/>
      <c r="AG186" s="1"/>
      <c r="AH186" s="1"/>
      <c r="AI186" s="1"/>
    </row>
    <row r="187" spans="1:35" ht="14.25" hidden="1" outlineLevel="1" x14ac:dyDescent="0.2">
      <c r="A187" s="1"/>
      <c r="B187" s="3"/>
      <c r="C187" s="3"/>
      <c r="D187" s="3"/>
      <c r="E187" s="3"/>
      <c r="F187" s="3"/>
      <c r="G187" s="105"/>
      <c r="H187" s="106"/>
      <c r="I187" s="89"/>
      <c r="J187" s="26"/>
      <c r="K187" s="106"/>
      <c r="L187" s="89"/>
      <c r="M187" s="27"/>
      <c r="N187" s="105"/>
      <c r="O187" s="106"/>
      <c r="P187" s="89"/>
      <c r="Q187" s="26"/>
      <c r="R187" s="106"/>
      <c r="S187" s="89"/>
      <c r="T187" s="27"/>
      <c r="U187" s="105"/>
      <c r="V187" s="106"/>
      <c r="W187" s="89"/>
      <c r="X187" s="26"/>
      <c r="Y187" s="106"/>
      <c r="Z187" s="89"/>
      <c r="AA187" s="27"/>
      <c r="AB187" s="107"/>
      <c r="AC187" s="1"/>
      <c r="AD187" s="1"/>
      <c r="AE187" s="1"/>
      <c r="AF187" s="1"/>
      <c r="AG187" s="1"/>
      <c r="AH187" s="1"/>
      <c r="AI187" s="1"/>
    </row>
    <row r="188" spans="1:35" ht="14.25" hidden="1" outlineLevel="1" x14ac:dyDescent="0.2">
      <c r="A188" s="1"/>
      <c r="B188" s="3"/>
      <c r="C188" s="3"/>
      <c r="D188" s="3"/>
      <c r="E188" s="3"/>
      <c r="F188" s="3"/>
      <c r="G188" s="105"/>
      <c r="H188" s="106"/>
      <c r="I188" s="89"/>
      <c r="J188" s="26"/>
      <c r="K188" s="106"/>
      <c r="L188" s="89"/>
      <c r="M188" s="27"/>
      <c r="N188" s="105"/>
      <c r="O188" s="106"/>
      <c r="P188" s="89"/>
      <c r="Q188" s="26"/>
      <c r="R188" s="106"/>
      <c r="S188" s="89"/>
      <c r="T188" s="27"/>
      <c r="U188" s="105"/>
      <c r="V188" s="106"/>
      <c r="W188" s="89"/>
      <c r="X188" s="26"/>
      <c r="Y188" s="106"/>
      <c r="Z188" s="89"/>
      <c r="AA188" s="27"/>
      <c r="AB188" s="107"/>
      <c r="AC188" s="1"/>
      <c r="AD188" s="1"/>
      <c r="AE188" s="1"/>
      <c r="AF188" s="1"/>
      <c r="AG188" s="1"/>
      <c r="AH188" s="1"/>
      <c r="AI188" s="1"/>
    </row>
    <row r="189" spans="1:35" ht="14.25" collapsed="1" x14ac:dyDescent="0.2">
      <c r="A189" s="1"/>
      <c r="B189" s="3" t="s">
        <v>65</v>
      </c>
      <c r="C189" s="3"/>
      <c r="D189" s="3"/>
      <c r="E189" s="3"/>
      <c r="F189" s="3"/>
      <c r="G189" s="102">
        <f>SUM(G190:G190)</f>
        <v>0</v>
      </c>
      <c r="H189" s="103">
        <f>SUM(H190:H190)</f>
        <v>0</v>
      </c>
      <c r="I189" s="89">
        <f>G189-H189</f>
        <v>0</v>
      </c>
      <c r="J189" s="26" t="str">
        <f>IF(ISERROR(I189/H189),"N/A",IF(ABS(I189/H189)&gt;5,"N/A",I189/H189))</f>
        <v>N/A</v>
      </c>
      <c r="K189" s="103">
        <f>SUM(K190:K190)</f>
        <v>0</v>
      </c>
      <c r="L189" s="89">
        <f>K189-G189</f>
        <v>0</v>
      </c>
      <c r="M189" s="27" t="str">
        <f>IF(ISERROR(L189/K189),"N/A",IF(ABS(L189/K189)&gt;5,"N/A",L189/K189))</f>
        <v>N/A</v>
      </c>
      <c r="N189" s="102">
        <f>SUM(N190:N190)</f>
        <v>0</v>
      </c>
      <c r="O189" s="103">
        <f>SUM(O190:O190)</f>
        <v>0</v>
      </c>
      <c r="P189" s="89">
        <f>N189-O189</f>
        <v>0</v>
      </c>
      <c r="Q189" s="26" t="str">
        <f>IF(ISERROR(P189/O189),"N/A",IF(ABS(P189/O189)&gt;5,"N/A",P189/O189))</f>
        <v>N/A</v>
      </c>
      <c r="R189" s="103">
        <f>SUM(R190:R190)</f>
        <v>0</v>
      </c>
      <c r="S189" s="89">
        <f>R189-N189</f>
        <v>0</v>
      </c>
      <c r="T189" s="27" t="str">
        <f>IF(ISERROR(S189/R189),"N/A",IF(ABS(S189/R189)&gt;5,"N/A",S189/R189))</f>
        <v>N/A</v>
      </c>
      <c r="U189" s="102">
        <f>SUM(U190:U190)</f>
        <v>0</v>
      </c>
      <c r="V189" s="103">
        <f>SUM(V190:V190)</f>
        <v>0</v>
      </c>
      <c r="W189" s="89">
        <f>U189-V189</f>
        <v>0</v>
      </c>
      <c r="X189" s="26" t="str">
        <f>IF(ISERROR(W189/V189),"N/A",IF(ABS(W189/V189)&gt;5,"N/A",W189/V189))</f>
        <v>N/A</v>
      </c>
      <c r="Y189" s="103">
        <f>SUM(Y190:Y190)</f>
        <v>0</v>
      </c>
      <c r="Z189" s="89">
        <f>Y189-U189</f>
        <v>0</v>
      </c>
      <c r="AA189" s="27" t="str">
        <f>IF(ISERROR(Z189/Y189),"N/A",IF(ABS(Z189/Y189)&gt;5,"N/A",Z189/Y189))</f>
        <v>N/A</v>
      </c>
      <c r="AB189" s="104">
        <f>SUM(AB190:AB190)</f>
        <v>0</v>
      </c>
      <c r="AC189" s="1"/>
      <c r="AD189" s="1"/>
      <c r="AE189" s="1"/>
      <c r="AF189" s="1"/>
      <c r="AG189" s="1"/>
      <c r="AH189" s="1"/>
      <c r="AI189" s="1"/>
    </row>
    <row r="190" spans="1:35" ht="14.25" hidden="1" outlineLevel="1" x14ac:dyDescent="0.2">
      <c r="A190" s="1"/>
      <c r="B190" s="3"/>
      <c r="C190" s="3"/>
      <c r="D190" s="3"/>
      <c r="E190" s="3"/>
      <c r="F190" s="3"/>
      <c r="G190" s="105"/>
      <c r="H190" s="106"/>
      <c r="I190" s="89"/>
      <c r="J190" s="26"/>
      <c r="K190" s="106"/>
      <c r="L190" s="89"/>
      <c r="M190" s="27"/>
      <c r="N190" s="105"/>
      <c r="O190" s="106"/>
      <c r="P190" s="89"/>
      <c r="Q190" s="26"/>
      <c r="R190" s="106"/>
      <c r="S190" s="89"/>
      <c r="T190" s="27"/>
      <c r="U190" s="105"/>
      <c r="V190" s="106"/>
      <c r="W190" s="89"/>
      <c r="X190" s="26"/>
      <c r="Y190" s="106"/>
      <c r="Z190" s="89"/>
      <c r="AA190" s="27"/>
      <c r="AB190" s="107"/>
      <c r="AC190" s="1"/>
      <c r="AD190" s="1"/>
      <c r="AE190" s="1"/>
      <c r="AF190" s="1"/>
      <c r="AG190" s="1"/>
      <c r="AH190" s="1"/>
      <c r="AI190" s="1"/>
    </row>
    <row r="191" spans="1:35" ht="14.25" hidden="1" outlineLevel="1" x14ac:dyDescent="0.2">
      <c r="A191" s="1"/>
      <c r="B191" s="3"/>
      <c r="C191" s="3"/>
      <c r="D191" s="3"/>
      <c r="E191" s="3"/>
      <c r="F191" s="3"/>
      <c r="G191" s="105"/>
      <c r="H191" s="106"/>
      <c r="I191" s="89"/>
      <c r="J191" s="26"/>
      <c r="K191" s="106"/>
      <c r="L191" s="89"/>
      <c r="M191" s="27"/>
      <c r="N191" s="105"/>
      <c r="O191" s="106"/>
      <c r="P191" s="89"/>
      <c r="Q191" s="26"/>
      <c r="R191" s="106"/>
      <c r="S191" s="89"/>
      <c r="T191" s="27"/>
      <c r="U191" s="105"/>
      <c r="V191" s="106"/>
      <c r="W191" s="89"/>
      <c r="X191" s="26"/>
      <c r="Y191" s="106"/>
      <c r="Z191" s="89"/>
      <c r="AA191" s="27"/>
      <c r="AB191" s="107"/>
      <c r="AC191" s="1"/>
      <c r="AD191" s="1"/>
      <c r="AE191" s="1"/>
      <c r="AF191" s="1"/>
      <c r="AG191" s="1"/>
      <c r="AH191" s="1"/>
      <c r="AI191" s="1"/>
    </row>
    <row r="192" spans="1:35" ht="14.25" collapsed="1" x14ac:dyDescent="0.2">
      <c r="A192" s="1"/>
      <c r="B192" s="3" t="s">
        <v>66</v>
      </c>
      <c r="C192" s="3"/>
      <c r="D192" s="3"/>
      <c r="E192" s="3"/>
      <c r="F192" s="3"/>
      <c r="G192" s="102">
        <f>SUM(G193:G200)</f>
        <v>7.985100000000001</v>
      </c>
      <c r="H192" s="103">
        <f>SUM(H193:H200)</f>
        <v>18.995049999999999</v>
      </c>
      <c r="I192" s="89">
        <f t="shared" ref="I192:I199" si="85">G192-H192</f>
        <v>-11.009949999999998</v>
      </c>
      <c r="J192" s="26">
        <f t="shared" ref="J192:J199" si="86">IF(ISERROR(I192/H192),"N/A",IF(ABS(I192/H192)&gt;5,"N/A",I192/H192))</f>
        <v>-0.57962205943127276</v>
      </c>
      <c r="K192" s="103">
        <f>SUM(K193:K200)</f>
        <v>9</v>
      </c>
      <c r="L192" s="89">
        <f t="shared" ref="L192:L199" si="87">K192-G192</f>
        <v>1.014899999999999</v>
      </c>
      <c r="M192" s="27">
        <f t="shared" ref="M192:M199" si="88">IF(ISERROR(L192/K192),"N/A",IF(ABS(L192/K192)&gt;5,"N/A",L192/K192))</f>
        <v>0.11276666666666656</v>
      </c>
      <c r="N192" s="102">
        <f>SUM(N193:N200)</f>
        <v>25.436339999999998</v>
      </c>
      <c r="O192" s="103">
        <f>SUM(O193:O200)</f>
        <v>24.16338</v>
      </c>
      <c r="P192" s="89">
        <f t="shared" ref="P192:P199" si="89">N192-O192</f>
        <v>1.2729599999999976</v>
      </c>
      <c r="Q192" s="26">
        <f t="shared" ref="Q192:Q199" si="90">IF(ISERROR(P192/O192),"N/A",IF(ABS(P192/O192)&gt;5,"N/A",P192/O192))</f>
        <v>5.2681371563084209E-2</v>
      </c>
      <c r="R192" s="103">
        <f>SUM(R193:R200)</f>
        <v>23.970259999999996</v>
      </c>
      <c r="S192" s="89">
        <f t="shared" ref="S192:S199" si="91">R192-N192</f>
        <v>-1.4660800000000016</v>
      </c>
      <c r="T192" s="27">
        <f t="shared" ref="T192:T199" si="92">IF(ISERROR(S192/R192),"N/A",IF(ABS(S192/R192)&gt;5,"N/A",S192/R192))</f>
        <v>-6.116245714481202E-2</v>
      </c>
      <c r="U192" s="102">
        <f>SUM(U193:U200)</f>
        <v>37.772860000000001</v>
      </c>
      <c r="V192" s="103">
        <f>SUM(V193:V200)</f>
        <v>102.10248</v>
      </c>
      <c r="W192" s="89">
        <f t="shared" ref="W192:W199" si="93">U192-V192</f>
        <v>-64.329620000000006</v>
      </c>
      <c r="X192" s="26">
        <f t="shared" ref="X192:X199" si="94">IF(ISERROR(W192/V192),"N/A",IF(ABS(W192/V192)&gt;5,"N/A",W192/V192))</f>
        <v>-0.63004953454607571</v>
      </c>
      <c r="Y192" s="103">
        <f>SUM(Y193:Y200)</f>
        <v>36.306780000000003</v>
      </c>
      <c r="Z192" s="89">
        <f t="shared" ref="Z192:Z199" si="95">Y192-U192</f>
        <v>-1.4660799999999981</v>
      </c>
      <c r="AA192" s="27">
        <f t="shared" ref="AA192:AA199" si="96">IF(ISERROR(Z192/Y192),"N/A",IF(ABS(Z192/Y192)&gt;5,"N/A",Z192/Y192))</f>
        <v>-4.038033667540878E-2</v>
      </c>
      <c r="AB192" s="104">
        <f>SUM(AB193:AB200)</f>
        <v>100.14678000000001</v>
      </c>
      <c r="AC192" s="1"/>
      <c r="AD192" s="1"/>
      <c r="AE192" s="1"/>
      <c r="AF192" s="1"/>
      <c r="AG192" s="1"/>
      <c r="AH192" s="1"/>
      <c r="AI192" s="1"/>
    </row>
    <row r="193" spans="1:35" ht="14.25" hidden="1" outlineLevel="1" x14ac:dyDescent="0.2">
      <c r="A193" s="1"/>
      <c r="B193" s="3"/>
      <c r="C193" s="3"/>
      <c r="D193" s="3" t="s">
        <v>67</v>
      </c>
      <c r="E193" s="3" t="s">
        <v>78</v>
      </c>
      <c r="F193" s="3">
        <v>846</v>
      </c>
      <c r="G193" s="105">
        <f>2186.72/1000*1</f>
        <v>2.1867199999999998</v>
      </c>
      <c r="H193" s="106">
        <f>0/1000*1</f>
        <v>0</v>
      </c>
      <c r="I193" s="89">
        <f t="shared" si="85"/>
        <v>2.1867199999999998</v>
      </c>
      <c r="J193" s="26" t="str">
        <f t="shared" si="86"/>
        <v>N/A</v>
      </c>
      <c r="K193" s="106">
        <f>0/1000*1</f>
        <v>0</v>
      </c>
      <c r="L193" s="89">
        <f t="shared" si="87"/>
        <v>-2.1867199999999998</v>
      </c>
      <c r="M193" s="27" t="str">
        <f t="shared" si="88"/>
        <v>N/A</v>
      </c>
      <c r="N193" s="105">
        <f>2186.72/1000*1</f>
        <v>2.1867199999999998</v>
      </c>
      <c r="O193" s="106">
        <f>0/1000*1</f>
        <v>0</v>
      </c>
      <c r="P193" s="89">
        <f t="shared" si="89"/>
        <v>2.1867199999999998</v>
      </c>
      <c r="Q193" s="26" t="str">
        <f t="shared" si="90"/>
        <v>N/A</v>
      </c>
      <c r="R193" s="106">
        <f>0/1000*1</f>
        <v>0</v>
      </c>
      <c r="S193" s="89">
        <f t="shared" si="91"/>
        <v>-2.1867199999999998</v>
      </c>
      <c r="T193" s="27" t="str">
        <f t="shared" si="92"/>
        <v>N/A</v>
      </c>
      <c r="U193" s="105">
        <f>2186.72/1000*1</f>
        <v>2.1867199999999998</v>
      </c>
      <c r="V193" s="106">
        <f>0/1000*1</f>
        <v>0</v>
      </c>
      <c r="W193" s="89">
        <f t="shared" si="93"/>
        <v>2.1867199999999998</v>
      </c>
      <c r="X193" s="26" t="str">
        <f t="shared" si="94"/>
        <v>N/A</v>
      </c>
      <c r="Y193" s="106">
        <f>0/1000*1</f>
        <v>0</v>
      </c>
      <c r="Z193" s="89">
        <f t="shared" si="95"/>
        <v>-2.1867199999999998</v>
      </c>
      <c r="AA193" s="27" t="str">
        <f t="shared" si="96"/>
        <v>N/A</v>
      </c>
      <c r="AB193" s="107">
        <f>0/1000*1</f>
        <v>0</v>
      </c>
      <c r="AC193" s="1"/>
      <c r="AD193" s="1"/>
      <c r="AE193" s="1"/>
      <c r="AF193" s="1"/>
      <c r="AG193" s="1"/>
      <c r="AH193" s="1"/>
      <c r="AI193" s="1"/>
    </row>
    <row r="194" spans="1:35" ht="14.25" hidden="1" outlineLevel="1" x14ac:dyDescent="0.2">
      <c r="A194" s="1"/>
      <c r="B194" s="3"/>
      <c r="C194" s="3"/>
      <c r="D194" s="3" t="s">
        <v>67</v>
      </c>
      <c r="E194" s="3" t="s">
        <v>78</v>
      </c>
      <c r="F194" s="3">
        <v>865</v>
      </c>
      <c r="G194" s="105">
        <f>0/1000*1</f>
        <v>0</v>
      </c>
      <c r="H194" s="106">
        <f>0/1000*1</f>
        <v>0</v>
      </c>
      <c r="I194" s="89">
        <f t="shared" si="85"/>
        <v>0</v>
      </c>
      <c r="J194" s="26" t="str">
        <f t="shared" si="86"/>
        <v>N/A</v>
      </c>
      <c r="K194" s="106">
        <f>0/1000*1</f>
        <v>0</v>
      </c>
      <c r="L194" s="89">
        <f t="shared" si="87"/>
        <v>0</v>
      </c>
      <c r="M194" s="27" t="str">
        <f t="shared" si="88"/>
        <v>N/A</v>
      </c>
      <c r="N194" s="105">
        <f>0/1000*1</f>
        <v>0</v>
      </c>
      <c r="O194" s="106">
        <f>0/1000*1</f>
        <v>0</v>
      </c>
      <c r="P194" s="89">
        <f t="shared" si="89"/>
        <v>0</v>
      </c>
      <c r="Q194" s="26" t="str">
        <f t="shared" si="90"/>
        <v>N/A</v>
      </c>
      <c r="R194" s="106">
        <f>0/1000*1</f>
        <v>0</v>
      </c>
      <c r="S194" s="89">
        <f t="shared" si="91"/>
        <v>0</v>
      </c>
      <c r="T194" s="27" t="str">
        <f t="shared" si="92"/>
        <v>N/A</v>
      </c>
      <c r="U194" s="105">
        <f>0/1000*1</f>
        <v>0</v>
      </c>
      <c r="V194" s="106">
        <f>-1273.81/1000*1</f>
        <v>-1.2738099999999999</v>
      </c>
      <c r="W194" s="89">
        <f t="shared" si="93"/>
        <v>1.2738099999999999</v>
      </c>
      <c r="X194" s="26">
        <f t="shared" si="94"/>
        <v>-1</v>
      </c>
      <c r="Y194" s="106">
        <f>0/1000*1</f>
        <v>0</v>
      </c>
      <c r="Z194" s="89">
        <f t="shared" si="95"/>
        <v>0</v>
      </c>
      <c r="AA194" s="27" t="str">
        <f t="shared" si="96"/>
        <v>N/A</v>
      </c>
      <c r="AB194" s="107">
        <f>0/1000*1</f>
        <v>0</v>
      </c>
      <c r="AC194" s="1"/>
      <c r="AD194" s="1"/>
      <c r="AE194" s="1"/>
      <c r="AF194" s="1"/>
      <c r="AG194" s="1"/>
      <c r="AH194" s="1"/>
      <c r="AI194" s="1"/>
    </row>
    <row r="195" spans="1:35" ht="14.25" hidden="1" outlineLevel="1" x14ac:dyDescent="0.2">
      <c r="A195" s="1"/>
      <c r="B195" s="3"/>
      <c r="C195" s="3"/>
      <c r="D195" s="3" t="s">
        <v>67</v>
      </c>
      <c r="E195" s="3" t="s">
        <v>78</v>
      </c>
      <c r="F195" s="3">
        <v>921</v>
      </c>
      <c r="G195" s="105">
        <f>5977.72/1000*1</f>
        <v>5.9777200000000006</v>
      </c>
      <c r="H195" s="106">
        <f>6787.05/1000*1</f>
        <v>6.7870499999999998</v>
      </c>
      <c r="I195" s="89">
        <f t="shared" si="85"/>
        <v>-0.80932999999999922</v>
      </c>
      <c r="J195" s="26">
        <f t="shared" si="86"/>
        <v>-0.11924621153520296</v>
      </c>
      <c r="K195" s="106">
        <f>9000/1000*1</f>
        <v>9</v>
      </c>
      <c r="L195" s="89">
        <f t="shared" si="87"/>
        <v>3.0222799999999994</v>
      </c>
      <c r="M195" s="27">
        <f t="shared" si="88"/>
        <v>0.33580888888888882</v>
      </c>
      <c r="N195" s="105">
        <f>23485.17/1000*1</f>
        <v>23.485169999999997</v>
      </c>
      <c r="O195" s="106">
        <f>11831.56/1000*1</f>
        <v>11.83156</v>
      </c>
      <c r="P195" s="89">
        <f t="shared" si="89"/>
        <v>11.653609999999997</v>
      </c>
      <c r="Q195" s="26">
        <f t="shared" si="90"/>
        <v>0.9849597179070213</v>
      </c>
      <c r="R195" s="106">
        <f>23976.69/1000*1</f>
        <v>23.976689999999998</v>
      </c>
      <c r="S195" s="89">
        <f t="shared" si="91"/>
        <v>0.49152000000000129</v>
      </c>
      <c r="T195" s="27">
        <f t="shared" si="92"/>
        <v>2.0499910538110195E-2</v>
      </c>
      <c r="U195" s="105">
        <f>35706.55/1000*1</f>
        <v>35.70655</v>
      </c>
      <c r="V195" s="106">
        <f>34012.01/1000*1</f>
        <v>34.012010000000004</v>
      </c>
      <c r="W195" s="89">
        <f t="shared" si="93"/>
        <v>1.6945399999999964</v>
      </c>
      <c r="X195" s="26">
        <f t="shared" si="94"/>
        <v>4.9821812941957741E-2</v>
      </c>
      <c r="Y195" s="106">
        <f>36198.07/1000*1</f>
        <v>36.198070000000001</v>
      </c>
      <c r="Z195" s="89">
        <f t="shared" si="95"/>
        <v>0.49152000000000129</v>
      </c>
      <c r="AA195" s="27">
        <f t="shared" si="96"/>
        <v>1.3578624495725913E-2</v>
      </c>
      <c r="AB195" s="107">
        <f>100038.07/1000*1</f>
        <v>100.03807</v>
      </c>
      <c r="AC195" s="1"/>
      <c r="AD195" s="1"/>
      <c r="AE195" s="1"/>
      <c r="AF195" s="1"/>
      <c r="AG195" s="1"/>
      <c r="AH195" s="1"/>
      <c r="AI195" s="1"/>
    </row>
    <row r="196" spans="1:35" ht="14.25" hidden="1" outlineLevel="1" x14ac:dyDescent="0.2">
      <c r="A196" s="1"/>
      <c r="B196" s="3"/>
      <c r="C196" s="3"/>
      <c r="D196" s="3" t="s">
        <v>67</v>
      </c>
      <c r="E196" s="3" t="s">
        <v>75</v>
      </c>
      <c r="F196" s="3">
        <v>846</v>
      </c>
      <c r="G196" s="105">
        <f>-179.34/1000*1</f>
        <v>-0.17934</v>
      </c>
      <c r="H196" s="106">
        <f>0/1000*1</f>
        <v>0</v>
      </c>
      <c r="I196" s="89">
        <f t="shared" si="85"/>
        <v>-0.17934</v>
      </c>
      <c r="J196" s="26" t="str">
        <f t="shared" si="86"/>
        <v>N/A</v>
      </c>
      <c r="K196" s="106">
        <f>0/1000*1</f>
        <v>0</v>
      </c>
      <c r="L196" s="89">
        <f t="shared" si="87"/>
        <v>0.17934</v>
      </c>
      <c r="M196" s="27" t="str">
        <f t="shared" si="88"/>
        <v>N/A</v>
      </c>
      <c r="N196" s="105">
        <f>-235.55/1000*1</f>
        <v>-0.23555000000000001</v>
      </c>
      <c r="O196" s="106">
        <f>-0.67/1000*1</f>
        <v>-6.7000000000000002E-4</v>
      </c>
      <c r="P196" s="89">
        <f t="shared" si="89"/>
        <v>-0.23488000000000001</v>
      </c>
      <c r="Q196" s="26" t="str">
        <f t="shared" si="90"/>
        <v>N/A</v>
      </c>
      <c r="R196" s="106">
        <f>-6.43/1000*1</f>
        <v>-6.43E-3</v>
      </c>
      <c r="S196" s="89">
        <f t="shared" si="91"/>
        <v>0.22912000000000002</v>
      </c>
      <c r="T196" s="27" t="str">
        <f t="shared" si="92"/>
        <v>N/A</v>
      </c>
      <c r="U196" s="105">
        <f>-492.13/1000*1</f>
        <v>-0.49213000000000001</v>
      </c>
      <c r="V196" s="106">
        <f>-0.67/1000*1</f>
        <v>-6.7000000000000002E-4</v>
      </c>
      <c r="W196" s="89">
        <f t="shared" si="93"/>
        <v>-0.49146000000000001</v>
      </c>
      <c r="X196" s="26" t="str">
        <f t="shared" si="94"/>
        <v>N/A</v>
      </c>
      <c r="Y196" s="106">
        <f>-263.01/1000*1</f>
        <v>-0.26300999999999997</v>
      </c>
      <c r="Z196" s="89">
        <f t="shared" si="95"/>
        <v>0.22912000000000005</v>
      </c>
      <c r="AA196" s="27">
        <f t="shared" si="96"/>
        <v>-0.87114558381810603</v>
      </c>
      <c r="AB196" s="107">
        <f>-263.01/1000*1</f>
        <v>-0.26300999999999997</v>
      </c>
      <c r="AC196" s="1"/>
      <c r="AD196" s="1"/>
      <c r="AE196" s="1"/>
      <c r="AF196" s="1"/>
      <c r="AG196" s="1"/>
      <c r="AH196" s="1"/>
      <c r="AI196" s="1"/>
    </row>
    <row r="197" spans="1:35" ht="14.25" hidden="1" outlineLevel="1" x14ac:dyDescent="0.2">
      <c r="A197" s="1"/>
      <c r="B197" s="3"/>
      <c r="C197" s="3"/>
      <c r="D197" s="3" t="s">
        <v>67</v>
      </c>
      <c r="E197" s="3" t="s">
        <v>75</v>
      </c>
      <c r="F197" s="3">
        <v>865</v>
      </c>
      <c r="G197" s="105">
        <f>0/1000*1</f>
        <v>0</v>
      </c>
      <c r="H197" s="106">
        <f>12208/1000*1</f>
        <v>12.208</v>
      </c>
      <c r="I197" s="89">
        <f t="shared" si="85"/>
        <v>-12.208</v>
      </c>
      <c r="J197" s="26">
        <f t="shared" si="86"/>
        <v>-1</v>
      </c>
      <c r="K197" s="106">
        <f>0/1000*1</f>
        <v>0</v>
      </c>
      <c r="L197" s="89">
        <f t="shared" si="87"/>
        <v>0</v>
      </c>
      <c r="M197" s="27" t="str">
        <f t="shared" si="88"/>
        <v>N/A</v>
      </c>
      <c r="N197" s="105">
        <f>0/1000*1</f>
        <v>0</v>
      </c>
      <c r="O197" s="106">
        <f>12332.49/1000*1</f>
        <v>12.33249</v>
      </c>
      <c r="P197" s="89">
        <f t="shared" si="89"/>
        <v>-12.33249</v>
      </c>
      <c r="Q197" s="26">
        <f t="shared" si="90"/>
        <v>-1</v>
      </c>
      <c r="R197" s="106">
        <f>0/1000*1</f>
        <v>0</v>
      </c>
      <c r="S197" s="89">
        <f t="shared" si="91"/>
        <v>0</v>
      </c>
      <c r="T197" s="27" t="str">
        <f t="shared" si="92"/>
        <v>N/A</v>
      </c>
      <c r="U197" s="105">
        <f>0/1000*1</f>
        <v>0</v>
      </c>
      <c r="V197" s="106">
        <f>66838.81/1000*1</f>
        <v>66.838809999999995</v>
      </c>
      <c r="W197" s="89">
        <f t="shared" si="93"/>
        <v>-66.838809999999995</v>
      </c>
      <c r="X197" s="26">
        <f t="shared" si="94"/>
        <v>-1</v>
      </c>
      <c r="Y197" s="106">
        <f>0/1000*1</f>
        <v>0</v>
      </c>
      <c r="Z197" s="89">
        <f t="shared" si="95"/>
        <v>0</v>
      </c>
      <c r="AA197" s="27" t="str">
        <f t="shared" si="96"/>
        <v>N/A</v>
      </c>
      <c r="AB197" s="107">
        <f>0/1000*1</f>
        <v>0</v>
      </c>
      <c r="AC197" s="1"/>
      <c r="AD197" s="1"/>
      <c r="AE197" s="1"/>
      <c r="AF197" s="1"/>
      <c r="AG197" s="1"/>
      <c r="AH197" s="1"/>
      <c r="AI197" s="1"/>
    </row>
    <row r="198" spans="1:35" ht="14.25" hidden="1" outlineLevel="1" x14ac:dyDescent="0.2">
      <c r="A198" s="1"/>
      <c r="B198" s="3"/>
      <c r="C198" s="3"/>
      <c r="D198" s="3" t="s">
        <v>67</v>
      </c>
      <c r="E198" s="3" t="s">
        <v>75</v>
      </c>
      <c r="F198" s="3">
        <v>921</v>
      </c>
      <c r="G198" s="105">
        <f>0/1000*1</f>
        <v>0</v>
      </c>
      <c r="H198" s="106">
        <f>0/1000*1</f>
        <v>0</v>
      </c>
      <c r="I198" s="89">
        <f t="shared" si="85"/>
        <v>0</v>
      </c>
      <c r="J198" s="26" t="str">
        <f t="shared" si="86"/>
        <v>N/A</v>
      </c>
      <c r="K198" s="106">
        <f>0/1000*1</f>
        <v>0</v>
      </c>
      <c r="L198" s="89">
        <f t="shared" si="87"/>
        <v>0</v>
      </c>
      <c r="M198" s="27" t="str">
        <f t="shared" si="88"/>
        <v>N/A</v>
      </c>
      <c r="N198" s="105">
        <f>0/1000*1</f>
        <v>0</v>
      </c>
      <c r="O198" s="106">
        <f>0/1000*1</f>
        <v>0</v>
      </c>
      <c r="P198" s="89">
        <f t="shared" si="89"/>
        <v>0</v>
      </c>
      <c r="Q198" s="26" t="str">
        <f t="shared" si="90"/>
        <v>N/A</v>
      </c>
      <c r="R198" s="106">
        <f>0/1000*1</f>
        <v>0</v>
      </c>
      <c r="S198" s="89">
        <f t="shared" si="91"/>
        <v>0</v>
      </c>
      <c r="T198" s="27" t="str">
        <f t="shared" si="92"/>
        <v>N/A</v>
      </c>
      <c r="U198" s="105">
        <f>0/1000*1</f>
        <v>0</v>
      </c>
      <c r="V198" s="106">
        <f>-191.98/1000*1</f>
        <v>-0.19197999999999998</v>
      </c>
      <c r="W198" s="89">
        <f t="shared" si="93"/>
        <v>0.19197999999999998</v>
      </c>
      <c r="X198" s="26">
        <f t="shared" si="94"/>
        <v>-1</v>
      </c>
      <c r="Y198" s="106">
        <f>0/1000*1</f>
        <v>0</v>
      </c>
      <c r="Z198" s="89">
        <f t="shared" si="95"/>
        <v>0</v>
      </c>
      <c r="AA198" s="27" t="str">
        <f t="shared" si="96"/>
        <v>N/A</v>
      </c>
      <c r="AB198" s="107">
        <f>0/1000*1</f>
        <v>0</v>
      </c>
      <c r="AC198" s="1"/>
      <c r="AD198" s="1"/>
      <c r="AE198" s="1"/>
      <c r="AF198" s="1"/>
      <c r="AG198" s="1"/>
      <c r="AH198" s="1"/>
      <c r="AI198" s="1"/>
    </row>
    <row r="199" spans="1:35" ht="14.25" hidden="1" outlineLevel="1" x14ac:dyDescent="0.2">
      <c r="A199" s="1"/>
      <c r="B199" s="3"/>
      <c r="C199" s="3"/>
      <c r="D199" s="3" t="s">
        <v>67</v>
      </c>
      <c r="E199" s="3" t="s">
        <v>75</v>
      </c>
      <c r="F199" s="3">
        <v>935</v>
      </c>
      <c r="G199" s="105">
        <f>0/1000*1</f>
        <v>0</v>
      </c>
      <c r="H199" s="106">
        <f>0/1000*1</f>
        <v>0</v>
      </c>
      <c r="I199" s="89">
        <f t="shared" si="85"/>
        <v>0</v>
      </c>
      <c r="J199" s="26" t="str">
        <f t="shared" si="86"/>
        <v>N/A</v>
      </c>
      <c r="K199" s="106">
        <f>0/1000*1</f>
        <v>0</v>
      </c>
      <c r="L199" s="89">
        <f t="shared" si="87"/>
        <v>0</v>
      </c>
      <c r="M199" s="27" t="str">
        <f t="shared" si="88"/>
        <v>N/A</v>
      </c>
      <c r="N199" s="105">
        <f>0/1000*1</f>
        <v>0</v>
      </c>
      <c r="O199" s="106">
        <f>0/1000*1</f>
        <v>0</v>
      </c>
      <c r="P199" s="89">
        <f t="shared" si="89"/>
        <v>0</v>
      </c>
      <c r="Q199" s="26" t="str">
        <f t="shared" si="90"/>
        <v>N/A</v>
      </c>
      <c r="R199" s="106">
        <f>0/1000*1</f>
        <v>0</v>
      </c>
      <c r="S199" s="89">
        <f t="shared" si="91"/>
        <v>0</v>
      </c>
      <c r="T199" s="27" t="str">
        <f t="shared" si="92"/>
        <v>N/A</v>
      </c>
      <c r="U199" s="105">
        <f>371.72/1000*1</f>
        <v>0.37172000000000005</v>
      </c>
      <c r="V199" s="106">
        <f>2718.12/1000*1</f>
        <v>2.7181199999999999</v>
      </c>
      <c r="W199" s="89">
        <f t="shared" si="93"/>
        <v>-2.3464</v>
      </c>
      <c r="X199" s="26">
        <f t="shared" si="94"/>
        <v>-0.86324371256603838</v>
      </c>
      <c r="Y199" s="106">
        <f>371.72/1000*1</f>
        <v>0.37172000000000005</v>
      </c>
      <c r="Z199" s="89">
        <f t="shared" si="95"/>
        <v>0</v>
      </c>
      <c r="AA199" s="27">
        <f t="shared" si="96"/>
        <v>0</v>
      </c>
      <c r="AB199" s="107">
        <f>371.72/1000*1</f>
        <v>0.37172000000000005</v>
      </c>
      <c r="AC199" s="1"/>
      <c r="AD199" s="1"/>
      <c r="AE199" s="1"/>
      <c r="AF199" s="1"/>
      <c r="AG199" s="1"/>
      <c r="AH199" s="1"/>
      <c r="AI199" s="1"/>
    </row>
    <row r="200" spans="1:35" ht="14.25" hidden="1" outlineLevel="1" x14ac:dyDescent="0.2">
      <c r="A200" s="1"/>
      <c r="B200" s="3"/>
      <c r="C200" s="3"/>
      <c r="D200" s="3"/>
      <c r="E200" s="3"/>
      <c r="F200" s="3"/>
      <c r="G200" s="105"/>
      <c r="H200" s="106"/>
      <c r="I200" s="89"/>
      <c r="J200" s="26"/>
      <c r="K200" s="106"/>
      <c r="L200" s="89"/>
      <c r="M200" s="27"/>
      <c r="N200" s="105"/>
      <c r="O200" s="106"/>
      <c r="P200" s="89"/>
      <c r="Q200" s="26"/>
      <c r="R200" s="106"/>
      <c r="S200" s="89"/>
      <c r="T200" s="27"/>
      <c r="U200" s="105"/>
      <c r="V200" s="106"/>
      <c r="W200" s="89"/>
      <c r="X200" s="26"/>
      <c r="Y200" s="106"/>
      <c r="Z200" s="89"/>
      <c r="AA200" s="27"/>
      <c r="AB200" s="107"/>
      <c r="AC200" s="1"/>
      <c r="AD200" s="1"/>
      <c r="AE200" s="1"/>
      <c r="AF200" s="1"/>
      <c r="AG200" s="1"/>
      <c r="AH200" s="1"/>
      <c r="AI200" s="1"/>
    </row>
    <row r="201" spans="1:35" ht="14.25" hidden="1" outlineLevel="1" x14ac:dyDescent="0.2">
      <c r="A201" s="1"/>
      <c r="B201" s="3"/>
      <c r="C201" s="3"/>
      <c r="D201" s="3"/>
      <c r="E201" s="3"/>
      <c r="F201" s="3"/>
      <c r="G201" s="105"/>
      <c r="H201" s="106"/>
      <c r="I201" s="89"/>
      <c r="J201" s="26"/>
      <c r="K201" s="106"/>
      <c r="L201" s="89"/>
      <c r="M201" s="27"/>
      <c r="N201" s="105"/>
      <c r="O201" s="106"/>
      <c r="P201" s="89"/>
      <c r="Q201" s="26"/>
      <c r="R201" s="106"/>
      <c r="S201" s="89"/>
      <c r="T201" s="27"/>
      <c r="U201" s="105"/>
      <c r="V201" s="106"/>
      <c r="W201" s="89"/>
      <c r="X201" s="26"/>
      <c r="Y201" s="106"/>
      <c r="Z201" s="89"/>
      <c r="AA201" s="27"/>
      <c r="AB201" s="107"/>
      <c r="AC201" s="1"/>
      <c r="AD201" s="1"/>
      <c r="AE201" s="1"/>
      <c r="AF201" s="1"/>
      <c r="AG201" s="1"/>
      <c r="AH201" s="1"/>
      <c r="AI201" s="1"/>
    </row>
    <row r="202" spans="1:35" ht="14.25" collapsed="1" x14ac:dyDescent="0.2">
      <c r="A202" s="1"/>
      <c r="B202" s="3" t="s">
        <v>70</v>
      </c>
      <c r="C202" s="3"/>
      <c r="D202" s="3"/>
      <c r="E202" s="3"/>
      <c r="F202" s="3"/>
      <c r="G202" s="102">
        <f>SUM(G203:G204)</f>
        <v>0</v>
      </c>
      <c r="H202" s="103">
        <f>SUM(H203:H204)</f>
        <v>0</v>
      </c>
      <c r="I202" s="89">
        <f>G202-H202</f>
        <v>0</v>
      </c>
      <c r="J202" s="26" t="str">
        <f>IF(ISERROR(I202/H202),"N/A",IF(ABS(I202/H202)&gt;5,"N/A",I202/H202))</f>
        <v>N/A</v>
      </c>
      <c r="K202" s="103">
        <f>SUM(K203:K204)</f>
        <v>0</v>
      </c>
      <c r="L202" s="89">
        <f>K202-G202</f>
        <v>0</v>
      </c>
      <c r="M202" s="27" t="str">
        <f>IF(ISERROR(L202/K202),"N/A",IF(ABS(L202/K202)&gt;5,"N/A",L202/K202))</f>
        <v>N/A</v>
      </c>
      <c r="N202" s="102">
        <f>SUM(N203:N204)</f>
        <v>0</v>
      </c>
      <c r="O202" s="103">
        <f>SUM(O203:O204)</f>
        <v>0</v>
      </c>
      <c r="P202" s="89">
        <f>N202-O202</f>
        <v>0</v>
      </c>
      <c r="Q202" s="26" t="str">
        <f>IF(ISERROR(P202/O202),"N/A",IF(ABS(P202/O202)&gt;5,"N/A",P202/O202))</f>
        <v>N/A</v>
      </c>
      <c r="R202" s="103">
        <f>SUM(R203:R204)</f>
        <v>0</v>
      </c>
      <c r="S202" s="89">
        <f>R202-N202</f>
        <v>0</v>
      </c>
      <c r="T202" s="27" t="str">
        <f>IF(ISERROR(S202/R202),"N/A",IF(ABS(S202/R202)&gt;5,"N/A",S202/R202))</f>
        <v>N/A</v>
      </c>
      <c r="U202" s="102">
        <f>SUM(U203:U204)</f>
        <v>0</v>
      </c>
      <c r="V202" s="108">
        <f>SUM(V203:V204)</f>
        <v>9.1339699999999997</v>
      </c>
      <c r="W202" s="89">
        <f>U202-V202</f>
        <v>-9.1339699999999997</v>
      </c>
      <c r="X202" s="26">
        <f>IF(ISERROR(W202/V202),"N/A",IF(ABS(W202/V202)&gt;5,"N/A",W202/V202))</f>
        <v>-1</v>
      </c>
      <c r="Y202" s="103">
        <f>SUM(Y203:Y204)</f>
        <v>0</v>
      </c>
      <c r="Z202" s="89">
        <f>Y202-U202</f>
        <v>0</v>
      </c>
      <c r="AA202" s="27" t="str">
        <f>IF(ISERROR(Z202/Y202),"N/A",IF(ABS(Z202/Y202)&gt;5,"N/A",Z202/Y202))</f>
        <v>N/A</v>
      </c>
      <c r="AB202" s="104">
        <f>SUM(AB203:AB204)</f>
        <v>0</v>
      </c>
      <c r="AC202" s="1"/>
      <c r="AD202" s="1"/>
      <c r="AE202" s="1"/>
      <c r="AF202" s="1"/>
      <c r="AG202" s="1"/>
      <c r="AH202" s="1"/>
      <c r="AI202" s="1"/>
    </row>
    <row r="203" spans="1:35" ht="14.25" hidden="1" outlineLevel="1" x14ac:dyDescent="0.2">
      <c r="A203" s="1"/>
      <c r="B203" s="3"/>
      <c r="C203" s="3"/>
      <c r="D203" s="3" t="s">
        <v>67</v>
      </c>
      <c r="E203" s="3" t="s">
        <v>75</v>
      </c>
      <c r="F203" s="3">
        <v>920</v>
      </c>
      <c r="G203" s="105">
        <f>0/1000*1</f>
        <v>0</v>
      </c>
      <c r="H203" s="106">
        <f>0/1000*1</f>
        <v>0</v>
      </c>
      <c r="I203" s="89">
        <f>G203-H203</f>
        <v>0</v>
      </c>
      <c r="J203" s="26" t="str">
        <f>IF(ISERROR(I203/H203),"N/A",IF(ABS(I203/H203)&gt;5,"N/A",I203/H203))</f>
        <v>N/A</v>
      </c>
      <c r="K203" s="106">
        <f>0/1000*1</f>
        <v>0</v>
      </c>
      <c r="L203" s="89">
        <f>K203-G203</f>
        <v>0</v>
      </c>
      <c r="M203" s="27" t="str">
        <f>IF(ISERROR(L203/K203),"N/A",IF(ABS(L203/K203)&gt;5,"N/A",L203/K203))</f>
        <v>N/A</v>
      </c>
      <c r="N203" s="105">
        <f>0/1000*1</f>
        <v>0</v>
      </c>
      <c r="O203" s="106">
        <f>0/1000*1</f>
        <v>0</v>
      </c>
      <c r="P203" s="89">
        <f>N203-O203</f>
        <v>0</v>
      </c>
      <c r="Q203" s="26" t="str">
        <f>IF(ISERROR(P203/O203),"N/A",IF(ABS(P203/O203)&gt;5,"N/A",P203/O203))</f>
        <v>N/A</v>
      </c>
      <c r="R203" s="106">
        <f>0/1000*1</f>
        <v>0</v>
      </c>
      <c r="S203" s="89">
        <f>R203-N203</f>
        <v>0</v>
      </c>
      <c r="T203" s="27" t="str">
        <f>IF(ISERROR(S203/R203),"N/A",IF(ABS(S203/R203)&gt;5,"N/A",S203/R203))</f>
        <v>N/A</v>
      </c>
      <c r="U203" s="105">
        <f>0/1000*1</f>
        <v>0</v>
      </c>
      <c r="V203" s="106">
        <f>9133.97/1000*1</f>
        <v>9.1339699999999997</v>
      </c>
      <c r="W203" s="89">
        <f>U203-V203</f>
        <v>-9.1339699999999997</v>
      </c>
      <c r="X203" s="26">
        <f>IF(ISERROR(W203/V203),"N/A",IF(ABS(W203/V203)&gt;5,"N/A",W203/V203))</f>
        <v>-1</v>
      </c>
      <c r="Y203" s="106">
        <f>0/1000*1</f>
        <v>0</v>
      </c>
      <c r="Z203" s="89">
        <f>Y203-U203</f>
        <v>0</v>
      </c>
      <c r="AA203" s="27" t="str">
        <f>IF(ISERROR(Z203/Y203),"N/A",IF(ABS(Z203/Y203)&gt;5,"N/A",Z203/Y203))</f>
        <v>N/A</v>
      </c>
      <c r="AB203" s="107">
        <f>0/1000*1</f>
        <v>0</v>
      </c>
      <c r="AC203" s="1"/>
      <c r="AD203" s="1"/>
      <c r="AE203" s="1"/>
      <c r="AF203" s="1"/>
      <c r="AG203" s="1"/>
      <c r="AH203" s="1"/>
      <c r="AI203" s="1"/>
    </row>
    <row r="204" spans="1:35" ht="14.25" hidden="1" outlineLevel="1" x14ac:dyDescent="0.2">
      <c r="A204" s="1"/>
      <c r="B204" s="3"/>
      <c r="C204" s="3"/>
      <c r="D204" s="3"/>
      <c r="E204" s="3"/>
      <c r="F204" s="3"/>
      <c r="G204" s="105"/>
      <c r="H204" s="106"/>
      <c r="I204" s="89"/>
      <c r="J204" s="26"/>
      <c r="K204" s="106"/>
      <c r="L204" s="89"/>
      <c r="M204" s="27"/>
      <c r="N204" s="105"/>
      <c r="O204" s="106"/>
      <c r="P204" s="89"/>
      <c r="Q204" s="26"/>
      <c r="R204" s="106"/>
      <c r="S204" s="89"/>
      <c r="T204" s="27"/>
      <c r="U204" s="105"/>
      <c r="V204" s="106"/>
      <c r="W204" s="89"/>
      <c r="X204" s="26"/>
      <c r="Y204" s="106"/>
      <c r="Z204" s="89"/>
      <c r="AA204" s="27"/>
      <c r="AB204" s="107"/>
      <c r="AC204" s="1"/>
      <c r="AD204" s="1"/>
      <c r="AE204" s="1"/>
      <c r="AF204" s="1"/>
      <c r="AG204" s="1"/>
      <c r="AH204" s="1"/>
      <c r="AI204" s="1"/>
    </row>
    <row r="205" spans="1:35" ht="14.25" hidden="1" outlineLevel="1" x14ac:dyDescent="0.2">
      <c r="A205" s="1"/>
      <c r="B205" s="3"/>
      <c r="C205" s="3"/>
      <c r="D205" s="3"/>
      <c r="E205" s="3"/>
      <c r="F205" s="3"/>
      <c r="G205" s="105"/>
      <c r="H205" s="106"/>
      <c r="I205" s="89"/>
      <c r="J205" s="26"/>
      <c r="K205" s="106"/>
      <c r="L205" s="89"/>
      <c r="M205" s="27"/>
      <c r="N205" s="105"/>
      <c r="O205" s="106"/>
      <c r="P205" s="89"/>
      <c r="Q205" s="26"/>
      <c r="R205" s="106"/>
      <c r="S205" s="89"/>
      <c r="T205" s="27"/>
      <c r="U205" s="105"/>
      <c r="V205" s="106"/>
      <c r="W205" s="89"/>
      <c r="X205" s="26"/>
      <c r="Y205" s="106"/>
      <c r="Z205" s="89"/>
      <c r="AA205" s="27"/>
      <c r="AB205" s="107"/>
      <c r="AC205" s="1"/>
      <c r="AD205" s="1"/>
      <c r="AE205" s="1"/>
      <c r="AF205" s="1"/>
      <c r="AG205" s="1"/>
      <c r="AH205" s="1"/>
      <c r="AI205" s="1"/>
    </row>
    <row r="206" spans="1:35" ht="14.25" collapsed="1" x14ac:dyDescent="0.2">
      <c r="A206" s="1"/>
      <c r="B206" s="3" t="s">
        <v>71</v>
      </c>
      <c r="C206" s="3"/>
      <c r="D206" s="3"/>
      <c r="E206" s="3"/>
      <c r="F206" s="3"/>
      <c r="G206" s="102">
        <f>SUM(G207:G212)</f>
        <v>0.26858000000000004</v>
      </c>
      <c r="H206" s="103">
        <f>SUM(H207:H212)</f>
        <v>1.4504999999999999</v>
      </c>
      <c r="I206" s="89">
        <f t="shared" ref="I206:I211" si="97">G206-H206</f>
        <v>-1.1819199999999999</v>
      </c>
      <c r="J206" s="26">
        <f t="shared" ref="J206:J211" si="98">IF(ISERROR(I206/H206),"N/A",IF(ABS(I206/H206)&gt;5,"N/A",I206/H206))</f>
        <v>-0.81483626335746295</v>
      </c>
      <c r="K206" s="103">
        <f>SUM(K207:K212)</f>
        <v>0</v>
      </c>
      <c r="L206" s="89">
        <f t="shared" ref="L206:L211" si="99">K206-G206</f>
        <v>-0.26858000000000004</v>
      </c>
      <c r="M206" s="27" t="str">
        <f t="shared" ref="M206:M211" si="100">IF(ISERROR(L206/K206),"N/A",IF(ABS(L206/K206)&gt;5,"N/A",L206/K206))</f>
        <v>N/A</v>
      </c>
      <c r="N206" s="102">
        <f>SUM(N207:N212)</f>
        <v>0.26859</v>
      </c>
      <c r="O206" s="103">
        <f>SUM(O207:O212)</f>
        <v>1.54809</v>
      </c>
      <c r="P206" s="89">
        <f t="shared" ref="P206:P211" si="101">N206-O206</f>
        <v>-1.2795000000000001</v>
      </c>
      <c r="Q206" s="26">
        <f t="shared" ref="Q206:Q211" si="102">IF(ISERROR(P206/O206),"N/A",IF(ABS(P206/O206)&gt;5,"N/A",P206/O206))</f>
        <v>-0.82650233513555416</v>
      </c>
      <c r="R206" s="103">
        <f>SUM(R207:R212)</f>
        <v>2.0000000000000002E-5</v>
      </c>
      <c r="S206" s="89">
        <f t="shared" ref="S206:S211" si="103">R206-N206</f>
        <v>-0.26856999999999998</v>
      </c>
      <c r="T206" s="27" t="str">
        <f t="shared" ref="T206:T211" si="104">IF(ISERROR(S206/R206),"N/A",IF(ABS(S206/R206)&gt;5,"N/A",S206/R206))</f>
        <v>N/A</v>
      </c>
      <c r="U206" s="102">
        <f>SUM(U207:U212)</f>
        <v>72.983579999999989</v>
      </c>
      <c r="V206" s="103">
        <f>SUM(V207:V212)</f>
        <v>1.5414299999999999</v>
      </c>
      <c r="W206" s="89">
        <f t="shared" ref="W206:W211" si="105">U206-V206</f>
        <v>71.442149999999984</v>
      </c>
      <c r="X206" s="26" t="str">
        <f t="shared" ref="X206:X211" si="106">IF(ISERROR(W206/V206),"N/A",IF(ABS(W206/V206)&gt;5,"N/A",W206/V206))</f>
        <v>N/A</v>
      </c>
      <c r="Y206" s="103">
        <f>SUM(Y207:Y212)</f>
        <v>72.715009999999992</v>
      </c>
      <c r="Z206" s="89">
        <f t="shared" ref="Z206:Z211" si="107">Y206-U206</f>
        <v>-0.26856999999999687</v>
      </c>
      <c r="AA206" s="27">
        <f t="shared" ref="AA206:AA211" si="108">IF(ISERROR(Z206/Y206),"N/A",IF(ABS(Z206/Y206)&gt;5,"N/A",Z206/Y206))</f>
        <v>-3.6934602635686482E-3</v>
      </c>
      <c r="AB206" s="104">
        <f>SUM(AB207:AB212)</f>
        <v>72.715009999999992</v>
      </c>
      <c r="AC206" s="1"/>
      <c r="AD206" s="1"/>
      <c r="AE206" s="1"/>
      <c r="AF206" s="1"/>
      <c r="AG206" s="1"/>
      <c r="AH206" s="1"/>
      <c r="AI206" s="1"/>
    </row>
    <row r="207" spans="1:35" ht="14.25" hidden="1" outlineLevel="1" x14ac:dyDescent="0.2">
      <c r="A207" s="1"/>
      <c r="B207" s="3"/>
      <c r="C207" s="3"/>
      <c r="D207" s="3" t="s">
        <v>67</v>
      </c>
      <c r="E207" s="3" t="s">
        <v>78</v>
      </c>
      <c r="F207" s="3">
        <v>100</v>
      </c>
      <c r="G207" s="105">
        <f>0/1000*1</f>
        <v>0</v>
      </c>
      <c r="H207" s="106">
        <f>0/1000*1</f>
        <v>0</v>
      </c>
      <c r="I207" s="89">
        <f t="shared" si="97"/>
        <v>0</v>
      </c>
      <c r="J207" s="26" t="str">
        <f t="shared" si="98"/>
        <v>N/A</v>
      </c>
      <c r="K207" s="106">
        <f>0/1000*1</f>
        <v>0</v>
      </c>
      <c r="L207" s="89">
        <f t="shared" si="99"/>
        <v>0</v>
      </c>
      <c r="M207" s="27" t="str">
        <f t="shared" si="100"/>
        <v>N/A</v>
      </c>
      <c r="N207" s="105">
        <f>0/1000*1</f>
        <v>0</v>
      </c>
      <c r="O207" s="106">
        <f>0/1000*1</f>
        <v>0</v>
      </c>
      <c r="P207" s="89">
        <f t="shared" si="101"/>
        <v>0</v>
      </c>
      <c r="Q207" s="26" t="str">
        <f t="shared" si="102"/>
        <v>N/A</v>
      </c>
      <c r="R207" s="106">
        <f>0/1000*1</f>
        <v>0</v>
      </c>
      <c r="S207" s="89">
        <f t="shared" si="103"/>
        <v>0</v>
      </c>
      <c r="T207" s="27" t="str">
        <f t="shared" si="104"/>
        <v>N/A</v>
      </c>
      <c r="U207" s="105">
        <f>0/1000*1</f>
        <v>0</v>
      </c>
      <c r="V207" s="106">
        <f>0/1000*1</f>
        <v>0</v>
      </c>
      <c r="W207" s="89">
        <f t="shared" si="105"/>
        <v>0</v>
      </c>
      <c r="X207" s="26" t="str">
        <f t="shared" si="106"/>
        <v>N/A</v>
      </c>
      <c r="Y207" s="106">
        <f>0/1000*1</f>
        <v>0</v>
      </c>
      <c r="Z207" s="89">
        <f t="shared" si="107"/>
        <v>0</v>
      </c>
      <c r="AA207" s="27" t="str">
        <f t="shared" si="108"/>
        <v>N/A</v>
      </c>
      <c r="AB207" s="107">
        <f>0/1000*1</f>
        <v>0</v>
      </c>
      <c r="AC207" s="1"/>
      <c r="AD207" s="1"/>
      <c r="AE207" s="1"/>
      <c r="AF207" s="1"/>
      <c r="AG207" s="1"/>
      <c r="AH207" s="1"/>
      <c r="AI207" s="1"/>
    </row>
    <row r="208" spans="1:35" ht="14.25" hidden="1" outlineLevel="1" x14ac:dyDescent="0.2">
      <c r="A208" s="1"/>
      <c r="B208" s="3"/>
      <c r="C208" s="3"/>
      <c r="D208" s="3" t="s">
        <v>67</v>
      </c>
      <c r="E208" s="3" t="s">
        <v>75</v>
      </c>
      <c r="F208" s="3">
        <v>100</v>
      </c>
      <c r="G208" s="105">
        <f>268.61/1000*1</f>
        <v>0.26861000000000002</v>
      </c>
      <c r="H208" s="106">
        <f>0/1000*1</f>
        <v>0</v>
      </c>
      <c r="I208" s="89">
        <f t="shared" si="97"/>
        <v>0.26861000000000002</v>
      </c>
      <c r="J208" s="26" t="str">
        <f t="shared" si="98"/>
        <v>N/A</v>
      </c>
      <c r="K208" s="106">
        <f>0/1000*1</f>
        <v>0</v>
      </c>
      <c r="L208" s="89">
        <f t="shared" si="99"/>
        <v>-0.26861000000000002</v>
      </c>
      <c r="M208" s="27" t="str">
        <f t="shared" si="100"/>
        <v>N/A</v>
      </c>
      <c r="N208" s="105">
        <f>268.61/1000*1</f>
        <v>0.26861000000000002</v>
      </c>
      <c r="O208" s="106">
        <f>97.59/1000*1</f>
        <v>9.759000000000001E-2</v>
      </c>
      <c r="P208" s="89">
        <f t="shared" si="101"/>
        <v>0.17102000000000001</v>
      </c>
      <c r="Q208" s="26">
        <f t="shared" si="102"/>
        <v>1.7524336509888307</v>
      </c>
      <c r="R208" s="106">
        <f>0/1000*1</f>
        <v>0</v>
      </c>
      <c r="S208" s="89">
        <f t="shared" si="103"/>
        <v>-0.26861000000000002</v>
      </c>
      <c r="T208" s="27" t="str">
        <f t="shared" si="104"/>
        <v>N/A</v>
      </c>
      <c r="U208" s="105">
        <f>2835.59/1000*1</f>
        <v>2.8355900000000003</v>
      </c>
      <c r="V208" s="106">
        <f>90.37/1000*1</f>
        <v>9.0370000000000006E-2</v>
      </c>
      <c r="W208" s="89">
        <f t="shared" si="105"/>
        <v>2.7452200000000002</v>
      </c>
      <c r="X208" s="26" t="str">
        <f t="shared" si="106"/>
        <v>N/A</v>
      </c>
      <c r="Y208" s="106">
        <f>2566.98/1000*1</f>
        <v>2.56698</v>
      </c>
      <c r="Z208" s="89">
        <f t="shared" si="107"/>
        <v>-0.26861000000000024</v>
      </c>
      <c r="AA208" s="27">
        <f t="shared" si="108"/>
        <v>-0.10464047246180345</v>
      </c>
      <c r="AB208" s="107">
        <f>2566.98/1000*1</f>
        <v>2.56698</v>
      </c>
      <c r="AC208" s="1"/>
      <c r="AD208" s="1"/>
      <c r="AE208" s="1"/>
      <c r="AF208" s="1"/>
      <c r="AG208" s="1"/>
      <c r="AH208" s="1"/>
      <c r="AI208" s="1"/>
    </row>
    <row r="209" spans="1:35" ht="14.25" hidden="1" outlineLevel="1" x14ac:dyDescent="0.2">
      <c r="A209" s="1"/>
      <c r="B209" s="3"/>
      <c r="C209" s="3"/>
      <c r="D209" s="3" t="s">
        <v>67</v>
      </c>
      <c r="E209" s="3" t="s">
        <v>75</v>
      </c>
      <c r="F209" s="3">
        <v>998</v>
      </c>
      <c r="G209" s="105">
        <f>0/1000*1</f>
        <v>0</v>
      </c>
      <c r="H209" s="106">
        <f>0/1000*1</f>
        <v>0</v>
      </c>
      <c r="I209" s="89">
        <f t="shared" si="97"/>
        <v>0</v>
      </c>
      <c r="J209" s="26" t="str">
        <f t="shared" si="98"/>
        <v>N/A</v>
      </c>
      <c r="K209" s="106">
        <f>0/1000*1</f>
        <v>0</v>
      </c>
      <c r="L209" s="89">
        <f t="shared" si="99"/>
        <v>0</v>
      </c>
      <c r="M209" s="27" t="str">
        <f t="shared" si="100"/>
        <v>N/A</v>
      </c>
      <c r="N209" s="105">
        <f>0/1000*1</f>
        <v>0</v>
      </c>
      <c r="O209" s="106">
        <f>0/1000*1</f>
        <v>0</v>
      </c>
      <c r="P209" s="89">
        <f t="shared" si="101"/>
        <v>0</v>
      </c>
      <c r="Q209" s="26" t="str">
        <f t="shared" si="102"/>
        <v>N/A</v>
      </c>
      <c r="R209" s="106">
        <f>0/1000*1</f>
        <v>0</v>
      </c>
      <c r="S209" s="89">
        <f t="shared" si="103"/>
        <v>0</v>
      </c>
      <c r="T209" s="27" t="str">
        <f t="shared" si="104"/>
        <v>N/A</v>
      </c>
      <c r="U209" s="105">
        <f>0/1000*1</f>
        <v>0</v>
      </c>
      <c r="V209" s="106">
        <f>0.7/1000*1</f>
        <v>6.9999999999999999E-4</v>
      </c>
      <c r="W209" s="89">
        <f t="shared" si="105"/>
        <v>-6.9999999999999999E-4</v>
      </c>
      <c r="X209" s="26">
        <f t="shared" si="106"/>
        <v>-1</v>
      </c>
      <c r="Y209" s="106">
        <f>0/1000*1</f>
        <v>0</v>
      </c>
      <c r="Z209" s="89">
        <f t="shared" si="107"/>
        <v>0</v>
      </c>
      <c r="AA209" s="27" t="str">
        <f t="shared" si="108"/>
        <v>N/A</v>
      </c>
      <c r="AB209" s="107">
        <f>0/1000*1</f>
        <v>0</v>
      </c>
      <c r="AC209" s="1"/>
      <c r="AD209" s="1"/>
      <c r="AE209" s="1"/>
      <c r="AF209" s="1"/>
      <c r="AG209" s="1"/>
      <c r="AH209" s="1"/>
      <c r="AI209" s="1"/>
    </row>
    <row r="210" spans="1:35" ht="14.25" hidden="1" outlineLevel="1" x14ac:dyDescent="0.2">
      <c r="A210" s="1"/>
      <c r="B210" s="3"/>
      <c r="C210" s="3"/>
      <c r="D210" s="3" t="s">
        <v>67</v>
      </c>
      <c r="E210" s="3" t="s">
        <v>76</v>
      </c>
      <c r="F210" s="3">
        <v>100</v>
      </c>
      <c r="G210" s="105">
        <f>0/1000*1</f>
        <v>0</v>
      </c>
      <c r="H210" s="106">
        <f>0/1000*1</f>
        <v>0</v>
      </c>
      <c r="I210" s="89">
        <f t="shared" si="97"/>
        <v>0</v>
      </c>
      <c r="J210" s="26" t="str">
        <f t="shared" si="98"/>
        <v>N/A</v>
      </c>
      <c r="K210" s="106">
        <f>0/1000*1</f>
        <v>0</v>
      </c>
      <c r="L210" s="89">
        <f t="shared" si="99"/>
        <v>0</v>
      </c>
      <c r="M210" s="27" t="str">
        <f t="shared" si="100"/>
        <v>N/A</v>
      </c>
      <c r="N210" s="105">
        <f>0/1000*1</f>
        <v>0</v>
      </c>
      <c r="O210" s="106">
        <f>0/1000*1</f>
        <v>0</v>
      </c>
      <c r="P210" s="89">
        <f t="shared" si="101"/>
        <v>0</v>
      </c>
      <c r="Q210" s="26" t="str">
        <f t="shared" si="102"/>
        <v>N/A</v>
      </c>
      <c r="R210" s="106">
        <f>0/1000*1</f>
        <v>0</v>
      </c>
      <c r="S210" s="89">
        <f t="shared" si="103"/>
        <v>0</v>
      </c>
      <c r="T210" s="27" t="str">
        <f t="shared" si="104"/>
        <v>N/A</v>
      </c>
      <c r="U210" s="105">
        <f>11898.22/1000*1</f>
        <v>11.898219999999998</v>
      </c>
      <c r="V210" s="106">
        <f>0/1000*1</f>
        <v>0</v>
      </c>
      <c r="W210" s="89">
        <f t="shared" si="105"/>
        <v>11.898219999999998</v>
      </c>
      <c r="X210" s="26" t="str">
        <f t="shared" si="106"/>
        <v>N/A</v>
      </c>
      <c r="Y210" s="106">
        <f>11898.22/1000*1</f>
        <v>11.898219999999998</v>
      </c>
      <c r="Z210" s="89">
        <f t="shared" si="107"/>
        <v>0</v>
      </c>
      <c r="AA210" s="27">
        <f t="shared" si="108"/>
        <v>0</v>
      </c>
      <c r="AB210" s="107">
        <f>11898.22/1000*1</f>
        <v>11.898219999999998</v>
      </c>
      <c r="AC210" s="1"/>
      <c r="AD210" s="1"/>
      <c r="AE210" s="1"/>
      <c r="AF210" s="1"/>
      <c r="AG210" s="1"/>
      <c r="AH210" s="1"/>
      <c r="AI210" s="1"/>
    </row>
    <row r="211" spans="1:35" ht="14.25" hidden="1" outlineLevel="1" x14ac:dyDescent="0.2">
      <c r="A211" s="1"/>
      <c r="B211" s="3"/>
      <c r="C211" s="3"/>
      <c r="D211" s="3" t="s">
        <v>67</v>
      </c>
      <c r="E211" s="3" t="s">
        <v>77</v>
      </c>
      <c r="F211" s="3"/>
      <c r="G211" s="105">
        <f>-0.03/1000*1</f>
        <v>-2.9999999999999997E-5</v>
      </c>
      <c r="H211" s="106">
        <f>1450.5/1000*1</f>
        <v>1.4504999999999999</v>
      </c>
      <c r="I211" s="89">
        <f t="shared" si="97"/>
        <v>-1.4505299999999999</v>
      </c>
      <c r="J211" s="26">
        <f t="shared" si="98"/>
        <v>-1.0000206825232678</v>
      </c>
      <c r="K211" s="106">
        <f>0/1000*1</f>
        <v>0</v>
      </c>
      <c r="L211" s="89">
        <f t="shared" si="99"/>
        <v>2.9999999999999997E-5</v>
      </c>
      <c r="M211" s="27" t="str">
        <f t="shared" si="100"/>
        <v>N/A</v>
      </c>
      <c r="N211" s="105">
        <f>-0.02/1000*1</f>
        <v>-2.0000000000000002E-5</v>
      </c>
      <c r="O211" s="106">
        <f>1450.5/1000*1</f>
        <v>1.4504999999999999</v>
      </c>
      <c r="P211" s="89">
        <f t="shared" si="101"/>
        <v>-1.4505199999999998</v>
      </c>
      <c r="Q211" s="26">
        <f t="shared" si="102"/>
        <v>-1.0000137883488451</v>
      </c>
      <c r="R211" s="106">
        <f>0.02/1000*1</f>
        <v>2.0000000000000002E-5</v>
      </c>
      <c r="S211" s="89">
        <f t="shared" si="103"/>
        <v>4.0000000000000003E-5</v>
      </c>
      <c r="T211" s="27">
        <f t="shared" si="104"/>
        <v>2</v>
      </c>
      <c r="U211" s="105">
        <f>58249.77/1000*1</f>
        <v>58.249769999999998</v>
      </c>
      <c r="V211" s="106">
        <f>1450.36/1000*1</f>
        <v>1.4503599999999999</v>
      </c>
      <c r="W211" s="89">
        <f t="shared" si="105"/>
        <v>56.799409999999995</v>
      </c>
      <c r="X211" s="26" t="str">
        <f t="shared" si="106"/>
        <v>N/A</v>
      </c>
      <c r="Y211" s="106">
        <f>58249.81/1000*1</f>
        <v>58.249809999999997</v>
      </c>
      <c r="Z211" s="89">
        <f t="shared" si="107"/>
        <v>3.9999999998485691E-5</v>
      </c>
      <c r="AA211" s="27">
        <f t="shared" si="108"/>
        <v>6.8669751881569561E-7</v>
      </c>
      <c r="AB211" s="107">
        <f>58249.81/1000*1</f>
        <v>58.249809999999997</v>
      </c>
      <c r="AC211" s="1"/>
      <c r="AD211" s="1"/>
      <c r="AE211" s="1"/>
      <c r="AF211" s="1"/>
      <c r="AG211" s="1"/>
      <c r="AH211" s="1"/>
      <c r="AI211" s="1"/>
    </row>
    <row r="212" spans="1:35" ht="14.25" hidden="1" outlineLevel="1" x14ac:dyDescent="0.2">
      <c r="A212" s="1"/>
      <c r="B212" s="3"/>
      <c r="C212" s="3"/>
      <c r="D212" s="3"/>
      <c r="E212" s="3"/>
      <c r="F212" s="3"/>
      <c r="G212" s="105"/>
      <c r="H212" s="106"/>
      <c r="I212" s="89"/>
      <c r="J212" s="26"/>
      <c r="K212" s="106"/>
      <c r="L212" s="89"/>
      <c r="M212" s="27"/>
      <c r="N212" s="105"/>
      <c r="O212" s="106"/>
      <c r="P212" s="89"/>
      <c r="Q212" s="26"/>
      <c r="R212" s="106"/>
      <c r="S212" s="89"/>
      <c r="T212" s="27"/>
      <c r="U212" s="105"/>
      <c r="V212" s="106"/>
      <c r="W212" s="89"/>
      <c r="X212" s="26"/>
      <c r="Y212" s="106"/>
      <c r="Z212" s="89"/>
      <c r="AA212" s="27"/>
      <c r="AB212" s="107"/>
      <c r="AC212" s="1"/>
      <c r="AD212" s="1"/>
      <c r="AE212" s="1"/>
      <c r="AF212" s="1"/>
      <c r="AG212" s="1"/>
      <c r="AH212" s="1"/>
      <c r="AI212" s="1"/>
    </row>
    <row r="213" spans="1:35" ht="14.25" hidden="1" outlineLevel="1" x14ac:dyDescent="0.2">
      <c r="A213" s="1"/>
      <c r="B213" s="3"/>
      <c r="C213" s="3"/>
      <c r="D213" s="3"/>
      <c r="E213" s="3"/>
      <c r="F213" s="3"/>
      <c r="G213" s="105"/>
      <c r="H213" s="106"/>
      <c r="I213" s="89"/>
      <c r="J213" s="26"/>
      <c r="K213" s="106"/>
      <c r="L213" s="89"/>
      <c r="M213" s="27"/>
      <c r="N213" s="105"/>
      <c r="O213" s="106"/>
      <c r="P213" s="89"/>
      <c r="Q213" s="26"/>
      <c r="R213" s="106"/>
      <c r="S213" s="89"/>
      <c r="T213" s="27"/>
      <c r="U213" s="105"/>
      <c r="V213" s="106"/>
      <c r="W213" s="89"/>
      <c r="X213" s="26"/>
      <c r="Y213" s="106"/>
      <c r="Z213" s="89"/>
      <c r="AA213" s="27"/>
      <c r="AB213" s="107"/>
      <c r="AC213" s="1"/>
      <c r="AD213" s="1"/>
      <c r="AE213" s="1"/>
      <c r="AF213" s="1"/>
      <c r="AG213" s="1"/>
      <c r="AH213" s="1"/>
      <c r="AI213" s="1"/>
    </row>
    <row r="214" spans="1:35" ht="14.25" collapsed="1" x14ac:dyDescent="0.2">
      <c r="A214" s="1"/>
      <c r="B214" s="3" t="s">
        <v>73</v>
      </c>
      <c r="C214" s="3"/>
      <c r="D214" s="3"/>
      <c r="E214" s="3"/>
      <c r="F214" s="3"/>
      <c r="G214" s="102">
        <f>SUM(G215:G216)</f>
        <v>-3.2765200000000001</v>
      </c>
      <c r="H214" s="103">
        <f>SUM(H215:H216)</f>
        <v>11.21175</v>
      </c>
      <c r="I214" s="89">
        <f>G214-H214</f>
        <v>-14.48827</v>
      </c>
      <c r="J214" s="26">
        <f>IF(ISERROR(I214/H214),"N/A",IF(ABS(I214/H214)&gt;5,"N/A",I214/H214))</f>
        <v>-1.2922398376703013</v>
      </c>
      <c r="K214" s="103">
        <f>SUM(K215:K216)</f>
        <v>5.8579999999999997</v>
      </c>
      <c r="L214" s="89">
        <f>K214-G214</f>
        <v>9.1345200000000002</v>
      </c>
      <c r="M214" s="27">
        <f>IF(ISERROR(L214/K214),"N/A",IF(ABS(L214/K214)&gt;5,"N/A",L214/K214))</f>
        <v>1.559324001365654</v>
      </c>
      <c r="N214" s="102">
        <f>SUM(N215:N216)</f>
        <v>-3.2765200000000001</v>
      </c>
      <c r="O214" s="103">
        <f>SUM(O215:O216)</f>
        <v>11.21175</v>
      </c>
      <c r="P214" s="89">
        <f>N214-O214</f>
        <v>-14.48827</v>
      </c>
      <c r="Q214" s="26">
        <f>IF(ISERROR(P214/O214),"N/A",IF(ABS(P214/O214)&gt;5,"N/A",P214/O214))</f>
        <v>-1.2922398376703013</v>
      </c>
      <c r="R214" s="103">
        <f>SUM(R215:R216)</f>
        <v>5.8579999999999997</v>
      </c>
      <c r="S214" s="89">
        <f>R214-N214</f>
        <v>9.1345200000000002</v>
      </c>
      <c r="T214" s="27">
        <f>IF(ISERROR(S214/R214),"N/A",IF(ABS(S214/R214)&gt;5,"N/A",S214/R214))</f>
        <v>1.559324001365654</v>
      </c>
      <c r="U214" s="102">
        <f>SUM(U215:U216)</f>
        <v>2.8399999999999998E-2</v>
      </c>
      <c r="V214" s="108">
        <f>SUM(V215:V216)</f>
        <v>22.42145</v>
      </c>
      <c r="W214" s="89">
        <f>U214-V214</f>
        <v>-22.393049999999999</v>
      </c>
      <c r="X214" s="26">
        <f>IF(ISERROR(W214/V214),"N/A",IF(ABS(W214/V214)&gt;5,"N/A",W214/V214))</f>
        <v>-0.99873335578207467</v>
      </c>
      <c r="Y214" s="103">
        <f>SUM(Y215:Y216)</f>
        <v>9.1629199999999997</v>
      </c>
      <c r="Z214" s="89">
        <f>Y214-U214</f>
        <v>9.1345200000000002</v>
      </c>
      <c r="AA214" s="27">
        <f>IF(ISERROR(Z214/Y214),"N/A",IF(ABS(Z214/Y214)&gt;5,"N/A",Z214/Y214))</f>
        <v>0.99690055135262567</v>
      </c>
      <c r="AB214" s="104">
        <f>SUM(AB215:AB216)</f>
        <v>24.78492</v>
      </c>
      <c r="AC214" s="1"/>
      <c r="AD214" s="1"/>
      <c r="AE214" s="1"/>
      <c r="AF214" s="1"/>
      <c r="AG214" s="1"/>
      <c r="AH214" s="1"/>
      <c r="AI214" s="1"/>
    </row>
    <row r="215" spans="1:35" ht="14.25" hidden="1" outlineLevel="1" x14ac:dyDescent="0.2">
      <c r="A215" s="1"/>
      <c r="B215" s="3"/>
      <c r="C215" s="3"/>
      <c r="D215" s="3" t="s">
        <v>67</v>
      </c>
      <c r="E215" s="3" t="s">
        <v>75</v>
      </c>
      <c r="F215" s="3">
        <v>930</v>
      </c>
      <c r="G215" s="105">
        <f>-3276.52/1000*1</f>
        <v>-3.2765200000000001</v>
      </c>
      <c r="H215" s="106">
        <f>11211.75/1000*1</f>
        <v>11.21175</v>
      </c>
      <c r="I215" s="89">
        <f>G215-H215</f>
        <v>-14.48827</v>
      </c>
      <c r="J215" s="26">
        <f>IF(ISERROR(I215/H215),"N/A",IF(ABS(I215/H215)&gt;5,"N/A",I215/H215))</f>
        <v>-1.2922398376703013</v>
      </c>
      <c r="K215" s="106">
        <f>5858/1000*1</f>
        <v>5.8579999999999997</v>
      </c>
      <c r="L215" s="89">
        <f>K215-G215</f>
        <v>9.1345200000000002</v>
      </c>
      <c r="M215" s="27">
        <f>IF(ISERROR(L215/K215),"N/A",IF(ABS(L215/K215)&gt;5,"N/A",L215/K215))</f>
        <v>1.559324001365654</v>
      </c>
      <c r="N215" s="105">
        <f>-3276.52/1000*1</f>
        <v>-3.2765200000000001</v>
      </c>
      <c r="O215" s="106">
        <f>11211.75/1000*1</f>
        <v>11.21175</v>
      </c>
      <c r="P215" s="89">
        <f>N215-O215</f>
        <v>-14.48827</v>
      </c>
      <c r="Q215" s="26">
        <f>IF(ISERROR(P215/O215),"N/A",IF(ABS(P215/O215)&gt;5,"N/A",P215/O215))</f>
        <v>-1.2922398376703013</v>
      </c>
      <c r="R215" s="106">
        <f>5858/1000*1</f>
        <v>5.8579999999999997</v>
      </c>
      <c r="S215" s="89">
        <f>R215-N215</f>
        <v>9.1345200000000002</v>
      </c>
      <c r="T215" s="27">
        <f>IF(ISERROR(S215/R215),"N/A",IF(ABS(S215/R215)&gt;5,"N/A",S215/R215))</f>
        <v>1.559324001365654</v>
      </c>
      <c r="U215" s="105">
        <f>28.4/1000*1</f>
        <v>2.8399999999999998E-2</v>
      </c>
      <c r="V215" s="106">
        <f>22421.45/1000*1</f>
        <v>22.42145</v>
      </c>
      <c r="W215" s="89">
        <f>U215-V215</f>
        <v>-22.393049999999999</v>
      </c>
      <c r="X215" s="26">
        <f>IF(ISERROR(W215/V215),"N/A",IF(ABS(W215/V215)&gt;5,"N/A",W215/V215))</f>
        <v>-0.99873335578207467</v>
      </c>
      <c r="Y215" s="106">
        <f>9162.92/1000*1</f>
        <v>9.1629199999999997</v>
      </c>
      <c r="Z215" s="89">
        <f>Y215-U215</f>
        <v>9.1345200000000002</v>
      </c>
      <c r="AA215" s="27">
        <f>IF(ISERROR(Z215/Y215),"N/A",IF(ABS(Z215/Y215)&gt;5,"N/A",Z215/Y215))</f>
        <v>0.99690055135262567</v>
      </c>
      <c r="AB215" s="107">
        <f>24784.92/1000*1</f>
        <v>24.78492</v>
      </c>
      <c r="AC215" s="1"/>
      <c r="AD215" s="1"/>
      <c r="AE215" s="1"/>
      <c r="AF215" s="1"/>
      <c r="AG215" s="1"/>
      <c r="AH215" s="1"/>
      <c r="AI215" s="1"/>
    </row>
    <row r="216" spans="1:35" ht="14.25" hidden="1" outlineLevel="1" x14ac:dyDescent="0.2">
      <c r="A216" s="1"/>
      <c r="B216" s="3"/>
      <c r="C216" s="3"/>
      <c r="D216" s="3"/>
      <c r="E216" s="3"/>
      <c r="F216" s="3"/>
      <c r="G216" s="105"/>
      <c r="H216" s="106"/>
      <c r="I216" s="89"/>
      <c r="J216" s="26"/>
      <c r="K216" s="106"/>
      <c r="L216" s="89"/>
      <c r="M216" s="27"/>
      <c r="N216" s="105"/>
      <c r="O216" s="106"/>
      <c r="P216" s="89"/>
      <c r="Q216" s="26"/>
      <c r="R216" s="106"/>
      <c r="S216" s="89"/>
      <c r="T216" s="27"/>
      <c r="U216" s="105"/>
      <c r="V216" s="106"/>
      <c r="W216" s="89"/>
      <c r="X216" s="26"/>
      <c r="Y216" s="106"/>
      <c r="Z216" s="89"/>
      <c r="AA216" s="27"/>
      <c r="AB216" s="107"/>
      <c r="AC216" s="1"/>
      <c r="AD216" s="1"/>
      <c r="AE216" s="1"/>
      <c r="AF216" s="1"/>
      <c r="AG216" s="1"/>
      <c r="AH216" s="1"/>
      <c r="AI216" s="1"/>
    </row>
    <row r="217" spans="1:35" ht="14.25" hidden="1" outlineLevel="1" x14ac:dyDescent="0.2">
      <c r="A217" s="1"/>
      <c r="B217" s="3"/>
      <c r="C217" s="3"/>
      <c r="D217" s="3"/>
      <c r="E217" s="3"/>
      <c r="F217" s="3"/>
      <c r="G217" s="105"/>
      <c r="H217" s="106"/>
      <c r="I217" s="89"/>
      <c r="J217" s="26"/>
      <c r="K217" s="106"/>
      <c r="L217" s="89"/>
      <c r="M217" s="27"/>
      <c r="N217" s="105"/>
      <c r="O217" s="106"/>
      <c r="P217" s="89"/>
      <c r="Q217" s="26"/>
      <c r="R217" s="106"/>
      <c r="S217" s="89"/>
      <c r="T217" s="27"/>
      <c r="U217" s="105"/>
      <c r="V217" s="106"/>
      <c r="W217" s="89"/>
      <c r="X217" s="26"/>
      <c r="Y217" s="106"/>
      <c r="Z217" s="89"/>
      <c r="AA217" s="27"/>
      <c r="AB217" s="107"/>
      <c r="AC217" s="1"/>
      <c r="AD217" s="1"/>
      <c r="AE217" s="1"/>
      <c r="AF217" s="1"/>
      <c r="AG217" s="1"/>
      <c r="AH217" s="1"/>
      <c r="AI217" s="1"/>
    </row>
    <row r="218" spans="1:35" ht="14.25" hidden="1" outlineLevel="1" x14ac:dyDescent="0.2">
      <c r="A218" s="1"/>
      <c r="B218" s="3"/>
      <c r="C218" s="3"/>
      <c r="D218" s="3"/>
      <c r="E218" s="3"/>
      <c r="F218" s="3"/>
      <c r="G218" s="105"/>
      <c r="H218" s="106"/>
      <c r="I218" s="89"/>
      <c r="J218" s="26"/>
      <c r="K218" s="106"/>
      <c r="L218" s="89"/>
      <c r="M218" s="27"/>
      <c r="N218" s="105"/>
      <c r="O218" s="106"/>
      <c r="P218" s="89"/>
      <c r="Q218" s="26"/>
      <c r="R218" s="106"/>
      <c r="S218" s="89"/>
      <c r="T218" s="27"/>
      <c r="U218" s="105"/>
      <c r="V218" s="106"/>
      <c r="W218" s="89"/>
      <c r="X218" s="26"/>
      <c r="Y218" s="106"/>
      <c r="Z218" s="89"/>
      <c r="AA218" s="27"/>
      <c r="AB218" s="107"/>
      <c r="AC218" s="1"/>
      <c r="AD218" s="1"/>
      <c r="AE218" s="1"/>
      <c r="AF218" s="1"/>
      <c r="AG218" s="1"/>
      <c r="AH218" s="1"/>
      <c r="AI218" s="1"/>
    </row>
    <row r="219" spans="1:35" ht="14.25" collapsed="1" x14ac:dyDescent="0.2">
      <c r="A219" s="1"/>
      <c r="B219" s="3" t="s">
        <v>74</v>
      </c>
      <c r="C219" s="3"/>
      <c r="D219" s="3"/>
      <c r="E219" s="3"/>
      <c r="F219" s="3"/>
      <c r="G219" s="105">
        <f>52805.85/1000*1</f>
        <v>52.80585</v>
      </c>
      <c r="H219" s="106">
        <f>18365.2/1000*1</f>
        <v>18.365200000000002</v>
      </c>
      <c r="I219" s="89">
        <f>G219-H219</f>
        <v>34.440649999999998</v>
      </c>
      <c r="J219" s="26">
        <f>IF(ISERROR(I219/H219),"N/A",IF(ABS(I219/H219)&gt;5,"N/A",I219/H219))</f>
        <v>1.8753212597739199</v>
      </c>
      <c r="K219" s="106">
        <f>69534.61727/1000*1</f>
        <v>69.534617269999998</v>
      </c>
      <c r="L219" s="89">
        <f>K219-G219</f>
        <v>16.728767269999999</v>
      </c>
      <c r="M219" s="27">
        <f>IF(ISERROR(L219/K219),"N/A",IF(ABS(L219/K219)&gt;5,"N/A",L219/K219))</f>
        <v>0.24058185586961525</v>
      </c>
      <c r="N219" s="105">
        <f>52805.85/1000*1</f>
        <v>52.80585</v>
      </c>
      <c r="O219" s="106">
        <f>18365.2/1000*1</f>
        <v>18.365200000000002</v>
      </c>
      <c r="P219" s="89">
        <f>N219-O219</f>
        <v>34.440649999999998</v>
      </c>
      <c r="Q219" s="26">
        <f>IF(ISERROR(P219/O219),"N/A",IF(ABS(P219/O219)&gt;5,"N/A",P219/O219))</f>
        <v>1.8753212597739199</v>
      </c>
      <c r="R219" s="106">
        <f>69534.61727/1000*1</f>
        <v>69.534617269999998</v>
      </c>
      <c r="S219" s="89">
        <f>R219-N219</f>
        <v>16.728767269999999</v>
      </c>
      <c r="T219" s="27">
        <f>IF(ISERROR(S219/R219),"N/A",IF(ABS(S219/R219)&gt;5,"N/A",S219/R219))</f>
        <v>0.24058185586961525</v>
      </c>
      <c r="U219" s="105">
        <f>34904.27/1000*1</f>
        <v>34.904269999999997</v>
      </c>
      <c r="V219" s="106">
        <f>87197.31/1000*1</f>
        <v>87.197310000000002</v>
      </c>
      <c r="W219" s="89">
        <f>U219-V219</f>
        <v>-52.293040000000005</v>
      </c>
      <c r="X219" s="26">
        <f>IF(ISERROR(W219/V219),"N/A",IF(ABS(W219/V219)&gt;5,"N/A",W219/V219))</f>
        <v>-0.5997093258954892</v>
      </c>
      <c r="Y219" s="106">
        <f>51633.03727/1000*1</f>
        <v>51.633037270000003</v>
      </c>
      <c r="Z219" s="89">
        <f>Y219-U219</f>
        <v>16.728767270000006</v>
      </c>
      <c r="AA219" s="27">
        <f>IF(ISERROR(Z219/Y219),"N/A",IF(ABS(Z219/Y219)&gt;5,"N/A",Z219/Y219))</f>
        <v>0.32399347693845254</v>
      </c>
      <c r="AB219" s="107">
        <f>168652.57553/1000*1</f>
        <v>168.65257553000001</v>
      </c>
      <c r="AC219" s="1"/>
      <c r="AD219" s="1"/>
      <c r="AE219" s="1"/>
      <c r="AF219" s="1"/>
      <c r="AG219" s="1"/>
      <c r="AH219" s="1"/>
      <c r="AI219" s="1"/>
    </row>
    <row r="220" spans="1:35" ht="5.0999999999999996" customHeight="1" x14ac:dyDescent="0.2">
      <c r="A220" s="1"/>
      <c r="B220" s="3"/>
      <c r="C220" s="3"/>
      <c r="D220" s="3"/>
      <c r="E220" s="3"/>
      <c r="F220" s="3"/>
      <c r="G220" s="109"/>
      <c r="H220" s="110"/>
      <c r="I220" s="111"/>
      <c r="J220" s="38"/>
      <c r="K220" s="110"/>
      <c r="L220" s="111"/>
      <c r="M220" s="39"/>
      <c r="N220" s="109"/>
      <c r="O220" s="110"/>
      <c r="P220" s="111"/>
      <c r="Q220" s="38"/>
      <c r="R220" s="110"/>
      <c r="S220" s="111"/>
      <c r="T220" s="39"/>
      <c r="U220" s="109"/>
      <c r="V220" s="110"/>
      <c r="W220" s="111"/>
      <c r="X220" s="38"/>
      <c r="Y220" s="110"/>
      <c r="Z220" s="111"/>
      <c r="AA220" s="39"/>
      <c r="AB220" s="112"/>
      <c r="AC220" s="1"/>
      <c r="AD220" s="1"/>
      <c r="AE220" s="1"/>
      <c r="AF220" s="1"/>
      <c r="AG220" s="1"/>
      <c r="AH220" s="1"/>
      <c r="AI220" s="1"/>
    </row>
    <row r="221" spans="1:35" x14ac:dyDescent="0.25">
      <c r="A221" s="1"/>
      <c r="B221" s="2" t="s">
        <v>35</v>
      </c>
      <c r="C221" s="3"/>
      <c r="D221" s="3"/>
      <c r="E221" s="3"/>
      <c r="F221" s="3"/>
      <c r="G221" s="105">
        <f>SUM(G153,G159,G177,G180,G185,G189,G192,G202,G206,G214,G219)</f>
        <v>103.31843000000001</v>
      </c>
      <c r="H221" s="106">
        <f>SUM(H153,H159,H177,H180,H185,H189,H192,H202,H206,H214,H219)</f>
        <v>171.72226999999998</v>
      </c>
      <c r="I221" s="89">
        <f>G221-H221</f>
        <v>-68.403839999999974</v>
      </c>
      <c r="J221" s="26">
        <f>IF(ISERROR(I221/H221),"N/A",IF(ABS(I221/H221)&gt;5,"N/A",I221/H221))</f>
        <v>-0.39833994740460849</v>
      </c>
      <c r="K221" s="106">
        <f>SUM(K153,K159,K177,K180,K185,K189,K192,K202,K206,K214,K219)</f>
        <v>141.954773195</v>
      </c>
      <c r="L221" s="89">
        <f>K221-G221</f>
        <v>38.636343194999995</v>
      </c>
      <c r="M221" s="27">
        <f>IF(ISERROR(L221/K221),"N/A",IF(ABS(L221/K221)&gt;5,"N/A",L221/K221))</f>
        <v>0.2721736108297404</v>
      </c>
      <c r="N221" s="105">
        <f>SUM(N153,N159,N177,N180,N185,N189,N192,N202,N206,N214,N219)</f>
        <v>266.68772999999999</v>
      </c>
      <c r="O221" s="106">
        <f>SUM(O153,O159,O177,O180,O185,O189,O192,O202,O206,O214,O219)</f>
        <v>261.20364999999998</v>
      </c>
      <c r="P221" s="89">
        <f>N221-O221</f>
        <v>5.4840800000000058</v>
      </c>
      <c r="Q221" s="26">
        <f>IF(ISERROR(P221/O221),"N/A",IF(ABS(P221/O221)&gt;5,"N/A",P221/O221))</f>
        <v>2.0995418708735527E-2</v>
      </c>
      <c r="R221" s="106">
        <f>SUM(R153,R159,R177,R180,R185,R189,R192,R202,R206,R214,R219)</f>
        <v>285.78164912</v>
      </c>
      <c r="S221" s="89">
        <f>R221-N221</f>
        <v>19.09391912000001</v>
      </c>
      <c r="T221" s="27">
        <f>IF(ISERROR(S221/R221),"N/A",IF(ABS(S221/R221)&gt;5,"N/A",S221/R221))</f>
        <v>6.6812964299126337E-2</v>
      </c>
      <c r="U221" s="105">
        <f>SUM(U153,U159,U177,U180,U185,U189,U192,U202,U206,U214,U219)</f>
        <v>504.85458999999997</v>
      </c>
      <c r="V221" s="106">
        <f>SUM(V153,V159,V177,V180,V185,V189,V192,V202,V206,V214,V219)</f>
        <v>711.60846000000004</v>
      </c>
      <c r="W221" s="89">
        <f>U221-V221</f>
        <v>-206.75387000000006</v>
      </c>
      <c r="X221" s="26">
        <f>IF(ISERROR(W221/V221),"N/A",IF(ABS(W221/V221)&gt;5,"N/A",W221/V221))</f>
        <v>-0.29054442382542789</v>
      </c>
      <c r="Y221" s="106">
        <f>SUM(Y153,Y159,Y177,Y180,Y185,Y189,Y192,Y202,Y206,Y214,Y219)</f>
        <v>523.94850912000004</v>
      </c>
      <c r="Z221" s="89">
        <f>Y221-U221</f>
        <v>19.093919120000066</v>
      </c>
      <c r="AA221" s="27">
        <f>IF(ISERROR(Z221/Y221),"N/A",IF(ABS(Z221/Y221)&gt;5,"N/A",Z221/Y221))</f>
        <v>3.644235795626051E-2</v>
      </c>
      <c r="AB221" s="107">
        <f>SUM(AB153,AB159,AB177,AB180,AB185,AB189,AB192,AB202,AB206,AB214,AB219)</f>
        <v>1184.8954146909998</v>
      </c>
      <c r="AC221" s="1"/>
      <c r="AD221" s="1"/>
      <c r="AE221" s="1"/>
      <c r="AF221" s="1"/>
      <c r="AG221" s="1"/>
      <c r="AH221" s="1"/>
      <c r="AI221" s="1"/>
    </row>
    <row r="222" spans="1:35" ht="5.0999999999999996" customHeight="1" x14ac:dyDescent="0.2">
      <c r="A222" s="1"/>
      <c r="B222" s="3"/>
      <c r="C222" s="3"/>
      <c r="D222" s="3"/>
      <c r="E222" s="3"/>
      <c r="F222" s="3"/>
      <c r="G222" s="105"/>
      <c r="H222" s="106"/>
      <c r="I222" s="89"/>
      <c r="J222" s="26"/>
      <c r="K222" s="106"/>
      <c r="L222" s="89"/>
      <c r="M222" s="27"/>
      <c r="N222" s="105"/>
      <c r="O222" s="106"/>
      <c r="P222" s="89"/>
      <c r="Q222" s="26"/>
      <c r="R222" s="106"/>
      <c r="S222" s="89"/>
      <c r="T222" s="27"/>
      <c r="U222" s="105"/>
      <c r="V222" s="106"/>
      <c r="W222" s="89"/>
      <c r="X222" s="26"/>
      <c r="Y222" s="106"/>
      <c r="Z222" s="89"/>
      <c r="AA222" s="27"/>
      <c r="AB222" s="107"/>
      <c r="AC222" s="1"/>
      <c r="AD222" s="1"/>
      <c r="AE222" s="1"/>
      <c r="AF222" s="1"/>
      <c r="AG222" s="1"/>
      <c r="AH222" s="1"/>
      <c r="AI222" s="1"/>
    </row>
    <row r="223" spans="1:35" x14ac:dyDescent="0.25">
      <c r="A223" s="1"/>
      <c r="B223" s="3"/>
      <c r="C223" s="3"/>
      <c r="D223" s="3"/>
      <c r="E223" s="3"/>
      <c r="F223" s="3"/>
      <c r="G223" s="95"/>
      <c r="H223" s="45"/>
      <c r="I223" s="45"/>
      <c r="J223" s="45"/>
      <c r="K223" s="45"/>
      <c r="L223" s="45"/>
      <c r="M223" s="46"/>
      <c r="N223" s="95"/>
      <c r="O223" s="45"/>
      <c r="P223" s="45"/>
      <c r="Q223" s="45"/>
      <c r="R223" s="45"/>
      <c r="S223" s="45"/>
      <c r="T223" s="46"/>
      <c r="U223" s="95"/>
      <c r="V223" s="45"/>
      <c r="W223" s="45"/>
      <c r="X223" s="45"/>
      <c r="Y223" s="45"/>
      <c r="Z223" s="45"/>
      <c r="AA223" s="46"/>
      <c r="AB223" s="96"/>
      <c r="AC223" s="1"/>
      <c r="AD223" s="1"/>
      <c r="AE223" s="1"/>
      <c r="AF223" s="1"/>
      <c r="AG223" s="1"/>
      <c r="AH223" s="1"/>
      <c r="AI223" s="1"/>
    </row>
    <row r="224" spans="1:35" ht="14.25" x14ac:dyDescent="0.2">
      <c r="A224" s="1"/>
      <c r="B224" s="3" t="s">
        <v>49</v>
      </c>
      <c r="C224" s="3"/>
      <c r="D224" s="3"/>
      <c r="E224" s="3"/>
      <c r="F224" s="3"/>
      <c r="G224" s="102">
        <f>SUM(G225:G231)</f>
        <v>60.717110000000005</v>
      </c>
      <c r="H224" s="103">
        <f>SUM(H225:H231)</f>
        <v>61.747959999999992</v>
      </c>
      <c r="I224" s="89">
        <f t="shared" ref="I224:I230" si="109">G224-H224</f>
        <v>-1.0308499999999867</v>
      </c>
      <c r="J224" s="26">
        <f t="shared" ref="J224:J230" si="110">IF(ISERROR(I224/H224),"N/A",IF(ABS(I224/H224)&gt;5,"N/A",I224/H224))</f>
        <v>-1.6694478651602205E-2</v>
      </c>
      <c r="K224" s="103">
        <f>SUM(K225:K231)</f>
        <v>103.58883429400001</v>
      </c>
      <c r="L224" s="89">
        <f t="shared" ref="L224:L230" si="111">K224-G224</f>
        <v>42.871724294000003</v>
      </c>
      <c r="M224" s="27">
        <f t="shared" ref="M224:M230" si="112">IF(ISERROR(L224/K224),"N/A",IF(ABS(L224/K224)&gt;5,"N/A",L224/K224))</f>
        <v>0.41386433765944197</v>
      </c>
      <c r="N224" s="102">
        <f>SUM(N225:N231)</f>
        <v>176.71127999999999</v>
      </c>
      <c r="O224" s="103">
        <f>SUM(O225:O231)</f>
        <v>237.03397000000001</v>
      </c>
      <c r="P224" s="89">
        <f t="shared" ref="P224:P230" si="113">N224-O224</f>
        <v>-60.322690000000023</v>
      </c>
      <c r="Q224" s="26">
        <f t="shared" ref="Q224:Q230" si="114">IF(ISERROR(P224/O224),"N/A",IF(ABS(P224/O224)&gt;5,"N/A",P224/O224))</f>
        <v>-0.25448964129487439</v>
      </c>
      <c r="R224" s="103">
        <f>SUM(R225:R231)</f>
        <v>248.80737858799998</v>
      </c>
      <c r="S224" s="89">
        <f t="shared" ref="S224:S230" si="115">R224-N224</f>
        <v>72.09609858799999</v>
      </c>
      <c r="T224" s="27">
        <f t="shared" ref="T224:T230" si="116">IF(ISERROR(S224/R224),"N/A",IF(ABS(S224/R224)&gt;5,"N/A",S224/R224))</f>
        <v>0.28976672234220147</v>
      </c>
      <c r="U224" s="102">
        <f>SUM(U225:U231)</f>
        <v>390.26994000000002</v>
      </c>
      <c r="V224" s="103">
        <f>SUM(V225:V231)</f>
        <v>451.3605</v>
      </c>
      <c r="W224" s="89">
        <f t="shared" ref="W224:W230" si="117">U224-V224</f>
        <v>-61.090559999999982</v>
      </c>
      <c r="X224" s="26">
        <f t="shared" ref="X224:X230" si="118">IF(ISERROR(W224/V224),"N/A",IF(ABS(W224/V224)&gt;5,"N/A",W224/V224))</f>
        <v>-0.13534759909207825</v>
      </c>
      <c r="Y224" s="103">
        <f>SUM(Y225:Y231)</f>
        <v>462.36603858800004</v>
      </c>
      <c r="Z224" s="89">
        <f t="shared" ref="Z224:Z230" si="119">Y224-U224</f>
        <v>72.096098588000018</v>
      </c>
      <c r="AA224" s="27">
        <f t="shared" ref="AA224:AA230" si="120">IF(ISERROR(Z224/Y224),"N/A",IF(ABS(Z224/Y224)&gt;5,"N/A",Z224/Y224))</f>
        <v>0.15592862055390405</v>
      </c>
      <c r="AB224" s="104">
        <f>SUM(AB225:AB231)</f>
        <v>1015.9389542289999</v>
      </c>
      <c r="AC224" s="1"/>
      <c r="AD224" s="1"/>
      <c r="AE224" s="1"/>
      <c r="AF224" s="1"/>
      <c r="AG224" s="1"/>
      <c r="AH224" s="1"/>
      <c r="AI224" s="1"/>
    </row>
    <row r="225" spans="1:35" ht="14.25" hidden="1" outlineLevel="1" x14ac:dyDescent="0.2">
      <c r="A225" s="1"/>
      <c r="B225" s="3"/>
      <c r="C225" s="3"/>
      <c r="D225" s="3" t="s">
        <v>50</v>
      </c>
      <c r="E225" s="3" t="s">
        <v>79</v>
      </c>
      <c r="F225" s="3">
        <v>930</v>
      </c>
      <c r="G225" s="24">
        <f>26107.33/1000*1</f>
        <v>26.107330000000001</v>
      </c>
      <c r="H225" s="25">
        <f>28101.89/1000*1</f>
        <v>28.101890000000001</v>
      </c>
      <c r="I225" s="99">
        <f t="shared" si="109"/>
        <v>-1.9945599999999999</v>
      </c>
      <c r="J225" s="26">
        <f t="shared" si="110"/>
        <v>-7.0976009086933287E-2</v>
      </c>
      <c r="K225" s="25">
        <f>32467.55784/1000*1</f>
        <v>32.467557839999998</v>
      </c>
      <c r="L225" s="99">
        <f t="shared" si="111"/>
        <v>6.3602278399999967</v>
      </c>
      <c r="M225" s="27">
        <f t="shared" si="112"/>
        <v>0.19589486438564846</v>
      </c>
      <c r="N225" s="24">
        <f>79488.08/1000*1</f>
        <v>79.488079999999997</v>
      </c>
      <c r="O225" s="25">
        <f>120888.06/1000*1</f>
        <v>120.88806</v>
      </c>
      <c r="P225" s="99">
        <f t="shared" si="113"/>
        <v>-41.399979999999999</v>
      </c>
      <c r="Q225" s="26">
        <f t="shared" si="114"/>
        <v>-0.34246541800736979</v>
      </c>
      <c r="R225" s="25">
        <f>99738.07568/1000*1</f>
        <v>99.738075679999994</v>
      </c>
      <c r="S225" s="99">
        <f t="shared" si="115"/>
        <v>20.249995679999998</v>
      </c>
      <c r="T225" s="27">
        <f t="shared" si="116"/>
        <v>0.20303174632093524</v>
      </c>
      <c r="U225" s="24">
        <f>180834.74/1000*1</f>
        <v>180.83473999999998</v>
      </c>
      <c r="V225" s="25">
        <f>195062.88/1000*1</f>
        <v>195.06288000000001</v>
      </c>
      <c r="W225" s="99">
        <f t="shared" si="117"/>
        <v>-14.228140000000025</v>
      </c>
      <c r="X225" s="26">
        <f t="shared" si="118"/>
        <v>-7.2941299749086155E-2</v>
      </c>
      <c r="Y225" s="25">
        <f>201084.73568/1000*1</f>
        <v>201.08473568000002</v>
      </c>
      <c r="Z225" s="99">
        <f t="shared" si="119"/>
        <v>20.24999568000004</v>
      </c>
      <c r="AA225" s="27">
        <f t="shared" si="120"/>
        <v>0.10070379341087954</v>
      </c>
      <c r="AB225" s="28">
        <f>452514.786811/1000*1</f>
        <v>452.51478681100002</v>
      </c>
      <c r="AC225" s="1"/>
      <c r="AD225" s="1"/>
      <c r="AE225" s="1"/>
      <c r="AF225" s="1"/>
      <c r="AG225" s="1"/>
      <c r="AH225" s="1"/>
      <c r="AI225" s="1"/>
    </row>
    <row r="226" spans="1:35" ht="14.25" hidden="1" outlineLevel="1" x14ac:dyDescent="0.2">
      <c r="A226" s="1"/>
      <c r="B226" s="3"/>
      <c r="C226" s="3"/>
      <c r="D226" s="3" t="s">
        <v>50</v>
      </c>
      <c r="E226" s="3" t="s">
        <v>80</v>
      </c>
      <c r="F226" s="3">
        <v>930</v>
      </c>
      <c r="G226" s="24">
        <f>2988.02/1000*1</f>
        <v>2.9880200000000001</v>
      </c>
      <c r="H226" s="25">
        <f>2243.66/1000*1</f>
        <v>2.2436599999999998</v>
      </c>
      <c r="I226" s="99">
        <f t="shared" si="109"/>
        <v>0.74436000000000035</v>
      </c>
      <c r="J226" s="26">
        <f t="shared" si="110"/>
        <v>0.33176149683998485</v>
      </c>
      <c r="K226" s="25">
        <f>0/1000*1</f>
        <v>0</v>
      </c>
      <c r="L226" s="99">
        <f t="shared" si="111"/>
        <v>-2.9880200000000001</v>
      </c>
      <c r="M226" s="27" t="str">
        <f t="shared" si="112"/>
        <v>N/A</v>
      </c>
      <c r="N226" s="24">
        <f>14202.17/1000*1</f>
        <v>14.202170000000001</v>
      </c>
      <c r="O226" s="25">
        <f>8999.54/1000*1</f>
        <v>8.9995400000000014</v>
      </c>
      <c r="P226" s="99">
        <f t="shared" si="113"/>
        <v>5.2026299999999992</v>
      </c>
      <c r="Q226" s="26">
        <f t="shared" si="114"/>
        <v>0.57809954731019564</v>
      </c>
      <c r="R226" s="25">
        <f>2935.59/1000*1</f>
        <v>2.9355900000000004</v>
      </c>
      <c r="S226" s="99">
        <f t="shared" si="115"/>
        <v>-11.266580000000001</v>
      </c>
      <c r="T226" s="27">
        <f t="shared" si="116"/>
        <v>-3.8379269584649083</v>
      </c>
      <c r="U226" s="24">
        <f>23883.53/1000*1</f>
        <v>23.88353</v>
      </c>
      <c r="V226" s="25">
        <f>24308.61/1000*1</f>
        <v>24.308610000000002</v>
      </c>
      <c r="W226" s="99">
        <f t="shared" si="117"/>
        <v>-0.42508000000000123</v>
      </c>
      <c r="X226" s="26">
        <f t="shared" si="118"/>
        <v>-1.7486808172083933E-2</v>
      </c>
      <c r="Y226" s="25">
        <f>12616.95/1000*1</f>
        <v>12.616950000000001</v>
      </c>
      <c r="Z226" s="99">
        <f t="shared" si="119"/>
        <v>-11.266579999999999</v>
      </c>
      <c r="AA226" s="27">
        <f t="shared" si="120"/>
        <v>-0.89297175624853853</v>
      </c>
      <c r="AB226" s="28">
        <f>12616.95/1000*1</f>
        <v>12.616950000000001</v>
      </c>
      <c r="AC226" s="1"/>
      <c r="AD226" s="1"/>
      <c r="AE226" s="1"/>
      <c r="AF226" s="1"/>
      <c r="AG226" s="1"/>
      <c r="AH226" s="1"/>
      <c r="AI226" s="1"/>
    </row>
    <row r="227" spans="1:35" ht="14.25" hidden="1" outlineLevel="1" x14ac:dyDescent="0.2">
      <c r="A227" s="1"/>
      <c r="B227" s="3"/>
      <c r="C227" s="3"/>
      <c r="D227" s="3" t="s">
        <v>50</v>
      </c>
      <c r="E227" s="3" t="s">
        <v>81</v>
      </c>
      <c r="F227" s="3">
        <v>930</v>
      </c>
      <c r="G227" s="24">
        <f>13983.23/1000*1</f>
        <v>13.983229999999999</v>
      </c>
      <c r="H227" s="25">
        <f>18537.94/1000*1</f>
        <v>18.537939999999999</v>
      </c>
      <c r="I227" s="99">
        <f t="shared" si="109"/>
        <v>-4.55471</v>
      </c>
      <c r="J227" s="26">
        <f t="shared" si="110"/>
        <v>-0.24569666316753644</v>
      </c>
      <c r="K227" s="25">
        <f>13143.805381/1000*1</f>
        <v>13.143805381</v>
      </c>
      <c r="L227" s="99">
        <f t="shared" si="111"/>
        <v>-0.83942461899999898</v>
      </c>
      <c r="M227" s="27">
        <f t="shared" si="112"/>
        <v>-6.3864656746472181E-2</v>
      </c>
      <c r="N227" s="24">
        <f>44015.6/1000*1</f>
        <v>44.015599999999999</v>
      </c>
      <c r="O227" s="25">
        <f>51194.69/1000*1</f>
        <v>51.194690000000001</v>
      </c>
      <c r="P227" s="99">
        <f t="shared" si="113"/>
        <v>-7.1790900000000022</v>
      </c>
      <c r="Q227" s="26">
        <f t="shared" si="114"/>
        <v>-0.14023114506602152</v>
      </c>
      <c r="R227" s="25">
        <f>47693.980762/1000*1</f>
        <v>47.693980762000002</v>
      </c>
      <c r="S227" s="99">
        <f t="shared" si="115"/>
        <v>3.6783807620000033</v>
      </c>
      <c r="T227" s="27">
        <f t="shared" si="116"/>
        <v>7.7124632987874628E-2</v>
      </c>
      <c r="U227" s="24">
        <f>93633.03/1000*1</f>
        <v>93.633030000000005</v>
      </c>
      <c r="V227" s="25">
        <f>113020.68/1000*1</f>
        <v>113.02068</v>
      </c>
      <c r="W227" s="99">
        <f t="shared" si="117"/>
        <v>-19.387649999999994</v>
      </c>
      <c r="X227" s="26">
        <f t="shared" si="118"/>
        <v>-0.17154073042207846</v>
      </c>
      <c r="Y227" s="25">
        <f>97311.410762/1000*1</f>
        <v>97.311410761999994</v>
      </c>
      <c r="Z227" s="99">
        <f t="shared" si="119"/>
        <v>3.6783807619999891</v>
      </c>
      <c r="AA227" s="27">
        <f t="shared" si="120"/>
        <v>3.7800096958787416E-2</v>
      </c>
      <c r="AB227" s="28">
        <f>198166.800362/1000*1</f>
        <v>198.166800362</v>
      </c>
      <c r="AC227" s="1"/>
      <c r="AD227" s="1"/>
      <c r="AE227" s="1"/>
      <c r="AF227" s="1"/>
      <c r="AG227" s="1"/>
      <c r="AH227" s="1"/>
      <c r="AI227" s="1"/>
    </row>
    <row r="228" spans="1:35" ht="14.25" hidden="1" outlineLevel="1" x14ac:dyDescent="0.2">
      <c r="A228" s="1"/>
      <c r="B228" s="3"/>
      <c r="C228" s="3"/>
      <c r="D228" s="3" t="s">
        <v>50</v>
      </c>
      <c r="E228" s="3" t="s">
        <v>82</v>
      </c>
      <c r="F228" s="3">
        <v>930</v>
      </c>
      <c r="G228" s="24">
        <f>0/1000*1</f>
        <v>0</v>
      </c>
      <c r="H228" s="25">
        <f>0/1000*1</f>
        <v>0</v>
      </c>
      <c r="I228" s="99">
        <f t="shared" si="109"/>
        <v>0</v>
      </c>
      <c r="J228" s="26" t="str">
        <f t="shared" si="110"/>
        <v>N/A</v>
      </c>
      <c r="K228" s="25">
        <f>3068.88/1000*1</f>
        <v>3.0688800000000001</v>
      </c>
      <c r="L228" s="99">
        <f t="shared" si="111"/>
        <v>3.0688800000000001</v>
      </c>
      <c r="M228" s="27">
        <f t="shared" si="112"/>
        <v>1</v>
      </c>
      <c r="N228" s="24">
        <f>0/1000*1</f>
        <v>0</v>
      </c>
      <c r="O228" s="25">
        <f>0/1000*1</f>
        <v>0</v>
      </c>
      <c r="P228" s="99">
        <f t="shared" si="113"/>
        <v>0</v>
      </c>
      <c r="Q228" s="26" t="str">
        <f t="shared" si="114"/>
        <v>N/A</v>
      </c>
      <c r="R228" s="25">
        <f>6137.76/1000*1</f>
        <v>6.1377600000000001</v>
      </c>
      <c r="S228" s="99">
        <f t="shared" si="115"/>
        <v>6.1377600000000001</v>
      </c>
      <c r="T228" s="27">
        <f t="shared" si="116"/>
        <v>1</v>
      </c>
      <c r="U228" s="24">
        <f>0/1000*1</f>
        <v>0</v>
      </c>
      <c r="V228" s="25">
        <f>0/1000*1</f>
        <v>0</v>
      </c>
      <c r="W228" s="99">
        <f t="shared" si="117"/>
        <v>0</v>
      </c>
      <c r="X228" s="26" t="str">
        <f t="shared" si="118"/>
        <v>N/A</v>
      </c>
      <c r="Y228" s="25">
        <f>6137.76/1000*1</f>
        <v>6.1377600000000001</v>
      </c>
      <c r="Z228" s="99">
        <f t="shared" si="119"/>
        <v>6.1377600000000001</v>
      </c>
      <c r="AA228" s="27">
        <f t="shared" si="120"/>
        <v>1</v>
      </c>
      <c r="AB228" s="28">
        <f>27916.04/1000*1</f>
        <v>27.916040000000002</v>
      </c>
      <c r="AC228" s="1"/>
      <c r="AD228" s="1"/>
      <c r="AE228" s="1"/>
      <c r="AF228" s="1"/>
      <c r="AG228" s="1"/>
      <c r="AH228" s="1"/>
      <c r="AI228" s="1"/>
    </row>
    <row r="229" spans="1:35" ht="14.25" hidden="1" outlineLevel="1" x14ac:dyDescent="0.2">
      <c r="A229" s="1"/>
      <c r="B229" s="3"/>
      <c r="C229" s="3"/>
      <c r="D229" s="3" t="s">
        <v>50</v>
      </c>
      <c r="E229" s="3" t="s">
        <v>83</v>
      </c>
      <c r="F229" s="3">
        <v>930</v>
      </c>
      <c r="G229" s="24">
        <f>0/1000*1</f>
        <v>0</v>
      </c>
      <c r="H229" s="25">
        <f>3630.22/1000*1</f>
        <v>3.63022</v>
      </c>
      <c r="I229" s="99">
        <f t="shared" si="109"/>
        <v>-3.63022</v>
      </c>
      <c r="J229" s="26">
        <f t="shared" si="110"/>
        <v>-1</v>
      </c>
      <c r="K229" s="25">
        <f>0/1000*1</f>
        <v>0</v>
      </c>
      <c r="L229" s="99">
        <f t="shared" si="111"/>
        <v>0</v>
      </c>
      <c r="M229" s="27" t="str">
        <f t="shared" si="112"/>
        <v>N/A</v>
      </c>
      <c r="N229" s="24">
        <f>318.94/1000*1</f>
        <v>0.31894</v>
      </c>
      <c r="O229" s="25">
        <f>6787.26/1000*1</f>
        <v>6.7872599999999998</v>
      </c>
      <c r="P229" s="99">
        <f t="shared" si="113"/>
        <v>-6.4683200000000003</v>
      </c>
      <c r="Q229" s="26">
        <f t="shared" si="114"/>
        <v>-0.95300901984011233</v>
      </c>
      <c r="R229" s="25">
        <f>0/1000*1</f>
        <v>0</v>
      </c>
      <c r="S229" s="99">
        <f t="shared" si="115"/>
        <v>-0.31894</v>
      </c>
      <c r="T229" s="27" t="str">
        <f t="shared" si="116"/>
        <v>N/A</v>
      </c>
      <c r="U229" s="24">
        <f>645.03/1000*1</f>
        <v>0.64502999999999999</v>
      </c>
      <c r="V229" s="25">
        <f>16724.78/1000*1</f>
        <v>16.724779999999999</v>
      </c>
      <c r="W229" s="99">
        <f t="shared" si="117"/>
        <v>-16.079750000000001</v>
      </c>
      <c r="X229" s="26">
        <f t="shared" si="118"/>
        <v>-0.96143267654342845</v>
      </c>
      <c r="Y229" s="25">
        <f>326.09/1000*1</f>
        <v>0.32608999999999999</v>
      </c>
      <c r="Z229" s="99">
        <f t="shared" si="119"/>
        <v>-0.31894</v>
      </c>
      <c r="AA229" s="27">
        <f t="shared" si="120"/>
        <v>-0.97807353798031227</v>
      </c>
      <c r="AB229" s="28">
        <f>326.09/1000*1</f>
        <v>0.32608999999999999</v>
      </c>
      <c r="AC229" s="1"/>
      <c r="AD229" s="1"/>
      <c r="AE229" s="1"/>
      <c r="AF229" s="1"/>
      <c r="AG229" s="1"/>
      <c r="AH229" s="1"/>
      <c r="AI229" s="1"/>
    </row>
    <row r="230" spans="1:35" ht="14.25" hidden="1" outlineLevel="1" x14ac:dyDescent="0.2">
      <c r="A230" s="1"/>
      <c r="B230" s="3"/>
      <c r="C230" s="3"/>
      <c r="D230" s="3" t="s">
        <v>50</v>
      </c>
      <c r="E230" s="3" t="s">
        <v>84</v>
      </c>
      <c r="F230" s="3">
        <v>930</v>
      </c>
      <c r="G230" s="24">
        <f>17638.53/1000*1</f>
        <v>17.638529999999999</v>
      </c>
      <c r="H230" s="25">
        <f>9234.25/1000*1</f>
        <v>9.2342499999999994</v>
      </c>
      <c r="I230" s="99">
        <f t="shared" si="109"/>
        <v>8.40428</v>
      </c>
      <c r="J230" s="26">
        <f t="shared" si="110"/>
        <v>0.91012047540406649</v>
      </c>
      <c r="K230" s="25">
        <f>54908.591073/1000*1</f>
        <v>54.908591073000004</v>
      </c>
      <c r="L230" s="99">
        <f t="shared" si="111"/>
        <v>37.270061073000008</v>
      </c>
      <c r="M230" s="27">
        <f t="shared" si="112"/>
        <v>0.67876556918843756</v>
      </c>
      <c r="N230" s="24">
        <f>38686.49/1000*1</f>
        <v>38.686489999999999</v>
      </c>
      <c r="O230" s="25">
        <f>49164.42/1000*1</f>
        <v>49.16442</v>
      </c>
      <c r="P230" s="99">
        <f t="shared" si="113"/>
        <v>-10.477930000000001</v>
      </c>
      <c r="Q230" s="26">
        <f t="shared" si="114"/>
        <v>-0.21312017918649301</v>
      </c>
      <c r="R230" s="25">
        <f>92301.972146/1000*1</f>
        <v>92.301972145999997</v>
      </c>
      <c r="S230" s="99">
        <f t="shared" si="115"/>
        <v>53.615482145999998</v>
      </c>
      <c r="T230" s="27">
        <f t="shared" si="116"/>
        <v>0.58087038553404824</v>
      </c>
      <c r="U230" s="24">
        <f>91273.61/1000*1</f>
        <v>91.273610000000005</v>
      </c>
      <c r="V230" s="25">
        <f>102243.55/1000*1</f>
        <v>102.24355</v>
      </c>
      <c r="W230" s="99">
        <f t="shared" si="117"/>
        <v>-10.969939999999994</v>
      </c>
      <c r="X230" s="26">
        <f t="shared" si="118"/>
        <v>-0.10729224484087255</v>
      </c>
      <c r="Y230" s="25">
        <f>144889.092146/1000*1</f>
        <v>144.889092146</v>
      </c>
      <c r="Z230" s="99">
        <f t="shared" si="119"/>
        <v>53.615482145999991</v>
      </c>
      <c r="AA230" s="27">
        <f t="shared" si="120"/>
        <v>0.37004498649196743</v>
      </c>
      <c r="AB230" s="28">
        <f>324398.287056/1000*1</f>
        <v>324.39828705599996</v>
      </c>
      <c r="AC230" s="1"/>
      <c r="AD230" s="1"/>
      <c r="AE230" s="1"/>
      <c r="AF230" s="1"/>
      <c r="AG230" s="1"/>
      <c r="AH230" s="1"/>
      <c r="AI230" s="1"/>
    </row>
    <row r="231" spans="1:35" ht="14.25" hidden="1" outlineLevel="1" x14ac:dyDescent="0.2">
      <c r="A231" s="1"/>
      <c r="B231" s="3"/>
      <c r="C231" s="3"/>
      <c r="D231" s="3"/>
      <c r="E231" s="3"/>
      <c r="F231" s="3"/>
      <c r="G231" s="24"/>
      <c r="H231" s="25"/>
      <c r="I231" s="99"/>
      <c r="J231" s="26"/>
      <c r="K231" s="25"/>
      <c r="L231" s="99"/>
      <c r="M231" s="27"/>
      <c r="N231" s="24"/>
      <c r="O231" s="25"/>
      <c r="P231" s="99"/>
      <c r="Q231" s="26"/>
      <c r="R231" s="25"/>
      <c r="S231" s="99"/>
      <c r="T231" s="27"/>
      <c r="U231" s="24"/>
      <c r="V231" s="25"/>
      <c r="W231" s="99"/>
      <c r="X231" s="26"/>
      <c r="Y231" s="25"/>
      <c r="Z231" s="99"/>
      <c r="AA231" s="27"/>
      <c r="AB231" s="28"/>
      <c r="AC231" s="1"/>
      <c r="AD231" s="1"/>
      <c r="AE231" s="1"/>
      <c r="AF231" s="1"/>
      <c r="AG231" s="1"/>
      <c r="AH231" s="1"/>
      <c r="AI231" s="1"/>
    </row>
    <row r="232" spans="1:35" ht="14.25" hidden="1" outlineLevel="1" x14ac:dyDescent="0.2">
      <c r="A232" s="1"/>
      <c r="B232" s="3"/>
      <c r="C232" s="3"/>
      <c r="D232" s="3"/>
      <c r="E232" s="3"/>
      <c r="F232" s="3"/>
      <c r="G232" s="24"/>
      <c r="H232" s="25"/>
      <c r="I232" s="99"/>
      <c r="J232" s="26"/>
      <c r="K232" s="25"/>
      <c r="L232" s="99"/>
      <c r="M232" s="27"/>
      <c r="N232" s="24"/>
      <c r="O232" s="25"/>
      <c r="P232" s="99"/>
      <c r="Q232" s="26"/>
      <c r="R232" s="25"/>
      <c r="S232" s="99"/>
      <c r="T232" s="27"/>
      <c r="U232" s="24"/>
      <c r="V232" s="25"/>
      <c r="W232" s="99"/>
      <c r="X232" s="26"/>
      <c r="Y232" s="25"/>
      <c r="Z232" s="99"/>
      <c r="AA232" s="27"/>
      <c r="AB232" s="28"/>
      <c r="AC232" s="1"/>
      <c r="AD232" s="1"/>
      <c r="AE232" s="1"/>
      <c r="AF232" s="1"/>
      <c r="AG232" s="1"/>
      <c r="AH232" s="1"/>
      <c r="AI232" s="1"/>
    </row>
    <row r="233" spans="1:35" ht="14.25" collapsed="1" x14ac:dyDescent="0.2">
      <c r="A233" s="1"/>
      <c r="B233" s="3" t="s">
        <v>58</v>
      </c>
      <c r="C233" s="3"/>
      <c r="D233" s="3"/>
      <c r="E233" s="3"/>
      <c r="F233" s="3"/>
      <c r="G233" s="102">
        <f>SUM(G234:G242)</f>
        <v>123.07862999999998</v>
      </c>
      <c r="H233" s="103">
        <f>SUM(H234:H242)</f>
        <v>148.76598999999999</v>
      </c>
      <c r="I233" s="89">
        <f t="shared" ref="I233:I241" si="121">G233-H233</f>
        <v>-25.687360000000012</v>
      </c>
      <c r="J233" s="26">
        <f t="shared" ref="J233:J241" si="122">IF(ISERROR(I233/H233),"N/A",IF(ABS(I233/H233)&gt;5,"N/A",I233/H233))</f>
        <v>-0.17266957320016499</v>
      </c>
      <c r="K233" s="103">
        <f>SUM(K234:K242)</f>
        <v>101.13305443100002</v>
      </c>
      <c r="L233" s="89">
        <f t="shared" ref="L233:L241" si="123">K233-G233</f>
        <v>-21.945575568999956</v>
      </c>
      <c r="M233" s="27">
        <f t="shared" ref="M233:M241" si="124">IF(ISERROR(L233/K233),"N/A",IF(ABS(L233/K233)&gt;5,"N/A",L233/K233))</f>
        <v>-0.21699706087659745</v>
      </c>
      <c r="N233" s="102">
        <f>SUM(N234:N242)</f>
        <v>352.28325000000007</v>
      </c>
      <c r="O233" s="103">
        <f>SUM(O234:O242)</f>
        <v>520.64978000000008</v>
      </c>
      <c r="P233" s="89">
        <f t="shared" ref="P233:P241" si="125">N233-O233</f>
        <v>-168.36653000000001</v>
      </c>
      <c r="Q233" s="26">
        <f t="shared" ref="Q233:Q241" si="126">IF(ISERROR(P233/O233),"N/A",IF(ABS(P233/O233)&gt;5,"N/A",P233/O233))</f>
        <v>-0.32337770314624925</v>
      </c>
      <c r="R233" s="103">
        <f>SUM(R234:R242)</f>
        <v>354.808058862</v>
      </c>
      <c r="S233" s="89">
        <f t="shared" ref="S233:S241" si="127">R233-N233</f>
        <v>2.5248088619999294</v>
      </c>
      <c r="T233" s="27">
        <f t="shared" ref="T233:T241" si="128">IF(ISERROR(S233/R233),"N/A",IF(ABS(S233/R233)&gt;5,"N/A",S233/R233))</f>
        <v>7.1159851050112011E-3</v>
      </c>
      <c r="U233" s="102">
        <f>SUM(U234:U242)</f>
        <v>820.46323999999993</v>
      </c>
      <c r="V233" s="103">
        <f>SUM(V234:V242)</f>
        <v>1042.88087</v>
      </c>
      <c r="W233" s="89">
        <f t="shared" ref="W233:W241" si="129">U233-V233</f>
        <v>-222.41763000000003</v>
      </c>
      <c r="X233" s="26">
        <f t="shared" ref="X233:X241" si="130">IF(ISERROR(W233/V233),"N/A",IF(ABS(W233/V233)&gt;5,"N/A",W233/V233))</f>
        <v>-0.21327232706838323</v>
      </c>
      <c r="Y233" s="103">
        <f>SUM(Y234:Y242)</f>
        <v>822.98804886199991</v>
      </c>
      <c r="Z233" s="89">
        <f t="shared" ref="Z233:Z241" si="131">Y233-U233</f>
        <v>2.5248088619999862</v>
      </c>
      <c r="AA233" s="27">
        <f t="shared" ref="AA233:AA241" si="132">IF(ISERROR(Z233/Y233),"N/A",IF(ABS(Z233/Y233)&gt;5,"N/A",Z233/Y233))</f>
        <v>3.0678560466232854E-3</v>
      </c>
      <c r="AB233" s="104">
        <f>SUM(AB234:AB242)</f>
        <v>1604.4408908290002</v>
      </c>
      <c r="AC233" s="1"/>
      <c r="AD233" s="1"/>
      <c r="AE233" s="1"/>
      <c r="AF233" s="1"/>
      <c r="AG233" s="1"/>
      <c r="AH233" s="1"/>
      <c r="AI233" s="1"/>
    </row>
    <row r="234" spans="1:35" ht="14.25" hidden="1" outlineLevel="1" x14ac:dyDescent="0.2">
      <c r="A234" s="1"/>
      <c r="B234" s="3"/>
      <c r="C234" s="3"/>
      <c r="D234" s="3" t="s">
        <v>59</v>
      </c>
      <c r="E234" s="3" t="s">
        <v>85</v>
      </c>
      <c r="F234" s="3">
        <v>840</v>
      </c>
      <c r="G234" s="105">
        <f>0/1000*1</f>
        <v>0</v>
      </c>
      <c r="H234" s="106">
        <f>0/1000*1</f>
        <v>0</v>
      </c>
      <c r="I234" s="89">
        <f t="shared" si="121"/>
        <v>0</v>
      </c>
      <c r="J234" s="26" t="str">
        <f t="shared" si="122"/>
        <v>N/A</v>
      </c>
      <c r="K234" s="106">
        <f>0/1000*1</f>
        <v>0</v>
      </c>
      <c r="L234" s="89">
        <f t="shared" si="123"/>
        <v>0</v>
      </c>
      <c r="M234" s="27" t="str">
        <f t="shared" si="124"/>
        <v>N/A</v>
      </c>
      <c r="N234" s="105">
        <f>0/1000*1</f>
        <v>0</v>
      </c>
      <c r="O234" s="106">
        <f>0/1000*1</f>
        <v>0</v>
      </c>
      <c r="P234" s="89">
        <f t="shared" si="125"/>
        <v>0</v>
      </c>
      <c r="Q234" s="26" t="str">
        <f t="shared" si="126"/>
        <v>N/A</v>
      </c>
      <c r="R234" s="106">
        <f>0/1000*1</f>
        <v>0</v>
      </c>
      <c r="S234" s="89">
        <f t="shared" si="127"/>
        <v>0</v>
      </c>
      <c r="T234" s="27" t="str">
        <f t="shared" si="128"/>
        <v>N/A</v>
      </c>
      <c r="U234" s="105">
        <f>0/1000*1</f>
        <v>0</v>
      </c>
      <c r="V234" s="106">
        <f>2599.37/1000*1</f>
        <v>2.59937</v>
      </c>
      <c r="W234" s="89">
        <f t="shared" si="129"/>
        <v>-2.59937</v>
      </c>
      <c r="X234" s="26">
        <f t="shared" si="130"/>
        <v>-1</v>
      </c>
      <c r="Y234" s="106">
        <f>0/1000*1</f>
        <v>0</v>
      </c>
      <c r="Z234" s="89">
        <f t="shared" si="131"/>
        <v>0</v>
      </c>
      <c r="AA234" s="27" t="str">
        <f t="shared" si="132"/>
        <v>N/A</v>
      </c>
      <c r="AB234" s="107">
        <f>0/1000*1</f>
        <v>0</v>
      </c>
      <c r="AC234" s="1"/>
      <c r="AD234" s="1"/>
      <c r="AE234" s="1"/>
      <c r="AF234" s="1"/>
      <c r="AG234" s="1"/>
      <c r="AH234" s="1"/>
      <c r="AI234" s="1"/>
    </row>
    <row r="235" spans="1:35" ht="14.25" hidden="1" outlineLevel="1" x14ac:dyDescent="0.2">
      <c r="A235" s="1"/>
      <c r="B235" s="3"/>
      <c r="C235" s="3"/>
      <c r="D235" s="3" t="s">
        <v>59</v>
      </c>
      <c r="E235" s="3" t="s">
        <v>79</v>
      </c>
      <c r="F235" s="3">
        <v>830</v>
      </c>
      <c r="G235" s="105">
        <f>0/1000*1</f>
        <v>0</v>
      </c>
      <c r="H235" s="106">
        <f>0/1000*1</f>
        <v>0</v>
      </c>
      <c r="I235" s="89">
        <f t="shared" si="121"/>
        <v>0</v>
      </c>
      <c r="J235" s="26" t="str">
        <f t="shared" si="122"/>
        <v>N/A</v>
      </c>
      <c r="K235" s="106">
        <f>0/1000*1</f>
        <v>0</v>
      </c>
      <c r="L235" s="89">
        <f t="shared" si="123"/>
        <v>0</v>
      </c>
      <c r="M235" s="27" t="str">
        <f t="shared" si="124"/>
        <v>N/A</v>
      </c>
      <c r="N235" s="105">
        <f>0/1000*1</f>
        <v>0</v>
      </c>
      <c r="O235" s="106">
        <f>0/1000*1</f>
        <v>0</v>
      </c>
      <c r="P235" s="89">
        <f t="shared" si="125"/>
        <v>0</v>
      </c>
      <c r="Q235" s="26" t="str">
        <f t="shared" si="126"/>
        <v>N/A</v>
      </c>
      <c r="R235" s="106">
        <f>0/1000*1</f>
        <v>0</v>
      </c>
      <c r="S235" s="89">
        <f t="shared" si="127"/>
        <v>0</v>
      </c>
      <c r="T235" s="27" t="str">
        <f t="shared" si="128"/>
        <v>N/A</v>
      </c>
      <c r="U235" s="105">
        <f>0/1000*1</f>
        <v>0</v>
      </c>
      <c r="V235" s="106">
        <f>52.96/1000*1</f>
        <v>5.296E-2</v>
      </c>
      <c r="W235" s="89">
        <f t="shared" si="129"/>
        <v>-5.296E-2</v>
      </c>
      <c r="X235" s="26">
        <f t="shared" si="130"/>
        <v>-1</v>
      </c>
      <c r="Y235" s="106">
        <f>0/1000*1</f>
        <v>0</v>
      </c>
      <c r="Z235" s="89">
        <f t="shared" si="131"/>
        <v>0</v>
      </c>
      <c r="AA235" s="27" t="str">
        <f t="shared" si="132"/>
        <v>N/A</v>
      </c>
      <c r="AB235" s="107">
        <f>0/1000*1</f>
        <v>0</v>
      </c>
      <c r="AC235" s="1"/>
      <c r="AD235" s="1"/>
      <c r="AE235" s="1"/>
      <c r="AF235" s="1"/>
      <c r="AG235" s="1"/>
      <c r="AH235" s="1"/>
      <c r="AI235" s="1"/>
    </row>
    <row r="236" spans="1:35" ht="14.25" hidden="1" outlineLevel="1" x14ac:dyDescent="0.2">
      <c r="A236" s="1"/>
      <c r="B236" s="3"/>
      <c r="C236" s="3"/>
      <c r="D236" s="3" t="s">
        <v>59</v>
      </c>
      <c r="E236" s="3" t="s">
        <v>79</v>
      </c>
      <c r="F236" s="3">
        <v>840</v>
      </c>
      <c r="G236" s="105">
        <f>65296.27/1000*1</f>
        <v>65.296269999999993</v>
      </c>
      <c r="H236" s="106">
        <f>91556.9/1000*1</f>
        <v>91.556899999999999</v>
      </c>
      <c r="I236" s="89">
        <f t="shared" si="121"/>
        <v>-26.260630000000006</v>
      </c>
      <c r="J236" s="26">
        <f t="shared" si="122"/>
        <v>-0.28682305757403326</v>
      </c>
      <c r="K236" s="106">
        <f>69372.622161/1000*1</f>
        <v>69.37262216100001</v>
      </c>
      <c r="L236" s="89">
        <f t="shared" si="123"/>
        <v>4.0763521610000168</v>
      </c>
      <c r="M236" s="27">
        <f t="shared" si="124"/>
        <v>5.8760243364300357E-2</v>
      </c>
      <c r="N236" s="105">
        <f>211337.15/1000*1</f>
        <v>211.33715000000001</v>
      </c>
      <c r="O236" s="106">
        <f>294455.03/1000*1</f>
        <v>294.45503000000002</v>
      </c>
      <c r="P236" s="89">
        <f t="shared" si="125"/>
        <v>-83.117880000000014</v>
      </c>
      <c r="Q236" s="26">
        <f t="shared" si="126"/>
        <v>-0.28227699149849811</v>
      </c>
      <c r="R236" s="106">
        <f>229338.654322/1000*1</f>
        <v>229.338654322</v>
      </c>
      <c r="S236" s="89">
        <f t="shared" si="127"/>
        <v>18.001504321999988</v>
      </c>
      <c r="T236" s="27">
        <f t="shared" si="128"/>
        <v>7.8493110440620295E-2</v>
      </c>
      <c r="U236" s="105">
        <f>501321.25/1000*1</f>
        <v>501.32125000000002</v>
      </c>
      <c r="V236" s="106">
        <f>576311.65/1000*1</f>
        <v>576.31164999999999</v>
      </c>
      <c r="W236" s="89">
        <f t="shared" si="129"/>
        <v>-74.990399999999966</v>
      </c>
      <c r="X236" s="26">
        <f t="shared" si="130"/>
        <v>-0.1301212633824077</v>
      </c>
      <c r="Y236" s="106">
        <f>519322.754322/1000*1</f>
        <v>519.32275432200004</v>
      </c>
      <c r="Z236" s="89">
        <f t="shared" si="131"/>
        <v>18.001504322000017</v>
      </c>
      <c r="AA236" s="27">
        <f t="shared" si="132"/>
        <v>3.4663423029676059E-2</v>
      </c>
      <c r="AB236" s="107">
        <f>1078867.967289/1000*1</f>
        <v>1078.867967289</v>
      </c>
      <c r="AC236" s="1"/>
      <c r="AD236" s="1"/>
      <c r="AE236" s="1"/>
      <c r="AF236" s="1"/>
      <c r="AG236" s="1"/>
      <c r="AH236" s="1"/>
      <c r="AI236" s="1"/>
    </row>
    <row r="237" spans="1:35" ht="14.25" hidden="1" outlineLevel="1" x14ac:dyDescent="0.2">
      <c r="A237" s="1"/>
      <c r="B237" s="3"/>
      <c r="C237" s="3"/>
      <c r="D237" s="3" t="s">
        <v>59</v>
      </c>
      <c r="E237" s="3" t="s">
        <v>81</v>
      </c>
      <c r="F237" s="3">
        <v>840</v>
      </c>
      <c r="G237" s="105">
        <f>5216.81/1000*1</f>
        <v>5.2168100000000006</v>
      </c>
      <c r="H237" s="106">
        <f>5186.2/1000*1</f>
        <v>5.1861999999999995</v>
      </c>
      <c r="I237" s="89">
        <f t="shared" si="121"/>
        <v>3.0610000000001136E-2</v>
      </c>
      <c r="J237" s="26">
        <f t="shared" si="122"/>
        <v>5.9022019976092592E-3</v>
      </c>
      <c r="K237" s="106">
        <f>5358/1000*1</f>
        <v>5.3579999999999997</v>
      </c>
      <c r="L237" s="89">
        <f t="shared" si="123"/>
        <v>0.14118999999999904</v>
      </c>
      <c r="M237" s="27">
        <f t="shared" si="124"/>
        <v>2.6351250466591834E-2</v>
      </c>
      <c r="N237" s="105">
        <f>15578.84/1000*1</f>
        <v>15.57884</v>
      </c>
      <c r="O237" s="106">
        <f>15569.39/1000*1</f>
        <v>15.56939</v>
      </c>
      <c r="P237" s="89">
        <f t="shared" si="125"/>
        <v>9.4499999999992923E-3</v>
      </c>
      <c r="Q237" s="26">
        <f t="shared" si="126"/>
        <v>6.0696019561455475E-4</v>
      </c>
      <c r="R237" s="106">
        <f>15841.28/1000*1</f>
        <v>15.841280000000001</v>
      </c>
      <c r="S237" s="89">
        <f t="shared" si="127"/>
        <v>0.26244000000000156</v>
      </c>
      <c r="T237" s="27">
        <f t="shared" si="128"/>
        <v>1.6566843083387298E-2</v>
      </c>
      <c r="U237" s="105">
        <f>40579.25/1000*1</f>
        <v>40.579250000000002</v>
      </c>
      <c r="V237" s="106">
        <f>31338.57/1000*1</f>
        <v>31.338570000000001</v>
      </c>
      <c r="W237" s="89">
        <f t="shared" si="129"/>
        <v>9.2406800000000011</v>
      </c>
      <c r="X237" s="26">
        <f t="shared" si="130"/>
        <v>0.29486603887797053</v>
      </c>
      <c r="Y237" s="106">
        <f>40841.69/1000*1</f>
        <v>40.84169</v>
      </c>
      <c r="Z237" s="89">
        <f t="shared" si="131"/>
        <v>0.26243999999999801</v>
      </c>
      <c r="AA237" s="27">
        <f t="shared" si="132"/>
        <v>6.4257869838392585E-3</v>
      </c>
      <c r="AB237" s="107">
        <f>75384.69/1000*1</f>
        <v>75.384690000000006</v>
      </c>
      <c r="AC237" s="1"/>
      <c r="AD237" s="1"/>
      <c r="AE237" s="1"/>
      <c r="AF237" s="1"/>
      <c r="AG237" s="1"/>
      <c r="AH237" s="1"/>
      <c r="AI237" s="1"/>
    </row>
    <row r="238" spans="1:35" ht="14.25" hidden="1" outlineLevel="1" x14ac:dyDescent="0.2">
      <c r="A238" s="1"/>
      <c r="B238" s="3"/>
      <c r="C238" s="3"/>
      <c r="D238" s="3" t="s">
        <v>59</v>
      </c>
      <c r="E238" s="3" t="s">
        <v>83</v>
      </c>
      <c r="F238" s="3">
        <v>840</v>
      </c>
      <c r="G238" s="105">
        <f>3541.39/1000*1</f>
        <v>3.5413899999999998</v>
      </c>
      <c r="H238" s="106">
        <f>24172.86/1000*1</f>
        <v>24.17286</v>
      </c>
      <c r="I238" s="89">
        <f t="shared" si="121"/>
        <v>-20.63147</v>
      </c>
      <c r="J238" s="26">
        <f t="shared" si="122"/>
        <v>-0.85349726925154901</v>
      </c>
      <c r="K238" s="106">
        <f>0/1000*1</f>
        <v>0</v>
      </c>
      <c r="L238" s="89">
        <f t="shared" si="123"/>
        <v>-3.5413899999999998</v>
      </c>
      <c r="M238" s="27" t="str">
        <f t="shared" si="124"/>
        <v>N/A</v>
      </c>
      <c r="N238" s="105">
        <f>16481.58/1000*1</f>
        <v>16.481580000000001</v>
      </c>
      <c r="O238" s="106">
        <f>65685.57/1000*1</f>
        <v>65.685570000000013</v>
      </c>
      <c r="P238" s="89">
        <f t="shared" si="125"/>
        <v>-49.203990000000012</v>
      </c>
      <c r="Q238" s="26">
        <f t="shared" si="126"/>
        <v>-0.74908370285893844</v>
      </c>
      <c r="R238" s="106">
        <f>9406.01/1000*1</f>
        <v>9.4060100000000002</v>
      </c>
      <c r="S238" s="89">
        <f t="shared" si="127"/>
        <v>-7.0755700000000008</v>
      </c>
      <c r="T238" s="27">
        <f t="shared" si="128"/>
        <v>-0.75223925979240935</v>
      </c>
      <c r="U238" s="105">
        <f>20509.13/1000*1</f>
        <v>20.509130000000003</v>
      </c>
      <c r="V238" s="106">
        <f>126722.5/1000*1</f>
        <v>126.7225</v>
      </c>
      <c r="W238" s="89">
        <f t="shared" si="129"/>
        <v>-106.21337</v>
      </c>
      <c r="X238" s="26">
        <f t="shared" si="130"/>
        <v>-0.83815715441219985</v>
      </c>
      <c r="Y238" s="106">
        <f>13433.56/1000*1</f>
        <v>13.43356</v>
      </c>
      <c r="Z238" s="89">
        <f t="shared" si="131"/>
        <v>-7.0755700000000026</v>
      </c>
      <c r="AA238" s="27">
        <f t="shared" si="132"/>
        <v>-0.52670848233826351</v>
      </c>
      <c r="AB238" s="107">
        <f>13433.56/1000*1</f>
        <v>13.43356</v>
      </c>
      <c r="AC238" s="1"/>
      <c r="AD238" s="1"/>
      <c r="AE238" s="1"/>
      <c r="AF238" s="1"/>
      <c r="AG238" s="1"/>
      <c r="AH238" s="1"/>
      <c r="AI238" s="1"/>
    </row>
    <row r="239" spans="1:35" ht="14.25" hidden="1" outlineLevel="1" x14ac:dyDescent="0.2">
      <c r="A239" s="1"/>
      <c r="B239" s="3"/>
      <c r="C239" s="3"/>
      <c r="D239" s="3" t="s">
        <v>59</v>
      </c>
      <c r="E239" s="3" t="s">
        <v>84</v>
      </c>
      <c r="F239" s="3">
        <v>830</v>
      </c>
      <c r="G239" s="105">
        <f>16274.13/1000*1</f>
        <v>16.27413</v>
      </c>
      <c r="H239" s="106">
        <f>10373.76/1000*1</f>
        <v>10.373760000000001</v>
      </c>
      <c r="I239" s="89">
        <f t="shared" si="121"/>
        <v>5.9003699999999988</v>
      </c>
      <c r="J239" s="26">
        <f t="shared" si="122"/>
        <v>0.56877834073662759</v>
      </c>
      <c r="K239" s="106">
        <f>0/1000*1</f>
        <v>0</v>
      </c>
      <c r="L239" s="89">
        <f t="shared" si="123"/>
        <v>-16.27413</v>
      </c>
      <c r="M239" s="27" t="str">
        <f t="shared" si="124"/>
        <v>N/A</v>
      </c>
      <c r="N239" s="105">
        <f>36081.81/1000*1</f>
        <v>36.081809999999997</v>
      </c>
      <c r="O239" s="106">
        <f>50425.24/1000*1</f>
        <v>50.425239999999995</v>
      </c>
      <c r="P239" s="89">
        <f t="shared" si="125"/>
        <v>-14.343429999999998</v>
      </c>
      <c r="Q239" s="26">
        <f t="shared" si="126"/>
        <v>-0.28444941461855211</v>
      </c>
      <c r="R239" s="106">
        <f>15747.74/1000*1</f>
        <v>15.74774</v>
      </c>
      <c r="S239" s="89">
        <f t="shared" si="127"/>
        <v>-20.334069999999997</v>
      </c>
      <c r="T239" s="27">
        <f t="shared" si="128"/>
        <v>-1.2912373458032707</v>
      </c>
      <c r="U239" s="105">
        <f>85570.17/1000*1</f>
        <v>85.570170000000005</v>
      </c>
      <c r="V239" s="106">
        <f>106064.9/1000*1</f>
        <v>106.06489999999999</v>
      </c>
      <c r="W239" s="89">
        <f t="shared" si="129"/>
        <v>-20.49472999999999</v>
      </c>
      <c r="X239" s="26">
        <f t="shared" si="130"/>
        <v>-0.19322820273247787</v>
      </c>
      <c r="Y239" s="106">
        <f>65236.1/1000*1</f>
        <v>65.236099999999993</v>
      </c>
      <c r="Z239" s="89">
        <f t="shared" si="131"/>
        <v>-20.334070000000011</v>
      </c>
      <c r="AA239" s="27">
        <f t="shared" si="132"/>
        <v>-0.3116996570917025</v>
      </c>
      <c r="AB239" s="107">
        <f>65236.1/1000*1</f>
        <v>65.236099999999993</v>
      </c>
      <c r="AC239" s="1"/>
      <c r="AD239" s="1"/>
      <c r="AE239" s="1"/>
      <c r="AF239" s="1"/>
      <c r="AG239" s="1"/>
      <c r="AH239" s="1"/>
      <c r="AI239" s="1"/>
    </row>
    <row r="240" spans="1:35" ht="14.25" hidden="1" outlineLevel="1" x14ac:dyDescent="0.2">
      <c r="A240" s="1"/>
      <c r="B240" s="3"/>
      <c r="C240" s="3"/>
      <c r="D240" s="3" t="s">
        <v>59</v>
      </c>
      <c r="E240" s="3" t="s">
        <v>84</v>
      </c>
      <c r="F240" s="3">
        <v>840</v>
      </c>
      <c r="G240" s="105">
        <f>32750.03/1000*1</f>
        <v>32.750029999999995</v>
      </c>
      <c r="H240" s="106">
        <f>17476.27/1000*1</f>
        <v>17.47627</v>
      </c>
      <c r="I240" s="89">
        <f t="shared" si="121"/>
        <v>15.273759999999996</v>
      </c>
      <c r="J240" s="26">
        <f t="shared" si="122"/>
        <v>0.87397139092037357</v>
      </c>
      <c r="K240" s="106">
        <f>26402.43227/1000*1</f>
        <v>26.402432270000002</v>
      </c>
      <c r="L240" s="89">
        <f t="shared" si="123"/>
        <v>-6.3475977299999933</v>
      </c>
      <c r="M240" s="27">
        <f t="shared" si="124"/>
        <v>-0.24041715797572588</v>
      </c>
      <c r="N240" s="105">
        <f>72803.87/1000*1</f>
        <v>72.803869999999989</v>
      </c>
      <c r="O240" s="106">
        <f>94514.55/1000*1</f>
        <v>94.51455</v>
      </c>
      <c r="P240" s="89">
        <f t="shared" si="125"/>
        <v>-21.710680000000011</v>
      </c>
      <c r="Q240" s="26">
        <f t="shared" si="126"/>
        <v>-0.22970727787414752</v>
      </c>
      <c r="R240" s="106">
        <f>84474.37454/1000*1</f>
        <v>84.474374539999999</v>
      </c>
      <c r="S240" s="89">
        <f t="shared" si="127"/>
        <v>11.67050454000001</v>
      </c>
      <c r="T240" s="27">
        <f t="shared" si="128"/>
        <v>0.13815437644316425</v>
      </c>
      <c r="U240" s="105">
        <f>172483.44/1000*1</f>
        <v>172.48344</v>
      </c>
      <c r="V240" s="106">
        <f>199790.92/1000*1</f>
        <v>199.79092</v>
      </c>
      <c r="W240" s="89">
        <f t="shared" si="129"/>
        <v>-27.307479999999998</v>
      </c>
      <c r="X240" s="26">
        <f t="shared" si="130"/>
        <v>-0.13668028557053544</v>
      </c>
      <c r="Y240" s="106">
        <f>184153.94454/1000*1</f>
        <v>184.15394454</v>
      </c>
      <c r="Z240" s="89">
        <f t="shared" si="131"/>
        <v>11.670504539999996</v>
      </c>
      <c r="AA240" s="27">
        <f t="shared" si="132"/>
        <v>6.3373633234693222E-2</v>
      </c>
      <c r="AB240" s="107">
        <f>371518.57354/1000*1</f>
        <v>371.51857354000003</v>
      </c>
      <c r="AC240" s="1"/>
      <c r="AD240" s="1"/>
      <c r="AE240" s="1"/>
      <c r="AF240" s="1"/>
      <c r="AG240" s="1"/>
      <c r="AH240" s="1"/>
      <c r="AI240" s="1"/>
    </row>
    <row r="241" spans="1:35" ht="14.25" hidden="1" outlineLevel="1" x14ac:dyDescent="0.2">
      <c r="A241" s="1"/>
      <c r="B241" s="3"/>
      <c r="C241" s="3"/>
      <c r="D241" s="3" t="s">
        <v>59</v>
      </c>
      <c r="E241" s="3" t="s">
        <v>86</v>
      </c>
      <c r="F241" s="3">
        <v>842</v>
      </c>
      <c r="G241" s="105">
        <f>0/1000*1</f>
        <v>0</v>
      </c>
      <c r="H241" s="106">
        <f>0/1000*1</f>
        <v>0</v>
      </c>
      <c r="I241" s="89">
        <f t="shared" si="121"/>
        <v>0</v>
      </c>
      <c r="J241" s="26" t="str">
        <f t="shared" si="122"/>
        <v>N/A</v>
      </c>
      <c r="K241" s="106">
        <f>0/1000*1</f>
        <v>0</v>
      </c>
      <c r="L241" s="89">
        <f t="shared" si="123"/>
        <v>0</v>
      </c>
      <c r="M241" s="27" t="str">
        <f t="shared" si="124"/>
        <v>N/A</v>
      </c>
      <c r="N241" s="105">
        <f>0/1000*1</f>
        <v>0</v>
      </c>
      <c r="O241" s="106">
        <f>0/1000*1</f>
        <v>0</v>
      </c>
      <c r="P241" s="89">
        <f t="shared" si="125"/>
        <v>0</v>
      </c>
      <c r="Q241" s="26" t="str">
        <f t="shared" si="126"/>
        <v>N/A</v>
      </c>
      <c r="R241" s="106">
        <f>0/1000*1</f>
        <v>0</v>
      </c>
      <c r="S241" s="89">
        <f t="shared" si="127"/>
        <v>0</v>
      </c>
      <c r="T241" s="27" t="str">
        <f t="shared" si="128"/>
        <v>N/A</v>
      </c>
      <c r="U241" s="105">
        <f>0/1000*1</f>
        <v>0</v>
      </c>
      <c r="V241" s="106">
        <f>0/1000*1</f>
        <v>0</v>
      </c>
      <c r="W241" s="89">
        <f t="shared" si="129"/>
        <v>0</v>
      </c>
      <c r="X241" s="26" t="str">
        <f t="shared" si="130"/>
        <v>N/A</v>
      </c>
      <c r="Y241" s="106">
        <f>0/1000*1</f>
        <v>0</v>
      </c>
      <c r="Z241" s="89">
        <f t="shared" si="131"/>
        <v>0</v>
      </c>
      <c r="AA241" s="27" t="str">
        <f t="shared" si="132"/>
        <v>N/A</v>
      </c>
      <c r="AB241" s="107">
        <f>0/1000*1</f>
        <v>0</v>
      </c>
      <c r="AC241" s="1"/>
      <c r="AD241" s="1"/>
      <c r="AE241" s="1"/>
      <c r="AF241" s="1"/>
      <c r="AG241" s="1"/>
      <c r="AH241" s="1"/>
      <c r="AI241" s="1"/>
    </row>
    <row r="242" spans="1:35" ht="14.25" hidden="1" outlineLevel="1" x14ac:dyDescent="0.2">
      <c r="A242" s="1"/>
      <c r="B242" s="3"/>
      <c r="C242" s="3"/>
      <c r="D242" s="3"/>
      <c r="E242" s="3"/>
      <c r="F242" s="3"/>
      <c r="G242" s="105"/>
      <c r="H242" s="106"/>
      <c r="I242" s="89"/>
      <c r="J242" s="26"/>
      <c r="K242" s="106"/>
      <c r="L242" s="89"/>
      <c r="M242" s="27"/>
      <c r="N242" s="105"/>
      <c r="O242" s="106"/>
      <c r="P242" s="89"/>
      <c r="Q242" s="26"/>
      <c r="R242" s="106"/>
      <c r="S242" s="89"/>
      <c r="T242" s="27"/>
      <c r="U242" s="105"/>
      <c r="V242" s="106"/>
      <c r="W242" s="89"/>
      <c r="X242" s="26"/>
      <c r="Y242" s="106"/>
      <c r="Z242" s="89"/>
      <c r="AA242" s="27"/>
      <c r="AB242" s="107"/>
      <c r="AC242" s="1"/>
      <c r="AD242" s="1"/>
      <c r="AE242" s="1"/>
      <c r="AF242" s="1"/>
      <c r="AG242" s="1"/>
      <c r="AH242" s="1"/>
      <c r="AI242" s="1"/>
    </row>
    <row r="243" spans="1:35" ht="14.25" hidden="1" outlineLevel="1" x14ac:dyDescent="0.2">
      <c r="A243" s="1"/>
      <c r="B243" s="3"/>
      <c r="C243" s="3"/>
      <c r="D243" s="3"/>
      <c r="E243" s="3"/>
      <c r="F243" s="3"/>
      <c r="G243" s="105"/>
      <c r="H243" s="106"/>
      <c r="I243" s="89"/>
      <c r="J243" s="26"/>
      <c r="K243" s="106"/>
      <c r="L243" s="89"/>
      <c r="M243" s="27"/>
      <c r="N243" s="105"/>
      <c r="O243" s="106"/>
      <c r="P243" s="89"/>
      <c r="Q243" s="26"/>
      <c r="R243" s="106"/>
      <c r="S243" s="89"/>
      <c r="T243" s="27"/>
      <c r="U243" s="105"/>
      <c r="V243" s="106"/>
      <c r="W243" s="89"/>
      <c r="X243" s="26"/>
      <c r="Y243" s="106"/>
      <c r="Z243" s="89"/>
      <c r="AA243" s="27"/>
      <c r="AB243" s="107"/>
      <c r="AC243" s="1"/>
      <c r="AD243" s="1"/>
      <c r="AE243" s="1"/>
      <c r="AF243" s="1"/>
      <c r="AG243" s="1"/>
      <c r="AH243" s="1"/>
      <c r="AI243" s="1"/>
    </row>
    <row r="244" spans="1:35" ht="14.25" collapsed="1" x14ac:dyDescent="0.2">
      <c r="A244" s="1"/>
      <c r="B244" s="3" t="s">
        <v>60</v>
      </c>
      <c r="C244" s="3"/>
      <c r="D244" s="3"/>
      <c r="E244" s="3"/>
      <c r="F244" s="3"/>
      <c r="G244" s="102">
        <f>SUM(G245:G245)</f>
        <v>0</v>
      </c>
      <c r="H244" s="103">
        <f>SUM(H245:H245)</f>
        <v>0</v>
      </c>
      <c r="I244" s="89">
        <f>G244-H244</f>
        <v>0</v>
      </c>
      <c r="J244" s="26" t="str">
        <f>IF(ISERROR(I244/H244),"N/A",IF(ABS(I244/H244)&gt;5,"N/A",I244/H244))</f>
        <v>N/A</v>
      </c>
      <c r="K244" s="103">
        <f>SUM(K245:K245)</f>
        <v>0</v>
      </c>
      <c r="L244" s="89">
        <f>K244-G244</f>
        <v>0</v>
      </c>
      <c r="M244" s="27" t="str">
        <f>IF(ISERROR(L244/K244),"N/A",IF(ABS(L244/K244)&gt;5,"N/A",L244/K244))</f>
        <v>N/A</v>
      </c>
      <c r="N244" s="102">
        <f>SUM(N245:N245)</f>
        <v>0</v>
      </c>
      <c r="O244" s="103">
        <f>SUM(O245:O245)</f>
        <v>0</v>
      </c>
      <c r="P244" s="89">
        <f>N244-O244</f>
        <v>0</v>
      </c>
      <c r="Q244" s="26" t="str">
        <f>IF(ISERROR(P244/O244),"N/A",IF(ABS(P244/O244)&gt;5,"N/A",P244/O244))</f>
        <v>N/A</v>
      </c>
      <c r="R244" s="103">
        <f>SUM(R245:R245)</f>
        <v>0</v>
      </c>
      <c r="S244" s="89">
        <f>R244-N244</f>
        <v>0</v>
      </c>
      <c r="T244" s="27" t="str">
        <f>IF(ISERROR(S244/R244),"N/A",IF(ABS(S244/R244)&gt;5,"N/A",S244/R244))</f>
        <v>N/A</v>
      </c>
      <c r="U244" s="102">
        <f>SUM(U245:U245)</f>
        <v>0</v>
      </c>
      <c r="V244" s="103">
        <f>SUM(V245:V245)</f>
        <v>0</v>
      </c>
      <c r="W244" s="89">
        <f>U244-V244</f>
        <v>0</v>
      </c>
      <c r="X244" s="26" t="str">
        <f>IF(ISERROR(W244/V244),"N/A",IF(ABS(W244/V244)&gt;5,"N/A",W244/V244))</f>
        <v>N/A</v>
      </c>
      <c r="Y244" s="103">
        <f>SUM(Y245:Y245)</f>
        <v>0</v>
      </c>
      <c r="Z244" s="89">
        <f>Y244-U244</f>
        <v>0</v>
      </c>
      <c r="AA244" s="27" t="str">
        <f>IF(ISERROR(Z244/Y244),"N/A",IF(ABS(Z244/Y244)&gt;5,"N/A",Z244/Y244))</f>
        <v>N/A</v>
      </c>
      <c r="AB244" s="104">
        <f>SUM(AB245:AB245)</f>
        <v>0</v>
      </c>
      <c r="AC244" s="1"/>
      <c r="AD244" s="1"/>
      <c r="AE244" s="1"/>
      <c r="AF244" s="1"/>
      <c r="AG244" s="1"/>
      <c r="AH244" s="1"/>
      <c r="AI244" s="1"/>
    </row>
    <row r="245" spans="1:35" ht="14.25" hidden="1" outlineLevel="1" x14ac:dyDescent="0.2">
      <c r="A245" s="1"/>
      <c r="B245" s="3"/>
      <c r="C245" s="3"/>
      <c r="D245" s="3"/>
      <c r="E245" s="3"/>
      <c r="F245" s="3"/>
      <c r="G245" s="105"/>
      <c r="H245" s="106"/>
      <c r="I245" s="89"/>
      <c r="J245" s="26"/>
      <c r="K245" s="106"/>
      <c r="L245" s="89"/>
      <c r="M245" s="27"/>
      <c r="N245" s="105"/>
      <c r="O245" s="106"/>
      <c r="P245" s="89"/>
      <c r="Q245" s="26"/>
      <c r="R245" s="106"/>
      <c r="S245" s="89"/>
      <c r="T245" s="27"/>
      <c r="U245" s="105"/>
      <c r="V245" s="106"/>
      <c r="W245" s="89"/>
      <c r="X245" s="26"/>
      <c r="Y245" s="106"/>
      <c r="Z245" s="89"/>
      <c r="AA245" s="27"/>
      <c r="AB245" s="107"/>
      <c r="AC245" s="1"/>
      <c r="AD245" s="1"/>
      <c r="AE245" s="1"/>
      <c r="AF245" s="1"/>
      <c r="AG245" s="1"/>
      <c r="AH245" s="1"/>
      <c r="AI245" s="1"/>
    </row>
    <row r="246" spans="1:35" ht="14.25" hidden="1" outlineLevel="1" x14ac:dyDescent="0.2">
      <c r="A246" s="1"/>
      <c r="B246" s="3"/>
      <c r="C246" s="3"/>
      <c r="D246" s="3"/>
      <c r="E246" s="3"/>
      <c r="F246" s="3"/>
      <c r="G246" s="105"/>
      <c r="H246" s="106"/>
      <c r="I246" s="89"/>
      <c r="J246" s="26"/>
      <c r="K246" s="106"/>
      <c r="L246" s="89"/>
      <c r="M246" s="27"/>
      <c r="N246" s="105"/>
      <c r="O246" s="106"/>
      <c r="P246" s="89"/>
      <c r="Q246" s="26"/>
      <c r="R246" s="106"/>
      <c r="S246" s="89"/>
      <c r="T246" s="27"/>
      <c r="U246" s="105"/>
      <c r="V246" s="106"/>
      <c r="W246" s="89"/>
      <c r="X246" s="26"/>
      <c r="Y246" s="106"/>
      <c r="Z246" s="89"/>
      <c r="AA246" s="27"/>
      <c r="AB246" s="107"/>
      <c r="AC246" s="1"/>
      <c r="AD246" s="1"/>
      <c r="AE246" s="1"/>
      <c r="AF246" s="1"/>
      <c r="AG246" s="1"/>
      <c r="AH246" s="1"/>
      <c r="AI246" s="1"/>
    </row>
    <row r="247" spans="1:35" ht="14.25" collapsed="1" x14ac:dyDescent="0.2">
      <c r="A247" s="1"/>
      <c r="B247" s="3" t="s">
        <v>62</v>
      </c>
      <c r="C247" s="3"/>
      <c r="D247" s="3"/>
      <c r="E247" s="3"/>
      <c r="F247" s="3"/>
      <c r="G247" s="102">
        <f>SUM(G248:G251)</f>
        <v>86.857139999999987</v>
      </c>
      <c r="H247" s="103">
        <f>SUM(H248:H251)</f>
        <v>2.1605300000000001</v>
      </c>
      <c r="I247" s="89">
        <f>G247-H247</f>
        <v>84.696609999999993</v>
      </c>
      <c r="J247" s="26" t="str">
        <f>IF(ISERROR(I247/H247),"N/A",IF(ABS(I247/H247)&gt;5,"N/A",I247/H247))</f>
        <v>N/A</v>
      </c>
      <c r="K247" s="103">
        <f>SUM(K248:K251)</f>
        <v>78.821600000000004</v>
      </c>
      <c r="L247" s="89">
        <f>K247-G247</f>
        <v>-8.0355399999999833</v>
      </c>
      <c r="M247" s="27">
        <f>IF(ISERROR(L247/K247),"N/A",IF(ABS(L247/K247)&gt;5,"N/A",L247/K247))</f>
        <v>-0.10194591330295227</v>
      </c>
      <c r="N247" s="102">
        <f>SUM(N248:N251)</f>
        <v>249.15959000000001</v>
      </c>
      <c r="O247" s="103">
        <f>SUM(O248:O251)</f>
        <v>11.50296</v>
      </c>
      <c r="P247" s="89">
        <f>N247-O247</f>
        <v>237.65663000000001</v>
      </c>
      <c r="Q247" s="26" t="str">
        <f>IF(ISERROR(P247/O247),"N/A",IF(ABS(P247/O247)&gt;5,"N/A",P247/O247))</f>
        <v>N/A</v>
      </c>
      <c r="R247" s="103">
        <f>SUM(R248:R251)</f>
        <v>263.58936000000006</v>
      </c>
      <c r="S247" s="89">
        <f>R247-N247</f>
        <v>14.429770000000048</v>
      </c>
      <c r="T247" s="27">
        <f>IF(ISERROR(S247/R247),"N/A",IF(ABS(S247/R247)&gt;5,"N/A",S247/R247))</f>
        <v>5.4743370521481004E-2</v>
      </c>
      <c r="U247" s="102">
        <f>SUM(U248:U251)</f>
        <v>530.29683999999997</v>
      </c>
      <c r="V247" s="103">
        <f>SUM(V248:V251)</f>
        <v>24.421490000000002</v>
      </c>
      <c r="W247" s="89">
        <f>U247-V247</f>
        <v>505.87534999999997</v>
      </c>
      <c r="X247" s="26" t="str">
        <f>IF(ISERROR(W247/V247),"N/A",IF(ABS(W247/V247)&gt;5,"N/A",W247/V247))</f>
        <v>N/A</v>
      </c>
      <c r="Y247" s="103">
        <f>SUM(Y248:Y251)</f>
        <v>544.72660999999994</v>
      </c>
      <c r="Z247" s="89">
        <f>Y247-U247</f>
        <v>14.429769999999962</v>
      </c>
      <c r="AA247" s="27">
        <f>IF(ISERROR(Z247/Y247),"N/A",IF(ABS(Z247/Y247)&gt;5,"N/A",Z247/Y247))</f>
        <v>2.648993042583318E-2</v>
      </c>
      <c r="AB247" s="104">
        <f>SUM(AB248:AB251)</f>
        <v>952.50629000000004</v>
      </c>
      <c r="AC247" s="1"/>
      <c r="AD247" s="1"/>
      <c r="AE247" s="1"/>
      <c r="AF247" s="1"/>
      <c r="AG247" s="1"/>
      <c r="AH247" s="1"/>
      <c r="AI247" s="1"/>
    </row>
    <row r="248" spans="1:35" ht="14.25" hidden="1" outlineLevel="1" x14ac:dyDescent="0.2">
      <c r="A248" s="1"/>
      <c r="B248" s="3"/>
      <c r="C248" s="3"/>
      <c r="D248" s="3" t="s">
        <v>62</v>
      </c>
      <c r="E248" s="3" t="s">
        <v>79</v>
      </c>
      <c r="F248" s="3">
        <v>861</v>
      </c>
      <c r="G248" s="105">
        <f>0/1000*1</f>
        <v>0</v>
      </c>
      <c r="H248" s="106">
        <f>0/1000*1</f>
        <v>0</v>
      </c>
      <c r="I248" s="89">
        <f>G248-H248</f>
        <v>0</v>
      </c>
      <c r="J248" s="26" t="str">
        <f>IF(ISERROR(I248/H248),"N/A",IF(ABS(I248/H248)&gt;5,"N/A",I248/H248))</f>
        <v>N/A</v>
      </c>
      <c r="K248" s="106">
        <f>78821.6/1000*1</f>
        <v>78.821600000000004</v>
      </c>
      <c r="L248" s="89">
        <f>K248-G248</f>
        <v>78.821600000000004</v>
      </c>
      <c r="M248" s="27">
        <f>IF(ISERROR(L248/K248),"N/A",IF(ABS(L248/K248)&gt;5,"N/A",L248/K248))</f>
        <v>1</v>
      </c>
      <c r="N248" s="105">
        <f>0/1000*1</f>
        <v>0</v>
      </c>
      <c r="O248" s="106">
        <f>0/1000*1</f>
        <v>0</v>
      </c>
      <c r="P248" s="89">
        <f>N248-O248</f>
        <v>0</v>
      </c>
      <c r="Q248" s="26" t="str">
        <f>IF(ISERROR(P248/O248),"N/A",IF(ABS(P248/O248)&gt;5,"N/A",P248/O248))</f>
        <v>N/A</v>
      </c>
      <c r="R248" s="106">
        <f>179093.2/1000*1</f>
        <v>179.09320000000002</v>
      </c>
      <c r="S248" s="89">
        <f>R248-N248</f>
        <v>179.09320000000002</v>
      </c>
      <c r="T248" s="27">
        <f>IF(ISERROR(S248/R248),"N/A",IF(ABS(S248/R248)&gt;5,"N/A",S248/R248))</f>
        <v>1</v>
      </c>
      <c r="U248" s="105">
        <f>0/1000*1</f>
        <v>0</v>
      </c>
      <c r="V248" s="106">
        <f>0/1000*1</f>
        <v>0</v>
      </c>
      <c r="W248" s="89">
        <f>U248-V248</f>
        <v>0</v>
      </c>
      <c r="X248" s="26" t="str">
        <f>IF(ISERROR(W248/V248),"N/A",IF(ABS(W248/V248)&gt;5,"N/A",W248/V248))</f>
        <v>N/A</v>
      </c>
      <c r="Y248" s="106">
        <f>179093.2/1000*1</f>
        <v>179.09320000000002</v>
      </c>
      <c r="Z248" s="89">
        <f>Y248-U248</f>
        <v>179.09320000000002</v>
      </c>
      <c r="AA248" s="27">
        <f>IF(ISERROR(Z248/Y248),"N/A",IF(ABS(Z248/Y248)&gt;5,"N/A",Z248/Y248))</f>
        <v>1</v>
      </c>
      <c r="AB248" s="107">
        <f>586872.88/1000*1</f>
        <v>586.87288000000001</v>
      </c>
      <c r="AC248" s="1"/>
      <c r="AD248" s="1"/>
      <c r="AE248" s="1"/>
      <c r="AF248" s="1"/>
      <c r="AG248" s="1"/>
      <c r="AH248" s="1"/>
      <c r="AI248" s="1"/>
    </row>
    <row r="249" spans="1:35" ht="14.25" hidden="1" outlineLevel="1" x14ac:dyDescent="0.2">
      <c r="A249" s="1"/>
      <c r="B249" s="3"/>
      <c r="C249" s="3"/>
      <c r="D249" s="3" t="s">
        <v>62</v>
      </c>
      <c r="E249" s="3" t="s">
        <v>83</v>
      </c>
      <c r="F249" s="3">
        <v>861</v>
      </c>
      <c r="G249" s="105">
        <f>82811.09/1000*1</f>
        <v>82.811089999999993</v>
      </c>
      <c r="H249" s="106">
        <f>0/1000*1</f>
        <v>0</v>
      </c>
      <c r="I249" s="89">
        <f>G249-H249</f>
        <v>82.811089999999993</v>
      </c>
      <c r="J249" s="26" t="str">
        <f>IF(ISERROR(I249/H249),"N/A",IF(ABS(I249/H249)&gt;5,"N/A",I249/H249))</f>
        <v>N/A</v>
      </c>
      <c r="K249" s="106">
        <f>0/1000*1</f>
        <v>0</v>
      </c>
      <c r="L249" s="89">
        <f>K249-G249</f>
        <v>-82.811089999999993</v>
      </c>
      <c r="M249" s="27" t="str">
        <f>IF(ISERROR(L249/K249),"N/A",IF(ABS(L249/K249)&gt;5,"N/A",L249/K249))</f>
        <v>N/A</v>
      </c>
      <c r="N249" s="105">
        <f>240188.98/1000*1</f>
        <v>240.18898000000002</v>
      </c>
      <c r="O249" s="106">
        <f>0/1000*1</f>
        <v>0</v>
      </c>
      <c r="P249" s="89">
        <f>N249-O249</f>
        <v>240.18898000000002</v>
      </c>
      <c r="Q249" s="26" t="str">
        <f>IF(ISERROR(P249/O249),"N/A",IF(ABS(P249/O249)&gt;5,"N/A",P249/O249))</f>
        <v>N/A</v>
      </c>
      <c r="R249" s="106">
        <f>80580.98/1000*1</f>
        <v>80.580979999999997</v>
      </c>
      <c r="S249" s="89">
        <f>R249-N249</f>
        <v>-159.608</v>
      </c>
      <c r="T249" s="27">
        <f>IF(ISERROR(S249/R249),"N/A",IF(ABS(S249/R249)&gt;5,"N/A",S249/R249))</f>
        <v>-1.9807155485078489</v>
      </c>
      <c r="U249" s="105">
        <f>509022.47/1000*1</f>
        <v>509.02247</v>
      </c>
      <c r="V249" s="106">
        <f>0/1000*1</f>
        <v>0</v>
      </c>
      <c r="W249" s="89">
        <f>U249-V249</f>
        <v>509.02247</v>
      </c>
      <c r="X249" s="26" t="str">
        <f>IF(ISERROR(W249/V249),"N/A",IF(ABS(W249/V249)&gt;5,"N/A",W249/V249))</f>
        <v>N/A</v>
      </c>
      <c r="Y249" s="106">
        <f>349414.47/1000*1</f>
        <v>349.41446999999999</v>
      </c>
      <c r="Z249" s="89">
        <f>Y249-U249</f>
        <v>-159.608</v>
      </c>
      <c r="AA249" s="27">
        <f>IF(ISERROR(Z249/Y249),"N/A",IF(ABS(Z249/Y249)&gt;5,"N/A",Z249/Y249))</f>
        <v>-0.45678703575155316</v>
      </c>
      <c r="AB249" s="107">
        <f>349414.47/1000*1</f>
        <v>349.41446999999999</v>
      </c>
      <c r="AC249" s="1"/>
      <c r="AD249" s="1"/>
      <c r="AE249" s="1"/>
      <c r="AF249" s="1"/>
      <c r="AG249" s="1"/>
      <c r="AH249" s="1"/>
      <c r="AI249" s="1"/>
    </row>
    <row r="250" spans="1:35" ht="14.25" hidden="1" outlineLevel="1" x14ac:dyDescent="0.2">
      <c r="A250" s="1"/>
      <c r="B250" s="3"/>
      <c r="C250" s="3"/>
      <c r="D250" s="3" t="s">
        <v>62</v>
      </c>
      <c r="E250" s="3" t="s">
        <v>84</v>
      </c>
      <c r="F250" s="3">
        <v>860</v>
      </c>
      <c r="G250" s="105">
        <f>4046.05/1000*1</f>
        <v>4.0460500000000001</v>
      </c>
      <c r="H250" s="106">
        <f>2160.53/1000*1</f>
        <v>2.1605300000000001</v>
      </c>
      <c r="I250" s="89">
        <f>G250-H250</f>
        <v>1.8855200000000001</v>
      </c>
      <c r="J250" s="26">
        <f>IF(ISERROR(I250/H250),"N/A",IF(ABS(I250/H250)&gt;5,"N/A",I250/H250))</f>
        <v>0.87271178831120144</v>
      </c>
      <c r="K250" s="106">
        <f>0/1000*1</f>
        <v>0</v>
      </c>
      <c r="L250" s="89">
        <f>K250-G250</f>
        <v>-4.0460500000000001</v>
      </c>
      <c r="M250" s="27" t="str">
        <f>IF(ISERROR(L250/K250),"N/A",IF(ABS(L250/K250)&gt;5,"N/A",L250/K250))</f>
        <v>N/A</v>
      </c>
      <c r="N250" s="105">
        <f>8970.61/1000*1</f>
        <v>8.9706100000000006</v>
      </c>
      <c r="O250" s="106">
        <f>11502.96/1000*1</f>
        <v>11.50296</v>
      </c>
      <c r="P250" s="89">
        <f>N250-O250</f>
        <v>-2.5323499999999992</v>
      </c>
      <c r="Q250" s="26">
        <f>IF(ISERROR(P250/O250),"N/A",IF(ABS(P250/O250)&gt;5,"N/A",P250/O250))</f>
        <v>-0.22014768372662336</v>
      </c>
      <c r="R250" s="106">
        <f>3915.18/1000*1</f>
        <v>3.9151799999999999</v>
      </c>
      <c r="S250" s="89">
        <f>R250-N250</f>
        <v>-5.0554300000000012</v>
      </c>
      <c r="T250" s="27">
        <f>IF(ISERROR(S250/R250),"N/A",IF(ABS(S250/R250)&gt;5,"N/A",S250/R250))</f>
        <v>-1.2912382061616583</v>
      </c>
      <c r="U250" s="105">
        <f>21274.37/1000*1</f>
        <v>21.274369999999998</v>
      </c>
      <c r="V250" s="106">
        <f>24421.49/1000*1</f>
        <v>24.421490000000002</v>
      </c>
      <c r="W250" s="89">
        <f>U250-V250</f>
        <v>-3.1471200000000046</v>
      </c>
      <c r="X250" s="26">
        <f>IF(ISERROR(W250/V250),"N/A",IF(ABS(W250/V250)&gt;5,"N/A",W250/V250))</f>
        <v>-0.12886682999276475</v>
      </c>
      <c r="Y250" s="106">
        <f>16218.94/1000*1</f>
        <v>16.21894</v>
      </c>
      <c r="Z250" s="89">
        <f>Y250-U250</f>
        <v>-5.0554299999999976</v>
      </c>
      <c r="AA250" s="27">
        <f>IF(ISERROR(Z250/Y250),"N/A",IF(ABS(Z250/Y250)&gt;5,"N/A",Z250/Y250))</f>
        <v>-0.31169916159749017</v>
      </c>
      <c r="AB250" s="107">
        <f>16218.94/1000*1</f>
        <v>16.21894</v>
      </c>
      <c r="AC250" s="1"/>
      <c r="AD250" s="1"/>
      <c r="AE250" s="1"/>
      <c r="AF250" s="1"/>
      <c r="AG250" s="1"/>
      <c r="AH250" s="1"/>
      <c r="AI250" s="1"/>
    </row>
    <row r="251" spans="1:35" ht="14.25" hidden="1" outlineLevel="1" x14ac:dyDescent="0.2">
      <c r="A251" s="1"/>
      <c r="B251" s="3"/>
      <c r="C251" s="3"/>
      <c r="D251" s="3"/>
      <c r="E251" s="3"/>
      <c r="F251" s="3"/>
      <c r="G251" s="105"/>
      <c r="H251" s="106"/>
      <c r="I251" s="89"/>
      <c r="J251" s="26"/>
      <c r="K251" s="106"/>
      <c r="L251" s="89"/>
      <c r="M251" s="27"/>
      <c r="N251" s="105"/>
      <c r="O251" s="106"/>
      <c r="P251" s="89"/>
      <c r="Q251" s="26"/>
      <c r="R251" s="106"/>
      <c r="S251" s="89"/>
      <c r="T251" s="27"/>
      <c r="U251" s="105"/>
      <c r="V251" s="106"/>
      <c r="W251" s="89"/>
      <c r="X251" s="26"/>
      <c r="Y251" s="106"/>
      <c r="Z251" s="89"/>
      <c r="AA251" s="27"/>
      <c r="AB251" s="107"/>
      <c r="AC251" s="1"/>
      <c r="AD251" s="1"/>
      <c r="AE251" s="1"/>
      <c r="AF251" s="1"/>
      <c r="AG251" s="1"/>
      <c r="AH251" s="1"/>
      <c r="AI251" s="1"/>
    </row>
    <row r="252" spans="1:35" ht="14.25" hidden="1" outlineLevel="1" x14ac:dyDescent="0.2">
      <c r="A252" s="1"/>
      <c r="B252" s="3"/>
      <c r="C252" s="3"/>
      <c r="D252" s="3"/>
      <c r="E252" s="3"/>
      <c r="F252" s="3"/>
      <c r="G252" s="105"/>
      <c r="H252" s="106"/>
      <c r="I252" s="89"/>
      <c r="J252" s="26"/>
      <c r="K252" s="106"/>
      <c r="L252" s="89"/>
      <c r="M252" s="27"/>
      <c r="N252" s="105"/>
      <c r="O252" s="106"/>
      <c r="P252" s="89"/>
      <c r="Q252" s="26"/>
      <c r="R252" s="106"/>
      <c r="S252" s="89"/>
      <c r="T252" s="27"/>
      <c r="U252" s="105"/>
      <c r="V252" s="106"/>
      <c r="W252" s="89"/>
      <c r="X252" s="26"/>
      <c r="Y252" s="106"/>
      <c r="Z252" s="89"/>
      <c r="AA252" s="27"/>
      <c r="AB252" s="107"/>
      <c r="AC252" s="1"/>
      <c r="AD252" s="1"/>
      <c r="AE252" s="1"/>
      <c r="AF252" s="1"/>
      <c r="AG252" s="1"/>
      <c r="AH252" s="1"/>
      <c r="AI252" s="1"/>
    </row>
    <row r="253" spans="1:35" ht="14.25" collapsed="1" x14ac:dyDescent="0.2">
      <c r="A253" s="1"/>
      <c r="B253" s="3" t="s">
        <v>63</v>
      </c>
      <c r="C253" s="3"/>
      <c r="D253" s="3"/>
      <c r="E253" s="3"/>
      <c r="F253" s="3"/>
      <c r="G253" s="102">
        <f>SUM(G254:G255)</f>
        <v>0</v>
      </c>
      <c r="H253" s="103">
        <f>SUM(H254:H255)</f>
        <v>0</v>
      </c>
      <c r="I253" s="89">
        <f>G253-H253</f>
        <v>0</v>
      </c>
      <c r="J253" s="26" t="str">
        <f>IF(ISERROR(I253/H253),"N/A",IF(ABS(I253/H253)&gt;5,"N/A",I253/H253))</f>
        <v>N/A</v>
      </c>
      <c r="K253" s="103">
        <f>SUM(K254:K255)</f>
        <v>0</v>
      </c>
      <c r="L253" s="89">
        <f>K253-G253</f>
        <v>0</v>
      </c>
      <c r="M253" s="27" t="str">
        <f>IF(ISERROR(L253/K253),"N/A",IF(ABS(L253/K253)&gt;5,"N/A",L253/K253))</f>
        <v>N/A</v>
      </c>
      <c r="N253" s="102">
        <f>SUM(N254:N255)</f>
        <v>0</v>
      </c>
      <c r="O253" s="103">
        <f>SUM(O254:O255)</f>
        <v>0</v>
      </c>
      <c r="P253" s="89">
        <f>N253-O253</f>
        <v>0</v>
      </c>
      <c r="Q253" s="26" t="str">
        <f>IF(ISERROR(P253/O253),"N/A",IF(ABS(P253/O253)&gt;5,"N/A",P253/O253))</f>
        <v>N/A</v>
      </c>
      <c r="R253" s="103">
        <f>SUM(R254:R255)</f>
        <v>0</v>
      </c>
      <c r="S253" s="89">
        <f>R253-N253</f>
        <v>0</v>
      </c>
      <c r="T253" s="27" t="str">
        <f>IF(ISERROR(S253/R253),"N/A",IF(ABS(S253/R253)&gt;5,"N/A",S253/R253))</f>
        <v>N/A</v>
      </c>
      <c r="U253" s="102">
        <f>SUM(U254:U255)</f>
        <v>0</v>
      </c>
      <c r="V253" s="103">
        <f>SUM(V254:V255)</f>
        <v>0</v>
      </c>
      <c r="W253" s="89">
        <f>U253-V253</f>
        <v>0</v>
      </c>
      <c r="X253" s="26" t="str">
        <f>IF(ISERROR(W253/V253),"N/A",IF(ABS(W253/V253)&gt;5,"N/A",W253/V253))</f>
        <v>N/A</v>
      </c>
      <c r="Y253" s="103">
        <f>SUM(Y254:Y255)</f>
        <v>0</v>
      </c>
      <c r="Z253" s="89">
        <f>Y253-U253</f>
        <v>0</v>
      </c>
      <c r="AA253" s="27" t="str">
        <f>IF(ISERROR(Z253/Y253),"N/A",IF(ABS(Z253/Y253)&gt;5,"N/A",Z253/Y253))</f>
        <v>N/A</v>
      </c>
      <c r="AB253" s="104">
        <f>SUM(AB254:AB255)</f>
        <v>0</v>
      </c>
      <c r="AC253" s="1"/>
      <c r="AD253" s="1"/>
      <c r="AE253" s="1"/>
      <c r="AF253" s="1"/>
      <c r="AG253" s="1"/>
      <c r="AH253" s="1"/>
      <c r="AI253" s="1"/>
    </row>
    <row r="254" spans="1:35" ht="14.25" hidden="1" outlineLevel="1" x14ac:dyDescent="0.2">
      <c r="A254" s="1"/>
      <c r="B254" s="3"/>
      <c r="C254" s="3"/>
      <c r="D254" s="3" t="s">
        <v>64</v>
      </c>
      <c r="E254" s="3" t="s">
        <v>79</v>
      </c>
      <c r="F254" s="3">
        <v>641</v>
      </c>
      <c r="G254" s="105">
        <f>0/1000*1</f>
        <v>0</v>
      </c>
      <c r="H254" s="106">
        <f>0/1000*1</f>
        <v>0</v>
      </c>
      <c r="I254" s="89">
        <f>G254-H254</f>
        <v>0</v>
      </c>
      <c r="J254" s="26" t="str">
        <f>IF(ISERROR(I254/H254),"N/A",IF(ABS(I254/H254)&gt;5,"N/A",I254/H254))</f>
        <v>N/A</v>
      </c>
      <c r="K254" s="106">
        <f>0/1000*1</f>
        <v>0</v>
      </c>
      <c r="L254" s="89">
        <f>K254-G254</f>
        <v>0</v>
      </c>
      <c r="M254" s="27" t="str">
        <f>IF(ISERROR(L254/K254),"N/A",IF(ABS(L254/K254)&gt;5,"N/A",L254/K254))</f>
        <v>N/A</v>
      </c>
      <c r="N254" s="105">
        <f>0/1000*1</f>
        <v>0</v>
      </c>
      <c r="O254" s="106">
        <f>0/1000*1</f>
        <v>0</v>
      </c>
      <c r="P254" s="89">
        <f>N254-O254</f>
        <v>0</v>
      </c>
      <c r="Q254" s="26" t="str">
        <f>IF(ISERROR(P254/O254),"N/A",IF(ABS(P254/O254)&gt;5,"N/A",P254/O254))</f>
        <v>N/A</v>
      </c>
      <c r="R254" s="106">
        <f>0/1000*1</f>
        <v>0</v>
      </c>
      <c r="S254" s="89">
        <f>R254-N254</f>
        <v>0</v>
      </c>
      <c r="T254" s="27" t="str">
        <f>IF(ISERROR(S254/R254),"N/A",IF(ABS(S254/R254)&gt;5,"N/A",S254/R254))</f>
        <v>N/A</v>
      </c>
      <c r="U254" s="105">
        <f>0/1000*1</f>
        <v>0</v>
      </c>
      <c r="V254" s="106">
        <f>0/1000*1</f>
        <v>0</v>
      </c>
      <c r="W254" s="89">
        <f>U254-V254</f>
        <v>0</v>
      </c>
      <c r="X254" s="26" t="str">
        <f>IF(ISERROR(W254/V254),"N/A",IF(ABS(W254/V254)&gt;5,"N/A",W254/V254))</f>
        <v>N/A</v>
      </c>
      <c r="Y254" s="106">
        <f>0/1000*1</f>
        <v>0</v>
      </c>
      <c r="Z254" s="89">
        <f>Y254-U254</f>
        <v>0</v>
      </c>
      <c r="AA254" s="27" t="str">
        <f>IF(ISERROR(Z254/Y254),"N/A",IF(ABS(Z254/Y254)&gt;5,"N/A",Z254/Y254))</f>
        <v>N/A</v>
      </c>
      <c r="AB254" s="107">
        <f>0/1000*1</f>
        <v>0</v>
      </c>
      <c r="AC254" s="1"/>
      <c r="AD254" s="1"/>
      <c r="AE254" s="1"/>
      <c r="AF254" s="1"/>
      <c r="AG254" s="1"/>
      <c r="AH254" s="1"/>
      <c r="AI254" s="1"/>
    </row>
    <row r="255" spans="1:35" ht="14.25" hidden="1" outlineLevel="1" x14ac:dyDescent="0.2">
      <c r="A255" s="1"/>
      <c r="B255" s="3"/>
      <c r="C255" s="3"/>
      <c r="D255" s="3"/>
      <c r="E255" s="3"/>
      <c r="F255" s="3"/>
      <c r="G255" s="105"/>
      <c r="H255" s="106"/>
      <c r="I255" s="89"/>
      <c r="J255" s="26"/>
      <c r="K255" s="106"/>
      <c r="L255" s="89"/>
      <c r="M255" s="27"/>
      <c r="N255" s="105"/>
      <c r="O255" s="106"/>
      <c r="P255" s="89"/>
      <c r="Q255" s="26"/>
      <c r="R255" s="106"/>
      <c r="S255" s="89"/>
      <c r="T255" s="27"/>
      <c r="U255" s="105"/>
      <c r="V255" s="106"/>
      <c r="W255" s="89"/>
      <c r="X255" s="26"/>
      <c r="Y255" s="106"/>
      <c r="Z255" s="89"/>
      <c r="AA255" s="27"/>
      <c r="AB255" s="107"/>
      <c r="AC255" s="1"/>
      <c r="AD255" s="1"/>
      <c r="AE255" s="1"/>
      <c r="AF255" s="1"/>
      <c r="AG255" s="1"/>
      <c r="AH255" s="1"/>
      <c r="AI255" s="1"/>
    </row>
    <row r="256" spans="1:35" ht="14.25" hidden="1" outlineLevel="1" x14ac:dyDescent="0.2">
      <c r="A256" s="1"/>
      <c r="B256" s="3"/>
      <c r="C256" s="3"/>
      <c r="D256" s="3"/>
      <c r="E256" s="3"/>
      <c r="F256" s="3"/>
      <c r="G256" s="105"/>
      <c r="H256" s="106"/>
      <c r="I256" s="89"/>
      <c r="J256" s="26"/>
      <c r="K256" s="106"/>
      <c r="L256" s="89"/>
      <c r="M256" s="27"/>
      <c r="N256" s="105"/>
      <c r="O256" s="106"/>
      <c r="P256" s="89"/>
      <c r="Q256" s="26"/>
      <c r="R256" s="106"/>
      <c r="S256" s="89"/>
      <c r="T256" s="27"/>
      <c r="U256" s="105"/>
      <c r="V256" s="106"/>
      <c r="W256" s="89"/>
      <c r="X256" s="26"/>
      <c r="Y256" s="106"/>
      <c r="Z256" s="89"/>
      <c r="AA256" s="27"/>
      <c r="AB256" s="107"/>
      <c r="AC256" s="1"/>
      <c r="AD256" s="1"/>
      <c r="AE256" s="1"/>
      <c r="AF256" s="1"/>
      <c r="AG256" s="1"/>
      <c r="AH256" s="1"/>
      <c r="AI256" s="1"/>
    </row>
    <row r="257" spans="1:35" ht="14.25" collapsed="1" x14ac:dyDescent="0.2">
      <c r="A257" s="1"/>
      <c r="B257" s="3" t="s">
        <v>65</v>
      </c>
      <c r="C257" s="3"/>
      <c r="D257" s="3"/>
      <c r="E257" s="3"/>
      <c r="F257" s="3"/>
      <c r="G257" s="102">
        <f>SUM(G258:G258)</f>
        <v>0</v>
      </c>
      <c r="H257" s="103">
        <f>SUM(H258:H258)</f>
        <v>0</v>
      </c>
      <c r="I257" s="89">
        <f>G257-H257</f>
        <v>0</v>
      </c>
      <c r="J257" s="26" t="str">
        <f>IF(ISERROR(I257/H257),"N/A",IF(ABS(I257/H257)&gt;5,"N/A",I257/H257))</f>
        <v>N/A</v>
      </c>
      <c r="K257" s="103">
        <f>SUM(K258:K258)</f>
        <v>0</v>
      </c>
      <c r="L257" s="89">
        <f>K257-G257</f>
        <v>0</v>
      </c>
      <c r="M257" s="27" t="str">
        <f>IF(ISERROR(L257/K257),"N/A",IF(ABS(L257/K257)&gt;5,"N/A",L257/K257))</f>
        <v>N/A</v>
      </c>
      <c r="N257" s="102">
        <f>SUM(N258:N258)</f>
        <v>0</v>
      </c>
      <c r="O257" s="103">
        <f>SUM(O258:O258)</f>
        <v>0</v>
      </c>
      <c r="P257" s="89">
        <f>N257-O257</f>
        <v>0</v>
      </c>
      <c r="Q257" s="26" t="str">
        <f>IF(ISERROR(P257/O257),"N/A",IF(ABS(P257/O257)&gt;5,"N/A",P257/O257))</f>
        <v>N/A</v>
      </c>
      <c r="R257" s="103">
        <f>SUM(R258:R258)</f>
        <v>0</v>
      </c>
      <c r="S257" s="89">
        <f>R257-N257</f>
        <v>0</v>
      </c>
      <c r="T257" s="27" t="str">
        <f>IF(ISERROR(S257/R257),"N/A",IF(ABS(S257/R257)&gt;5,"N/A",S257/R257))</f>
        <v>N/A</v>
      </c>
      <c r="U257" s="102">
        <f>SUM(U258:U258)</f>
        <v>0</v>
      </c>
      <c r="V257" s="103">
        <f>SUM(V258:V258)</f>
        <v>0</v>
      </c>
      <c r="W257" s="89">
        <f>U257-V257</f>
        <v>0</v>
      </c>
      <c r="X257" s="26" t="str">
        <f>IF(ISERROR(W257/V257),"N/A",IF(ABS(W257/V257)&gt;5,"N/A",W257/V257))</f>
        <v>N/A</v>
      </c>
      <c r="Y257" s="103">
        <f>SUM(Y258:Y258)</f>
        <v>0</v>
      </c>
      <c r="Z257" s="89">
        <f>Y257-U257</f>
        <v>0</v>
      </c>
      <c r="AA257" s="27" t="str">
        <f>IF(ISERROR(Z257/Y257),"N/A",IF(ABS(Z257/Y257)&gt;5,"N/A",Z257/Y257))</f>
        <v>N/A</v>
      </c>
      <c r="AB257" s="104">
        <f>SUM(AB258:AB258)</f>
        <v>0</v>
      </c>
      <c r="AC257" s="1"/>
      <c r="AD257" s="1"/>
      <c r="AE257" s="1"/>
      <c r="AF257" s="1"/>
      <c r="AG257" s="1"/>
      <c r="AH257" s="1"/>
      <c r="AI257" s="1"/>
    </row>
    <row r="258" spans="1:35" ht="14.25" hidden="1" outlineLevel="1" x14ac:dyDescent="0.2">
      <c r="A258" s="1"/>
      <c r="B258" s="3"/>
      <c r="C258" s="3"/>
      <c r="D258" s="3"/>
      <c r="E258" s="3"/>
      <c r="F258" s="3"/>
      <c r="G258" s="105"/>
      <c r="H258" s="106"/>
      <c r="I258" s="89"/>
      <c r="J258" s="26"/>
      <c r="K258" s="106"/>
      <c r="L258" s="89"/>
      <c r="M258" s="27"/>
      <c r="N258" s="105"/>
      <c r="O258" s="106"/>
      <c r="P258" s="89"/>
      <c r="Q258" s="26"/>
      <c r="R258" s="106"/>
      <c r="S258" s="89"/>
      <c r="T258" s="27"/>
      <c r="U258" s="105"/>
      <c r="V258" s="106"/>
      <c r="W258" s="89"/>
      <c r="X258" s="26"/>
      <c r="Y258" s="106"/>
      <c r="Z258" s="89"/>
      <c r="AA258" s="27"/>
      <c r="AB258" s="107"/>
      <c r="AC258" s="1"/>
      <c r="AD258" s="1"/>
      <c r="AE258" s="1"/>
      <c r="AF258" s="1"/>
      <c r="AG258" s="1"/>
      <c r="AH258" s="1"/>
      <c r="AI258" s="1"/>
    </row>
    <row r="259" spans="1:35" ht="14.25" hidden="1" outlineLevel="1" x14ac:dyDescent="0.2">
      <c r="A259" s="1"/>
      <c r="B259" s="3"/>
      <c r="C259" s="3"/>
      <c r="D259" s="3"/>
      <c r="E259" s="3"/>
      <c r="F259" s="3"/>
      <c r="G259" s="105"/>
      <c r="H259" s="106"/>
      <c r="I259" s="89"/>
      <c r="J259" s="26"/>
      <c r="K259" s="106"/>
      <c r="L259" s="89"/>
      <c r="M259" s="27"/>
      <c r="N259" s="105"/>
      <c r="O259" s="106"/>
      <c r="P259" s="89"/>
      <c r="Q259" s="26"/>
      <c r="R259" s="106"/>
      <c r="S259" s="89"/>
      <c r="T259" s="27"/>
      <c r="U259" s="105"/>
      <c r="V259" s="106"/>
      <c r="W259" s="89"/>
      <c r="X259" s="26"/>
      <c r="Y259" s="106"/>
      <c r="Z259" s="89"/>
      <c r="AA259" s="27"/>
      <c r="AB259" s="107"/>
      <c r="AC259" s="1"/>
      <c r="AD259" s="1"/>
      <c r="AE259" s="1"/>
      <c r="AF259" s="1"/>
      <c r="AG259" s="1"/>
      <c r="AH259" s="1"/>
      <c r="AI259" s="1"/>
    </row>
    <row r="260" spans="1:35" ht="14.25" collapsed="1" x14ac:dyDescent="0.2">
      <c r="A260" s="1"/>
      <c r="B260" s="3" t="s">
        <v>66</v>
      </c>
      <c r="C260" s="3"/>
      <c r="D260" s="3"/>
      <c r="E260" s="3"/>
      <c r="F260" s="3"/>
      <c r="G260" s="102">
        <f>SUM(G261:G262)</f>
        <v>0</v>
      </c>
      <c r="H260" s="103">
        <f>SUM(H261:H262)</f>
        <v>0</v>
      </c>
      <c r="I260" s="89">
        <f>G260-H260</f>
        <v>0</v>
      </c>
      <c r="J260" s="26" t="str">
        <f>IF(ISERROR(I260/H260),"N/A",IF(ABS(I260/H260)&gt;5,"N/A",I260/H260))</f>
        <v>N/A</v>
      </c>
      <c r="K260" s="103">
        <f>SUM(K261:K262)</f>
        <v>0</v>
      </c>
      <c r="L260" s="89">
        <f>K260-G260</f>
        <v>0</v>
      </c>
      <c r="M260" s="27" t="str">
        <f>IF(ISERROR(L260/K260),"N/A",IF(ABS(L260/K260)&gt;5,"N/A",L260/K260))</f>
        <v>N/A</v>
      </c>
      <c r="N260" s="102">
        <f>SUM(N261:N262)</f>
        <v>0</v>
      </c>
      <c r="O260" s="103">
        <f>SUM(O261:O262)</f>
        <v>0</v>
      </c>
      <c r="P260" s="89">
        <f>N260-O260</f>
        <v>0</v>
      </c>
      <c r="Q260" s="26" t="str">
        <f>IF(ISERROR(P260/O260),"N/A",IF(ABS(P260/O260)&gt;5,"N/A",P260/O260))</f>
        <v>N/A</v>
      </c>
      <c r="R260" s="103">
        <f>SUM(R261:R262)</f>
        <v>0</v>
      </c>
      <c r="S260" s="89">
        <f>R260-N260</f>
        <v>0</v>
      </c>
      <c r="T260" s="27" t="str">
        <f>IF(ISERROR(S260/R260),"N/A",IF(ABS(S260/R260)&gt;5,"N/A",S260/R260))</f>
        <v>N/A</v>
      </c>
      <c r="U260" s="102">
        <f>SUM(U261:U262)</f>
        <v>0</v>
      </c>
      <c r="V260" s="103">
        <f>SUM(V261:V262)</f>
        <v>0</v>
      </c>
      <c r="W260" s="89">
        <f>U260-V260</f>
        <v>0</v>
      </c>
      <c r="X260" s="26" t="str">
        <f>IF(ISERROR(W260/V260),"N/A",IF(ABS(W260/V260)&gt;5,"N/A",W260/V260))</f>
        <v>N/A</v>
      </c>
      <c r="Y260" s="103">
        <f>SUM(Y261:Y262)</f>
        <v>0</v>
      </c>
      <c r="Z260" s="89">
        <f>Y260-U260</f>
        <v>0</v>
      </c>
      <c r="AA260" s="27" t="str">
        <f>IF(ISERROR(Z260/Y260),"N/A",IF(ABS(Z260/Y260)&gt;5,"N/A",Z260/Y260))</f>
        <v>N/A</v>
      </c>
      <c r="AB260" s="104">
        <f>SUM(AB261:AB262)</f>
        <v>0</v>
      </c>
      <c r="AC260" s="1"/>
      <c r="AD260" s="1"/>
      <c r="AE260" s="1"/>
      <c r="AF260" s="1"/>
      <c r="AG260" s="1"/>
      <c r="AH260" s="1"/>
      <c r="AI260" s="1"/>
    </row>
    <row r="261" spans="1:35" ht="14.25" hidden="1" outlineLevel="1" x14ac:dyDescent="0.2">
      <c r="A261" s="1"/>
      <c r="B261" s="3"/>
      <c r="C261" s="3"/>
      <c r="D261" s="3" t="s">
        <v>67</v>
      </c>
      <c r="E261" s="3" t="s">
        <v>84</v>
      </c>
      <c r="F261" s="3">
        <v>846</v>
      </c>
      <c r="G261" s="105">
        <f>0/1000*1</f>
        <v>0</v>
      </c>
      <c r="H261" s="106">
        <f>0/1000*1</f>
        <v>0</v>
      </c>
      <c r="I261" s="89">
        <f>G261-H261</f>
        <v>0</v>
      </c>
      <c r="J261" s="26" t="str">
        <f>IF(ISERROR(I261/H261),"N/A",IF(ABS(I261/H261)&gt;5,"N/A",I261/H261))</f>
        <v>N/A</v>
      </c>
      <c r="K261" s="106">
        <f>0/1000*1</f>
        <v>0</v>
      </c>
      <c r="L261" s="89">
        <f>K261-G261</f>
        <v>0</v>
      </c>
      <c r="M261" s="27" t="str">
        <f>IF(ISERROR(L261/K261),"N/A",IF(ABS(L261/K261)&gt;5,"N/A",L261/K261))</f>
        <v>N/A</v>
      </c>
      <c r="N261" s="105">
        <f>0/1000*1</f>
        <v>0</v>
      </c>
      <c r="O261" s="106">
        <f>0/1000*1</f>
        <v>0</v>
      </c>
      <c r="P261" s="89">
        <f>N261-O261</f>
        <v>0</v>
      </c>
      <c r="Q261" s="26" t="str">
        <f>IF(ISERROR(P261/O261),"N/A",IF(ABS(P261/O261)&gt;5,"N/A",P261/O261))</f>
        <v>N/A</v>
      </c>
      <c r="R261" s="106">
        <f>0/1000*1</f>
        <v>0</v>
      </c>
      <c r="S261" s="89">
        <f>R261-N261</f>
        <v>0</v>
      </c>
      <c r="T261" s="27" t="str">
        <f>IF(ISERROR(S261/R261),"N/A",IF(ABS(S261/R261)&gt;5,"N/A",S261/R261))</f>
        <v>N/A</v>
      </c>
      <c r="U261" s="105">
        <f>0/1000*1</f>
        <v>0</v>
      </c>
      <c r="V261" s="106">
        <f>0/1000*1</f>
        <v>0</v>
      </c>
      <c r="W261" s="89">
        <f>U261-V261</f>
        <v>0</v>
      </c>
      <c r="X261" s="26" t="str">
        <f>IF(ISERROR(W261/V261),"N/A",IF(ABS(W261/V261)&gt;5,"N/A",W261/V261))</f>
        <v>N/A</v>
      </c>
      <c r="Y261" s="106">
        <f>0/1000*1</f>
        <v>0</v>
      </c>
      <c r="Z261" s="89">
        <f>Y261-U261</f>
        <v>0</v>
      </c>
      <c r="AA261" s="27" t="str">
        <f>IF(ISERROR(Z261/Y261),"N/A",IF(ABS(Z261/Y261)&gt;5,"N/A",Z261/Y261))</f>
        <v>N/A</v>
      </c>
      <c r="AB261" s="107">
        <f>0/1000*1</f>
        <v>0</v>
      </c>
      <c r="AC261" s="1"/>
      <c r="AD261" s="1"/>
      <c r="AE261" s="1"/>
      <c r="AF261" s="1"/>
      <c r="AG261" s="1"/>
      <c r="AH261" s="1"/>
      <c r="AI261" s="1"/>
    </row>
    <row r="262" spans="1:35" ht="14.25" hidden="1" outlineLevel="1" x14ac:dyDescent="0.2">
      <c r="A262" s="1"/>
      <c r="B262" s="3"/>
      <c r="C262" s="3"/>
      <c r="D262" s="3"/>
      <c r="E262" s="3"/>
      <c r="F262" s="3"/>
      <c r="G262" s="105"/>
      <c r="H262" s="106"/>
      <c r="I262" s="89"/>
      <c r="J262" s="26"/>
      <c r="K262" s="106"/>
      <c r="L262" s="89"/>
      <c r="M262" s="27"/>
      <c r="N262" s="105"/>
      <c r="O262" s="106"/>
      <c r="P262" s="89"/>
      <c r="Q262" s="26"/>
      <c r="R262" s="106"/>
      <c r="S262" s="89"/>
      <c r="T262" s="27"/>
      <c r="U262" s="105"/>
      <c r="V262" s="106"/>
      <c r="W262" s="89"/>
      <c r="X262" s="26"/>
      <c r="Y262" s="106"/>
      <c r="Z262" s="89"/>
      <c r="AA262" s="27"/>
      <c r="AB262" s="107"/>
      <c r="AC262" s="1"/>
      <c r="AD262" s="1"/>
      <c r="AE262" s="1"/>
      <c r="AF262" s="1"/>
      <c r="AG262" s="1"/>
      <c r="AH262" s="1"/>
      <c r="AI262" s="1"/>
    </row>
    <row r="263" spans="1:35" ht="14.25" hidden="1" outlineLevel="1" x14ac:dyDescent="0.2">
      <c r="A263" s="1"/>
      <c r="B263" s="3"/>
      <c r="C263" s="3"/>
      <c r="D263" s="3"/>
      <c r="E263" s="3"/>
      <c r="F263" s="3"/>
      <c r="G263" s="105"/>
      <c r="H263" s="106"/>
      <c r="I263" s="89"/>
      <c r="J263" s="26"/>
      <c r="K263" s="106"/>
      <c r="L263" s="89"/>
      <c r="M263" s="27"/>
      <c r="N263" s="105"/>
      <c r="O263" s="106"/>
      <c r="P263" s="89"/>
      <c r="Q263" s="26"/>
      <c r="R263" s="106"/>
      <c r="S263" s="89"/>
      <c r="T263" s="27"/>
      <c r="U263" s="105"/>
      <c r="V263" s="106"/>
      <c r="W263" s="89"/>
      <c r="X263" s="26"/>
      <c r="Y263" s="106"/>
      <c r="Z263" s="89"/>
      <c r="AA263" s="27"/>
      <c r="AB263" s="107"/>
      <c r="AC263" s="1"/>
      <c r="AD263" s="1"/>
      <c r="AE263" s="1"/>
      <c r="AF263" s="1"/>
      <c r="AG263" s="1"/>
      <c r="AH263" s="1"/>
      <c r="AI263" s="1"/>
    </row>
    <row r="264" spans="1:35" ht="14.25" collapsed="1" x14ac:dyDescent="0.2">
      <c r="A264" s="1"/>
      <c r="B264" s="3" t="s">
        <v>70</v>
      </c>
      <c r="C264" s="3"/>
      <c r="D264" s="3"/>
      <c r="E264" s="3"/>
      <c r="F264" s="3"/>
      <c r="G264" s="102">
        <f>SUM(G265:G265)</f>
        <v>0</v>
      </c>
      <c r="H264" s="103">
        <f>SUM(H265:H265)</f>
        <v>0</v>
      </c>
      <c r="I264" s="89">
        <f>G264-H264</f>
        <v>0</v>
      </c>
      <c r="J264" s="26" t="str">
        <f>IF(ISERROR(I264/H264),"N/A",IF(ABS(I264/H264)&gt;5,"N/A",I264/H264))</f>
        <v>N/A</v>
      </c>
      <c r="K264" s="103">
        <f>SUM(K265:K265)</f>
        <v>0</v>
      </c>
      <c r="L264" s="89">
        <f>K264-G264</f>
        <v>0</v>
      </c>
      <c r="M264" s="27" t="str">
        <f>IF(ISERROR(L264/K264),"N/A",IF(ABS(L264/K264)&gt;5,"N/A",L264/K264))</f>
        <v>N/A</v>
      </c>
      <c r="N264" s="102">
        <f>SUM(N265:N265)</f>
        <v>0</v>
      </c>
      <c r="O264" s="103">
        <f>SUM(O265:O265)</f>
        <v>0</v>
      </c>
      <c r="P264" s="89">
        <f>N264-O264</f>
        <v>0</v>
      </c>
      <c r="Q264" s="26" t="str">
        <f>IF(ISERROR(P264/O264),"N/A",IF(ABS(P264/O264)&gt;5,"N/A",P264/O264))</f>
        <v>N/A</v>
      </c>
      <c r="R264" s="103">
        <f>SUM(R265:R265)</f>
        <v>0</v>
      </c>
      <c r="S264" s="89">
        <f>R264-N264</f>
        <v>0</v>
      </c>
      <c r="T264" s="27" t="str">
        <f>IF(ISERROR(S264/R264),"N/A",IF(ABS(S264/R264)&gt;5,"N/A",S264/R264))</f>
        <v>N/A</v>
      </c>
      <c r="U264" s="102">
        <f>SUM(U265:U265)</f>
        <v>0</v>
      </c>
      <c r="V264" s="108">
        <f>SUM(V265:V265)</f>
        <v>0</v>
      </c>
      <c r="W264" s="89">
        <f>U264-V264</f>
        <v>0</v>
      </c>
      <c r="X264" s="26" t="str">
        <f>IF(ISERROR(W264/V264),"N/A",IF(ABS(W264/V264)&gt;5,"N/A",W264/V264))</f>
        <v>N/A</v>
      </c>
      <c r="Y264" s="103">
        <f>SUM(Y265:Y265)</f>
        <v>0</v>
      </c>
      <c r="Z264" s="89">
        <f>Y264-U264</f>
        <v>0</v>
      </c>
      <c r="AA264" s="27" t="str">
        <f>IF(ISERROR(Z264/Y264),"N/A",IF(ABS(Z264/Y264)&gt;5,"N/A",Z264/Y264))</f>
        <v>N/A</v>
      </c>
      <c r="AB264" s="104">
        <f>SUM(AB265:AB265)</f>
        <v>0</v>
      </c>
      <c r="AC264" s="1"/>
      <c r="AD264" s="1"/>
      <c r="AE264" s="1"/>
      <c r="AF264" s="1"/>
      <c r="AG264" s="1"/>
      <c r="AH264" s="1"/>
      <c r="AI264" s="1"/>
    </row>
    <row r="265" spans="1:35" ht="14.25" hidden="1" outlineLevel="1" x14ac:dyDescent="0.2">
      <c r="A265" s="1"/>
      <c r="B265" s="3"/>
      <c r="C265" s="3"/>
      <c r="D265" s="3"/>
      <c r="E265" s="3"/>
      <c r="F265" s="3"/>
      <c r="G265" s="105"/>
      <c r="H265" s="106"/>
      <c r="I265" s="89"/>
      <c r="J265" s="26"/>
      <c r="K265" s="106"/>
      <c r="L265" s="89"/>
      <c r="M265" s="27"/>
      <c r="N265" s="105"/>
      <c r="O265" s="106"/>
      <c r="P265" s="89"/>
      <c r="Q265" s="26"/>
      <c r="R265" s="106"/>
      <c r="S265" s="89"/>
      <c r="T265" s="27"/>
      <c r="U265" s="105"/>
      <c r="V265" s="106"/>
      <c r="W265" s="89"/>
      <c r="X265" s="26"/>
      <c r="Y265" s="106"/>
      <c r="Z265" s="89"/>
      <c r="AA265" s="27"/>
      <c r="AB265" s="107"/>
      <c r="AC265" s="1"/>
      <c r="AD265" s="1"/>
      <c r="AE265" s="1"/>
      <c r="AF265" s="1"/>
      <c r="AG265" s="1"/>
      <c r="AH265" s="1"/>
      <c r="AI265" s="1"/>
    </row>
    <row r="266" spans="1:35" ht="14.25" hidden="1" outlineLevel="1" x14ac:dyDescent="0.2">
      <c r="A266" s="1"/>
      <c r="B266" s="3"/>
      <c r="C266" s="3"/>
      <c r="D266" s="3"/>
      <c r="E266" s="3"/>
      <c r="F266" s="3"/>
      <c r="G266" s="105"/>
      <c r="H266" s="106"/>
      <c r="I266" s="89"/>
      <c r="J266" s="26"/>
      <c r="K266" s="106"/>
      <c r="L266" s="89"/>
      <c r="M266" s="27"/>
      <c r="N266" s="105"/>
      <c r="O266" s="106"/>
      <c r="P266" s="89"/>
      <c r="Q266" s="26"/>
      <c r="R266" s="106"/>
      <c r="S266" s="89"/>
      <c r="T266" s="27"/>
      <c r="U266" s="105"/>
      <c r="V266" s="106"/>
      <c r="W266" s="89"/>
      <c r="X266" s="26"/>
      <c r="Y266" s="106"/>
      <c r="Z266" s="89"/>
      <c r="AA266" s="27"/>
      <c r="AB266" s="107"/>
      <c r="AC266" s="1"/>
      <c r="AD266" s="1"/>
      <c r="AE266" s="1"/>
      <c r="AF266" s="1"/>
      <c r="AG266" s="1"/>
      <c r="AH266" s="1"/>
      <c r="AI266" s="1"/>
    </row>
    <row r="267" spans="1:35" ht="14.25" collapsed="1" x14ac:dyDescent="0.2">
      <c r="A267" s="1"/>
      <c r="B267" s="3" t="s">
        <v>71</v>
      </c>
      <c r="C267" s="3"/>
      <c r="D267" s="3"/>
      <c r="E267" s="3"/>
      <c r="F267" s="3"/>
      <c r="G267" s="102">
        <f>SUM(G268:G276)</f>
        <v>5.6269500000000008</v>
      </c>
      <c r="H267" s="103">
        <f>SUM(H268:H276)</f>
        <v>1.6064799999999999</v>
      </c>
      <c r="I267" s="89">
        <f t="shared" ref="I267:I275" si="133">G267-H267</f>
        <v>4.0204700000000013</v>
      </c>
      <c r="J267" s="26">
        <f t="shared" ref="J267:J275" si="134">IF(ISERROR(I267/H267),"N/A",IF(ABS(I267/H267)&gt;5,"N/A",I267/H267))</f>
        <v>2.5026579851601025</v>
      </c>
      <c r="K267" s="103">
        <f>SUM(K268:K276)</f>
        <v>0</v>
      </c>
      <c r="L267" s="89">
        <f t="shared" ref="L267:L275" si="135">K267-G267</f>
        <v>-5.6269500000000008</v>
      </c>
      <c r="M267" s="27" t="str">
        <f t="shared" ref="M267:M275" si="136">IF(ISERROR(L267/K267),"N/A",IF(ABS(L267/K267)&gt;5,"N/A",L267/K267))</f>
        <v>N/A</v>
      </c>
      <c r="N267" s="102">
        <f>SUM(N268:N276)</f>
        <v>16.990650000000002</v>
      </c>
      <c r="O267" s="103">
        <f>SUM(O268:O276)</f>
        <v>3.4432700000000001</v>
      </c>
      <c r="P267" s="89">
        <f t="shared" ref="P267:P275" si="137">N267-O267</f>
        <v>13.547380000000002</v>
      </c>
      <c r="Q267" s="26">
        <f t="shared" ref="Q267:Q275" si="138">IF(ISERROR(P267/O267),"N/A",IF(ABS(P267/O267)&gt;5,"N/A",P267/O267))</f>
        <v>3.9344518437415603</v>
      </c>
      <c r="R267" s="103">
        <f>SUM(R268:R276)</f>
        <v>5.5535699999999997</v>
      </c>
      <c r="S267" s="89">
        <f t="shared" ref="S267:S275" si="139">R267-N267</f>
        <v>-11.437080000000002</v>
      </c>
      <c r="T267" s="27">
        <f t="shared" ref="T267:T275" si="140">IF(ISERROR(S267/R267),"N/A",IF(ABS(S267/R267)&gt;5,"N/A",S267/R267))</f>
        <v>-2.0594104332888579</v>
      </c>
      <c r="U267" s="102">
        <f>SUM(U268:U276)</f>
        <v>57.422340000000005</v>
      </c>
      <c r="V267" s="103">
        <f>SUM(V268:V276)</f>
        <v>10.638510000000331</v>
      </c>
      <c r="W267" s="89">
        <f t="shared" ref="W267:W275" si="141">U267-V267</f>
        <v>46.783829999999675</v>
      </c>
      <c r="X267" s="26">
        <f t="shared" ref="X267:X275" si="142">IF(ISERROR(W267/V267),"N/A",IF(ABS(W267/V267)&gt;5,"N/A",W267/V267))</f>
        <v>4.3975923320087329</v>
      </c>
      <c r="Y267" s="103">
        <f>SUM(Y268:Y276)</f>
        <v>45.985260000000004</v>
      </c>
      <c r="Z267" s="89">
        <f t="shared" ref="Z267:Z275" si="143">Y267-U267</f>
        <v>-11.437080000000002</v>
      </c>
      <c r="AA267" s="27">
        <f t="shared" ref="AA267:AA275" si="144">IF(ISERROR(Z267/Y267),"N/A",IF(ABS(Z267/Y267)&gt;5,"N/A",Z267/Y267))</f>
        <v>-0.24871186984699012</v>
      </c>
      <c r="AB267" s="104">
        <f>SUM(AB268:AB276)</f>
        <v>45.985260000000004</v>
      </c>
      <c r="AC267" s="1"/>
      <c r="AD267" s="1"/>
      <c r="AE267" s="1"/>
      <c r="AF267" s="1"/>
      <c r="AG267" s="1"/>
      <c r="AH267" s="1"/>
      <c r="AI267" s="1"/>
    </row>
    <row r="268" spans="1:35" ht="14.25" hidden="1" outlineLevel="1" x14ac:dyDescent="0.2">
      <c r="A268" s="1"/>
      <c r="B268" s="3"/>
      <c r="C268" s="3"/>
      <c r="D268" s="3" t="s">
        <v>67</v>
      </c>
      <c r="E268" s="3" t="s">
        <v>79</v>
      </c>
      <c r="F268" s="3">
        <v>100</v>
      </c>
      <c r="G268" s="105">
        <f>0/1000*1</f>
        <v>0</v>
      </c>
      <c r="H268" s="106">
        <f>0/1000*1</f>
        <v>0</v>
      </c>
      <c r="I268" s="89">
        <f t="shared" si="133"/>
        <v>0</v>
      </c>
      <c r="J268" s="26" t="str">
        <f t="shared" si="134"/>
        <v>N/A</v>
      </c>
      <c r="K268" s="106">
        <f t="shared" ref="K268:K275" si="145">0/1000*1</f>
        <v>0</v>
      </c>
      <c r="L268" s="89">
        <f t="shared" si="135"/>
        <v>0</v>
      </c>
      <c r="M268" s="27" t="str">
        <f t="shared" si="136"/>
        <v>N/A</v>
      </c>
      <c r="N268" s="105">
        <f>0/1000*1</f>
        <v>0</v>
      </c>
      <c r="O268" s="106">
        <f>33.96/1000*1</f>
        <v>3.3960000000000004E-2</v>
      </c>
      <c r="P268" s="89">
        <f t="shared" si="137"/>
        <v>-3.3960000000000004E-2</v>
      </c>
      <c r="Q268" s="26">
        <f t="shared" si="138"/>
        <v>-1</v>
      </c>
      <c r="R268" s="106">
        <f>0/1000*1</f>
        <v>0</v>
      </c>
      <c r="S268" s="89">
        <f t="shared" si="139"/>
        <v>0</v>
      </c>
      <c r="T268" s="27" t="str">
        <f t="shared" si="140"/>
        <v>N/A</v>
      </c>
      <c r="U268" s="105">
        <f>0/1000*1</f>
        <v>0</v>
      </c>
      <c r="V268" s="106">
        <f>-2312396.96/1000*1</f>
        <v>-2312.39696</v>
      </c>
      <c r="W268" s="89">
        <f t="shared" si="141"/>
        <v>2312.39696</v>
      </c>
      <c r="X268" s="26">
        <f t="shared" si="142"/>
        <v>-1</v>
      </c>
      <c r="Y268" s="106">
        <f>0/1000*1</f>
        <v>0</v>
      </c>
      <c r="Z268" s="89">
        <f t="shared" si="143"/>
        <v>0</v>
      </c>
      <c r="AA268" s="27" t="str">
        <f t="shared" si="144"/>
        <v>N/A</v>
      </c>
      <c r="AB268" s="107">
        <f>0/1000*1</f>
        <v>0</v>
      </c>
      <c r="AC268" s="1"/>
      <c r="AD268" s="1"/>
      <c r="AE268" s="1"/>
      <c r="AF268" s="1"/>
      <c r="AG268" s="1"/>
      <c r="AH268" s="1"/>
      <c r="AI268" s="1"/>
    </row>
    <row r="269" spans="1:35" ht="14.25" hidden="1" outlineLevel="1" x14ac:dyDescent="0.2">
      <c r="A269" s="1"/>
      <c r="B269" s="3"/>
      <c r="C269" s="3"/>
      <c r="D269" s="3" t="s">
        <v>67</v>
      </c>
      <c r="E269" s="3" t="s">
        <v>80</v>
      </c>
      <c r="F269" s="3">
        <v>100</v>
      </c>
      <c r="G269" s="105">
        <f>0/1000*1</f>
        <v>0</v>
      </c>
      <c r="H269" s="106">
        <f>0/1000*1</f>
        <v>0</v>
      </c>
      <c r="I269" s="89">
        <f t="shared" si="133"/>
        <v>0</v>
      </c>
      <c r="J269" s="26" t="str">
        <f t="shared" si="134"/>
        <v>N/A</v>
      </c>
      <c r="K269" s="106">
        <f t="shared" si="145"/>
        <v>0</v>
      </c>
      <c r="L269" s="89">
        <f t="shared" si="135"/>
        <v>0</v>
      </c>
      <c r="M269" s="27" t="str">
        <f t="shared" si="136"/>
        <v>N/A</v>
      </c>
      <c r="N269" s="105">
        <f>0/1000*1</f>
        <v>0</v>
      </c>
      <c r="O269" s="106">
        <f>0/1000*1</f>
        <v>0</v>
      </c>
      <c r="P269" s="89">
        <f t="shared" si="137"/>
        <v>0</v>
      </c>
      <c r="Q269" s="26" t="str">
        <f t="shared" si="138"/>
        <v>N/A</v>
      </c>
      <c r="R269" s="106">
        <f>0/1000*1</f>
        <v>0</v>
      </c>
      <c r="S269" s="89">
        <f t="shared" si="139"/>
        <v>0</v>
      </c>
      <c r="T269" s="27" t="str">
        <f t="shared" si="140"/>
        <v>N/A</v>
      </c>
      <c r="U269" s="105">
        <f>0/1000*1</f>
        <v>0</v>
      </c>
      <c r="V269" s="106">
        <f>-1713.14/1000*1</f>
        <v>-1.7131400000000001</v>
      </c>
      <c r="W269" s="89">
        <f t="shared" si="141"/>
        <v>1.7131400000000001</v>
      </c>
      <c r="X269" s="26">
        <f t="shared" si="142"/>
        <v>-1</v>
      </c>
      <c r="Y269" s="106">
        <f>0/1000*1</f>
        <v>0</v>
      </c>
      <c r="Z269" s="89">
        <f t="shared" si="143"/>
        <v>0</v>
      </c>
      <c r="AA269" s="27" t="str">
        <f t="shared" si="144"/>
        <v>N/A</v>
      </c>
      <c r="AB269" s="107">
        <f>0/1000*1</f>
        <v>0</v>
      </c>
      <c r="AC269" s="1"/>
      <c r="AD269" s="1"/>
      <c r="AE269" s="1"/>
      <c r="AF269" s="1"/>
      <c r="AG269" s="1"/>
      <c r="AH269" s="1"/>
      <c r="AI269" s="1"/>
    </row>
    <row r="270" spans="1:35" ht="14.25" hidden="1" outlineLevel="1" x14ac:dyDescent="0.2">
      <c r="A270" s="1"/>
      <c r="B270" s="3"/>
      <c r="C270" s="3"/>
      <c r="D270" s="3" t="s">
        <v>67</v>
      </c>
      <c r="E270" s="3" t="s">
        <v>87</v>
      </c>
      <c r="F270" s="3">
        <v>100</v>
      </c>
      <c r="G270" s="105">
        <f>0/1000*1</f>
        <v>0</v>
      </c>
      <c r="H270" s="106">
        <f>953.42/1000*1</f>
        <v>0.95341999999999993</v>
      </c>
      <c r="I270" s="89">
        <f t="shared" si="133"/>
        <v>-0.95341999999999993</v>
      </c>
      <c r="J270" s="26">
        <f t="shared" si="134"/>
        <v>-1</v>
      </c>
      <c r="K270" s="106">
        <f t="shared" si="145"/>
        <v>0</v>
      </c>
      <c r="L270" s="89">
        <f t="shared" si="135"/>
        <v>0</v>
      </c>
      <c r="M270" s="27" t="str">
        <f t="shared" si="136"/>
        <v>N/A</v>
      </c>
      <c r="N270" s="105">
        <f>0/1000*1</f>
        <v>0</v>
      </c>
      <c r="O270" s="106">
        <f>2680.32/1000*1</f>
        <v>2.68032</v>
      </c>
      <c r="P270" s="89">
        <f t="shared" si="137"/>
        <v>-2.68032</v>
      </c>
      <c r="Q270" s="26">
        <f t="shared" si="138"/>
        <v>-1</v>
      </c>
      <c r="R270" s="106">
        <f>0/1000*1</f>
        <v>0</v>
      </c>
      <c r="S270" s="89">
        <f t="shared" si="139"/>
        <v>0</v>
      </c>
      <c r="T270" s="27" t="str">
        <f t="shared" si="140"/>
        <v>N/A</v>
      </c>
      <c r="U270" s="105">
        <f>0/1000*1</f>
        <v>0</v>
      </c>
      <c r="V270" s="106">
        <f>4192.97/1000*1</f>
        <v>4.1929699999999999</v>
      </c>
      <c r="W270" s="89">
        <f t="shared" si="141"/>
        <v>-4.1929699999999999</v>
      </c>
      <c r="X270" s="26">
        <f t="shared" si="142"/>
        <v>-1</v>
      </c>
      <c r="Y270" s="106">
        <f>0/1000*1</f>
        <v>0</v>
      </c>
      <c r="Z270" s="89">
        <f t="shared" si="143"/>
        <v>0</v>
      </c>
      <c r="AA270" s="27" t="str">
        <f t="shared" si="144"/>
        <v>N/A</v>
      </c>
      <c r="AB270" s="107">
        <f>0/1000*1</f>
        <v>0</v>
      </c>
      <c r="AC270" s="1"/>
      <c r="AD270" s="1"/>
      <c r="AE270" s="1"/>
      <c r="AF270" s="1"/>
      <c r="AG270" s="1"/>
      <c r="AH270" s="1"/>
      <c r="AI270" s="1"/>
    </row>
    <row r="271" spans="1:35" ht="14.25" hidden="1" outlineLevel="1" x14ac:dyDescent="0.2">
      <c r="A271" s="1"/>
      <c r="B271" s="3"/>
      <c r="C271" s="3"/>
      <c r="D271" s="3" t="s">
        <v>67</v>
      </c>
      <c r="E271" s="3" t="s">
        <v>81</v>
      </c>
      <c r="F271" s="3">
        <v>100</v>
      </c>
      <c r="G271" s="105">
        <f>-16.65/1000*1</f>
        <v>-1.6649999999999998E-2</v>
      </c>
      <c r="H271" s="106">
        <f>0/1000*1</f>
        <v>0</v>
      </c>
      <c r="I271" s="89">
        <f t="shared" si="133"/>
        <v>-1.6649999999999998E-2</v>
      </c>
      <c r="J271" s="26" t="str">
        <f t="shared" si="134"/>
        <v>N/A</v>
      </c>
      <c r="K271" s="106">
        <f t="shared" si="145"/>
        <v>0</v>
      </c>
      <c r="L271" s="89">
        <f t="shared" si="135"/>
        <v>1.6649999999999998E-2</v>
      </c>
      <c r="M271" s="27" t="str">
        <f t="shared" si="136"/>
        <v>N/A</v>
      </c>
      <c r="N271" s="105">
        <f>-16.65/1000*1</f>
        <v>-1.6649999999999998E-2</v>
      </c>
      <c r="O271" s="106">
        <f>0/1000*1</f>
        <v>0</v>
      </c>
      <c r="P271" s="89">
        <f t="shared" si="137"/>
        <v>-1.6649999999999998E-2</v>
      </c>
      <c r="Q271" s="26" t="str">
        <f t="shared" si="138"/>
        <v>N/A</v>
      </c>
      <c r="R271" s="106">
        <f>0/1000*1</f>
        <v>0</v>
      </c>
      <c r="S271" s="89">
        <f t="shared" si="139"/>
        <v>1.6649999999999998E-2</v>
      </c>
      <c r="T271" s="27" t="str">
        <f t="shared" si="140"/>
        <v>N/A</v>
      </c>
      <c r="U271" s="105">
        <f>-16.65/1000*1</f>
        <v>-1.6649999999999998E-2</v>
      </c>
      <c r="V271" s="106">
        <f>0/1000*1</f>
        <v>0</v>
      </c>
      <c r="W271" s="89">
        <f t="shared" si="141"/>
        <v>-1.6649999999999998E-2</v>
      </c>
      <c r="X271" s="26" t="str">
        <f t="shared" si="142"/>
        <v>N/A</v>
      </c>
      <c r="Y271" s="106">
        <f>0/1000*1</f>
        <v>0</v>
      </c>
      <c r="Z271" s="89">
        <f t="shared" si="143"/>
        <v>1.6649999999999998E-2</v>
      </c>
      <c r="AA271" s="27" t="str">
        <f t="shared" si="144"/>
        <v>N/A</v>
      </c>
      <c r="AB271" s="107">
        <f>0/1000*1</f>
        <v>0</v>
      </c>
      <c r="AC271" s="1"/>
      <c r="AD271" s="1"/>
      <c r="AE271" s="1"/>
      <c r="AF271" s="1"/>
      <c r="AG271" s="1"/>
      <c r="AH271" s="1"/>
      <c r="AI271" s="1"/>
    </row>
    <row r="272" spans="1:35" ht="14.25" hidden="1" outlineLevel="1" x14ac:dyDescent="0.2">
      <c r="A272" s="1"/>
      <c r="B272" s="3"/>
      <c r="C272" s="3"/>
      <c r="D272" s="3" t="s">
        <v>67</v>
      </c>
      <c r="E272" s="3" t="s">
        <v>88</v>
      </c>
      <c r="F272" s="3"/>
      <c r="G272" s="105">
        <f>4109.64/1000*1</f>
        <v>4.1096400000000006</v>
      </c>
      <c r="H272" s="106">
        <f>0/1000*1</f>
        <v>0</v>
      </c>
      <c r="I272" s="89">
        <f t="shared" si="133"/>
        <v>4.1096400000000006</v>
      </c>
      <c r="J272" s="26" t="str">
        <f t="shared" si="134"/>
        <v>N/A</v>
      </c>
      <c r="K272" s="106">
        <f t="shared" si="145"/>
        <v>0</v>
      </c>
      <c r="L272" s="89">
        <f t="shared" si="135"/>
        <v>-4.1096400000000006</v>
      </c>
      <c r="M272" s="27" t="str">
        <f t="shared" si="136"/>
        <v>N/A</v>
      </c>
      <c r="N272" s="105">
        <f>15473.39/1000*1</f>
        <v>15.47339</v>
      </c>
      <c r="O272" s="106">
        <f>0/1000*1</f>
        <v>0</v>
      </c>
      <c r="P272" s="89">
        <f t="shared" si="137"/>
        <v>15.47339</v>
      </c>
      <c r="Q272" s="26" t="str">
        <f t="shared" si="138"/>
        <v>N/A</v>
      </c>
      <c r="R272" s="106">
        <f>5553.62/1000*1</f>
        <v>5.5536199999999996</v>
      </c>
      <c r="S272" s="89">
        <f t="shared" si="139"/>
        <v>-9.9197699999999998</v>
      </c>
      <c r="T272" s="27">
        <f t="shared" si="140"/>
        <v>-1.7861809054274511</v>
      </c>
      <c r="U272" s="105">
        <f>55905.07/1000*1</f>
        <v>55.905070000000002</v>
      </c>
      <c r="V272" s="106">
        <f>0/1000*1</f>
        <v>0</v>
      </c>
      <c r="W272" s="89">
        <f t="shared" si="141"/>
        <v>55.905070000000002</v>
      </c>
      <c r="X272" s="26" t="str">
        <f t="shared" si="142"/>
        <v>N/A</v>
      </c>
      <c r="Y272" s="106">
        <f>45985.3/1000*1</f>
        <v>45.985300000000002</v>
      </c>
      <c r="Z272" s="89">
        <f t="shared" si="143"/>
        <v>-9.9197699999999998</v>
      </c>
      <c r="AA272" s="27">
        <f t="shared" si="144"/>
        <v>-0.21571610927839982</v>
      </c>
      <c r="AB272" s="107">
        <f>45985.3/1000*1</f>
        <v>45.985300000000002</v>
      </c>
      <c r="AC272" s="1"/>
      <c r="AD272" s="1"/>
      <c r="AE272" s="1"/>
      <c r="AF272" s="1"/>
      <c r="AG272" s="1"/>
      <c r="AH272" s="1"/>
      <c r="AI272" s="1"/>
    </row>
    <row r="273" spans="1:35" ht="14.25" hidden="1" outlineLevel="1" x14ac:dyDescent="0.2">
      <c r="A273" s="1"/>
      <c r="B273" s="3"/>
      <c r="C273" s="3"/>
      <c r="D273" s="3" t="s">
        <v>67</v>
      </c>
      <c r="E273" s="3" t="s">
        <v>89</v>
      </c>
      <c r="F273" s="3">
        <v>100</v>
      </c>
      <c r="G273" s="105">
        <f>0/1000*1</f>
        <v>0</v>
      </c>
      <c r="H273" s="106">
        <f>0/1000*1</f>
        <v>0</v>
      </c>
      <c r="I273" s="89">
        <f t="shared" si="133"/>
        <v>0</v>
      </c>
      <c r="J273" s="26" t="str">
        <f t="shared" si="134"/>
        <v>N/A</v>
      </c>
      <c r="K273" s="106">
        <f t="shared" si="145"/>
        <v>0</v>
      </c>
      <c r="L273" s="89">
        <f t="shared" si="135"/>
        <v>0</v>
      </c>
      <c r="M273" s="27" t="str">
        <f t="shared" si="136"/>
        <v>N/A</v>
      </c>
      <c r="N273" s="105">
        <f>0/1000*1</f>
        <v>0</v>
      </c>
      <c r="O273" s="106">
        <f>75.91/1000*1</f>
        <v>7.5909999999999991E-2</v>
      </c>
      <c r="P273" s="89">
        <f t="shared" si="137"/>
        <v>-7.5909999999999991E-2</v>
      </c>
      <c r="Q273" s="26">
        <f t="shared" si="138"/>
        <v>-1</v>
      </c>
      <c r="R273" s="106">
        <f>0/1000*1</f>
        <v>0</v>
      </c>
      <c r="S273" s="89">
        <f t="shared" si="139"/>
        <v>0</v>
      </c>
      <c r="T273" s="27" t="str">
        <f t="shared" si="140"/>
        <v>N/A</v>
      </c>
      <c r="U273" s="105">
        <f>0/1000*1</f>
        <v>0</v>
      </c>
      <c r="V273" s="106">
        <f>134.22/1000*1</f>
        <v>0.13422000000000001</v>
      </c>
      <c r="W273" s="89">
        <f t="shared" si="141"/>
        <v>-0.13422000000000001</v>
      </c>
      <c r="X273" s="26">
        <f t="shared" si="142"/>
        <v>-1</v>
      </c>
      <c r="Y273" s="106">
        <f>0/1000*1</f>
        <v>0</v>
      </c>
      <c r="Z273" s="89">
        <f t="shared" si="143"/>
        <v>0</v>
      </c>
      <c r="AA273" s="27" t="str">
        <f t="shared" si="144"/>
        <v>N/A</v>
      </c>
      <c r="AB273" s="107">
        <f>0/1000*1</f>
        <v>0</v>
      </c>
      <c r="AC273" s="1"/>
      <c r="AD273" s="1"/>
      <c r="AE273" s="1"/>
      <c r="AF273" s="1"/>
      <c r="AG273" s="1"/>
      <c r="AH273" s="1"/>
      <c r="AI273" s="1"/>
    </row>
    <row r="274" spans="1:35" ht="14.25" hidden="1" outlineLevel="1" x14ac:dyDescent="0.2">
      <c r="A274" s="1"/>
      <c r="B274" s="3"/>
      <c r="C274" s="3"/>
      <c r="D274" s="3" t="s">
        <v>67</v>
      </c>
      <c r="E274" s="3" t="s">
        <v>83</v>
      </c>
      <c r="F274" s="3">
        <v>100</v>
      </c>
      <c r="G274" s="105">
        <f>1533.94/1000*1</f>
        <v>1.5339400000000001</v>
      </c>
      <c r="H274" s="106">
        <f>0/1000*1</f>
        <v>0</v>
      </c>
      <c r="I274" s="89">
        <f t="shared" si="133"/>
        <v>1.5339400000000001</v>
      </c>
      <c r="J274" s="26" t="str">
        <f t="shared" si="134"/>
        <v>N/A</v>
      </c>
      <c r="K274" s="106">
        <f t="shared" si="145"/>
        <v>0</v>
      </c>
      <c r="L274" s="89">
        <f t="shared" si="135"/>
        <v>-1.5339400000000001</v>
      </c>
      <c r="M274" s="27" t="str">
        <f t="shared" si="136"/>
        <v>N/A</v>
      </c>
      <c r="N274" s="105">
        <f>1533.94/1000*1</f>
        <v>1.5339400000000001</v>
      </c>
      <c r="O274" s="106">
        <f>0/1000*1</f>
        <v>0</v>
      </c>
      <c r="P274" s="89">
        <f t="shared" si="137"/>
        <v>1.5339400000000001</v>
      </c>
      <c r="Q274" s="26" t="str">
        <f t="shared" si="138"/>
        <v>N/A</v>
      </c>
      <c r="R274" s="106">
        <f>0/1000*1</f>
        <v>0</v>
      </c>
      <c r="S274" s="89">
        <f t="shared" si="139"/>
        <v>-1.5339400000000001</v>
      </c>
      <c r="T274" s="27" t="str">
        <f t="shared" si="140"/>
        <v>N/A</v>
      </c>
      <c r="U274" s="105">
        <f>1533.94/1000*1</f>
        <v>1.5339400000000001</v>
      </c>
      <c r="V274" s="106">
        <f>2319768.37/1000*1</f>
        <v>2319.7683700000002</v>
      </c>
      <c r="W274" s="89">
        <f t="shared" si="141"/>
        <v>-2318.2344300000004</v>
      </c>
      <c r="X274" s="26">
        <f t="shared" si="142"/>
        <v>-0.9993387529462695</v>
      </c>
      <c r="Y274" s="106">
        <f>0/1000*1</f>
        <v>0</v>
      </c>
      <c r="Z274" s="89">
        <f t="shared" si="143"/>
        <v>-1.5339400000000001</v>
      </c>
      <c r="AA274" s="27" t="str">
        <f t="shared" si="144"/>
        <v>N/A</v>
      </c>
      <c r="AB274" s="107">
        <f>0/1000*1</f>
        <v>0</v>
      </c>
      <c r="AC274" s="1"/>
      <c r="AD274" s="1"/>
      <c r="AE274" s="1"/>
      <c r="AF274" s="1"/>
      <c r="AG274" s="1"/>
      <c r="AH274" s="1"/>
      <c r="AI274" s="1"/>
    </row>
    <row r="275" spans="1:35" ht="14.25" hidden="1" outlineLevel="1" x14ac:dyDescent="0.2">
      <c r="A275" s="1"/>
      <c r="B275" s="3"/>
      <c r="C275" s="3"/>
      <c r="D275" s="3" t="s">
        <v>67</v>
      </c>
      <c r="E275" s="3" t="s">
        <v>90</v>
      </c>
      <c r="F275" s="3"/>
      <c r="G275" s="105">
        <f>0.02/1000*1</f>
        <v>2.0000000000000002E-5</v>
      </c>
      <c r="H275" s="106">
        <f>653.06/1000*1</f>
        <v>0.65305999999999997</v>
      </c>
      <c r="I275" s="89">
        <f t="shared" si="133"/>
        <v>-0.65303999999999995</v>
      </c>
      <c r="J275" s="26">
        <f t="shared" si="134"/>
        <v>-0.99996937494257798</v>
      </c>
      <c r="K275" s="106">
        <f t="shared" si="145"/>
        <v>0</v>
      </c>
      <c r="L275" s="89">
        <f t="shared" si="135"/>
        <v>-2.0000000000000002E-5</v>
      </c>
      <c r="M275" s="27" t="str">
        <f t="shared" si="136"/>
        <v>N/A</v>
      </c>
      <c r="N275" s="105">
        <f>-0.03/1000*1</f>
        <v>-2.9999999999999997E-5</v>
      </c>
      <c r="O275" s="106">
        <f>653.08/1000*1</f>
        <v>0.65307999999999999</v>
      </c>
      <c r="P275" s="89">
        <f t="shared" si="137"/>
        <v>-0.65310999999999997</v>
      </c>
      <c r="Q275" s="26">
        <f t="shared" si="138"/>
        <v>-1.0000459361793348</v>
      </c>
      <c r="R275" s="106">
        <f>-0.05/1000*1</f>
        <v>-5.0000000000000002E-5</v>
      </c>
      <c r="S275" s="89">
        <f t="shared" si="139"/>
        <v>-2.0000000000000005E-5</v>
      </c>
      <c r="T275" s="27">
        <f t="shared" si="140"/>
        <v>0.40000000000000008</v>
      </c>
      <c r="U275" s="105">
        <f>-0.02/1000*1</f>
        <v>-2.0000000000000002E-5</v>
      </c>
      <c r="V275" s="106">
        <f>653.05/1000*1</f>
        <v>0.65304999999999991</v>
      </c>
      <c r="W275" s="89">
        <f t="shared" si="141"/>
        <v>-0.65306999999999993</v>
      </c>
      <c r="X275" s="26">
        <f t="shared" si="142"/>
        <v>-1.0000306255263762</v>
      </c>
      <c r="Y275" s="106">
        <f>-0.04/1000*1</f>
        <v>-4.0000000000000003E-5</v>
      </c>
      <c r="Z275" s="89">
        <f t="shared" si="143"/>
        <v>-2.0000000000000002E-5</v>
      </c>
      <c r="AA275" s="27">
        <f t="shared" si="144"/>
        <v>0.5</v>
      </c>
      <c r="AB275" s="107">
        <f>-0.04/1000*1</f>
        <v>-4.0000000000000003E-5</v>
      </c>
      <c r="AC275" s="1"/>
      <c r="AD275" s="1"/>
      <c r="AE275" s="1"/>
      <c r="AF275" s="1"/>
      <c r="AG275" s="1"/>
      <c r="AH275" s="1"/>
      <c r="AI275" s="1"/>
    </row>
    <row r="276" spans="1:35" ht="14.25" hidden="1" outlineLevel="1" x14ac:dyDescent="0.2">
      <c r="A276" s="1"/>
      <c r="B276" s="3"/>
      <c r="C276" s="3"/>
      <c r="D276" s="3"/>
      <c r="E276" s="3"/>
      <c r="F276" s="3"/>
      <c r="G276" s="105"/>
      <c r="H276" s="106"/>
      <c r="I276" s="89"/>
      <c r="J276" s="26"/>
      <c r="K276" s="106"/>
      <c r="L276" s="89"/>
      <c r="M276" s="27"/>
      <c r="N276" s="105"/>
      <c r="O276" s="106"/>
      <c r="P276" s="89"/>
      <c r="Q276" s="26"/>
      <c r="R276" s="106"/>
      <c r="S276" s="89"/>
      <c r="T276" s="27"/>
      <c r="U276" s="105"/>
      <c r="V276" s="106"/>
      <c r="W276" s="89"/>
      <c r="X276" s="26"/>
      <c r="Y276" s="106"/>
      <c r="Z276" s="89"/>
      <c r="AA276" s="27"/>
      <c r="AB276" s="107"/>
      <c r="AC276" s="1"/>
      <c r="AD276" s="1"/>
      <c r="AE276" s="1"/>
      <c r="AF276" s="1"/>
      <c r="AG276" s="1"/>
      <c r="AH276" s="1"/>
      <c r="AI276" s="1"/>
    </row>
    <row r="277" spans="1:35" ht="14.25" hidden="1" outlineLevel="1" x14ac:dyDescent="0.2">
      <c r="A277" s="1"/>
      <c r="B277" s="3"/>
      <c r="C277" s="3"/>
      <c r="D277" s="3"/>
      <c r="E277" s="3"/>
      <c r="F277" s="3"/>
      <c r="G277" s="105"/>
      <c r="H277" s="106"/>
      <c r="I277" s="89"/>
      <c r="J277" s="26"/>
      <c r="K277" s="106"/>
      <c r="L277" s="89"/>
      <c r="M277" s="27"/>
      <c r="N277" s="105"/>
      <c r="O277" s="106"/>
      <c r="P277" s="89"/>
      <c r="Q277" s="26"/>
      <c r="R277" s="106"/>
      <c r="S277" s="89"/>
      <c r="T277" s="27"/>
      <c r="U277" s="105"/>
      <c r="V277" s="106"/>
      <c r="W277" s="89"/>
      <c r="X277" s="26"/>
      <c r="Y277" s="106"/>
      <c r="Z277" s="89"/>
      <c r="AA277" s="27"/>
      <c r="AB277" s="107"/>
      <c r="AC277" s="1"/>
      <c r="AD277" s="1"/>
      <c r="AE277" s="1"/>
      <c r="AF277" s="1"/>
      <c r="AG277" s="1"/>
      <c r="AH277" s="1"/>
      <c r="AI277" s="1"/>
    </row>
    <row r="278" spans="1:35" ht="14.25" collapsed="1" x14ac:dyDescent="0.2">
      <c r="A278" s="1"/>
      <c r="B278" s="3" t="s">
        <v>73</v>
      </c>
      <c r="C278" s="3"/>
      <c r="D278" s="3"/>
      <c r="E278" s="3"/>
      <c r="F278" s="3"/>
      <c r="G278" s="102">
        <f>SUM(G279:G283)</f>
        <v>6.6062499999999993</v>
      </c>
      <c r="H278" s="103">
        <f>SUM(H279:H283)</f>
        <v>50.134749999999997</v>
      </c>
      <c r="I278" s="89">
        <f>G278-H278</f>
        <v>-43.528499999999994</v>
      </c>
      <c r="J278" s="26">
        <f>IF(ISERROR(I278/H278),"N/A",IF(ABS(I278/H278)&gt;5,"N/A",I278/H278))</f>
        <v>-0.86823011982706599</v>
      </c>
      <c r="K278" s="103">
        <f>SUM(K279:K283)</f>
        <v>34.819000000000003</v>
      </c>
      <c r="L278" s="89">
        <f>K278-G278</f>
        <v>28.212750000000003</v>
      </c>
      <c r="M278" s="27">
        <f>IF(ISERROR(L278/K278),"N/A",IF(ABS(L278/K278)&gt;5,"N/A",L278/K278))</f>
        <v>0.81026881874838452</v>
      </c>
      <c r="N278" s="102">
        <f>SUM(N279:N283)</f>
        <v>5.9775999999999998</v>
      </c>
      <c r="O278" s="103">
        <f>SUM(O279:O283)</f>
        <v>50.134749999999997</v>
      </c>
      <c r="P278" s="89">
        <f>N278-O278</f>
        <v>-44.157149999999994</v>
      </c>
      <c r="Q278" s="26">
        <f>IF(ISERROR(P278/O278),"N/A",IF(ABS(P278/O278)&gt;5,"N/A",P278/O278))</f>
        <v>-0.8807693266646387</v>
      </c>
      <c r="R278" s="103">
        <f>SUM(R279:R283)</f>
        <v>34.190350000000002</v>
      </c>
      <c r="S278" s="89">
        <f>R278-N278</f>
        <v>28.212750000000003</v>
      </c>
      <c r="T278" s="27">
        <f>IF(ISERROR(S278/R278),"N/A",IF(ABS(S278/R278)&gt;5,"N/A",S278/R278))</f>
        <v>0.8251670427474419</v>
      </c>
      <c r="U278" s="102">
        <f>SUM(U279:U283)</f>
        <v>35.517009999999999</v>
      </c>
      <c r="V278" s="108">
        <f>SUM(V279:V283)</f>
        <v>95.932000000000002</v>
      </c>
      <c r="W278" s="89">
        <f>U278-V278</f>
        <v>-60.414990000000003</v>
      </c>
      <c r="X278" s="26">
        <f>IF(ISERROR(W278/V278),"N/A",IF(ABS(W278/V278)&gt;5,"N/A",W278/V278))</f>
        <v>-0.62976889880331899</v>
      </c>
      <c r="Y278" s="103">
        <f>SUM(Y279:Y283)</f>
        <v>63.729759999999999</v>
      </c>
      <c r="Z278" s="89">
        <f>Y278-U278</f>
        <v>28.21275</v>
      </c>
      <c r="AA278" s="27">
        <f>IF(ISERROR(Z278/Y278),"N/A",IF(ABS(Z278/Y278)&gt;5,"N/A",Z278/Y278))</f>
        <v>0.4426934920200547</v>
      </c>
      <c r="AB278" s="104">
        <f>SUM(AB279:AB283)</f>
        <v>153.53475999999998</v>
      </c>
      <c r="AC278" s="1"/>
      <c r="AD278" s="1"/>
      <c r="AE278" s="1"/>
      <c r="AF278" s="1"/>
      <c r="AG278" s="1"/>
      <c r="AH278" s="1"/>
      <c r="AI278" s="1"/>
    </row>
    <row r="279" spans="1:35" ht="14.25" hidden="1" outlineLevel="1" x14ac:dyDescent="0.2">
      <c r="A279" s="1"/>
      <c r="B279" s="3"/>
      <c r="C279" s="3"/>
      <c r="D279" s="3" t="s">
        <v>67</v>
      </c>
      <c r="E279" s="3" t="s">
        <v>79</v>
      </c>
      <c r="F279" s="3">
        <v>840</v>
      </c>
      <c r="G279" s="105">
        <f>1780.12/1000*1</f>
        <v>1.7801199999999999</v>
      </c>
      <c r="H279" s="106">
        <f>19070.29/1000*1</f>
        <v>19.07029</v>
      </c>
      <c r="I279" s="89">
        <f>G279-H279</f>
        <v>-17.29017</v>
      </c>
      <c r="J279" s="26">
        <f>IF(ISERROR(I279/H279),"N/A",IF(ABS(I279/H279)&gt;5,"N/A",I279/H279))</f>
        <v>-0.90665480178854119</v>
      </c>
      <c r="K279" s="106">
        <f>12335/1000*1</f>
        <v>12.335000000000001</v>
      </c>
      <c r="L279" s="89">
        <f>K279-G279</f>
        <v>10.554880000000001</v>
      </c>
      <c r="M279" s="27">
        <f>IF(ISERROR(L279/K279),"N/A",IF(ABS(L279/K279)&gt;5,"N/A",L279/K279))</f>
        <v>0.85568544791244427</v>
      </c>
      <c r="N279" s="105">
        <f>-554.08/1000*1</f>
        <v>-0.55408000000000002</v>
      </c>
      <c r="O279" s="106">
        <f>19070.29/1000*1</f>
        <v>19.07029</v>
      </c>
      <c r="P279" s="89">
        <f>N279-O279</f>
        <v>-19.624369999999999</v>
      </c>
      <c r="Q279" s="26">
        <f>IF(ISERROR(P279/O279),"N/A",IF(ABS(P279/O279)&gt;5,"N/A",P279/O279))</f>
        <v>-1.0290546184667353</v>
      </c>
      <c r="R279" s="106">
        <f>10000.8/1000*1</f>
        <v>10.0008</v>
      </c>
      <c r="S279" s="89">
        <f>R279-N279</f>
        <v>10.554880000000001</v>
      </c>
      <c r="T279" s="27">
        <f>IF(ISERROR(S279/R279),"N/A",IF(ABS(S279/R279)&gt;5,"N/A",S279/R279))</f>
        <v>1.055403567714583</v>
      </c>
      <c r="U279" s="105">
        <f>15718.64/1000*1</f>
        <v>15.718639999999999</v>
      </c>
      <c r="V279" s="106">
        <f>32511.57/1000*1</f>
        <v>32.511569999999999</v>
      </c>
      <c r="W279" s="89">
        <f>U279-V279</f>
        <v>-16.792929999999998</v>
      </c>
      <c r="X279" s="26">
        <f>IF(ISERROR(W279/V279),"N/A",IF(ABS(W279/V279)&gt;5,"N/A",W279/V279))</f>
        <v>-0.51652165675173478</v>
      </c>
      <c r="Y279" s="106">
        <f>26273.52/1000*1</f>
        <v>26.273520000000001</v>
      </c>
      <c r="Z279" s="89">
        <f>Y279-U279</f>
        <v>10.554880000000002</v>
      </c>
      <c r="AA279" s="27">
        <f>IF(ISERROR(Z279/Y279),"N/A",IF(ABS(Z279/Y279)&gt;5,"N/A",Z279/Y279))</f>
        <v>0.40173071594517984</v>
      </c>
      <c r="AB279" s="107">
        <f>57536.52/1000*1</f>
        <v>57.536519999999996</v>
      </c>
      <c r="AC279" s="1"/>
      <c r="AD279" s="1"/>
      <c r="AE279" s="1"/>
      <c r="AF279" s="1"/>
      <c r="AG279" s="1"/>
      <c r="AH279" s="1"/>
      <c r="AI279" s="1"/>
    </row>
    <row r="280" spans="1:35" ht="14.25" hidden="1" outlineLevel="1" x14ac:dyDescent="0.2">
      <c r="A280" s="1"/>
      <c r="B280" s="3"/>
      <c r="C280" s="3"/>
      <c r="D280" s="3" t="s">
        <v>67</v>
      </c>
      <c r="E280" s="3" t="s">
        <v>79</v>
      </c>
      <c r="F280" s="3">
        <v>930</v>
      </c>
      <c r="G280" s="105">
        <f>3177.24/1000*1</f>
        <v>3.1772399999999998</v>
      </c>
      <c r="H280" s="106">
        <f>19343.48/1000*1</f>
        <v>19.34348</v>
      </c>
      <c r="I280" s="89">
        <f>G280-H280</f>
        <v>-16.166239999999998</v>
      </c>
      <c r="J280" s="26">
        <f>IF(ISERROR(I280/H280),"N/A",IF(ABS(I280/H280)&gt;5,"N/A",I280/H280))</f>
        <v>-0.83574620492279561</v>
      </c>
      <c r="K280" s="106">
        <f>12785/1000*1</f>
        <v>12.785</v>
      </c>
      <c r="L280" s="89">
        <f>K280-G280</f>
        <v>9.6077600000000007</v>
      </c>
      <c r="M280" s="27">
        <f>IF(ISERROR(L280/K280),"N/A",IF(ABS(L280/K280)&gt;5,"N/A",L280/K280))</f>
        <v>0.7514868987094252</v>
      </c>
      <c r="N280" s="105">
        <f>3177.24/1000*1</f>
        <v>3.1772399999999998</v>
      </c>
      <c r="O280" s="106">
        <f>19343.48/1000*1</f>
        <v>19.34348</v>
      </c>
      <c r="P280" s="89">
        <f>N280-O280</f>
        <v>-16.166239999999998</v>
      </c>
      <c r="Q280" s="26">
        <f>IF(ISERROR(P280/O280),"N/A",IF(ABS(P280/O280)&gt;5,"N/A",P280/O280))</f>
        <v>-0.83574620492279561</v>
      </c>
      <c r="R280" s="106">
        <f>12785/1000*1</f>
        <v>12.785</v>
      </c>
      <c r="S280" s="89">
        <f>R280-N280</f>
        <v>9.6077600000000007</v>
      </c>
      <c r="T280" s="27">
        <f>IF(ISERROR(S280/R280),"N/A",IF(ABS(S280/R280)&gt;5,"N/A",S280/R280))</f>
        <v>0.7514868987094252</v>
      </c>
      <c r="U280" s="105">
        <f>16443.93/1000*1</f>
        <v>16.443930000000002</v>
      </c>
      <c r="V280" s="106">
        <f>33979.56/1000*1</f>
        <v>33.979559999999999</v>
      </c>
      <c r="W280" s="89">
        <f>U280-V280</f>
        <v>-17.535629999999998</v>
      </c>
      <c r="X280" s="26">
        <f>IF(ISERROR(W280/V280),"N/A",IF(ABS(W280/V280)&gt;5,"N/A",W280/V280))</f>
        <v>-0.51606406910507374</v>
      </c>
      <c r="Y280" s="106">
        <f>26051.69/1000*1</f>
        <v>26.051689999999997</v>
      </c>
      <c r="Z280" s="89">
        <f>Y280-U280</f>
        <v>9.6077599999999954</v>
      </c>
      <c r="AA280" s="27">
        <f>IF(ISERROR(Z280/Y280),"N/A",IF(ABS(Z280/Y280)&gt;5,"N/A",Z280/Y280))</f>
        <v>0.36879603588097343</v>
      </c>
      <c r="AB280" s="107">
        <f>58731.69/1000*1</f>
        <v>58.73169</v>
      </c>
      <c r="AC280" s="1"/>
      <c r="AD280" s="1"/>
      <c r="AE280" s="1"/>
      <c r="AF280" s="1"/>
      <c r="AG280" s="1"/>
      <c r="AH280" s="1"/>
      <c r="AI280" s="1"/>
    </row>
    <row r="281" spans="1:35" ht="14.25" hidden="1" outlineLevel="1" x14ac:dyDescent="0.2">
      <c r="A281" s="1"/>
      <c r="B281" s="3"/>
      <c r="C281" s="3"/>
      <c r="D281" s="3" t="s">
        <v>67</v>
      </c>
      <c r="E281" s="3" t="s">
        <v>84</v>
      </c>
      <c r="F281" s="3">
        <v>830</v>
      </c>
      <c r="G281" s="105">
        <f>0/1000*1</f>
        <v>0</v>
      </c>
      <c r="H281" s="106">
        <f>10078.41/1000*1</f>
        <v>10.07841</v>
      </c>
      <c r="I281" s="89">
        <f>G281-H281</f>
        <v>-10.07841</v>
      </c>
      <c r="J281" s="26">
        <f>IF(ISERROR(I281/H281),"N/A",IF(ABS(I281/H281)&gt;5,"N/A",I281/H281))</f>
        <v>-1</v>
      </c>
      <c r="K281" s="106">
        <f>8340/1000*1</f>
        <v>8.34</v>
      </c>
      <c r="L281" s="89">
        <f>K281-G281</f>
        <v>8.34</v>
      </c>
      <c r="M281" s="27">
        <f>IF(ISERROR(L281/K281),"N/A",IF(ABS(L281/K281)&gt;5,"N/A",L281/K281))</f>
        <v>1</v>
      </c>
      <c r="N281" s="105">
        <f>0/1000*1</f>
        <v>0</v>
      </c>
      <c r="O281" s="106">
        <f>10078.41/1000*1</f>
        <v>10.07841</v>
      </c>
      <c r="P281" s="89">
        <f>N281-O281</f>
        <v>-10.07841</v>
      </c>
      <c r="Q281" s="26">
        <f>IF(ISERROR(P281/O281),"N/A",IF(ABS(P281/O281)&gt;5,"N/A",P281/O281))</f>
        <v>-1</v>
      </c>
      <c r="R281" s="106">
        <f>8340/1000*1</f>
        <v>8.34</v>
      </c>
      <c r="S281" s="89">
        <f>R281-N281</f>
        <v>8.34</v>
      </c>
      <c r="T281" s="27">
        <f>IF(ISERROR(S281/R281),"N/A",IF(ABS(S281/R281)&gt;5,"N/A",S281/R281))</f>
        <v>1</v>
      </c>
      <c r="U281" s="105">
        <f>0/1000*1</f>
        <v>0</v>
      </c>
      <c r="V281" s="106">
        <f>26157.08/1000*1</f>
        <v>26.157080000000001</v>
      </c>
      <c r="W281" s="89">
        <f>U281-V281</f>
        <v>-26.157080000000001</v>
      </c>
      <c r="X281" s="26">
        <f>IF(ISERROR(W281/V281),"N/A",IF(ABS(W281/V281)&gt;5,"N/A",W281/V281))</f>
        <v>-1</v>
      </c>
      <c r="Y281" s="106">
        <f>8340/1000*1</f>
        <v>8.34</v>
      </c>
      <c r="Z281" s="89">
        <f>Y281-U281</f>
        <v>8.34</v>
      </c>
      <c r="AA281" s="27">
        <f>IF(ISERROR(Z281/Y281),"N/A",IF(ABS(Z281/Y281)&gt;5,"N/A",Z281/Y281))</f>
        <v>1</v>
      </c>
      <c r="AB281" s="107">
        <f>30578/1000*1</f>
        <v>30.577999999999999</v>
      </c>
      <c r="AC281" s="1"/>
      <c r="AD281" s="1"/>
      <c r="AE281" s="1"/>
      <c r="AF281" s="1"/>
      <c r="AG281" s="1"/>
      <c r="AH281" s="1"/>
      <c r="AI281" s="1"/>
    </row>
    <row r="282" spans="1:35" ht="14.25" hidden="1" outlineLevel="1" x14ac:dyDescent="0.2">
      <c r="A282" s="1"/>
      <c r="B282" s="3"/>
      <c r="C282" s="3"/>
      <c r="D282" s="3" t="s">
        <v>67</v>
      </c>
      <c r="E282" s="3" t="s">
        <v>84</v>
      </c>
      <c r="F282" s="3">
        <v>930</v>
      </c>
      <c r="G282" s="105">
        <f>1648.89/1000*1</f>
        <v>1.6488900000000002</v>
      </c>
      <c r="H282" s="106">
        <f>1642.57/1000*1</f>
        <v>1.6425699999999999</v>
      </c>
      <c r="I282" s="89">
        <f>G282-H282</f>
        <v>6.3200000000003254E-3</v>
      </c>
      <c r="J282" s="26">
        <f>IF(ISERROR(I282/H282),"N/A",IF(ABS(I282/H282)&gt;5,"N/A",I282/H282))</f>
        <v>3.8476290203768035E-3</v>
      </c>
      <c r="K282" s="106">
        <f>1359/1000*1</f>
        <v>1.359</v>
      </c>
      <c r="L282" s="89">
        <f>K282-G282</f>
        <v>-0.2898900000000002</v>
      </c>
      <c r="M282" s="27">
        <f>IF(ISERROR(L282/K282),"N/A",IF(ABS(L282/K282)&gt;5,"N/A",L282/K282))</f>
        <v>-0.21331125827814584</v>
      </c>
      <c r="N282" s="105">
        <f>3354.44/1000*1</f>
        <v>3.3544399999999999</v>
      </c>
      <c r="O282" s="106">
        <f>1642.57/1000*1</f>
        <v>1.6425699999999999</v>
      </c>
      <c r="P282" s="89">
        <f>N282-O282</f>
        <v>1.71187</v>
      </c>
      <c r="Q282" s="26">
        <f>IF(ISERROR(P282/O282),"N/A",IF(ABS(P282/O282)&gt;5,"N/A",P282/O282))</f>
        <v>1.0421899827709018</v>
      </c>
      <c r="R282" s="106">
        <f>3064.55/1000*1</f>
        <v>3.0645500000000001</v>
      </c>
      <c r="S282" s="89">
        <f>R282-N282</f>
        <v>-0.28988999999999976</v>
      </c>
      <c r="T282" s="27">
        <f>IF(ISERROR(S282/R282),"N/A",IF(ABS(S282/R282)&gt;5,"N/A",S282/R282))</f>
        <v>-9.4594638690835439E-2</v>
      </c>
      <c r="U282" s="105">
        <f>3354.44/1000*1</f>
        <v>3.3544399999999999</v>
      </c>
      <c r="V282" s="106">
        <f>3283.79/1000*1</f>
        <v>3.2837899999999998</v>
      </c>
      <c r="W282" s="89">
        <f>U282-V282</f>
        <v>7.0650000000000102E-2</v>
      </c>
      <c r="X282" s="26">
        <f>IF(ISERROR(W282/V282),"N/A",IF(ABS(W282/V282)&gt;5,"N/A",W282/V282))</f>
        <v>2.1514774087258961E-2</v>
      </c>
      <c r="Y282" s="106">
        <f>3064.55/1000*1</f>
        <v>3.0645500000000001</v>
      </c>
      <c r="Z282" s="89">
        <f>Y282-U282</f>
        <v>-0.28988999999999976</v>
      </c>
      <c r="AA282" s="27">
        <f>IF(ISERROR(Z282/Y282),"N/A",IF(ABS(Z282/Y282)&gt;5,"N/A",Z282/Y282))</f>
        <v>-9.4594638690835439E-2</v>
      </c>
      <c r="AB282" s="107">
        <f>6688.55/1000*1</f>
        <v>6.6885500000000002</v>
      </c>
      <c r="AC282" s="1"/>
      <c r="AD282" s="1"/>
      <c r="AE282" s="1"/>
      <c r="AF282" s="1"/>
      <c r="AG282" s="1"/>
      <c r="AH282" s="1"/>
      <c r="AI282" s="1"/>
    </row>
    <row r="283" spans="1:35" ht="14.25" hidden="1" outlineLevel="1" x14ac:dyDescent="0.2">
      <c r="A283" s="1"/>
      <c r="B283" s="3"/>
      <c r="C283" s="3"/>
      <c r="D283" s="3"/>
      <c r="E283" s="3"/>
      <c r="F283" s="3"/>
      <c r="G283" s="105"/>
      <c r="H283" s="106"/>
      <c r="I283" s="89"/>
      <c r="J283" s="26"/>
      <c r="K283" s="106"/>
      <c r="L283" s="89"/>
      <c r="M283" s="27"/>
      <c r="N283" s="105"/>
      <c r="O283" s="106"/>
      <c r="P283" s="89"/>
      <c r="Q283" s="26"/>
      <c r="R283" s="106"/>
      <c r="S283" s="89"/>
      <c r="T283" s="27"/>
      <c r="U283" s="105"/>
      <c r="V283" s="106"/>
      <c r="W283" s="89"/>
      <c r="X283" s="26"/>
      <c r="Y283" s="106"/>
      <c r="Z283" s="89"/>
      <c r="AA283" s="27"/>
      <c r="AB283" s="107"/>
      <c r="AC283" s="1"/>
      <c r="AD283" s="1"/>
      <c r="AE283" s="1"/>
      <c r="AF283" s="1"/>
      <c r="AG283" s="1"/>
      <c r="AH283" s="1"/>
      <c r="AI283" s="1"/>
    </row>
    <row r="284" spans="1:35" ht="14.25" hidden="1" outlineLevel="1" x14ac:dyDescent="0.2">
      <c r="A284" s="1"/>
      <c r="B284" s="3"/>
      <c r="C284" s="3"/>
      <c r="D284" s="3"/>
      <c r="E284" s="3"/>
      <c r="F284" s="3"/>
      <c r="G284" s="105"/>
      <c r="H284" s="106"/>
      <c r="I284" s="89"/>
      <c r="J284" s="26"/>
      <c r="K284" s="106"/>
      <c r="L284" s="89"/>
      <c r="M284" s="27"/>
      <c r="N284" s="105"/>
      <c r="O284" s="106"/>
      <c r="P284" s="89"/>
      <c r="Q284" s="26"/>
      <c r="R284" s="106"/>
      <c r="S284" s="89"/>
      <c r="T284" s="27"/>
      <c r="U284" s="105"/>
      <c r="V284" s="106"/>
      <c r="W284" s="89"/>
      <c r="X284" s="26"/>
      <c r="Y284" s="106"/>
      <c r="Z284" s="89"/>
      <c r="AA284" s="27"/>
      <c r="AB284" s="107"/>
      <c r="AC284" s="1"/>
      <c r="AD284" s="1"/>
      <c r="AE284" s="1"/>
      <c r="AF284" s="1"/>
      <c r="AG284" s="1"/>
      <c r="AH284" s="1"/>
      <c r="AI284" s="1"/>
    </row>
    <row r="285" spans="1:35" ht="14.25" hidden="1" outlineLevel="1" x14ac:dyDescent="0.2">
      <c r="A285" s="1"/>
      <c r="B285" s="3"/>
      <c r="C285" s="3"/>
      <c r="D285" s="3"/>
      <c r="E285" s="3"/>
      <c r="F285" s="3"/>
      <c r="G285" s="105"/>
      <c r="H285" s="106"/>
      <c r="I285" s="89"/>
      <c r="J285" s="26"/>
      <c r="K285" s="106"/>
      <c r="L285" s="89"/>
      <c r="M285" s="27"/>
      <c r="N285" s="105"/>
      <c r="O285" s="106"/>
      <c r="P285" s="89"/>
      <c r="Q285" s="26"/>
      <c r="R285" s="106"/>
      <c r="S285" s="89"/>
      <c r="T285" s="27"/>
      <c r="U285" s="105"/>
      <c r="V285" s="106"/>
      <c r="W285" s="89"/>
      <c r="X285" s="26"/>
      <c r="Y285" s="106"/>
      <c r="Z285" s="89"/>
      <c r="AA285" s="27"/>
      <c r="AB285" s="107"/>
      <c r="AC285" s="1"/>
      <c r="AD285" s="1"/>
      <c r="AE285" s="1"/>
      <c r="AF285" s="1"/>
      <c r="AG285" s="1"/>
      <c r="AH285" s="1"/>
      <c r="AI285" s="1"/>
    </row>
    <row r="286" spans="1:35" ht="14.25" collapsed="1" x14ac:dyDescent="0.2">
      <c r="A286" s="1"/>
      <c r="B286" s="3" t="s">
        <v>74</v>
      </c>
      <c r="C286" s="3"/>
      <c r="D286" s="3"/>
      <c r="E286" s="3"/>
      <c r="F286" s="3"/>
      <c r="G286" s="105">
        <f>346195.64/1000*1</f>
        <v>346.19564000000003</v>
      </c>
      <c r="H286" s="106">
        <f>-109849.54/1000*1</f>
        <v>-109.84953999999999</v>
      </c>
      <c r="I286" s="89">
        <f>G286-H286</f>
        <v>456.04518000000002</v>
      </c>
      <c r="J286" s="26">
        <f>IF(ISERROR(I286/H286),"N/A",IF(ABS(I286/H286)&gt;5,"N/A",I286/H286))</f>
        <v>-4.1515438298603717</v>
      </c>
      <c r="K286" s="106">
        <f>128722.941373/1000*1</f>
        <v>128.722941373</v>
      </c>
      <c r="L286" s="89">
        <f>K286-G286</f>
        <v>-217.47269862700003</v>
      </c>
      <c r="M286" s="27">
        <f>IF(ISERROR(L286/K286),"N/A",IF(ABS(L286/K286)&gt;5,"N/A",L286/K286))</f>
        <v>-1.6894634033946612</v>
      </c>
      <c r="N286" s="105">
        <f>346195.64/1000*1</f>
        <v>346.19564000000003</v>
      </c>
      <c r="O286" s="106">
        <f>-35803.69/1000*1</f>
        <v>-35.803690000000003</v>
      </c>
      <c r="P286" s="89">
        <f>N286-O286</f>
        <v>381.99933000000004</v>
      </c>
      <c r="Q286" s="26" t="str">
        <f>IF(ISERROR(P286/O286),"N/A",IF(ABS(P286/O286)&gt;5,"N/A",P286/O286))</f>
        <v>N/A</v>
      </c>
      <c r="R286" s="106">
        <f>128722.941373/1000*1</f>
        <v>128.722941373</v>
      </c>
      <c r="S286" s="89">
        <f>R286-N286</f>
        <v>-217.47269862700003</v>
      </c>
      <c r="T286" s="27">
        <f>IF(ISERROR(S286/R286),"N/A",IF(ABS(S286/R286)&gt;5,"N/A",S286/R286))</f>
        <v>-1.6894634033946612</v>
      </c>
      <c r="U286" s="105">
        <f>348975.71/1000*1</f>
        <v>348.97571000000005</v>
      </c>
      <c r="V286" s="106">
        <f>64163.45/1000*1</f>
        <v>64.163449999999997</v>
      </c>
      <c r="W286" s="89">
        <f>U286-V286</f>
        <v>284.81226000000004</v>
      </c>
      <c r="X286" s="26">
        <f>IF(ISERROR(W286/V286),"N/A",IF(ABS(W286/V286)&gt;5,"N/A",W286/V286))</f>
        <v>4.4388551426084488</v>
      </c>
      <c r="Y286" s="106">
        <f>131503.011373/1000*1</f>
        <v>131.50301137299999</v>
      </c>
      <c r="Z286" s="89">
        <f>Y286-U286</f>
        <v>-217.47269862700006</v>
      </c>
      <c r="AA286" s="27">
        <f>IF(ISERROR(Z286/Y286),"N/A",IF(ABS(Z286/Y286)&gt;5,"N/A",Z286/Y286))</f>
        <v>-1.6537469093399881</v>
      </c>
      <c r="AB286" s="107">
        <f>-186230.223136/1000*1</f>
        <v>-186.23022313599998</v>
      </c>
      <c r="AC286" s="1"/>
      <c r="AD286" s="1"/>
      <c r="AE286" s="1"/>
      <c r="AF286" s="1"/>
      <c r="AG286" s="1"/>
      <c r="AH286" s="1"/>
      <c r="AI286" s="1"/>
    </row>
    <row r="287" spans="1:35" ht="5.0999999999999996" customHeight="1" x14ac:dyDescent="0.2">
      <c r="A287" s="1"/>
      <c r="B287" s="3"/>
      <c r="C287" s="3"/>
      <c r="D287" s="3"/>
      <c r="E287" s="3"/>
      <c r="F287" s="3"/>
      <c r="G287" s="109"/>
      <c r="H287" s="110"/>
      <c r="I287" s="111"/>
      <c r="J287" s="38"/>
      <c r="K287" s="110"/>
      <c r="L287" s="111"/>
      <c r="M287" s="39"/>
      <c r="N287" s="109"/>
      <c r="O287" s="110"/>
      <c r="P287" s="111"/>
      <c r="Q287" s="38"/>
      <c r="R287" s="110"/>
      <c r="S287" s="111"/>
      <c r="T287" s="39"/>
      <c r="U287" s="109"/>
      <c r="V287" s="110"/>
      <c r="W287" s="111"/>
      <c r="X287" s="38"/>
      <c r="Y287" s="110"/>
      <c r="Z287" s="111"/>
      <c r="AA287" s="39"/>
      <c r="AB287" s="112"/>
      <c r="AC287" s="1"/>
      <c r="AD287" s="1"/>
      <c r="AE287" s="1"/>
      <c r="AF287" s="1"/>
      <c r="AG287" s="1"/>
      <c r="AH287" s="1"/>
      <c r="AI287" s="1"/>
    </row>
    <row r="288" spans="1:35" x14ac:dyDescent="0.25">
      <c r="A288" s="1"/>
      <c r="B288" s="2" t="s">
        <v>36</v>
      </c>
      <c r="C288" s="3"/>
      <c r="D288" s="3"/>
      <c r="E288" s="3"/>
      <c r="F288" s="3"/>
      <c r="G288" s="105">
        <f>SUM(G224,G233,G244,G247,G253,G257,G260,G264,G267,G278,G286)</f>
        <v>629.08172000000002</v>
      </c>
      <c r="H288" s="106">
        <f>SUM(H224,H233,H244,H247,H253,H257,H260,H264,H267,H278,H286)</f>
        <v>154.56617</v>
      </c>
      <c r="I288" s="89">
        <f>G288-H288</f>
        <v>474.51555000000002</v>
      </c>
      <c r="J288" s="26">
        <f>IF(ISERROR(I288/H288),"N/A",IF(ABS(I288/H288)&gt;5,"N/A",I288/H288))</f>
        <v>3.0699832311300721</v>
      </c>
      <c r="K288" s="106">
        <f>SUM(K224,K233,K244,K247,K253,K257,K260,K264,K267,K278,K286)</f>
        <v>447.08543009800007</v>
      </c>
      <c r="L288" s="89">
        <f>K288-G288</f>
        <v>-181.99628990199994</v>
      </c>
      <c r="M288" s="27">
        <f>IF(ISERROR(L288/K288),"N/A",IF(ABS(L288/K288)&gt;5,"N/A",L288/K288))</f>
        <v>-0.40707273744551858</v>
      </c>
      <c r="N288" s="105">
        <f>SUM(N224,N233,N244,N247,N253,N257,N260,N264,N267,N278,N286)</f>
        <v>1147.31801</v>
      </c>
      <c r="O288" s="106">
        <f>SUM(O224,O233,O244,O247,O253,O257,O260,O264,O267,O278,O286)</f>
        <v>786.96104000000014</v>
      </c>
      <c r="P288" s="89">
        <f>N288-O288</f>
        <v>360.35696999999982</v>
      </c>
      <c r="Q288" s="26">
        <f>IF(ISERROR(P288/O288),"N/A",IF(ABS(P288/O288)&gt;5,"N/A",P288/O288))</f>
        <v>0.45790954276465801</v>
      </c>
      <c r="R288" s="106">
        <f>SUM(R224,R233,R244,R247,R253,R257,R260,R264,R267,R278,R286)</f>
        <v>1035.6716588229999</v>
      </c>
      <c r="S288" s="89">
        <f>R288-N288</f>
        <v>-111.64635117700004</v>
      </c>
      <c r="T288" s="27">
        <f>IF(ISERROR(S288/R288),"N/A",IF(ABS(S288/R288)&gt;5,"N/A",S288/R288))</f>
        <v>-0.10780091376052689</v>
      </c>
      <c r="U288" s="105">
        <f>SUM(U224,U233,U244,U247,U253,U257,U260,U264,U267,U278,U286)</f>
        <v>2182.94508</v>
      </c>
      <c r="V288" s="106">
        <f>SUM(V224,V233,V244,V247,V253,V257,V260,V264,V267,V278,V286)</f>
        <v>1689.3968200000002</v>
      </c>
      <c r="W288" s="89">
        <f>U288-V288</f>
        <v>493.5482599999998</v>
      </c>
      <c r="X288" s="26">
        <f>IF(ISERROR(W288/V288),"N/A",IF(ABS(W288/V288)&gt;5,"N/A",W288/V288))</f>
        <v>0.29214466024625274</v>
      </c>
      <c r="Y288" s="106">
        <f>SUM(Y224,Y233,Y244,Y247,Y253,Y257,Y260,Y264,Y267,Y278,Y286)</f>
        <v>2071.2987288229997</v>
      </c>
      <c r="Z288" s="89">
        <f>Y288-U288</f>
        <v>-111.64635117700027</v>
      </c>
      <c r="AA288" s="27">
        <f>IF(ISERROR(Z288/Y288),"N/A",IF(ABS(Z288/Y288)&gt;5,"N/A",Z288/Y288))</f>
        <v>-5.3901617194755141E-2</v>
      </c>
      <c r="AB288" s="107">
        <f>SUM(AB224,AB233,AB244,AB247,AB253,AB257,AB260,AB264,AB267,AB278,AB286)</f>
        <v>3586.175931922</v>
      </c>
      <c r="AC288" s="1"/>
      <c r="AD288" s="1"/>
      <c r="AE288" s="1"/>
      <c r="AF288" s="1"/>
      <c r="AG288" s="1"/>
      <c r="AH288" s="1"/>
      <c r="AI288" s="1"/>
    </row>
    <row r="289" spans="1:35" ht="5.0999999999999996" customHeight="1" x14ac:dyDescent="0.2">
      <c r="A289" s="1"/>
      <c r="B289" s="3"/>
      <c r="C289" s="3"/>
      <c r="D289" s="3"/>
      <c r="E289" s="3"/>
      <c r="F289" s="3"/>
      <c r="G289" s="105"/>
      <c r="H289" s="106"/>
      <c r="I289" s="89"/>
      <c r="J289" s="26"/>
      <c r="K289" s="106"/>
      <c r="L289" s="89"/>
      <c r="M289" s="27"/>
      <c r="N289" s="105"/>
      <c r="O289" s="106"/>
      <c r="P289" s="89"/>
      <c r="Q289" s="26"/>
      <c r="R289" s="106"/>
      <c r="S289" s="89"/>
      <c r="T289" s="27"/>
      <c r="U289" s="105"/>
      <c r="V289" s="106"/>
      <c r="W289" s="89"/>
      <c r="X289" s="26"/>
      <c r="Y289" s="106"/>
      <c r="Z289" s="89"/>
      <c r="AA289" s="27"/>
      <c r="AB289" s="107"/>
      <c r="AC289" s="1"/>
      <c r="AD289" s="1"/>
      <c r="AE289" s="1"/>
      <c r="AF289" s="1"/>
      <c r="AG289" s="1"/>
      <c r="AH289" s="1"/>
      <c r="AI289" s="1"/>
    </row>
    <row r="290" spans="1:35" x14ac:dyDescent="0.25">
      <c r="A290" s="1"/>
      <c r="B290" s="3"/>
      <c r="C290" s="3"/>
      <c r="D290" s="3"/>
      <c r="E290" s="3"/>
      <c r="F290" s="3"/>
      <c r="G290" s="95"/>
      <c r="H290" s="45"/>
      <c r="I290" s="45"/>
      <c r="J290" s="45"/>
      <c r="K290" s="45"/>
      <c r="L290" s="45"/>
      <c r="M290" s="46"/>
      <c r="N290" s="95"/>
      <c r="O290" s="45"/>
      <c r="P290" s="45"/>
      <c r="Q290" s="45"/>
      <c r="R290" s="45"/>
      <c r="S290" s="45"/>
      <c r="T290" s="46"/>
      <c r="U290" s="95"/>
      <c r="V290" s="45"/>
      <c r="W290" s="45"/>
      <c r="X290" s="45"/>
      <c r="Y290" s="45"/>
      <c r="Z290" s="45"/>
      <c r="AA290" s="46"/>
      <c r="AB290" s="96"/>
      <c r="AC290" s="1"/>
      <c r="AD290" s="1"/>
      <c r="AE290" s="1"/>
      <c r="AF290" s="1"/>
      <c r="AG290" s="1"/>
      <c r="AH290" s="1"/>
      <c r="AI290" s="1"/>
    </row>
    <row r="291" spans="1:35" ht="14.25" x14ac:dyDescent="0.2">
      <c r="A291" s="1"/>
      <c r="B291" s="3" t="s">
        <v>49</v>
      </c>
      <c r="C291" s="3"/>
      <c r="D291" s="3"/>
      <c r="E291" s="3"/>
      <c r="F291" s="3"/>
      <c r="G291" s="102">
        <f>SUM(G292:G301)</f>
        <v>102.88596</v>
      </c>
      <c r="H291" s="103">
        <f>SUM(H292:H301)</f>
        <v>92.526870000000002</v>
      </c>
      <c r="I291" s="89">
        <f t="shared" ref="I291:I300" si="146">G291-H291</f>
        <v>10.359089999999995</v>
      </c>
      <c r="J291" s="26">
        <f t="shared" ref="J291:J300" si="147">IF(ISERROR(I291/H291),"N/A",IF(ABS(I291/H291)&gt;5,"N/A",I291/H291))</f>
        <v>0.11195763998068879</v>
      </c>
      <c r="K291" s="103">
        <f>SUM(K292:K301)</f>
        <v>47.216077324999986</v>
      </c>
      <c r="L291" s="89">
        <f t="shared" ref="L291:L300" si="148">K291-G291</f>
        <v>-55.669882675000011</v>
      </c>
      <c r="M291" s="27">
        <f t="shared" ref="M291:M300" si="149">IF(ISERROR(L291/K291),"N/A",IF(ABS(L291/K291)&gt;5,"N/A",L291/K291))</f>
        <v>-1.1790450589914614</v>
      </c>
      <c r="N291" s="102">
        <f>SUM(N292:N301)</f>
        <v>354.98070000000001</v>
      </c>
      <c r="O291" s="103">
        <f>SUM(O292:O301)</f>
        <v>207.63348999999999</v>
      </c>
      <c r="P291" s="89">
        <f t="shared" ref="P291:P300" si="150">N291-O291</f>
        <v>147.34721000000002</v>
      </c>
      <c r="Q291" s="26">
        <f t="shared" ref="Q291:Q300" si="151">IF(ISERROR(P291/O291),"N/A",IF(ABS(P291/O291)&gt;5,"N/A",P291/O291))</f>
        <v>0.70965050002290109</v>
      </c>
      <c r="R291" s="103">
        <f>SUM(R292:R301)</f>
        <v>226.364344649</v>
      </c>
      <c r="S291" s="89">
        <f t="shared" ref="S291:S300" si="152">R291-N291</f>
        <v>-128.61635535100001</v>
      </c>
      <c r="T291" s="27">
        <f t="shared" ref="T291:T300" si="153">IF(ISERROR(S291/R291),"N/A",IF(ABS(S291/R291)&gt;5,"N/A",S291/R291))</f>
        <v>-0.56818292452564567</v>
      </c>
      <c r="U291" s="102">
        <f>SUM(U292:U301)</f>
        <v>450.66114999999996</v>
      </c>
      <c r="V291" s="103">
        <f>SUM(V292:V301)</f>
        <v>391.46174999999999</v>
      </c>
      <c r="W291" s="89">
        <f t="shared" ref="W291:W300" si="154">U291-V291</f>
        <v>59.199399999999969</v>
      </c>
      <c r="X291" s="26">
        <f t="shared" ref="X291:X300" si="155">IF(ISERROR(W291/V291),"N/A",IF(ABS(W291/V291)&gt;5,"N/A",W291/V291))</f>
        <v>0.15122652468600054</v>
      </c>
      <c r="Y291" s="103">
        <f>SUM(Y292:Y301)</f>
        <v>322.0447946490001</v>
      </c>
      <c r="Z291" s="89">
        <f t="shared" ref="Z291:Z300" si="156">Y291-U291</f>
        <v>-128.61635535099987</v>
      </c>
      <c r="AA291" s="27">
        <f t="shared" ref="AA291:AA300" si="157">IF(ISERROR(Z291/Y291),"N/A",IF(ABS(Z291/Y291)&gt;5,"N/A",Z291/Y291))</f>
        <v>-0.3993741165454332</v>
      </c>
      <c r="AB291" s="104">
        <f>SUM(AB292:AB301)</f>
        <v>749.73793542800001</v>
      </c>
      <c r="AC291" s="1"/>
      <c r="AD291" s="1"/>
      <c r="AE291" s="1"/>
      <c r="AF291" s="1"/>
      <c r="AG291" s="1"/>
      <c r="AH291" s="1"/>
      <c r="AI291" s="1"/>
    </row>
    <row r="292" spans="1:35" ht="14.25" hidden="1" outlineLevel="1" x14ac:dyDescent="0.2">
      <c r="A292" s="1"/>
      <c r="B292" s="3"/>
      <c r="C292" s="3"/>
      <c r="D292" s="3" t="s">
        <v>50</v>
      </c>
      <c r="E292" s="3" t="s">
        <v>91</v>
      </c>
      <c r="F292" s="3">
        <v>930</v>
      </c>
      <c r="G292" s="24">
        <f>67785.01/1000*1</f>
        <v>67.78501</v>
      </c>
      <c r="H292" s="25">
        <f>70725.66/1000*1</f>
        <v>70.725660000000005</v>
      </c>
      <c r="I292" s="99">
        <f t="shared" si="146"/>
        <v>-2.9406500000000051</v>
      </c>
      <c r="J292" s="26">
        <f t="shared" si="147"/>
        <v>-4.1578261694553365E-2</v>
      </c>
      <c r="K292" s="25">
        <f>28985.269243/1000*1</f>
        <v>28.985269242999998</v>
      </c>
      <c r="L292" s="99">
        <f t="shared" si="148"/>
        <v>-38.799740757000002</v>
      </c>
      <c r="M292" s="27">
        <f t="shared" si="149"/>
        <v>-1.3386020475338596</v>
      </c>
      <c r="N292" s="24">
        <f>281857.62/1000*1</f>
        <v>281.85762</v>
      </c>
      <c r="O292" s="25">
        <f>164076.32/1000*1</f>
        <v>164.07632000000001</v>
      </c>
      <c r="P292" s="99">
        <f t="shared" si="150"/>
        <v>117.78129999999999</v>
      </c>
      <c r="Q292" s="26">
        <f t="shared" si="151"/>
        <v>0.71784459817236257</v>
      </c>
      <c r="R292" s="25">
        <f>167454.898486/1000*1</f>
        <v>167.45489848599999</v>
      </c>
      <c r="S292" s="99">
        <f t="shared" si="152"/>
        <v>-114.40272151400001</v>
      </c>
      <c r="T292" s="27">
        <f t="shared" si="153"/>
        <v>-0.68318527883234548</v>
      </c>
      <c r="U292" s="24">
        <f>355874.55/1000*1</f>
        <v>355.87455</v>
      </c>
      <c r="V292" s="25">
        <f>295394.51/1000*1</f>
        <v>295.39451000000003</v>
      </c>
      <c r="W292" s="99">
        <f t="shared" si="154"/>
        <v>60.480039999999974</v>
      </c>
      <c r="X292" s="26">
        <f t="shared" si="155"/>
        <v>0.204743277050071</v>
      </c>
      <c r="Y292" s="25">
        <f>241471.828486/1000*1</f>
        <v>241.47182848600002</v>
      </c>
      <c r="Z292" s="99">
        <f t="shared" si="156"/>
        <v>-114.40272151399998</v>
      </c>
      <c r="AA292" s="27">
        <f t="shared" si="157"/>
        <v>-0.47377253997408969</v>
      </c>
      <c r="AB292" s="28">
        <f>470490.238423/1000*1</f>
        <v>470.49023842299999</v>
      </c>
      <c r="AC292" s="1"/>
      <c r="AD292" s="1"/>
      <c r="AE292" s="1"/>
      <c r="AF292" s="1"/>
      <c r="AG292" s="1"/>
      <c r="AH292" s="1"/>
      <c r="AI292" s="1"/>
    </row>
    <row r="293" spans="1:35" ht="14.25" hidden="1" outlineLevel="1" x14ac:dyDescent="0.2">
      <c r="A293" s="1"/>
      <c r="B293" s="3"/>
      <c r="C293" s="3"/>
      <c r="D293" s="3" t="s">
        <v>50</v>
      </c>
      <c r="E293" s="3" t="s">
        <v>91</v>
      </c>
      <c r="F293" s="3">
        <v>931</v>
      </c>
      <c r="G293" s="24">
        <f>0/1000*1</f>
        <v>0</v>
      </c>
      <c r="H293" s="25">
        <f>0/1000*1</f>
        <v>0</v>
      </c>
      <c r="I293" s="99">
        <f t="shared" si="146"/>
        <v>0</v>
      </c>
      <c r="J293" s="26" t="str">
        <f t="shared" si="147"/>
        <v>N/A</v>
      </c>
      <c r="K293" s="25">
        <f>0/1000*1</f>
        <v>0</v>
      </c>
      <c r="L293" s="99">
        <f t="shared" si="148"/>
        <v>0</v>
      </c>
      <c r="M293" s="27" t="str">
        <f t="shared" si="149"/>
        <v>N/A</v>
      </c>
      <c r="N293" s="24">
        <f>-418.96/1000*1</f>
        <v>-0.41896</v>
      </c>
      <c r="O293" s="25">
        <f>0/1000*1</f>
        <v>0</v>
      </c>
      <c r="P293" s="99">
        <f t="shared" si="150"/>
        <v>-0.41896</v>
      </c>
      <c r="Q293" s="26" t="str">
        <f t="shared" si="151"/>
        <v>N/A</v>
      </c>
      <c r="R293" s="25">
        <f>-418.96/1000*1</f>
        <v>-0.41896</v>
      </c>
      <c r="S293" s="99">
        <f t="shared" si="152"/>
        <v>0</v>
      </c>
      <c r="T293" s="27">
        <f t="shared" si="153"/>
        <v>0</v>
      </c>
      <c r="U293" s="24">
        <f>6987.22/1000*1</f>
        <v>6.9872200000000007</v>
      </c>
      <c r="V293" s="25">
        <f>0/1000*1</f>
        <v>0</v>
      </c>
      <c r="W293" s="99">
        <f t="shared" si="154"/>
        <v>6.9872200000000007</v>
      </c>
      <c r="X293" s="26" t="str">
        <f t="shared" si="155"/>
        <v>N/A</v>
      </c>
      <c r="Y293" s="25">
        <f>6987.22/1000*1</f>
        <v>6.9872200000000007</v>
      </c>
      <c r="Z293" s="99">
        <f t="shared" si="156"/>
        <v>0</v>
      </c>
      <c r="AA293" s="27">
        <f t="shared" si="157"/>
        <v>0</v>
      </c>
      <c r="AB293" s="28">
        <f>6987.22/1000*1</f>
        <v>6.9872200000000007</v>
      </c>
      <c r="AC293" s="1"/>
      <c r="AD293" s="1"/>
      <c r="AE293" s="1"/>
      <c r="AF293" s="1"/>
      <c r="AG293" s="1"/>
      <c r="AH293" s="1"/>
      <c r="AI293" s="1"/>
    </row>
    <row r="294" spans="1:35" ht="14.25" hidden="1" outlineLevel="1" x14ac:dyDescent="0.2">
      <c r="A294" s="1"/>
      <c r="B294" s="3"/>
      <c r="C294" s="3"/>
      <c r="D294" s="3" t="s">
        <v>50</v>
      </c>
      <c r="E294" s="3" t="s">
        <v>92</v>
      </c>
      <c r="F294" s="3">
        <v>930</v>
      </c>
      <c r="G294" s="24">
        <f>11095.63/1000*1</f>
        <v>11.09563</v>
      </c>
      <c r="H294" s="25">
        <f>4833.79/1000*1</f>
        <v>4.8337899999999996</v>
      </c>
      <c r="I294" s="99">
        <f t="shared" si="146"/>
        <v>6.2618400000000003</v>
      </c>
      <c r="J294" s="26">
        <f t="shared" si="147"/>
        <v>1.2954307075814218</v>
      </c>
      <c r="K294" s="25">
        <f>5461.542056/1000*1</f>
        <v>5.4615420559999999</v>
      </c>
      <c r="L294" s="99">
        <f t="shared" si="148"/>
        <v>-5.634087944</v>
      </c>
      <c r="M294" s="27">
        <f t="shared" si="149"/>
        <v>-1.0315928882778524</v>
      </c>
      <c r="N294" s="24">
        <f>46195.06/1000*1</f>
        <v>46.195059999999998</v>
      </c>
      <c r="O294" s="25">
        <f>8225.06/1000*1</f>
        <v>8.2250599999999991</v>
      </c>
      <c r="P294" s="99">
        <f t="shared" si="150"/>
        <v>37.97</v>
      </c>
      <c r="Q294" s="26">
        <f t="shared" si="151"/>
        <v>4.61637969814202</v>
      </c>
      <c r="R294" s="25">
        <f>32439.794112/1000*1</f>
        <v>32.439794112000001</v>
      </c>
      <c r="S294" s="99">
        <f t="shared" si="152"/>
        <v>-13.755265887999997</v>
      </c>
      <c r="T294" s="27">
        <f t="shared" si="153"/>
        <v>-0.42402445097244629</v>
      </c>
      <c r="U294" s="24">
        <f>71649.47/1000*1</f>
        <v>71.649470000000008</v>
      </c>
      <c r="V294" s="25">
        <f>16557.89/1000*1</f>
        <v>16.55789</v>
      </c>
      <c r="W294" s="99">
        <f t="shared" si="154"/>
        <v>55.091580000000008</v>
      </c>
      <c r="X294" s="26">
        <f t="shared" si="155"/>
        <v>3.327210169894836</v>
      </c>
      <c r="Y294" s="25">
        <f>57894.204112/1000*1</f>
        <v>57.894204111999997</v>
      </c>
      <c r="Z294" s="99">
        <f t="shared" si="156"/>
        <v>-13.755265888000011</v>
      </c>
      <c r="AA294" s="27">
        <f t="shared" si="157"/>
        <v>-0.23759314250852434</v>
      </c>
      <c r="AB294" s="28">
        <f>96124.968263/1000*1</f>
        <v>96.124968263</v>
      </c>
      <c r="AC294" s="1"/>
      <c r="AD294" s="1"/>
      <c r="AE294" s="1"/>
      <c r="AF294" s="1"/>
      <c r="AG294" s="1"/>
      <c r="AH294" s="1"/>
      <c r="AI294" s="1"/>
    </row>
    <row r="295" spans="1:35" ht="14.25" hidden="1" outlineLevel="1" x14ac:dyDescent="0.2">
      <c r="A295" s="1"/>
      <c r="B295" s="3"/>
      <c r="C295" s="3"/>
      <c r="D295" s="3" t="s">
        <v>50</v>
      </c>
      <c r="E295" s="3" t="s">
        <v>93</v>
      </c>
      <c r="F295" s="3">
        <v>930</v>
      </c>
      <c r="G295" s="24">
        <f>0/1000*1</f>
        <v>0</v>
      </c>
      <c r="H295" s="25">
        <f>10198.74/1000*1</f>
        <v>10.198739999999999</v>
      </c>
      <c r="I295" s="99">
        <f t="shared" si="146"/>
        <v>-10.198739999999999</v>
      </c>
      <c r="J295" s="26">
        <f t="shared" si="147"/>
        <v>-1</v>
      </c>
      <c r="K295" s="25">
        <f>2692.307693/1000*1</f>
        <v>2.6923076930000001</v>
      </c>
      <c r="L295" s="99">
        <f t="shared" si="148"/>
        <v>2.6923076930000001</v>
      </c>
      <c r="M295" s="27">
        <f t="shared" si="149"/>
        <v>1</v>
      </c>
      <c r="N295" s="24">
        <f>1205.28/1000*1</f>
        <v>1.2052799999999999</v>
      </c>
      <c r="O295" s="25">
        <f>17392.1/1000*1</f>
        <v>17.392099999999999</v>
      </c>
      <c r="P295" s="99">
        <f t="shared" si="150"/>
        <v>-16.186820000000001</v>
      </c>
      <c r="Q295" s="26">
        <f t="shared" si="151"/>
        <v>-0.93069957049464991</v>
      </c>
      <c r="R295" s="25">
        <f>6589.895385/1000*1</f>
        <v>6.5898953850000002</v>
      </c>
      <c r="S295" s="99">
        <f t="shared" si="152"/>
        <v>5.384615385</v>
      </c>
      <c r="T295" s="27">
        <f t="shared" si="153"/>
        <v>0.81710180062289406</v>
      </c>
      <c r="U295" s="24">
        <f>7156.23/1000*1</f>
        <v>7.1562299999999999</v>
      </c>
      <c r="V295" s="25">
        <f>17531.97/1000*1</f>
        <v>17.531970000000001</v>
      </c>
      <c r="W295" s="99">
        <f t="shared" si="154"/>
        <v>-10.37574</v>
      </c>
      <c r="X295" s="26">
        <f t="shared" si="155"/>
        <v>-0.59181826115376646</v>
      </c>
      <c r="Y295" s="25">
        <f>12540.845385/1000*1</f>
        <v>12.540845385000001</v>
      </c>
      <c r="Z295" s="99">
        <f t="shared" si="156"/>
        <v>5.3846153850000009</v>
      </c>
      <c r="AA295" s="27">
        <f t="shared" si="157"/>
        <v>0.42936622051337098</v>
      </c>
      <c r="AB295" s="28">
        <f>31386.999231/1000*1</f>
        <v>31.386999231000001</v>
      </c>
      <c r="AC295" s="1"/>
      <c r="AD295" s="1"/>
      <c r="AE295" s="1"/>
      <c r="AF295" s="1"/>
      <c r="AG295" s="1"/>
      <c r="AH295" s="1"/>
      <c r="AI295" s="1"/>
    </row>
    <row r="296" spans="1:35" ht="14.25" hidden="1" outlineLevel="1" x14ac:dyDescent="0.2">
      <c r="A296" s="1"/>
      <c r="B296" s="3"/>
      <c r="C296" s="3"/>
      <c r="D296" s="3" t="s">
        <v>50</v>
      </c>
      <c r="E296" s="3" t="s">
        <v>94</v>
      </c>
      <c r="F296" s="3">
        <v>930</v>
      </c>
      <c r="G296" s="24">
        <f>0/1000*1</f>
        <v>0</v>
      </c>
      <c r="H296" s="25">
        <f>0/1000*1</f>
        <v>0</v>
      </c>
      <c r="I296" s="99">
        <f t="shared" si="146"/>
        <v>0</v>
      </c>
      <c r="J296" s="26" t="str">
        <f t="shared" si="147"/>
        <v>N/A</v>
      </c>
      <c r="K296" s="25">
        <f>769.42/1000*1</f>
        <v>0.76941999999999999</v>
      </c>
      <c r="L296" s="99">
        <f t="shared" si="148"/>
        <v>0.76941999999999999</v>
      </c>
      <c r="M296" s="27">
        <f t="shared" si="149"/>
        <v>1</v>
      </c>
      <c r="N296" s="24">
        <f>0/1000*1</f>
        <v>0</v>
      </c>
      <c r="O296" s="25">
        <f>0/1000*1</f>
        <v>0</v>
      </c>
      <c r="P296" s="99">
        <f t="shared" si="150"/>
        <v>0</v>
      </c>
      <c r="Q296" s="26" t="str">
        <f t="shared" si="151"/>
        <v>N/A</v>
      </c>
      <c r="R296" s="25">
        <f>1538.84/1000*1</f>
        <v>1.53884</v>
      </c>
      <c r="S296" s="99">
        <f t="shared" si="152"/>
        <v>1.53884</v>
      </c>
      <c r="T296" s="27">
        <f t="shared" si="153"/>
        <v>1</v>
      </c>
      <c r="U296" s="24">
        <f>0/1000*1</f>
        <v>0</v>
      </c>
      <c r="V296" s="25">
        <f>0/1000*1</f>
        <v>0</v>
      </c>
      <c r="W296" s="99">
        <f t="shared" si="154"/>
        <v>0</v>
      </c>
      <c r="X296" s="26" t="str">
        <f t="shared" si="155"/>
        <v>N/A</v>
      </c>
      <c r="Y296" s="25">
        <f>1538.84/1000*1</f>
        <v>1.53884</v>
      </c>
      <c r="Z296" s="99">
        <f t="shared" si="156"/>
        <v>1.53884</v>
      </c>
      <c r="AA296" s="27">
        <f t="shared" si="157"/>
        <v>1</v>
      </c>
      <c r="AB296" s="28">
        <f>6923.45/1000*1</f>
        <v>6.9234499999999999</v>
      </c>
      <c r="AC296" s="1"/>
      <c r="AD296" s="1"/>
      <c r="AE296" s="1"/>
      <c r="AF296" s="1"/>
      <c r="AG296" s="1"/>
      <c r="AH296" s="1"/>
      <c r="AI296" s="1"/>
    </row>
    <row r="297" spans="1:35" ht="14.25" hidden="1" outlineLevel="1" x14ac:dyDescent="0.2">
      <c r="A297" s="1"/>
      <c r="B297" s="3"/>
      <c r="C297" s="3"/>
      <c r="D297" s="3" t="s">
        <v>50</v>
      </c>
      <c r="E297" s="3" t="s">
        <v>95</v>
      </c>
      <c r="F297" s="3">
        <v>930</v>
      </c>
      <c r="G297" s="24">
        <f>0/1000*1</f>
        <v>0</v>
      </c>
      <c r="H297" s="25">
        <f>2160.15/1000*1</f>
        <v>2.1601500000000002</v>
      </c>
      <c r="I297" s="99">
        <f t="shared" si="146"/>
        <v>-2.1601500000000002</v>
      </c>
      <c r="J297" s="26">
        <f t="shared" si="147"/>
        <v>-1</v>
      </c>
      <c r="K297" s="25">
        <f>0/1000*1</f>
        <v>0</v>
      </c>
      <c r="L297" s="99">
        <f t="shared" si="148"/>
        <v>0</v>
      </c>
      <c r="M297" s="27" t="str">
        <f t="shared" si="149"/>
        <v>N/A</v>
      </c>
      <c r="N297" s="24">
        <f>0/1000*1</f>
        <v>0</v>
      </c>
      <c r="O297" s="25">
        <f>6643.67/1000*1</f>
        <v>6.6436700000000002</v>
      </c>
      <c r="P297" s="99">
        <f t="shared" si="150"/>
        <v>-6.6436700000000002</v>
      </c>
      <c r="Q297" s="26">
        <f t="shared" si="151"/>
        <v>-1</v>
      </c>
      <c r="R297" s="25">
        <f>0/1000*1</f>
        <v>0</v>
      </c>
      <c r="S297" s="99">
        <f t="shared" si="152"/>
        <v>0</v>
      </c>
      <c r="T297" s="27" t="str">
        <f t="shared" si="153"/>
        <v>N/A</v>
      </c>
      <c r="U297" s="24">
        <f>676.99/1000*1</f>
        <v>0.67698999999999998</v>
      </c>
      <c r="V297" s="25">
        <f>18002.69/1000*1</f>
        <v>18.002689999999998</v>
      </c>
      <c r="W297" s="99">
        <f t="shared" si="154"/>
        <v>-17.325699999999998</v>
      </c>
      <c r="X297" s="26">
        <f t="shared" si="155"/>
        <v>-0.96239506429316957</v>
      </c>
      <c r="Y297" s="25">
        <f>676.99/1000*1</f>
        <v>0.67698999999999998</v>
      </c>
      <c r="Z297" s="99">
        <f t="shared" si="156"/>
        <v>0</v>
      </c>
      <c r="AA297" s="27">
        <f t="shared" si="157"/>
        <v>0</v>
      </c>
      <c r="AB297" s="28">
        <f>676.99/1000*1</f>
        <v>0.67698999999999998</v>
      </c>
      <c r="AC297" s="1"/>
      <c r="AD297" s="1"/>
      <c r="AE297" s="1"/>
      <c r="AF297" s="1"/>
      <c r="AG297" s="1"/>
      <c r="AH297" s="1"/>
      <c r="AI297" s="1"/>
    </row>
    <row r="298" spans="1:35" ht="14.25" hidden="1" outlineLevel="1" x14ac:dyDescent="0.2">
      <c r="A298" s="1"/>
      <c r="B298" s="3"/>
      <c r="C298" s="3"/>
      <c r="D298" s="3" t="s">
        <v>50</v>
      </c>
      <c r="E298" s="3" t="s">
        <v>96</v>
      </c>
      <c r="F298" s="3">
        <v>930</v>
      </c>
      <c r="G298" s="24">
        <f>23826.48/1000*1</f>
        <v>23.82648</v>
      </c>
      <c r="H298" s="25">
        <f>3482.18/1000*1</f>
        <v>3.4821800000000001</v>
      </c>
      <c r="I298" s="99">
        <f t="shared" si="146"/>
        <v>20.3443</v>
      </c>
      <c r="J298" s="26" t="str">
        <f t="shared" si="147"/>
        <v>N/A</v>
      </c>
      <c r="K298" s="25">
        <f>5461.538333/1000*1</f>
        <v>5.461538333</v>
      </c>
      <c r="L298" s="99">
        <f t="shared" si="148"/>
        <v>-18.364941667</v>
      </c>
      <c r="M298" s="27">
        <f t="shared" si="149"/>
        <v>-3.3625950322520604</v>
      </c>
      <c r="N298" s="24">
        <f>23826.48/1000*1</f>
        <v>23.82648</v>
      </c>
      <c r="O298" s="25">
        <f>3596.77/1000*1</f>
        <v>3.5967699999999998</v>
      </c>
      <c r="P298" s="99">
        <f t="shared" si="150"/>
        <v>20.229710000000001</v>
      </c>
      <c r="Q298" s="26" t="str">
        <f t="shared" si="151"/>
        <v>N/A</v>
      </c>
      <c r="R298" s="25">
        <f>10923.076666/1000*1</f>
        <v>10.923076666</v>
      </c>
      <c r="S298" s="99">
        <f t="shared" si="152"/>
        <v>-12.903403334</v>
      </c>
      <c r="T298" s="27">
        <f t="shared" si="153"/>
        <v>-1.1812975161260302</v>
      </c>
      <c r="U298" s="24">
        <f>30933.43/1000*1</f>
        <v>30.933430000000001</v>
      </c>
      <c r="V298" s="25">
        <f>9185.74/1000*1</f>
        <v>9.1857399999999991</v>
      </c>
      <c r="W298" s="99">
        <f t="shared" si="154"/>
        <v>21.747690000000002</v>
      </c>
      <c r="X298" s="26">
        <f t="shared" si="155"/>
        <v>2.3675490488518078</v>
      </c>
      <c r="Y298" s="25">
        <f>18030.026666/1000*1</f>
        <v>18.030026666000001</v>
      </c>
      <c r="Z298" s="99">
        <f t="shared" si="156"/>
        <v>-12.903403334</v>
      </c>
      <c r="AA298" s="27">
        <f t="shared" si="157"/>
        <v>-0.71566191071322727</v>
      </c>
      <c r="AB298" s="28">
        <f>56260.793618/1000*1</f>
        <v>56.260793618000001</v>
      </c>
      <c r="AC298" s="1"/>
      <c r="AD298" s="1"/>
      <c r="AE298" s="1"/>
      <c r="AF298" s="1"/>
      <c r="AG298" s="1"/>
      <c r="AH298" s="1"/>
      <c r="AI298" s="1"/>
    </row>
    <row r="299" spans="1:35" ht="14.25" hidden="1" outlineLevel="1" x14ac:dyDescent="0.2">
      <c r="A299" s="1"/>
      <c r="B299" s="3"/>
      <c r="C299" s="3"/>
      <c r="D299" s="3" t="s">
        <v>50</v>
      </c>
      <c r="E299" s="3" t="s">
        <v>97</v>
      </c>
      <c r="F299" s="3">
        <v>930</v>
      </c>
      <c r="G299" s="24">
        <f>178.84/1000*1</f>
        <v>0.17884</v>
      </c>
      <c r="H299" s="25">
        <f>1126.35/1000*1</f>
        <v>1.12635</v>
      </c>
      <c r="I299" s="99">
        <f t="shared" si="146"/>
        <v>-0.94750999999999996</v>
      </c>
      <c r="J299" s="26">
        <f t="shared" si="147"/>
        <v>-0.84122164513694675</v>
      </c>
      <c r="K299" s="25">
        <f>2500/1000*1</f>
        <v>2.5</v>
      </c>
      <c r="L299" s="99">
        <f t="shared" si="148"/>
        <v>2.3211599999999999</v>
      </c>
      <c r="M299" s="27">
        <f t="shared" si="149"/>
        <v>0.92846399999999996</v>
      </c>
      <c r="N299" s="24">
        <f>2315.22/1000*1</f>
        <v>2.3152199999999996</v>
      </c>
      <c r="O299" s="25">
        <f>7699.57/1000*1</f>
        <v>7.6995699999999996</v>
      </c>
      <c r="P299" s="99">
        <f t="shared" si="150"/>
        <v>-5.3843499999999995</v>
      </c>
      <c r="Q299" s="26">
        <f t="shared" si="151"/>
        <v>-0.69930528587960106</v>
      </c>
      <c r="R299" s="25">
        <f>5144.8/1000*1</f>
        <v>5.1448</v>
      </c>
      <c r="S299" s="99">
        <f t="shared" si="152"/>
        <v>2.8295800000000004</v>
      </c>
      <c r="T299" s="27">
        <f t="shared" si="153"/>
        <v>0.5499883377390764</v>
      </c>
      <c r="U299" s="24">
        <f>-22616.74/1000*1</f>
        <v>-22.61674</v>
      </c>
      <c r="V299" s="25">
        <f>34788.95/1000*1</f>
        <v>34.78895</v>
      </c>
      <c r="W299" s="99">
        <f t="shared" si="154"/>
        <v>-57.40569</v>
      </c>
      <c r="X299" s="26">
        <f t="shared" si="155"/>
        <v>-1.6501127513190252</v>
      </c>
      <c r="Y299" s="25">
        <f>-19787.16/1000*1</f>
        <v>-19.78716</v>
      </c>
      <c r="Z299" s="99">
        <f t="shared" si="156"/>
        <v>2.82958</v>
      </c>
      <c r="AA299" s="27">
        <f t="shared" si="157"/>
        <v>-0.14300081466971512</v>
      </c>
      <c r="AB299" s="28">
        <f>68560.275893/1000*1</f>
        <v>68.560275892999996</v>
      </c>
      <c r="AC299" s="1"/>
      <c r="AD299" s="1"/>
      <c r="AE299" s="1"/>
      <c r="AF299" s="1"/>
      <c r="AG299" s="1"/>
      <c r="AH299" s="1"/>
      <c r="AI299" s="1"/>
    </row>
    <row r="300" spans="1:35" ht="14.25" hidden="1" outlineLevel="1" x14ac:dyDescent="0.2">
      <c r="A300" s="1"/>
      <c r="B300" s="3"/>
      <c r="C300" s="3"/>
      <c r="D300" s="3" t="s">
        <v>50</v>
      </c>
      <c r="E300" s="3" t="s">
        <v>98</v>
      </c>
      <c r="F300" s="3">
        <v>930</v>
      </c>
      <c r="G300" s="24">
        <f>0/1000*1</f>
        <v>0</v>
      </c>
      <c r="H300" s="25">
        <f>0/1000*1</f>
        <v>0</v>
      </c>
      <c r="I300" s="99">
        <f t="shared" si="146"/>
        <v>0</v>
      </c>
      <c r="J300" s="26" t="str">
        <f t="shared" si="147"/>
        <v>N/A</v>
      </c>
      <c r="K300" s="25">
        <f>1346/1000*1</f>
        <v>1.3460000000000001</v>
      </c>
      <c r="L300" s="99">
        <f t="shared" si="148"/>
        <v>1.3460000000000001</v>
      </c>
      <c r="M300" s="27">
        <f t="shared" si="149"/>
        <v>1</v>
      </c>
      <c r="N300" s="24">
        <f>0/1000*1</f>
        <v>0</v>
      </c>
      <c r="O300" s="25">
        <f>0/1000*1</f>
        <v>0</v>
      </c>
      <c r="P300" s="99">
        <f t="shared" si="150"/>
        <v>0</v>
      </c>
      <c r="Q300" s="26" t="str">
        <f t="shared" si="151"/>
        <v>N/A</v>
      </c>
      <c r="R300" s="25">
        <f>2692/1000*1</f>
        <v>2.6920000000000002</v>
      </c>
      <c r="S300" s="99">
        <f t="shared" si="152"/>
        <v>2.6920000000000002</v>
      </c>
      <c r="T300" s="27">
        <f t="shared" si="153"/>
        <v>1</v>
      </c>
      <c r="U300" s="24">
        <f>0/1000*1</f>
        <v>0</v>
      </c>
      <c r="V300" s="25">
        <f>0/1000*1</f>
        <v>0</v>
      </c>
      <c r="W300" s="99">
        <f t="shared" si="154"/>
        <v>0</v>
      </c>
      <c r="X300" s="26" t="str">
        <f t="shared" si="155"/>
        <v>N/A</v>
      </c>
      <c r="Y300" s="25">
        <f>2692/1000*1</f>
        <v>2.6920000000000002</v>
      </c>
      <c r="Z300" s="99">
        <f t="shared" si="156"/>
        <v>2.6920000000000002</v>
      </c>
      <c r="AA300" s="27">
        <f t="shared" si="157"/>
        <v>1</v>
      </c>
      <c r="AB300" s="28">
        <f>12327/1000*1</f>
        <v>12.327</v>
      </c>
      <c r="AC300" s="1"/>
      <c r="AD300" s="1"/>
      <c r="AE300" s="1"/>
      <c r="AF300" s="1"/>
      <c r="AG300" s="1"/>
      <c r="AH300" s="1"/>
      <c r="AI300" s="1"/>
    </row>
    <row r="301" spans="1:35" ht="14.25" hidden="1" outlineLevel="1" x14ac:dyDescent="0.2">
      <c r="A301" s="1"/>
      <c r="B301" s="3"/>
      <c r="C301" s="3"/>
      <c r="D301" s="3"/>
      <c r="E301" s="3"/>
      <c r="F301" s="3"/>
      <c r="G301" s="24"/>
      <c r="H301" s="25"/>
      <c r="I301" s="99"/>
      <c r="J301" s="26"/>
      <c r="K301" s="25"/>
      <c r="L301" s="99"/>
      <c r="M301" s="27"/>
      <c r="N301" s="24"/>
      <c r="O301" s="25"/>
      <c r="P301" s="99"/>
      <c r="Q301" s="26"/>
      <c r="R301" s="25"/>
      <c r="S301" s="99"/>
      <c r="T301" s="27"/>
      <c r="U301" s="24"/>
      <c r="V301" s="25"/>
      <c r="W301" s="99"/>
      <c r="X301" s="26"/>
      <c r="Y301" s="25"/>
      <c r="Z301" s="99"/>
      <c r="AA301" s="27"/>
      <c r="AB301" s="28"/>
      <c r="AC301" s="1"/>
      <c r="AD301" s="1"/>
      <c r="AE301" s="1"/>
      <c r="AF301" s="1"/>
      <c r="AG301" s="1"/>
      <c r="AH301" s="1"/>
      <c r="AI301" s="1"/>
    </row>
    <row r="302" spans="1:35" ht="14.25" hidden="1" outlineLevel="1" x14ac:dyDescent="0.2">
      <c r="A302" s="1"/>
      <c r="B302" s="3"/>
      <c r="C302" s="3"/>
      <c r="D302" s="3"/>
      <c r="E302" s="3"/>
      <c r="F302" s="3"/>
      <c r="G302" s="24"/>
      <c r="H302" s="25"/>
      <c r="I302" s="99"/>
      <c r="J302" s="26"/>
      <c r="K302" s="25"/>
      <c r="L302" s="99"/>
      <c r="M302" s="27"/>
      <c r="N302" s="24"/>
      <c r="O302" s="25"/>
      <c r="P302" s="99"/>
      <c r="Q302" s="26"/>
      <c r="R302" s="25"/>
      <c r="S302" s="99"/>
      <c r="T302" s="27"/>
      <c r="U302" s="24"/>
      <c r="V302" s="25"/>
      <c r="W302" s="99"/>
      <c r="X302" s="26"/>
      <c r="Y302" s="25"/>
      <c r="Z302" s="99"/>
      <c r="AA302" s="27"/>
      <c r="AB302" s="28"/>
      <c r="AC302" s="1"/>
      <c r="AD302" s="1"/>
      <c r="AE302" s="1"/>
      <c r="AF302" s="1"/>
      <c r="AG302" s="1"/>
      <c r="AH302" s="1"/>
      <c r="AI302" s="1"/>
    </row>
    <row r="303" spans="1:35" ht="14.25" collapsed="1" x14ac:dyDescent="0.2">
      <c r="A303" s="1"/>
      <c r="B303" s="3" t="s">
        <v>58</v>
      </c>
      <c r="C303" s="3"/>
      <c r="D303" s="3"/>
      <c r="E303" s="3"/>
      <c r="F303" s="3"/>
      <c r="G303" s="102">
        <f>SUM(G304:G316)</f>
        <v>122.45093</v>
      </c>
      <c r="H303" s="103">
        <f>SUM(H304:H316)</f>
        <v>96.426939999999988</v>
      </c>
      <c r="I303" s="89">
        <f t="shared" ref="I303:I315" si="158">G303-H303</f>
        <v>26.023990000000012</v>
      </c>
      <c r="J303" s="26">
        <f t="shared" ref="J303:J315" si="159">IF(ISERROR(I303/H303),"N/A",IF(ABS(I303/H303)&gt;5,"N/A",I303/H303))</f>
        <v>0.26988298083502404</v>
      </c>
      <c r="K303" s="103">
        <f>SUM(K304:K316)</f>
        <v>99.053466002000008</v>
      </c>
      <c r="L303" s="89">
        <f t="shared" ref="L303:L315" si="160">K303-G303</f>
        <v>-23.397463997999992</v>
      </c>
      <c r="M303" s="27">
        <f t="shared" ref="M303:M315" si="161">IF(ISERROR(L303/K303),"N/A",IF(ABS(L303/K303)&gt;5,"N/A",L303/K303))</f>
        <v>-0.23621045221706397</v>
      </c>
      <c r="N303" s="102">
        <f>SUM(N304:N316)</f>
        <v>411.99402999999995</v>
      </c>
      <c r="O303" s="103">
        <f>SUM(O304:O316)</f>
        <v>424.48554000000001</v>
      </c>
      <c r="P303" s="89">
        <f t="shared" ref="P303:P315" si="162">N303-O303</f>
        <v>-12.491510000000062</v>
      </c>
      <c r="Q303" s="26">
        <f t="shared" ref="Q303:Q315" si="163">IF(ISERROR(P303/O303),"N/A",IF(ABS(P303/O303)&gt;5,"N/A",P303/O303))</f>
        <v>-2.9427409941926552E-2</v>
      </c>
      <c r="R303" s="103">
        <f>SUM(R304:R316)</f>
        <v>346.19101788600005</v>
      </c>
      <c r="S303" s="89">
        <f t="shared" ref="S303:S315" si="164">R303-N303</f>
        <v>-65.803012113999898</v>
      </c>
      <c r="T303" s="27">
        <f t="shared" ref="T303:T315" si="165">IF(ISERROR(S303/R303),"N/A",IF(ABS(S303/R303)&gt;5,"N/A",S303/R303))</f>
        <v>-0.19007717911291588</v>
      </c>
      <c r="U303" s="102">
        <f>SUM(U304:U316)</f>
        <v>713.10903000000008</v>
      </c>
      <c r="V303" s="103">
        <f>SUM(V304:V316)</f>
        <v>754.26102999999989</v>
      </c>
      <c r="W303" s="89">
        <f t="shared" ref="W303:W315" si="166">U303-V303</f>
        <v>-41.151999999999816</v>
      </c>
      <c r="X303" s="26">
        <f t="shared" ref="X303:X315" si="167">IF(ISERROR(W303/V303),"N/A",IF(ABS(W303/V303)&gt;5,"N/A",W303/V303))</f>
        <v>-5.4559361233338308E-2</v>
      </c>
      <c r="Y303" s="103">
        <f>SUM(Y304:Y316)</f>
        <v>647.30601788600006</v>
      </c>
      <c r="Z303" s="89">
        <f t="shared" ref="Z303:Z315" si="168">Y303-U303</f>
        <v>-65.803012114000012</v>
      </c>
      <c r="AA303" s="27">
        <f t="shared" ref="AA303:AA315" si="169">IF(ISERROR(Z303/Y303),"N/A",IF(ABS(Z303/Y303)&gt;5,"N/A",Z303/Y303))</f>
        <v>-0.1016567284959011</v>
      </c>
      <c r="AB303" s="104">
        <f>SUM(AB304:AB316)</f>
        <v>1415.095248629</v>
      </c>
      <c r="AC303" s="1"/>
      <c r="AD303" s="1"/>
      <c r="AE303" s="1"/>
      <c r="AF303" s="1"/>
      <c r="AG303" s="1"/>
      <c r="AH303" s="1"/>
      <c r="AI303" s="1"/>
    </row>
    <row r="304" spans="1:35" ht="14.25" hidden="1" outlineLevel="1" x14ac:dyDescent="0.2">
      <c r="A304" s="1"/>
      <c r="B304" s="3"/>
      <c r="C304" s="3"/>
      <c r="D304" s="3" t="s">
        <v>59</v>
      </c>
      <c r="E304" s="3" t="s">
        <v>91</v>
      </c>
      <c r="F304" s="3">
        <v>811</v>
      </c>
      <c r="G304" s="105">
        <f>0/1000*1</f>
        <v>0</v>
      </c>
      <c r="H304" s="106">
        <f>0/1000*1</f>
        <v>0</v>
      </c>
      <c r="I304" s="89">
        <f t="shared" si="158"/>
        <v>0</v>
      </c>
      <c r="J304" s="26" t="str">
        <f t="shared" si="159"/>
        <v>N/A</v>
      </c>
      <c r="K304" s="106">
        <f>0/1000*1</f>
        <v>0</v>
      </c>
      <c r="L304" s="89">
        <f t="shared" si="160"/>
        <v>0</v>
      </c>
      <c r="M304" s="27" t="str">
        <f t="shared" si="161"/>
        <v>N/A</v>
      </c>
      <c r="N304" s="105">
        <f>0/1000*1</f>
        <v>0</v>
      </c>
      <c r="O304" s="106">
        <f>0/1000*1</f>
        <v>0</v>
      </c>
      <c r="P304" s="89">
        <f t="shared" si="162"/>
        <v>0</v>
      </c>
      <c r="Q304" s="26" t="str">
        <f t="shared" si="163"/>
        <v>N/A</v>
      </c>
      <c r="R304" s="106">
        <f>0/1000*1</f>
        <v>0</v>
      </c>
      <c r="S304" s="89">
        <f t="shared" si="164"/>
        <v>0</v>
      </c>
      <c r="T304" s="27" t="str">
        <f t="shared" si="165"/>
        <v>N/A</v>
      </c>
      <c r="U304" s="105">
        <f>0/1000*1</f>
        <v>0</v>
      </c>
      <c r="V304" s="106">
        <f>0/1000*1</f>
        <v>0</v>
      </c>
      <c r="W304" s="89">
        <f t="shared" si="166"/>
        <v>0</v>
      </c>
      <c r="X304" s="26" t="str">
        <f t="shared" si="167"/>
        <v>N/A</v>
      </c>
      <c r="Y304" s="106">
        <f>0/1000*1</f>
        <v>0</v>
      </c>
      <c r="Z304" s="89">
        <f t="shared" si="168"/>
        <v>0</v>
      </c>
      <c r="AA304" s="27" t="str">
        <f t="shared" si="169"/>
        <v>N/A</v>
      </c>
      <c r="AB304" s="107">
        <f>0/1000*1</f>
        <v>0</v>
      </c>
      <c r="AC304" s="1"/>
      <c r="AD304" s="1"/>
      <c r="AE304" s="1"/>
      <c r="AF304" s="1"/>
      <c r="AG304" s="1"/>
      <c r="AH304" s="1"/>
      <c r="AI304" s="1"/>
    </row>
    <row r="305" spans="1:35" ht="14.25" hidden="1" outlineLevel="1" x14ac:dyDescent="0.2">
      <c r="A305" s="1"/>
      <c r="B305" s="3"/>
      <c r="C305" s="3"/>
      <c r="D305" s="3" t="s">
        <v>59</v>
      </c>
      <c r="E305" s="3" t="s">
        <v>91</v>
      </c>
      <c r="F305" s="3">
        <v>830</v>
      </c>
      <c r="G305" s="105">
        <f>24479.41/1000*1</f>
        <v>24.479410000000001</v>
      </c>
      <c r="H305" s="106">
        <f>34976.13/1000*1</f>
        <v>34.976129999999998</v>
      </c>
      <c r="I305" s="89">
        <f t="shared" si="158"/>
        <v>-10.496719999999996</v>
      </c>
      <c r="J305" s="26">
        <f t="shared" si="159"/>
        <v>-0.30011096138995358</v>
      </c>
      <c r="K305" s="106">
        <f>14810.701045/1000*1</f>
        <v>14.810701045</v>
      </c>
      <c r="L305" s="89">
        <f t="shared" si="160"/>
        <v>-9.6687089550000014</v>
      </c>
      <c r="M305" s="27">
        <f t="shared" si="161"/>
        <v>-0.65281912892733029</v>
      </c>
      <c r="N305" s="105">
        <f>96463.58/1000*1</f>
        <v>96.463580000000007</v>
      </c>
      <c r="O305" s="106">
        <f>82832.57/1000*1</f>
        <v>82.832570000000004</v>
      </c>
      <c r="P305" s="89">
        <f t="shared" si="162"/>
        <v>13.631010000000003</v>
      </c>
      <c r="Q305" s="26">
        <f t="shared" si="163"/>
        <v>0.16456099333873139</v>
      </c>
      <c r="R305" s="106">
        <f>70401.94209/1000*1</f>
        <v>70.401942089999991</v>
      </c>
      <c r="S305" s="89">
        <f t="shared" si="164"/>
        <v>-26.061637910000016</v>
      </c>
      <c r="T305" s="27">
        <f t="shared" si="165"/>
        <v>-0.3701835082430468</v>
      </c>
      <c r="U305" s="105">
        <f>193615.66/1000*1</f>
        <v>193.61565999999999</v>
      </c>
      <c r="V305" s="106">
        <f>133177.67/1000*1</f>
        <v>133.17767000000001</v>
      </c>
      <c r="W305" s="89">
        <f t="shared" si="166"/>
        <v>60.437989999999985</v>
      </c>
      <c r="X305" s="26">
        <f t="shared" si="167"/>
        <v>0.453814742366344</v>
      </c>
      <c r="Y305" s="106">
        <f>167554.02209/1000*1</f>
        <v>167.55402209000002</v>
      </c>
      <c r="Z305" s="89">
        <f t="shared" si="168"/>
        <v>-26.061637909999973</v>
      </c>
      <c r="AA305" s="27">
        <f t="shared" si="169"/>
        <v>-0.15554170281869578</v>
      </c>
      <c r="AB305" s="107">
        <f>291242.18129/1000*1</f>
        <v>291.24218128999996</v>
      </c>
      <c r="AC305" s="1"/>
      <c r="AD305" s="1"/>
      <c r="AE305" s="1"/>
      <c r="AF305" s="1"/>
      <c r="AG305" s="1"/>
      <c r="AH305" s="1"/>
      <c r="AI305" s="1"/>
    </row>
    <row r="306" spans="1:35" ht="14.25" hidden="1" outlineLevel="1" x14ac:dyDescent="0.2">
      <c r="A306" s="1"/>
      <c r="B306" s="3"/>
      <c r="C306" s="3"/>
      <c r="D306" s="3" t="s">
        <v>59</v>
      </c>
      <c r="E306" s="3" t="s">
        <v>91</v>
      </c>
      <c r="F306" s="3">
        <v>840</v>
      </c>
      <c r="G306" s="105">
        <f>83650.02/1000*1</f>
        <v>83.650019999999998</v>
      </c>
      <c r="H306" s="106">
        <f>51299.47/1000*1</f>
        <v>51.299469999999999</v>
      </c>
      <c r="I306" s="89">
        <f t="shared" si="158"/>
        <v>32.350549999999998</v>
      </c>
      <c r="J306" s="26">
        <f t="shared" si="159"/>
        <v>0.63062152493973134</v>
      </c>
      <c r="K306" s="106">
        <f>65006.21266/1000*1</f>
        <v>65.006212660000003</v>
      </c>
      <c r="L306" s="89">
        <f t="shared" si="160"/>
        <v>-18.643807339999995</v>
      </c>
      <c r="M306" s="27">
        <f t="shared" si="161"/>
        <v>-0.28680039302569632</v>
      </c>
      <c r="N306" s="105">
        <f>249843.62/1000*1</f>
        <v>249.84361999999999</v>
      </c>
      <c r="O306" s="106">
        <f>268547.02/1000*1</f>
        <v>268.54702000000003</v>
      </c>
      <c r="P306" s="89">
        <f t="shared" si="162"/>
        <v>-18.703400000000045</v>
      </c>
      <c r="Q306" s="26">
        <f t="shared" si="163"/>
        <v>-6.9646648843841363E-2</v>
      </c>
      <c r="R306" s="106">
        <f>216839.21532/1000*1</f>
        <v>216.83921531999999</v>
      </c>
      <c r="S306" s="89">
        <f t="shared" si="164"/>
        <v>-33.004404679999993</v>
      </c>
      <c r="T306" s="27">
        <f t="shared" si="165"/>
        <v>-0.1522068073862646</v>
      </c>
      <c r="U306" s="105">
        <f>403194.15/1000*1</f>
        <v>403.19415000000004</v>
      </c>
      <c r="V306" s="106">
        <f>507472.94/1000*1</f>
        <v>507.47293999999999</v>
      </c>
      <c r="W306" s="89">
        <f t="shared" si="166"/>
        <v>-104.27878999999996</v>
      </c>
      <c r="X306" s="26">
        <f t="shared" si="167"/>
        <v>-0.20548640485145861</v>
      </c>
      <c r="Y306" s="106">
        <f>370189.74532/1000*1</f>
        <v>370.18974531999999</v>
      </c>
      <c r="Z306" s="89">
        <f t="shared" si="168"/>
        <v>-33.00440468000005</v>
      </c>
      <c r="AA306" s="27">
        <f t="shared" si="169"/>
        <v>-8.9155372608904479E-2</v>
      </c>
      <c r="AB306" s="107">
        <f>828499.78228/1000*1</f>
        <v>828.49978228000009</v>
      </c>
      <c r="AC306" s="1"/>
      <c r="AD306" s="1"/>
      <c r="AE306" s="1"/>
      <c r="AF306" s="1"/>
      <c r="AG306" s="1"/>
      <c r="AH306" s="1"/>
      <c r="AI306" s="1"/>
    </row>
    <row r="307" spans="1:35" ht="14.25" hidden="1" outlineLevel="1" x14ac:dyDescent="0.2">
      <c r="A307" s="1"/>
      <c r="B307" s="3"/>
      <c r="C307" s="3"/>
      <c r="D307" s="3" t="s">
        <v>59</v>
      </c>
      <c r="E307" s="3" t="s">
        <v>92</v>
      </c>
      <c r="F307" s="3">
        <v>840</v>
      </c>
      <c r="G307" s="105">
        <f>4528.84/1000*1</f>
        <v>4.5288399999999998</v>
      </c>
      <c r="H307" s="106">
        <f>8901.54/1000*1</f>
        <v>8.9015400000000007</v>
      </c>
      <c r="I307" s="89">
        <f t="shared" si="158"/>
        <v>-4.3727000000000009</v>
      </c>
      <c r="J307" s="26">
        <f t="shared" si="159"/>
        <v>-0.49122960746118094</v>
      </c>
      <c r="K307" s="106">
        <f>12473.046968/1000*1</f>
        <v>12.473046968</v>
      </c>
      <c r="L307" s="89">
        <f t="shared" si="160"/>
        <v>7.9442069680000005</v>
      </c>
      <c r="M307" s="27">
        <f t="shared" si="161"/>
        <v>0.6369098896509503</v>
      </c>
      <c r="N307" s="105">
        <f>34326.99/1000*1</f>
        <v>34.326989999999995</v>
      </c>
      <c r="O307" s="106">
        <f>18630.83/1000*1</f>
        <v>18.630830000000003</v>
      </c>
      <c r="P307" s="89">
        <f t="shared" si="162"/>
        <v>15.696159999999992</v>
      </c>
      <c r="Q307" s="26">
        <f t="shared" si="163"/>
        <v>0.84248313145469034</v>
      </c>
      <c r="R307" s="106">
        <f>25095.503936/1000*1</f>
        <v>25.095503936</v>
      </c>
      <c r="S307" s="89">
        <f t="shared" si="164"/>
        <v>-9.2314860639999949</v>
      </c>
      <c r="T307" s="27">
        <f t="shared" si="165"/>
        <v>-0.36785418167105399</v>
      </c>
      <c r="U307" s="105">
        <f>76390.25/1000*1</f>
        <v>76.390249999999995</v>
      </c>
      <c r="V307" s="106">
        <f>38080.35/1000*1</f>
        <v>38.080349999999996</v>
      </c>
      <c r="W307" s="89">
        <f t="shared" si="166"/>
        <v>38.309899999999999</v>
      </c>
      <c r="X307" s="26">
        <f t="shared" si="167"/>
        <v>1.0060280433346858</v>
      </c>
      <c r="Y307" s="106">
        <f>67158.763936/1000*1</f>
        <v>67.158763936</v>
      </c>
      <c r="Z307" s="89">
        <f t="shared" si="168"/>
        <v>-9.2314860639999949</v>
      </c>
      <c r="AA307" s="27">
        <f t="shared" si="169"/>
        <v>-0.13745765292519804</v>
      </c>
      <c r="AB307" s="107">
        <f>167912.954309/1000*1</f>
        <v>167.91295430899999</v>
      </c>
      <c r="AC307" s="1"/>
      <c r="AD307" s="1"/>
      <c r="AE307" s="1"/>
      <c r="AF307" s="1"/>
      <c r="AG307" s="1"/>
      <c r="AH307" s="1"/>
      <c r="AI307" s="1"/>
    </row>
    <row r="308" spans="1:35" ht="14.25" hidden="1" outlineLevel="1" x14ac:dyDescent="0.2">
      <c r="A308" s="1"/>
      <c r="B308" s="3"/>
      <c r="C308" s="3"/>
      <c r="D308" s="3" t="s">
        <v>59</v>
      </c>
      <c r="E308" s="3" t="s">
        <v>92</v>
      </c>
      <c r="F308" s="3">
        <v>842</v>
      </c>
      <c r="G308" s="105">
        <f>0/1000*1</f>
        <v>0</v>
      </c>
      <c r="H308" s="106">
        <f>0/1000*1</f>
        <v>0</v>
      </c>
      <c r="I308" s="89">
        <f t="shared" si="158"/>
        <v>0</v>
      </c>
      <c r="J308" s="26" t="str">
        <f t="shared" si="159"/>
        <v>N/A</v>
      </c>
      <c r="K308" s="106">
        <f>0/1000*1</f>
        <v>0</v>
      </c>
      <c r="L308" s="89">
        <f t="shared" si="160"/>
        <v>0</v>
      </c>
      <c r="M308" s="27" t="str">
        <f t="shared" si="161"/>
        <v>N/A</v>
      </c>
      <c r="N308" s="105">
        <f>0/1000*1</f>
        <v>0</v>
      </c>
      <c r="O308" s="106">
        <f>0/1000*1</f>
        <v>0</v>
      </c>
      <c r="P308" s="89">
        <f t="shared" si="162"/>
        <v>0</v>
      </c>
      <c r="Q308" s="26" t="str">
        <f t="shared" si="163"/>
        <v>N/A</v>
      </c>
      <c r="R308" s="106">
        <f>0/1000*1</f>
        <v>0</v>
      </c>
      <c r="S308" s="89">
        <f t="shared" si="164"/>
        <v>0</v>
      </c>
      <c r="T308" s="27" t="str">
        <f t="shared" si="165"/>
        <v>N/A</v>
      </c>
      <c r="U308" s="105">
        <f>0/1000*1</f>
        <v>0</v>
      </c>
      <c r="V308" s="106">
        <f>0/1000*1</f>
        <v>0</v>
      </c>
      <c r="W308" s="89">
        <f t="shared" si="166"/>
        <v>0</v>
      </c>
      <c r="X308" s="26" t="str">
        <f t="shared" si="167"/>
        <v>N/A</v>
      </c>
      <c r="Y308" s="106">
        <f>0/1000*1</f>
        <v>0</v>
      </c>
      <c r="Z308" s="89">
        <f t="shared" si="168"/>
        <v>0</v>
      </c>
      <c r="AA308" s="27" t="str">
        <f t="shared" si="169"/>
        <v>N/A</v>
      </c>
      <c r="AB308" s="107">
        <f>0/1000*1</f>
        <v>0</v>
      </c>
      <c r="AC308" s="1"/>
      <c r="AD308" s="1"/>
      <c r="AE308" s="1"/>
      <c r="AF308" s="1"/>
      <c r="AG308" s="1"/>
      <c r="AH308" s="1"/>
      <c r="AI308" s="1"/>
    </row>
    <row r="309" spans="1:35" ht="14.25" hidden="1" outlineLevel="1" x14ac:dyDescent="0.2">
      <c r="A309" s="1"/>
      <c r="B309" s="3"/>
      <c r="C309" s="3"/>
      <c r="D309" s="3" t="s">
        <v>59</v>
      </c>
      <c r="E309" s="3" t="s">
        <v>93</v>
      </c>
      <c r="F309" s="3">
        <v>830</v>
      </c>
      <c r="G309" s="105">
        <f>0/1000*1</f>
        <v>0</v>
      </c>
      <c r="H309" s="106">
        <f>0/1000*1</f>
        <v>0</v>
      </c>
      <c r="I309" s="89">
        <f t="shared" si="158"/>
        <v>0</v>
      </c>
      <c r="J309" s="26" t="str">
        <f t="shared" si="159"/>
        <v>N/A</v>
      </c>
      <c r="K309" s="106">
        <f>0/1000*1</f>
        <v>0</v>
      </c>
      <c r="L309" s="89">
        <f t="shared" si="160"/>
        <v>0</v>
      </c>
      <c r="M309" s="27" t="str">
        <f t="shared" si="161"/>
        <v>N/A</v>
      </c>
      <c r="N309" s="105">
        <f>0/1000*1</f>
        <v>0</v>
      </c>
      <c r="O309" s="106">
        <f>0/1000*1</f>
        <v>0</v>
      </c>
      <c r="P309" s="89">
        <f t="shared" si="162"/>
        <v>0</v>
      </c>
      <c r="Q309" s="26" t="str">
        <f t="shared" si="163"/>
        <v>N/A</v>
      </c>
      <c r="R309" s="106">
        <f>0/1000*1</f>
        <v>0</v>
      </c>
      <c r="S309" s="89">
        <f t="shared" si="164"/>
        <v>0</v>
      </c>
      <c r="T309" s="27" t="str">
        <f t="shared" si="165"/>
        <v>N/A</v>
      </c>
      <c r="U309" s="105">
        <f>0/1000*1</f>
        <v>0</v>
      </c>
      <c r="V309" s="106">
        <f>0/1000*1</f>
        <v>0</v>
      </c>
      <c r="W309" s="89">
        <f t="shared" si="166"/>
        <v>0</v>
      </c>
      <c r="X309" s="26" t="str">
        <f t="shared" si="167"/>
        <v>N/A</v>
      </c>
      <c r="Y309" s="106">
        <f>0/1000*1</f>
        <v>0</v>
      </c>
      <c r="Z309" s="89">
        <f t="shared" si="168"/>
        <v>0</v>
      </c>
      <c r="AA309" s="27" t="str">
        <f t="shared" si="169"/>
        <v>N/A</v>
      </c>
      <c r="AB309" s="107">
        <f>10765.35503/1000*1</f>
        <v>10.76535503</v>
      </c>
      <c r="AC309" s="1"/>
      <c r="AD309" s="1"/>
      <c r="AE309" s="1"/>
      <c r="AF309" s="1"/>
      <c r="AG309" s="1"/>
      <c r="AH309" s="1"/>
      <c r="AI309" s="1"/>
    </row>
    <row r="310" spans="1:35" ht="14.25" hidden="1" outlineLevel="1" x14ac:dyDescent="0.2">
      <c r="A310" s="1"/>
      <c r="B310" s="3"/>
      <c r="C310" s="3"/>
      <c r="D310" s="3" t="s">
        <v>59</v>
      </c>
      <c r="E310" s="3" t="s">
        <v>93</v>
      </c>
      <c r="F310" s="3">
        <v>840</v>
      </c>
      <c r="G310" s="105">
        <f>1209.66/1000*1</f>
        <v>1.2096600000000002</v>
      </c>
      <c r="H310" s="106">
        <f>0/1000*1</f>
        <v>0</v>
      </c>
      <c r="I310" s="89">
        <f t="shared" si="158"/>
        <v>1.2096600000000002</v>
      </c>
      <c r="J310" s="26" t="str">
        <f t="shared" si="159"/>
        <v>N/A</v>
      </c>
      <c r="K310" s="106">
        <f>424.102564/1000*1</f>
        <v>0.42410256399999996</v>
      </c>
      <c r="L310" s="89">
        <f t="shared" si="160"/>
        <v>-0.78555743600000016</v>
      </c>
      <c r="M310" s="27">
        <f t="shared" si="161"/>
        <v>-1.8522817419231643</v>
      </c>
      <c r="N310" s="105">
        <f>1209.66/1000*1</f>
        <v>1.2096600000000002</v>
      </c>
      <c r="O310" s="106">
        <f>0/1000*1</f>
        <v>0</v>
      </c>
      <c r="P310" s="89">
        <f t="shared" si="162"/>
        <v>1.2096600000000002</v>
      </c>
      <c r="Q310" s="26" t="str">
        <f t="shared" si="163"/>
        <v>N/A</v>
      </c>
      <c r="R310" s="106">
        <f>848.205128/1000*1</f>
        <v>0.84820512799999992</v>
      </c>
      <c r="S310" s="89">
        <f t="shared" si="164"/>
        <v>-0.36145487200000026</v>
      </c>
      <c r="T310" s="27">
        <f t="shared" si="165"/>
        <v>-0.42614087096158215</v>
      </c>
      <c r="U310" s="105">
        <f>1209.66/1000*1</f>
        <v>1.2096600000000002</v>
      </c>
      <c r="V310" s="106">
        <f>0/1000*1</f>
        <v>0</v>
      </c>
      <c r="W310" s="89">
        <f t="shared" si="166"/>
        <v>1.2096600000000002</v>
      </c>
      <c r="X310" s="26" t="str">
        <f t="shared" si="167"/>
        <v>N/A</v>
      </c>
      <c r="Y310" s="106">
        <f>848.205128/1000*1</f>
        <v>0.84820512799999992</v>
      </c>
      <c r="Z310" s="89">
        <f t="shared" si="168"/>
        <v>-0.36145487200000026</v>
      </c>
      <c r="AA310" s="27">
        <f t="shared" si="169"/>
        <v>-0.42614087096158215</v>
      </c>
      <c r="AB310" s="107">
        <f>3816.923076/1000*1</f>
        <v>3.8169230760000001</v>
      </c>
      <c r="AC310" s="1"/>
      <c r="AD310" s="1"/>
      <c r="AE310" s="1"/>
      <c r="AF310" s="1"/>
      <c r="AG310" s="1"/>
      <c r="AH310" s="1"/>
      <c r="AI310" s="1"/>
    </row>
    <row r="311" spans="1:35" ht="14.25" hidden="1" outlineLevel="1" x14ac:dyDescent="0.2">
      <c r="A311" s="1"/>
      <c r="B311" s="3"/>
      <c r="C311" s="3"/>
      <c r="D311" s="3" t="s">
        <v>59</v>
      </c>
      <c r="E311" s="3" t="s">
        <v>95</v>
      </c>
      <c r="F311" s="3">
        <v>840</v>
      </c>
      <c r="G311" s="105">
        <f>-386.34/1000*1</f>
        <v>-0.38633999999999996</v>
      </c>
      <c r="H311" s="106">
        <f>421.25/1000*1</f>
        <v>0.42125000000000001</v>
      </c>
      <c r="I311" s="89">
        <f t="shared" si="158"/>
        <v>-0.80759000000000003</v>
      </c>
      <c r="J311" s="26">
        <f t="shared" si="159"/>
        <v>-1.9171275964391692</v>
      </c>
      <c r="K311" s="106">
        <f>441.176471/1000*1</f>
        <v>0.44117647100000001</v>
      </c>
      <c r="L311" s="89">
        <f t="shared" si="160"/>
        <v>0.82751647100000003</v>
      </c>
      <c r="M311" s="27">
        <f t="shared" si="161"/>
        <v>1.8757039991826763</v>
      </c>
      <c r="N311" s="105">
        <f>508.45/1000*1</f>
        <v>0.50844999999999996</v>
      </c>
      <c r="O311" s="106">
        <f>3161.25/1000*1</f>
        <v>3.1612499999999999</v>
      </c>
      <c r="P311" s="89">
        <f t="shared" si="162"/>
        <v>-2.6528</v>
      </c>
      <c r="Q311" s="26">
        <f t="shared" si="163"/>
        <v>-0.83916172400158173</v>
      </c>
      <c r="R311" s="106">
        <f>5608.008824/1000*1</f>
        <v>5.6080088239999997</v>
      </c>
      <c r="S311" s="89">
        <f t="shared" si="164"/>
        <v>5.0995588239999998</v>
      </c>
      <c r="T311" s="27">
        <f t="shared" si="165"/>
        <v>0.90933502140295497</v>
      </c>
      <c r="U311" s="105">
        <f>1872.03/1000*1</f>
        <v>1.8720300000000001</v>
      </c>
      <c r="V311" s="106">
        <f>4823.37/1000*1</f>
        <v>4.8233699999999997</v>
      </c>
      <c r="W311" s="89">
        <f t="shared" si="166"/>
        <v>-2.9513399999999996</v>
      </c>
      <c r="X311" s="26">
        <f t="shared" si="167"/>
        <v>-0.61188339273163783</v>
      </c>
      <c r="Y311" s="106">
        <f>6971.588824/1000*1</f>
        <v>6.9715888240000004</v>
      </c>
      <c r="Z311" s="89">
        <f t="shared" si="168"/>
        <v>5.0995588240000007</v>
      </c>
      <c r="AA311" s="27">
        <f t="shared" si="169"/>
        <v>0.73147727910236837</v>
      </c>
      <c r="AB311" s="107">
        <f>10105.917182/1000*1</f>
        <v>10.105917181999999</v>
      </c>
      <c r="AC311" s="1"/>
      <c r="AD311" s="1"/>
      <c r="AE311" s="1"/>
      <c r="AF311" s="1"/>
      <c r="AG311" s="1"/>
      <c r="AH311" s="1"/>
      <c r="AI311" s="1"/>
    </row>
    <row r="312" spans="1:35" ht="14.25" hidden="1" outlineLevel="1" x14ac:dyDescent="0.2">
      <c r="A312" s="1"/>
      <c r="B312" s="3"/>
      <c r="C312" s="3"/>
      <c r="D312" s="3" t="s">
        <v>59</v>
      </c>
      <c r="E312" s="3" t="s">
        <v>96</v>
      </c>
      <c r="F312" s="3">
        <v>840</v>
      </c>
      <c r="G312" s="105">
        <f>8221.36/1000*1</f>
        <v>8.2213600000000007</v>
      </c>
      <c r="H312" s="106">
        <f>662.19/1000*1</f>
        <v>0.66219000000000006</v>
      </c>
      <c r="I312" s="89">
        <f t="shared" si="158"/>
        <v>7.5591700000000008</v>
      </c>
      <c r="J312" s="26" t="str">
        <f t="shared" si="159"/>
        <v>N/A</v>
      </c>
      <c r="K312" s="106">
        <f>4791.751474/1000*1</f>
        <v>4.7917514739999998</v>
      </c>
      <c r="L312" s="89">
        <f t="shared" si="160"/>
        <v>-3.4296085260000009</v>
      </c>
      <c r="M312" s="27">
        <f t="shared" si="161"/>
        <v>-0.71573172035507804</v>
      </c>
      <c r="N312" s="105">
        <f>12389.08/1000*1</f>
        <v>12.38908</v>
      </c>
      <c r="O312" s="106">
        <f>51301.83/1000*1</f>
        <v>51.301830000000002</v>
      </c>
      <c r="P312" s="89">
        <f t="shared" si="162"/>
        <v>-38.912750000000003</v>
      </c>
      <c r="Q312" s="26">
        <f t="shared" si="163"/>
        <v>-0.75850608058231062</v>
      </c>
      <c r="R312" s="106">
        <f>12593.622948/1000*1</f>
        <v>12.593622948</v>
      </c>
      <c r="S312" s="89">
        <f t="shared" si="164"/>
        <v>0.20454294800000028</v>
      </c>
      <c r="T312" s="27">
        <f t="shared" si="165"/>
        <v>1.6241787517743959E-2</v>
      </c>
      <c r="U312" s="105">
        <f>18698.24/1000*1</f>
        <v>18.698240000000002</v>
      </c>
      <c r="V312" s="106">
        <f>66647.21/1000*1</f>
        <v>66.647210000000001</v>
      </c>
      <c r="W312" s="89">
        <f t="shared" si="166"/>
        <v>-47.948970000000003</v>
      </c>
      <c r="X312" s="26">
        <f t="shared" si="167"/>
        <v>-0.71944451988312796</v>
      </c>
      <c r="Y312" s="106">
        <f>18902.782948/1000*1</f>
        <v>18.902782947999999</v>
      </c>
      <c r="Z312" s="89">
        <f t="shared" si="168"/>
        <v>0.20454294799999673</v>
      </c>
      <c r="AA312" s="27">
        <f t="shared" si="169"/>
        <v>1.0820784884568455E-2</v>
      </c>
      <c r="AB312" s="107">
        <f>60429.196834/1000*1</f>
        <v>60.429196834000003</v>
      </c>
      <c r="AC312" s="1"/>
      <c r="AD312" s="1"/>
      <c r="AE312" s="1"/>
      <c r="AF312" s="1"/>
      <c r="AG312" s="1"/>
      <c r="AH312" s="1"/>
      <c r="AI312" s="1"/>
    </row>
    <row r="313" spans="1:35" ht="14.25" hidden="1" outlineLevel="1" x14ac:dyDescent="0.2">
      <c r="A313" s="1"/>
      <c r="B313" s="3"/>
      <c r="C313" s="3"/>
      <c r="D313" s="3" t="s">
        <v>59</v>
      </c>
      <c r="E313" s="3" t="s">
        <v>97</v>
      </c>
      <c r="F313" s="3">
        <v>830</v>
      </c>
      <c r="G313" s="105">
        <f>0/1000*1</f>
        <v>0</v>
      </c>
      <c r="H313" s="106">
        <f>0/1000*1</f>
        <v>0</v>
      </c>
      <c r="I313" s="89">
        <f t="shared" si="158"/>
        <v>0</v>
      </c>
      <c r="J313" s="26" t="str">
        <f t="shared" si="159"/>
        <v>N/A</v>
      </c>
      <c r="K313" s="106">
        <f>0/1000*1</f>
        <v>0</v>
      </c>
      <c r="L313" s="89">
        <f t="shared" si="160"/>
        <v>0</v>
      </c>
      <c r="M313" s="27" t="str">
        <f t="shared" si="161"/>
        <v>N/A</v>
      </c>
      <c r="N313" s="105">
        <f>0/1000*1</f>
        <v>0</v>
      </c>
      <c r="O313" s="106">
        <f>0/1000*1</f>
        <v>0</v>
      </c>
      <c r="P313" s="89">
        <f t="shared" si="162"/>
        <v>0</v>
      </c>
      <c r="Q313" s="26" t="str">
        <f t="shared" si="163"/>
        <v>N/A</v>
      </c>
      <c r="R313" s="106">
        <f>0/1000*1</f>
        <v>0</v>
      </c>
      <c r="S313" s="89">
        <f t="shared" si="164"/>
        <v>0</v>
      </c>
      <c r="T313" s="27" t="str">
        <f t="shared" si="165"/>
        <v>N/A</v>
      </c>
      <c r="U313" s="105">
        <f>0/1000*1</f>
        <v>0</v>
      </c>
      <c r="V313" s="106">
        <f>8.12/1000*1</f>
        <v>8.1199999999999987E-3</v>
      </c>
      <c r="W313" s="89">
        <f t="shared" si="166"/>
        <v>-8.1199999999999987E-3</v>
      </c>
      <c r="X313" s="26">
        <f t="shared" si="167"/>
        <v>-1</v>
      </c>
      <c r="Y313" s="106">
        <f>0/1000*1</f>
        <v>0</v>
      </c>
      <c r="Z313" s="89">
        <f t="shared" si="168"/>
        <v>0</v>
      </c>
      <c r="AA313" s="27" t="str">
        <f t="shared" si="169"/>
        <v>N/A</v>
      </c>
      <c r="AB313" s="107">
        <f>0/1000*1</f>
        <v>0</v>
      </c>
      <c r="AC313" s="1"/>
      <c r="AD313" s="1"/>
      <c r="AE313" s="1"/>
      <c r="AF313" s="1"/>
      <c r="AG313" s="1"/>
      <c r="AH313" s="1"/>
      <c r="AI313" s="1"/>
    </row>
    <row r="314" spans="1:35" ht="14.25" hidden="1" outlineLevel="1" x14ac:dyDescent="0.2">
      <c r="A314" s="1"/>
      <c r="B314" s="3"/>
      <c r="C314" s="3"/>
      <c r="D314" s="3" t="s">
        <v>59</v>
      </c>
      <c r="E314" s="3" t="s">
        <v>97</v>
      </c>
      <c r="F314" s="3">
        <v>840</v>
      </c>
      <c r="G314" s="105">
        <f>747.98/1000*1</f>
        <v>0.74797999999999998</v>
      </c>
      <c r="H314" s="106">
        <f>166.36/1000*1</f>
        <v>0.16636000000000001</v>
      </c>
      <c r="I314" s="89">
        <f t="shared" si="158"/>
        <v>0.58162000000000003</v>
      </c>
      <c r="J314" s="26">
        <f t="shared" si="159"/>
        <v>3.4961529213753306</v>
      </c>
      <c r="K314" s="106">
        <f>1106.47482/1000*1</f>
        <v>1.1064748199999999</v>
      </c>
      <c r="L314" s="89">
        <f t="shared" si="160"/>
        <v>0.35849481999999988</v>
      </c>
      <c r="M314" s="27">
        <f t="shared" si="161"/>
        <v>0.32399726909284743</v>
      </c>
      <c r="N314" s="105">
        <f>17252.65/1000*1</f>
        <v>17.252650000000003</v>
      </c>
      <c r="O314" s="106">
        <f>12.04/1000*1</f>
        <v>1.2039999999999999E-2</v>
      </c>
      <c r="P314" s="89">
        <f t="shared" si="162"/>
        <v>17.240610000000004</v>
      </c>
      <c r="Q314" s="26" t="str">
        <f t="shared" si="163"/>
        <v>N/A</v>
      </c>
      <c r="R314" s="106">
        <f>14804.51964/1000*1</f>
        <v>14.804519640000001</v>
      </c>
      <c r="S314" s="89">
        <f t="shared" si="164"/>
        <v>-2.4481303600000022</v>
      </c>
      <c r="T314" s="27">
        <f t="shared" si="165"/>
        <v>-0.16536371456358864</v>
      </c>
      <c r="U314" s="105">
        <f>18129.04/1000*1</f>
        <v>18.12904</v>
      </c>
      <c r="V314" s="106">
        <f>3929.15/1000*1</f>
        <v>3.9291499999999999</v>
      </c>
      <c r="W314" s="89">
        <f t="shared" si="166"/>
        <v>14.19989</v>
      </c>
      <c r="X314" s="26">
        <f t="shared" si="167"/>
        <v>3.6139852130868002</v>
      </c>
      <c r="Y314" s="106">
        <f>15680.90964/1000*1</f>
        <v>15.680909639999999</v>
      </c>
      <c r="Z314" s="89">
        <f t="shared" si="168"/>
        <v>-2.4481303600000004</v>
      </c>
      <c r="AA314" s="27">
        <f t="shared" si="169"/>
        <v>-0.15612170570482289</v>
      </c>
      <c r="AB314" s="107">
        <f>42322.938628/1000*1</f>
        <v>42.322938628000003</v>
      </c>
      <c r="AC314" s="1"/>
      <c r="AD314" s="1"/>
      <c r="AE314" s="1"/>
      <c r="AF314" s="1"/>
      <c r="AG314" s="1"/>
      <c r="AH314" s="1"/>
      <c r="AI314" s="1"/>
    </row>
    <row r="315" spans="1:35" ht="14.25" hidden="1" outlineLevel="1" x14ac:dyDescent="0.2">
      <c r="A315" s="1"/>
      <c r="B315" s="3"/>
      <c r="C315" s="3"/>
      <c r="D315" s="3" t="s">
        <v>59</v>
      </c>
      <c r="E315" s="3" t="s">
        <v>97</v>
      </c>
      <c r="F315" s="3">
        <v>844</v>
      </c>
      <c r="G315" s="105">
        <f>0/1000*1</f>
        <v>0</v>
      </c>
      <c r="H315" s="106">
        <f>0/1000*1</f>
        <v>0</v>
      </c>
      <c r="I315" s="89">
        <f t="shared" si="158"/>
        <v>0</v>
      </c>
      <c r="J315" s="26" t="str">
        <f t="shared" si="159"/>
        <v>N/A</v>
      </c>
      <c r="K315" s="106">
        <f>0/1000*1</f>
        <v>0</v>
      </c>
      <c r="L315" s="89">
        <f t="shared" si="160"/>
        <v>0</v>
      </c>
      <c r="M315" s="27" t="str">
        <f t="shared" si="161"/>
        <v>N/A</v>
      </c>
      <c r="N315" s="105">
        <f>0/1000*1</f>
        <v>0</v>
      </c>
      <c r="O315" s="106">
        <f>0/1000*1</f>
        <v>0</v>
      </c>
      <c r="P315" s="89">
        <f t="shared" si="162"/>
        <v>0</v>
      </c>
      <c r="Q315" s="26" t="str">
        <f t="shared" si="163"/>
        <v>N/A</v>
      </c>
      <c r="R315" s="106">
        <f>0/1000*1</f>
        <v>0</v>
      </c>
      <c r="S315" s="89">
        <f t="shared" si="164"/>
        <v>0</v>
      </c>
      <c r="T315" s="27" t="str">
        <f t="shared" si="165"/>
        <v>N/A</v>
      </c>
      <c r="U315" s="105">
        <f>0/1000*1</f>
        <v>0</v>
      </c>
      <c r="V315" s="106">
        <f>122.22/1000*1</f>
        <v>0.12222</v>
      </c>
      <c r="W315" s="89">
        <f t="shared" si="166"/>
        <v>-0.12222</v>
      </c>
      <c r="X315" s="26">
        <f t="shared" si="167"/>
        <v>-1</v>
      </c>
      <c r="Y315" s="106">
        <f>0/1000*1</f>
        <v>0</v>
      </c>
      <c r="Z315" s="89">
        <f t="shared" si="168"/>
        <v>0</v>
      </c>
      <c r="AA315" s="27" t="str">
        <f t="shared" si="169"/>
        <v>N/A</v>
      </c>
      <c r="AB315" s="107">
        <f>0/1000*1</f>
        <v>0</v>
      </c>
      <c r="AC315" s="1"/>
      <c r="AD315" s="1"/>
      <c r="AE315" s="1"/>
      <c r="AF315" s="1"/>
      <c r="AG315" s="1"/>
      <c r="AH315" s="1"/>
      <c r="AI315" s="1"/>
    </row>
    <row r="316" spans="1:35" ht="14.25" hidden="1" outlineLevel="1" x14ac:dyDescent="0.2">
      <c r="A316" s="1"/>
      <c r="B316" s="3"/>
      <c r="C316" s="3"/>
      <c r="D316" s="3"/>
      <c r="E316" s="3"/>
      <c r="F316" s="3"/>
      <c r="G316" s="105"/>
      <c r="H316" s="106"/>
      <c r="I316" s="89"/>
      <c r="J316" s="26"/>
      <c r="K316" s="106"/>
      <c r="L316" s="89"/>
      <c r="M316" s="27"/>
      <c r="N316" s="105"/>
      <c r="O316" s="106"/>
      <c r="P316" s="89"/>
      <c r="Q316" s="26"/>
      <c r="R316" s="106"/>
      <c r="S316" s="89"/>
      <c r="T316" s="27"/>
      <c r="U316" s="105"/>
      <c r="V316" s="106"/>
      <c r="W316" s="89"/>
      <c r="X316" s="26"/>
      <c r="Y316" s="106"/>
      <c r="Z316" s="89"/>
      <c r="AA316" s="27"/>
      <c r="AB316" s="107"/>
      <c r="AC316" s="1"/>
      <c r="AD316" s="1"/>
      <c r="AE316" s="1"/>
      <c r="AF316" s="1"/>
      <c r="AG316" s="1"/>
      <c r="AH316" s="1"/>
      <c r="AI316" s="1"/>
    </row>
    <row r="317" spans="1:35" ht="14.25" hidden="1" outlineLevel="1" x14ac:dyDescent="0.2">
      <c r="A317" s="1"/>
      <c r="B317" s="3"/>
      <c r="C317" s="3"/>
      <c r="D317" s="3"/>
      <c r="E317" s="3"/>
      <c r="F317" s="3"/>
      <c r="G317" s="105"/>
      <c r="H317" s="106"/>
      <c r="I317" s="89"/>
      <c r="J317" s="26"/>
      <c r="K317" s="106"/>
      <c r="L317" s="89"/>
      <c r="M317" s="27"/>
      <c r="N317" s="105"/>
      <c r="O317" s="106"/>
      <c r="P317" s="89"/>
      <c r="Q317" s="26"/>
      <c r="R317" s="106"/>
      <c r="S317" s="89"/>
      <c r="T317" s="27"/>
      <c r="U317" s="105"/>
      <c r="V317" s="106"/>
      <c r="W317" s="89"/>
      <c r="X317" s="26"/>
      <c r="Y317" s="106"/>
      <c r="Z317" s="89"/>
      <c r="AA317" s="27"/>
      <c r="AB317" s="107"/>
      <c r="AC317" s="1"/>
      <c r="AD317" s="1"/>
      <c r="AE317" s="1"/>
      <c r="AF317" s="1"/>
      <c r="AG317" s="1"/>
      <c r="AH317" s="1"/>
      <c r="AI317" s="1"/>
    </row>
    <row r="318" spans="1:35" ht="14.25" collapsed="1" x14ac:dyDescent="0.2">
      <c r="A318" s="1"/>
      <c r="B318" s="3" t="s">
        <v>60</v>
      </c>
      <c r="C318" s="3"/>
      <c r="D318" s="3"/>
      <c r="E318" s="3"/>
      <c r="F318" s="3"/>
      <c r="G318" s="102">
        <f>SUM(G319:G319)</f>
        <v>0</v>
      </c>
      <c r="H318" s="103">
        <f>SUM(H319:H319)</f>
        <v>0</v>
      </c>
      <c r="I318" s="89">
        <f>G318-H318</f>
        <v>0</v>
      </c>
      <c r="J318" s="26" t="str">
        <f>IF(ISERROR(I318/H318),"N/A",IF(ABS(I318/H318)&gt;5,"N/A",I318/H318))</f>
        <v>N/A</v>
      </c>
      <c r="K318" s="103">
        <f>SUM(K319:K319)</f>
        <v>0</v>
      </c>
      <c r="L318" s="89">
        <f>K318-G318</f>
        <v>0</v>
      </c>
      <c r="M318" s="27" t="str">
        <f>IF(ISERROR(L318/K318),"N/A",IF(ABS(L318/K318)&gt;5,"N/A",L318/K318))</f>
        <v>N/A</v>
      </c>
      <c r="N318" s="102">
        <f>SUM(N319:N319)</f>
        <v>0</v>
      </c>
      <c r="O318" s="103">
        <f>SUM(O319:O319)</f>
        <v>0</v>
      </c>
      <c r="P318" s="89">
        <f>N318-O318</f>
        <v>0</v>
      </c>
      <c r="Q318" s="26" t="str">
        <f>IF(ISERROR(P318/O318),"N/A",IF(ABS(P318/O318)&gt;5,"N/A",P318/O318))</f>
        <v>N/A</v>
      </c>
      <c r="R318" s="103">
        <f>SUM(R319:R319)</f>
        <v>0</v>
      </c>
      <c r="S318" s="89">
        <f>R318-N318</f>
        <v>0</v>
      </c>
      <c r="T318" s="27" t="str">
        <f>IF(ISERROR(S318/R318),"N/A",IF(ABS(S318/R318)&gt;5,"N/A",S318/R318))</f>
        <v>N/A</v>
      </c>
      <c r="U318" s="102">
        <f>SUM(U319:U319)</f>
        <v>0</v>
      </c>
      <c r="V318" s="103">
        <f>SUM(V319:V319)</f>
        <v>0</v>
      </c>
      <c r="W318" s="89">
        <f>U318-V318</f>
        <v>0</v>
      </c>
      <c r="X318" s="26" t="str">
        <f>IF(ISERROR(W318/V318),"N/A",IF(ABS(W318/V318)&gt;5,"N/A",W318/V318))</f>
        <v>N/A</v>
      </c>
      <c r="Y318" s="103">
        <f>SUM(Y319:Y319)</f>
        <v>0</v>
      </c>
      <c r="Z318" s="89">
        <f>Y318-U318</f>
        <v>0</v>
      </c>
      <c r="AA318" s="27" t="str">
        <f>IF(ISERROR(Z318/Y318),"N/A",IF(ABS(Z318/Y318)&gt;5,"N/A",Z318/Y318))</f>
        <v>N/A</v>
      </c>
      <c r="AB318" s="104">
        <f>SUM(AB319:AB319)</f>
        <v>0</v>
      </c>
      <c r="AC318" s="1"/>
      <c r="AD318" s="1"/>
      <c r="AE318" s="1"/>
      <c r="AF318" s="1"/>
      <c r="AG318" s="1"/>
      <c r="AH318" s="1"/>
      <c r="AI318" s="1"/>
    </row>
    <row r="319" spans="1:35" ht="14.25" hidden="1" outlineLevel="1" x14ac:dyDescent="0.2">
      <c r="A319" s="1"/>
      <c r="B319" s="3"/>
      <c r="C319" s="3"/>
      <c r="D319" s="3"/>
      <c r="E319" s="3"/>
      <c r="F319" s="3"/>
      <c r="G319" s="105"/>
      <c r="H319" s="106"/>
      <c r="I319" s="89"/>
      <c r="J319" s="26"/>
      <c r="K319" s="106"/>
      <c r="L319" s="89"/>
      <c r="M319" s="27"/>
      <c r="N319" s="105"/>
      <c r="O319" s="106"/>
      <c r="P319" s="89"/>
      <c r="Q319" s="26"/>
      <c r="R319" s="106"/>
      <c r="S319" s="89"/>
      <c r="T319" s="27"/>
      <c r="U319" s="105"/>
      <c r="V319" s="106"/>
      <c r="W319" s="89"/>
      <c r="X319" s="26"/>
      <c r="Y319" s="106"/>
      <c r="Z319" s="89"/>
      <c r="AA319" s="27"/>
      <c r="AB319" s="107"/>
      <c r="AC319" s="1"/>
      <c r="AD319" s="1"/>
      <c r="AE319" s="1"/>
      <c r="AF319" s="1"/>
      <c r="AG319" s="1"/>
      <c r="AH319" s="1"/>
      <c r="AI319" s="1"/>
    </row>
    <row r="320" spans="1:35" ht="14.25" hidden="1" outlineLevel="1" x14ac:dyDescent="0.2">
      <c r="A320" s="1"/>
      <c r="B320" s="3"/>
      <c r="C320" s="3"/>
      <c r="D320" s="3"/>
      <c r="E320" s="3"/>
      <c r="F320" s="3"/>
      <c r="G320" s="105"/>
      <c r="H320" s="106"/>
      <c r="I320" s="89"/>
      <c r="J320" s="26"/>
      <c r="K320" s="106"/>
      <c r="L320" s="89"/>
      <c r="M320" s="27"/>
      <c r="N320" s="105"/>
      <c r="O320" s="106"/>
      <c r="P320" s="89"/>
      <c r="Q320" s="26"/>
      <c r="R320" s="106"/>
      <c r="S320" s="89"/>
      <c r="T320" s="27"/>
      <c r="U320" s="105"/>
      <c r="V320" s="106"/>
      <c r="W320" s="89"/>
      <c r="X320" s="26"/>
      <c r="Y320" s="106"/>
      <c r="Z320" s="89"/>
      <c r="AA320" s="27"/>
      <c r="AB320" s="107"/>
      <c r="AC320" s="1"/>
      <c r="AD320" s="1"/>
      <c r="AE320" s="1"/>
      <c r="AF320" s="1"/>
      <c r="AG320" s="1"/>
      <c r="AH320" s="1"/>
      <c r="AI320" s="1"/>
    </row>
    <row r="321" spans="1:35" ht="14.25" collapsed="1" x14ac:dyDescent="0.2">
      <c r="A321" s="1"/>
      <c r="B321" s="3" t="s">
        <v>62</v>
      </c>
      <c r="C321" s="3"/>
      <c r="D321" s="3"/>
      <c r="E321" s="3"/>
      <c r="F321" s="3"/>
      <c r="G321" s="102">
        <f>SUM(G322:G326)</f>
        <v>102.80558000000001</v>
      </c>
      <c r="H321" s="103">
        <f>SUM(H322:H326)</f>
        <v>20.79448</v>
      </c>
      <c r="I321" s="89">
        <f>G321-H321</f>
        <v>82.011099999999999</v>
      </c>
      <c r="J321" s="26">
        <f>IF(ISERROR(I321/H321),"N/A",IF(ABS(I321/H321)&gt;5,"N/A",I321/H321))</f>
        <v>3.9438879933520816</v>
      </c>
      <c r="K321" s="103">
        <f>SUM(K322:K326)</f>
        <v>59.100477384999998</v>
      </c>
      <c r="L321" s="89">
        <f>K321-G321</f>
        <v>-43.705102615000008</v>
      </c>
      <c r="M321" s="27">
        <f>IF(ISERROR(L321/K321),"N/A",IF(ABS(L321/K321)&gt;5,"N/A",L321/K321))</f>
        <v>-0.73950506914336001</v>
      </c>
      <c r="N321" s="102">
        <f>SUM(N322:N326)</f>
        <v>400.44998000000004</v>
      </c>
      <c r="O321" s="103">
        <f>SUM(O322:O326)</f>
        <v>52.818129999999996</v>
      </c>
      <c r="P321" s="89">
        <f>N321-O321</f>
        <v>347.63185000000004</v>
      </c>
      <c r="Q321" s="26" t="str">
        <f>IF(ISERROR(P321/O321),"N/A",IF(ABS(P321/O321)&gt;5,"N/A",P321/O321))</f>
        <v>N/A</v>
      </c>
      <c r="R321" s="103">
        <f>SUM(R322:R326)</f>
        <v>190.91648796999999</v>
      </c>
      <c r="S321" s="89">
        <f>R321-N321</f>
        <v>-209.53349203000005</v>
      </c>
      <c r="T321" s="27">
        <f>IF(ISERROR(S321/R321),"N/A",IF(ABS(S321/R321)&gt;5,"N/A",S321/R321))</f>
        <v>-1.0975138619925036</v>
      </c>
      <c r="U321" s="102">
        <f>SUM(U322:U326)</f>
        <v>565.13171999999986</v>
      </c>
      <c r="V321" s="103">
        <f>SUM(V322:V326)</f>
        <v>100.97792999999999</v>
      </c>
      <c r="W321" s="89">
        <f>U321-V321</f>
        <v>464.15378999999984</v>
      </c>
      <c r="X321" s="26">
        <f>IF(ISERROR(W321/V321),"N/A",IF(ABS(W321/V321)&gt;5,"N/A",W321/V321))</f>
        <v>4.5965865016246612</v>
      </c>
      <c r="Y321" s="103">
        <f>SUM(Y322:Y326)</f>
        <v>355.59822796999998</v>
      </c>
      <c r="Z321" s="89">
        <f>Y321-U321</f>
        <v>-209.53349202999988</v>
      </c>
      <c r="AA321" s="27">
        <f>IF(ISERROR(Z321/Y321),"N/A",IF(ABS(Z321/Y321)&gt;5,"N/A",Z321/Y321))</f>
        <v>-0.58924222774157675</v>
      </c>
      <c r="AB321" s="104">
        <f>SUM(AB322:AB326)</f>
        <v>819.09148498099989</v>
      </c>
      <c r="AC321" s="1"/>
      <c r="AD321" s="1"/>
      <c r="AE321" s="1"/>
      <c r="AF321" s="1"/>
      <c r="AG321" s="1"/>
      <c r="AH321" s="1"/>
      <c r="AI321" s="1"/>
    </row>
    <row r="322" spans="1:35" ht="14.25" hidden="1" outlineLevel="1" x14ac:dyDescent="0.2">
      <c r="A322" s="1"/>
      <c r="B322" s="3"/>
      <c r="C322" s="3"/>
      <c r="D322" s="3" t="s">
        <v>62</v>
      </c>
      <c r="E322" s="3" t="s">
        <v>91</v>
      </c>
      <c r="F322" s="3">
        <v>860</v>
      </c>
      <c r="G322" s="105">
        <f>44070.49/1000*1</f>
        <v>44.070489999999999</v>
      </c>
      <c r="H322" s="106">
        <f>20794.48/1000*1</f>
        <v>20.79448</v>
      </c>
      <c r="I322" s="89">
        <f>G322-H322</f>
        <v>23.276009999999999</v>
      </c>
      <c r="J322" s="26">
        <f>IF(ISERROR(I322/H322),"N/A",IF(ABS(I322/H322)&gt;5,"N/A",I322/H322))</f>
        <v>1.1193359968607053</v>
      </c>
      <c r="K322" s="106">
        <f>59100.477385/1000*1</f>
        <v>59.100477384999998</v>
      </c>
      <c r="L322" s="89">
        <f>K322-G322</f>
        <v>15.029987384999998</v>
      </c>
      <c r="M322" s="27">
        <f>IF(ISERROR(L322/K322),"N/A",IF(ABS(L322/K322)&gt;5,"N/A",L322/K322))</f>
        <v>0.25431245313112621</v>
      </c>
      <c r="N322" s="105">
        <f>151385.41/1000*1</f>
        <v>151.38541000000001</v>
      </c>
      <c r="O322" s="106">
        <f>52818.13/1000*1</f>
        <v>52.818129999999996</v>
      </c>
      <c r="P322" s="89">
        <f>N322-O322</f>
        <v>98.567280000000011</v>
      </c>
      <c r="Q322" s="26">
        <f>IF(ISERROR(P322/O322),"N/A",IF(ABS(P322/O322)&gt;5,"N/A",P322/O322))</f>
        <v>1.8661637585427582</v>
      </c>
      <c r="R322" s="106">
        <f>153675.24797/1000*1</f>
        <v>153.67524796999999</v>
      </c>
      <c r="S322" s="89">
        <f>R322-N322</f>
        <v>2.2898379699999794</v>
      </c>
      <c r="T322" s="27">
        <f>IF(ISERROR(S322/R322),"N/A",IF(ABS(S322/R322)&gt;5,"N/A",S322/R322))</f>
        <v>1.4900499594098553E-2</v>
      </c>
      <c r="U322" s="105">
        <f>308169.18/1000*1</f>
        <v>308.16917999999998</v>
      </c>
      <c r="V322" s="106">
        <f>100977.93/1000*1</f>
        <v>100.97792999999999</v>
      </c>
      <c r="W322" s="89">
        <f>U322-V322</f>
        <v>207.19125</v>
      </c>
      <c r="X322" s="26">
        <f>IF(ISERROR(W322/V322),"N/A",IF(ABS(W322/V322)&gt;5,"N/A",W322/V322))</f>
        <v>2.0518468738663986</v>
      </c>
      <c r="Y322" s="106">
        <f>310459.01797/1000*1</f>
        <v>310.45901796999999</v>
      </c>
      <c r="Z322" s="89">
        <f>Y322-U322</f>
        <v>2.2898379700000078</v>
      </c>
      <c r="AA322" s="27">
        <f>IF(ISERROR(Z322/Y322),"N/A",IF(ABS(Z322/Y322)&gt;5,"N/A",Z322/Y322))</f>
        <v>7.3756529443808182E-3</v>
      </c>
      <c r="AB322" s="107">
        <f>764382.906535/1000*1</f>
        <v>764.38290653499996</v>
      </c>
      <c r="AC322" s="1"/>
      <c r="AD322" s="1"/>
      <c r="AE322" s="1"/>
      <c r="AF322" s="1"/>
      <c r="AG322" s="1"/>
      <c r="AH322" s="1"/>
      <c r="AI322" s="1"/>
    </row>
    <row r="323" spans="1:35" ht="14.25" hidden="1" outlineLevel="1" x14ac:dyDescent="0.2">
      <c r="A323" s="1"/>
      <c r="B323" s="3"/>
      <c r="C323" s="3"/>
      <c r="D323" s="3" t="s">
        <v>62</v>
      </c>
      <c r="E323" s="3" t="s">
        <v>91</v>
      </c>
      <c r="F323" s="3">
        <v>861</v>
      </c>
      <c r="G323" s="105">
        <f>58399.29/1000*1</f>
        <v>58.399290000000001</v>
      </c>
      <c r="H323" s="106">
        <f>0/1000*1</f>
        <v>0</v>
      </c>
      <c r="I323" s="89">
        <f>G323-H323</f>
        <v>58.399290000000001</v>
      </c>
      <c r="J323" s="26" t="str">
        <f>IF(ISERROR(I323/H323),"N/A",IF(ABS(I323/H323)&gt;5,"N/A",I323/H323))</f>
        <v>N/A</v>
      </c>
      <c r="K323" s="106">
        <f>0/1000*1</f>
        <v>0</v>
      </c>
      <c r="L323" s="89">
        <f>K323-G323</f>
        <v>-58.399290000000001</v>
      </c>
      <c r="M323" s="27" t="str">
        <f>IF(ISERROR(L323/K323),"N/A",IF(ABS(L323/K323)&gt;5,"N/A",L323/K323))</f>
        <v>N/A</v>
      </c>
      <c r="N323" s="105">
        <f>247671.03/1000*1</f>
        <v>247.67103</v>
      </c>
      <c r="O323" s="106">
        <f>0/1000*1</f>
        <v>0</v>
      </c>
      <c r="P323" s="89">
        <f>N323-O323</f>
        <v>247.67103</v>
      </c>
      <c r="Q323" s="26" t="str">
        <f>IF(ISERROR(P323/O323),"N/A",IF(ABS(P323/O323)&gt;5,"N/A",P323/O323))</f>
        <v>N/A</v>
      </c>
      <c r="R323" s="106">
        <f>37241.24/1000*1</f>
        <v>37.241239999999998</v>
      </c>
      <c r="S323" s="89">
        <f>R323-N323</f>
        <v>-210.42979</v>
      </c>
      <c r="T323" s="27" t="str">
        <f>IF(ISERROR(S323/R323),"N/A",IF(ABS(S323/R323)&gt;5,"N/A",S323/R323))</f>
        <v>N/A</v>
      </c>
      <c r="U323" s="105">
        <f>247671.03/1000*1</f>
        <v>247.67103</v>
      </c>
      <c r="V323" s="106">
        <f>0/1000*1</f>
        <v>0</v>
      </c>
      <c r="W323" s="89">
        <f>U323-V323</f>
        <v>247.67103</v>
      </c>
      <c r="X323" s="26" t="str">
        <f>IF(ISERROR(W323/V323),"N/A",IF(ABS(W323/V323)&gt;5,"N/A",W323/V323))</f>
        <v>N/A</v>
      </c>
      <c r="Y323" s="106">
        <f>37241.24/1000*1</f>
        <v>37.241239999999998</v>
      </c>
      <c r="Z323" s="89">
        <f>Y323-U323</f>
        <v>-210.42979</v>
      </c>
      <c r="AA323" s="27" t="str">
        <f>IF(ISERROR(Z323/Y323),"N/A",IF(ABS(Z323/Y323)&gt;5,"N/A",Z323/Y323))</f>
        <v>N/A</v>
      </c>
      <c r="AB323" s="107">
        <f>37241.24/1000*1</f>
        <v>37.241239999999998</v>
      </c>
      <c r="AC323" s="1"/>
      <c r="AD323" s="1"/>
      <c r="AE323" s="1"/>
      <c r="AF323" s="1"/>
      <c r="AG323" s="1"/>
      <c r="AH323" s="1"/>
      <c r="AI323" s="1"/>
    </row>
    <row r="324" spans="1:35" ht="14.25" hidden="1" outlineLevel="1" x14ac:dyDescent="0.2">
      <c r="A324" s="1"/>
      <c r="B324" s="3"/>
      <c r="C324" s="3"/>
      <c r="D324" s="3" t="s">
        <v>62</v>
      </c>
      <c r="E324" s="3" t="s">
        <v>93</v>
      </c>
      <c r="F324" s="3">
        <v>860</v>
      </c>
      <c r="G324" s="105">
        <f>335.8/1000*1</f>
        <v>0.33579999999999999</v>
      </c>
      <c r="H324" s="106">
        <f>0/1000*1</f>
        <v>0</v>
      </c>
      <c r="I324" s="89">
        <f>G324-H324</f>
        <v>0.33579999999999999</v>
      </c>
      <c r="J324" s="26" t="str">
        <f>IF(ISERROR(I324/H324),"N/A",IF(ABS(I324/H324)&gt;5,"N/A",I324/H324))</f>
        <v>N/A</v>
      </c>
      <c r="K324" s="106">
        <f>0/1000*1</f>
        <v>0</v>
      </c>
      <c r="L324" s="89">
        <f>K324-G324</f>
        <v>-0.33579999999999999</v>
      </c>
      <c r="M324" s="27" t="str">
        <f>IF(ISERROR(L324/K324),"N/A",IF(ABS(L324/K324)&gt;5,"N/A",L324/K324))</f>
        <v>N/A</v>
      </c>
      <c r="N324" s="105">
        <f>335.8/1000*1</f>
        <v>0.33579999999999999</v>
      </c>
      <c r="O324" s="106">
        <f>0/1000*1</f>
        <v>0</v>
      </c>
      <c r="P324" s="89">
        <f>N324-O324</f>
        <v>0.33579999999999999</v>
      </c>
      <c r="Q324" s="26" t="str">
        <f>IF(ISERROR(P324/O324),"N/A",IF(ABS(P324/O324)&gt;5,"N/A",P324/O324))</f>
        <v>N/A</v>
      </c>
      <c r="R324" s="106">
        <f>0/1000*1</f>
        <v>0</v>
      </c>
      <c r="S324" s="89">
        <f>R324-N324</f>
        <v>-0.33579999999999999</v>
      </c>
      <c r="T324" s="27" t="str">
        <f>IF(ISERROR(S324/R324),"N/A",IF(ABS(S324/R324)&gt;5,"N/A",S324/R324))</f>
        <v>N/A</v>
      </c>
      <c r="U324" s="105">
        <f>335.8/1000*1</f>
        <v>0.33579999999999999</v>
      </c>
      <c r="V324" s="106">
        <f>0/1000*1</f>
        <v>0</v>
      </c>
      <c r="W324" s="89">
        <f>U324-V324</f>
        <v>0.33579999999999999</v>
      </c>
      <c r="X324" s="26" t="str">
        <f>IF(ISERROR(W324/V324),"N/A",IF(ABS(W324/V324)&gt;5,"N/A",W324/V324))</f>
        <v>N/A</v>
      </c>
      <c r="Y324" s="106">
        <f>0/1000*1</f>
        <v>0</v>
      </c>
      <c r="Z324" s="89">
        <f>Y324-U324</f>
        <v>-0.33579999999999999</v>
      </c>
      <c r="AA324" s="27" t="str">
        <f>IF(ISERROR(Z324/Y324),"N/A",IF(ABS(Z324/Y324)&gt;5,"N/A",Z324/Y324))</f>
        <v>N/A</v>
      </c>
      <c r="AB324" s="107">
        <f>9569.368446/1000*1</f>
        <v>9.5693684460000004</v>
      </c>
      <c r="AC324" s="1"/>
      <c r="AD324" s="1"/>
      <c r="AE324" s="1"/>
      <c r="AF324" s="1"/>
      <c r="AG324" s="1"/>
      <c r="AH324" s="1"/>
      <c r="AI324" s="1"/>
    </row>
    <row r="325" spans="1:35" ht="14.25" hidden="1" outlineLevel="1" x14ac:dyDescent="0.2">
      <c r="A325" s="1"/>
      <c r="B325" s="3"/>
      <c r="C325" s="3"/>
      <c r="D325" s="3" t="s">
        <v>62</v>
      </c>
      <c r="E325" s="3" t="s">
        <v>97</v>
      </c>
      <c r="F325" s="3">
        <v>860</v>
      </c>
      <c r="G325" s="105">
        <f>0/1000*1</f>
        <v>0</v>
      </c>
      <c r="H325" s="106">
        <f>0/1000*1</f>
        <v>0</v>
      </c>
      <c r="I325" s="89">
        <f>G325-H325</f>
        <v>0</v>
      </c>
      <c r="J325" s="26" t="str">
        <f>IF(ISERROR(I325/H325),"N/A",IF(ABS(I325/H325)&gt;5,"N/A",I325/H325))</f>
        <v>N/A</v>
      </c>
      <c r="K325" s="106">
        <f>0/1000*1</f>
        <v>0</v>
      </c>
      <c r="L325" s="89">
        <f>K325-G325</f>
        <v>0</v>
      </c>
      <c r="M325" s="27" t="str">
        <f>IF(ISERROR(L325/K325),"N/A",IF(ABS(L325/K325)&gt;5,"N/A",L325/K325))</f>
        <v>N/A</v>
      </c>
      <c r="N325" s="105">
        <f>1057.74/1000*1</f>
        <v>1.0577399999999999</v>
      </c>
      <c r="O325" s="106">
        <f>0/1000*1</f>
        <v>0</v>
      </c>
      <c r="P325" s="89">
        <f>N325-O325</f>
        <v>1.0577399999999999</v>
      </c>
      <c r="Q325" s="26" t="str">
        <f>IF(ISERROR(P325/O325),"N/A",IF(ABS(P325/O325)&gt;5,"N/A",P325/O325))</f>
        <v>N/A</v>
      </c>
      <c r="R325" s="106">
        <f>0/1000*1</f>
        <v>0</v>
      </c>
      <c r="S325" s="89">
        <f>R325-N325</f>
        <v>-1.0577399999999999</v>
      </c>
      <c r="T325" s="27" t="str">
        <f>IF(ISERROR(S325/R325),"N/A",IF(ABS(S325/R325)&gt;5,"N/A",S325/R325))</f>
        <v>N/A</v>
      </c>
      <c r="U325" s="105">
        <f>8955.71/1000*1</f>
        <v>8.9557099999999998</v>
      </c>
      <c r="V325" s="106">
        <f>0/1000*1</f>
        <v>0</v>
      </c>
      <c r="W325" s="89">
        <f>U325-V325</f>
        <v>8.9557099999999998</v>
      </c>
      <c r="X325" s="26" t="str">
        <f>IF(ISERROR(W325/V325),"N/A",IF(ABS(W325/V325)&gt;5,"N/A",W325/V325))</f>
        <v>N/A</v>
      </c>
      <c r="Y325" s="106">
        <f>7897.97/1000*1</f>
        <v>7.8979699999999999</v>
      </c>
      <c r="Z325" s="89">
        <f>Y325-U325</f>
        <v>-1.0577399999999999</v>
      </c>
      <c r="AA325" s="27">
        <f>IF(ISERROR(Z325/Y325),"N/A",IF(ABS(Z325/Y325)&gt;5,"N/A",Z325/Y325))</f>
        <v>-0.13392555302185244</v>
      </c>
      <c r="AB325" s="107">
        <f>7897.97/1000*1</f>
        <v>7.8979699999999999</v>
      </c>
      <c r="AC325" s="1"/>
      <c r="AD325" s="1"/>
      <c r="AE325" s="1"/>
      <c r="AF325" s="1"/>
      <c r="AG325" s="1"/>
      <c r="AH325" s="1"/>
      <c r="AI325" s="1"/>
    </row>
    <row r="326" spans="1:35" ht="14.25" hidden="1" outlineLevel="1" x14ac:dyDescent="0.2">
      <c r="A326" s="1"/>
      <c r="B326" s="3"/>
      <c r="C326" s="3"/>
      <c r="D326" s="3"/>
      <c r="E326" s="3"/>
      <c r="F326" s="3"/>
      <c r="G326" s="105"/>
      <c r="H326" s="106"/>
      <c r="I326" s="89"/>
      <c r="J326" s="26"/>
      <c r="K326" s="106"/>
      <c r="L326" s="89"/>
      <c r="M326" s="27"/>
      <c r="N326" s="105"/>
      <c r="O326" s="106"/>
      <c r="P326" s="89"/>
      <c r="Q326" s="26"/>
      <c r="R326" s="106"/>
      <c r="S326" s="89"/>
      <c r="T326" s="27"/>
      <c r="U326" s="105"/>
      <c r="V326" s="106"/>
      <c r="W326" s="89"/>
      <c r="X326" s="26"/>
      <c r="Y326" s="106"/>
      <c r="Z326" s="89"/>
      <c r="AA326" s="27"/>
      <c r="AB326" s="107"/>
      <c r="AC326" s="1"/>
      <c r="AD326" s="1"/>
      <c r="AE326" s="1"/>
      <c r="AF326" s="1"/>
      <c r="AG326" s="1"/>
      <c r="AH326" s="1"/>
      <c r="AI326" s="1"/>
    </row>
    <row r="327" spans="1:35" ht="14.25" hidden="1" outlineLevel="1" x14ac:dyDescent="0.2">
      <c r="A327" s="1"/>
      <c r="B327" s="3"/>
      <c r="C327" s="3"/>
      <c r="D327" s="3"/>
      <c r="E327" s="3"/>
      <c r="F327" s="3"/>
      <c r="G327" s="105"/>
      <c r="H327" s="106"/>
      <c r="I327" s="89"/>
      <c r="J327" s="26"/>
      <c r="K327" s="106"/>
      <c r="L327" s="89"/>
      <c r="M327" s="27"/>
      <c r="N327" s="105"/>
      <c r="O327" s="106"/>
      <c r="P327" s="89"/>
      <c r="Q327" s="26"/>
      <c r="R327" s="106"/>
      <c r="S327" s="89"/>
      <c r="T327" s="27"/>
      <c r="U327" s="105"/>
      <c r="V327" s="106"/>
      <c r="W327" s="89"/>
      <c r="X327" s="26"/>
      <c r="Y327" s="106"/>
      <c r="Z327" s="89"/>
      <c r="AA327" s="27"/>
      <c r="AB327" s="107"/>
      <c r="AC327" s="1"/>
      <c r="AD327" s="1"/>
      <c r="AE327" s="1"/>
      <c r="AF327" s="1"/>
      <c r="AG327" s="1"/>
      <c r="AH327" s="1"/>
      <c r="AI327" s="1"/>
    </row>
    <row r="328" spans="1:35" ht="14.25" collapsed="1" x14ac:dyDescent="0.2">
      <c r="A328" s="1"/>
      <c r="B328" s="3" t="s">
        <v>63</v>
      </c>
      <c r="C328" s="3"/>
      <c r="D328" s="3"/>
      <c r="E328" s="3"/>
      <c r="F328" s="3"/>
      <c r="G328" s="102">
        <f>SUM(G329:G331)</f>
        <v>0</v>
      </c>
      <c r="H328" s="103">
        <f>SUM(H329:H331)</f>
        <v>0</v>
      </c>
      <c r="I328" s="89">
        <f>G328-H328</f>
        <v>0</v>
      </c>
      <c r="J328" s="26" t="str">
        <f>IF(ISERROR(I328/H328),"N/A",IF(ABS(I328/H328)&gt;5,"N/A",I328/H328))</f>
        <v>N/A</v>
      </c>
      <c r="K328" s="103">
        <f>SUM(K329:K331)</f>
        <v>0</v>
      </c>
      <c r="L328" s="89">
        <f>K328-G328</f>
        <v>0</v>
      </c>
      <c r="M328" s="27" t="str">
        <f>IF(ISERROR(L328/K328),"N/A",IF(ABS(L328/K328)&gt;5,"N/A",L328/K328))</f>
        <v>N/A</v>
      </c>
      <c r="N328" s="102">
        <f>SUM(N329:N331)</f>
        <v>6.8799999999999998E-3</v>
      </c>
      <c r="O328" s="103">
        <f>SUM(O329:O331)</f>
        <v>0</v>
      </c>
      <c r="P328" s="89">
        <f>N328-O328</f>
        <v>6.8799999999999998E-3</v>
      </c>
      <c r="Q328" s="26" t="str">
        <f>IF(ISERROR(P328/O328),"N/A",IF(ABS(P328/O328)&gt;5,"N/A",P328/O328))</f>
        <v>N/A</v>
      </c>
      <c r="R328" s="103">
        <f>SUM(R329:R331)</f>
        <v>0</v>
      </c>
      <c r="S328" s="89">
        <f>R328-N328</f>
        <v>-6.8799999999999998E-3</v>
      </c>
      <c r="T328" s="27" t="str">
        <f>IF(ISERROR(S328/R328),"N/A",IF(ABS(S328/R328)&gt;5,"N/A",S328/R328))</f>
        <v>N/A</v>
      </c>
      <c r="U328" s="102">
        <f>SUM(U329:U331)</f>
        <v>2.9572400000000005</v>
      </c>
      <c r="V328" s="103">
        <f>SUM(V329:V331)</f>
        <v>6.132E-2</v>
      </c>
      <c r="W328" s="89">
        <f>U328-V328</f>
        <v>2.8959200000000007</v>
      </c>
      <c r="X328" s="26" t="str">
        <f>IF(ISERROR(W328/V328),"N/A",IF(ABS(W328/V328)&gt;5,"N/A",W328/V328))</f>
        <v>N/A</v>
      </c>
      <c r="Y328" s="103">
        <f>SUM(Y329:Y331)</f>
        <v>2.9503600000000003</v>
      </c>
      <c r="Z328" s="89">
        <f>Y328-U328</f>
        <v>-6.8800000000002193E-3</v>
      </c>
      <c r="AA328" s="27">
        <f>IF(ISERROR(Z328/Y328),"N/A",IF(ABS(Z328/Y328)&gt;5,"N/A",Z328/Y328))</f>
        <v>-2.3319188166868515E-3</v>
      </c>
      <c r="AB328" s="104">
        <f>SUM(AB329:AB331)</f>
        <v>2.9503600000000003</v>
      </c>
      <c r="AC328" s="1"/>
      <c r="AD328" s="1"/>
      <c r="AE328" s="1"/>
      <c r="AF328" s="1"/>
      <c r="AG328" s="1"/>
      <c r="AH328" s="1"/>
      <c r="AI328" s="1"/>
    </row>
    <row r="329" spans="1:35" ht="14.25" hidden="1" outlineLevel="1" x14ac:dyDescent="0.2">
      <c r="A329" s="1"/>
      <c r="B329" s="3"/>
      <c r="C329" s="3"/>
      <c r="D329" s="3" t="s">
        <v>64</v>
      </c>
      <c r="E329" s="3" t="s">
        <v>91</v>
      </c>
      <c r="F329" s="3">
        <v>642</v>
      </c>
      <c r="G329" s="105">
        <f>0/1000*1</f>
        <v>0</v>
      </c>
      <c r="H329" s="106">
        <f>0/1000*1</f>
        <v>0</v>
      </c>
      <c r="I329" s="89">
        <f>G329-H329</f>
        <v>0</v>
      </c>
      <c r="J329" s="26" t="str">
        <f>IF(ISERROR(I329/H329),"N/A",IF(ABS(I329/H329)&gt;5,"N/A",I329/H329))</f>
        <v>N/A</v>
      </c>
      <c r="K329" s="106">
        <f>0/1000*1</f>
        <v>0</v>
      </c>
      <c r="L329" s="89">
        <f>K329-G329</f>
        <v>0</v>
      </c>
      <c r="M329" s="27" t="str">
        <f>IF(ISERROR(L329/K329),"N/A",IF(ABS(L329/K329)&gt;5,"N/A",L329/K329))</f>
        <v>N/A</v>
      </c>
      <c r="N329" s="105">
        <f>6.88/1000*1</f>
        <v>6.8799999999999998E-3</v>
      </c>
      <c r="O329" s="106">
        <f>0/1000*1</f>
        <v>0</v>
      </c>
      <c r="P329" s="89">
        <f>N329-O329</f>
        <v>6.8799999999999998E-3</v>
      </c>
      <c r="Q329" s="26" t="str">
        <f>IF(ISERROR(P329/O329),"N/A",IF(ABS(P329/O329)&gt;5,"N/A",P329/O329))</f>
        <v>N/A</v>
      </c>
      <c r="R329" s="106">
        <f>0/1000*1</f>
        <v>0</v>
      </c>
      <c r="S329" s="89">
        <f>R329-N329</f>
        <v>-6.8799999999999998E-3</v>
      </c>
      <c r="T329" s="27" t="str">
        <f>IF(ISERROR(S329/R329),"N/A",IF(ABS(S329/R329)&gt;5,"N/A",S329/R329))</f>
        <v>N/A</v>
      </c>
      <c r="U329" s="105">
        <f>6.88/1000*1</f>
        <v>6.8799999999999998E-3</v>
      </c>
      <c r="V329" s="106">
        <f>61.32/1000*1</f>
        <v>6.132E-2</v>
      </c>
      <c r="W329" s="89">
        <f>U329-V329</f>
        <v>-5.4440000000000002E-2</v>
      </c>
      <c r="X329" s="26">
        <f>IF(ISERROR(W329/V329),"N/A",IF(ABS(W329/V329)&gt;5,"N/A",W329/V329))</f>
        <v>-0.88780169602087411</v>
      </c>
      <c r="Y329" s="106">
        <f>0/1000*1</f>
        <v>0</v>
      </c>
      <c r="Z329" s="89">
        <f>Y329-U329</f>
        <v>-6.8799999999999998E-3</v>
      </c>
      <c r="AA329" s="27" t="str">
        <f>IF(ISERROR(Z329/Y329),"N/A",IF(ABS(Z329/Y329)&gt;5,"N/A",Z329/Y329))</f>
        <v>N/A</v>
      </c>
      <c r="AB329" s="107">
        <f>0/1000*1</f>
        <v>0</v>
      </c>
      <c r="AC329" s="1"/>
      <c r="AD329" s="1"/>
      <c r="AE329" s="1"/>
      <c r="AF329" s="1"/>
      <c r="AG329" s="1"/>
      <c r="AH329" s="1"/>
      <c r="AI329" s="1"/>
    </row>
    <row r="330" spans="1:35" ht="14.25" hidden="1" outlineLevel="1" x14ac:dyDescent="0.2">
      <c r="A330" s="1"/>
      <c r="B330" s="3"/>
      <c r="C330" s="3"/>
      <c r="D330" s="3" t="s">
        <v>64</v>
      </c>
      <c r="E330" s="3" t="s">
        <v>92</v>
      </c>
      <c r="F330" s="3">
        <v>640</v>
      </c>
      <c r="G330" s="105">
        <f>0/1000*1</f>
        <v>0</v>
      </c>
      <c r="H330" s="106">
        <f>0/1000*1</f>
        <v>0</v>
      </c>
      <c r="I330" s="89">
        <f>G330-H330</f>
        <v>0</v>
      </c>
      <c r="J330" s="26" t="str">
        <f>IF(ISERROR(I330/H330),"N/A",IF(ABS(I330/H330)&gt;5,"N/A",I330/H330))</f>
        <v>N/A</v>
      </c>
      <c r="K330" s="106">
        <f>0/1000*1</f>
        <v>0</v>
      </c>
      <c r="L330" s="89">
        <f>K330-G330</f>
        <v>0</v>
      </c>
      <c r="M330" s="27" t="str">
        <f>IF(ISERROR(L330/K330),"N/A",IF(ABS(L330/K330)&gt;5,"N/A",L330/K330))</f>
        <v>N/A</v>
      </c>
      <c r="N330" s="105">
        <f>0/1000*1</f>
        <v>0</v>
      </c>
      <c r="O330" s="106">
        <f>0/1000*1</f>
        <v>0</v>
      </c>
      <c r="P330" s="89">
        <f>N330-O330</f>
        <v>0</v>
      </c>
      <c r="Q330" s="26" t="str">
        <f>IF(ISERROR(P330/O330),"N/A",IF(ABS(P330/O330)&gt;5,"N/A",P330/O330))</f>
        <v>N/A</v>
      </c>
      <c r="R330" s="106">
        <f>0/1000*1</f>
        <v>0</v>
      </c>
      <c r="S330" s="89">
        <f>R330-N330</f>
        <v>0</v>
      </c>
      <c r="T330" s="27" t="str">
        <f>IF(ISERROR(S330/R330),"N/A",IF(ABS(S330/R330)&gt;5,"N/A",S330/R330))</f>
        <v>N/A</v>
      </c>
      <c r="U330" s="105">
        <f>2950.36/1000*1</f>
        <v>2.9503600000000003</v>
      </c>
      <c r="V330" s="106">
        <f>0/1000*1</f>
        <v>0</v>
      </c>
      <c r="W330" s="89">
        <f>U330-V330</f>
        <v>2.9503600000000003</v>
      </c>
      <c r="X330" s="26" t="str">
        <f>IF(ISERROR(W330/V330),"N/A",IF(ABS(W330/V330)&gt;5,"N/A",W330/V330))</f>
        <v>N/A</v>
      </c>
      <c r="Y330" s="106">
        <f>2950.36/1000*1</f>
        <v>2.9503600000000003</v>
      </c>
      <c r="Z330" s="89">
        <f>Y330-U330</f>
        <v>0</v>
      </c>
      <c r="AA330" s="27">
        <f>IF(ISERROR(Z330/Y330),"N/A",IF(ABS(Z330/Y330)&gt;5,"N/A",Z330/Y330))</f>
        <v>0</v>
      </c>
      <c r="AB330" s="107">
        <f>2950.36/1000*1</f>
        <v>2.9503600000000003</v>
      </c>
      <c r="AC330" s="1"/>
      <c r="AD330" s="1"/>
      <c r="AE330" s="1"/>
      <c r="AF330" s="1"/>
      <c r="AG330" s="1"/>
      <c r="AH330" s="1"/>
      <c r="AI330" s="1"/>
    </row>
    <row r="331" spans="1:35" ht="14.25" hidden="1" outlineLevel="1" x14ac:dyDescent="0.2">
      <c r="A331" s="1"/>
      <c r="B331" s="3"/>
      <c r="C331" s="3"/>
      <c r="D331" s="3"/>
      <c r="E331" s="3"/>
      <c r="F331" s="3"/>
      <c r="G331" s="105"/>
      <c r="H331" s="106"/>
      <c r="I331" s="89"/>
      <c r="J331" s="26"/>
      <c r="K331" s="106"/>
      <c r="L331" s="89"/>
      <c r="M331" s="27"/>
      <c r="N331" s="105"/>
      <c r="O331" s="106"/>
      <c r="P331" s="89"/>
      <c r="Q331" s="26"/>
      <c r="R331" s="106"/>
      <c r="S331" s="89"/>
      <c r="T331" s="27"/>
      <c r="U331" s="105"/>
      <c r="V331" s="106"/>
      <c r="W331" s="89"/>
      <c r="X331" s="26"/>
      <c r="Y331" s="106"/>
      <c r="Z331" s="89"/>
      <c r="AA331" s="27"/>
      <c r="AB331" s="107"/>
      <c r="AC331" s="1"/>
      <c r="AD331" s="1"/>
      <c r="AE331" s="1"/>
      <c r="AF331" s="1"/>
      <c r="AG331" s="1"/>
      <c r="AH331" s="1"/>
      <c r="AI331" s="1"/>
    </row>
    <row r="332" spans="1:35" ht="14.25" hidden="1" outlineLevel="1" x14ac:dyDescent="0.2">
      <c r="A332" s="1"/>
      <c r="B332" s="3"/>
      <c r="C332" s="3"/>
      <c r="D332" s="3"/>
      <c r="E332" s="3"/>
      <c r="F332" s="3"/>
      <c r="G332" s="105"/>
      <c r="H332" s="106"/>
      <c r="I332" s="89"/>
      <c r="J332" s="26"/>
      <c r="K332" s="106"/>
      <c r="L332" s="89"/>
      <c r="M332" s="27"/>
      <c r="N332" s="105"/>
      <c r="O332" s="106"/>
      <c r="P332" s="89"/>
      <c r="Q332" s="26"/>
      <c r="R332" s="106"/>
      <c r="S332" s="89"/>
      <c r="T332" s="27"/>
      <c r="U332" s="105"/>
      <c r="V332" s="106"/>
      <c r="W332" s="89"/>
      <c r="X332" s="26"/>
      <c r="Y332" s="106"/>
      <c r="Z332" s="89"/>
      <c r="AA332" s="27"/>
      <c r="AB332" s="107"/>
      <c r="AC332" s="1"/>
      <c r="AD332" s="1"/>
      <c r="AE332" s="1"/>
      <c r="AF332" s="1"/>
      <c r="AG332" s="1"/>
      <c r="AH332" s="1"/>
      <c r="AI332" s="1"/>
    </row>
    <row r="333" spans="1:35" ht="14.25" collapsed="1" x14ac:dyDescent="0.2">
      <c r="A333" s="1"/>
      <c r="B333" s="3" t="s">
        <v>65</v>
      </c>
      <c r="C333" s="3"/>
      <c r="D333" s="3"/>
      <c r="E333" s="3"/>
      <c r="F333" s="3"/>
      <c r="G333" s="102">
        <f>SUM(G334:G334)</f>
        <v>0</v>
      </c>
      <c r="H333" s="103">
        <f>SUM(H334:H334)</f>
        <v>0</v>
      </c>
      <c r="I333" s="89">
        <f>G333-H333</f>
        <v>0</v>
      </c>
      <c r="J333" s="26" t="str">
        <f>IF(ISERROR(I333/H333),"N/A",IF(ABS(I333/H333)&gt;5,"N/A",I333/H333))</f>
        <v>N/A</v>
      </c>
      <c r="K333" s="103">
        <f>SUM(K334:K334)</f>
        <v>0</v>
      </c>
      <c r="L333" s="89">
        <f>K333-G333</f>
        <v>0</v>
      </c>
      <c r="M333" s="27" t="str">
        <f>IF(ISERROR(L333/K333),"N/A",IF(ABS(L333/K333)&gt;5,"N/A",L333/K333))</f>
        <v>N/A</v>
      </c>
      <c r="N333" s="102">
        <f>SUM(N334:N334)</f>
        <v>0</v>
      </c>
      <c r="O333" s="103">
        <f>SUM(O334:O334)</f>
        <v>0</v>
      </c>
      <c r="P333" s="89">
        <f>N333-O333</f>
        <v>0</v>
      </c>
      <c r="Q333" s="26" t="str">
        <f>IF(ISERROR(P333/O333),"N/A",IF(ABS(P333/O333)&gt;5,"N/A",P333/O333))</f>
        <v>N/A</v>
      </c>
      <c r="R333" s="103">
        <f>SUM(R334:R334)</f>
        <v>0</v>
      </c>
      <c r="S333" s="89">
        <f>R333-N333</f>
        <v>0</v>
      </c>
      <c r="T333" s="27" t="str">
        <f>IF(ISERROR(S333/R333),"N/A",IF(ABS(S333/R333)&gt;5,"N/A",S333/R333))</f>
        <v>N/A</v>
      </c>
      <c r="U333" s="102">
        <f>SUM(U334:U334)</f>
        <v>0</v>
      </c>
      <c r="V333" s="103">
        <f>SUM(V334:V334)</f>
        <v>0</v>
      </c>
      <c r="W333" s="89">
        <f>U333-V333</f>
        <v>0</v>
      </c>
      <c r="X333" s="26" t="str">
        <f>IF(ISERROR(W333/V333),"N/A",IF(ABS(W333/V333)&gt;5,"N/A",W333/V333))</f>
        <v>N/A</v>
      </c>
      <c r="Y333" s="103">
        <f>SUM(Y334:Y334)</f>
        <v>0</v>
      </c>
      <c r="Z333" s="89">
        <f>Y333-U333</f>
        <v>0</v>
      </c>
      <c r="AA333" s="27" t="str">
        <f>IF(ISERROR(Z333/Y333),"N/A",IF(ABS(Z333/Y333)&gt;5,"N/A",Z333/Y333))</f>
        <v>N/A</v>
      </c>
      <c r="AB333" s="104">
        <f>SUM(AB334:AB334)</f>
        <v>0</v>
      </c>
      <c r="AC333" s="1"/>
      <c r="AD333" s="1"/>
      <c r="AE333" s="1"/>
      <c r="AF333" s="1"/>
      <c r="AG333" s="1"/>
      <c r="AH333" s="1"/>
      <c r="AI333" s="1"/>
    </row>
    <row r="334" spans="1:35" ht="14.25" hidden="1" outlineLevel="1" x14ac:dyDescent="0.2">
      <c r="A334" s="1"/>
      <c r="B334" s="3"/>
      <c r="C334" s="3"/>
      <c r="D334" s="3"/>
      <c r="E334" s="3"/>
      <c r="F334" s="3"/>
      <c r="G334" s="105"/>
      <c r="H334" s="106"/>
      <c r="I334" s="89"/>
      <c r="J334" s="26"/>
      <c r="K334" s="106"/>
      <c r="L334" s="89"/>
      <c r="M334" s="27"/>
      <c r="N334" s="105"/>
      <c r="O334" s="106"/>
      <c r="P334" s="89"/>
      <c r="Q334" s="26"/>
      <c r="R334" s="106"/>
      <c r="S334" s="89"/>
      <c r="T334" s="27"/>
      <c r="U334" s="105"/>
      <c r="V334" s="106"/>
      <c r="W334" s="89"/>
      <c r="X334" s="26"/>
      <c r="Y334" s="106"/>
      <c r="Z334" s="89"/>
      <c r="AA334" s="27"/>
      <c r="AB334" s="107"/>
      <c r="AC334" s="1"/>
      <c r="AD334" s="1"/>
      <c r="AE334" s="1"/>
      <c r="AF334" s="1"/>
      <c r="AG334" s="1"/>
      <c r="AH334" s="1"/>
      <c r="AI334" s="1"/>
    </row>
    <row r="335" spans="1:35" ht="14.25" hidden="1" outlineLevel="1" x14ac:dyDescent="0.2">
      <c r="A335" s="1"/>
      <c r="B335" s="3"/>
      <c r="C335" s="3"/>
      <c r="D335" s="3"/>
      <c r="E335" s="3"/>
      <c r="F335" s="3"/>
      <c r="G335" s="105"/>
      <c r="H335" s="106"/>
      <c r="I335" s="89"/>
      <c r="J335" s="26"/>
      <c r="K335" s="106"/>
      <c r="L335" s="89"/>
      <c r="M335" s="27"/>
      <c r="N335" s="105"/>
      <c r="O335" s="106"/>
      <c r="P335" s="89"/>
      <c r="Q335" s="26"/>
      <c r="R335" s="106"/>
      <c r="S335" s="89"/>
      <c r="T335" s="27"/>
      <c r="U335" s="105"/>
      <c r="V335" s="106"/>
      <c r="W335" s="89"/>
      <c r="X335" s="26"/>
      <c r="Y335" s="106"/>
      <c r="Z335" s="89"/>
      <c r="AA335" s="27"/>
      <c r="AB335" s="107"/>
      <c r="AC335" s="1"/>
      <c r="AD335" s="1"/>
      <c r="AE335" s="1"/>
      <c r="AF335" s="1"/>
      <c r="AG335" s="1"/>
      <c r="AH335" s="1"/>
      <c r="AI335" s="1"/>
    </row>
    <row r="336" spans="1:35" ht="14.25" collapsed="1" x14ac:dyDescent="0.2">
      <c r="A336" s="1"/>
      <c r="B336" s="3" t="s">
        <v>66</v>
      </c>
      <c r="C336" s="3"/>
      <c r="D336" s="3"/>
      <c r="E336" s="3"/>
      <c r="F336" s="3"/>
      <c r="G336" s="102">
        <f>SUM(G337:G337)</f>
        <v>0</v>
      </c>
      <c r="H336" s="103">
        <f>SUM(H337:H337)</f>
        <v>0</v>
      </c>
      <c r="I336" s="89">
        <f>G336-H336</f>
        <v>0</v>
      </c>
      <c r="J336" s="26" t="str">
        <f>IF(ISERROR(I336/H336),"N/A",IF(ABS(I336/H336)&gt;5,"N/A",I336/H336))</f>
        <v>N/A</v>
      </c>
      <c r="K336" s="103">
        <f>SUM(K337:K337)</f>
        <v>0</v>
      </c>
      <c r="L336" s="89">
        <f>K336-G336</f>
        <v>0</v>
      </c>
      <c r="M336" s="27" t="str">
        <f>IF(ISERROR(L336/K336),"N/A",IF(ABS(L336/K336)&gt;5,"N/A",L336/K336))</f>
        <v>N/A</v>
      </c>
      <c r="N336" s="102">
        <f>SUM(N337:N337)</f>
        <v>0</v>
      </c>
      <c r="O336" s="103">
        <f>SUM(O337:O337)</f>
        <v>0</v>
      </c>
      <c r="P336" s="89">
        <f>N336-O336</f>
        <v>0</v>
      </c>
      <c r="Q336" s="26" t="str">
        <f>IF(ISERROR(P336/O336),"N/A",IF(ABS(P336/O336)&gt;5,"N/A",P336/O336))</f>
        <v>N/A</v>
      </c>
      <c r="R336" s="103">
        <f>SUM(R337:R337)</f>
        <v>0</v>
      </c>
      <c r="S336" s="89">
        <f>R336-N336</f>
        <v>0</v>
      </c>
      <c r="T336" s="27" t="str">
        <f>IF(ISERROR(S336/R336),"N/A",IF(ABS(S336/R336)&gt;5,"N/A",S336/R336))</f>
        <v>N/A</v>
      </c>
      <c r="U336" s="102">
        <f>SUM(U337:U337)</f>
        <v>0</v>
      </c>
      <c r="V336" s="103">
        <f>SUM(V337:V337)</f>
        <v>0</v>
      </c>
      <c r="W336" s="89">
        <f>U336-V336</f>
        <v>0</v>
      </c>
      <c r="X336" s="26" t="str">
        <f>IF(ISERROR(W336/V336),"N/A",IF(ABS(W336/V336)&gt;5,"N/A",W336/V336))</f>
        <v>N/A</v>
      </c>
      <c r="Y336" s="103">
        <f>SUM(Y337:Y337)</f>
        <v>0</v>
      </c>
      <c r="Z336" s="89">
        <f>Y336-U336</f>
        <v>0</v>
      </c>
      <c r="AA336" s="27" t="str">
        <f>IF(ISERROR(Z336/Y336),"N/A",IF(ABS(Z336/Y336)&gt;5,"N/A",Z336/Y336))</f>
        <v>N/A</v>
      </c>
      <c r="AB336" s="104">
        <f>SUM(AB337:AB337)</f>
        <v>0</v>
      </c>
      <c r="AC336" s="1"/>
      <c r="AD336" s="1"/>
      <c r="AE336" s="1"/>
      <c r="AF336" s="1"/>
      <c r="AG336" s="1"/>
      <c r="AH336" s="1"/>
      <c r="AI336" s="1"/>
    </row>
    <row r="337" spans="1:35" ht="14.25" hidden="1" outlineLevel="1" x14ac:dyDescent="0.2">
      <c r="A337" s="1"/>
      <c r="B337" s="3"/>
      <c r="C337" s="3"/>
      <c r="D337" s="3"/>
      <c r="E337" s="3"/>
      <c r="F337" s="3"/>
      <c r="G337" s="105"/>
      <c r="H337" s="106"/>
      <c r="I337" s="89"/>
      <c r="J337" s="26"/>
      <c r="K337" s="106"/>
      <c r="L337" s="89"/>
      <c r="M337" s="27"/>
      <c r="N337" s="105"/>
      <c r="O337" s="106"/>
      <c r="P337" s="89"/>
      <c r="Q337" s="26"/>
      <c r="R337" s="106"/>
      <c r="S337" s="89"/>
      <c r="T337" s="27"/>
      <c r="U337" s="105"/>
      <c r="V337" s="106"/>
      <c r="W337" s="89"/>
      <c r="X337" s="26"/>
      <c r="Y337" s="106"/>
      <c r="Z337" s="89"/>
      <c r="AA337" s="27"/>
      <c r="AB337" s="107"/>
      <c r="AC337" s="1"/>
      <c r="AD337" s="1"/>
      <c r="AE337" s="1"/>
      <c r="AF337" s="1"/>
      <c r="AG337" s="1"/>
      <c r="AH337" s="1"/>
      <c r="AI337" s="1"/>
    </row>
    <row r="338" spans="1:35" ht="14.25" hidden="1" outlineLevel="1" x14ac:dyDescent="0.2">
      <c r="A338" s="1"/>
      <c r="B338" s="3"/>
      <c r="C338" s="3"/>
      <c r="D338" s="3"/>
      <c r="E338" s="3"/>
      <c r="F338" s="3"/>
      <c r="G338" s="105"/>
      <c r="H338" s="106"/>
      <c r="I338" s="89"/>
      <c r="J338" s="26"/>
      <c r="K338" s="106"/>
      <c r="L338" s="89"/>
      <c r="M338" s="27"/>
      <c r="N338" s="105"/>
      <c r="O338" s="106"/>
      <c r="P338" s="89"/>
      <c r="Q338" s="26"/>
      <c r="R338" s="106"/>
      <c r="S338" s="89"/>
      <c r="T338" s="27"/>
      <c r="U338" s="105"/>
      <c r="V338" s="106"/>
      <c r="W338" s="89"/>
      <c r="X338" s="26"/>
      <c r="Y338" s="106"/>
      <c r="Z338" s="89"/>
      <c r="AA338" s="27"/>
      <c r="AB338" s="107"/>
      <c r="AC338" s="1"/>
      <c r="AD338" s="1"/>
      <c r="AE338" s="1"/>
      <c r="AF338" s="1"/>
      <c r="AG338" s="1"/>
      <c r="AH338" s="1"/>
      <c r="AI338" s="1"/>
    </row>
    <row r="339" spans="1:35" ht="14.25" collapsed="1" x14ac:dyDescent="0.2">
      <c r="A339" s="1"/>
      <c r="B339" s="3" t="s">
        <v>70</v>
      </c>
      <c r="C339" s="3"/>
      <c r="D339" s="3"/>
      <c r="E339" s="3"/>
      <c r="F339" s="3"/>
      <c r="G339" s="102">
        <f>SUM(G340:G341)</f>
        <v>36.80247</v>
      </c>
      <c r="H339" s="103">
        <f>SUM(H340:H341)</f>
        <v>0</v>
      </c>
      <c r="I339" s="89">
        <f>G339-H339</f>
        <v>36.80247</v>
      </c>
      <c r="J339" s="26" t="str">
        <f>IF(ISERROR(I339/H339),"N/A",IF(ABS(I339/H339)&gt;5,"N/A",I339/H339))</f>
        <v>N/A</v>
      </c>
      <c r="K339" s="103">
        <f>SUM(K340:K341)</f>
        <v>40.072899444000001</v>
      </c>
      <c r="L339" s="89">
        <f>K339-G339</f>
        <v>3.2704294440000012</v>
      </c>
      <c r="M339" s="27">
        <f>IF(ISERROR(L339/K339),"N/A",IF(ABS(L339/K339)&gt;5,"N/A",L339/K339))</f>
        <v>8.1611999365563084E-2</v>
      </c>
      <c r="N339" s="102">
        <f>SUM(N340:N341)</f>
        <v>21.055060000000001</v>
      </c>
      <c r="O339" s="103">
        <f>SUM(O340:O341)</f>
        <v>0</v>
      </c>
      <c r="P339" s="89">
        <f>N339-O339</f>
        <v>21.055060000000001</v>
      </c>
      <c r="Q339" s="26" t="str">
        <f>IF(ISERROR(P339/O339),"N/A",IF(ABS(P339/O339)&gt;5,"N/A",P339/O339))</f>
        <v>N/A</v>
      </c>
      <c r="R339" s="103">
        <f>SUM(R340:R341)</f>
        <v>20.700256774</v>
      </c>
      <c r="S339" s="89">
        <f>R339-N339</f>
        <v>-0.35480322600000136</v>
      </c>
      <c r="T339" s="27">
        <f>IF(ISERROR(S339/R339),"N/A",IF(ABS(S339/R339)&gt;5,"N/A",S339/R339))</f>
        <v>-1.7140039849440052E-2</v>
      </c>
      <c r="U339" s="102">
        <f>SUM(U340:U341)</f>
        <v>297.23784999999998</v>
      </c>
      <c r="V339" s="108">
        <f>SUM(V340:V341)</f>
        <v>0</v>
      </c>
      <c r="W339" s="89">
        <f>U339-V339</f>
        <v>297.23784999999998</v>
      </c>
      <c r="X339" s="26" t="str">
        <f>IF(ISERROR(W339/V339),"N/A",IF(ABS(W339/V339)&gt;5,"N/A",W339/V339))</f>
        <v>N/A</v>
      </c>
      <c r="Y339" s="103">
        <f>SUM(Y340:Y341)</f>
        <v>296.88304677399998</v>
      </c>
      <c r="Z339" s="89">
        <f>Y339-U339</f>
        <v>-0.35480322600000136</v>
      </c>
      <c r="AA339" s="27">
        <f>IF(ISERROR(Z339/Y339),"N/A",IF(ABS(Z339/Y339)&gt;5,"N/A",Z339/Y339))</f>
        <v>-1.1950942630620895E-3</v>
      </c>
      <c r="AB339" s="104">
        <f>SUM(AB340:AB341)</f>
        <v>635.68215804199997</v>
      </c>
      <c r="AC339" s="1"/>
      <c r="AD339" s="1"/>
      <c r="AE339" s="1"/>
      <c r="AF339" s="1"/>
      <c r="AG339" s="1"/>
      <c r="AH339" s="1"/>
      <c r="AI339" s="1"/>
    </row>
    <row r="340" spans="1:35" ht="14.25" hidden="1" outlineLevel="1" x14ac:dyDescent="0.2">
      <c r="A340" s="1"/>
      <c r="B340" s="3"/>
      <c r="C340" s="3"/>
      <c r="D340" s="3" t="s">
        <v>67</v>
      </c>
      <c r="E340" s="3" t="s">
        <v>93</v>
      </c>
      <c r="F340" s="3">
        <v>920</v>
      </c>
      <c r="G340" s="105">
        <f>36802.47/1000*1</f>
        <v>36.80247</v>
      </c>
      <c r="H340" s="106">
        <f>0/1000*1</f>
        <v>0</v>
      </c>
      <c r="I340" s="89">
        <f>G340-H340</f>
        <v>36.80247</v>
      </c>
      <c r="J340" s="26" t="str">
        <f>IF(ISERROR(I340/H340),"N/A",IF(ABS(I340/H340)&gt;5,"N/A",I340/H340))</f>
        <v>N/A</v>
      </c>
      <c r="K340" s="106">
        <f>40072.899444/1000*1</f>
        <v>40.072899444000001</v>
      </c>
      <c r="L340" s="89">
        <f>K340-G340</f>
        <v>3.2704294440000012</v>
      </c>
      <c r="M340" s="27">
        <f>IF(ISERROR(L340/K340),"N/A",IF(ABS(L340/K340)&gt;5,"N/A",L340/K340))</f>
        <v>8.1611999365563084E-2</v>
      </c>
      <c r="N340" s="105">
        <f>21055.06/1000*1</f>
        <v>21.055060000000001</v>
      </c>
      <c r="O340" s="106">
        <f>0/1000*1</f>
        <v>0</v>
      </c>
      <c r="P340" s="89">
        <f>N340-O340</f>
        <v>21.055060000000001</v>
      </c>
      <c r="Q340" s="26" t="str">
        <f>IF(ISERROR(P340/O340),"N/A",IF(ABS(P340/O340)&gt;5,"N/A",P340/O340))</f>
        <v>N/A</v>
      </c>
      <c r="R340" s="106">
        <f>20700.256774/1000*1</f>
        <v>20.700256774</v>
      </c>
      <c r="S340" s="89">
        <f>R340-N340</f>
        <v>-0.35480322600000136</v>
      </c>
      <c r="T340" s="27">
        <f>IF(ISERROR(S340/R340),"N/A",IF(ABS(S340/R340)&gt;5,"N/A",S340/R340))</f>
        <v>-1.7140039849440052E-2</v>
      </c>
      <c r="U340" s="105">
        <f>297237.85/1000*1</f>
        <v>297.23784999999998</v>
      </c>
      <c r="V340" s="106">
        <f>0/1000*1</f>
        <v>0</v>
      </c>
      <c r="W340" s="89">
        <f>U340-V340</f>
        <v>297.23784999999998</v>
      </c>
      <c r="X340" s="26" t="str">
        <f>IF(ISERROR(W340/V340),"N/A",IF(ABS(W340/V340)&gt;5,"N/A",W340/V340))</f>
        <v>N/A</v>
      </c>
      <c r="Y340" s="106">
        <f>296883.046774/1000*1</f>
        <v>296.88304677399998</v>
      </c>
      <c r="Z340" s="89">
        <f>Y340-U340</f>
        <v>-0.35480322600000136</v>
      </c>
      <c r="AA340" s="27">
        <f>IF(ISERROR(Z340/Y340),"N/A",IF(ABS(Z340/Y340)&gt;5,"N/A",Z340/Y340))</f>
        <v>-1.1950942630620895E-3</v>
      </c>
      <c r="AB340" s="107">
        <f>635682.158042/1000*1</f>
        <v>635.68215804199997</v>
      </c>
      <c r="AC340" s="1"/>
      <c r="AD340" s="1"/>
      <c r="AE340" s="1"/>
      <c r="AF340" s="1"/>
      <c r="AG340" s="1"/>
      <c r="AH340" s="1"/>
      <c r="AI340" s="1"/>
    </row>
    <row r="341" spans="1:35" ht="14.25" hidden="1" outlineLevel="1" x14ac:dyDescent="0.2">
      <c r="A341" s="1"/>
      <c r="B341" s="3"/>
      <c r="C341" s="3"/>
      <c r="D341" s="3"/>
      <c r="E341" s="3"/>
      <c r="F341" s="3"/>
      <c r="G341" s="105"/>
      <c r="H341" s="106"/>
      <c r="I341" s="89"/>
      <c r="J341" s="26"/>
      <c r="K341" s="106"/>
      <c r="L341" s="89"/>
      <c r="M341" s="27"/>
      <c r="N341" s="105"/>
      <c r="O341" s="106"/>
      <c r="P341" s="89"/>
      <c r="Q341" s="26"/>
      <c r="R341" s="106"/>
      <c r="S341" s="89"/>
      <c r="T341" s="27"/>
      <c r="U341" s="105"/>
      <c r="V341" s="106"/>
      <c r="W341" s="89"/>
      <c r="X341" s="26"/>
      <c r="Y341" s="106"/>
      <c r="Z341" s="89"/>
      <c r="AA341" s="27"/>
      <c r="AB341" s="107"/>
      <c r="AC341" s="1"/>
      <c r="AD341" s="1"/>
      <c r="AE341" s="1"/>
      <c r="AF341" s="1"/>
      <c r="AG341" s="1"/>
      <c r="AH341" s="1"/>
      <c r="AI341" s="1"/>
    </row>
    <row r="342" spans="1:35" ht="14.25" hidden="1" outlineLevel="1" x14ac:dyDescent="0.2">
      <c r="A342" s="1"/>
      <c r="B342" s="3"/>
      <c r="C342" s="3"/>
      <c r="D342" s="3"/>
      <c r="E342" s="3"/>
      <c r="F342" s="3"/>
      <c r="G342" s="105"/>
      <c r="H342" s="106"/>
      <c r="I342" s="89"/>
      <c r="J342" s="26"/>
      <c r="K342" s="106"/>
      <c r="L342" s="89"/>
      <c r="M342" s="27"/>
      <c r="N342" s="105"/>
      <c r="O342" s="106"/>
      <c r="P342" s="89"/>
      <c r="Q342" s="26"/>
      <c r="R342" s="106"/>
      <c r="S342" s="89"/>
      <c r="T342" s="27"/>
      <c r="U342" s="105"/>
      <c r="V342" s="106"/>
      <c r="W342" s="89"/>
      <c r="X342" s="26"/>
      <c r="Y342" s="106"/>
      <c r="Z342" s="89"/>
      <c r="AA342" s="27"/>
      <c r="AB342" s="107"/>
      <c r="AC342" s="1"/>
      <c r="AD342" s="1"/>
      <c r="AE342" s="1"/>
      <c r="AF342" s="1"/>
      <c r="AG342" s="1"/>
      <c r="AH342" s="1"/>
      <c r="AI342" s="1"/>
    </row>
    <row r="343" spans="1:35" ht="14.25" collapsed="1" x14ac:dyDescent="0.2">
      <c r="A343" s="1"/>
      <c r="B343" s="3" t="s">
        <v>71</v>
      </c>
      <c r="C343" s="3"/>
      <c r="D343" s="3"/>
      <c r="E343" s="3"/>
      <c r="F343" s="3"/>
      <c r="G343" s="102">
        <f>SUM(G344:G348)</f>
        <v>1.92028</v>
      </c>
      <c r="H343" s="103">
        <f>SUM(H344:H348)</f>
        <v>-2.1285800000000004</v>
      </c>
      <c r="I343" s="89">
        <f>G343-H343</f>
        <v>4.0488600000000003</v>
      </c>
      <c r="J343" s="26">
        <f>IF(ISERROR(I343/H343),"N/A",IF(ABS(I343/H343)&gt;5,"N/A",I343/H343))</f>
        <v>-1.9021413336590589</v>
      </c>
      <c r="K343" s="103">
        <f>SUM(K344:K348)</f>
        <v>0</v>
      </c>
      <c r="L343" s="89">
        <f>K343-G343</f>
        <v>-1.92028</v>
      </c>
      <c r="M343" s="27" t="str">
        <f>IF(ISERROR(L343/K343),"N/A",IF(ABS(L343/K343)&gt;5,"N/A",L343/K343))</f>
        <v>N/A</v>
      </c>
      <c r="N343" s="102">
        <f>SUM(N344:N348)</f>
        <v>-17.169039999999999</v>
      </c>
      <c r="O343" s="103">
        <f>SUM(O344:O348)</f>
        <v>20.814749999999997</v>
      </c>
      <c r="P343" s="89">
        <f>N343-O343</f>
        <v>-37.983789999999999</v>
      </c>
      <c r="Q343" s="26">
        <f>IF(ISERROR(P343/O343),"N/A",IF(ABS(P343/O343)&gt;5,"N/A",P343/O343))</f>
        <v>-1.8248496859198406</v>
      </c>
      <c r="R343" s="103">
        <f>SUM(R344:R348)</f>
        <v>1.5915100000000002</v>
      </c>
      <c r="S343" s="89">
        <f>R343-N343</f>
        <v>18.760549999999999</v>
      </c>
      <c r="T343" s="27" t="str">
        <f>IF(ISERROR(S343/R343),"N/A",IF(ABS(S343/R343)&gt;5,"N/A",S343/R343))</f>
        <v>N/A</v>
      </c>
      <c r="U343" s="102">
        <f>SUM(U344:U348)</f>
        <v>46.403570000000002</v>
      </c>
      <c r="V343" s="103">
        <f>SUM(V344:V348)</f>
        <v>70.075569999999999</v>
      </c>
      <c r="W343" s="89">
        <f>U343-V343</f>
        <v>-23.671999999999997</v>
      </c>
      <c r="X343" s="26">
        <f>IF(ISERROR(W343/V343),"N/A",IF(ABS(W343/V343)&gt;5,"N/A",W343/V343))</f>
        <v>-0.3378067420643171</v>
      </c>
      <c r="Y343" s="103">
        <f>SUM(Y344:Y348)</f>
        <v>65.164119999999997</v>
      </c>
      <c r="Z343" s="89">
        <f>Y343-U343</f>
        <v>18.760549999999995</v>
      </c>
      <c r="AA343" s="27">
        <f>IF(ISERROR(Z343/Y343),"N/A",IF(ABS(Z343/Y343)&gt;5,"N/A",Z343/Y343))</f>
        <v>0.28789692855516191</v>
      </c>
      <c r="AB343" s="104">
        <f>SUM(AB344:AB348)</f>
        <v>65.164119999999997</v>
      </c>
      <c r="AC343" s="1"/>
      <c r="AD343" s="1"/>
      <c r="AE343" s="1"/>
      <c r="AF343" s="1"/>
      <c r="AG343" s="1"/>
      <c r="AH343" s="1"/>
      <c r="AI343" s="1"/>
    </row>
    <row r="344" spans="1:35" ht="14.25" hidden="1" outlineLevel="1" x14ac:dyDescent="0.2">
      <c r="A344" s="1"/>
      <c r="B344" s="3"/>
      <c r="C344" s="3"/>
      <c r="D344" s="3" t="s">
        <v>67</v>
      </c>
      <c r="E344" s="3" t="s">
        <v>91</v>
      </c>
      <c r="F344" s="3">
        <v>100</v>
      </c>
      <c r="G344" s="105">
        <f>1725.08/1000*1</f>
        <v>1.7250799999999999</v>
      </c>
      <c r="H344" s="106">
        <f>-2748.82/1000*1</f>
        <v>-2.7488200000000003</v>
      </c>
      <c r="I344" s="89">
        <f>G344-H344</f>
        <v>4.4739000000000004</v>
      </c>
      <c r="J344" s="26">
        <f>IF(ISERROR(I344/H344),"N/A",IF(ABS(I344/H344)&gt;5,"N/A",I344/H344))</f>
        <v>-1.6275711032370253</v>
      </c>
      <c r="K344" s="106">
        <f>0/1000*1</f>
        <v>0</v>
      </c>
      <c r="L344" s="89">
        <f>K344-G344</f>
        <v>-1.7250799999999999</v>
      </c>
      <c r="M344" s="27" t="str">
        <f>IF(ISERROR(L344/K344),"N/A",IF(ABS(L344/K344)&gt;5,"N/A",L344/K344))</f>
        <v>N/A</v>
      </c>
      <c r="N344" s="105">
        <f>-17373.58/1000*1</f>
        <v>-17.37358</v>
      </c>
      <c r="O344" s="106">
        <f>20194.51/1000*1</f>
        <v>20.194509999999998</v>
      </c>
      <c r="P344" s="89">
        <f>N344-O344</f>
        <v>-37.568089999999998</v>
      </c>
      <c r="Q344" s="26">
        <f>IF(ISERROR(P344/O344),"N/A",IF(ABS(P344/O344)&gt;5,"N/A",P344/O344))</f>
        <v>-1.8603120353006832</v>
      </c>
      <c r="R344" s="106">
        <f>1582.18/1000*1</f>
        <v>1.5821800000000001</v>
      </c>
      <c r="S344" s="89">
        <f>R344-N344</f>
        <v>18.955760000000001</v>
      </c>
      <c r="T344" s="27" t="str">
        <f>IF(ISERROR(S344/R344),"N/A",IF(ABS(S344/R344)&gt;5,"N/A",S344/R344))</f>
        <v>N/A</v>
      </c>
      <c r="U344" s="105">
        <f>46191.58/1000*1</f>
        <v>46.191580000000002</v>
      </c>
      <c r="V344" s="106">
        <f>69455.33/1000*1</f>
        <v>69.455330000000004</v>
      </c>
      <c r="W344" s="89">
        <f>U344-V344</f>
        <v>-23.263750000000002</v>
      </c>
      <c r="X344" s="26">
        <f>IF(ISERROR(W344/V344),"N/A",IF(ABS(W344/V344)&gt;5,"N/A",W344/V344))</f>
        <v>-0.33494549662351331</v>
      </c>
      <c r="Y344" s="106">
        <f>65147.34/1000*1</f>
        <v>65.14734</v>
      </c>
      <c r="Z344" s="89">
        <f>Y344-U344</f>
        <v>18.955759999999998</v>
      </c>
      <c r="AA344" s="27">
        <f>IF(ISERROR(Z344/Y344),"N/A",IF(ABS(Z344/Y344)&gt;5,"N/A",Z344/Y344))</f>
        <v>0.29096752070000093</v>
      </c>
      <c r="AB344" s="107">
        <f>65147.34/1000*1</f>
        <v>65.14734</v>
      </c>
      <c r="AC344" s="1"/>
      <c r="AD344" s="1"/>
      <c r="AE344" s="1"/>
      <c r="AF344" s="1"/>
      <c r="AG344" s="1"/>
      <c r="AH344" s="1"/>
      <c r="AI344" s="1"/>
    </row>
    <row r="345" spans="1:35" ht="14.25" hidden="1" outlineLevel="1" x14ac:dyDescent="0.2">
      <c r="A345" s="1"/>
      <c r="B345" s="3"/>
      <c r="C345" s="3"/>
      <c r="D345" s="3" t="s">
        <v>67</v>
      </c>
      <c r="E345" s="3" t="s">
        <v>94</v>
      </c>
      <c r="F345" s="3">
        <v>100</v>
      </c>
      <c r="G345" s="105">
        <f>195.2/1000*1</f>
        <v>0.19519999999999998</v>
      </c>
      <c r="H345" s="106">
        <f>0/1000*1</f>
        <v>0</v>
      </c>
      <c r="I345" s="89">
        <f>G345-H345</f>
        <v>0.19519999999999998</v>
      </c>
      <c r="J345" s="26" t="str">
        <f>IF(ISERROR(I345/H345),"N/A",IF(ABS(I345/H345)&gt;5,"N/A",I345/H345))</f>
        <v>N/A</v>
      </c>
      <c r="K345" s="106">
        <f>0/1000*1</f>
        <v>0</v>
      </c>
      <c r="L345" s="89">
        <f>K345-G345</f>
        <v>-0.19519999999999998</v>
      </c>
      <c r="M345" s="27" t="str">
        <f>IF(ISERROR(L345/K345),"N/A",IF(ABS(L345/K345)&gt;5,"N/A",L345/K345))</f>
        <v>N/A</v>
      </c>
      <c r="N345" s="105">
        <f>204.54/1000*1</f>
        <v>0.20454</v>
      </c>
      <c r="O345" s="106">
        <f>0/1000*1</f>
        <v>0</v>
      </c>
      <c r="P345" s="89">
        <f>N345-O345</f>
        <v>0.20454</v>
      </c>
      <c r="Q345" s="26" t="str">
        <f>IF(ISERROR(P345/O345),"N/A",IF(ABS(P345/O345)&gt;5,"N/A",P345/O345))</f>
        <v>N/A</v>
      </c>
      <c r="R345" s="106">
        <f>9.33/1000*1</f>
        <v>9.3299999999999998E-3</v>
      </c>
      <c r="S345" s="89">
        <f>R345-N345</f>
        <v>-0.19520999999999999</v>
      </c>
      <c r="T345" s="27" t="str">
        <f>IF(ISERROR(S345/R345),"N/A",IF(ABS(S345/R345)&gt;5,"N/A",S345/R345))</f>
        <v>N/A</v>
      </c>
      <c r="U345" s="105">
        <f>211.99/1000*1</f>
        <v>0.21199000000000001</v>
      </c>
      <c r="V345" s="106">
        <f>0/1000*1</f>
        <v>0</v>
      </c>
      <c r="W345" s="89">
        <f>U345-V345</f>
        <v>0.21199000000000001</v>
      </c>
      <c r="X345" s="26" t="str">
        <f>IF(ISERROR(W345/V345),"N/A",IF(ABS(W345/V345)&gt;5,"N/A",W345/V345))</f>
        <v>N/A</v>
      </c>
      <c r="Y345" s="106">
        <f>16.78/1000*1</f>
        <v>1.678E-2</v>
      </c>
      <c r="Z345" s="89">
        <f>Y345-U345</f>
        <v>-0.19521000000000002</v>
      </c>
      <c r="AA345" s="27" t="str">
        <f>IF(ISERROR(Z345/Y345),"N/A",IF(ABS(Z345/Y345)&gt;5,"N/A",Z345/Y345))</f>
        <v>N/A</v>
      </c>
      <c r="AB345" s="107">
        <f>16.78/1000*1</f>
        <v>1.678E-2</v>
      </c>
      <c r="AC345" s="1"/>
      <c r="AD345" s="1"/>
      <c r="AE345" s="1"/>
      <c r="AF345" s="1"/>
      <c r="AG345" s="1"/>
      <c r="AH345" s="1"/>
      <c r="AI345" s="1"/>
    </row>
    <row r="346" spans="1:35" ht="14.25" hidden="1" outlineLevel="1" x14ac:dyDescent="0.2">
      <c r="A346" s="1"/>
      <c r="B346" s="3"/>
      <c r="C346" s="3"/>
      <c r="D346" s="3" t="s">
        <v>67</v>
      </c>
      <c r="E346" s="3" t="s">
        <v>97</v>
      </c>
      <c r="F346" s="3">
        <v>100</v>
      </c>
      <c r="G346" s="105">
        <f>0/1000*1</f>
        <v>0</v>
      </c>
      <c r="H346" s="106">
        <f>0/1000*1</f>
        <v>0</v>
      </c>
      <c r="I346" s="89">
        <f>G346-H346</f>
        <v>0</v>
      </c>
      <c r="J346" s="26" t="str">
        <f>IF(ISERROR(I346/H346),"N/A",IF(ABS(I346/H346)&gt;5,"N/A",I346/H346))</f>
        <v>N/A</v>
      </c>
      <c r="K346" s="106">
        <f>0/1000*1</f>
        <v>0</v>
      </c>
      <c r="L346" s="89">
        <f>K346-G346</f>
        <v>0</v>
      </c>
      <c r="M346" s="27" t="str">
        <f>IF(ISERROR(L346/K346),"N/A",IF(ABS(L346/K346)&gt;5,"N/A",L346/K346))</f>
        <v>N/A</v>
      </c>
      <c r="N346" s="105">
        <f>0/1000*1</f>
        <v>0</v>
      </c>
      <c r="O346" s="106">
        <f>0/1000*1</f>
        <v>0</v>
      </c>
      <c r="P346" s="89">
        <f>N346-O346</f>
        <v>0</v>
      </c>
      <c r="Q346" s="26" t="str">
        <f>IF(ISERROR(P346/O346),"N/A",IF(ABS(P346/O346)&gt;5,"N/A",P346/O346))</f>
        <v>N/A</v>
      </c>
      <c r="R346" s="106">
        <f>0/1000*1</f>
        <v>0</v>
      </c>
      <c r="S346" s="89">
        <f>R346-N346</f>
        <v>0</v>
      </c>
      <c r="T346" s="27" t="str">
        <f>IF(ISERROR(S346/R346),"N/A",IF(ABS(S346/R346)&gt;5,"N/A",S346/R346))</f>
        <v>N/A</v>
      </c>
      <c r="U346" s="105">
        <f>0/1000*1</f>
        <v>0</v>
      </c>
      <c r="V346" s="106">
        <f>0/1000*1</f>
        <v>0</v>
      </c>
      <c r="W346" s="89">
        <f>U346-V346</f>
        <v>0</v>
      </c>
      <c r="X346" s="26" t="str">
        <f>IF(ISERROR(W346/V346),"N/A",IF(ABS(W346/V346)&gt;5,"N/A",W346/V346))</f>
        <v>N/A</v>
      </c>
      <c r="Y346" s="106">
        <f>0/1000*1</f>
        <v>0</v>
      </c>
      <c r="Z346" s="89">
        <f>Y346-U346</f>
        <v>0</v>
      </c>
      <c r="AA346" s="27" t="str">
        <f>IF(ISERROR(Z346/Y346),"N/A",IF(ABS(Z346/Y346)&gt;5,"N/A",Z346/Y346))</f>
        <v>N/A</v>
      </c>
      <c r="AB346" s="107">
        <f>0/1000*1</f>
        <v>0</v>
      </c>
      <c r="AC346" s="1"/>
      <c r="AD346" s="1"/>
      <c r="AE346" s="1"/>
      <c r="AF346" s="1"/>
      <c r="AG346" s="1"/>
      <c r="AH346" s="1"/>
      <c r="AI346" s="1"/>
    </row>
    <row r="347" spans="1:35" ht="14.25" hidden="1" outlineLevel="1" x14ac:dyDescent="0.2">
      <c r="A347" s="1"/>
      <c r="B347" s="3"/>
      <c r="C347" s="3"/>
      <c r="D347" s="3" t="s">
        <v>67</v>
      </c>
      <c r="E347" s="3" t="s">
        <v>98</v>
      </c>
      <c r="F347" s="3">
        <v>100</v>
      </c>
      <c r="G347" s="105">
        <f>0/1000*1</f>
        <v>0</v>
      </c>
      <c r="H347" s="106">
        <f>620.24/1000*1</f>
        <v>0.62024000000000001</v>
      </c>
      <c r="I347" s="89">
        <f>G347-H347</f>
        <v>-0.62024000000000001</v>
      </c>
      <c r="J347" s="26">
        <f>IF(ISERROR(I347/H347),"N/A",IF(ABS(I347/H347)&gt;5,"N/A",I347/H347))</f>
        <v>-1</v>
      </c>
      <c r="K347" s="106">
        <f>0/1000*1</f>
        <v>0</v>
      </c>
      <c r="L347" s="89">
        <f>K347-G347</f>
        <v>0</v>
      </c>
      <c r="M347" s="27" t="str">
        <f>IF(ISERROR(L347/K347),"N/A",IF(ABS(L347/K347)&gt;5,"N/A",L347/K347))</f>
        <v>N/A</v>
      </c>
      <c r="N347" s="105">
        <f>0/1000*1</f>
        <v>0</v>
      </c>
      <c r="O347" s="106">
        <f>620.24/1000*1</f>
        <v>0.62024000000000001</v>
      </c>
      <c r="P347" s="89">
        <f>N347-O347</f>
        <v>-0.62024000000000001</v>
      </c>
      <c r="Q347" s="26">
        <f>IF(ISERROR(P347/O347),"N/A",IF(ABS(P347/O347)&gt;5,"N/A",P347/O347))</f>
        <v>-1</v>
      </c>
      <c r="R347" s="106">
        <f>0/1000*1</f>
        <v>0</v>
      </c>
      <c r="S347" s="89">
        <f>R347-N347</f>
        <v>0</v>
      </c>
      <c r="T347" s="27" t="str">
        <f>IF(ISERROR(S347/R347),"N/A",IF(ABS(S347/R347)&gt;5,"N/A",S347/R347))</f>
        <v>N/A</v>
      </c>
      <c r="U347" s="105">
        <f>0/1000*1</f>
        <v>0</v>
      </c>
      <c r="V347" s="106">
        <f>620.24/1000*1</f>
        <v>0.62024000000000001</v>
      </c>
      <c r="W347" s="89">
        <f>U347-V347</f>
        <v>-0.62024000000000001</v>
      </c>
      <c r="X347" s="26">
        <f>IF(ISERROR(W347/V347),"N/A",IF(ABS(W347/V347)&gt;5,"N/A",W347/V347))</f>
        <v>-1</v>
      </c>
      <c r="Y347" s="106">
        <f>0/1000*1</f>
        <v>0</v>
      </c>
      <c r="Z347" s="89">
        <f>Y347-U347</f>
        <v>0</v>
      </c>
      <c r="AA347" s="27" t="str">
        <f>IF(ISERROR(Z347/Y347),"N/A",IF(ABS(Z347/Y347)&gt;5,"N/A",Z347/Y347))</f>
        <v>N/A</v>
      </c>
      <c r="AB347" s="107">
        <f>0/1000*1</f>
        <v>0</v>
      </c>
      <c r="AC347" s="1"/>
      <c r="AD347" s="1"/>
      <c r="AE347" s="1"/>
      <c r="AF347" s="1"/>
      <c r="AG347" s="1"/>
      <c r="AH347" s="1"/>
      <c r="AI347" s="1"/>
    </row>
    <row r="348" spans="1:35" ht="14.25" hidden="1" outlineLevel="1" x14ac:dyDescent="0.2">
      <c r="A348" s="1"/>
      <c r="B348" s="3"/>
      <c r="C348" s="3"/>
      <c r="D348" s="3"/>
      <c r="E348" s="3"/>
      <c r="F348" s="3"/>
      <c r="G348" s="105"/>
      <c r="H348" s="106"/>
      <c r="I348" s="89"/>
      <c r="J348" s="26"/>
      <c r="K348" s="106"/>
      <c r="L348" s="89"/>
      <c r="M348" s="27"/>
      <c r="N348" s="105"/>
      <c r="O348" s="106"/>
      <c r="P348" s="89"/>
      <c r="Q348" s="26"/>
      <c r="R348" s="106"/>
      <c r="S348" s="89"/>
      <c r="T348" s="27"/>
      <c r="U348" s="105"/>
      <c r="V348" s="106"/>
      <c r="W348" s="89"/>
      <c r="X348" s="26"/>
      <c r="Y348" s="106"/>
      <c r="Z348" s="89"/>
      <c r="AA348" s="27"/>
      <c r="AB348" s="107"/>
      <c r="AC348" s="1"/>
      <c r="AD348" s="1"/>
      <c r="AE348" s="1"/>
      <c r="AF348" s="1"/>
      <c r="AG348" s="1"/>
      <c r="AH348" s="1"/>
      <c r="AI348" s="1"/>
    </row>
    <row r="349" spans="1:35" ht="14.25" hidden="1" outlineLevel="1" x14ac:dyDescent="0.2">
      <c r="A349" s="1"/>
      <c r="B349" s="3"/>
      <c r="C349" s="3"/>
      <c r="D349" s="3"/>
      <c r="E349" s="3"/>
      <c r="F349" s="3"/>
      <c r="G349" s="105"/>
      <c r="H349" s="106"/>
      <c r="I349" s="89"/>
      <c r="J349" s="26"/>
      <c r="K349" s="106"/>
      <c r="L349" s="89"/>
      <c r="M349" s="27"/>
      <c r="N349" s="105"/>
      <c r="O349" s="106"/>
      <c r="P349" s="89"/>
      <c r="Q349" s="26"/>
      <c r="R349" s="106"/>
      <c r="S349" s="89"/>
      <c r="T349" s="27"/>
      <c r="U349" s="105"/>
      <c r="V349" s="106"/>
      <c r="W349" s="89"/>
      <c r="X349" s="26"/>
      <c r="Y349" s="106"/>
      <c r="Z349" s="89"/>
      <c r="AA349" s="27"/>
      <c r="AB349" s="107"/>
      <c r="AC349" s="1"/>
      <c r="AD349" s="1"/>
      <c r="AE349" s="1"/>
      <c r="AF349" s="1"/>
      <c r="AG349" s="1"/>
      <c r="AH349" s="1"/>
      <c r="AI349" s="1"/>
    </row>
    <row r="350" spans="1:35" ht="14.25" collapsed="1" x14ac:dyDescent="0.2">
      <c r="A350" s="1"/>
      <c r="B350" s="3" t="s">
        <v>73</v>
      </c>
      <c r="C350" s="3"/>
      <c r="D350" s="3"/>
      <c r="E350" s="3"/>
      <c r="F350" s="3"/>
      <c r="G350" s="102">
        <f>SUM(G351:G355)</f>
        <v>-11.271540000000002</v>
      </c>
      <c r="H350" s="103">
        <f>SUM(H351:H355)</f>
        <v>13.25109</v>
      </c>
      <c r="I350" s="89">
        <f>G350-H350</f>
        <v>-24.522629999999999</v>
      </c>
      <c r="J350" s="26">
        <f>IF(ISERROR(I350/H350),"N/A",IF(ABS(I350/H350)&gt;5,"N/A",I350/H350))</f>
        <v>-1.850612289253186</v>
      </c>
      <c r="K350" s="103">
        <f>SUM(K351:K355)</f>
        <v>2.6563999999976693E-4</v>
      </c>
      <c r="L350" s="89">
        <f>K350-G350</f>
        <v>11.271805640000002</v>
      </c>
      <c r="M350" s="27" t="str">
        <f>IF(ISERROR(L350/K350),"N/A",IF(ABS(L350/K350)&gt;5,"N/A",L350/K350))</f>
        <v>N/A</v>
      </c>
      <c r="N350" s="102">
        <f>SUM(N351:N355)</f>
        <v>-11.271540000000002</v>
      </c>
      <c r="O350" s="103">
        <f>SUM(O351:O355)</f>
        <v>13.25109</v>
      </c>
      <c r="P350" s="89">
        <f>N350-O350</f>
        <v>-24.522629999999999</v>
      </c>
      <c r="Q350" s="26">
        <f>IF(ISERROR(P350/O350),"N/A",IF(ABS(P350/O350)&gt;5,"N/A",P350/O350))</f>
        <v>-1.850612289253186</v>
      </c>
      <c r="R350" s="103">
        <f>SUM(R351:R355)</f>
        <v>2.6563999999976693E-4</v>
      </c>
      <c r="S350" s="89">
        <f>R350-N350</f>
        <v>11.271805640000002</v>
      </c>
      <c r="T350" s="27" t="str">
        <f>IF(ISERROR(S350/R350),"N/A",IF(ABS(S350/R350)&gt;5,"N/A",S350/R350))</f>
        <v>N/A</v>
      </c>
      <c r="U350" s="102">
        <f>SUM(U351:U355)</f>
        <v>37.318929999999995</v>
      </c>
      <c r="V350" s="108">
        <f>SUM(V351:V355)</f>
        <v>3.8238099999999999</v>
      </c>
      <c r="W350" s="89">
        <f>U350-V350</f>
        <v>33.495119999999993</v>
      </c>
      <c r="X350" s="26" t="str">
        <f>IF(ISERROR(W350/V350),"N/A",IF(ABS(W350/V350)&gt;5,"N/A",W350/V350))</f>
        <v>N/A</v>
      </c>
      <c r="Y350" s="103">
        <f>SUM(Y351:Y355)</f>
        <v>48.590735639999998</v>
      </c>
      <c r="Z350" s="89">
        <f>Y350-U350</f>
        <v>11.271805640000004</v>
      </c>
      <c r="AA350" s="27">
        <f>IF(ISERROR(Z350/Y350),"N/A",IF(ABS(Z350/Y350)&gt;5,"N/A",Z350/Y350))</f>
        <v>0.2319743772457116</v>
      </c>
      <c r="AB350" s="104">
        <f>SUM(AB351:AB355)</f>
        <v>48.589805639999994</v>
      </c>
      <c r="AC350" s="1"/>
      <c r="AD350" s="1"/>
      <c r="AE350" s="1"/>
      <c r="AF350" s="1"/>
      <c r="AG350" s="1"/>
      <c r="AH350" s="1"/>
      <c r="AI350" s="1"/>
    </row>
    <row r="351" spans="1:35" ht="14.25" hidden="1" outlineLevel="1" x14ac:dyDescent="0.2">
      <c r="A351" s="1"/>
      <c r="B351" s="3"/>
      <c r="C351" s="3"/>
      <c r="D351" s="3" t="s">
        <v>67</v>
      </c>
      <c r="E351" s="3" t="s">
        <v>91</v>
      </c>
      <c r="F351" s="3">
        <v>830</v>
      </c>
      <c r="G351" s="105">
        <f>0/1000*1</f>
        <v>0</v>
      </c>
      <c r="H351" s="106">
        <f>0/1000*1</f>
        <v>0</v>
      </c>
      <c r="I351" s="89">
        <f>G351-H351</f>
        <v>0</v>
      </c>
      <c r="J351" s="26" t="str">
        <f>IF(ISERROR(I351/H351),"N/A",IF(ABS(I351/H351)&gt;5,"N/A",I351/H351))</f>
        <v>N/A</v>
      </c>
      <c r="K351" s="106">
        <f>5039/1000*1</f>
        <v>5.0389999999999997</v>
      </c>
      <c r="L351" s="89">
        <f>K351-G351</f>
        <v>5.0389999999999997</v>
      </c>
      <c r="M351" s="27">
        <f>IF(ISERROR(L351/K351),"N/A",IF(ABS(L351/K351)&gt;5,"N/A",L351/K351))</f>
        <v>1</v>
      </c>
      <c r="N351" s="105">
        <f>0/1000*1</f>
        <v>0</v>
      </c>
      <c r="O351" s="106">
        <f>0/1000*1</f>
        <v>0</v>
      </c>
      <c r="P351" s="89">
        <f>N351-O351</f>
        <v>0</v>
      </c>
      <c r="Q351" s="26" t="str">
        <f>IF(ISERROR(P351/O351),"N/A",IF(ABS(P351/O351)&gt;5,"N/A",P351/O351))</f>
        <v>N/A</v>
      </c>
      <c r="R351" s="106">
        <f>5039/1000*1</f>
        <v>5.0389999999999997</v>
      </c>
      <c r="S351" s="89">
        <f>R351-N351</f>
        <v>5.0389999999999997</v>
      </c>
      <c r="T351" s="27">
        <f>IF(ISERROR(S351/R351),"N/A",IF(ABS(S351/R351)&gt;5,"N/A",S351/R351))</f>
        <v>1</v>
      </c>
      <c r="U351" s="105">
        <f>0/1000*1</f>
        <v>0</v>
      </c>
      <c r="V351" s="106">
        <f>-22619.66/1000*1</f>
        <v>-22.61966</v>
      </c>
      <c r="W351" s="89">
        <f>U351-V351</f>
        <v>22.61966</v>
      </c>
      <c r="X351" s="26">
        <f>IF(ISERROR(W351/V351),"N/A",IF(ABS(W351/V351)&gt;5,"N/A",W351/V351))</f>
        <v>-1</v>
      </c>
      <c r="Y351" s="106">
        <f>5039/1000*1</f>
        <v>5.0389999999999997</v>
      </c>
      <c r="Z351" s="89">
        <f>Y351-U351</f>
        <v>5.0389999999999997</v>
      </c>
      <c r="AA351" s="27">
        <f>IF(ISERROR(Z351/Y351),"N/A",IF(ABS(Z351/Y351)&gt;5,"N/A",Z351/Y351))</f>
        <v>1</v>
      </c>
      <c r="AB351" s="107">
        <f>18475/1000*1</f>
        <v>18.475000000000001</v>
      </c>
      <c r="AC351" s="1"/>
      <c r="AD351" s="1"/>
      <c r="AE351" s="1"/>
      <c r="AF351" s="1"/>
      <c r="AG351" s="1"/>
      <c r="AH351" s="1"/>
      <c r="AI351" s="1"/>
    </row>
    <row r="352" spans="1:35" ht="14.25" hidden="1" outlineLevel="1" x14ac:dyDescent="0.2">
      <c r="A352" s="1"/>
      <c r="B352" s="3"/>
      <c r="C352" s="3"/>
      <c r="D352" s="3" t="s">
        <v>67</v>
      </c>
      <c r="E352" s="3" t="s">
        <v>91</v>
      </c>
      <c r="F352" s="3">
        <v>840</v>
      </c>
      <c r="G352" s="105">
        <f>984.15/1000*1</f>
        <v>0.98414999999999997</v>
      </c>
      <c r="H352" s="106">
        <f>6949.63/1000*1</f>
        <v>6.94963</v>
      </c>
      <c r="I352" s="89">
        <f>G352-H352</f>
        <v>-5.9654800000000003</v>
      </c>
      <c r="J352" s="26">
        <f>IF(ISERROR(I352/H352),"N/A",IF(ABS(I352/H352)&gt;5,"N/A",I352/H352))</f>
        <v>-0.85838814440481004</v>
      </c>
      <c r="K352" s="106">
        <f>-5038.9/1000*1</f>
        <v>-5.0388999999999999</v>
      </c>
      <c r="L352" s="89">
        <f>K352-G352</f>
        <v>-6.0230499999999996</v>
      </c>
      <c r="M352" s="27">
        <f>IF(ISERROR(L352/K352),"N/A",IF(ABS(L352/K352)&gt;5,"N/A",L352/K352))</f>
        <v>1.1953104844311258</v>
      </c>
      <c r="N352" s="105">
        <f>984.15/1000*1</f>
        <v>0.98414999999999997</v>
      </c>
      <c r="O352" s="106">
        <f>6949.63/1000*1</f>
        <v>6.94963</v>
      </c>
      <c r="P352" s="89">
        <f>N352-O352</f>
        <v>-5.9654800000000003</v>
      </c>
      <c r="Q352" s="26">
        <f>IF(ISERROR(P352/O352),"N/A",IF(ABS(P352/O352)&gt;5,"N/A",P352/O352))</f>
        <v>-0.85838814440481004</v>
      </c>
      <c r="R352" s="106">
        <f>-5038.9/1000*1</f>
        <v>-5.0388999999999999</v>
      </c>
      <c r="S352" s="89">
        <f>R352-N352</f>
        <v>-6.0230499999999996</v>
      </c>
      <c r="T352" s="27">
        <f>IF(ISERROR(S352/R352),"N/A",IF(ABS(S352/R352)&gt;5,"N/A",S352/R352))</f>
        <v>1.1953104844311258</v>
      </c>
      <c r="U352" s="105">
        <f>7630.74/1000*1</f>
        <v>7.6307399999999994</v>
      </c>
      <c r="V352" s="106">
        <f>13865.48/1000*1</f>
        <v>13.86548</v>
      </c>
      <c r="W352" s="89">
        <f>U352-V352</f>
        <v>-6.2347400000000004</v>
      </c>
      <c r="X352" s="26">
        <f>IF(ISERROR(W352/V352),"N/A",IF(ABS(W352/V352)&gt;5,"N/A",W352/V352))</f>
        <v>-0.44965915352371505</v>
      </c>
      <c r="Y352" s="106">
        <f>1607.69/1000*1</f>
        <v>1.6076900000000001</v>
      </c>
      <c r="Z352" s="89">
        <f>Y352-U352</f>
        <v>-6.0230499999999996</v>
      </c>
      <c r="AA352" s="27">
        <f>IF(ISERROR(Z352/Y352),"N/A",IF(ABS(Z352/Y352)&gt;5,"N/A",Z352/Y352))</f>
        <v>-3.7464001144499246</v>
      </c>
      <c r="AB352" s="107">
        <f>-11829.53/1000*1</f>
        <v>-11.82953</v>
      </c>
      <c r="AC352" s="1"/>
      <c r="AD352" s="1"/>
      <c r="AE352" s="1"/>
      <c r="AF352" s="1"/>
      <c r="AG352" s="1"/>
      <c r="AH352" s="1"/>
      <c r="AI352" s="1"/>
    </row>
    <row r="353" spans="1:35" ht="14.25" hidden="1" outlineLevel="1" x14ac:dyDescent="0.2">
      <c r="A353" s="1"/>
      <c r="B353" s="3"/>
      <c r="C353" s="3"/>
      <c r="D353" s="3" t="s">
        <v>67</v>
      </c>
      <c r="E353" s="3" t="s">
        <v>91</v>
      </c>
      <c r="F353" s="3">
        <v>930</v>
      </c>
      <c r="G353" s="105">
        <f>-5533.48/1000*1</f>
        <v>-5.53348</v>
      </c>
      <c r="H353" s="106">
        <f>6301.46/1000*1</f>
        <v>6.3014599999999996</v>
      </c>
      <c r="I353" s="89">
        <f>G353-H353</f>
        <v>-11.83494</v>
      </c>
      <c r="J353" s="26">
        <f>IF(ISERROR(I353/H353),"N/A",IF(ABS(I353/H353)&gt;5,"N/A",I353/H353))</f>
        <v>-1.8781266563621763</v>
      </c>
      <c r="K353" s="106">
        <f>0.14/1000*1</f>
        <v>1.4000000000000001E-4</v>
      </c>
      <c r="L353" s="89">
        <f>K353-G353</f>
        <v>5.53362</v>
      </c>
      <c r="M353" s="27" t="str">
        <f>IF(ISERROR(L353/K353),"N/A",IF(ABS(L353/K353)&gt;5,"N/A",L353/K353))</f>
        <v>N/A</v>
      </c>
      <c r="N353" s="105">
        <f>-5533.48/1000*1</f>
        <v>-5.53348</v>
      </c>
      <c r="O353" s="106">
        <f>6301.46/1000*1</f>
        <v>6.3014599999999996</v>
      </c>
      <c r="P353" s="89">
        <f>N353-O353</f>
        <v>-11.83494</v>
      </c>
      <c r="Q353" s="26">
        <f>IF(ISERROR(P353/O353),"N/A",IF(ABS(P353/O353)&gt;5,"N/A",P353/O353))</f>
        <v>-1.8781266563621763</v>
      </c>
      <c r="R353" s="106">
        <f>0.14/1000*1</f>
        <v>1.4000000000000001E-4</v>
      </c>
      <c r="S353" s="89">
        <f>R353-N353</f>
        <v>5.53362</v>
      </c>
      <c r="T353" s="27" t="str">
        <f>IF(ISERROR(S353/R353),"N/A",IF(ABS(S353/R353)&gt;5,"N/A",S353/R353))</f>
        <v>N/A</v>
      </c>
      <c r="U353" s="105">
        <f>-5533.48/1000*1</f>
        <v>-5.53348</v>
      </c>
      <c r="V353" s="106">
        <f>12577.99/1000*1</f>
        <v>12.57799</v>
      </c>
      <c r="W353" s="89">
        <f>U353-V353</f>
        <v>-18.111470000000001</v>
      </c>
      <c r="X353" s="26">
        <f>IF(ISERROR(W353/V353),"N/A",IF(ABS(W353/V353)&gt;5,"N/A",W353/V353))</f>
        <v>-1.4399335664919435</v>
      </c>
      <c r="Y353" s="106">
        <f>0.14/1000*1</f>
        <v>1.4000000000000001E-4</v>
      </c>
      <c r="Z353" s="89">
        <f>Y353-U353</f>
        <v>5.53362</v>
      </c>
      <c r="AA353" s="27" t="str">
        <f>IF(ISERROR(Z353/Y353),"N/A",IF(ABS(Z353/Y353)&gt;5,"N/A",Z353/Y353))</f>
        <v>N/A</v>
      </c>
      <c r="AB353" s="107">
        <f>0.43/1000*1</f>
        <v>4.2999999999999999E-4</v>
      </c>
      <c r="AC353" s="1"/>
      <c r="AD353" s="1"/>
      <c r="AE353" s="1"/>
      <c r="AF353" s="1"/>
      <c r="AG353" s="1"/>
      <c r="AH353" s="1"/>
      <c r="AI353" s="1"/>
    </row>
    <row r="354" spans="1:35" ht="14.25" hidden="1" outlineLevel="1" x14ac:dyDescent="0.2">
      <c r="A354" s="1"/>
      <c r="B354" s="3"/>
      <c r="C354" s="3"/>
      <c r="D354" s="3" t="s">
        <v>67</v>
      </c>
      <c r="E354" s="3" t="s">
        <v>93</v>
      </c>
      <c r="F354" s="3">
        <v>920</v>
      </c>
      <c r="G354" s="105">
        <f>-6722.21/1000*1</f>
        <v>-6.7222100000000005</v>
      </c>
      <c r="H354" s="106">
        <f>0/1000*1</f>
        <v>0</v>
      </c>
      <c r="I354" s="89">
        <f>G354-H354</f>
        <v>-6.7222100000000005</v>
      </c>
      <c r="J354" s="26" t="str">
        <f>IF(ISERROR(I354/H354),"N/A",IF(ABS(I354/H354)&gt;5,"N/A",I354/H354))</f>
        <v>N/A</v>
      </c>
      <c r="K354" s="106">
        <f>0.02564/1000*1</f>
        <v>2.5639999999999998E-5</v>
      </c>
      <c r="L354" s="89">
        <f>K354-G354</f>
        <v>6.7222356400000001</v>
      </c>
      <c r="M354" s="27" t="str">
        <f>IF(ISERROR(L354/K354),"N/A",IF(ABS(L354/K354)&gt;5,"N/A",L354/K354))</f>
        <v>N/A</v>
      </c>
      <c r="N354" s="105">
        <f>-6722.21/1000*1</f>
        <v>-6.7222100000000005</v>
      </c>
      <c r="O354" s="106">
        <f>0/1000*1</f>
        <v>0</v>
      </c>
      <c r="P354" s="89">
        <f>N354-O354</f>
        <v>-6.7222100000000005</v>
      </c>
      <c r="Q354" s="26" t="str">
        <f>IF(ISERROR(P354/O354),"N/A",IF(ABS(P354/O354)&gt;5,"N/A",P354/O354))</f>
        <v>N/A</v>
      </c>
      <c r="R354" s="106">
        <f>0.02564/1000*1</f>
        <v>2.5639999999999998E-5</v>
      </c>
      <c r="S354" s="89">
        <f>R354-N354</f>
        <v>6.7222356400000001</v>
      </c>
      <c r="T354" s="27" t="str">
        <f>IF(ISERROR(S354/R354),"N/A",IF(ABS(S354/R354)&gt;5,"N/A",S354/R354))</f>
        <v>N/A</v>
      </c>
      <c r="U354" s="105">
        <f>35221.67/1000*1</f>
        <v>35.221669999999996</v>
      </c>
      <c r="V354" s="106">
        <f>0/1000*1</f>
        <v>0</v>
      </c>
      <c r="W354" s="89">
        <f>U354-V354</f>
        <v>35.221669999999996</v>
      </c>
      <c r="X354" s="26" t="str">
        <f>IF(ISERROR(W354/V354),"N/A",IF(ABS(W354/V354)&gt;5,"N/A",W354/V354))</f>
        <v>N/A</v>
      </c>
      <c r="Y354" s="106">
        <f>41943.90564/1000*1</f>
        <v>41.943905639999997</v>
      </c>
      <c r="Z354" s="89">
        <f>Y354-U354</f>
        <v>6.722235640000001</v>
      </c>
      <c r="AA354" s="27">
        <f>IF(ISERROR(Z354/Y354),"N/A",IF(ABS(Z354/Y354)&gt;5,"N/A",Z354/Y354))</f>
        <v>0.16026727929669263</v>
      </c>
      <c r="AB354" s="107">
        <f>41943.90564/1000*1</f>
        <v>41.943905639999997</v>
      </c>
      <c r="AC354" s="1"/>
      <c r="AD354" s="1"/>
      <c r="AE354" s="1"/>
      <c r="AF354" s="1"/>
      <c r="AG354" s="1"/>
      <c r="AH354" s="1"/>
      <c r="AI354" s="1"/>
    </row>
    <row r="355" spans="1:35" ht="14.25" hidden="1" outlineLevel="1" x14ac:dyDescent="0.2">
      <c r="A355" s="1"/>
      <c r="B355" s="3"/>
      <c r="C355" s="3"/>
      <c r="D355" s="3"/>
      <c r="E355" s="3"/>
      <c r="F355" s="3"/>
      <c r="G355" s="105"/>
      <c r="H355" s="106"/>
      <c r="I355" s="89"/>
      <c r="J355" s="26"/>
      <c r="K355" s="106"/>
      <c r="L355" s="89"/>
      <c r="M355" s="27"/>
      <c r="N355" s="105"/>
      <c r="O355" s="106"/>
      <c r="P355" s="89"/>
      <c r="Q355" s="26"/>
      <c r="R355" s="106"/>
      <c r="S355" s="89"/>
      <c r="T355" s="27"/>
      <c r="U355" s="105"/>
      <c r="V355" s="106"/>
      <c r="W355" s="89"/>
      <c r="X355" s="26"/>
      <c r="Y355" s="106"/>
      <c r="Z355" s="89"/>
      <c r="AA355" s="27"/>
      <c r="AB355" s="107"/>
      <c r="AC355" s="1"/>
      <c r="AD355" s="1"/>
      <c r="AE355" s="1"/>
      <c r="AF355" s="1"/>
      <c r="AG355" s="1"/>
      <c r="AH355" s="1"/>
      <c r="AI355" s="1"/>
    </row>
    <row r="356" spans="1:35" ht="14.25" hidden="1" outlineLevel="1" x14ac:dyDescent="0.2">
      <c r="A356" s="1"/>
      <c r="B356" s="3"/>
      <c r="C356" s="3"/>
      <c r="D356" s="3"/>
      <c r="E356" s="3"/>
      <c r="F356" s="3"/>
      <c r="G356" s="105"/>
      <c r="H356" s="106"/>
      <c r="I356" s="89"/>
      <c r="J356" s="26"/>
      <c r="K356" s="106"/>
      <c r="L356" s="89"/>
      <c r="M356" s="27"/>
      <c r="N356" s="105"/>
      <c r="O356" s="106"/>
      <c r="P356" s="89"/>
      <c r="Q356" s="26"/>
      <c r="R356" s="106"/>
      <c r="S356" s="89"/>
      <c r="T356" s="27"/>
      <c r="U356" s="105"/>
      <c r="V356" s="106"/>
      <c r="W356" s="89"/>
      <c r="X356" s="26"/>
      <c r="Y356" s="106"/>
      <c r="Z356" s="89"/>
      <c r="AA356" s="27"/>
      <c r="AB356" s="107"/>
      <c r="AC356" s="1"/>
      <c r="AD356" s="1"/>
      <c r="AE356" s="1"/>
      <c r="AF356" s="1"/>
      <c r="AG356" s="1"/>
      <c r="AH356" s="1"/>
      <c r="AI356" s="1"/>
    </row>
    <row r="357" spans="1:35" ht="14.25" hidden="1" outlineLevel="1" x14ac:dyDescent="0.2">
      <c r="A357" s="1"/>
      <c r="B357" s="3"/>
      <c r="C357" s="3"/>
      <c r="D357" s="3"/>
      <c r="E357" s="3"/>
      <c r="F357" s="3"/>
      <c r="G357" s="105"/>
      <c r="H357" s="106"/>
      <c r="I357" s="89"/>
      <c r="J357" s="26"/>
      <c r="K357" s="106"/>
      <c r="L357" s="89"/>
      <c r="M357" s="27"/>
      <c r="N357" s="105"/>
      <c r="O357" s="106"/>
      <c r="P357" s="89"/>
      <c r="Q357" s="26"/>
      <c r="R357" s="106"/>
      <c r="S357" s="89"/>
      <c r="T357" s="27"/>
      <c r="U357" s="105"/>
      <c r="V357" s="106"/>
      <c r="W357" s="89"/>
      <c r="X357" s="26"/>
      <c r="Y357" s="106"/>
      <c r="Z357" s="89"/>
      <c r="AA357" s="27"/>
      <c r="AB357" s="107"/>
      <c r="AC357" s="1"/>
      <c r="AD357" s="1"/>
      <c r="AE357" s="1"/>
      <c r="AF357" s="1"/>
      <c r="AG357" s="1"/>
      <c r="AH357" s="1"/>
      <c r="AI357" s="1"/>
    </row>
    <row r="358" spans="1:35" ht="14.25" collapsed="1" x14ac:dyDescent="0.2">
      <c r="A358" s="1"/>
      <c r="B358" s="3" t="s">
        <v>74</v>
      </c>
      <c r="C358" s="3"/>
      <c r="D358" s="3"/>
      <c r="E358" s="3"/>
      <c r="F358" s="3"/>
      <c r="G358" s="105">
        <f>92756.25/1000*1</f>
        <v>92.756249999999994</v>
      </c>
      <c r="H358" s="106">
        <f>52682.8/1000*1</f>
        <v>52.6828</v>
      </c>
      <c r="I358" s="89">
        <f>G358-H358</f>
        <v>40.073449999999994</v>
      </c>
      <c r="J358" s="26">
        <f>IF(ISERROR(I358/H358),"N/A",IF(ABS(I358/H358)&gt;5,"N/A",I358/H358))</f>
        <v>0.76065528028123019</v>
      </c>
      <c r="K358" s="106">
        <f>309594.12/1000*1</f>
        <v>309.59411999999998</v>
      </c>
      <c r="L358" s="89">
        <f>K358-G358</f>
        <v>216.83786999999998</v>
      </c>
      <c r="M358" s="27">
        <f>IF(ISERROR(L358/K358),"N/A",IF(ABS(L358/K358)&gt;5,"N/A",L358/K358))</f>
        <v>0.70039401911121568</v>
      </c>
      <c r="N358" s="105">
        <f>92756.25/1000*1</f>
        <v>92.756249999999994</v>
      </c>
      <c r="O358" s="106">
        <f>52682.8/1000*1</f>
        <v>52.6828</v>
      </c>
      <c r="P358" s="89">
        <f>N358-O358</f>
        <v>40.073449999999994</v>
      </c>
      <c r="Q358" s="26">
        <f>IF(ISERROR(P358/O358),"N/A",IF(ABS(P358/O358)&gt;5,"N/A",P358/O358))</f>
        <v>0.76065528028123019</v>
      </c>
      <c r="R358" s="106">
        <f>309594.12/1000*1</f>
        <v>309.59411999999998</v>
      </c>
      <c r="S358" s="89">
        <f>R358-N358</f>
        <v>216.83786999999998</v>
      </c>
      <c r="T358" s="27">
        <f>IF(ISERROR(S358/R358),"N/A",IF(ABS(S358/R358)&gt;5,"N/A",S358/R358))</f>
        <v>0.70039401911121568</v>
      </c>
      <c r="U358" s="105">
        <f>219202.7/1000*1</f>
        <v>219.20270000000002</v>
      </c>
      <c r="V358" s="106">
        <f>63198.62/1000*1</f>
        <v>63.198620000000005</v>
      </c>
      <c r="W358" s="89">
        <f>U358-V358</f>
        <v>156.00408000000002</v>
      </c>
      <c r="X358" s="26">
        <f>IF(ISERROR(W358/V358),"N/A",IF(ABS(W358/V358)&gt;5,"N/A",W358/V358))</f>
        <v>2.4684728875408988</v>
      </c>
      <c r="Y358" s="106">
        <f>436040.57/1000*1</f>
        <v>436.04057</v>
      </c>
      <c r="Z358" s="89">
        <f>Y358-U358</f>
        <v>216.83786999999998</v>
      </c>
      <c r="AA358" s="27">
        <f>IF(ISERROR(Z358/Y358),"N/A",IF(ABS(Z358/Y358)&gt;5,"N/A",Z358/Y358))</f>
        <v>0.49728829131656255</v>
      </c>
      <c r="AB358" s="107">
        <f>436040.57/1000*1</f>
        <v>436.04057</v>
      </c>
      <c r="AC358" s="1"/>
      <c r="AD358" s="1"/>
      <c r="AE358" s="1"/>
      <c r="AF358" s="1"/>
      <c r="AG358" s="1"/>
      <c r="AH358" s="1"/>
      <c r="AI358" s="1"/>
    </row>
    <row r="359" spans="1:35" ht="5.0999999999999996" customHeight="1" x14ac:dyDescent="0.2">
      <c r="A359" s="1"/>
      <c r="B359" s="3"/>
      <c r="C359" s="3"/>
      <c r="D359" s="3"/>
      <c r="E359" s="3"/>
      <c r="F359" s="3"/>
      <c r="G359" s="109"/>
      <c r="H359" s="110"/>
      <c r="I359" s="111"/>
      <c r="J359" s="38"/>
      <c r="K359" s="110"/>
      <c r="L359" s="111"/>
      <c r="M359" s="39"/>
      <c r="N359" s="109"/>
      <c r="O359" s="110"/>
      <c r="P359" s="111"/>
      <c r="Q359" s="38"/>
      <c r="R359" s="110"/>
      <c r="S359" s="111"/>
      <c r="T359" s="39"/>
      <c r="U359" s="109"/>
      <c r="V359" s="110"/>
      <c r="W359" s="111"/>
      <c r="X359" s="38"/>
      <c r="Y359" s="110"/>
      <c r="Z359" s="111"/>
      <c r="AA359" s="39"/>
      <c r="AB359" s="112"/>
      <c r="AC359" s="1"/>
      <c r="AD359" s="1"/>
      <c r="AE359" s="1"/>
      <c r="AF359" s="1"/>
      <c r="AG359" s="1"/>
      <c r="AH359" s="1"/>
      <c r="AI359" s="1"/>
    </row>
    <row r="360" spans="1:35" x14ac:dyDescent="0.25">
      <c r="A360" s="1"/>
      <c r="B360" s="2" t="s">
        <v>37</v>
      </c>
      <c r="C360" s="3"/>
      <c r="D360" s="3"/>
      <c r="E360" s="3"/>
      <c r="F360" s="3"/>
      <c r="G360" s="105">
        <f>SUM(G291,G303,G318,G321,G328,G333,G336,G339,G343,G350,G358)</f>
        <v>448.34992999999997</v>
      </c>
      <c r="H360" s="106">
        <f>SUM(H291,H303,H318,H321,H328,H333,H336,H339,H343,H350,H358)</f>
        <v>273.55359999999996</v>
      </c>
      <c r="I360" s="89">
        <f>G360-H360</f>
        <v>174.79633000000001</v>
      </c>
      <c r="J360" s="26">
        <f>IF(ISERROR(I360/H360),"N/A",IF(ABS(I360/H360)&gt;5,"N/A",I360/H360))</f>
        <v>0.63898384082680704</v>
      </c>
      <c r="K360" s="106">
        <f>SUM(K291,K303,K318,K321,K328,K333,K336,K339,K343,K350,K358)</f>
        <v>555.03730579600006</v>
      </c>
      <c r="L360" s="89">
        <f>K360-G360</f>
        <v>106.68737579600008</v>
      </c>
      <c r="M360" s="27">
        <f>IF(ISERROR(L360/K360),"N/A",IF(ABS(L360/K360)&gt;5,"N/A",L360/K360))</f>
        <v>0.19221658559147781</v>
      </c>
      <c r="N360" s="105">
        <f>SUM(N291,N303,N318,N321,N328,N333,N336,N339,N343,N350,N358)</f>
        <v>1252.8023199999998</v>
      </c>
      <c r="O360" s="106">
        <f>SUM(O291,O303,O318,O321,O328,O333,O336,O339,O343,O350,O358)</f>
        <v>771.68580000000009</v>
      </c>
      <c r="P360" s="89">
        <f>N360-O360</f>
        <v>481.1165199999997</v>
      </c>
      <c r="Q360" s="26">
        <f>IF(ISERROR(P360/O360),"N/A",IF(ABS(P360/O360)&gt;5,"N/A",P360/O360))</f>
        <v>0.62346167313173273</v>
      </c>
      <c r="R360" s="106">
        <f>SUM(R291,R303,R318,R321,R328,R333,R336,R339,R343,R350,R358)</f>
        <v>1095.3580029189998</v>
      </c>
      <c r="S360" s="89">
        <f>R360-N360</f>
        <v>-157.44431708100001</v>
      </c>
      <c r="T360" s="27">
        <f>IF(ISERROR(S360/R360),"N/A",IF(ABS(S360/R360)&gt;5,"N/A",S360/R360))</f>
        <v>-0.14373777035583754</v>
      </c>
      <c r="U360" s="105">
        <f>SUM(U291,U303,U318,U321,U328,U333,U336,U339,U343,U350,U358)</f>
        <v>2332.0221899999997</v>
      </c>
      <c r="V360" s="106">
        <f>SUM(V291,V303,V318,V321,V328,V333,V336,V339,V343,V350,V358)</f>
        <v>1383.8600299999998</v>
      </c>
      <c r="W360" s="89">
        <f>U360-V360</f>
        <v>948.16215999999986</v>
      </c>
      <c r="X360" s="26">
        <f>IF(ISERROR(W360/V360),"N/A",IF(ABS(W360/V360)&gt;5,"N/A",W360/V360))</f>
        <v>0.68515755888982499</v>
      </c>
      <c r="Y360" s="106">
        <f>SUM(Y291,Y303,Y318,Y321,Y328,Y333,Y336,Y339,Y343,Y350,Y358)</f>
        <v>2174.5778729190001</v>
      </c>
      <c r="Z360" s="89">
        <f>Y360-U360</f>
        <v>-157.44431708099955</v>
      </c>
      <c r="AA360" s="27">
        <f>IF(ISERROR(Z360/Y360),"N/A",IF(ABS(Z360/Y360)&gt;5,"N/A",Z360/Y360))</f>
        <v>-7.2402243691396251E-2</v>
      </c>
      <c r="AB360" s="107">
        <f>SUM(AB291,AB303,AB318,AB321,AB328,AB333,AB336,AB339,AB343,AB350,AB358)</f>
        <v>4172.3516827199992</v>
      </c>
      <c r="AC360" s="1"/>
      <c r="AD360" s="1"/>
      <c r="AE360" s="1"/>
      <c r="AF360" s="1"/>
      <c r="AG360" s="1"/>
      <c r="AH360" s="1"/>
      <c r="AI360" s="1"/>
    </row>
    <row r="361" spans="1:35" ht="14.25" x14ac:dyDescent="0.2">
      <c r="A361" s="1"/>
      <c r="B361" s="3"/>
      <c r="C361" s="3"/>
      <c r="D361" s="3"/>
      <c r="E361" s="3"/>
      <c r="F361" s="3"/>
      <c r="G361" s="105"/>
      <c r="H361" s="106"/>
      <c r="I361" s="89"/>
      <c r="J361" s="26"/>
      <c r="K361" s="106"/>
      <c r="L361" s="89"/>
      <c r="M361" s="27"/>
      <c r="N361" s="105"/>
      <c r="O361" s="106"/>
      <c r="P361" s="89"/>
      <c r="Q361" s="26"/>
      <c r="R361" s="106"/>
      <c r="S361" s="89"/>
      <c r="T361" s="27"/>
      <c r="U361" s="105"/>
      <c r="V361" s="106"/>
      <c r="W361" s="89"/>
      <c r="X361" s="26"/>
      <c r="Y361" s="106"/>
      <c r="Z361" s="89"/>
      <c r="AA361" s="27"/>
      <c r="AB361" s="107"/>
      <c r="AC361" s="1"/>
      <c r="AD361" s="1"/>
      <c r="AE361" s="1"/>
      <c r="AF361" s="1"/>
      <c r="AG361" s="1"/>
      <c r="AH361" s="1"/>
      <c r="AI361" s="1"/>
    </row>
    <row r="362" spans="1:35" ht="15.75" thickBot="1" x14ac:dyDescent="0.3">
      <c r="A362" s="1"/>
      <c r="B362" s="2" t="s">
        <v>38</v>
      </c>
      <c r="C362" s="3"/>
      <c r="D362" s="3"/>
      <c r="E362" s="3"/>
      <c r="F362" s="3"/>
      <c r="G362" s="113">
        <f>SUM(G150,G221,G288,G360)</f>
        <v>5672.5910500000018</v>
      </c>
      <c r="H362" s="114">
        <f>SUM(H150,H221,H288,H360)</f>
        <v>8137.7272500000026</v>
      </c>
      <c r="I362" s="115">
        <f>G362-H362</f>
        <v>-2465.1362000000008</v>
      </c>
      <c r="J362" s="50">
        <f>IF(ISERROR(I362/H362),"N/A",IF(ABS(I362/H362)&gt;5,"N/A",I362/H362))</f>
        <v>-0.30292686450015882</v>
      </c>
      <c r="K362" s="114">
        <f>SUM(K150,K221,K288,K360)</f>
        <v>7395.9971465300005</v>
      </c>
      <c r="L362" s="115">
        <f>K362-G362</f>
        <v>1723.4060965299986</v>
      </c>
      <c r="M362" s="51">
        <f>IF(ISERROR(L362/K362),"N/A",IF(ABS(L362/K362)&gt;5,"N/A",L362/K362))</f>
        <v>0.23301876168767502</v>
      </c>
      <c r="N362" s="113">
        <f>SUM(N150,N221,N288,N360)</f>
        <v>16881.678939999998</v>
      </c>
      <c r="O362" s="114">
        <f>SUM(O150,O221,O288,O360)</f>
        <v>19944.148959999999</v>
      </c>
      <c r="P362" s="115">
        <f>N362-O362</f>
        <v>-3062.4700200000007</v>
      </c>
      <c r="Q362" s="50">
        <f>IF(ISERROR(P362/O362),"N/A",IF(ABS(P362/O362)&gt;5,"N/A",P362/O362))</f>
        <v>-0.15355230379306198</v>
      </c>
      <c r="R362" s="114">
        <f>SUM(R150,R221,R288,R360)</f>
        <v>17866.354594486998</v>
      </c>
      <c r="S362" s="115">
        <f>R362-N362</f>
        <v>984.67565448700043</v>
      </c>
      <c r="T362" s="51">
        <f>IF(ISERROR(S362/R362),"N/A",IF(ABS(S362/R362)&gt;5,"N/A",S362/R362))</f>
        <v>5.5113405998940643E-2</v>
      </c>
      <c r="U362" s="113">
        <f>SUM(U150,U221,U288,U360)</f>
        <v>43154.456099999996</v>
      </c>
      <c r="V362" s="116">
        <f>SUM(V150,V221,V288,V360)</f>
        <v>38813.128060000003</v>
      </c>
      <c r="W362" s="115">
        <f>U362-V362</f>
        <v>4341.3280399999931</v>
      </c>
      <c r="X362" s="50">
        <f>IF(ISERROR(W362/V362),"N/A",IF(ABS(W362/V362)&gt;5,"N/A",W362/V362))</f>
        <v>0.11185205256553581</v>
      </c>
      <c r="Y362" s="114">
        <f>SUM(Y150,Y221,Y288,Y360)</f>
        <v>44139.131754487003</v>
      </c>
      <c r="Z362" s="115">
        <f>Y362-U362</f>
        <v>984.67565448700771</v>
      </c>
      <c r="AA362" s="51">
        <f>IF(ISERROR(Z362/Y362),"N/A",IF(ABS(Z362/Y362)&gt;5,"N/A",Z362/Y362))</f>
        <v>2.2308450922053073E-2</v>
      </c>
      <c r="AB362" s="117">
        <f>SUM(AB150,AB221,AB288,AB360)</f>
        <v>85514.540787559978</v>
      </c>
      <c r="AC362" s="1"/>
      <c r="AD362" s="1"/>
      <c r="AE362" s="1"/>
      <c r="AF362" s="1"/>
      <c r="AG362" s="1"/>
      <c r="AH362" s="1"/>
      <c r="AI362" s="1"/>
    </row>
    <row r="363" spans="1:35" thickTop="1" x14ac:dyDescent="0.2">
      <c r="A363" s="1"/>
      <c r="B363" s="3"/>
      <c r="C363" s="3"/>
      <c r="D363" s="3"/>
      <c r="E363" s="3"/>
      <c r="F363" s="3"/>
      <c r="G363" s="105"/>
      <c r="H363" s="106"/>
      <c r="I363" s="89"/>
      <c r="J363" s="26"/>
      <c r="K363" s="106"/>
      <c r="L363" s="89"/>
      <c r="M363" s="27"/>
      <c r="N363" s="105"/>
      <c r="O363" s="106"/>
      <c r="P363" s="89"/>
      <c r="Q363" s="26"/>
      <c r="R363" s="106"/>
      <c r="S363" s="89"/>
      <c r="T363" s="27"/>
      <c r="U363" s="105"/>
      <c r="V363" s="106"/>
      <c r="W363" s="89"/>
      <c r="X363" s="26"/>
      <c r="Y363" s="106"/>
      <c r="Z363" s="89"/>
      <c r="AA363" s="27"/>
      <c r="AB363" s="107"/>
      <c r="AC363" s="1"/>
      <c r="AD363" s="1"/>
      <c r="AE363" s="1"/>
      <c r="AF363" s="1"/>
      <c r="AG363" s="1"/>
      <c r="AH363" s="1"/>
      <c r="AI363" s="1"/>
    </row>
    <row r="364" spans="1:35" ht="14.25" x14ac:dyDescent="0.2">
      <c r="A364" s="1"/>
      <c r="B364" s="3" t="s">
        <v>49</v>
      </c>
      <c r="C364" s="3"/>
      <c r="D364" s="3"/>
      <c r="E364" s="3"/>
      <c r="F364" s="3"/>
      <c r="G364" s="97">
        <f>G13+G153+G224+G291</f>
        <v>902.44268999999997</v>
      </c>
      <c r="H364" s="98">
        <f>H13+H153+H224+H291</f>
        <v>963.39204000000018</v>
      </c>
      <c r="I364" s="99">
        <f t="shared" ref="I364:I374" si="170">G364-H364</f>
        <v>-60.949350000000209</v>
      </c>
      <c r="J364" s="26">
        <f t="shared" ref="J364:J374" si="171">IF(ISERROR(I364/H364),"N/A",IF(ABS(I364/H364)&gt;5,"N/A",I364/H364))</f>
        <v>-6.3265365987454289E-2</v>
      </c>
      <c r="K364" s="98">
        <f>K13+K153+K224+K291</f>
        <v>643.55733699200005</v>
      </c>
      <c r="L364" s="99">
        <f t="shared" ref="L364:L374" si="172">K364-G364</f>
        <v>-258.88535300799992</v>
      </c>
      <c r="M364" s="27">
        <f t="shared" ref="M364:M374" si="173">IF(ISERROR(L364/K364),"N/A",IF(ABS(L364/K364)&gt;5,"N/A",L364/K364))</f>
        <v>-0.40227239769813716</v>
      </c>
      <c r="N364" s="97">
        <f>N13+N153+N224+N291</f>
        <v>2588.5498700000003</v>
      </c>
      <c r="O364" s="98">
        <f>O13+O153+O224+O291</f>
        <v>2957.47147</v>
      </c>
      <c r="P364" s="99">
        <f t="shared" ref="P364:P374" si="174">N364-O364</f>
        <v>-368.92159999999967</v>
      </c>
      <c r="Q364" s="26">
        <f t="shared" ref="Q364:Q374" si="175">IF(ISERROR(P364/O364),"N/A",IF(ABS(P364/O364)&gt;5,"N/A",P364/O364))</f>
        <v>-0.12474223462246947</v>
      </c>
      <c r="R364" s="98">
        <f>R13+R153+R224+R291</f>
        <v>2173.6452411810001</v>
      </c>
      <c r="S364" s="99">
        <f t="shared" ref="S364:S374" si="176">R364-N364</f>
        <v>-414.90462881900021</v>
      </c>
      <c r="T364" s="27">
        <f t="shared" ref="T364:T374" si="177">IF(ISERROR(S364/R364),"N/A",IF(ABS(S364/R364)&gt;5,"N/A",S364/R364))</f>
        <v>-0.19087964353997866</v>
      </c>
      <c r="U364" s="97">
        <f>U13+U153+U224+U291</f>
        <v>5772.66032</v>
      </c>
      <c r="V364" s="100">
        <f>V13+V153+V224+V291</f>
        <v>5939.2360599999984</v>
      </c>
      <c r="W364" s="99">
        <f t="shared" ref="W364:W374" si="178">U364-V364</f>
        <v>-166.5757399999984</v>
      </c>
      <c r="X364" s="26">
        <f t="shared" ref="X364:X374" si="179">IF(ISERROR(W364/V364),"N/A",IF(ABS(W364/V364)&gt;5,"N/A",W364/V364))</f>
        <v>-2.8046660937063081E-2</v>
      </c>
      <c r="Y364" s="98">
        <f>Y13+Y153+Y224+Y291</f>
        <v>5357.7556911810007</v>
      </c>
      <c r="Z364" s="99">
        <f t="shared" ref="Z364:Z374" si="180">Y364-U364</f>
        <v>-414.9046288189993</v>
      </c>
      <c r="AA364" s="27">
        <f t="shared" ref="AA364:AA374" si="181">IF(ISERROR(Z364/Y364),"N/A",IF(ABS(Z364/Y364)&gt;5,"N/A",Z364/Y364))</f>
        <v>-7.7440005243602769E-2</v>
      </c>
      <c r="AB364" s="101">
        <f>AB13+AB153+AB224+AB291</f>
        <v>10712.307411663</v>
      </c>
      <c r="AC364" s="1"/>
      <c r="AD364" s="1"/>
      <c r="AE364" s="1"/>
      <c r="AF364" s="1"/>
      <c r="AG364" s="1"/>
      <c r="AH364" s="1"/>
      <c r="AI364" s="1"/>
    </row>
    <row r="365" spans="1:35" ht="14.25" collapsed="1" x14ac:dyDescent="0.2">
      <c r="A365" s="1"/>
      <c r="B365" s="3" t="s">
        <v>58</v>
      </c>
      <c r="C365" s="3"/>
      <c r="D365" s="3"/>
      <c r="E365" s="3"/>
      <c r="F365" s="3"/>
      <c r="G365" s="102">
        <f>G25+G159+G233+G303</f>
        <v>2383.5926400000003</v>
      </c>
      <c r="H365" s="103">
        <f>H25+H159+H233+H303</f>
        <v>2628.1730499999999</v>
      </c>
      <c r="I365" s="89">
        <f t="shared" si="170"/>
        <v>-244.58040999999957</v>
      </c>
      <c r="J365" s="26">
        <f t="shared" si="171"/>
        <v>-9.3060999160614472E-2</v>
      </c>
      <c r="K365" s="103">
        <f>K25+K159+K233+K303</f>
        <v>2067.7042302139998</v>
      </c>
      <c r="L365" s="89">
        <f t="shared" si="172"/>
        <v>-315.88840978600047</v>
      </c>
      <c r="M365" s="27">
        <f t="shared" si="173"/>
        <v>-0.15277253156913412</v>
      </c>
      <c r="N365" s="102">
        <f>N25+N159+N233+N303</f>
        <v>7528.226529999999</v>
      </c>
      <c r="O365" s="103">
        <f>O25+O159+O233+O303</f>
        <v>8563.5412400000005</v>
      </c>
      <c r="P365" s="89">
        <f t="shared" si="174"/>
        <v>-1035.3147100000015</v>
      </c>
      <c r="Q365" s="26">
        <f t="shared" si="175"/>
        <v>-0.12089796510397857</v>
      </c>
      <c r="R365" s="103">
        <f>R25+R159+R233+R303</f>
        <v>7067.5385168669991</v>
      </c>
      <c r="S365" s="89">
        <f t="shared" si="176"/>
        <v>-460.68801313299991</v>
      </c>
      <c r="T365" s="27">
        <f t="shared" si="177"/>
        <v>-6.5183657936005196E-2</v>
      </c>
      <c r="U365" s="102">
        <f>U25+U159+U233+U303</f>
        <v>17683.306509999999</v>
      </c>
      <c r="V365" s="103">
        <f>V25+V159+V233+V303</f>
        <v>17694.928370000001</v>
      </c>
      <c r="W365" s="89">
        <f t="shared" si="178"/>
        <v>-11.621860000002926</v>
      </c>
      <c r="X365" s="26">
        <f t="shared" si="179"/>
        <v>-6.5679045187357966E-4</v>
      </c>
      <c r="Y365" s="103">
        <f>Y25+Y159+Y233+Y303</f>
        <v>17222.618496866999</v>
      </c>
      <c r="Z365" s="89">
        <f t="shared" si="180"/>
        <v>-460.68801313299991</v>
      </c>
      <c r="AA365" s="27">
        <f t="shared" si="181"/>
        <v>-2.6749011087762561E-2</v>
      </c>
      <c r="AB365" s="104">
        <f>AB25+AB159+AB233+AB303</f>
        <v>35934.684770767992</v>
      </c>
      <c r="AC365" s="1"/>
      <c r="AD365" s="1"/>
      <c r="AE365" s="1"/>
      <c r="AF365" s="1"/>
      <c r="AG365" s="1"/>
      <c r="AH365" s="1"/>
      <c r="AI365" s="1"/>
    </row>
    <row r="366" spans="1:35" ht="14.25" collapsed="1" x14ac:dyDescent="0.2">
      <c r="A366" s="1"/>
      <c r="B366" s="3" t="s">
        <v>60</v>
      </c>
      <c r="C366" s="3"/>
      <c r="D366" s="3"/>
      <c r="E366" s="3"/>
      <c r="F366" s="3"/>
      <c r="G366" s="102">
        <f>G51+G177+G244+G318</f>
        <v>1.15333</v>
      </c>
      <c r="H366" s="103">
        <f>H51+H177+H244+H318</f>
        <v>1.3060799999999999</v>
      </c>
      <c r="I366" s="89">
        <f t="shared" si="170"/>
        <v>-0.15274999999999994</v>
      </c>
      <c r="J366" s="26">
        <f t="shared" si="171"/>
        <v>-0.11695301972314097</v>
      </c>
      <c r="K366" s="103">
        <f>K51+K177+K244+K318</f>
        <v>0</v>
      </c>
      <c r="L366" s="89">
        <f t="shared" si="172"/>
        <v>-1.15333</v>
      </c>
      <c r="M366" s="27" t="str">
        <f t="shared" si="173"/>
        <v>N/A</v>
      </c>
      <c r="N366" s="102">
        <f>N51+N177+N244+N318</f>
        <v>3.4684299999999997</v>
      </c>
      <c r="O366" s="103">
        <f>O51+O177+O244+O318</f>
        <v>-21.88505</v>
      </c>
      <c r="P366" s="89">
        <f t="shared" si="174"/>
        <v>25.353479999999998</v>
      </c>
      <c r="Q366" s="26">
        <f t="shared" si="175"/>
        <v>-1.1584839879278319</v>
      </c>
      <c r="R366" s="103">
        <f>R51+R177+R244+R318</f>
        <v>1.15333</v>
      </c>
      <c r="S366" s="89">
        <f t="shared" si="176"/>
        <v>-2.3150999999999997</v>
      </c>
      <c r="T366" s="27">
        <f t="shared" si="177"/>
        <v>-2.0073179402252608</v>
      </c>
      <c r="U366" s="102">
        <f>U51+U177+U244+U318</f>
        <v>7.0970200000000006</v>
      </c>
      <c r="V366" s="103">
        <f>V51+V177+V244+V318</f>
        <v>21.510860000000001</v>
      </c>
      <c r="W366" s="89">
        <f t="shared" si="178"/>
        <v>-14.41384</v>
      </c>
      <c r="X366" s="26">
        <f t="shared" si="179"/>
        <v>-0.67007269816269543</v>
      </c>
      <c r="Y366" s="103">
        <f>Y51+Y177+Y244+Y318</f>
        <v>4.7819200000000004</v>
      </c>
      <c r="Z366" s="89">
        <f t="shared" si="180"/>
        <v>-2.3151000000000002</v>
      </c>
      <c r="AA366" s="27">
        <f t="shared" si="181"/>
        <v>-0.48413607923177299</v>
      </c>
      <c r="AB366" s="104">
        <f>AB51+AB177+AB244+AB318</f>
        <v>4.7819200000000004</v>
      </c>
      <c r="AC366" s="1"/>
      <c r="AD366" s="1"/>
      <c r="AE366" s="1"/>
      <c r="AF366" s="1"/>
      <c r="AG366" s="1"/>
      <c r="AH366" s="1"/>
      <c r="AI366" s="1"/>
    </row>
    <row r="367" spans="1:35" ht="14.25" collapsed="1" x14ac:dyDescent="0.2">
      <c r="A367" s="1"/>
      <c r="B367" s="3" t="s">
        <v>62</v>
      </c>
      <c r="C367" s="3"/>
      <c r="D367" s="3"/>
      <c r="E367" s="3"/>
      <c r="F367" s="3"/>
      <c r="G367" s="102">
        <f>G55+G180+G247+G321</f>
        <v>1037.3258599999999</v>
      </c>
      <c r="H367" s="103">
        <f>H55+H180+H247+H321</f>
        <v>1029.19487</v>
      </c>
      <c r="I367" s="89">
        <f t="shared" si="170"/>
        <v>8.1309899999998834</v>
      </c>
      <c r="J367" s="26">
        <f t="shared" si="171"/>
        <v>7.900340583702951E-3</v>
      </c>
      <c r="K367" s="103">
        <f>K55+K180+K247+K321</f>
        <v>893.63222652900004</v>
      </c>
      <c r="L367" s="89">
        <f t="shared" si="172"/>
        <v>-143.69363347099988</v>
      </c>
      <c r="M367" s="27">
        <f t="shared" si="173"/>
        <v>-0.16079728237770391</v>
      </c>
      <c r="N367" s="102">
        <f>N55+N180+N247+N321</f>
        <v>3221.10898</v>
      </c>
      <c r="O367" s="103">
        <f>O55+O180+O247+O321</f>
        <v>3396.7978899999998</v>
      </c>
      <c r="P367" s="89">
        <f t="shared" si="174"/>
        <v>-175.68890999999985</v>
      </c>
      <c r="Q367" s="26">
        <f t="shared" si="175"/>
        <v>-5.1721920376016209E-2</v>
      </c>
      <c r="R367" s="103">
        <f>R55+R180+R247+R321</f>
        <v>2906.3022366939999</v>
      </c>
      <c r="S367" s="89">
        <f t="shared" si="176"/>
        <v>-314.80674330600004</v>
      </c>
      <c r="T367" s="27">
        <f t="shared" si="177"/>
        <v>-0.1083186529368334</v>
      </c>
      <c r="U367" s="102">
        <f>U55+U180+U247+U321</f>
        <v>6661.3245900000002</v>
      </c>
      <c r="V367" s="103">
        <f>V55+V180+V247+V321</f>
        <v>6760.1032299999997</v>
      </c>
      <c r="W367" s="89">
        <f t="shared" si="178"/>
        <v>-98.778639999999541</v>
      </c>
      <c r="X367" s="26">
        <f t="shared" si="179"/>
        <v>-1.4612001716429342E-2</v>
      </c>
      <c r="Y367" s="103">
        <f>Y55+Y180+Y247+Y321</f>
        <v>6346.5178466939997</v>
      </c>
      <c r="Z367" s="89">
        <f t="shared" si="180"/>
        <v>-314.8067433060005</v>
      </c>
      <c r="AA367" s="27">
        <f t="shared" si="181"/>
        <v>-4.9603065950565038E-2</v>
      </c>
      <c r="AB367" s="104">
        <f>AB55+AB180+AB247+AB321</f>
        <v>13298.029361845</v>
      </c>
      <c r="AC367" s="1"/>
      <c r="AD367" s="1"/>
      <c r="AE367" s="1"/>
      <c r="AF367" s="1"/>
      <c r="AG367" s="1"/>
      <c r="AH367" s="1"/>
      <c r="AI367" s="1"/>
    </row>
    <row r="368" spans="1:35" ht="14.25" collapsed="1" x14ac:dyDescent="0.2">
      <c r="A368" s="1"/>
      <c r="B368" s="3" t="s">
        <v>63</v>
      </c>
      <c r="C368" s="3"/>
      <c r="D368" s="3"/>
      <c r="E368" s="3"/>
      <c r="F368" s="3"/>
      <c r="G368" s="102">
        <f>G62+G185+G253+G328</f>
        <v>49.825940000000003</v>
      </c>
      <c r="H368" s="103">
        <f>H62+H185+H253+H328</f>
        <v>47.620770000000007</v>
      </c>
      <c r="I368" s="89">
        <f t="shared" si="170"/>
        <v>2.2051699999999954</v>
      </c>
      <c r="J368" s="26">
        <f t="shared" si="171"/>
        <v>4.6306895079604865E-2</v>
      </c>
      <c r="K368" s="103">
        <f>K62+K185+K253+K328</f>
        <v>92.011118199999999</v>
      </c>
      <c r="L368" s="89">
        <f t="shared" si="172"/>
        <v>42.185178199999996</v>
      </c>
      <c r="M368" s="27">
        <f t="shared" si="173"/>
        <v>0.45847913844829241</v>
      </c>
      <c r="N368" s="102">
        <f>N62+N185+N253+N328</f>
        <v>324.09226000000007</v>
      </c>
      <c r="O368" s="103">
        <f>O62+O185+O253+O328</f>
        <v>112.59281999999999</v>
      </c>
      <c r="P368" s="89">
        <f t="shared" si="174"/>
        <v>211.49944000000008</v>
      </c>
      <c r="Q368" s="26">
        <f t="shared" si="175"/>
        <v>1.878445179719276</v>
      </c>
      <c r="R368" s="103">
        <f>R62+R185+R253+R328</f>
        <v>327.35015598400003</v>
      </c>
      <c r="S368" s="89">
        <f t="shared" si="176"/>
        <v>3.2578959839999584</v>
      </c>
      <c r="T368" s="27">
        <f t="shared" si="177"/>
        <v>9.9523275747551362E-3</v>
      </c>
      <c r="U368" s="102">
        <f>U62+U185+U253+U328</f>
        <v>841.18775999999991</v>
      </c>
      <c r="V368" s="103">
        <f>V62+V185+V253+V328</f>
        <v>236.88894999999999</v>
      </c>
      <c r="W368" s="89">
        <f t="shared" si="178"/>
        <v>604.29880999999989</v>
      </c>
      <c r="X368" s="26">
        <f t="shared" si="179"/>
        <v>2.5509793090813222</v>
      </c>
      <c r="Y368" s="103">
        <f>Y62+Y185+Y253+Y328</f>
        <v>844.44565598400004</v>
      </c>
      <c r="Z368" s="89">
        <f t="shared" si="180"/>
        <v>3.2578959840001289</v>
      </c>
      <c r="AA368" s="27">
        <f t="shared" si="181"/>
        <v>3.8580291827113823E-3</v>
      </c>
      <c r="AB368" s="104">
        <f>AB62+AB185+AB253+AB328</f>
        <v>1712.0159005690002</v>
      </c>
      <c r="AC368" s="1"/>
      <c r="AD368" s="1"/>
      <c r="AE368" s="1"/>
      <c r="AF368" s="1"/>
      <c r="AG368" s="1"/>
      <c r="AH368" s="1"/>
      <c r="AI368" s="1"/>
    </row>
    <row r="369" spans="1:35" ht="14.25" collapsed="1" x14ac:dyDescent="0.2">
      <c r="A369" s="1"/>
      <c r="B369" s="3" t="s">
        <v>65</v>
      </c>
      <c r="C369" s="3"/>
      <c r="D369" s="3"/>
      <c r="E369" s="3"/>
      <c r="F369" s="3"/>
      <c r="G369" s="102">
        <f>G68+G189+G257+G333</f>
        <v>1.4000000000000001E-4</v>
      </c>
      <c r="H369" s="103">
        <f>H68+H189+H257+H333</f>
        <v>4.7849300000000001</v>
      </c>
      <c r="I369" s="89">
        <f t="shared" si="170"/>
        <v>-4.7847900000000001</v>
      </c>
      <c r="J369" s="26">
        <f t="shared" si="171"/>
        <v>-0.99997074147375198</v>
      </c>
      <c r="K369" s="103">
        <f>K68+K189+K257+K333</f>
        <v>0</v>
      </c>
      <c r="L369" s="89">
        <f t="shared" si="172"/>
        <v>-1.4000000000000001E-4</v>
      </c>
      <c r="M369" s="27" t="str">
        <f t="shared" si="173"/>
        <v>N/A</v>
      </c>
      <c r="N369" s="102">
        <f>N68+N189+N257+N333</f>
        <v>5.5689999999999996E-2</v>
      </c>
      <c r="O369" s="103">
        <f>O68+O189+O257+O333</f>
        <v>14.65802</v>
      </c>
      <c r="P369" s="89">
        <f t="shared" si="174"/>
        <v>-14.60233</v>
      </c>
      <c r="Q369" s="26">
        <f t="shared" si="175"/>
        <v>-0.9962007146940719</v>
      </c>
      <c r="R369" s="103">
        <f>R68+R189+R257+R333</f>
        <v>0</v>
      </c>
      <c r="S369" s="89">
        <f t="shared" si="176"/>
        <v>-5.5689999999999996E-2</v>
      </c>
      <c r="T369" s="27" t="str">
        <f t="shared" si="177"/>
        <v>N/A</v>
      </c>
      <c r="U369" s="102">
        <f>U68+U189+U257+U333</f>
        <v>8.3569999999999992E-2</v>
      </c>
      <c r="V369" s="103">
        <f>V68+V189+V257+V333</f>
        <v>486.65656999999999</v>
      </c>
      <c r="W369" s="89">
        <f t="shared" si="178"/>
        <v>-486.57299999999998</v>
      </c>
      <c r="X369" s="26">
        <f t="shared" si="179"/>
        <v>-0.99982827725925905</v>
      </c>
      <c r="Y369" s="103">
        <f>Y68+Y189+Y257+Y333</f>
        <v>2.7879999999999999E-2</v>
      </c>
      <c r="Z369" s="89">
        <f t="shared" si="180"/>
        <v>-5.568999999999999E-2</v>
      </c>
      <c r="AA369" s="27">
        <f t="shared" si="181"/>
        <v>-1.997489239598278</v>
      </c>
      <c r="AB369" s="104">
        <f>AB68+AB189+AB257+AB333</f>
        <v>2.7879999999999999E-2</v>
      </c>
      <c r="AC369" s="1"/>
      <c r="AD369" s="1"/>
      <c r="AE369" s="1"/>
      <c r="AF369" s="1"/>
      <c r="AG369" s="1"/>
      <c r="AH369" s="1"/>
      <c r="AI369" s="1"/>
    </row>
    <row r="370" spans="1:35" ht="14.25" collapsed="1" x14ac:dyDescent="0.2">
      <c r="A370" s="1"/>
      <c r="B370" s="3" t="s">
        <v>66</v>
      </c>
      <c r="C370" s="3"/>
      <c r="D370" s="3"/>
      <c r="E370" s="3"/>
      <c r="F370" s="3"/>
      <c r="G370" s="102">
        <f>G74+G192+G260+G336</f>
        <v>291.99019000000004</v>
      </c>
      <c r="H370" s="103">
        <f>H74+H192+H260+H336</f>
        <v>335.85849000000002</v>
      </c>
      <c r="I370" s="89">
        <f t="shared" si="170"/>
        <v>-43.868299999999977</v>
      </c>
      <c r="J370" s="26">
        <f t="shared" si="171"/>
        <v>-0.13061542675309465</v>
      </c>
      <c r="K370" s="103">
        <f>K74+K192+K260+K336</f>
        <v>320.95299906400004</v>
      </c>
      <c r="L370" s="89">
        <f t="shared" si="172"/>
        <v>28.962809063999998</v>
      </c>
      <c r="M370" s="27">
        <f t="shared" si="173"/>
        <v>9.024003249218629E-2</v>
      </c>
      <c r="N370" s="102">
        <f>N74+N192+N260+N336</f>
        <v>929.5925299999999</v>
      </c>
      <c r="O370" s="103">
        <f>O74+O192+O260+O336</f>
        <v>764.89337</v>
      </c>
      <c r="P370" s="89">
        <f t="shared" si="174"/>
        <v>164.69915999999989</v>
      </c>
      <c r="Q370" s="26">
        <f t="shared" si="175"/>
        <v>0.21532303254243124</v>
      </c>
      <c r="R370" s="103">
        <f>R74+R192+R260+R336</f>
        <v>963.57997977599985</v>
      </c>
      <c r="S370" s="89">
        <f t="shared" si="176"/>
        <v>33.987449775999949</v>
      </c>
      <c r="T370" s="27">
        <f t="shared" si="177"/>
        <v>3.5272058873515505E-2</v>
      </c>
      <c r="U370" s="102">
        <f>U74+U192+U260+U336</f>
        <v>2022.2123200000001</v>
      </c>
      <c r="V370" s="103">
        <f>V74+V192+V260+V336</f>
        <v>1574.9701200000004</v>
      </c>
      <c r="W370" s="89">
        <f t="shared" si="178"/>
        <v>447.24219999999968</v>
      </c>
      <c r="X370" s="26">
        <f t="shared" si="179"/>
        <v>0.2839686888789989</v>
      </c>
      <c r="Y370" s="103">
        <f>Y74+Y192+Y260+Y336</f>
        <v>2056.1997697760003</v>
      </c>
      <c r="Z370" s="89">
        <f t="shared" si="180"/>
        <v>33.987449776000176</v>
      </c>
      <c r="AA370" s="27">
        <f t="shared" si="181"/>
        <v>1.6529254732726054E-2</v>
      </c>
      <c r="AB370" s="104">
        <f>AB74+AB192+AB260+AB336</f>
        <v>4405.6629325599997</v>
      </c>
      <c r="AC370" s="1"/>
      <c r="AD370" s="1"/>
      <c r="AE370" s="1"/>
      <c r="AF370" s="1"/>
      <c r="AG370" s="1"/>
      <c r="AH370" s="1"/>
      <c r="AI370" s="1"/>
    </row>
    <row r="371" spans="1:35" ht="14.25" collapsed="1" x14ac:dyDescent="0.2">
      <c r="A371" s="1"/>
      <c r="B371" s="3" t="s">
        <v>70</v>
      </c>
      <c r="C371" s="3"/>
      <c r="D371" s="3"/>
      <c r="E371" s="3"/>
      <c r="F371" s="3"/>
      <c r="G371" s="102">
        <f>G100+G202+G264+G339</f>
        <v>120.32422</v>
      </c>
      <c r="H371" s="103">
        <f>H100+H202+H264+H339</f>
        <v>156.71229</v>
      </c>
      <c r="I371" s="89">
        <f t="shared" si="170"/>
        <v>-36.388069999999999</v>
      </c>
      <c r="J371" s="26">
        <f t="shared" si="171"/>
        <v>-0.23219665796473268</v>
      </c>
      <c r="K371" s="103">
        <f>K100+K202+K264+K339</f>
        <v>124.47005124799999</v>
      </c>
      <c r="L371" s="89">
        <f t="shared" si="172"/>
        <v>4.1458312479999933</v>
      </c>
      <c r="M371" s="27">
        <f t="shared" si="173"/>
        <v>3.3307861661755436E-2</v>
      </c>
      <c r="N371" s="102">
        <f>N100+N202+N264+N339</f>
        <v>519.38719000000003</v>
      </c>
      <c r="O371" s="103">
        <f>O100+O202+O264+O339</f>
        <v>454.17059</v>
      </c>
      <c r="P371" s="89">
        <f t="shared" si="174"/>
        <v>65.216600000000028</v>
      </c>
      <c r="Q371" s="26">
        <f t="shared" si="175"/>
        <v>0.14359494303671233</v>
      </c>
      <c r="R371" s="103">
        <f>R100+R202+R264+R339</f>
        <v>449.37215970200003</v>
      </c>
      <c r="S371" s="89">
        <f t="shared" si="176"/>
        <v>-70.015030297999999</v>
      </c>
      <c r="T371" s="27">
        <f t="shared" si="177"/>
        <v>-0.15580633732278895</v>
      </c>
      <c r="U371" s="102">
        <f>U100+U202+U264+U339</f>
        <v>1551.75343</v>
      </c>
      <c r="V371" s="108">
        <f>V100+V202+V264+V339</f>
        <v>907.73185000000001</v>
      </c>
      <c r="W371" s="89">
        <f t="shared" si="178"/>
        <v>644.02157999999997</v>
      </c>
      <c r="X371" s="26">
        <f t="shared" si="179"/>
        <v>0.70948439233458649</v>
      </c>
      <c r="Y371" s="103">
        <f>Y100+Y202+Y264+Y339</f>
        <v>1481.7383997019999</v>
      </c>
      <c r="Z371" s="89">
        <f t="shared" si="180"/>
        <v>-70.015030298000056</v>
      </c>
      <c r="AA371" s="27">
        <f t="shared" si="181"/>
        <v>-4.7251951027307615E-2</v>
      </c>
      <c r="AB371" s="104">
        <f>AB100+AB202+AB264+AB339</f>
        <v>2756.5085621210001</v>
      </c>
      <c r="AC371" s="1"/>
      <c r="AD371" s="1"/>
      <c r="AE371" s="1"/>
      <c r="AF371" s="1"/>
      <c r="AG371" s="1"/>
      <c r="AH371" s="1"/>
      <c r="AI371" s="1"/>
    </row>
    <row r="372" spans="1:35" ht="14.25" collapsed="1" x14ac:dyDescent="0.2">
      <c r="A372" s="1"/>
      <c r="B372" s="3" t="s">
        <v>71</v>
      </c>
      <c r="C372" s="3"/>
      <c r="D372" s="3"/>
      <c r="E372" s="3"/>
      <c r="F372" s="3"/>
      <c r="G372" s="102">
        <f>G106+G206+G267+G343</f>
        <v>394.22701999999998</v>
      </c>
      <c r="H372" s="103">
        <f>H106+H206+H267+H343</f>
        <v>552.78775999999993</v>
      </c>
      <c r="I372" s="89">
        <f t="shared" si="170"/>
        <v>-158.56073999999995</v>
      </c>
      <c r="J372" s="26">
        <f t="shared" si="171"/>
        <v>-0.28683836993785822</v>
      </c>
      <c r="K372" s="103">
        <f>K106+K206+K267+K343</f>
        <v>410.70123999999998</v>
      </c>
      <c r="L372" s="89">
        <f t="shared" si="172"/>
        <v>16.474220000000003</v>
      </c>
      <c r="M372" s="27">
        <f t="shared" si="173"/>
        <v>4.0112418457757766E-2</v>
      </c>
      <c r="N372" s="102">
        <f>N106+N206+N267+N343</f>
        <v>1276.23712</v>
      </c>
      <c r="O372" s="103">
        <f>O106+O206+O267+O343</f>
        <v>1209.96579</v>
      </c>
      <c r="P372" s="89">
        <f t="shared" si="174"/>
        <v>66.271330000000034</v>
      </c>
      <c r="Q372" s="26">
        <f t="shared" si="175"/>
        <v>5.4771242747284649E-2</v>
      </c>
      <c r="R372" s="103">
        <f>R106+R206+R267+R343</f>
        <v>1135.19371</v>
      </c>
      <c r="S372" s="89">
        <f t="shared" si="176"/>
        <v>-141.04340999999999</v>
      </c>
      <c r="T372" s="27">
        <f t="shared" si="177"/>
        <v>-0.12424611655045199</v>
      </c>
      <c r="U372" s="102">
        <f>U106+U206+U267+U343</f>
        <v>2597.8916099999997</v>
      </c>
      <c r="V372" s="103">
        <f>V106+V206+V267+V343</f>
        <v>1862.40651</v>
      </c>
      <c r="W372" s="89">
        <f t="shared" si="178"/>
        <v>735.48509999999965</v>
      </c>
      <c r="X372" s="26">
        <f t="shared" si="179"/>
        <v>0.39491115180863473</v>
      </c>
      <c r="Y372" s="103">
        <f>Y106+Y206+Y267+Y343</f>
        <v>2456.8481999999995</v>
      </c>
      <c r="Z372" s="89">
        <f t="shared" si="180"/>
        <v>-141.04341000000022</v>
      </c>
      <c r="AA372" s="27">
        <f t="shared" si="181"/>
        <v>-5.7408272110584711E-2</v>
      </c>
      <c r="AB372" s="104">
        <f>AB106+AB206+AB267+AB343</f>
        <v>2610.9147799999992</v>
      </c>
      <c r="AC372" s="1"/>
      <c r="AD372" s="1"/>
      <c r="AE372" s="1"/>
      <c r="AF372" s="1"/>
      <c r="AG372" s="1"/>
      <c r="AH372" s="1"/>
      <c r="AI372" s="1"/>
    </row>
    <row r="373" spans="1:35" ht="14.25" collapsed="1" x14ac:dyDescent="0.2">
      <c r="A373" s="1"/>
      <c r="B373" s="3" t="s">
        <v>73</v>
      </c>
      <c r="C373" s="3"/>
      <c r="D373" s="3"/>
      <c r="E373" s="3"/>
      <c r="F373" s="3"/>
      <c r="G373" s="102">
        <f>G118+G214+G278+G350</f>
        <v>-563.20241999999973</v>
      </c>
      <c r="H373" s="103">
        <f>H118+H214+H278+H350</f>
        <v>2040.5750399999997</v>
      </c>
      <c r="I373" s="89">
        <f t="shared" si="170"/>
        <v>-2603.7774599999993</v>
      </c>
      <c r="J373" s="26">
        <f t="shared" si="171"/>
        <v>-1.2760018176052961</v>
      </c>
      <c r="K373" s="103">
        <f>K118+K214+K278+K350</f>
        <v>2220.1162656400002</v>
      </c>
      <c r="L373" s="89">
        <f t="shared" si="172"/>
        <v>2783.3186856399998</v>
      </c>
      <c r="M373" s="27">
        <f t="shared" si="173"/>
        <v>1.2536814979992246</v>
      </c>
      <c r="N373" s="102">
        <f>N118+N214+N278+N350</f>
        <v>-563.83106999999973</v>
      </c>
      <c r="O373" s="103">
        <f>O118+O214+O278+O350</f>
        <v>2040.5750399999997</v>
      </c>
      <c r="P373" s="89">
        <f t="shared" si="174"/>
        <v>-2604.4061099999994</v>
      </c>
      <c r="Q373" s="26">
        <f t="shared" si="175"/>
        <v>-1.2763098925291176</v>
      </c>
      <c r="R373" s="103">
        <f>R118+R214+R278+R350</f>
        <v>2219.4876156400001</v>
      </c>
      <c r="S373" s="89">
        <f t="shared" si="176"/>
        <v>2783.3186856399998</v>
      </c>
      <c r="T373" s="27">
        <f t="shared" si="177"/>
        <v>1.2540365920615495</v>
      </c>
      <c r="U373" s="102">
        <f>U118+U214+U278+U350</f>
        <v>4706.2218600000006</v>
      </c>
      <c r="V373" s="108">
        <f>V118+V214+V278+V350</f>
        <v>2142.1359799999996</v>
      </c>
      <c r="W373" s="89">
        <f t="shared" si="178"/>
        <v>2564.085880000001</v>
      </c>
      <c r="X373" s="26">
        <f t="shared" si="179"/>
        <v>1.1969762442438419</v>
      </c>
      <c r="Y373" s="103">
        <f>Y118+Y214+Y278+Y350</f>
        <v>7489.5405456400003</v>
      </c>
      <c r="Z373" s="89">
        <f t="shared" si="180"/>
        <v>2783.3186856399998</v>
      </c>
      <c r="AA373" s="27">
        <f t="shared" si="181"/>
        <v>0.37162742743415617</v>
      </c>
      <c r="AB373" s="104">
        <f>AB118+AB214+AB278+AB350</f>
        <v>13191.663615640002</v>
      </c>
      <c r="AC373" s="1"/>
      <c r="AD373" s="1"/>
      <c r="AE373" s="1"/>
      <c r="AF373" s="1"/>
      <c r="AG373" s="1"/>
      <c r="AH373" s="1"/>
      <c r="AI373" s="1"/>
    </row>
    <row r="374" spans="1:35" ht="14.25" collapsed="1" x14ac:dyDescent="0.2">
      <c r="A374" s="1"/>
      <c r="B374" s="3" t="s">
        <v>74</v>
      </c>
      <c r="C374" s="3"/>
      <c r="D374" s="3"/>
      <c r="E374" s="3"/>
      <c r="F374" s="3"/>
      <c r="G374" s="105">
        <f>G148+G219+G286+G358</f>
        <v>1054.9114399999999</v>
      </c>
      <c r="H374" s="106">
        <f>H148+H219+H286+H358</f>
        <v>377.32193000000001</v>
      </c>
      <c r="I374" s="89">
        <f t="shared" si="170"/>
        <v>677.58950999999979</v>
      </c>
      <c r="J374" s="26">
        <f t="shared" si="171"/>
        <v>1.7957861871426337</v>
      </c>
      <c r="K374" s="106">
        <f>K148+K219+K286+K358</f>
        <v>622.85167864300001</v>
      </c>
      <c r="L374" s="89">
        <f t="shared" si="172"/>
        <v>-432.05976135699984</v>
      </c>
      <c r="M374" s="27">
        <f t="shared" si="173"/>
        <v>-0.69368001431468185</v>
      </c>
      <c r="N374" s="105">
        <f>N148+N219+N286+N358</f>
        <v>1054.79141</v>
      </c>
      <c r="O374" s="106">
        <f>O148+O219+O286+O358</f>
        <v>451.36777999999998</v>
      </c>
      <c r="P374" s="89">
        <f t="shared" si="174"/>
        <v>603.42363</v>
      </c>
      <c r="Q374" s="26">
        <f t="shared" si="175"/>
        <v>1.3368779446330885</v>
      </c>
      <c r="R374" s="106">
        <f>R148+R219+R286+R358</f>
        <v>622.73164864299997</v>
      </c>
      <c r="S374" s="89">
        <f t="shared" si="176"/>
        <v>-432.05976135700007</v>
      </c>
      <c r="T374" s="27">
        <f t="shared" si="177"/>
        <v>-0.69381371943838943</v>
      </c>
      <c r="U374" s="105">
        <f>U148+U219+U286+U358</f>
        <v>1310.7171100000003</v>
      </c>
      <c r="V374" s="106">
        <f>V148+V219+V286+V358</f>
        <v>1186.5595600000001</v>
      </c>
      <c r="W374" s="89">
        <f t="shared" si="178"/>
        <v>124.15755000000013</v>
      </c>
      <c r="X374" s="26">
        <f t="shared" si="179"/>
        <v>0.10463659321071091</v>
      </c>
      <c r="Y374" s="106">
        <f>Y148+Y219+Y286+Y358</f>
        <v>878.65734864299998</v>
      </c>
      <c r="Z374" s="89">
        <f t="shared" si="180"/>
        <v>-432.0597613570003</v>
      </c>
      <c r="AA374" s="27">
        <f t="shared" si="181"/>
        <v>-0.49172724956352348</v>
      </c>
      <c r="AB374" s="107">
        <f>AB148+AB219+AB286+AB358</f>
        <v>887.94365239400008</v>
      </c>
      <c r="AC374" s="1"/>
      <c r="AD374" s="1"/>
      <c r="AE374" s="1"/>
      <c r="AF374" s="1"/>
      <c r="AG374" s="1"/>
      <c r="AH374" s="1"/>
      <c r="AI374" s="1"/>
    </row>
    <row r="375" spans="1:35" ht="5.0999999999999996" customHeight="1" x14ac:dyDescent="0.2">
      <c r="A375" s="1"/>
      <c r="B375" s="3"/>
      <c r="C375" s="3"/>
      <c r="D375" s="3"/>
      <c r="E375" s="3"/>
      <c r="F375" s="3"/>
      <c r="G375" s="109"/>
      <c r="H375" s="110"/>
      <c r="I375" s="111"/>
      <c r="J375" s="38"/>
      <c r="K375" s="110"/>
      <c r="L375" s="111"/>
      <c r="M375" s="39"/>
      <c r="N375" s="109"/>
      <c r="O375" s="110"/>
      <c r="P375" s="111"/>
      <c r="Q375" s="38"/>
      <c r="R375" s="110"/>
      <c r="S375" s="111"/>
      <c r="T375" s="39"/>
      <c r="U375" s="109"/>
      <c r="V375" s="110"/>
      <c r="W375" s="111"/>
      <c r="X375" s="38"/>
      <c r="Y375" s="110"/>
      <c r="Z375" s="111"/>
      <c r="AA375" s="39"/>
      <c r="AB375" s="112"/>
      <c r="AC375" s="1"/>
      <c r="AD375" s="1"/>
      <c r="AE375" s="1"/>
      <c r="AF375" s="1"/>
      <c r="AG375" s="1"/>
      <c r="AH375" s="1"/>
      <c r="AI375" s="1"/>
    </row>
    <row r="376" spans="1:35" ht="15.75" thickBot="1" x14ac:dyDescent="0.3">
      <c r="A376" s="1"/>
      <c r="B376" s="2" t="s">
        <v>38</v>
      </c>
      <c r="C376" s="3"/>
      <c r="D376" s="3"/>
      <c r="E376" s="3"/>
      <c r="F376" s="3"/>
      <c r="G376" s="113">
        <f>SUM(G364:G375)</f>
        <v>5672.5910500000018</v>
      </c>
      <c r="H376" s="114">
        <f>SUM(H364:H375)</f>
        <v>8137.7272499999999</v>
      </c>
      <c r="I376" s="115">
        <f>G376-H376</f>
        <v>-2465.1361999999981</v>
      </c>
      <c r="J376" s="50">
        <f>IF(ISERROR(I376/H376),"N/A",IF(ABS(I376/H376)&gt;5,"N/A",I376/H376))</f>
        <v>-0.3029268645001586</v>
      </c>
      <c r="K376" s="114">
        <f>SUM(K364:K375)</f>
        <v>7395.9971465300005</v>
      </c>
      <c r="L376" s="115">
        <f>K376-G376</f>
        <v>1723.4060965299986</v>
      </c>
      <c r="M376" s="51">
        <f>IF(ISERROR(L376/K376),"N/A",IF(ABS(L376/K376)&gt;5,"N/A",L376/K376))</f>
        <v>0.23301876168767502</v>
      </c>
      <c r="N376" s="113">
        <f>SUM(N364:N375)</f>
        <v>16881.678940000002</v>
      </c>
      <c r="O376" s="114">
        <f>SUM(O364:O375)</f>
        <v>19944.148959999999</v>
      </c>
      <c r="P376" s="115">
        <f>N376-O376</f>
        <v>-3062.470019999997</v>
      </c>
      <c r="Q376" s="50">
        <f>IF(ISERROR(P376/O376),"N/A",IF(ABS(P376/O376)&gt;5,"N/A",P376/O376))</f>
        <v>-0.15355230379306178</v>
      </c>
      <c r="R376" s="114">
        <f>SUM(R364:R375)</f>
        <v>17866.354594486995</v>
      </c>
      <c r="S376" s="115">
        <f>R376-N376</f>
        <v>984.67565448699315</v>
      </c>
      <c r="T376" s="51">
        <f>IF(ISERROR(S376/R376),"N/A",IF(ABS(S376/R376)&gt;5,"N/A",S376/R376))</f>
        <v>5.5113405998940247E-2</v>
      </c>
      <c r="U376" s="113">
        <f>SUM(U364:U375)</f>
        <v>43154.456099999989</v>
      </c>
      <c r="V376" s="116">
        <f>SUM(V364:V375)</f>
        <v>38813.128060000003</v>
      </c>
      <c r="W376" s="115">
        <f>U376-V376</f>
        <v>4341.3280399999858</v>
      </c>
      <c r="X376" s="50">
        <f>IF(ISERROR(W376/V376),"N/A",IF(ABS(W376/V376)&gt;5,"N/A",W376/V376))</f>
        <v>0.11185205256553561</v>
      </c>
      <c r="Y376" s="114">
        <f>SUM(Y364:Y375)</f>
        <v>44139.131754486996</v>
      </c>
      <c r="Z376" s="115">
        <f>Y376-U376</f>
        <v>984.67565448700771</v>
      </c>
      <c r="AA376" s="51">
        <f>IF(ISERROR(Z376/Y376),"N/A",IF(ABS(Z376/Y376)&gt;5,"N/A",Z376/Y376))</f>
        <v>2.2308450922053077E-2</v>
      </c>
      <c r="AB376" s="117">
        <f>SUM(AB364:AB375)</f>
        <v>85514.540787560007</v>
      </c>
      <c r="AC376" s="1"/>
      <c r="AD376" s="1"/>
      <c r="AE376" s="1"/>
      <c r="AF376" s="1"/>
      <c r="AG376" s="1"/>
      <c r="AH376" s="1"/>
      <c r="AI376" s="1"/>
    </row>
    <row r="377" spans="1:35" ht="15.75" thickTop="1" x14ac:dyDescent="0.25"/>
    <row r="396" spans="1:35" s="119" customFormat="1" hidden="1" outlineLevel="1" x14ac:dyDescent="0.25">
      <c r="A396" s="118"/>
      <c r="H396" s="120"/>
      <c r="M396" s="121"/>
      <c r="T396" s="121"/>
      <c r="AA396" s="121"/>
      <c r="AC396" s="118"/>
      <c r="AD396" s="118"/>
      <c r="AE396" s="118"/>
      <c r="AF396" s="118"/>
      <c r="AG396" s="118"/>
      <c r="AH396" s="118"/>
      <c r="AI396" s="118"/>
    </row>
    <row r="397" spans="1:35" s="119" customFormat="1" hidden="1" outlineLevel="1" x14ac:dyDescent="0.25">
      <c r="A397" s="118"/>
      <c r="B397" s="122" t="s">
        <v>39</v>
      </c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4"/>
      <c r="N397" s="123"/>
      <c r="O397" s="123"/>
      <c r="P397" s="123"/>
      <c r="Q397" s="123"/>
      <c r="R397" s="123"/>
      <c r="S397" s="123"/>
      <c r="T397" s="124"/>
      <c r="U397" s="123"/>
      <c r="V397" s="123"/>
      <c r="W397" s="123"/>
      <c r="X397" s="123"/>
      <c r="Y397" s="123"/>
      <c r="Z397" s="123"/>
      <c r="AA397" s="124"/>
      <c r="AB397" s="123"/>
      <c r="AC397" s="125"/>
      <c r="AD397" s="125"/>
      <c r="AE397" s="125"/>
      <c r="AF397" s="125"/>
      <c r="AG397" s="125"/>
      <c r="AH397" s="118"/>
      <c r="AI397" s="118"/>
    </row>
    <row r="398" spans="1:35" s="126" customFormat="1" ht="14.25" hidden="1" outlineLevel="1" x14ac:dyDescent="0.2">
      <c r="B398" s="127" t="s">
        <v>99</v>
      </c>
      <c r="C398" s="122"/>
      <c r="D398" s="122" t="s">
        <v>100</v>
      </c>
      <c r="E398" s="122"/>
      <c r="F398" s="122"/>
      <c r="G398" s="122">
        <f>7206343.96/1000*1</f>
        <v>7206.3439600000002</v>
      </c>
      <c r="H398" s="122">
        <f>6796328.24/1000*1</f>
        <v>6796.3282399999998</v>
      </c>
      <c r="I398" s="122"/>
      <c r="J398" s="128"/>
      <c r="K398" s="122">
        <f>6475892.368729/1000*1</f>
        <v>6475.8923687289998</v>
      </c>
      <c r="L398" s="122"/>
      <c r="M398" s="128"/>
      <c r="N398" s="122">
        <f>22429048.81/1000*1</f>
        <v>22429.04881</v>
      </c>
      <c r="O398" s="122">
        <f>22051905.32/1000*1</f>
        <v>22051.905320000002</v>
      </c>
      <c r="P398" s="122"/>
      <c r="Q398" s="128"/>
      <c r="R398" s="122">
        <f>20973256.471867/1000*1</f>
        <v>20973.256471867</v>
      </c>
      <c r="S398" s="122"/>
      <c r="T398" s="128"/>
      <c r="U398" s="122">
        <f>48558228.35/1000*1</f>
        <v>48558.228350000005</v>
      </c>
      <c r="V398" s="122">
        <f>44658833.83/1000*1</f>
        <v>44658.833829999996</v>
      </c>
      <c r="W398" s="122"/>
      <c r="X398" s="128"/>
      <c r="Y398" s="122">
        <f>47102436.011867/1000*1</f>
        <v>47102.436011867001</v>
      </c>
      <c r="Z398" s="122"/>
      <c r="AA398" s="128"/>
      <c r="AB398" s="122">
        <f>98471220.054252/1000*1</f>
        <v>98471.220054252</v>
      </c>
      <c r="AC398" s="129"/>
      <c r="AD398" s="129"/>
      <c r="AE398" s="129"/>
      <c r="AF398" s="129"/>
      <c r="AG398" s="129"/>
    </row>
    <row r="399" spans="1:35" s="126" customFormat="1" ht="14.25" hidden="1" outlineLevel="1" x14ac:dyDescent="0.2">
      <c r="B399" s="127" t="s">
        <v>101</v>
      </c>
      <c r="C399" s="122"/>
      <c r="D399" s="122" t="s">
        <v>100</v>
      </c>
      <c r="E399" s="122"/>
      <c r="F399" s="122"/>
      <c r="G399" s="122">
        <f>-745104.87/1000*1</f>
        <v>-745.10487000000001</v>
      </c>
      <c r="H399" s="122">
        <f>2340140.84/1000*1</f>
        <v>2340.14084</v>
      </c>
      <c r="I399" s="122"/>
      <c r="J399" s="128"/>
      <c r="K399" s="122">
        <f>2467300.26564/1000*1</f>
        <v>2467.3002656399999</v>
      </c>
      <c r="L399" s="122"/>
      <c r="M399" s="128"/>
      <c r="N399" s="122">
        <f>-745733.52/1000*1</f>
        <v>-745.73352</v>
      </c>
      <c r="O399" s="122">
        <f>2335940.66/1000*1</f>
        <v>2335.9406600000002</v>
      </c>
      <c r="P399" s="122"/>
      <c r="Q399" s="128"/>
      <c r="R399" s="122">
        <f>2466671.61564/1000*1</f>
        <v>2466.6716156399998</v>
      </c>
      <c r="S399" s="122"/>
      <c r="T399" s="128"/>
      <c r="U399" s="122">
        <f>4649061.45/1000*1</f>
        <v>4649.0614500000001</v>
      </c>
      <c r="V399" s="122">
        <f>2546620.86/1000*1</f>
        <v>2546.62086</v>
      </c>
      <c r="W399" s="122"/>
      <c r="X399" s="128"/>
      <c r="Y399" s="122">
        <f>7861466.58564/1000*1</f>
        <v>7861.4665856400006</v>
      </c>
      <c r="Z399" s="122"/>
      <c r="AA399" s="128"/>
      <c r="AB399" s="122">
        <f>14177227.65564/1000*1</f>
        <v>14177.227655640001</v>
      </c>
      <c r="AC399" s="129"/>
      <c r="AD399" s="129"/>
      <c r="AE399" s="129"/>
      <c r="AF399" s="129"/>
      <c r="AG399" s="129"/>
    </row>
    <row r="400" spans="1:35" s="126" customFormat="1" ht="14.25" hidden="1" outlineLevel="1" x14ac:dyDescent="0.2">
      <c r="B400" s="127" t="s">
        <v>102</v>
      </c>
      <c r="C400" s="122"/>
      <c r="D400" s="122" t="s">
        <v>102</v>
      </c>
      <c r="E400" s="122"/>
      <c r="F400" s="122"/>
      <c r="G400" s="122">
        <f>2381251.11/1000*1</f>
        <v>2381.2511099999997</v>
      </c>
      <c r="H400" s="122">
        <f>191901.02/1000*1</f>
        <v>191.90101999999999</v>
      </c>
      <c r="I400" s="122"/>
      <c r="J400" s="128"/>
      <c r="K400" s="122">
        <f>805751.678643/1000*1</f>
        <v>805.75167864299999</v>
      </c>
      <c r="L400" s="122"/>
      <c r="M400" s="128"/>
      <c r="N400" s="122">
        <f>2385804.09/1000*1</f>
        <v>2385.8040899999996</v>
      </c>
      <c r="O400" s="122">
        <f>328455.98/1000*1</f>
        <v>328.45597999999995</v>
      </c>
      <c r="P400" s="122"/>
      <c r="Q400" s="128"/>
      <c r="R400" s="122">
        <f>805749.268643/1000*1</f>
        <v>805.74926864300005</v>
      </c>
      <c r="S400" s="122"/>
      <c r="T400" s="128"/>
      <c r="U400" s="122">
        <f>2764439.07/1000*1</f>
        <v>2764.4390699999999</v>
      </c>
      <c r="V400" s="122">
        <f>902159.51/1000*1</f>
        <v>902.15950999999995</v>
      </c>
      <c r="W400" s="122"/>
      <c r="X400" s="128"/>
      <c r="Y400" s="122">
        <f>1184384.248643/1000*1</f>
        <v>1184.3842486429999</v>
      </c>
      <c r="Z400" s="122"/>
      <c r="AA400" s="128"/>
      <c r="AB400" s="122">
        <f>1224690.552394/1000*1</f>
        <v>1224.6905523940002</v>
      </c>
      <c r="AC400" s="129"/>
      <c r="AD400" s="129"/>
      <c r="AE400" s="129"/>
      <c r="AF400" s="129"/>
      <c r="AG400" s="129"/>
    </row>
    <row r="401" spans="1:35" s="126" customFormat="1" ht="14.25" hidden="1" outlineLevel="1" x14ac:dyDescent="0.2">
      <c r="B401" s="128" t="s">
        <v>103</v>
      </c>
      <c r="C401" s="122"/>
      <c r="D401" s="122" t="s">
        <v>103</v>
      </c>
      <c r="E401" s="122"/>
      <c r="F401" s="122"/>
      <c r="G401" s="122">
        <f>SUM(G398:G400)</f>
        <v>8842.4902000000002</v>
      </c>
      <c r="H401" s="122">
        <f>SUM(H398:H400)</f>
        <v>9328.3700999999983</v>
      </c>
      <c r="I401" s="122"/>
      <c r="J401" s="128"/>
      <c r="K401" s="122">
        <f>SUM(K398:K400)</f>
        <v>9748.9443130119998</v>
      </c>
      <c r="L401" s="122"/>
      <c r="M401" s="128"/>
      <c r="N401" s="122">
        <f>SUM(N398:N400)</f>
        <v>24069.119379999996</v>
      </c>
      <c r="O401" s="122">
        <f>SUM(O398:O400)</f>
        <v>24716.301960000001</v>
      </c>
      <c r="P401" s="122"/>
      <c r="Q401" s="128"/>
      <c r="R401" s="122">
        <f>SUM(R398:R400)</f>
        <v>24245.677356150001</v>
      </c>
      <c r="S401" s="122"/>
      <c r="T401" s="128"/>
      <c r="U401" s="122">
        <f>SUM(U398:U400)</f>
        <v>55971.728870000006</v>
      </c>
      <c r="V401" s="122">
        <f>SUM(V398:V400)</f>
        <v>48107.614199999996</v>
      </c>
      <c r="W401" s="122"/>
      <c r="X401" s="128"/>
      <c r="Y401" s="122">
        <f>SUM(Y398:Y400)</f>
        <v>56148.286846150004</v>
      </c>
      <c r="Z401" s="122"/>
      <c r="AA401" s="128"/>
      <c r="AB401" s="122">
        <f>SUM(AB398:AB400)</f>
        <v>113873.138262286</v>
      </c>
      <c r="AC401" s="129"/>
      <c r="AD401" s="129"/>
      <c r="AE401" s="129"/>
      <c r="AF401" s="129"/>
      <c r="AG401" s="129"/>
    </row>
    <row r="402" spans="1:35" s="126" customFormat="1" ht="14.25" hidden="1" outlineLevel="1" x14ac:dyDescent="0.2">
      <c r="B402" s="128" t="s">
        <v>42</v>
      </c>
      <c r="C402" s="122"/>
      <c r="D402" s="122"/>
      <c r="E402" s="122"/>
      <c r="F402" s="122"/>
      <c r="G402" s="130">
        <f>G401-G376</f>
        <v>3169.8991499999984</v>
      </c>
      <c r="H402" s="130">
        <f>H401-H376</f>
        <v>1190.6428499999984</v>
      </c>
      <c r="I402" s="122"/>
      <c r="J402" s="128"/>
      <c r="K402" s="130">
        <f>K401-K376</f>
        <v>2352.9471664819994</v>
      </c>
      <c r="L402" s="122"/>
      <c r="M402" s="128"/>
      <c r="N402" s="130">
        <f t="shared" ref="N402:O402" si="182">N401-N376</f>
        <v>7187.4404399999949</v>
      </c>
      <c r="O402" s="130">
        <f t="shared" si="182"/>
        <v>4772.1530000000021</v>
      </c>
      <c r="P402" s="122"/>
      <c r="Q402" s="128"/>
      <c r="R402" s="130">
        <f>R401-R376</f>
        <v>6379.3227616630065</v>
      </c>
      <c r="S402" s="122"/>
      <c r="T402" s="128"/>
      <c r="U402" s="130">
        <f t="shared" ref="U402:V402" si="183">U401-U376</f>
        <v>12817.272770000018</v>
      </c>
      <c r="V402" s="130">
        <f t="shared" si="183"/>
        <v>9294.4861399999936</v>
      </c>
      <c r="W402" s="122"/>
      <c r="X402" s="128"/>
      <c r="Y402" s="130">
        <f>Y401-Y376</f>
        <v>12009.155091663008</v>
      </c>
      <c r="Z402" s="122"/>
      <c r="AA402" s="128"/>
      <c r="AB402" s="130">
        <f>AB401-AB376</f>
        <v>28358.59747472599</v>
      </c>
      <c r="AC402" s="129"/>
      <c r="AD402" s="129"/>
      <c r="AE402" s="129"/>
      <c r="AF402" s="129"/>
      <c r="AG402" s="129"/>
    </row>
    <row r="403" spans="1:35" s="126" customFormat="1" hidden="1" outlineLevel="1" x14ac:dyDescent="0.25">
      <c r="A403" s="131"/>
      <c r="B403" s="129"/>
      <c r="C403" s="129"/>
      <c r="D403" s="129"/>
      <c r="E403" s="129"/>
      <c r="F403" s="129"/>
      <c r="G403" s="129"/>
      <c r="H403" s="129"/>
      <c r="I403" s="129"/>
      <c r="J403" s="129"/>
      <c r="K403" s="129"/>
      <c r="L403" s="129"/>
      <c r="M403" s="132"/>
      <c r="N403" s="129"/>
      <c r="O403" s="129"/>
      <c r="P403" s="129"/>
      <c r="Q403" s="129"/>
      <c r="R403" s="129"/>
      <c r="S403" s="129"/>
      <c r="T403" s="132"/>
      <c r="U403" s="129"/>
      <c r="V403" s="129"/>
      <c r="W403" s="129"/>
      <c r="X403" s="129"/>
      <c r="Y403" s="129"/>
      <c r="Z403" s="129"/>
      <c r="AA403" s="132"/>
      <c r="AB403" s="129"/>
      <c r="AC403" s="133"/>
      <c r="AD403" s="133"/>
      <c r="AE403" s="133"/>
      <c r="AF403" s="133"/>
      <c r="AG403" s="133"/>
      <c r="AH403" s="131"/>
      <c r="AI403" s="131"/>
    </row>
    <row r="404" spans="1:35" collapsed="1" x14ac:dyDescent="0.25"/>
  </sheetData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8"/>
  </sheetPr>
  <dimension ref="A1:DD180"/>
  <sheetViews>
    <sheetView zoomScale="85" zoomScaleNormal="85" workbookViewId="0">
      <selection sqref="A1:AD1"/>
    </sheetView>
  </sheetViews>
  <sheetFormatPr defaultColWidth="9.140625" defaultRowHeight="15" outlineLevelCol="1" x14ac:dyDescent="0.25"/>
  <cols>
    <col min="1" max="1" width="4.85546875" style="136" customWidth="1"/>
    <col min="2" max="2" width="34.42578125" style="134" customWidth="1"/>
    <col min="3" max="3" width="14.28515625" style="134" hidden="1" customWidth="1" outlineLevel="1"/>
    <col min="4" max="4" width="7.5703125" style="134" hidden="1" customWidth="1" outlineLevel="1"/>
    <col min="5" max="5" width="6.85546875" style="134" hidden="1" customWidth="1" outlineLevel="1"/>
    <col min="6" max="6" width="6.42578125" style="135" bestFit="1" customWidth="1" collapsed="1"/>
    <col min="7" max="7" width="9.85546875" style="135" bestFit="1" customWidth="1"/>
    <col min="8" max="8" width="8.28515625" style="135" bestFit="1" customWidth="1"/>
    <col min="9" max="10" width="6.140625" style="135" bestFit="1" customWidth="1"/>
    <col min="11" max="11" width="11" style="135" bestFit="1" customWidth="1"/>
    <col min="12" max="12" width="6.28515625" style="135" bestFit="1" customWidth="1"/>
    <col min="13" max="13" width="8" style="135" bestFit="1" customWidth="1"/>
    <col min="14" max="14" width="6.85546875" style="135" hidden="1" customWidth="1"/>
    <col min="15" max="15" width="10.42578125" style="135" hidden="1" customWidth="1" outlineLevel="1" collapsed="1"/>
    <col min="16" max="16" width="8.85546875" style="135" hidden="1" customWidth="1" outlineLevel="1"/>
    <col min="17" max="17" width="6.140625" style="135" hidden="1" customWidth="1" outlineLevel="1"/>
    <col min="18" max="18" width="6.42578125" style="135" hidden="1" customWidth="1" outlineLevel="1"/>
    <col min="19" max="19" width="11" style="135" hidden="1" customWidth="1" outlineLevel="1"/>
    <col min="20" max="20" width="6.5703125" style="135" hidden="1" customWidth="1" outlineLevel="1"/>
    <col min="21" max="21" width="9.5703125" style="135" hidden="1" customWidth="1" outlineLevel="1"/>
    <col min="22" max="22" width="6.42578125" style="135" hidden="1" customWidth="1" outlineLevel="1"/>
    <col min="23" max="23" width="6.42578125" style="134" hidden="1" customWidth="1" outlineLevel="1"/>
    <col min="24" max="24" width="6.85546875" style="134" customWidth="1" outlineLevel="1"/>
    <col min="25" max="25" width="10.42578125" style="134" bestFit="1" customWidth="1"/>
    <col min="26" max="26" width="8.85546875" style="134" bestFit="1" customWidth="1"/>
    <col min="27" max="27" width="6.140625" style="134" bestFit="1" customWidth="1"/>
    <col min="28" max="28" width="6.42578125" style="134" bestFit="1" customWidth="1"/>
    <col min="29" max="29" width="11" style="134" bestFit="1" customWidth="1"/>
    <col min="30" max="30" width="6.5703125" style="134" bestFit="1" customWidth="1"/>
    <col min="31" max="31" width="9.28515625" style="134" bestFit="1" customWidth="1"/>
    <col min="32" max="33" width="8.28515625" style="134" bestFit="1" customWidth="1"/>
    <col min="34" max="34" width="1.140625" style="134" customWidth="1"/>
    <col min="35" max="35" width="6.85546875" style="137" bestFit="1" customWidth="1"/>
    <col min="36" max="36" width="10.42578125" style="136" bestFit="1" customWidth="1"/>
    <col min="37" max="37" width="8.85546875" style="135" bestFit="1" customWidth="1" collapsed="1"/>
    <col min="38" max="38" width="6.140625" style="135" bestFit="1" customWidth="1"/>
    <col min="39" max="39" width="6.42578125" style="135" bestFit="1" customWidth="1"/>
    <col min="40" max="40" width="11" style="135" bestFit="1" customWidth="1"/>
    <col min="41" max="41" width="6.5703125" style="135" bestFit="1" customWidth="1"/>
    <col min="42" max="42" width="8" style="135" bestFit="1" customWidth="1"/>
    <col min="43" max="43" width="6.85546875" style="135" hidden="1" customWidth="1"/>
    <col min="44" max="44" width="10.42578125" style="135" hidden="1" customWidth="1"/>
    <col min="45" max="45" width="8.85546875" style="135" hidden="1" customWidth="1"/>
    <col min="46" max="46" width="6.140625" style="135" hidden="1" customWidth="1" outlineLevel="1" collapsed="1"/>
    <col min="47" max="47" width="6.42578125" style="135" hidden="1" customWidth="1" outlineLevel="1"/>
    <col min="48" max="48" width="11" style="135" hidden="1" customWidth="1" outlineLevel="1"/>
    <col min="49" max="49" width="6.5703125" style="135" hidden="1" customWidth="1" outlineLevel="1"/>
    <col min="50" max="50" width="9.5703125" style="135" hidden="1" customWidth="1" outlineLevel="1"/>
    <col min="51" max="52" width="6.42578125" style="135" hidden="1" customWidth="1" outlineLevel="1"/>
    <col min="53" max="53" width="6.85546875" style="135" customWidth="1" outlineLevel="1"/>
    <col min="54" max="54" width="10.42578125" style="134" customWidth="1" outlineLevel="1"/>
    <col min="55" max="55" width="8.85546875" style="134" customWidth="1" outlineLevel="1"/>
    <col min="56" max="56" width="6.140625" style="134" bestFit="1" customWidth="1"/>
    <col min="57" max="57" width="6.42578125" style="134" bestFit="1" customWidth="1"/>
    <col min="58" max="58" width="11" style="134" bestFit="1" customWidth="1"/>
    <col min="59" max="59" width="6.5703125" style="134" bestFit="1" customWidth="1"/>
    <col min="60" max="60" width="9.28515625" style="134" bestFit="1" customWidth="1"/>
    <col min="61" max="62" width="8.28515625" style="134" bestFit="1" customWidth="1"/>
    <col min="63" max="63" width="1.28515625" style="134" customWidth="1"/>
    <col min="64" max="64" width="6.85546875" style="134" bestFit="1" customWidth="1"/>
    <col min="65" max="65" width="10.42578125" style="134" bestFit="1" customWidth="1"/>
    <col min="66" max="66" width="8.85546875" style="137" bestFit="1" customWidth="1"/>
    <col min="67" max="67" width="6.140625" style="136" bestFit="1" customWidth="1"/>
    <col min="68" max="68" width="6.42578125" style="135" bestFit="1" customWidth="1" collapsed="1"/>
    <col min="69" max="69" width="11" style="135" bestFit="1" customWidth="1"/>
    <col min="70" max="70" width="6.5703125" style="135" bestFit="1" customWidth="1"/>
    <col min="71" max="71" width="8" style="135" bestFit="1" customWidth="1"/>
    <col min="72" max="72" width="6.85546875" style="135" hidden="1" customWidth="1"/>
    <col min="73" max="73" width="10.42578125" style="135" hidden="1" customWidth="1"/>
    <col min="74" max="74" width="8.85546875" style="135" hidden="1" customWidth="1"/>
    <col min="75" max="75" width="6.140625" style="135" hidden="1" customWidth="1"/>
    <col min="76" max="76" width="6.42578125" style="135" hidden="1" customWidth="1"/>
    <col min="77" max="77" width="11" style="135" hidden="1" customWidth="1" outlineLevel="1" collapsed="1"/>
    <col min="78" max="78" width="6.5703125" style="135" hidden="1" customWidth="1" outlineLevel="1"/>
    <col min="79" max="79" width="9.5703125" style="135" hidden="1" customWidth="1" outlineLevel="1"/>
    <col min="80" max="81" width="6.42578125" style="135" hidden="1" customWidth="1" outlineLevel="1"/>
    <col min="82" max="82" width="6.85546875" style="135" customWidth="1" outlineLevel="1"/>
    <col min="83" max="83" width="10.42578125" style="135" customWidth="1" outlineLevel="1"/>
    <col min="84" max="84" width="8.85546875" style="135" customWidth="1" outlineLevel="1"/>
    <col min="85" max="85" width="6.140625" style="134" customWidth="1" outlineLevel="1"/>
    <col min="86" max="86" width="6.42578125" style="134" customWidth="1" outlineLevel="1"/>
    <col min="87" max="87" width="11" style="134" bestFit="1" customWidth="1"/>
    <col min="88" max="88" width="6.5703125" style="134" bestFit="1" customWidth="1"/>
    <col min="89" max="89" width="9.28515625" style="134" bestFit="1" customWidth="1"/>
    <col min="90" max="91" width="8.28515625" style="134" bestFit="1" customWidth="1"/>
    <col min="92" max="92" width="0.85546875" style="134" customWidth="1"/>
    <col min="93" max="93" width="6.85546875" style="134" bestFit="1" customWidth="1"/>
    <col min="94" max="94" width="10.42578125" style="134" bestFit="1" customWidth="1"/>
    <col min="95" max="95" width="8.85546875" style="134" bestFit="1" customWidth="1"/>
    <col min="96" max="96" width="6.140625" style="134" bestFit="1" customWidth="1"/>
    <col min="97" max="97" width="6.42578125" style="137" bestFit="1" customWidth="1"/>
    <col min="98" max="98" width="9.42578125" style="136" bestFit="1" customWidth="1"/>
    <col min="99" max="99" width="6.5703125" style="134" bestFit="1" customWidth="1"/>
    <col min="100" max="100" width="9.28515625" style="134" bestFit="1" customWidth="1"/>
    <col min="101" max="105" width="12.7109375" style="134" hidden="1" customWidth="1"/>
    <col min="106" max="108" width="0" style="136" hidden="1" customWidth="1"/>
    <col min="109" max="110" width="0" style="134" hidden="1" customWidth="1"/>
    <col min="111" max="16384" width="9.140625" style="134"/>
  </cols>
  <sheetData>
    <row r="1" spans="1:105" s="138" customFormat="1" ht="15" customHeight="1" x14ac:dyDescent="0.25">
      <c r="A1" s="186" t="s">
        <v>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8"/>
      <c r="AF1" s="188"/>
      <c r="AG1" s="188"/>
      <c r="AH1" s="188"/>
      <c r="AI1" s="188"/>
      <c r="AJ1" s="188"/>
      <c r="AK1" s="188"/>
      <c r="AL1" s="188"/>
      <c r="AM1" s="188"/>
      <c r="AN1" s="188"/>
      <c r="AO1" s="188"/>
      <c r="AP1" s="188"/>
      <c r="AQ1" s="188"/>
      <c r="AR1" s="188"/>
      <c r="AS1" s="188"/>
      <c r="AT1" s="188"/>
      <c r="AU1" s="188"/>
      <c r="AV1" s="188"/>
      <c r="AW1" s="188"/>
      <c r="AX1" s="188"/>
      <c r="AY1" s="188"/>
      <c r="AZ1" s="188"/>
      <c r="BA1" s="188"/>
      <c r="BB1" s="188"/>
      <c r="BC1" s="188"/>
      <c r="BD1" s="188"/>
      <c r="BE1" s="188"/>
      <c r="BF1" s="188"/>
      <c r="BG1" s="188"/>
      <c r="BH1" s="188"/>
      <c r="BI1" s="188"/>
      <c r="BJ1" s="188"/>
      <c r="BK1" s="188"/>
      <c r="BL1" s="188"/>
      <c r="BM1" s="188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89"/>
      <c r="BZ1" s="189"/>
      <c r="CA1" s="189"/>
      <c r="CB1" s="189"/>
      <c r="CC1" s="189"/>
      <c r="CD1" s="189"/>
      <c r="CE1" s="189"/>
      <c r="CF1" s="189"/>
      <c r="CG1" s="189"/>
      <c r="CH1" s="189"/>
      <c r="CI1" s="189"/>
      <c r="CJ1" s="189"/>
      <c r="CK1" s="189"/>
      <c r="CL1" s="189"/>
      <c r="CM1" s="189"/>
      <c r="CN1" s="189"/>
      <c r="CO1" s="189"/>
      <c r="CP1" s="189"/>
      <c r="CQ1" s="189"/>
      <c r="CR1" s="189"/>
      <c r="CS1" s="189"/>
      <c r="CT1" s="189"/>
      <c r="CU1" s="189"/>
      <c r="CV1" s="189"/>
    </row>
    <row r="2" spans="1:105" s="138" customFormat="1" ht="15" customHeight="1" x14ac:dyDescent="0.25">
      <c r="A2" s="186" t="s">
        <v>105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8"/>
      <c r="AP2" s="188"/>
      <c r="AQ2" s="188"/>
      <c r="AR2" s="188"/>
      <c r="AS2" s="188"/>
      <c r="AT2" s="188"/>
      <c r="AU2" s="188"/>
      <c r="AV2" s="188"/>
      <c r="AW2" s="188"/>
      <c r="AX2" s="188"/>
      <c r="AY2" s="188"/>
      <c r="AZ2" s="188"/>
      <c r="BA2" s="188"/>
      <c r="BB2" s="188"/>
      <c r="BC2" s="188"/>
      <c r="BD2" s="188"/>
      <c r="BE2" s="188"/>
      <c r="BF2" s="188"/>
      <c r="BG2" s="188"/>
      <c r="BH2" s="188"/>
      <c r="BI2" s="188"/>
      <c r="BJ2" s="188"/>
      <c r="BK2" s="188"/>
      <c r="BL2" s="188"/>
      <c r="BM2" s="188"/>
      <c r="BN2" s="189"/>
      <c r="BO2" s="189"/>
      <c r="BP2" s="189"/>
      <c r="BQ2" s="189"/>
      <c r="BR2" s="189"/>
      <c r="BS2" s="189"/>
      <c r="BT2" s="189"/>
      <c r="BU2" s="189"/>
      <c r="BV2" s="189"/>
      <c r="BW2" s="189"/>
      <c r="BX2" s="189"/>
      <c r="BY2" s="189"/>
      <c r="BZ2" s="189"/>
      <c r="CA2" s="189"/>
      <c r="CB2" s="189"/>
      <c r="CC2" s="189"/>
      <c r="CD2" s="189"/>
      <c r="CE2" s="189"/>
      <c r="CF2" s="189"/>
      <c r="CG2" s="189"/>
      <c r="CH2" s="189"/>
      <c r="CI2" s="189"/>
      <c r="CJ2" s="189"/>
      <c r="CK2" s="189"/>
      <c r="CL2" s="189"/>
      <c r="CM2" s="189"/>
      <c r="CN2" s="189"/>
      <c r="CO2" s="189"/>
      <c r="CP2" s="189"/>
      <c r="CQ2" s="189"/>
      <c r="CR2" s="189"/>
      <c r="CS2" s="189"/>
      <c r="CT2" s="189"/>
      <c r="CU2" s="189"/>
      <c r="CV2" s="189"/>
    </row>
    <row r="3" spans="1:105" s="138" customFormat="1" ht="15" customHeight="1" x14ac:dyDescent="0.25">
      <c r="A3" s="186" t="s">
        <v>118</v>
      </c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8"/>
      <c r="AF3" s="188"/>
      <c r="AG3" s="188"/>
      <c r="AH3" s="188"/>
      <c r="AI3" s="188"/>
      <c r="AJ3" s="188"/>
      <c r="AK3" s="188"/>
      <c r="AL3" s="188"/>
      <c r="AM3" s="188"/>
      <c r="AN3" s="188"/>
      <c r="AO3" s="188"/>
      <c r="AP3" s="188"/>
      <c r="AQ3" s="188"/>
      <c r="AR3" s="188"/>
      <c r="AS3" s="188"/>
      <c r="AT3" s="188"/>
      <c r="AU3" s="188"/>
      <c r="AV3" s="188"/>
      <c r="AW3" s="188"/>
      <c r="AX3" s="188"/>
      <c r="AY3" s="188"/>
      <c r="AZ3" s="188"/>
      <c r="BA3" s="188"/>
      <c r="BB3" s="188"/>
      <c r="BC3" s="188"/>
      <c r="BD3" s="188"/>
      <c r="BE3" s="188"/>
      <c r="BF3" s="188"/>
      <c r="BG3" s="188"/>
      <c r="BH3" s="188"/>
      <c r="BI3" s="188"/>
      <c r="BJ3" s="188"/>
      <c r="BK3" s="188"/>
      <c r="BL3" s="188"/>
      <c r="BM3" s="188"/>
      <c r="BN3" s="189"/>
      <c r="BO3" s="189"/>
      <c r="BP3" s="189"/>
      <c r="BQ3" s="189"/>
      <c r="BR3" s="189"/>
      <c r="BS3" s="189"/>
      <c r="BT3" s="189"/>
      <c r="BU3" s="189"/>
      <c r="BV3" s="189"/>
      <c r="BW3" s="189"/>
      <c r="BX3" s="189"/>
      <c r="BY3" s="189"/>
      <c r="BZ3" s="189"/>
      <c r="CA3" s="189"/>
      <c r="CB3" s="189"/>
      <c r="CC3" s="189"/>
      <c r="CD3" s="189"/>
      <c r="CE3" s="189"/>
      <c r="CF3" s="189"/>
      <c r="CG3" s="189"/>
      <c r="CH3" s="189"/>
      <c r="CI3" s="189"/>
      <c r="CJ3" s="189"/>
      <c r="CK3" s="189"/>
      <c r="CL3" s="189"/>
      <c r="CM3" s="189"/>
      <c r="CN3" s="189"/>
      <c r="CO3" s="189"/>
      <c r="CP3" s="189"/>
      <c r="CQ3" s="189"/>
      <c r="CR3" s="189"/>
      <c r="CS3" s="189"/>
      <c r="CT3" s="189"/>
      <c r="CU3" s="189"/>
      <c r="CV3" s="189"/>
    </row>
    <row r="4" spans="1:105" s="138" customFormat="1" ht="15" customHeight="1" x14ac:dyDescent="0.25">
      <c r="A4" s="199" t="s">
        <v>11</v>
      </c>
      <c r="B4" s="200"/>
      <c r="C4" s="200"/>
      <c r="D4" s="200"/>
      <c r="E4" s="200"/>
      <c r="F4" s="201"/>
      <c r="G4" s="201"/>
      <c r="H4" s="201"/>
      <c r="I4" s="201"/>
      <c r="J4" s="201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201"/>
      <c r="V4" s="201"/>
      <c r="W4" s="201"/>
      <c r="X4" s="201"/>
      <c r="Y4" s="201"/>
      <c r="Z4" s="201"/>
      <c r="AA4" s="201"/>
      <c r="AB4" s="201"/>
      <c r="AC4" s="201"/>
      <c r="AD4" s="201"/>
      <c r="AE4" s="202"/>
      <c r="AF4" s="202"/>
      <c r="AG4" s="202"/>
      <c r="AH4" s="202"/>
      <c r="AI4" s="203"/>
      <c r="AJ4" s="203"/>
      <c r="AK4" s="203"/>
      <c r="AL4" s="203"/>
      <c r="AM4" s="203"/>
      <c r="AN4" s="203"/>
      <c r="AO4" s="203"/>
      <c r="AP4" s="203"/>
      <c r="AQ4" s="203"/>
      <c r="AR4" s="203"/>
      <c r="AS4" s="203"/>
      <c r="AT4" s="203"/>
      <c r="AU4" s="203"/>
      <c r="AV4" s="203"/>
      <c r="AW4" s="203"/>
      <c r="AX4" s="203"/>
      <c r="AY4" s="203"/>
      <c r="AZ4" s="203"/>
      <c r="BA4" s="203"/>
      <c r="BB4" s="203"/>
      <c r="BC4" s="203"/>
      <c r="BD4" s="203"/>
      <c r="BE4" s="203"/>
      <c r="BF4" s="203"/>
      <c r="BG4" s="203"/>
      <c r="BH4" s="203"/>
      <c r="BI4" s="203"/>
      <c r="BJ4" s="203"/>
      <c r="BK4" s="202"/>
      <c r="BL4" s="203"/>
      <c r="BM4" s="203"/>
      <c r="BN4" s="204"/>
      <c r="BO4" s="204"/>
      <c r="BP4" s="204"/>
      <c r="BQ4" s="204"/>
      <c r="BR4" s="204"/>
      <c r="BS4" s="204"/>
      <c r="BT4" s="204"/>
      <c r="BU4" s="204"/>
      <c r="BV4" s="204"/>
      <c r="BW4" s="204"/>
      <c r="BX4" s="204"/>
      <c r="BY4" s="204"/>
      <c r="BZ4" s="204"/>
      <c r="CA4" s="204"/>
      <c r="CB4" s="204"/>
      <c r="CC4" s="204"/>
      <c r="CD4" s="204"/>
      <c r="CE4" s="204"/>
      <c r="CF4" s="204"/>
      <c r="CG4" s="204"/>
      <c r="CH4" s="204"/>
      <c r="CI4" s="204"/>
      <c r="CJ4" s="204"/>
      <c r="CK4" s="204"/>
      <c r="CL4" s="204"/>
      <c r="CM4" s="204"/>
      <c r="CN4" s="205"/>
      <c r="CO4" s="204"/>
      <c r="CP4" s="204"/>
      <c r="CQ4" s="204"/>
      <c r="CR4" s="204"/>
      <c r="CS4" s="204"/>
      <c r="CT4" s="204"/>
      <c r="CU4" s="204"/>
      <c r="CV4" s="204"/>
    </row>
    <row r="5" spans="1:105" s="138" customFormat="1" ht="15" customHeight="1" x14ac:dyDescent="0.25">
      <c r="A5" s="190"/>
      <c r="B5" s="191"/>
      <c r="C5" s="191"/>
      <c r="D5" s="191"/>
      <c r="E5" s="206"/>
      <c r="F5" s="190">
        <f>A5</f>
        <v>0</v>
      </c>
      <c r="G5" s="191"/>
      <c r="H5" s="191"/>
      <c r="I5" s="191"/>
      <c r="J5" s="191"/>
      <c r="K5" s="191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192"/>
      <c r="AH5" s="180" t="s">
        <v>119</v>
      </c>
      <c r="AI5" s="193" t="s">
        <v>104</v>
      </c>
      <c r="AJ5" s="194"/>
      <c r="AK5" s="194"/>
      <c r="AL5" s="194"/>
      <c r="AM5" s="194"/>
      <c r="AN5" s="194"/>
      <c r="AO5" s="194"/>
      <c r="AP5" s="194"/>
      <c r="AQ5" s="194"/>
      <c r="AR5" s="194"/>
      <c r="AS5" s="194"/>
      <c r="AT5" s="194"/>
      <c r="AU5" s="194"/>
      <c r="AV5" s="194"/>
      <c r="AW5" s="194"/>
      <c r="AX5" s="194"/>
      <c r="AY5" s="194"/>
      <c r="AZ5" s="194"/>
      <c r="BA5" s="194"/>
      <c r="BB5" s="194"/>
      <c r="BC5" s="194"/>
      <c r="BD5" s="194"/>
      <c r="BE5" s="194"/>
      <c r="BF5" s="194"/>
      <c r="BG5" s="194"/>
      <c r="BH5" s="194"/>
      <c r="BI5" s="194"/>
      <c r="BJ5" s="195"/>
      <c r="BK5" s="180" t="s">
        <v>119</v>
      </c>
      <c r="BL5" s="193" t="s">
        <v>4</v>
      </c>
      <c r="BM5" s="194"/>
      <c r="BN5" s="194"/>
      <c r="BO5" s="194"/>
      <c r="BP5" s="194"/>
      <c r="BQ5" s="194"/>
      <c r="BR5" s="194"/>
      <c r="BS5" s="194"/>
      <c r="BT5" s="194"/>
      <c r="BU5" s="194"/>
      <c r="BV5" s="194"/>
      <c r="BW5" s="194"/>
      <c r="BX5" s="194"/>
      <c r="BY5" s="194"/>
      <c r="BZ5" s="194"/>
      <c r="CA5" s="194"/>
      <c r="CB5" s="194"/>
      <c r="CC5" s="194"/>
      <c r="CD5" s="194"/>
      <c r="CE5" s="194"/>
      <c r="CF5" s="194"/>
      <c r="CG5" s="194"/>
      <c r="CH5" s="194"/>
      <c r="CI5" s="194"/>
      <c r="CJ5" s="194"/>
      <c r="CK5" s="194"/>
      <c r="CL5" s="194"/>
      <c r="CM5" s="195"/>
      <c r="CN5" s="184" t="s">
        <v>119</v>
      </c>
      <c r="CO5" s="196"/>
      <c r="CP5" s="197"/>
      <c r="CQ5" s="197"/>
      <c r="CR5" s="197"/>
      <c r="CS5" s="197"/>
      <c r="CT5" s="197"/>
      <c r="CU5" s="198"/>
      <c r="CV5" s="140" t="s">
        <v>120</v>
      </c>
      <c r="CW5" s="141"/>
      <c r="CX5" s="139"/>
      <c r="CY5" s="139"/>
      <c r="CZ5" s="139"/>
      <c r="DA5" s="139"/>
    </row>
    <row r="6" spans="1:105" s="138" customFormat="1" ht="22.5" customHeight="1" x14ac:dyDescent="0.25">
      <c r="A6" s="152" t="s">
        <v>45</v>
      </c>
      <c r="B6" s="154"/>
      <c r="C6" s="153"/>
      <c r="D6" s="153"/>
      <c r="E6" s="154"/>
      <c r="F6" s="155" t="s">
        <v>121</v>
      </c>
      <c r="G6" s="155" t="s">
        <v>122</v>
      </c>
      <c r="H6" s="155" t="s">
        <v>123</v>
      </c>
      <c r="I6" s="155" t="s">
        <v>124</v>
      </c>
      <c r="J6" s="155" t="s">
        <v>125</v>
      </c>
      <c r="K6" s="155" t="s">
        <v>126</v>
      </c>
      <c r="L6" s="155" t="s">
        <v>127</v>
      </c>
      <c r="M6" s="147" t="s">
        <v>128</v>
      </c>
      <c r="N6" s="150" t="s">
        <v>121</v>
      </c>
      <c r="O6" s="151" t="s">
        <v>122</v>
      </c>
      <c r="P6" s="151" t="s">
        <v>123</v>
      </c>
      <c r="Q6" s="151" t="s">
        <v>124</v>
      </c>
      <c r="R6" s="151" t="s">
        <v>125</v>
      </c>
      <c r="S6" s="155" t="s">
        <v>126</v>
      </c>
      <c r="T6" s="151" t="s">
        <v>127</v>
      </c>
      <c r="U6" s="147" t="s">
        <v>129</v>
      </c>
      <c r="V6" s="151" t="s">
        <v>130</v>
      </c>
      <c r="W6" s="147" t="s">
        <v>131</v>
      </c>
      <c r="X6" s="150" t="s">
        <v>121</v>
      </c>
      <c r="Y6" s="151" t="s">
        <v>122</v>
      </c>
      <c r="Z6" s="151" t="s">
        <v>123</v>
      </c>
      <c r="AA6" s="151" t="s">
        <v>124</v>
      </c>
      <c r="AB6" s="151" t="s">
        <v>125</v>
      </c>
      <c r="AC6" s="155" t="s">
        <v>126</v>
      </c>
      <c r="AD6" s="151" t="s">
        <v>127</v>
      </c>
      <c r="AE6" s="147" t="s">
        <v>128</v>
      </c>
      <c r="AF6" s="150" t="s">
        <v>132</v>
      </c>
      <c r="AG6" s="151" t="s">
        <v>133</v>
      </c>
      <c r="AH6" s="181"/>
      <c r="AI6" s="145" t="s">
        <v>121</v>
      </c>
      <c r="AJ6" s="145" t="s">
        <v>122</v>
      </c>
      <c r="AK6" s="145" t="s">
        <v>123</v>
      </c>
      <c r="AL6" s="145" t="s">
        <v>124</v>
      </c>
      <c r="AM6" s="145" t="s">
        <v>125</v>
      </c>
      <c r="AN6" s="142" t="s">
        <v>126</v>
      </c>
      <c r="AO6" s="145" t="s">
        <v>127</v>
      </c>
      <c r="AP6" s="143" t="s">
        <v>128</v>
      </c>
      <c r="AQ6" s="144" t="s">
        <v>121</v>
      </c>
      <c r="AR6" s="145" t="s">
        <v>122</v>
      </c>
      <c r="AS6" s="145" t="s">
        <v>123</v>
      </c>
      <c r="AT6" s="145" t="s">
        <v>124</v>
      </c>
      <c r="AU6" s="145" t="s">
        <v>125</v>
      </c>
      <c r="AV6" s="142" t="s">
        <v>126</v>
      </c>
      <c r="AW6" s="145" t="s">
        <v>127</v>
      </c>
      <c r="AX6" s="143" t="s">
        <v>129</v>
      </c>
      <c r="AY6" s="145" t="s">
        <v>130</v>
      </c>
      <c r="AZ6" s="143" t="s">
        <v>131</v>
      </c>
      <c r="BA6" s="144" t="s">
        <v>121</v>
      </c>
      <c r="BB6" s="145" t="s">
        <v>122</v>
      </c>
      <c r="BC6" s="145" t="s">
        <v>123</v>
      </c>
      <c r="BD6" s="145" t="s">
        <v>124</v>
      </c>
      <c r="BE6" s="145" t="s">
        <v>125</v>
      </c>
      <c r="BF6" s="142" t="s">
        <v>126</v>
      </c>
      <c r="BG6" s="145" t="s">
        <v>127</v>
      </c>
      <c r="BH6" s="143" t="s">
        <v>128</v>
      </c>
      <c r="BI6" s="144" t="s">
        <v>132</v>
      </c>
      <c r="BJ6" s="145" t="s">
        <v>133</v>
      </c>
      <c r="BK6" s="181"/>
      <c r="BL6" s="145" t="s">
        <v>121</v>
      </c>
      <c r="BM6" s="145" t="s">
        <v>122</v>
      </c>
      <c r="BN6" s="145" t="s">
        <v>123</v>
      </c>
      <c r="BO6" s="145" t="s">
        <v>124</v>
      </c>
      <c r="BP6" s="145" t="s">
        <v>125</v>
      </c>
      <c r="BQ6" s="142" t="s">
        <v>126</v>
      </c>
      <c r="BR6" s="145" t="s">
        <v>127</v>
      </c>
      <c r="BS6" s="145" t="s">
        <v>128</v>
      </c>
      <c r="BT6" s="145" t="s">
        <v>121</v>
      </c>
      <c r="BU6" s="145" t="s">
        <v>122</v>
      </c>
      <c r="BV6" s="145" t="s">
        <v>123</v>
      </c>
      <c r="BW6" s="145" t="s">
        <v>124</v>
      </c>
      <c r="BX6" s="145" t="s">
        <v>125</v>
      </c>
      <c r="BY6" s="142" t="s">
        <v>126</v>
      </c>
      <c r="BZ6" s="145" t="s">
        <v>127</v>
      </c>
      <c r="CA6" s="145" t="s">
        <v>129</v>
      </c>
      <c r="CB6" s="145" t="s">
        <v>130</v>
      </c>
      <c r="CC6" s="145" t="s">
        <v>131</v>
      </c>
      <c r="CD6" s="145" t="s">
        <v>121</v>
      </c>
      <c r="CE6" s="145" t="s">
        <v>122</v>
      </c>
      <c r="CF6" s="145" t="s">
        <v>123</v>
      </c>
      <c r="CG6" s="145" t="s">
        <v>124</v>
      </c>
      <c r="CH6" s="145" t="s">
        <v>125</v>
      </c>
      <c r="CI6" s="142" t="s">
        <v>126</v>
      </c>
      <c r="CJ6" s="145" t="s">
        <v>127</v>
      </c>
      <c r="CK6" s="145" t="s">
        <v>128</v>
      </c>
      <c r="CL6" s="145" t="s">
        <v>132</v>
      </c>
      <c r="CM6" s="145" t="s">
        <v>133</v>
      </c>
      <c r="CN6" s="185"/>
      <c r="CO6" s="145" t="s">
        <v>121</v>
      </c>
      <c r="CP6" s="145" t="s">
        <v>122</v>
      </c>
      <c r="CQ6" s="145" t="s">
        <v>123</v>
      </c>
      <c r="CR6" s="145" t="s">
        <v>124</v>
      </c>
      <c r="CS6" s="145" t="s">
        <v>125</v>
      </c>
      <c r="CT6" s="142" t="s">
        <v>126</v>
      </c>
      <c r="CU6" s="145" t="s">
        <v>127</v>
      </c>
      <c r="CV6" s="143" t="s">
        <v>128</v>
      </c>
      <c r="CW6" s="141"/>
      <c r="CX6" s="139"/>
      <c r="CY6" s="139"/>
      <c r="CZ6" s="139"/>
      <c r="DA6" s="139"/>
    </row>
    <row r="7" spans="1:105" s="138" customFormat="1" ht="15" customHeight="1" x14ac:dyDescent="0.25">
      <c r="A7" s="156" t="s">
        <v>11</v>
      </c>
      <c r="B7" s="157"/>
      <c r="C7" s="158"/>
      <c r="D7" s="158" t="s">
        <v>46</v>
      </c>
      <c r="E7" s="157" t="s">
        <v>47</v>
      </c>
      <c r="F7" s="146" t="s">
        <v>134</v>
      </c>
      <c r="G7" s="146" t="s">
        <v>135</v>
      </c>
      <c r="H7" s="146" t="s">
        <v>136</v>
      </c>
      <c r="I7" s="146" t="s">
        <v>137</v>
      </c>
      <c r="J7" s="146" t="s">
        <v>138</v>
      </c>
      <c r="K7" s="146" t="s">
        <v>139</v>
      </c>
      <c r="L7" s="146" t="s">
        <v>140</v>
      </c>
      <c r="M7" s="147" t="s">
        <v>141</v>
      </c>
      <c r="N7" s="149" t="s">
        <v>134</v>
      </c>
      <c r="O7" s="146" t="s">
        <v>135</v>
      </c>
      <c r="P7" s="146" t="s">
        <v>136</v>
      </c>
      <c r="Q7" s="146" t="s">
        <v>137</v>
      </c>
      <c r="R7" s="146" t="s">
        <v>138</v>
      </c>
      <c r="S7" s="146" t="s">
        <v>139</v>
      </c>
      <c r="T7" s="146" t="s">
        <v>140</v>
      </c>
      <c r="U7" s="147" t="s">
        <v>141</v>
      </c>
      <c r="V7" s="151" t="s">
        <v>142</v>
      </c>
      <c r="W7" s="147" t="s">
        <v>142</v>
      </c>
      <c r="X7" s="149" t="s">
        <v>134</v>
      </c>
      <c r="Y7" s="146" t="s">
        <v>135</v>
      </c>
      <c r="Z7" s="146" t="s">
        <v>136</v>
      </c>
      <c r="AA7" s="146" t="s">
        <v>137</v>
      </c>
      <c r="AB7" s="146" t="s">
        <v>138</v>
      </c>
      <c r="AC7" s="146" t="s">
        <v>139</v>
      </c>
      <c r="AD7" s="146" t="s">
        <v>140</v>
      </c>
      <c r="AE7" s="147" t="s">
        <v>143</v>
      </c>
      <c r="AF7" s="150" t="s">
        <v>144</v>
      </c>
      <c r="AG7" s="151" t="s">
        <v>144</v>
      </c>
      <c r="AH7" s="181"/>
      <c r="AI7" s="146" t="s">
        <v>134</v>
      </c>
      <c r="AJ7" s="146" t="s">
        <v>135</v>
      </c>
      <c r="AK7" s="146" t="s">
        <v>136</v>
      </c>
      <c r="AL7" s="146" t="s">
        <v>137</v>
      </c>
      <c r="AM7" s="146" t="s">
        <v>138</v>
      </c>
      <c r="AN7" s="146" t="s">
        <v>139</v>
      </c>
      <c r="AO7" s="146" t="s">
        <v>140</v>
      </c>
      <c r="AP7" s="147" t="s">
        <v>141</v>
      </c>
      <c r="AQ7" s="149" t="s">
        <v>134</v>
      </c>
      <c r="AR7" s="146" t="s">
        <v>135</v>
      </c>
      <c r="AS7" s="146" t="s">
        <v>136</v>
      </c>
      <c r="AT7" s="146" t="s">
        <v>137</v>
      </c>
      <c r="AU7" s="146" t="s">
        <v>138</v>
      </c>
      <c r="AV7" s="146" t="s">
        <v>139</v>
      </c>
      <c r="AW7" s="146" t="s">
        <v>140</v>
      </c>
      <c r="AX7" s="147" t="s">
        <v>141</v>
      </c>
      <c r="AY7" s="151" t="s">
        <v>142</v>
      </c>
      <c r="AZ7" s="147" t="s">
        <v>142</v>
      </c>
      <c r="BA7" s="149" t="s">
        <v>134</v>
      </c>
      <c r="BB7" s="146" t="s">
        <v>135</v>
      </c>
      <c r="BC7" s="146" t="s">
        <v>136</v>
      </c>
      <c r="BD7" s="146" t="s">
        <v>137</v>
      </c>
      <c r="BE7" s="146" t="s">
        <v>138</v>
      </c>
      <c r="BF7" s="146" t="s">
        <v>139</v>
      </c>
      <c r="BG7" s="146" t="s">
        <v>140</v>
      </c>
      <c r="BH7" s="147" t="s">
        <v>143</v>
      </c>
      <c r="BI7" s="150" t="s">
        <v>144</v>
      </c>
      <c r="BJ7" s="151" t="s">
        <v>144</v>
      </c>
      <c r="BK7" s="181"/>
      <c r="BL7" s="146" t="s">
        <v>134</v>
      </c>
      <c r="BM7" s="146" t="s">
        <v>135</v>
      </c>
      <c r="BN7" s="146" t="s">
        <v>136</v>
      </c>
      <c r="BO7" s="146" t="s">
        <v>137</v>
      </c>
      <c r="BP7" s="146" t="s">
        <v>138</v>
      </c>
      <c r="BQ7" s="146" t="s">
        <v>139</v>
      </c>
      <c r="BR7" s="146" t="s">
        <v>140</v>
      </c>
      <c r="BS7" s="151" t="s">
        <v>141</v>
      </c>
      <c r="BT7" s="146" t="s">
        <v>134</v>
      </c>
      <c r="BU7" s="146" t="s">
        <v>135</v>
      </c>
      <c r="BV7" s="146" t="s">
        <v>136</v>
      </c>
      <c r="BW7" s="146" t="s">
        <v>137</v>
      </c>
      <c r="BX7" s="146" t="s">
        <v>138</v>
      </c>
      <c r="BY7" s="146" t="s">
        <v>139</v>
      </c>
      <c r="BZ7" s="146" t="s">
        <v>140</v>
      </c>
      <c r="CA7" s="151" t="s">
        <v>141</v>
      </c>
      <c r="CB7" s="151" t="s">
        <v>142</v>
      </c>
      <c r="CC7" s="151" t="s">
        <v>142</v>
      </c>
      <c r="CD7" s="146" t="s">
        <v>134</v>
      </c>
      <c r="CE7" s="146" t="s">
        <v>135</v>
      </c>
      <c r="CF7" s="146" t="s">
        <v>136</v>
      </c>
      <c r="CG7" s="146" t="s">
        <v>137</v>
      </c>
      <c r="CH7" s="146" t="s">
        <v>138</v>
      </c>
      <c r="CI7" s="146" t="s">
        <v>139</v>
      </c>
      <c r="CJ7" s="146" t="s">
        <v>140</v>
      </c>
      <c r="CK7" s="151" t="s">
        <v>143</v>
      </c>
      <c r="CL7" s="151" t="s">
        <v>144</v>
      </c>
      <c r="CM7" s="151" t="s">
        <v>144</v>
      </c>
      <c r="CN7" s="185"/>
      <c r="CO7" s="146" t="s">
        <v>134</v>
      </c>
      <c r="CP7" s="146" t="s">
        <v>135</v>
      </c>
      <c r="CQ7" s="146" t="s">
        <v>136</v>
      </c>
      <c r="CR7" s="146" t="s">
        <v>137</v>
      </c>
      <c r="CS7" s="146" t="s">
        <v>138</v>
      </c>
      <c r="CT7" s="146" t="s">
        <v>139</v>
      </c>
      <c r="CU7" s="146" t="s">
        <v>140</v>
      </c>
      <c r="CV7" s="147" t="s">
        <v>143</v>
      </c>
      <c r="CW7" s="141"/>
      <c r="CX7" s="139"/>
      <c r="CY7" s="139"/>
      <c r="CZ7" s="139"/>
      <c r="DA7" s="139"/>
    </row>
    <row r="8" spans="1:105" x14ac:dyDescent="0.25">
      <c r="A8" s="177"/>
      <c r="B8" s="168"/>
      <c r="C8" s="135"/>
      <c r="D8" s="135"/>
      <c r="E8" s="135"/>
      <c r="F8" s="162"/>
      <c r="G8" s="163"/>
      <c r="H8" s="163"/>
      <c r="I8" s="163"/>
      <c r="J8" s="163"/>
      <c r="K8" s="163"/>
      <c r="L8" s="163"/>
      <c r="M8" s="159"/>
      <c r="N8" s="162"/>
      <c r="O8" s="163"/>
      <c r="P8" s="163"/>
      <c r="Q8" s="163"/>
      <c r="R8" s="163"/>
      <c r="S8" s="163"/>
      <c r="T8" s="163"/>
      <c r="U8" s="159"/>
      <c r="V8" s="163"/>
      <c r="W8" s="168"/>
      <c r="X8" s="162"/>
      <c r="Y8" s="163"/>
      <c r="Z8" s="163"/>
      <c r="AA8" s="163"/>
      <c r="AB8" s="163"/>
      <c r="AC8" s="163"/>
      <c r="AD8" s="163"/>
      <c r="AE8" s="159"/>
      <c r="AF8" s="162"/>
      <c r="AG8" s="163"/>
      <c r="AH8" s="182"/>
      <c r="AI8" s="174"/>
      <c r="AJ8" s="171"/>
      <c r="AK8" s="163"/>
      <c r="AL8" s="163"/>
      <c r="AM8" s="163"/>
      <c r="AN8" s="163"/>
      <c r="AO8" s="163"/>
      <c r="AP8" s="159"/>
      <c r="AQ8" s="162"/>
      <c r="AR8" s="163"/>
      <c r="AS8" s="163"/>
      <c r="AT8" s="163"/>
      <c r="AU8" s="163"/>
      <c r="AV8" s="163"/>
      <c r="AW8" s="163"/>
      <c r="AX8" s="159"/>
      <c r="AY8" s="162"/>
      <c r="AZ8" s="168"/>
      <c r="BA8" s="162"/>
      <c r="BB8" s="163"/>
      <c r="BC8" s="163"/>
      <c r="BD8" s="163"/>
      <c r="BE8" s="163"/>
      <c r="BF8" s="163"/>
      <c r="BG8" s="163"/>
      <c r="BH8" s="159"/>
      <c r="BI8" s="162"/>
      <c r="BJ8" s="163"/>
      <c r="BK8" s="182"/>
      <c r="BL8" s="163"/>
      <c r="BM8" s="163"/>
      <c r="BN8" s="174"/>
      <c r="BO8" s="171"/>
      <c r="BP8" s="163"/>
      <c r="BQ8" s="163"/>
      <c r="BR8" s="163"/>
      <c r="BS8" s="159"/>
      <c r="BT8" s="162"/>
      <c r="BU8" s="163"/>
      <c r="BV8" s="163"/>
      <c r="BW8" s="163"/>
      <c r="BX8" s="163"/>
      <c r="BY8" s="163"/>
      <c r="BZ8" s="163"/>
      <c r="CA8" s="159"/>
      <c r="CB8" s="162"/>
      <c r="CC8" s="168"/>
      <c r="CD8" s="162"/>
      <c r="CE8" s="163"/>
      <c r="CF8" s="163"/>
      <c r="CG8" s="163"/>
      <c r="CH8" s="163"/>
      <c r="CI8" s="163"/>
      <c r="CJ8" s="163"/>
      <c r="CK8" s="159"/>
      <c r="CL8" s="162"/>
      <c r="CM8" s="163"/>
      <c r="CN8" s="182"/>
      <c r="CO8" s="163"/>
      <c r="CP8" s="163"/>
      <c r="CQ8" s="163"/>
      <c r="CR8" s="163"/>
      <c r="CS8" s="174"/>
      <c r="CT8" s="171"/>
      <c r="CU8" s="163"/>
      <c r="CV8" s="159"/>
    </row>
    <row r="9" spans="1:105" x14ac:dyDescent="0.25">
      <c r="A9" s="178"/>
      <c r="B9" s="169"/>
      <c r="C9" s="135"/>
      <c r="D9" s="135"/>
      <c r="E9" s="135"/>
      <c r="F9" s="164"/>
      <c r="G9" s="165"/>
      <c r="H9" s="165"/>
      <c r="I9" s="165"/>
      <c r="J9" s="165"/>
      <c r="K9" s="165"/>
      <c r="L9" s="165"/>
      <c r="M9" s="160"/>
      <c r="N9" s="164"/>
      <c r="O9" s="165"/>
      <c r="P9" s="165"/>
      <c r="Q9" s="165"/>
      <c r="R9" s="165"/>
      <c r="S9" s="165"/>
      <c r="T9" s="165"/>
      <c r="U9" s="160"/>
      <c r="V9" s="165"/>
      <c r="W9" s="169"/>
      <c r="X9" s="164"/>
      <c r="Y9" s="165"/>
      <c r="Z9" s="165"/>
      <c r="AA9" s="165"/>
      <c r="AB9" s="165"/>
      <c r="AC9" s="165"/>
      <c r="AD9" s="165"/>
      <c r="AE9" s="160"/>
      <c r="AF9" s="164"/>
      <c r="AG9" s="165"/>
      <c r="AH9" s="182"/>
      <c r="AI9" s="175"/>
      <c r="AJ9" s="172"/>
      <c r="AK9" s="165"/>
      <c r="AL9" s="165"/>
      <c r="AM9" s="165"/>
      <c r="AN9" s="165"/>
      <c r="AO9" s="165"/>
      <c r="AP9" s="160"/>
      <c r="AQ9" s="164"/>
      <c r="AR9" s="165"/>
      <c r="AS9" s="165"/>
      <c r="AT9" s="165"/>
      <c r="AU9" s="165"/>
      <c r="AV9" s="165"/>
      <c r="AW9" s="165"/>
      <c r="AX9" s="160"/>
      <c r="AY9" s="164"/>
      <c r="AZ9" s="169"/>
      <c r="BA9" s="164"/>
      <c r="BB9" s="165"/>
      <c r="BC9" s="165"/>
      <c r="BD9" s="165"/>
      <c r="BE9" s="165"/>
      <c r="BF9" s="165"/>
      <c r="BG9" s="165"/>
      <c r="BH9" s="160"/>
      <c r="BI9" s="164"/>
      <c r="BJ9" s="165"/>
      <c r="BK9" s="182"/>
      <c r="BL9" s="165"/>
      <c r="BM9" s="165"/>
      <c r="BN9" s="175"/>
      <c r="BO9" s="172"/>
      <c r="BP9" s="165"/>
      <c r="BQ9" s="165"/>
      <c r="BR9" s="165"/>
      <c r="BS9" s="160"/>
      <c r="BT9" s="164"/>
      <c r="BU9" s="165"/>
      <c r="BV9" s="165"/>
      <c r="BW9" s="165"/>
      <c r="BX9" s="165"/>
      <c r="BY9" s="165"/>
      <c r="BZ9" s="165"/>
      <c r="CA9" s="160"/>
      <c r="CB9" s="164"/>
      <c r="CC9" s="169"/>
      <c r="CD9" s="164"/>
      <c r="CE9" s="165"/>
      <c r="CF9" s="165"/>
      <c r="CG9" s="165"/>
      <c r="CH9" s="165"/>
      <c r="CI9" s="165"/>
      <c r="CJ9" s="165"/>
      <c r="CK9" s="160"/>
      <c r="CL9" s="164"/>
      <c r="CM9" s="165"/>
      <c r="CN9" s="182"/>
      <c r="CO9" s="165"/>
      <c r="CP9" s="165"/>
      <c r="CQ9" s="165"/>
      <c r="CR9" s="165"/>
      <c r="CS9" s="175"/>
      <c r="CT9" s="172"/>
      <c r="CU9" s="165"/>
      <c r="CV9" s="160"/>
    </row>
    <row r="10" spans="1:105" x14ac:dyDescent="0.25">
      <c r="A10" s="178"/>
      <c r="B10" s="169"/>
      <c r="C10" s="135"/>
      <c r="D10" s="135"/>
      <c r="E10" s="135"/>
      <c r="F10" s="164"/>
      <c r="G10" s="165"/>
      <c r="H10" s="165"/>
      <c r="I10" s="165"/>
      <c r="J10" s="165"/>
      <c r="K10" s="165"/>
      <c r="L10" s="165"/>
      <c r="M10" s="160"/>
      <c r="N10" s="164"/>
      <c r="O10" s="165"/>
      <c r="P10" s="165"/>
      <c r="Q10" s="165"/>
      <c r="R10" s="165"/>
      <c r="S10" s="165"/>
      <c r="T10" s="165"/>
      <c r="U10" s="160"/>
      <c r="V10" s="165"/>
      <c r="W10" s="169"/>
      <c r="X10" s="164"/>
      <c r="Y10" s="165"/>
      <c r="Z10" s="165"/>
      <c r="AA10" s="165"/>
      <c r="AB10" s="165"/>
      <c r="AC10" s="165"/>
      <c r="AD10" s="165"/>
      <c r="AE10" s="160"/>
      <c r="AF10" s="164"/>
      <c r="AG10" s="165"/>
      <c r="AH10" s="182"/>
      <c r="AI10" s="175"/>
      <c r="AJ10" s="172"/>
      <c r="AK10" s="165"/>
      <c r="AL10" s="165"/>
      <c r="AM10" s="165"/>
      <c r="AN10" s="165"/>
      <c r="AO10" s="165"/>
      <c r="AP10" s="160"/>
      <c r="AQ10" s="164"/>
      <c r="AR10" s="165"/>
      <c r="AS10" s="165"/>
      <c r="AT10" s="165"/>
      <c r="AU10" s="165"/>
      <c r="AV10" s="165"/>
      <c r="AW10" s="165"/>
      <c r="AX10" s="160"/>
      <c r="AY10" s="164"/>
      <c r="AZ10" s="169"/>
      <c r="BA10" s="164"/>
      <c r="BB10" s="165"/>
      <c r="BC10" s="165"/>
      <c r="BD10" s="165"/>
      <c r="BE10" s="165"/>
      <c r="BF10" s="165"/>
      <c r="BG10" s="165"/>
      <c r="BH10" s="160"/>
      <c r="BI10" s="164"/>
      <c r="BJ10" s="165"/>
      <c r="BK10" s="182"/>
      <c r="BL10" s="165"/>
      <c r="BM10" s="165"/>
      <c r="BN10" s="175"/>
      <c r="BO10" s="172"/>
      <c r="BP10" s="165"/>
      <c r="BQ10" s="165"/>
      <c r="BR10" s="165"/>
      <c r="BS10" s="160"/>
      <c r="BT10" s="164"/>
      <c r="BU10" s="165"/>
      <c r="BV10" s="165"/>
      <c r="BW10" s="165"/>
      <c r="BX10" s="165"/>
      <c r="BY10" s="165"/>
      <c r="BZ10" s="165"/>
      <c r="CA10" s="160"/>
      <c r="CB10" s="164"/>
      <c r="CC10" s="169"/>
      <c r="CD10" s="164"/>
      <c r="CE10" s="165"/>
      <c r="CF10" s="165"/>
      <c r="CG10" s="165"/>
      <c r="CH10" s="165"/>
      <c r="CI10" s="165"/>
      <c r="CJ10" s="165"/>
      <c r="CK10" s="160"/>
      <c r="CL10" s="164"/>
      <c r="CM10" s="165"/>
      <c r="CN10" s="182"/>
      <c r="CO10" s="165"/>
      <c r="CP10" s="165"/>
      <c r="CQ10" s="165"/>
      <c r="CR10" s="165"/>
      <c r="CS10" s="175"/>
      <c r="CT10" s="172"/>
      <c r="CU10" s="165"/>
      <c r="CV10" s="160"/>
    </row>
    <row r="11" spans="1:105" x14ac:dyDescent="0.25">
      <c r="A11" s="178"/>
      <c r="B11" s="169"/>
      <c r="C11" s="135"/>
      <c r="D11" s="135"/>
      <c r="E11" s="135"/>
      <c r="F11" s="164"/>
      <c r="G11" s="165"/>
      <c r="H11" s="165"/>
      <c r="I11" s="165"/>
      <c r="J11" s="165"/>
      <c r="K11" s="165"/>
      <c r="L11" s="165"/>
      <c r="M11" s="160"/>
      <c r="N11" s="164"/>
      <c r="O11" s="165"/>
      <c r="P11" s="165"/>
      <c r="Q11" s="165"/>
      <c r="R11" s="165"/>
      <c r="S11" s="165"/>
      <c r="T11" s="165"/>
      <c r="U11" s="160"/>
      <c r="V11" s="165"/>
      <c r="W11" s="169"/>
      <c r="X11" s="164"/>
      <c r="Y11" s="165"/>
      <c r="Z11" s="165"/>
      <c r="AA11" s="165"/>
      <c r="AB11" s="165"/>
      <c r="AC11" s="165"/>
      <c r="AD11" s="165"/>
      <c r="AE11" s="160"/>
      <c r="AF11" s="164"/>
      <c r="AG11" s="165"/>
      <c r="AH11" s="182"/>
      <c r="AI11" s="175"/>
      <c r="AJ11" s="172"/>
      <c r="AK11" s="165"/>
      <c r="AL11" s="165"/>
      <c r="AM11" s="165"/>
      <c r="AN11" s="165"/>
      <c r="AO11" s="165"/>
      <c r="AP11" s="160"/>
      <c r="AQ11" s="164"/>
      <c r="AR11" s="165"/>
      <c r="AS11" s="165"/>
      <c r="AT11" s="165"/>
      <c r="AU11" s="165"/>
      <c r="AV11" s="165"/>
      <c r="AW11" s="165"/>
      <c r="AX11" s="160"/>
      <c r="AY11" s="164"/>
      <c r="AZ11" s="169"/>
      <c r="BA11" s="164"/>
      <c r="BB11" s="165"/>
      <c r="BC11" s="165"/>
      <c r="BD11" s="165"/>
      <c r="BE11" s="165"/>
      <c r="BF11" s="165"/>
      <c r="BG11" s="165"/>
      <c r="BH11" s="160"/>
      <c r="BI11" s="164"/>
      <c r="BJ11" s="165"/>
      <c r="BK11" s="182"/>
      <c r="BL11" s="165"/>
      <c r="BM11" s="165"/>
      <c r="BN11" s="175"/>
      <c r="BO11" s="172"/>
      <c r="BP11" s="165"/>
      <c r="BQ11" s="165"/>
      <c r="BR11" s="165"/>
      <c r="BS11" s="160"/>
      <c r="BT11" s="164"/>
      <c r="BU11" s="165"/>
      <c r="BV11" s="165"/>
      <c r="BW11" s="165"/>
      <c r="BX11" s="165"/>
      <c r="BY11" s="165"/>
      <c r="BZ11" s="165"/>
      <c r="CA11" s="160"/>
      <c r="CB11" s="164"/>
      <c r="CC11" s="169"/>
      <c r="CD11" s="164"/>
      <c r="CE11" s="165"/>
      <c r="CF11" s="165"/>
      <c r="CG11" s="165"/>
      <c r="CH11" s="165"/>
      <c r="CI11" s="165"/>
      <c r="CJ11" s="165"/>
      <c r="CK11" s="160"/>
      <c r="CL11" s="164"/>
      <c r="CM11" s="165"/>
      <c r="CN11" s="182"/>
      <c r="CO11" s="165"/>
      <c r="CP11" s="165"/>
      <c r="CQ11" s="165"/>
      <c r="CR11" s="165"/>
      <c r="CS11" s="175"/>
      <c r="CT11" s="172"/>
      <c r="CU11" s="165"/>
      <c r="CV11" s="160"/>
    </row>
    <row r="12" spans="1:105" x14ac:dyDescent="0.25">
      <c r="A12" s="178"/>
      <c r="B12" s="169"/>
      <c r="C12" s="135"/>
      <c r="D12" s="135"/>
      <c r="E12" s="135"/>
      <c r="F12" s="164"/>
      <c r="G12" s="165"/>
      <c r="H12" s="165"/>
      <c r="I12" s="165"/>
      <c r="J12" s="165"/>
      <c r="K12" s="165"/>
      <c r="L12" s="165"/>
      <c r="M12" s="160"/>
      <c r="N12" s="164"/>
      <c r="O12" s="165"/>
      <c r="P12" s="165"/>
      <c r="Q12" s="165"/>
      <c r="R12" s="165"/>
      <c r="S12" s="165"/>
      <c r="T12" s="165"/>
      <c r="U12" s="160"/>
      <c r="V12" s="165"/>
      <c r="W12" s="169"/>
      <c r="X12" s="164"/>
      <c r="Y12" s="165"/>
      <c r="Z12" s="165"/>
      <c r="AA12" s="165"/>
      <c r="AB12" s="165"/>
      <c r="AC12" s="165"/>
      <c r="AD12" s="165"/>
      <c r="AE12" s="160"/>
      <c r="AF12" s="164"/>
      <c r="AG12" s="165"/>
      <c r="AH12" s="182"/>
      <c r="AI12" s="175"/>
      <c r="AJ12" s="172"/>
      <c r="AK12" s="165"/>
      <c r="AL12" s="165"/>
      <c r="AM12" s="165"/>
      <c r="AN12" s="165"/>
      <c r="AO12" s="165"/>
      <c r="AP12" s="160"/>
      <c r="AQ12" s="164"/>
      <c r="AR12" s="165"/>
      <c r="AS12" s="165"/>
      <c r="AT12" s="165"/>
      <c r="AU12" s="165"/>
      <c r="AV12" s="165"/>
      <c r="AW12" s="165"/>
      <c r="AX12" s="160"/>
      <c r="AY12" s="164"/>
      <c r="AZ12" s="169"/>
      <c r="BA12" s="164"/>
      <c r="BB12" s="165"/>
      <c r="BC12" s="165"/>
      <c r="BD12" s="165"/>
      <c r="BE12" s="165"/>
      <c r="BF12" s="165"/>
      <c r="BG12" s="165"/>
      <c r="BH12" s="160"/>
      <c r="BI12" s="164"/>
      <c r="BJ12" s="165"/>
      <c r="BK12" s="182"/>
      <c r="BL12" s="165"/>
      <c r="BM12" s="165"/>
      <c r="BN12" s="175"/>
      <c r="BO12" s="172"/>
      <c r="BP12" s="165"/>
      <c r="BQ12" s="165"/>
      <c r="BR12" s="165"/>
      <c r="BS12" s="160"/>
      <c r="BT12" s="164"/>
      <c r="BU12" s="165"/>
      <c r="BV12" s="165"/>
      <c r="BW12" s="165"/>
      <c r="BX12" s="165"/>
      <c r="BY12" s="165"/>
      <c r="BZ12" s="165"/>
      <c r="CA12" s="160"/>
      <c r="CB12" s="164"/>
      <c r="CC12" s="169"/>
      <c r="CD12" s="164"/>
      <c r="CE12" s="165"/>
      <c r="CF12" s="165"/>
      <c r="CG12" s="165"/>
      <c r="CH12" s="165"/>
      <c r="CI12" s="165"/>
      <c r="CJ12" s="165"/>
      <c r="CK12" s="160"/>
      <c r="CL12" s="164"/>
      <c r="CM12" s="165"/>
      <c r="CN12" s="182"/>
      <c r="CO12" s="165"/>
      <c r="CP12" s="165"/>
      <c r="CQ12" s="165"/>
      <c r="CR12" s="165"/>
      <c r="CS12" s="175"/>
      <c r="CT12" s="172"/>
      <c r="CU12" s="165"/>
      <c r="CV12" s="160"/>
    </row>
    <row r="13" spans="1:105" x14ac:dyDescent="0.25">
      <c r="A13" s="178"/>
      <c r="B13" s="169"/>
      <c r="C13" s="135"/>
      <c r="D13" s="135"/>
      <c r="E13" s="135"/>
      <c r="F13" s="164"/>
      <c r="G13" s="165"/>
      <c r="H13" s="165"/>
      <c r="I13" s="165"/>
      <c r="J13" s="165"/>
      <c r="K13" s="165"/>
      <c r="L13" s="165"/>
      <c r="M13" s="160"/>
      <c r="N13" s="164"/>
      <c r="O13" s="165"/>
      <c r="P13" s="165"/>
      <c r="Q13" s="165"/>
      <c r="R13" s="165"/>
      <c r="S13" s="165"/>
      <c r="T13" s="165"/>
      <c r="U13" s="160"/>
      <c r="V13" s="165"/>
      <c r="W13" s="169"/>
      <c r="X13" s="164"/>
      <c r="Y13" s="165"/>
      <c r="Z13" s="165"/>
      <c r="AA13" s="165"/>
      <c r="AB13" s="165"/>
      <c r="AC13" s="165"/>
      <c r="AD13" s="165"/>
      <c r="AE13" s="160"/>
      <c r="AF13" s="164"/>
      <c r="AG13" s="165"/>
      <c r="AH13" s="182"/>
      <c r="AI13" s="175"/>
      <c r="AJ13" s="172"/>
      <c r="AK13" s="165"/>
      <c r="AL13" s="165"/>
      <c r="AM13" s="165"/>
      <c r="AN13" s="165"/>
      <c r="AO13" s="165"/>
      <c r="AP13" s="160"/>
      <c r="AQ13" s="164"/>
      <c r="AR13" s="165"/>
      <c r="AS13" s="165"/>
      <c r="AT13" s="165"/>
      <c r="AU13" s="165"/>
      <c r="AV13" s="165"/>
      <c r="AW13" s="165"/>
      <c r="AX13" s="160"/>
      <c r="AY13" s="164"/>
      <c r="AZ13" s="169"/>
      <c r="BA13" s="164"/>
      <c r="BB13" s="165"/>
      <c r="BC13" s="165"/>
      <c r="BD13" s="165"/>
      <c r="BE13" s="165"/>
      <c r="BF13" s="165"/>
      <c r="BG13" s="165"/>
      <c r="BH13" s="160"/>
      <c r="BI13" s="164"/>
      <c r="BJ13" s="165"/>
      <c r="BK13" s="182"/>
      <c r="BL13" s="165"/>
      <c r="BM13" s="165"/>
      <c r="BN13" s="175"/>
      <c r="BO13" s="172"/>
      <c r="BP13" s="165"/>
      <c r="BQ13" s="165"/>
      <c r="BR13" s="165"/>
      <c r="BS13" s="160"/>
      <c r="BT13" s="164"/>
      <c r="BU13" s="165"/>
      <c r="BV13" s="165"/>
      <c r="BW13" s="165"/>
      <c r="BX13" s="165"/>
      <c r="BY13" s="165"/>
      <c r="BZ13" s="165"/>
      <c r="CA13" s="160"/>
      <c r="CB13" s="164"/>
      <c r="CC13" s="169"/>
      <c r="CD13" s="164"/>
      <c r="CE13" s="165"/>
      <c r="CF13" s="165"/>
      <c r="CG13" s="165"/>
      <c r="CH13" s="165"/>
      <c r="CI13" s="165"/>
      <c r="CJ13" s="165"/>
      <c r="CK13" s="160"/>
      <c r="CL13" s="164"/>
      <c r="CM13" s="165"/>
      <c r="CN13" s="182"/>
      <c r="CO13" s="165"/>
      <c r="CP13" s="165"/>
      <c r="CQ13" s="165"/>
      <c r="CR13" s="165"/>
      <c r="CS13" s="175"/>
      <c r="CT13" s="172"/>
      <c r="CU13" s="165"/>
      <c r="CV13" s="160"/>
    </row>
    <row r="14" spans="1:105" x14ac:dyDescent="0.25">
      <c r="A14" s="178"/>
      <c r="B14" s="169"/>
      <c r="C14" s="135"/>
      <c r="D14" s="135"/>
      <c r="E14" s="135"/>
      <c r="F14" s="164"/>
      <c r="G14" s="165"/>
      <c r="H14" s="165"/>
      <c r="I14" s="165"/>
      <c r="J14" s="165"/>
      <c r="K14" s="165"/>
      <c r="L14" s="165"/>
      <c r="M14" s="160"/>
      <c r="N14" s="164"/>
      <c r="O14" s="165"/>
      <c r="P14" s="165"/>
      <c r="Q14" s="165"/>
      <c r="R14" s="165"/>
      <c r="S14" s="165"/>
      <c r="T14" s="165"/>
      <c r="U14" s="160"/>
      <c r="V14" s="165"/>
      <c r="W14" s="169"/>
      <c r="X14" s="164"/>
      <c r="Y14" s="165"/>
      <c r="Z14" s="165"/>
      <c r="AA14" s="165"/>
      <c r="AB14" s="165"/>
      <c r="AC14" s="165"/>
      <c r="AD14" s="165"/>
      <c r="AE14" s="160"/>
      <c r="AF14" s="164"/>
      <c r="AG14" s="165"/>
      <c r="AH14" s="182"/>
      <c r="AI14" s="175"/>
      <c r="AJ14" s="172"/>
      <c r="AK14" s="165"/>
      <c r="AL14" s="165"/>
      <c r="AM14" s="165"/>
      <c r="AN14" s="165"/>
      <c r="AO14" s="165"/>
      <c r="AP14" s="160"/>
      <c r="AQ14" s="164"/>
      <c r="AR14" s="165"/>
      <c r="AS14" s="165"/>
      <c r="AT14" s="165"/>
      <c r="AU14" s="165"/>
      <c r="AV14" s="165"/>
      <c r="AW14" s="165"/>
      <c r="AX14" s="160"/>
      <c r="AY14" s="164"/>
      <c r="AZ14" s="169"/>
      <c r="BA14" s="164"/>
      <c r="BB14" s="165"/>
      <c r="BC14" s="165"/>
      <c r="BD14" s="165"/>
      <c r="BE14" s="165"/>
      <c r="BF14" s="165"/>
      <c r="BG14" s="165"/>
      <c r="BH14" s="160"/>
      <c r="BI14" s="164"/>
      <c r="BJ14" s="165"/>
      <c r="BK14" s="182"/>
      <c r="BL14" s="165"/>
      <c r="BM14" s="165"/>
      <c r="BN14" s="175"/>
      <c r="BO14" s="172"/>
      <c r="BP14" s="165"/>
      <c r="BQ14" s="165"/>
      <c r="BR14" s="165"/>
      <c r="BS14" s="160"/>
      <c r="BT14" s="164"/>
      <c r="BU14" s="165"/>
      <c r="BV14" s="165"/>
      <c r="BW14" s="165"/>
      <c r="BX14" s="165"/>
      <c r="BY14" s="165"/>
      <c r="BZ14" s="165"/>
      <c r="CA14" s="160"/>
      <c r="CB14" s="164"/>
      <c r="CC14" s="169"/>
      <c r="CD14" s="164"/>
      <c r="CE14" s="165"/>
      <c r="CF14" s="165"/>
      <c r="CG14" s="165"/>
      <c r="CH14" s="165"/>
      <c r="CI14" s="165"/>
      <c r="CJ14" s="165"/>
      <c r="CK14" s="160"/>
      <c r="CL14" s="164"/>
      <c r="CM14" s="165"/>
      <c r="CN14" s="182"/>
      <c r="CO14" s="165"/>
      <c r="CP14" s="165"/>
      <c r="CQ14" s="165"/>
      <c r="CR14" s="165"/>
      <c r="CS14" s="175"/>
      <c r="CT14" s="172"/>
      <c r="CU14" s="165"/>
      <c r="CV14" s="160"/>
    </row>
    <row r="15" spans="1:105" x14ac:dyDescent="0.25">
      <c r="A15" s="178"/>
      <c r="B15" s="169"/>
      <c r="C15" s="135"/>
      <c r="D15" s="135"/>
      <c r="E15" s="135"/>
      <c r="F15" s="164"/>
      <c r="G15" s="165"/>
      <c r="H15" s="165"/>
      <c r="I15" s="165"/>
      <c r="J15" s="165"/>
      <c r="K15" s="165"/>
      <c r="L15" s="165"/>
      <c r="M15" s="160"/>
      <c r="N15" s="164"/>
      <c r="O15" s="165"/>
      <c r="P15" s="165"/>
      <c r="Q15" s="165"/>
      <c r="R15" s="165"/>
      <c r="S15" s="165"/>
      <c r="T15" s="165"/>
      <c r="U15" s="160"/>
      <c r="V15" s="165"/>
      <c r="W15" s="169"/>
      <c r="X15" s="164"/>
      <c r="Y15" s="165"/>
      <c r="Z15" s="165"/>
      <c r="AA15" s="165"/>
      <c r="AB15" s="165"/>
      <c r="AC15" s="165"/>
      <c r="AD15" s="165"/>
      <c r="AE15" s="160"/>
      <c r="AF15" s="164"/>
      <c r="AG15" s="165"/>
      <c r="AH15" s="182"/>
      <c r="AI15" s="175"/>
      <c r="AJ15" s="172"/>
      <c r="AK15" s="165"/>
      <c r="AL15" s="165"/>
      <c r="AM15" s="165"/>
      <c r="AN15" s="165"/>
      <c r="AO15" s="165"/>
      <c r="AP15" s="160"/>
      <c r="AQ15" s="164"/>
      <c r="AR15" s="165"/>
      <c r="AS15" s="165"/>
      <c r="AT15" s="165"/>
      <c r="AU15" s="165"/>
      <c r="AV15" s="165"/>
      <c r="AW15" s="165"/>
      <c r="AX15" s="160"/>
      <c r="AY15" s="164"/>
      <c r="AZ15" s="169"/>
      <c r="BA15" s="164"/>
      <c r="BB15" s="165"/>
      <c r="BC15" s="165"/>
      <c r="BD15" s="165"/>
      <c r="BE15" s="165"/>
      <c r="BF15" s="165"/>
      <c r="BG15" s="165"/>
      <c r="BH15" s="160"/>
      <c r="BI15" s="164"/>
      <c r="BJ15" s="165"/>
      <c r="BK15" s="182"/>
      <c r="BL15" s="165"/>
      <c r="BM15" s="165"/>
      <c r="BN15" s="175"/>
      <c r="BO15" s="172"/>
      <c r="BP15" s="165"/>
      <c r="BQ15" s="165"/>
      <c r="BR15" s="165"/>
      <c r="BS15" s="160"/>
      <c r="BT15" s="164"/>
      <c r="BU15" s="165"/>
      <c r="BV15" s="165"/>
      <c r="BW15" s="165"/>
      <c r="BX15" s="165"/>
      <c r="BY15" s="165"/>
      <c r="BZ15" s="165"/>
      <c r="CA15" s="160"/>
      <c r="CB15" s="164"/>
      <c r="CC15" s="169"/>
      <c r="CD15" s="164"/>
      <c r="CE15" s="165"/>
      <c r="CF15" s="165"/>
      <c r="CG15" s="165"/>
      <c r="CH15" s="165"/>
      <c r="CI15" s="165"/>
      <c r="CJ15" s="165"/>
      <c r="CK15" s="160"/>
      <c r="CL15" s="164"/>
      <c r="CM15" s="165"/>
      <c r="CN15" s="182"/>
      <c r="CO15" s="165"/>
      <c r="CP15" s="165"/>
      <c r="CQ15" s="165"/>
      <c r="CR15" s="165"/>
      <c r="CS15" s="175"/>
      <c r="CT15" s="172"/>
      <c r="CU15" s="165"/>
      <c r="CV15" s="160"/>
    </row>
    <row r="16" spans="1:105" x14ac:dyDescent="0.25">
      <c r="A16" s="178"/>
      <c r="B16" s="169"/>
      <c r="C16" s="135"/>
      <c r="D16" s="135"/>
      <c r="E16" s="135"/>
      <c r="F16" s="164"/>
      <c r="G16" s="165"/>
      <c r="H16" s="165"/>
      <c r="I16" s="165"/>
      <c r="J16" s="165"/>
      <c r="K16" s="165"/>
      <c r="L16" s="165"/>
      <c r="M16" s="160"/>
      <c r="N16" s="164"/>
      <c r="O16" s="165"/>
      <c r="P16" s="165"/>
      <c r="Q16" s="165"/>
      <c r="R16" s="165"/>
      <c r="S16" s="165"/>
      <c r="T16" s="165"/>
      <c r="U16" s="160"/>
      <c r="V16" s="165"/>
      <c r="W16" s="169"/>
      <c r="X16" s="164"/>
      <c r="Y16" s="165"/>
      <c r="Z16" s="165"/>
      <c r="AA16" s="165"/>
      <c r="AB16" s="165"/>
      <c r="AC16" s="165"/>
      <c r="AD16" s="165"/>
      <c r="AE16" s="160"/>
      <c r="AF16" s="164"/>
      <c r="AG16" s="165"/>
      <c r="AH16" s="182"/>
      <c r="AI16" s="175"/>
      <c r="AJ16" s="172"/>
      <c r="AK16" s="165"/>
      <c r="AL16" s="165"/>
      <c r="AM16" s="165"/>
      <c r="AN16" s="165"/>
      <c r="AO16" s="165"/>
      <c r="AP16" s="160"/>
      <c r="AQ16" s="164"/>
      <c r="AR16" s="165"/>
      <c r="AS16" s="165"/>
      <c r="AT16" s="165"/>
      <c r="AU16" s="165"/>
      <c r="AV16" s="165"/>
      <c r="AW16" s="165"/>
      <c r="AX16" s="160"/>
      <c r="AY16" s="164"/>
      <c r="AZ16" s="169"/>
      <c r="BA16" s="164"/>
      <c r="BB16" s="165"/>
      <c r="BC16" s="165"/>
      <c r="BD16" s="165"/>
      <c r="BE16" s="165"/>
      <c r="BF16" s="165"/>
      <c r="BG16" s="165"/>
      <c r="BH16" s="160"/>
      <c r="BI16" s="164"/>
      <c r="BJ16" s="165"/>
      <c r="BK16" s="182"/>
      <c r="BL16" s="165"/>
      <c r="BM16" s="165"/>
      <c r="BN16" s="175"/>
      <c r="BO16" s="172"/>
      <c r="BP16" s="165"/>
      <c r="BQ16" s="165"/>
      <c r="BR16" s="165"/>
      <c r="BS16" s="160"/>
      <c r="BT16" s="164"/>
      <c r="BU16" s="165"/>
      <c r="BV16" s="165"/>
      <c r="BW16" s="165"/>
      <c r="BX16" s="165"/>
      <c r="BY16" s="165"/>
      <c r="BZ16" s="165"/>
      <c r="CA16" s="160"/>
      <c r="CB16" s="164"/>
      <c r="CC16" s="169"/>
      <c r="CD16" s="164"/>
      <c r="CE16" s="165"/>
      <c r="CF16" s="165"/>
      <c r="CG16" s="165"/>
      <c r="CH16" s="165"/>
      <c r="CI16" s="165"/>
      <c r="CJ16" s="165"/>
      <c r="CK16" s="160"/>
      <c r="CL16" s="164"/>
      <c r="CM16" s="165"/>
      <c r="CN16" s="182"/>
      <c r="CO16" s="165"/>
      <c r="CP16" s="165"/>
      <c r="CQ16" s="165"/>
      <c r="CR16" s="165"/>
      <c r="CS16" s="175"/>
      <c r="CT16" s="172"/>
      <c r="CU16" s="165"/>
      <c r="CV16" s="160"/>
    </row>
    <row r="17" spans="1:100" x14ac:dyDescent="0.25">
      <c r="A17" s="178"/>
      <c r="B17" s="169"/>
      <c r="C17" s="135"/>
      <c r="D17" s="135"/>
      <c r="E17" s="135"/>
      <c r="F17" s="164"/>
      <c r="G17" s="165"/>
      <c r="H17" s="165"/>
      <c r="I17" s="165"/>
      <c r="J17" s="165"/>
      <c r="K17" s="165"/>
      <c r="L17" s="165"/>
      <c r="M17" s="160"/>
      <c r="N17" s="164"/>
      <c r="O17" s="165"/>
      <c r="P17" s="165"/>
      <c r="Q17" s="165"/>
      <c r="R17" s="165"/>
      <c r="S17" s="165"/>
      <c r="T17" s="165"/>
      <c r="U17" s="160"/>
      <c r="V17" s="165"/>
      <c r="W17" s="169"/>
      <c r="X17" s="164"/>
      <c r="Y17" s="165"/>
      <c r="Z17" s="165"/>
      <c r="AA17" s="165"/>
      <c r="AB17" s="165"/>
      <c r="AC17" s="165"/>
      <c r="AD17" s="165"/>
      <c r="AE17" s="160"/>
      <c r="AF17" s="164"/>
      <c r="AG17" s="165"/>
      <c r="AH17" s="182"/>
      <c r="AI17" s="175"/>
      <c r="AJ17" s="172"/>
      <c r="AK17" s="165"/>
      <c r="AL17" s="165"/>
      <c r="AM17" s="165"/>
      <c r="AN17" s="165"/>
      <c r="AO17" s="165"/>
      <c r="AP17" s="160"/>
      <c r="AQ17" s="164"/>
      <c r="AR17" s="165"/>
      <c r="AS17" s="165"/>
      <c r="AT17" s="165"/>
      <c r="AU17" s="165"/>
      <c r="AV17" s="165"/>
      <c r="AW17" s="165"/>
      <c r="AX17" s="160"/>
      <c r="AY17" s="164"/>
      <c r="AZ17" s="169"/>
      <c r="BA17" s="164"/>
      <c r="BB17" s="165"/>
      <c r="BC17" s="165"/>
      <c r="BD17" s="165"/>
      <c r="BE17" s="165"/>
      <c r="BF17" s="165"/>
      <c r="BG17" s="165"/>
      <c r="BH17" s="160"/>
      <c r="BI17" s="164"/>
      <c r="BJ17" s="165"/>
      <c r="BK17" s="182"/>
      <c r="BL17" s="165"/>
      <c r="BM17" s="165"/>
      <c r="BN17" s="175"/>
      <c r="BO17" s="172"/>
      <c r="BP17" s="165"/>
      <c r="BQ17" s="165"/>
      <c r="BR17" s="165"/>
      <c r="BS17" s="160"/>
      <c r="BT17" s="164"/>
      <c r="BU17" s="165"/>
      <c r="BV17" s="165"/>
      <c r="BW17" s="165"/>
      <c r="BX17" s="165"/>
      <c r="BY17" s="165"/>
      <c r="BZ17" s="165"/>
      <c r="CA17" s="160"/>
      <c r="CB17" s="164"/>
      <c r="CC17" s="169"/>
      <c r="CD17" s="164"/>
      <c r="CE17" s="165"/>
      <c r="CF17" s="165"/>
      <c r="CG17" s="165"/>
      <c r="CH17" s="165"/>
      <c r="CI17" s="165"/>
      <c r="CJ17" s="165"/>
      <c r="CK17" s="160"/>
      <c r="CL17" s="164"/>
      <c r="CM17" s="165"/>
      <c r="CN17" s="182"/>
      <c r="CO17" s="165"/>
      <c r="CP17" s="165"/>
      <c r="CQ17" s="165"/>
      <c r="CR17" s="165"/>
      <c r="CS17" s="175"/>
      <c r="CT17" s="172"/>
      <c r="CU17" s="165"/>
      <c r="CV17" s="160"/>
    </row>
    <row r="18" spans="1:100" x14ac:dyDescent="0.25">
      <c r="A18" s="178"/>
      <c r="B18" s="169"/>
      <c r="C18" s="135"/>
      <c r="D18" s="135"/>
      <c r="E18" s="135"/>
      <c r="F18" s="164"/>
      <c r="G18" s="165"/>
      <c r="H18" s="165"/>
      <c r="I18" s="165"/>
      <c r="J18" s="165"/>
      <c r="K18" s="165"/>
      <c r="L18" s="165"/>
      <c r="M18" s="160"/>
      <c r="N18" s="164"/>
      <c r="O18" s="165"/>
      <c r="P18" s="165"/>
      <c r="Q18" s="165"/>
      <c r="R18" s="165"/>
      <c r="S18" s="165"/>
      <c r="T18" s="165"/>
      <c r="U18" s="160"/>
      <c r="V18" s="165"/>
      <c r="W18" s="169"/>
      <c r="X18" s="164"/>
      <c r="Y18" s="165"/>
      <c r="Z18" s="165"/>
      <c r="AA18" s="165"/>
      <c r="AB18" s="165"/>
      <c r="AC18" s="165"/>
      <c r="AD18" s="165"/>
      <c r="AE18" s="160"/>
      <c r="AF18" s="164"/>
      <c r="AG18" s="165"/>
      <c r="AH18" s="182"/>
      <c r="AI18" s="175"/>
      <c r="AJ18" s="172"/>
      <c r="AK18" s="165"/>
      <c r="AL18" s="165"/>
      <c r="AM18" s="165"/>
      <c r="AN18" s="165"/>
      <c r="AO18" s="165"/>
      <c r="AP18" s="160"/>
      <c r="AQ18" s="164"/>
      <c r="AR18" s="165"/>
      <c r="AS18" s="165"/>
      <c r="AT18" s="165"/>
      <c r="AU18" s="165"/>
      <c r="AV18" s="165"/>
      <c r="AW18" s="165"/>
      <c r="AX18" s="160"/>
      <c r="AY18" s="164"/>
      <c r="AZ18" s="169"/>
      <c r="BA18" s="164"/>
      <c r="BB18" s="165"/>
      <c r="BC18" s="165"/>
      <c r="BD18" s="165"/>
      <c r="BE18" s="165"/>
      <c r="BF18" s="165"/>
      <c r="BG18" s="165"/>
      <c r="BH18" s="160"/>
      <c r="BI18" s="164"/>
      <c r="BJ18" s="165"/>
      <c r="BK18" s="182"/>
      <c r="BL18" s="165"/>
      <c r="BM18" s="165"/>
      <c r="BN18" s="175"/>
      <c r="BO18" s="172"/>
      <c r="BP18" s="165"/>
      <c r="BQ18" s="165"/>
      <c r="BR18" s="165"/>
      <c r="BS18" s="160"/>
      <c r="BT18" s="164"/>
      <c r="BU18" s="165"/>
      <c r="BV18" s="165"/>
      <c r="BW18" s="165"/>
      <c r="BX18" s="165"/>
      <c r="BY18" s="165"/>
      <c r="BZ18" s="165"/>
      <c r="CA18" s="160"/>
      <c r="CB18" s="164"/>
      <c r="CC18" s="169"/>
      <c r="CD18" s="164"/>
      <c r="CE18" s="165"/>
      <c r="CF18" s="165"/>
      <c r="CG18" s="165"/>
      <c r="CH18" s="165"/>
      <c r="CI18" s="165"/>
      <c r="CJ18" s="165"/>
      <c r="CK18" s="160"/>
      <c r="CL18" s="164"/>
      <c r="CM18" s="165"/>
      <c r="CN18" s="182"/>
      <c r="CO18" s="165"/>
      <c r="CP18" s="165"/>
      <c r="CQ18" s="165"/>
      <c r="CR18" s="165"/>
      <c r="CS18" s="175"/>
      <c r="CT18" s="172"/>
      <c r="CU18" s="165"/>
      <c r="CV18" s="160"/>
    </row>
    <row r="19" spans="1:100" x14ac:dyDescent="0.25">
      <c r="A19" s="178"/>
      <c r="B19" s="169"/>
      <c r="C19" s="135"/>
      <c r="D19" s="135"/>
      <c r="E19" s="135"/>
      <c r="F19" s="164"/>
      <c r="G19" s="165"/>
      <c r="H19" s="165"/>
      <c r="I19" s="165"/>
      <c r="J19" s="165"/>
      <c r="K19" s="165"/>
      <c r="L19" s="165"/>
      <c r="M19" s="160"/>
      <c r="N19" s="164"/>
      <c r="O19" s="165"/>
      <c r="P19" s="165"/>
      <c r="Q19" s="165"/>
      <c r="R19" s="165"/>
      <c r="S19" s="165"/>
      <c r="T19" s="165"/>
      <c r="U19" s="160"/>
      <c r="V19" s="165"/>
      <c r="W19" s="169"/>
      <c r="X19" s="164"/>
      <c r="Y19" s="165"/>
      <c r="Z19" s="165"/>
      <c r="AA19" s="165"/>
      <c r="AB19" s="165"/>
      <c r="AC19" s="165"/>
      <c r="AD19" s="165"/>
      <c r="AE19" s="160"/>
      <c r="AF19" s="164"/>
      <c r="AG19" s="165"/>
      <c r="AH19" s="182"/>
      <c r="AI19" s="175"/>
      <c r="AJ19" s="172"/>
      <c r="AK19" s="165"/>
      <c r="AL19" s="165"/>
      <c r="AM19" s="165"/>
      <c r="AN19" s="165"/>
      <c r="AO19" s="165"/>
      <c r="AP19" s="160"/>
      <c r="AQ19" s="164"/>
      <c r="AR19" s="165"/>
      <c r="AS19" s="165"/>
      <c r="AT19" s="165"/>
      <c r="AU19" s="165"/>
      <c r="AV19" s="165"/>
      <c r="AW19" s="165"/>
      <c r="AX19" s="160"/>
      <c r="AY19" s="164"/>
      <c r="AZ19" s="169"/>
      <c r="BA19" s="164"/>
      <c r="BB19" s="165"/>
      <c r="BC19" s="165"/>
      <c r="BD19" s="165"/>
      <c r="BE19" s="165"/>
      <c r="BF19" s="165"/>
      <c r="BG19" s="165"/>
      <c r="BH19" s="160"/>
      <c r="BI19" s="164"/>
      <c r="BJ19" s="165"/>
      <c r="BK19" s="182"/>
      <c r="BL19" s="165"/>
      <c r="BM19" s="165"/>
      <c r="BN19" s="175"/>
      <c r="BO19" s="172"/>
      <c r="BP19" s="165"/>
      <c r="BQ19" s="165"/>
      <c r="BR19" s="165"/>
      <c r="BS19" s="160"/>
      <c r="BT19" s="164"/>
      <c r="BU19" s="165"/>
      <c r="BV19" s="165"/>
      <c r="BW19" s="165"/>
      <c r="BX19" s="165"/>
      <c r="BY19" s="165"/>
      <c r="BZ19" s="165"/>
      <c r="CA19" s="160"/>
      <c r="CB19" s="164"/>
      <c r="CC19" s="169"/>
      <c r="CD19" s="164"/>
      <c r="CE19" s="165"/>
      <c r="CF19" s="165"/>
      <c r="CG19" s="165"/>
      <c r="CH19" s="165"/>
      <c r="CI19" s="165"/>
      <c r="CJ19" s="165"/>
      <c r="CK19" s="160"/>
      <c r="CL19" s="164"/>
      <c r="CM19" s="165"/>
      <c r="CN19" s="182"/>
      <c r="CO19" s="165"/>
      <c r="CP19" s="165"/>
      <c r="CQ19" s="165"/>
      <c r="CR19" s="165"/>
      <c r="CS19" s="175"/>
      <c r="CT19" s="172"/>
      <c r="CU19" s="165"/>
      <c r="CV19" s="160"/>
    </row>
    <row r="20" spans="1:100" x14ac:dyDescent="0.25">
      <c r="A20" s="178"/>
      <c r="B20" s="169"/>
      <c r="C20" s="135"/>
      <c r="D20" s="135"/>
      <c r="E20" s="135"/>
      <c r="F20" s="164"/>
      <c r="G20" s="165"/>
      <c r="H20" s="165"/>
      <c r="I20" s="165"/>
      <c r="J20" s="165"/>
      <c r="K20" s="165"/>
      <c r="L20" s="165"/>
      <c r="M20" s="160"/>
      <c r="N20" s="164"/>
      <c r="O20" s="165"/>
      <c r="P20" s="165"/>
      <c r="Q20" s="165"/>
      <c r="R20" s="165"/>
      <c r="S20" s="165"/>
      <c r="T20" s="165"/>
      <c r="U20" s="160"/>
      <c r="V20" s="165"/>
      <c r="W20" s="169"/>
      <c r="X20" s="164"/>
      <c r="Y20" s="165"/>
      <c r="Z20" s="165"/>
      <c r="AA20" s="165"/>
      <c r="AB20" s="165"/>
      <c r="AC20" s="165"/>
      <c r="AD20" s="165"/>
      <c r="AE20" s="160"/>
      <c r="AF20" s="164"/>
      <c r="AG20" s="165"/>
      <c r="AH20" s="182"/>
      <c r="AI20" s="175"/>
      <c r="AJ20" s="172"/>
      <c r="AK20" s="165"/>
      <c r="AL20" s="165"/>
      <c r="AM20" s="165"/>
      <c r="AN20" s="165"/>
      <c r="AO20" s="165"/>
      <c r="AP20" s="160"/>
      <c r="AQ20" s="164"/>
      <c r="AR20" s="165"/>
      <c r="AS20" s="165"/>
      <c r="AT20" s="165"/>
      <c r="AU20" s="165"/>
      <c r="AV20" s="165"/>
      <c r="AW20" s="165"/>
      <c r="AX20" s="160"/>
      <c r="AY20" s="164"/>
      <c r="AZ20" s="169"/>
      <c r="BA20" s="164"/>
      <c r="BB20" s="165"/>
      <c r="BC20" s="165"/>
      <c r="BD20" s="165"/>
      <c r="BE20" s="165"/>
      <c r="BF20" s="165"/>
      <c r="BG20" s="165"/>
      <c r="BH20" s="160"/>
      <c r="BI20" s="164"/>
      <c r="BJ20" s="165"/>
      <c r="BK20" s="182"/>
      <c r="BL20" s="165"/>
      <c r="BM20" s="165"/>
      <c r="BN20" s="175"/>
      <c r="BO20" s="172"/>
      <c r="BP20" s="165"/>
      <c r="BQ20" s="165"/>
      <c r="BR20" s="165"/>
      <c r="BS20" s="160"/>
      <c r="BT20" s="164"/>
      <c r="BU20" s="165"/>
      <c r="BV20" s="165"/>
      <c r="BW20" s="165"/>
      <c r="BX20" s="165"/>
      <c r="BY20" s="165"/>
      <c r="BZ20" s="165"/>
      <c r="CA20" s="160"/>
      <c r="CB20" s="164"/>
      <c r="CC20" s="169"/>
      <c r="CD20" s="164"/>
      <c r="CE20" s="165"/>
      <c r="CF20" s="165"/>
      <c r="CG20" s="165"/>
      <c r="CH20" s="165"/>
      <c r="CI20" s="165"/>
      <c r="CJ20" s="165"/>
      <c r="CK20" s="160"/>
      <c r="CL20" s="164"/>
      <c r="CM20" s="165"/>
      <c r="CN20" s="182"/>
      <c r="CO20" s="165"/>
      <c r="CP20" s="165"/>
      <c r="CQ20" s="165"/>
      <c r="CR20" s="165"/>
      <c r="CS20" s="175"/>
      <c r="CT20" s="172"/>
      <c r="CU20" s="165"/>
      <c r="CV20" s="160"/>
    </row>
    <row r="21" spans="1:100" x14ac:dyDescent="0.25">
      <c r="A21" s="178"/>
      <c r="B21" s="169"/>
      <c r="C21" s="135"/>
      <c r="D21" s="135"/>
      <c r="E21" s="135"/>
      <c r="F21" s="164"/>
      <c r="G21" s="165"/>
      <c r="H21" s="165"/>
      <c r="I21" s="165"/>
      <c r="J21" s="165"/>
      <c r="K21" s="165"/>
      <c r="L21" s="165"/>
      <c r="M21" s="160"/>
      <c r="N21" s="164"/>
      <c r="O21" s="165"/>
      <c r="P21" s="165"/>
      <c r="Q21" s="165"/>
      <c r="R21" s="165"/>
      <c r="S21" s="165"/>
      <c r="T21" s="165"/>
      <c r="U21" s="160"/>
      <c r="V21" s="165"/>
      <c r="W21" s="169"/>
      <c r="X21" s="164"/>
      <c r="Y21" s="165"/>
      <c r="Z21" s="165"/>
      <c r="AA21" s="165"/>
      <c r="AB21" s="165"/>
      <c r="AC21" s="165"/>
      <c r="AD21" s="165"/>
      <c r="AE21" s="160"/>
      <c r="AF21" s="164"/>
      <c r="AG21" s="165"/>
      <c r="AH21" s="182"/>
      <c r="AI21" s="175"/>
      <c r="AJ21" s="172"/>
      <c r="AK21" s="165"/>
      <c r="AL21" s="165"/>
      <c r="AM21" s="165"/>
      <c r="AN21" s="165"/>
      <c r="AO21" s="165"/>
      <c r="AP21" s="160"/>
      <c r="AQ21" s="164"/>
      <c r="AR21" s="165"/>
      <c r="AS21" s="165"/>
      <c r="AT21" s="165"/>
      <c r="AU21" s="165"/>
      <c r="AV21" s="165"/>
      <c r="AW21" s="165"/>
      <c r="AX21" s="160"/>
      <c r="AY21" s="164"/>
      <c r="AZ21" s="169"/>
      <c r="BA21" s="164"/>
      <c r="BB21" s="165"/>
      <c r="BC21" s="165"/>
      <c r="BD21" s="165"/>
      <c r="BE21" s="165"/>
      <c r="BF21" s="165"/>
      <c r="BG21" s="165"/>
      <c r="BH21" s="160"/>
      <c r="BI21" s="164"/>
      <c r="BJ21" s="165"/>
      <c r="BK21" s="182"/>
      <c r="BL21" s="165"/>
      <c r="BM21" s="165"/>
      <c r="BN21" s="175"/>
      <c r="BO21" s="172"/>
      <c r="BP21" s="165"/>
      <c r="BQ21" s="165"/>
      <c r="BR21" s="165"/>
      <c r="BS21" s="160"/>
      <c r="BT21" s="164"/>
      <c r="BU21" s="165"/>
      <c r="BV21" s="165"/>
      <c r="BW21" s="165"/>
      <c r="BX21" s="165"/>
      <c r="BY21" s="165"/>
      <c r="BZ21" s="165"/>
      <c r="CA21" s="160"/>
      <c r="CB21" s="164"/>
      <c r="CC21" s="169"/>
      <c r="CD21" s="164"/>
      <c r="CE21" s="165"/>
      <c r="CF21" s="165"/>
      <c r="CG21" s="165"/>
      <c r="CH21" s="165"/>
      <c r="CI21" s="165"/>
      <c r="CJ21" s="165"/>
      <c r="CK21" s="160"/>
      <c r="CL21" s="164"/>
      <c r="CM21" s="165"/>
      <c r="CN21" s="182"/>
      <c r="CO21" s="165"/>
      <c r="CP21" s="165"/>
      <c r="CQ21" s="165"/>
      <c r="CR21" s="165"/>
      <c r="CS21" s="175"/>
      <c r="CT21" s="172"/>
      <c r="CU21" s="165"/>
      <c r="CV21" s="160"/>
    </row>
    <row r="22" spans="1:100" x14ac:dyDescent="0.25">
      <c r="A22" s="178"/>
      <c r="B22" s="169"/>
      <c r="C22" s="135"/>
      <c r="D22" s="135"/>
      <c r="E22" s="135"/>
      <c r="F22" s="164"/>
      <c r="G22" s="165"/>
      <c r="H22" s="165"/>
      <c r="I22" s="165"/>
      <c r="J22" s="165"/>
      <c r="K22" s="165"/>
      <c r="L22" s="165"/>
      <c r="M22" s="160"/>
      <c r="N22" s="164"/>
      <c r="O22" s="165"/>
      <c r="P22" s="165"/>
      <c r="Q22" s="165"/>
      <c r="R22" s="165"/>
      <c r="S22" s="165"/>
      <c r="T22" s="165"/>
      <c r="U22" s="160"/>
      <c r="V22" s="165"/>
      <c r="W22" s="169"/>
      <c r="X22" s="164"/>
      <c r="Y22" s="165"/>
      <c r="Z22" s="165"/>
      <c r="AA22" s="165"/>
      <c r="AB22" s="165"/>
      <c r="AC22" s="165"/>
      <c r="AD22" s="165"/>
      <c r="AE22" s="160"/>
      <c r="AF22" s="164"/>
      <c r="AG22" s="165"/>
      <c r="AH22" s="182"/>
      <c r="AI22" s="175"/>
      <c r="AJ22" s="172"/>
      <c r="AK22" s="165"/>
      <c r="AL22" s="165"/>
      <c r="AM22" s="165"/>
      <c r="AN22" s="165"/>
      <c r="AO22" s="165"/>
      <c r="AP22" s="160"/>
      <c r="AQ22" s="164"/>
      <c r="AR22" s="165"/>
      <c r="AS22" s="165"/>
      <c r="AT22" s="165"/>
      <c r="AU22" s="165"/>
      <c r="AV22" s="165"/>
      <c r="AW22" s="165"/>
      <c r="AX22" s="160"/>
      <c r="AY22" s="164"/>
      <c r="AZ22" s="169"/>
      <c r="BA22" s="164"/>
      <c r="BB22" s="165"/>
      <c r="BC22" s="165"/>
      <c r="BD22" s="165"/>
      <c r="BE22" s="165"/>
      <c r="BF22" s="165"/>
      <c r="BG22" s="165"/>
      <c r="BH22" s="160"/>
      <c r="BI22" s="164"/>
      <c r="BJ22" s="165"/>
      <c r="BK22" s="182"/>
      <c r="BL22" s="165"/>
      <c r="BM22" s="165"/>
      <c r="BN22" s="175"/>
      <c r="BO22" s="172"/>
      <c r="BP22" s="165"/>
      <c r="BQ22" s="165"/>
      <c r="BR22" s="165"/>
      <c r="BS22" s="160"/>
      <c r="BT22" s="164"/>
      <c r="BU22" s="165"/>
      <c r="BV22" s="165"/>
      <c r="BW22" s="165"/>
      <c r="BX22" s="165"/>
      <c r="BY22" s="165"/>
      <c r="BZ22" s="165"/>
      <c r="CA22" s="160"/>
      <c r="CB22" s="164"/>
      <c r="CC22" s="169"/>
      <c r="CD22" s="164"/>
      <c r="CE22" s="165"/>
      <c r="CF22" s="165"/>
      <c r="CG22" s="165"/>
      <c r="CH22" s="165"/>
      <c r="CI22" s="165"/>
      <c r="CJ22" s="165"/>
      <c r="CK22" s="160"/>
      <c r="CL22" s="164"/>
      <c r="CM22" s="165"/>
      <c r="CN22" s="182"/>
      <c r="CO22" s="165"/>
      <c r="CP22" s="165"/>
      <c r="CQ22" s="165"/>
      <c r="CR22" s="165"/>
      <c r="CS22" s="175"/>
      <c r="CT22" s="172"/>
      <c r="CU22" s="165"/>
      <c r="CV22" s="160"/>
    </row>
    <row r="23" spans="1:100" x14ac:dyDescent="0.25">
      <c r="A23" s="178"/>
      <c r="B23" s="169"/>
      <c r="C23" s="135"/>
      <c r="D23" s="135"/>
      <c r="E23" s="135"/>
      <c r="F23" s="164"/>
      <c r="G23" s="165"/>
      <c r="H23" s="165"/>
      <c r="I23" s="165"/>
      <c r="J23" s="165"/>
      <c r="K23" s="165"/>
      <c r="L23" s="165"/>
      <c r="M23" s="160"/>
      <c r="N23" s="164"/>
      <c r="O23" s="165"/>
      <c r="P23" s="165"/>
      <c r="Q23" s="165"/>
      <c r="R23" s="165"/>
      <c r="S23" s="165"/>
      <c r="T23" s="165"/>
      <c r="U23" s="160"/>
      <c r="V23" s="165"/>
      <c r="W23" s="169"/>
      <c r="X23" s="164"/>
      <c r="Y23" s="165"/>
      <c r="Z23" s="165"/>
      <c r="AA23" s="165"/>
      <c r="AB23" s="165"/>
      <c r="AC23" s="165"/>
      <c r="AD23" s="165"/>
      <c r="AE23" s="160"/>
      <c r="AF23" s="164"/>
      <c r="AG23" s="165"/>
      <c r="AH23" s="182"/>
      <c r="AI23" s="175"/>
      <c r="AJ23" s="172"/>
      <c r="AK23" s="165"/>
      <c r="AL23" s="165"/>
      <c r="AM23" s="165"/>
      <c r="AN23" s="165"/>
      <c r="AO23" s="165"/>
      <c r="AP23" s="160"/>
      <c r="AQ23" s="164"/>
      <c r="AR23" s="165"/>
      <c r="AS23" s="165"/>
      <c r="AT23" s="165"/>
      <c r="AU23" s="165"/>
      <c r="AV23" s="165"/>
      <c r="AW23" s="165"/>
      <c r="AX23" s="160"/>
      <c r="AY23" s="164"/>
      <c r="AZ23" s="169"/>
      <c r="BA23" s="164"/>
      <c r="BB23" s="165"/>
      <c r="BC23" s="165"/>
      <c r="BD23" s="165"/>
      <c r="BE23" s="165"/>
      <c r="BF23" s="165"/>
      <c r="BG23" s="165"/>
      <c r="BH23" s="160"/>
      <c r="BI23" s="164"/>
      <c r="BJ23" s="165"/>
      <c r="BK23" s="182"/>
      <c r="BL23" s="165"/>
      <c r="BM23" s="165"/>
      <c r="BN23" s="175"/>
      <c r="BO23" s="172"/>
      <c r="BP23" s="165"/>
      <c r="BQ23" s="165"/>
      <c r="BR23" s="165"/>
      <c r="BS23" s="160"/>
      <c r="BT23" s="164"/>
      <c r="BU23" s="165"/>
      <c r="BV23" s="165"/>
      <c r="BW23" s="165"/>
      <c r="BX23" s="165"/>
      <c r="BY23" s="165"/>
      <c r="BZ23" s="165"/>
      <c r="CA23" s="160"/>
      <c r="CB23" s="164"/>
      <c r="CC23" s="169"/>
      <c r="CD23" s="164"/>
      <c r="CE23" s="165"/>
      <c r="CF23" s="165"/>
      <c r="CG23" s="165"/>
      <c r="CH23" s="165"/>
      <c r="CI23" s="165"/>
      <c r="CJ23" s="165"/>
      <c r="CK23" s="160"/>
      <c r="CL23" s="164"/>
      <c r="CM23" s="165"/>
      <c r="CN23" s="182"/>
      <c r="CO23" s="165"/>
      <c r="CP23" s="165"/>
      <c r="CQ23" s="165"/>
      <c r="CR23" s="165"/>
      <c r="CS23" s="175"/>
      <c r="CT23" s="172"/>
      <c r="CU23" s="165"/>
      <c r="CV23" s="160"/>
    </row>
    <row r="24" spans="1:100" x14ac:dyDescent="0.25">
      <c r="A24" s="178"/>
      <c r="B24" s="169"/>
      <c r="C24" s="135"/>
      <c r="D24" s="135"/>
      <c r="E24" s="135"/>
      <c r="F24" s="164"/>
      <c r="G24" s="165"/>
      <c r="H24" s="165"/>
      <c r="I24" s="165"/>
      <c r="J24" s="165"/>
      <c r="K24" s="165"/>
      <c r="L24" s="165"/>
      <c r="M24" s="160"/>
      <c r="N24" s="164"/>
      <c r="O24" s="165"/>
      <c r="P24" s="165"/>
      <c r="Q24" s="165"/>
      <c r="R24" s="165"/>
      <c r="S24" s="165"/>
      <c r="T24" s="165"/>
      <c r="U24" s="160"/>
      <c r="V24" s="165"/>
      <c r="W24" s="169"/>
      <c r="X24" s="164"/>
      <c r="Y24" s="165"/>
      <c r="Z24" s="165"/>
      <c r="AA24" s="165"/>
      <c r="AB24" s="165"/>
      <c r="AC24" s="165"/>
      <c r="AD24" s="165"/>
      <c r="AE24" s="160"/>
      <c r="AF24" s="164"/>
      <c r="AG24" s="165"/>
      <c r="AH24" s="182"/>
      <c r="AI24" s="175"/>
      <c r="AJ24" s="172"/>
      <c r="AK24" s="165"/>
      <c r="AL24" s="165"/>
      <c r="AM24" s="165"/>
      <c r="AN24" s="165"/>
      <c r="AO24" s="165"/>
      <c r="AP24" s="160"/>
      <c r="AQ24" s="164"/>
      <c r="AR24" s="165"/>
      <c r="AS24" s="165"/>
      <c r="AT24" s="165"/>
      <c r="AU24" s="165"/>
      <c r="AV24" s="165"/>
      <c r="AW24" s="165"/>
      <c r="AX24" s="160"/>
      <c r="AY24" s="164"/>
      <c r="AZ24" s="169"/>
      <c r="BA24" s="164"/>
      <c r="BB24" s="165"/>
      <c r="BC24" s="165"/>
      <c r="BD24" s="165"/>
      <c r="BE24" s="165"/>
      <c r="BF24" s="165"/>
      <c r="BG24" s="165"/>
      <c r="BH24" s="160"/>
      <c r="BI24" s="164"/>
      <c r="BJ24" s="165"/>
      <c r="BK24" s="182"/>
      <c r="BL24" s="165"/>
      <c r="BM24" s="165"/>
      <c r="BN24" s="175"/>
      <c r="BO24" s="172"/>
      <c r="BP24" s="165"/>
      <c r="BQ24" s="165"/>
      <c r="BR24" s="165"/>
      <c r="BS24" s="160"/>
      <c r="BT24" s="164"/>
      <c r="BU24" s="165"/>
      <c r="BV24" s="165"/>
      <c r="BW24" s="165"/>
      <c r="BX24" s="165"/>
      <c r="BY24" s="165"/>
      <c r="BZ24" s="165"/>
      <c r="CA24" s="160"/>
      <c r="CB24" s="164"/>
      <c r="CC24" s="169"/>
      <c r="CD24" s="164"/>
      <c r="CE24" s="165"/>
      <c r="CF24" s="165"/>
      <c r="CG24" s="165"/>
      <c r="CH24" s="165"/>
      <c r="CI24" s="165"/>
      <c r="CJ24" s="165"/>
      <c r="CK24" s="160"/>
      <c r="CL24" s="164"/>
      <c r="CM24" s="165"/>
      <c r="CN24" s="182"/>
      <c r="CO24" s="165"/>
      <c r="CP24" s="165"/>
      <c r="CQ24" s="165"/>
      <c r="CR24" s="165"/>
      <c r="CS24" s="175"/>
      <c r="CT24" s="172"/>
      <c r="CU24" s="165"/>
      <c r="CV24" s="160"/>
    </row>
    <row r="25" spans="1:100" x14ac:dyDescent="0.25">
      <c r="A25" s="178"/>
      <c r="B25" s="169"/>
      <c r="C25" s="135"/>
      <c r="D25" s="135"/>
      <c r="E25" s="135"/>
      <c r="F25" s="164"/>
      <c r="G25" s="165"/>
      <c r="H25" s="165"/>
      <c r="I25" s="165"/>
      <c r="J25" s="165"/>
      <c r="K25" s="165"/>
      <c r="L25" s="165"/>
      <c r="M25" s="160"/>
      <c r="N25" s="164"/>
      <c r="O25" s="165"/>
      <c r="P25" s="165"/>
      <c r="Q25" s="165"/>
      <c r="R25" s="165"/>
      <c r="S25" s="165"/>
      <c r="T25" s="165"/>
      <c r="U25" s="160"/>
      <c r="V25" s="165"/>
      <c r="W25" s="169"/>
      <c r="X25" s="164"/>
      <c r="Y25" s="165"/>
      <c r="Z25" s="165"/>
      <c r="AA25" s="165"/>
      <c r="AB25" s="165"/>
      <c r="AC25" s="165"/>
      <c r="AD25" s="165"/>
      <c r="AE25" s="160"/>
      <c r="AF25" s="164"/>
      <c r="AG25" s="165"/>
      <c r="AH25" s="182"/>
      <c r="AI25" s="175"/>
      <c r="AJ25" s="172"/>
      <c r="AK25" s="165"/>
      <c r="AL25" s="165"/>
      <c r="AM25" s="165"/>
      <c r="AN25" s="165"/>
      <c r="AO25" s="165"/>
      <c r="AP25" s="160"/>
      <c r="AQ25" s="164"/>
      <c r="AR25" s="165"/>
      <c r="AS25" s="165"/>
      <c r="AT25" s="165"/>
      <c r="AU25" s="165"/>
      <c r="AV25" s="165"/>
      <c r="AW25" s="165"/>
      <c r="AX25" s="160"/>
      <c r="AY25" s="164"/>
      <c r="AZ25" s="169"/>
      <c r="BA25" s="164"/>
      <c r="BB25" s="165"/>
      <c r="BC25" s="165"/>
      <c r="BD25" s="165"/>
      <c r="BE25" s="165"/>
      <c r="BF25" s="165"/>
      <c r="BG25" s="165"/>
      <c r="BH25" s="160"/>
      <c r="BI25" s="164"/>
      <c r="BJ25" s="165"/>
      <c r="BK25" s="182"/>
      <c r="BL25" s="165"/>
      <c r="BM25" s="165"/>
      <c r="BN25" s="175"/>
      <c r="BO25" s="172"/>
      <c r="BP25" s="165"/>
      <c r="BQ25" s="165"/>
      <c r="BR25" s="165"/>
      <c r="BS25" s="160"/>
      <c r="BT25" s="164"/>
      <c r="BU25" s="165"/>
      <c r="BV25" s="165"/>
      <c r="BW25" s="165"/>
      <c r="BX25" s="165"/>
      <c r="BY25" s="165"/>
      <c r="BZ25" s="165"/>
      <c r="CA25" s="160"/>
      <c r="CB25" s="164"/>
      <c r="CC25" s="169"/>
      <c r="CD25" s="164"/>
      <c r="CE25" s="165"/>
      <c r="CF25" s="165"/>
      <c r="CG25" s="165"/>
      <c r="CH25" s="165"/>
      <c r="CI25" s="165"/>
      <c r="CJ25" s="165"/>
      <c r="CK25" s="160"/>
      <c r="CL25" s="164"/>
      <c r="CM25" s="165"/>
      <c r="CN25" s="182"/>
      <c r="CO25" s="165"/>
      <c r="CP25" s="165"/>
      <c r="CQ25" s="165"/>
      <c r="CR25" s="165"/>
      <c r="CS25" s="175"/>
      <c r="CT25" s="172"/>
      <c r="CU25" s="165"/>
      <c r="CV25" s="160"/>
    </row>
    <row r="26" spans="1:100" x14ac:dyDescent="0.25">
      <c r="A26" s="178"/>
      <c r="B26" s="169"/>
      <c r="C26" s="135"/>
      <c r="D26" s="135"/>
      <c r="E26" s="135"/>
      <c r="F26" s="164"/>
      <c r="G26" s="165"/>
      <c r="H26" s="165"/>
      <c r="I26" s="165"/>
      <c r="J26" s="165"/>
      <c r="K26" s="165"/>
      <c r="L26" s="165"/>
      <c r="M26" s="160"/>
      <c r="N26" s="164"/>
      <c r="O26" s="165"/>
      <c r="P26" s="165"/>
      <c r="Q26" s="165"/>
      <c r="R26" s="165"/>
      <c r="S26" s="165"/>
      <c r="T26" s="165"/>
      <c r="U26" s="160"/>
      <c r="V26" s="165"/>
      <c r="W26" s="169"/>
      <c r="X26" s="164"/>
      <c r="Y26" s="165"/>
      <c r="Z26" s="165"/>
      <c r="AA26" s="165"/>
      <c r="AB26" s="165"/>
      <c r="AC26" s="165"/>
      <c r="AD26" s="165"/>
      <c r="AE26" s="160"/>
      <c r="AF26" s="164"/>
      <c r="AG26" s="165"/>
      <c r="AH26" s="182"/>
      <c r="AI26" s="175"/>
      <c r="AJ26" s="172"/>
      <c r="AK26" s="165"/>
      <c r="AL26" s="165"/>
      <c r="AM26" s="165"/>
      <c r="AN26" s="165"/>
      <c r="AO26" s="165"/>
      <c r="AP26" s="160"/>
      <c r="AQ26" s="164"/>
      <c r="AR26" s="165"/>
      <c r="AS26" s="165"/>
      <c r="AT26" s="165"/>
      <c r="AU26" s="165"/>
      <c r="AV26" s="165"/>
      <c r="AW26" s="165"/>
      <c r="AX26" s="160"/>
      <c r="AY26" s="164"/>
      <c r="AZ26" s="169"/>
      <c r="BA26" s="164"/>
      <c r="BB26" s="165"/>
      <c r="BC26" s="165"/>
      <c r="BD26" s="165"/>
      <c r="BE26" s="165"/>
      <c r="BF26" s="165"/>
      <c r="BG26" s="165"/>
      <c r="BH26" s="160"/>
      <c r="BI26" s="164"/>
      <c r="BJ26" s="165"/>
      <c r="BK26" s="182"/>
      <c r="BL26" s="165"/>
      <c r="BM26" s="165"/>
      <c r="BN26" s="175"/>
      <c r="BO26" s="172"/>
      <c r="BP26" s="165"/>
      <c r="BQ26" s="165"/>
      <c r="BR26" s="165"/>
      <c r="BS26" s="160"/>
      <c r="BT26" s="164"/>
      <c r="BU26" s="165"/>
      <c r="BV26" s="165"/>
      <c r="BW26" s="165"/>
      <c r="BX26" s="165"/>
      <c r="BY26" s="165"/>
      <c r="BZ26" s="165"/>
      <c r="CA26" s="160"/>
      <c r="CB26" s="164"/>
      <c r="CC26" s="169"/>
      <c r="CD26" s="164"/>
      <c r="CE26" s="165"/>
      <c r="CF26" s="165"/>
      <c r="CG26" s="165"/>
      <c r="CH26" s="165"/>
      <c r="CI26" s="165"/>
      <c r="CJ26" s="165"/>
      <c r="CK26" s="160"/>
      <c r="CL26" s="164"/>
      <c r="CM26" s="165"/>
      <c r="CN26" s="182"/>
      <c r="CO26" s="165"/>
      <c r="CP26" s="165"/>
      <c r="CQ26" s="165"/>
      <c r="CR26" s="165"/>
      <c r="CS26" s="175"/>
      <c r="CT26" s="172"/>
      <c r="CU26" s="165"/>
      <c r="CV26" s="160"/>
    </row>
    <row r="27" spans="1:100" x14ac:dyDescent="0.25">
      <c r="A27" s="178"/>
      <c r="B27" s="169"/>
      <c r="C27" s="135"/>
      <c r="D27" s="135"/>
      <c r="E27" s="135"/>
      <c r="F27" s="164"/>
      <c r="G27" s="165"/>
      <c r="H27" s="165"/>
      <c r="I27" s="165"/>
      <c r="J27" s="165"/>
      <c r="K27" s="165"/>
      <c r="L27" s="165"/>
      <c r="M27" s="160"/>
      <c r="N27" s="164"/>
      <c r="O27" s="165"/>
      <c r="P27" s="165"/>
      <c r="Q27" s="165"/>
      <c r="R27" s="165"/>
      <c r="S27" s="165"/>
      <c r="T27" s="165"/>
      <c r="U27" s="160"/>
      <c r="V27" s="165"/>
      <c r="W27" s="169"/>
      <c r="X27" s="164"/>
      <c r="Y27" s="165"/>
      <c r="Z27" s="165"/>
      <c r="AA27" s="165"/>
      <c r="AB27" s="165"/>
      <c r="AC27" s="165"/>
      <c r="AD27" s="165"/>
      <c r="AE27" s="160"/>
      <c r="AF27" s="164"/>
      <c r="AG27" s="165"/>
      <c r="AH27" s="182"/>
      <c r="AI27" s="175"/>
      <c r="AJ27" s="172"/>
      <c r="AK27" s="165"/>
      <c r="AL27" s="165"/>
      <c r="AM27" s="165"/>
      <c r="AN27" s="165"/>
      <c r="AO27" s="165"/>
      <c r="AP27" s="160"/>
      <c r="AQ27" s="164"/>
      <c r="AR27" s="165"/>
      <c r="AS27" s="165"/>
      <c r="AT27" s="165"/>
      <c r="AU27" s="165"/>
      <c r="AV27" s="165"/>
      <c r="AW27" s="165"/>
      <c r="AX27" s="160"/>
      <c r="AY27" s="164"/>
      <c r="AZ27" s="169"/>
      <c r="BA27" s="164"/>
      <c r="BB27" s="165"/>
      <c r="BC27" s="165"/>
      <c r="BD27" s="165"/>
      <c r="BE27" s="165"/>
      <c r="BF27" s="165"/>
      <c r="BG27" s="165"/>
      <c r="BH27" s="160"/>
      <c r="BI27" s="164"/>
      <c r="BJ27" s="165"/>
      <c r="BK27" s="182"/>
      <c r="BL27" s="165"/>
      <c r="BM27" s="165"/>
      <c r="BN27" s="175"/>
      <c r="BO27" s="172"/>
      <c r="BP27" s="165"/>
      <c r="BQ27" s="165"/>
      <c r="BR27" s="165"/>
      <c r="BS27" s="160"/>
      <c r="BT27" s="164"/>
      <c r="BU27" s="165"/>
      <c r="BV27" s="165"/>
      <c r="BW27" s="165"/>
      <c r="BX27" s="165"/>
      <c r="BY27" s="165"/>
      <c r="BZ27" s="165"/>
      <c r="CA27" s="160"/>
      <c r="CB27" s="164"/>
      <c r="CC27" s="169"/>
      <c r="CD27" s="164"/>
      <c r="CE27" s="165"/>
      <c r="CF27" s="165"/>
      <c r="CG27" s="165"/>
      <c r="CH27" s="165"/>
      <c r="CI27" s="165"/>
      <c r="CJ27" s="165"/>
      <c r="CK27" s="160"/>
      <c r="CL27" s="164"/>
      <c r="CM27" s="165"/>
      <c r="CN27" s="182"/>
      <c r="CO27" s="165"/>
      <c r="CP27" s="165"/>
      <c r="CQ27" s="165"/>
      <c r="CR27" s="165"/>
      <c r="CS27" s="175"/>
      <c r="CT27" s="172"/>
      <c r="CU27" s="165"/>
      <c r="CV27" s="160"/>
    </row>
    <row r="28" spans="1:100" x14ac:dyDescent="0.25">
      <c r="A28" s="178"/>
      <c r="B28" s="169"/>
      <c r="C28" s="135"/>
      <c r="D28" s="135"/>
      <c r="E28" s="135"/>
      <c r="F28" s="164"/>
      <c r="G28" s="165"/>
      <c r="H28" s="165"/>
      <c r="I28" s="165"/>
      <c r="J28" s="165"/>
      <c r="K28" s="165"/>
      <c r="L28" s="165"/>
      <c r="M28" s="160"/>
      <c r="N28" s="164"/>
      <c r="O28" s="165"/>
      <c r="P28" s="165"/>
      <c r="Q28" s="165"/>
      <c r="R28" s="165"/>
      <c r="S28" s="165"/>
      <c r="T28" s="165"/>
      <c r="U28" s="160"/>
      <c r="V28" s="165"/>
      <c r="W28" s="169"/>
      <c r="X28" s="164"/>
      <c r="Y28" s="165"/>
      <c r="Z28" s="165"/>
      <c r="AA28" s="165"/>
      <c r="AB28" s="165"/>
      <c r="AC28" s="165"/>
      <c r="AD28" s="165"/>
      <c r="AE28" s="160"/>
      <c r="AF28" s="164"/>
      <c r="AG28" s="165"/>
      <c r="AH28" s="182"/>
      <c r="AI28" s="175"/>
      <c r="AJ28" s="172"/>
      <c r="AK28" s="165"/>
      <c r="AL28" s="165"/>
      <c r="AM28" s="165"/>
      <c r="AN28" s="165"/>
      <c r="AO28" s="165"/>
      <c r="AP28" s="160"/>
      <c r="AQ28" s="164"/>
      <c r="AR28" s="165"/>
      <c r="AS28" s="165"/>
      <c r="AT28" s="165"/>
      <c r="AU28" s="165"/>
      <c r="AV28" s="165"/>
      <c r="AW28" s="165"/>
      <c r="AX28" s="160"/>
      <c r="AY28" s="164"/>
      <c r="AZ28" s="169"/>
      <c r="BA28" s="164"/>
      <c r="BB28" s="165"/>
      <c r="BC28" s="165"/>
      <c r="BD28" s="165"/>
      <c r="BE28" s="165"/>
      <c r="BF28" s="165"/>
      <c r="BG28" s="165"/>
      <c r="BH28" s="160"/>
      <c r="BI28" s="164"/>
      <c r="BJ28" s="165"/>
      <c r="BK28" s="182"/>
      <c r="BL28" s="165"/>
      <c r="BM28" s="165"/>
      <c r="BN28" s="175"/>
      <c r="BO28" s="172"/>
      <c r="BP28" s="165"/>
      <c r="BQ28" s="165"/>
      <c r="BR28" s="165"/>
      <c r="BS28" s="160"/>
      <c r="BT28" s="164"/>
      <c r="BU28" s="165"/>
      <c r="BV28" s="165"/>
      <c r="BW28" s="165"/>
      <c r="BX28" s="165"/>
      <c r="BY28" s="165"/>
      <c r="BZ28" s="165"/>
      <c r="CA28" s="160"/>
      <c r="CB28" s="164"/>
      <c r="CC28" s="169"/>
      <c r="CD28" s="164"/>
      <c r="CE28" s="165"/>
      <c r="CF28" s="165"/>
      <c r="CG28" s="165"/>
      <c r="CH28" s="165"/>
      <c r="CI28" s="165"/>
      <c r="CJ28" s="165"/>
      <c r="CK28" s="160"/>
      <c r="CL28" s="164"/>
      <c r="CM28" s="165"/>
      <c r="CN28" s="182"/>
      <c r="CO28" s="165"/>
      <c r="CP28" s="165"/>
      <c r="CQ28" s="165"/>
      <c r="CR28" s="165"/>
      <c r="CS28" s="175"/>
      <c r="CT28" s="172"/>
      <c r="CU28" s="165"/>
      <c r="CV28" s="160"/>
    </row>
    <row r="29" spans="1:100" x14ac:dyDescent="0.25">
      <c r="A29" s="178"/>
      <c r="B29" s="169"/>
      <c r="C29" s="135"/>
      <c r="D29" s="135"/>
      <c r="E29" s="135"/>
      <c r="F29" s="164"/>
      <c r="G29" s="165"/>
      <c r="H29" s="165"/>
      <c r="I29" s="165"/>
      <c r="J29" s="165"/>
      <c r="K29" s="165"/>
      <c r="L29" s="165"/>
      <c r="M29" s="160"/>
      <c r="N29" s="164"/>
      <c r="O29" s="165"/>
      <c r="P29" s="165"/>
      <c r="Q29" s="165"/>
      <c r="R29" s="165"/>
      <c r="S29" s="165"/>
      <c r="T29" s="165"/>
      <c r="U29" s="160"/>
      <c r="V29" s="165"/>
      <c r="W29" s="169"/>
      <c r="X29" s="164"/>
      <c r="Y29" s="165"/>
      <c r="Z29" s="165"/>
      <c r="AA29" s="165"/>
      <c r="AB29" s="165"/>
      <c r="AC29" s="165"/>
      <c r="AD29" s="165"/>
      <c r="AE29" s="160"/>
      <c r="AF29" s="164"/>
      <c r="AG29" s="165"/>
      <c r="AH29" s="182"/>
      <c r="AI29" s="175"/>
      <c r="AJ29" s="172"/>
      <c r="AK29" s="165"/>
      <c r="AL29" s="165"/>
      <c r="AM29" s="165"/>
      <c r="AN29" s="165"/>
      <c r="AO29" s="165"/>
      <c r="AP29" s="160"/>
      <c r="AQ29" s="164"/>
      <c r="AR29" s="165"/>
      <c r="AS29" s="165"/>
      <c r="AT29" s="165"/>
      <c r="AU29" s="165"/>
      <c r="AV29" s="165"/>
      <c r="AW29" s="165"/>
      <c r="AX29" s="160"/>
      <c r="AY29" s="164"/>
      <c r="AZ29" s="169"/>
      <c r="BA29" s="164"/>
      <c r="BB29" s="165"/>
      <c r="BC29" s="165"/>
      <c r="BD29" s="165"/>
      <c r="BE29" s="165"/>
      <c r="BF29" s="165"/>
      <c r="BG29" s="165"/>
      <c r="BH29" s="160"/>
      <c r="BI29" s="164"/>
      <c r="BJ29" s="165"/>
      <c r="BK29" s="182"/>
      <c r="BL29" s="165"/>
      <c r="BM29" s="165"/>
      <c r="BN29" s="175"/>
      <c r="BO29" s="172"/>
      <c r="BP29" s="165"/>
      <c r="BQ29" s="165"/>
      <c r="BR29" s="165"/>
      <c r="BS29" s="160"/>
      <c r="BT29" s="164"/>
      <c r="BU29" s="165"/>
      <c r="BV29" s="165"/>
      <c r="BW29" s="165"/>
      <c r="BX29" s="165"/>
      <c r="BY29" s="165"/>
      <c r="BZ29" s="165"/>
      <c r="CA29" s="160"/>
      <c r="CB29" s="164"/>
      <c r="CC29" s="169"/>
      <c r="CD29" s="164"/>
      <c r="CE29" s="165"/>
      <c r="CF29" s="165"/>
      <c r="CG29" s="165"/>
      <c r="CH29" s="165"/>
      <c r="CI29" s="165"/>
      <c r="CJ29" s="165"/>
      <c r="CK29" s="160"/>
      <c r="CL29" s="164"/>
      <c r="CM29" s="165"/>
      <c r="CN29" s="182"/>
      <c r="CO29" s="165"/>
      <c r="CP29" s="165"/>
      <c r="CQ29" s="165"/>
      <c r="CR29" s="165"/>
      <c r="CS29" s="175"/>
      <c r="CT29" s="172"/>
      <c r="CU29" s="165"/>
      <c r="CV29" s="160"/>
    </row>
    <row r="30" spans="1:100" x14ac:dyDescent="0.25">
      <c r="A30" s="178"/>
      <c r="B30" s="169"/>
      <c r="C30" s="135"/>
      <c r="D30" s="135"/>
      <c r="E30" s="135"/>
      <c r="F30" s="164"/>
      <c r="G30" s="165"/>
      <c r="H30" s="165"/>
      <c r="I30" s="165"/>
      <c r="J30" s="165"/>
      <c r="K30" s="165"/>
      <c r="L30" s="165"/>
      <c r="M30" s="160"/>
      <c r="N30" s="164"/>
      <c r="O30" s="165"/>
      <c r="P30" s="165"/>
      <c r="Q30" s="165"/>
      <c r="R30" s="165"/>
      <c r="S30" s="165"/>
      <c r="T30" s="165"/>
      <c r="U30" s="160"/>
      <c r="V30" s="165"/>
      <c r="W30" s="169"/>
      <c r="X30" s="164"/>
      <c r="Y30" s="165"/>
      <c r="Z30" s="165"/>
      <c r="AA30" s="165"/>
      <c r="AB30" s="165"/>
      <c r="AC30" s="165"/>
      <c r="AD30" s="165"/>
      <c r="AE30" s="160"/>
      <c r="AF30" s="164"/>
      <c r="AG30" s="165"/>
      <c r="AH30" s="182"/>
      <c r="AI30" s="175"/>
      <c r="AJ30" s="172"/>
      <c r="AK30" s="165"/>
      <c r="AL30" s="165"/>
      <c r="AM30" s="165"/>
      <c r="AN30" s="165"/>
      <c r="AO30" s="165"/>
      <c r="AP30" s="160"/>
      <c r="AQ30" s="164"/>
      <c r="AR30" s="165"/>
      <c r="AS30" s="165"/>
      <c r="AT30" s="165"/>
      <c r="AU30" s="165"/>
      <c r="AV30" s="165"/>
      <c r="AW30" s="165"/>
      <c r="AX30" s="160"/>
      <c r="AY30" s="164"/>
      <c r="AZ30" s="169"/>
      <c r="BA30" s="164"/>
      <c r="BB30" s="165"/>
      <c r="BC30" s="165"/>
      <c r="BD30" s="165"/>
      <c r="BE30" s="165"/>
      <c r="BF30" s="165"/>
      <c r="BG30" s="165"/>
      <c r="BH30" s="160"/>
      <c r="BI30" s="164"/>
      <c r="BJ30" s="165"/>
      <c r="BK30" s="182"/>
      <c r="BL30" s="165"/>
      <c r="BM30" s="165"/>
      <c r="BN30" s="175"/>
      <c r="BO30" s="172"/>
      <c r="BP30" s="165"/>
      <c r="BQ30" s="165"/>
      <c r="BR30" s="165"/>
      <c r="BS30" s="160"/>
      <c r="BT30" s="164"/>
      <c r="BU30" s="165"/>
      <c r="BV30" s="165"/>
      <c r="BW30" s="165"/>
      <c r="BX30" s="165"/>
      <c r="BY30" s="165"/>
      <c r="BZ30" s="165"/>
      <c r="CA30" s="160"/>
      <c r="CB30" s="164"/>
      <c r="CC30" s="169"/>
      <c r="CD30" s="164"/>
      <c r="CE30" s="165"/>
      <c r="CF30" s="165"/>
      <c r="CG30" s="165"/>
      <c r="CH30" s="165"/>
      <c r="CI30" s="165"/>
      <c r="CJ30" s="165"/>
      <c r="CK30" s="160"/>
      <c r="CL30" s="164"/>
      <c r="CM30" s="165"/>
      <c r="CN30" s="182"/>
      <c r="CO30" s="165"/>
      <c r="CP30" s="165"/>
      <c r="CQ30" s="165"/>
      <c r="CR30" s="165"/>
      <c r="CS30" s="175"/>
      <c r="CT30" s="172"/>
      <c r="CU30" s="165"/>
      <c r="CV30" s="160"/>
    </row>
    <row r="31" spans="1:100" x14ac:dyDescent="0.25">
      <c r="A31" s="178"/>
      <c r="B31" s="169"/>
      <c r="C31" s="135"/>
      <c r="D31" s="135"/>
      <c r="E31" s="135"/>
      <c r="F31" s="164"/>
      <c r="G31" s="165"/>
      <c r="H31" s="165"/>
      <c r="I31" s="165"/>
      <c r="J31" s="165"/>
      <c r="K31" s="165"/>
      <c r="L31" s="165"/>
      <c r="M31" s="160"/>
      <c r="N31" s="164"/>
      <c r="O31" s="165"/>
      <c r="P31" s="165"/>
      <c r="Q31" s="165"/>
      <c r="R31" s="165"/>
      <c r="S31" s="165"/>
      <c r="T31" s="165"/>
      <c r="U31" s="160"/>
      <c r="V31" s="165"/>
      <c r="W31" s="169"/>
      <c r="X31" s="164"/>
      <c r="Y31" s="165"/>
      <c r="Z31" s="165"/>
      <c r="AA31" s="165"/>
      <c r="AB31" s="165"/>
      <c r="AC31" s="165"/>
      <c r="AD31" s="165"/>
      <c r="AE31" s="160"/>
      <c r="AF31" s="164"/>
      <c r="AG31" s="165"/>
      <c r="AH31" s="182"/>
      <c r="AI31" s="175"/>
      <c r="AJ31" s="172"/>
      <c r="AK31" s="165"/>
      <c r="AL31" s="165"/>
      <c r="AM31" s="165"/>
      <c r="AN31" s="165"/>
      <c r="AO31" s="165"/>
      <c r="AP31" s="160"/>
      <c r="AQ31" s="164"/>
      <c r="AR31" s="165"/>
      <c r="AS31" s="165"/>
      <c r="AT31" s="165"/>
      <c r="AU31" s="165"/>
      <c r="AV31" s="165"/>
      <c r="AW31" s="165"/>
      <c r="AX31" s="160"/>
      <c r="AY31" s="164"/>
      <c r="AZ31" s="169"/>
      <c r="BA31" s="164"/>
      <c r="BB31" s="165"/>
      <c r="BC31" s="165"/>
      <c r="BD31" s="165"/>
      <c r="BE31" s="165"/>
      <c r="BF31" s="165"/>
      <c r="BG31" s="165"/>
      <c r="BH31" s="160"/>
      <c r="BI31" s="164"/>
      <c r="BJ31" s="165"/>
      <c r="BK31" s="182"/>
      <c r="BL31" s="165"/>
      <c r="BM31" s="165"/>
      <c r="BN31" s="175"/>
      <c r="BO31" s="172"/>
      <c r="BP31" s="165"/>
      <c r="BQ31" s="165"/>
      <c r="BR31" s="165"/>
      <c r="BS31" s="160"/>
      <c r="BT31" s="164"/>
      <c r="BU31" s="165"/>
      <c r="BV31" s="165"/>
      <c r="BW31" s="165"/>
      <c r="BX31" s="165"/>
      <c r="BY31" s="165"/>
      <c r="BZ31" s="165"/>
      <c r="CA31" s="160"/>
      <c r="CB31" s="164"/>
      <c r="CC31" s="169"/>
      <c r="CD31" s="164"/>
      <c r="CE31" s="165"/>
      <c r="CF31" s="165"/>
      <c r="CG31" s="165"/>
      <c r="CH31" s="165"/>
      <c r="CI31" s="165"/>
      <c r="CJ31" s="165"/>
      <c r="CK31" s="160"/>
      <c r="CL31" s="164"/>
      <c r="CM31" s="165"/>
      <c r="CN31" s="182"/>
      <c r="CO31" s="165"/>
      <c r="CP31" s="165"/>
      <c r="CQ31" s="165"/>
      <c r="CR31" s="165"/>
      <c r="CS31" s="175"/>
      <c r="CT31" s="172"/>
      <c r="CU31" s="165"/>
      <c r="CV31" s="160"/>
    </row>
    <row r="32" spans="1:100" x14ac:dyDescent="0.25">
      <c r="A32" s="178"/>
      <c r="B32" s="169"/>
      <c r="C32" s="135"/>
      <c r="D32" s="135"/>
      <c r="E32" s="135"/>
      <c r="F32" s="164"/>
      <c r="G32" s="165"/>
      <c r="H32" s="165"/>
      <c r="I32" s="165"/>
      <c r="J32" s="165"/>
      <c r="K32" s="165"/>
      <c r="L32" s="165"/>
      <c r="M32" s="160"/>
      <c r="N32" s="164"/>
      <c r="O32" s="165"/>
      <c r="P32" s="165"/>
      <c r="Q32" s="165"/>
      <c r="R32" s="165"/>
      <c r="S32" s="165"/>
      <c r="T32" s="165"/>
      <c r="U32" s="160"/>
      <c r="V32" s="165"/>
      <c r="W32" s="169"/>
      <c r="X32" s="164"/>
      <c r="Y32" s="165"/>
      <c r="Z32" s="165"/>
      <c r="AA32" s="165"/>
      <c r="AB32" s="165"/>
      <c r="AC32" s="165"/>
      <c r="AD32" s="165"/>
      <c r="AE32" s="160"/>
      <c r="AF32" s="164"/>
      <c r="AG32" s="165"/>
      <c r="AH32" s="182"/>
      <c r="AI32" s="175"/>
      <c r="AJ32" s="172"/>
      <c r="AK32" s="165"/>
      <c r="AL32" s="165"/>
      <c r="AM32" s="165"/>
      <c r="AN32" s="165"/>
      <c r="AO32" s="165"/>
      <c r="AP32" s="160"/>
      <c r="AQ32" s="164"/>
      <c r="AR32" s="165"/>
      <c r="AS32" s="165"/>
      <c r="AT32" s="165"/>
      <c r="AU32" s="165"/>
      <c r="AV32" s="165"/>
      <c r="AW32" s="165"/>
      <c r="AX32" s="160"/>
      <c r="AY32" s="164"/>
      <c r="AZ32" s="169"/>
      <c r="BA32" s="164"/>
      <c r="BB32" s="165"/>
      <c r="BC32" s="165"/>
      <c r="BD32" s="165"/>
      <c r="BE32" s="165"/>
      <c r="BF32" s="165"/>
      <c r="BG32" s="165"/>
      <c r="BH32" s="160"/>
      <c r="BI32" s="164"/>
      <c r="BJ32" s="165"/>
      <c r="BK32" s="182"/>
      <c r="BL32" s="165"/>
      <c r="BM32" s="165"/>
      <c r="BN32" s="175"/>
      <c r="BO32" s="172"/>
      <c r="BP32" s="165"/>
      <c r="BQ32" s="165"/>
      <c r="BR32" s="165"/>
      <c r="BS32" s="160"/>
      <c r="BT32" s="164"/>
      <c r="BU32" s="165"/>
      <c r="BV32" s="165"/>
      <c r="BW32" s="165"/>
      <c r="BX32" s="165"/>
      <c r="BY32" s="165"/>
      <c r="BZ32" s="165"/>
      <c r="CA32" s="160"/>
      <c r="CB32" s="164"/>
      <c r="CC32" s="169"/>
      <c r="CD32" s="164"/>
      <c r="CE32" s="165"/>
      <c r="CF32" s="165"/>
      <c r="CG32" s="165"/>
      <c r="CH32" s="165"/>
      <c r="CI32" s="165"/>
      <c r="CJ32" s="165"/>
      <c r="CK32" s="160"/>
      <c r="CL32" s="164"/>
      <c r="CM32" s="165"/>
      <c r="CN32" s="182"/>
      <c r="CO32" s="165"/>
      <c r="CP32" s="165"/>
      <c r="CQ32" s="165"/>
      <c r="CR32" s="165"/>
      <c r="CS32" s="175"/>
      <c r="CT32" s="172"/>
      <c r="CU32" s="165"/>
      <c r="CV32" s="160"/>
    </row>
    <row r="33" spans="1:100" x14ac:dyDescent="0.25">
      <c r="A33" s="178"/>
      <c r="B33" s="169"/>
      <c r="C33" s="135"/>
      <c r="D33" s="135"/>
      <c r="E33" s="135"/>
      <c r="F33" s="164"/>
      <c r="G33" s="165"/>
      <c r="H33" s="165"/>
      <c r="I33" s="165"/>
      <c r="J33" s="165"/>
      <c r="K33" s="165"/>
      <c r="L33" s="165"/>
      <c r="M33" s="160"/>
      <c r="N33" s="164"/>
      <c r="O33" s="165"/>
      <c r="P33" s="165"/>
      <c r="Q33" s="165"/>
      <c r="R33" s="165"/>
      <c r="S33" s="165"/>
      <c r="T33" s="165"/>
      <c r="U33" s="160"/>
      <c r="V33" s="165"/>
      <c r="W33" s="169"/>
      <c r="X33" s="164"/>
      <c r="Y33" s="165"/>
      <c r="Z33" s="165"/>
      <c r="AA33" s="165"/>
      <c r="AB33" s="165"/>
      <c r="AC33" s="165"/>
      <c r="AD33" s="165"/>
      <c r="AE33" s="160"/>
      <c r="AF33" s="164"/>
      <c r="AG33" s="165"/>
      <c r="AH33" s="182"/>
      <c r="AI33" s="175"/>
      <c r="AJ33" s="172"/>
      <c r="AK33" s="165"/>
      <c r="AL33" s="165"/>
      <c r="AM33" s="165"/>
      <c r="AN33" s="165"/>
      <c r="AO33" s="165"/>
      <c r="AP33" s="160"/>
      <c r="AQ33" s="164"/>
      <c r="AR33" s="165"/>
      <c r="AS33" s="165"/>
      <c r="AT33" s="165"/>
      <c r="AU33" s="165"/>
      <c r="AV33" s="165"/>
      <c r="AW33" s="165"/>
      <c r="AX33" s="160"/>
      <c r="AY33" s="164"/>
      <c r="AZ33" s="169"/>
      <c r="BA33" s="164"/>
      <c r="BB33" s="165"/>
      <c r="BC33" s="165"/>
      <c r="BD33" s="165"/>
      <c r="BE33" s="165"/>
      <c r="BF33" s="165"/>
      <c r="BG33" s="165"/>
      <c r="BH33" s="160"/>
      <c r="BI33" s="164"/>
      <c r="BJ33" s="165"/>
      <c r="BK33" s="182"/>
      <c r="BL33" s="165"/>
      <c r="BM33" s="165"/>
      <c r="BN33" s="175"/>
      <c r="BO33" s="172"/>
      <c r="BP33" s="165"/>
      <c r="BQ33" s="165"/>
      <c r="BR33" s="165"/>
      <c r="BS33" s="160"/>
      <c r="BT33" s="164"/>
      <c r="BU33" s="165"/>
      <c r="BV33" s="165"/>
      <c r="BW33" s="165"/>
      <c r="BX33" s="165"/>
      <c r="BY33" s="165"/>
      <c r="BZ33" s="165"/>
      <c r="CA33" s="160"/>
      <c r="CB33" s="164"/>
      <c r="CC33" s="169"/>
      <c r="CD33" s="164"/>
      <c r="CE33" s="165"/>
      <c r="CF33" s="165"/>
      <c r="CG33" s="165"/>
      <c r="CH33" s="165"/>
      <c r="CI33" s="165"/>
      <c r="CJ33" s="165"/>
      <c r="CK33" s="160"/>
      <c r="CL33" s="164"/>
      <c r="CM33" s="165"/>
      <c r="CN33" s="182"/>
      <c r="CO33" s="165"/>
      <c r="CP33" s="165"/>
      <c r="CQ33" s="165"/>
      <c r="CR33" s="165"/>
      <c r="CS33" s="175"/>
      <c r="CT33" s="172"/>
      <c r="CU33" s="165"/>
      <c r="CV33" s="160"/>
    </row>
    <row r="34" spans="1:100" x14ac:dyDescent="0.25">
      <c r="A34" s="178"/>
      <c r="B34" s="169"/>
      <c r="C34" s="135"/>
      <c r="D34" s="135"/>
      <c r="E34" s="135"/>
      <c r="F34" s="164"/>
      <c r="G34" s="165"/>
      <c r="H34" s="165"/>
      <c r="I34" s="165"/>
      <c r="J34" s="165"/>
      <c r="K34" s="165"/>
      <c r="L34" s="165"/>
      <c r="M34" s="160"/>
      <c r="N34" s="164"/>
      <c r="O34" s="165"/>
      <c r="P34" s="165"/>
      <c r="Q34" s="165"/>
      <c r="R34" s="165"/>
      <c r="S34" s="165"/>
      <c r="T34" s="165"/>
      <c r="U34" s="160"/>
      <c r="V34" s="165"/>
      <c r="W34" s="169"/>
      <c r="X34" s="164"/>
      <c r="Y34" s="165"/>
      <c r="Z34" s="165"/>
      <c r="AA34" s="165"/>
      <c r="AB34" s="165"/>
      <c r="AC34" s="165"/>
      <c r="AD34" s="165"/>
      <c r="AE34" s="160"/>
      <c r="AF34" s="164"/>
      <c r="AG34" s="165"/>
      <c r="AH34" s="182"/>
      <c r="AI34" s="175"/>
      <c r="AJ34" s="172"/>
      <c r="AK34" s="165"/>
      <c r="AL34" s="165"/>
      <c r="AM34" s="165"/>
      <c r="AN34" s="165"/>
      <c r="AO34" s="165"/>
      <c r="AP34" s="160"/>
      <c r="AQ34" s="164"/>
      <c r="AR34" s="165"/>
      <c r="AS34" s="165"/>
      <c r="AT34" s="165"/>
      <c r="AU34" s="165"/>
      <c r="AV34" s="165"/>
      <c r="AW34" s="165"/>
      <c r="AX34" s="160"/>
      <c r="AY34" s="164"/>
      <c r="AZ34" s="169"/>
      <c r="BA34" s="164"/>
      <c r="BB34" s="165"/>
      <c r="BC34" s="165"/>
      <c r="BD34" s="165"/>
      <c r="BE34" s="165"/>
      <c r="BF34" s="165"/>
      <c r="BG34" s="165"/>
      <c r="BH34" s="160"/>
      <c r="BI34" s="164"/>
      <c r="BJ34" s="165"/>
      <c r="BK34" s="182"/>
      <c r="BL34" s="165"/>
      <c r="BM34" s="165"/>
      <c r="BN34" s="175"/>
      <c r="BO34" s="172"/>
      <c r="BP34" s="165"/>
      <c r="BQ34" s="165"/>
      <c r="BR34" s="165"/>
      <c r="BS34" s="160"/>
      <c r="BT34" s="164"/>
      <c r="BU34" s="165"/>
      <c r="BV34" s="165"/>
      <c r="BW34" s="165"/>
      <c r="BX34" s="165"/>
      <c r="BY34" s="165"/>
      <c r="BZ34" s="165"/>
      <c r="CA34" s="160"/>
      <c r="CB34" s="164"/>
      <c r="CC34" s="169"/>
      <c r="CD34" s="164"/>
      <c r="CE34" s="165"/>
      <c r="CF34" s="165"/>
      <c r="CG34" s="165"/>
      <c r="CH34" s="165"/>
      <c r="CI34" s="165"/>
      <c r="CJ34" s="165"/>
      <c r="CK34" s="160"/>
      <c r="CL34" s="164"/>
      <c r="CM34" s="165"/>
      <c r="CN34" s="182"/>
      <c r="CO34" s="165"/>
      <c r="CP34" s="165"/>
      <c r="CQ34" s="165"/>
      <c r="CR34" s="165"/>
      <c r="CS34" s="175"/>
      <c r="CT34" s="172"/>
      <c r="CU34" s="165"/>
      <c r="CV34" s="160"/>
    </row>
    <row r="35" spans="1:100" x14ac:dyDescent="0.25">
      <c r="A35" s="178"/>
      <c r="B35" s="169"/>
      <c r="C35" s="135"/>
      <c r="D35" s="135"/>
      <c r="E35" s="135"/>
      <c r="F35" s="164"/>
      <c r="G35" s="165"/>
      <c r="H35" s="165"/>
      <c r="I35" s="165"/>
      <c r="J35" s="165"/>
      <c r="K35" s="165"/>
      <c r="L35" s="165"/>
      <c r="M35" s="160"/>
      <c r="N35" s="164"/>
      <c r="O35" s="165"/>
      <c r="P35" s="165"/>
      <c r="Q35" s="165"/>
      <c r="R35" s="165"/>
      <c r="S35" s="165"/>
      <c r="T35" s="165"/>
      <c r="U35" s="160"/>
      <c r="V35" s="165"/>
      <c r="W35" s="169"/>
      <c r="X35" s="164"/>
      <c r="Y35" s="165"/>
      <c r="Z35" s="165"/>
      <c r="AA35" s="165"/>
      <c r="AB35" s="165"/>
      <c r="AC35" s="165"/>
      <c r="AD35" s="165"/>
      <c r="AE35" s="160"/>
      <c r="AF35" s="164"/>
      <c r="AG35" s="165"/>
      <c r="AH35" s="182"/>
      <c r="AI35" s="175"/>
      <c r="AJ35" s="172"/>
      <c r="AK35" s="165"/>
      <c r="AL35" s="165"/>
      <c r="AM35" s="165"/>
      <c r="AN35" s="165"/>
      <c r="AO35" s="165"/>
      <c r="AP35" s="160"/>
      <c r="AQ35" s="164"/>
      <c r="AR35" s="165"/>
      <c r="AS35" s="165"/>
      <c r="AT35" s="165"/>
      <c r="AU35" s="165"/>
      <c r="AV35" s="165"/>
      <c r="AW35" s="165"/>
      <c r="AX35" s="160"/>
      <c r="AY35" s="164"/>
      <c r="AZ35" s="169"/>
      <c r="BA35" s="164"/>
      <c r="BB35" s="165"/>
      <c r="BC35" s="165"/>
      <c r="BD35" s="165"/>
      <c r="BE35" s="165"/>
      <c r="BF35" s="165"/>
      <c r="BG35" s="165"/>
      <c r="BH35" s="160"/>
      <c r="BI35" s="164"/>
      <c r="BJ35" s="165"/>
      <c r="BK35" s="182"/>
      <c r="BL35" s="165"/>
      <c r="BM35" s="165"/>
      <c r="BN35" s="175"/>
      <c r="BO35" s="172"/>
      <c r="BP35" s="165"/>
      <c r="BQ35" s="165"/>
      <c r="BR35" s="165"/>
      <c r="BS35" s="160"/>
      <c r="BT35" s="164"/>
      <c r="BU35" s="165"/>
      <c r="BV35" s="165"/>
      <c r="BW35" s="165"/>
      <c r="BX35" s="165"/>
      <c r="BY35" s="165"/>
      <c r="BZ35" s="165"/>
      <c r="CA35" s="160"/>
      <c r="CB35" s="164"/>
      <c r="CC35" s="169"/>
      <c r="CD35" s="164"/>
      <c r="CE35" s="165"/>
      <c r="CF35" s="165"/>
      <c r="CG35" s="165"/>
      <c r="CH35" s="165"/>
      <c r="CI35" s="165"/>
      <c r="CJ35" s="165"/>
      <c r="CK35" s="160"/>
      <c r="CL35" s="164"/>
      <c r="CM35" s="165"/>
      <c r="CN35" s="182"/>
      <c r="CO35" s="165"/>
      <c r="CP35" s="165"/>
      <c r="CQ35" s="165"/>
      <c r="CR35" s="165"/>
      <c r="CS35" s="175"/>
      <c r="CT35" s="172"/>
      <c r="CU35" s="165"/>
      <c r="CV35" s="160"/>
    </row>
    <row r="36" spans="1:100" x14ac:dyDescent="0.25">
      <c r="A36" s="178"/>
      <c r="B36" s="169"/>
      <c r="F36" s="164"/>
      <c r="G36" s="165"/>
      <c r="H36" s="165"/>
      <c r="I36" s="165"/>
      <c r="J36" s="165"/>
      <c r="K36" s="165"/>
      <c r="L36" s="165"/>
      <c r="M36" s="160"/>
      <c r="N36" s="164"/>
      <c r="O36" s="165"/>
      <c r="P36" s="165"/>
      <c r="Q36" s="165"/>
      <c r="R36" s="165"/>
      <c r="S36" s="165"/>
      <c r="T36" s="165"/>
      <c r="U36" s="160"/>
      <c r="V36" s="165"/>
      <c r="W36" s="169"/>
      <c r="X36" s="164"/>
      <c r="Y36" s="165"/>
      <c r="Z36" s="165"/>
      <c r="AA36" s="165"/>
      <c r="AB36" s="165"/>
      <c r="AC36" s="165"/>
      <c r="AD36" s="165"/>
      <c r="AE36" s="160"/>
      <c r="AF36" s="164"/>
      <c r="AG36" s="165"/>
      <c r="AH36" s="182"/>
      <c r="AI36" s="175"/>
      <c r="AJ36" s="172"/>
      <c r="AK36" s="165"/>
      <c r="AL36" s="165"/>
      <c r="AM36" s="165"/>
      <c r="AN36" s="165"/>
      <c r="AO36" s="165"/>
      <c r="AP36" s="160"/>
      <c r="AQ36" s="164"/>
      <c r="AR36" s="165"/>
      <c r="AS36" s="165"/>
      <c r="AT36" s="165"/>
      <c r="AU36" s="165"/>
      <c r="AV36" s="165"/>
      <c r="AW36" s="165"/>
      <c r="AX36" s="160"/>
      <c r="AY36" s="164"/>
      <c r="AZ36" s="169"/>
      <c r="BA36" s="164"/>
      <c r="BB36" s="165"/>
      <c r="BC36" s="165"/>
      <c r="BD36" s="165"/>
      <c r="BE36" s="165"/>
      <c r="BF36" s="165"/>
      <c r="BG36" s="165"/>
      <c r="BH36" s="160"/>
      <c r="BI36" s="164"/>
      <c r="BJ36" s="165"/>
      <c r="BK36" s="182"/>
      <c r="BL36" s="165"/>
      <c r="BM36" s="165"/>
      <c r="BN36" s="175"/>
      <c r="BO36" s="172"/>
      <c r="BP36" s="165"/>
      <c r="BQ36" s="165"/>
      <c r="BR36" s="165"/>
      <c r="BS36" s="160"/>
      <c r="BT36" s="164"/>
      <c r="BU36" s="165"/>
      <c r="BV36" s="165"/>
      <c r="BW36" s="165"/>
      <c r="BX36" s="165"/>
      <c r="BY36" s="165"/>
      <c r="BZ36" s="165"/>
      <c r="CA36" s="160"/>
      <c r="CB36" s="164"/>
      <c r="CC36" s="169"/>
      <c r="CD36" s="164"/>
      <c r="CE36" s="165"/>
      <c r="CF36" s="165"/>
      <c r="CG36" s="165"/>
      <c r="CH36" s="165"/>
      <c r="CI36" s="165"/>
      <c r="CJ36" s="165"/>
      <c r="CK36" s="160"/>
      <c r="CL36" s="164"/>
      <c r="CM36" s="165"/>
      <c r="CN36" s="182"/>
      <c r="CO36" s="165"/>
      <c r="CP36" s="165"/>
      <c r="CQ36" s="165"/>
      <c r="CR36" s="165"/>
      <c r="CS36" s="175"/>
      <c r="CT36" s="172"/>
      <c r="CU36" s="165"/>
      <c r="CV36" s="160"/>
    </row>
    <row r="37" spans="1:100" x14ac:dyDescent="0.25">
      <c r="A37" s="178"/>
      <c r="B37" s="169"/>
      <c r="F37" s="164"/>
      <c r="G37" s="165"/>
      <c r="H37" s="165"/>
      <c r="I37" s="165"/>
      <c r="J37" s="165"/>
      <c r="K37" s="165"/>
      <c r="L37" s="165"/>
      <c r="M37" s="160"/>
      <c r="N37" s="164"/>
      <c r="O37" s="165"/>
      <c r="P37" s="165"/>
      <c r="Q37" s="165"/>
      <c r="R37" s="165"/>
      <c r="S37" s="165"/>
      <c r="T37" s="165"/>
      <c r="U37" s="160"/>
      <c r="V37" s="165"/>
      <c r="W37" s="169"/>
      <c r="X37" s="164"/>
      <c r="Y37" s="165"/>
      <c r="Z37" s="165"/>
      <c r="AA37" s="165"/>
      <c r="AB37" s="165"/>
      <c r="AC37" s="165"/>
      <c r="AD37" s="165"/>
      <c r="AE37" s="160"/>
      <c r="AF37" s="164"/>
      <c r="AG37" s="165"/>
      <c r="AH37" s="182"/>
      <c r="AI37" s="175"/>
      <c r="AJ37" s="172"/>
      <c r="AK37" s="165"/>
      <c r="AL37" s="165"/>
      <c r="AM37" s="165"/>
      <c r="AN37" s="165"/>
      <c r="AO37" s="165"/>
      <c r="AP37" s="160"/>
      <c r="AQ37" s="164"/>
      <c r="AR37" s="165"/>
      <c r="AS37" s="165"/>
      <c r="AT37" s="165"/>
      <c r="AU37" s="165"/>
      <c r="AV37" s="165"/>
      <c r="AW37" s="165"/>
      <c r="AX37" s="160"/>
      <c r="AY37" s="164"/>
      <c r="AZ37" s="169"/>
      <c r="BA37" s="164"/>
      <c r="BB37" s="165"/>
      <c r="BC37" s="165"/>
      <c r="BD37" s="165"/>
      <c r="BE37" s="165"/>
      <c r="BF37" s="165"/>
      <c r="BG37" s="165"/>
      <c r="BH37" s="160"/>
      <c r="BI37" s="164"/>
      <c r="BJ37" s="165"/>
      <c r="BK37" s="182"/>
      <c r="BL37" s="165"/>
      <c r="BM37" s="165"/>
      <c r="BN37" s="175"/>
      <c r="BO37" s="172"/>
      <c r="BP37" s="165"/>
      <c r="BQ37" s="165"/>
      <c r="BR37" s="165"/>
      <c r="BS37" s="160"/>
      <c r="BT37" s="164"/>
      <c r="BU37" s="165"/>
      <c r="BV37" s="165"/>
      <c r="BW37" s="165"/>
      <c r="BX37" s="165"/>
      <c r="BY37" s="165"/>
      <c r="BZ37" s="165"/>
      <c r="CA37" s="160"/>
      <c r="CB37" s="164"/>
      <c r="CC37" s="169"/>
      <c r="CD37" s="164"/>
      <c r="CE37" s="165"/>
      <c r="CF37" s="165"/>
      <c r="CG37" s="165"/>
      <c r="CH37" s="165"/>
      <c r="CI37" s="165"/>
      <c r="CJ37" s="165"/>
      <c r="CK37" s="160"/>
      <c r="CL37" s="164"/>
      <c r="CM37" s="165"/>
      <c r="CN37" s="182"/>
      <c r="CO37" s="165"/>
      <c r="CP37" s="165"/>
      <c r="CQ37" s="165"/>
      <c r="CR37" s="165"/>
      <c r="CS37" s="175"/>
      <c r="CT37" s="172"/>
      <c r="CU37" s="165"/>
      <c r="CV37" s="160"/>
    </row>
    <row r="38" spans="1:100" x14ac:dyDescent="0.25">
      <c r="A38" s="178"/>
      <c r="B38" s="169"/>
      <c r="F38" s="164"/>
      <c r="G38" s="165"/>
      <c r="H38" s="165"/>
      <c r="I38" s="165"/>
      <c r="J38" s="165"/>
      <c r="K38" s="165"/>
      <c r="L38" s="165"/>
      <c r="M38" s="160"/>
      <c r="N38" s="164"/>
      <c r="O38" s="165"/>
      <c r="P38" s="165"/>
      <c r="Q38" s="165"/>
      <c r="R38" s="165"/>
      <c r="S38" s="165"/>
      <c r="T38" s="165"/>
      <c r="U38" s="160"/>
      <c r="V38" s="165"/>
      <c r="W38" s="169"/>
      <c r="X38" s="164"/>
      <c r="Y38" s="165"/>
      <c r="Z38" s="165"/>
      <c r="AA38" s="165"/>
      <c r="AB38" s="165"/>
      <c r="AC38" s="165"/>
      <c r="AD38" s="165"/>
      <c r="AE38" s="160"/>
      <c r="AF38" s="164"/>
      <c r="AG38" s="165"/>
      <c r="AH38" s="182"/>
      <c r="AI38" s="175"/>
      <c r="AJ38" s="172"/>
      <c r="AK38" s="165"/>
      <c r="AL38" s="165"/>
      <c r="AM38" s="165"/>
      <c r="AN38" s="165"/>
      <c r="AO38" s="165"/>
      <c r="AP38" s="160"/>
      <c r="AQ38" s="164"/>
      <c r="AR38" s="165"/>
      <c r="AS38" s="165"/>
      <c r="AT38" s="165"/>
      <c r="AU38" s="165"/>
      <c r="AV38" s="165"/>
      <c r="AW38" s="165"/>
      <c r="AX38" s="160"/>
      <c r="AY38" s="164"/>
      <c r="AZ38" s="169"/>
      <c r="BA38" s="164"/>
      <c r="BB38" s="165"/>
      <c r="BC38" s="165"/>
      <c r="BD38" s="165"/>
      <c r="BE38" s="165"/>
      <c r="BF38" s="165"/>
      <c r="BG38" s="165"/>
      <c r="BH38" s="160"/>
      <c r="BI38" s="164"/>
      <c r="BJ38" s="165"/>
      <c r="BK38" s="182"/>
      <c r="BL38" s="165"/>
      <c r="BM38" s="165"/>
      <c r="BN38" s="175"/>
      <c r="BO38" s="172"/>
      <c r="BP38" s="165"/>
      <c r="BQ38" s="165"/>
      <c r="BR38" s="165"/>
      <c r="BS38" s="160"/>
      <c r="BT38" s="164"/>
      <c r="BU38" s="165"/>
      <c r="BV38" s="165"/>
      <c r="BW38" s="165"/>
      <c r="BX38" s="165"/>
      <c r="BY38" s="165"/>
      <c r="BZ38" s="165"/>
      <c r="CA38" s="160"/>
      <c r="CB38" s="164"/>
      <c r="CC38" s="169"/>
      <c r="CD38" s="164"/>
      <c r="CE38" s="165"/>
      <c r="CF38" s="165"/>
      <c r="CG38" s="165"/>
      <c r="CH38" s="165"/>
      <c r="CI38" s="165"/>
      <c r="CJ38" s="165"/>
      <c r="CK38" s="160"/>
      <c r="CL38" s="164"/>
      <c r="CM38" s="165"/>
      <c r="CN38" s="182"/>
      <c r="CO38" s="165"/>
      <c r="CP38" s="165"/>
      <c r="CQ38" s="165"/>
      <c r="CR38" s="165"/>
      <c r="CS38" s="175"/>
      <c r="CT38" s="172"/>
      <c r="CU38" s="165"/>
      <c r="CV38" s="160"/>
    </row>
    <row r="39" spans="1:100" x14ac:dyDescent="0.25">
      <c r="A39" s="178"/>
      <c r="B39" s="169"/>
      <c r="F39" s="164"/>
      <c r="G39" s="165"/>
      <c r="H39" s="165"/>
      <c r="I39" s="165"/>
      <c r="J39" s="165"/>
      <c r="K39" s="165"/>
      <c r="L39" s="165"/>
      <c r="M39" s="160"/>
      <c r="N39" s="164"/>
      <c r="O39" s="165"/>
      <c r="P39" s="165"/>
      <c r="Q39" s="165"/>
      <c r="R39" s="165"/>
      <c r="S39" s="165"/>
      <c r="T39" s="165"/>
      <c r="U39" s="160"/>
      <c r="V39" s="165"/>
      <c r="W39" s="169"/>
      <c r="X39" s="164"/>
      <c r="Y39" s="165"/>
      <c r="Z39" s="165"/>
      <c r="AA39" s="165"/>
      <c r="AB39" s="165"/>
      <c r="AC39" s="165"/>
      <c r="AD39" s="165"/>
      <c r="AE39" s="160"/>
      <c r="AF39" s="164"/>
      <c r="AG39" s="165"/>
      <c r="AH39" s="182"/>
      <c r="AI39" s="175"/>
      <c r="AJ39" s="172"/>
      <c r="AK39" s="165"/>
      <c r="AL39" s="165"/>
      <c r="AM39" s="165"/>
      <c r="AN39" s="165"/>
      <c r="AO39" s="165"/>
      <c r="AP39" s="160"/>
      <c r="AQ39" s="164"/>
      <c r="AR39" s="165"/>
      <c r="AS39" s="165"/>
      <c r="AT39" s="165"/>
      <c r="AU39" s="165"/>
      <c r="AV39" s="165"/>
      <c r="AW39" s="165"/>
      <c r="AX39" s="160"/>
      <c r="AY39" s="164"/>
      <c r="AZ39" s="169"/>
      <c r="BA39" s="164"/>
      <c r="BB39" s="165"/>
      <c r="BC39" s="165"/>
      <c r="BD39" s="165"/>
      <c r="BE39" s="165"/>
      <c r="BF39" s="165"/>
      <c r="BG39" s="165"/>
      <c r="BH39" s="160"/>
      <c r="BI39" s="164"/>
      <c r="BJ39" s="165"/>
      <c r="BK39" s="182"/>
      <c r="BL39" s="165"/>
      <c r="BM39" s="165"/>
      <c r="BN39" s="175"/>
      <c r="BO39" s="172"/>
      <c r="BP39" s="165"/>
      <c r="BQ39" s="165"/>
      <c r="BR39" s="165"/>
      <c r="BS39" s="160"/>
      <c r="BT39" s="164"/>
      <c r="BU39" s="165"/>
      <c r="BV39" s="165"/>
      <c r="BW39" s="165"/>
      <c r="BX39" s="165"/>
      <c r="BY39" s="165"/>
      <c r="BZ39" s="165"/>
      <c r="CA39" s="160"/>
      <c r="CB39" s="164"/>
      <c r="CC39" s="169"/>
      <c r="CD39" s="164"/>
      <c r="CE39" s="165"/>
      <c r="CF39" s="165"/>
      <c r="CG39" s="165"/>
      <c r="CH39" s="165"/>
      <c r="CI39" s="165"/>
      <c r="CJ39" s="165"/>
      <c r="CK39" s="160"/>
      <c r="CL39" s="164"/>
      <c r="CM39" s="165"/>
      <c r="CN39" s="182"/>
      <c r="CO39" s="165"/>
      <c r="CP39" s="165"/>
      <c r="CQ39" s="165"/>
      <c r="CR39" s="165"/>
      <c r="CS39" s="175"/>
      <c r="CT39" s="172"/>
      <c r="CU39" s="165"/>
      <c r="CV39" s="160"/>
    </row>
    <row r="40" spans="1:100" x14ac:dyDescent="0.25">
      <c r="A40" s="178"/>
      <c r="B40" s="169"/>
      <c r="F40" s="164"/>
      <c r="G40" s="165"/>
      <c r="H40" s="165"/>
      <c r="I40" s="165"/>
      <c r="J40" s="165"/>
      <c r="K40" s="165"/>
      <c r="L40" s="165"/>
      <c r="M40" s="160"/>
      <c r="N40" s="164"/>
      <c r="O40" s="165"/>
      <c r="P40" s="165"/>
      <c r="Q40" s="165"/>
      <c r="R40" s="165"/>
      <c r="S40" s="165"/>
      <c r="T40" s="165"/>
      <c r="U40" s="160"/>
      <c r="V40" s="165"/>
      <c r="W40" s="169"/>
      <c r="X40" s="164"/>
      <c r="Y40" s="165"/>
      <c r="Z40" s="165"/>
      <c r="AA40" s="165"/>
      <c r="AB40" s="165"/>
      <c r="AC40" s="165"/>
      <c r="AD40" s="165"/>
      <c r="AE40" s="160"/>
      <c r="AF40" s="164"/>
      <c r="AG40" s="165"/>
      <c r="AH40" s="182"/>
      <c r="AI40" s="175"/>
      <c r="AJ40" s="172"/>
      <c r="AK40" s="165"/>
      <c r="AL40" s="165"/>
      <c r="AM40" s="165"/>
      <c r="AN40" s="165"/>
      <c r="AO40" s="165"/>
      <c r="AP40" s="160"/>
      <c r="AQ40" s="164"/>
      <c r="AR40" s="165"/>
      <c r="AS40" s="165"/>
      <c r="AT40" s="165"/>
      <c r="AU40" s="165"/>
      <c r="AV40" s="165"/>
      <c r="AW40" s="165"/>
      <c r="AX40" s="160"/>
      <c r="AY40" s="164"/>
      <c r="AZ40" s="169"/>
      <c r="BA40" s="164"/>
      <c r="BB40" s="165"/>
      <c r="BC40" s="165"/>
      <c r="BD40" s="165"/>
      <c r="BE40" s="165"/>
      <c r="BF40" s="165"/>
      <c r="BG40" s="165"/>
      <c r="BH40" s="160"/>
      <c r="BI40" s="164"/>
      <c r="BJ40" s="165"/>
      <c r="BK40" s="182"/>
      <c r="BL40" s="165"/>
      <c r="BM40" s="165"/>
      <c r="BN40" s="175"/>
      <c r="BO40" s="172"/>
      <c r="BP40" s="165"/>
      <c r="BQ40" s="165"/>
      <c r="BR40" s="165"/>
      <c r="BS40" s="160"/>
      <c r="BT40" s="164"/>
      <c r="BU40" s="165"/>
      <c r="BV40" s="165"/>
      <c r="BW40" s="165"/>
      <c r="BX40" s="165"/>
      <c r="BY40" s="165"/>
      <c r="BZ40" s="165"/>
      <c r="CA40" s="160"/>
      <c r="CB40" s="164"/>
      <c r="CC40" s="169"/>
      <c r="CD40" s="164"/>
      <c r="CE40" s="165"/>
      <c r="CF40" s="165"/>
      <c r="CG40" s="165"/>
      <c r="CH40" s="165"/>
      <c r="CI40" s="165"/>
      <c r="CJ40" s="165"/>
      <c r="CK40" s="160"/>
      <c r="CL40" s="164"/>
      <c r="CM40" s="165"/>
      <c r="CN40" s="182"/>
      <c r="CO40" s="165"/>
      <c r="CP40" s="165"/>
      <c r="CQ40" s="165"/>
      <c r="CR40" s="165"/>
      <c r="CS40" s="175"/>
      <c r="CT40" s="172"/>
      <c r="CU40" s="165"/>
      <c r="CV40" s="160"/>
    </row>
    <row r="41" spans="1:100" x14ac:dyDescent="0.25">
      <c r="A41" s="178"/>
      <c r="B41" s="169"/>
      <c r="F41" s="164"/>
      <c r="G41" s="165"/>
      <c r="H41" s="165"/>
      <c r="I41" s="165"/>
      <c r="J41" s="165"/>
      <c r="K41" s="165"/>
      <c r="L41" s="165"/>
      <c r="M41" s="160"/>
      <c r="N41" s="164"/>
      <c r="O41" s="165"/>
      <c r="P41" s="165"/>
      <c r="Q41" s="165"/>
      <c r="R41" s="165"/>
      <c r="S41" s="165"/>
      <c r="T41" s="165"/>
      <c r="U41" s="160"/>
      <c r="V41" s="165"/>
      <c r="W41" s="169"/>
      <c r="X41" s="164"/>
      <c r="Y41" s="165"/>
      <c r="Z41" s="165"/>
      <c r="AA41" s="165"/>
      <c r="AB41" s="165"/>
      <c r="AC41" s="165"/>
      <c r="AD41" s="165"/>
      <c r="AE41" s="160"/>
      <c r="AF41" s="164"/>
      <c r="AG41" s="165"/>
      <c r="AH41" s="182"/>
      <c r="AI41" s="175"/>
      <c r="AJ41" s="172"/>
      <c r="AK41" s="165"/>
      <c r="AL41" s="165"/>
      <c r="AM41" s="165"/>
      <c r="AN41" s="165"/>
      <c r="AO41" s="165"/>
      <c r="AP41" s="160"/>
      <c r="AQ41" s="164"/>
      <c r="AR41" s="165"/>
      <c r="AS41" s="165"/>
      <c r="AT41" s="165"/>
      <c r="AU41" s="165"/>
      <c r="AV41" s="165"/>
      <c r="AW41" s="165"/>
      <c r="AX41" s="160"/>
      <c r="AY41" s="164"/>
      <c r="AZ41" s="169"/>
      <c r="BA41" s="164"/>
      <c r="BB41" s="165"/>
      <c r="BC41" s="165"/>
      <c r="BD41" s="165"/>
      <c r="BE41" s="165"/>
      <c r="BF41" s="165"/>
      <c r="BG41" s="165"/>
      <c r="BH41" s="160"/>
      <c r="BI41" s="164"/>
      <c r="BJ41" s="165"/>
      <c r="BK41" s="182"/>
      <c r="BL41" s="165"/>
      <c r="BM41" s="165"/>
      <c r="BN41" s="175"/>
      <c r="BO41" s="172"/>
      <c r="BP41" s="165"/>
      <c r="BQ41" s="165"/>
      <c r="BR41" s="165"/>
      <c r="BS41" s="160"/>
      <c r="BT41" s="164"/>
      <c r="BU41" s="165"/>
      <c r="BV41" s="165"/>
      <c r="BW41" s="165"/>
      <c r="BX41" s="165"/>
      <c r="BY41" s="165"/>
      <c r="BZ41" s="165"/>
      <c r="CA41" s="160"/>
      <c r="CB41" s="164"/>
      <c r="CC41" s="169"/>
      <c r="CD41" s="164"/>
      <c r="CE41" s="165"/>
      <c r="CF41" s="165"/>
      <c r="CG41" s="165"/>
      <c r="CH41" s="165"/>
      <c r="CI41" s="165"/>
      <c r="CJ41" s="165"/>
      <c r="CK41" s="160"/>
      <c r="CL41" s="164"/>
      <c r="CM41" s="165"/>
      <c r="CN41" s="182"/>
      <c r="CO41" s="165"/>
      <c r="CP41" s="165"/>
      <c r="CQ41" s="165"/>
      <c r="CR41" s="165"/>
      <c r="CS41" s="175"/>
      <c r="CT41" s="172"/>
      <c r="CU41" s="165"/>
      <c r="CV41" s="160"/>
    </row>
    <row r="42" spans="1:100" x14ac:dyDescent="0.25">
      <c r="A42" s="178"/>
      <c r="B42" s="169"/>
      <c r="F42" s="164"/>
      <c r="G42" s="165"/>
      <c r="H42" s="165"/>
      <c r="I42" s="165"/>
      <c r="J42" s="165"/>
      <c r="K42" s="165"/>
      <c r="L42" s="165"/>
      <c r="M42" s="160"/>
      <c r="N42" s="164"/>
      <c r="O42" s="165"/>
      <c r="P42" s="165"/>
      <c r="Q42" s="165"/>
      <c r="R42" s="165"/>
      <c r="S42" s="165"/>
      <c r="T42" s="165"/>
      <c r="U42" s="160"/>
      <c r="V42" s="165"/>
      <c r="W42" s="169"/>
      <c r="X42" s="164"/>
      <c r="Y42" s="165"/>
      <c r="Z42" s="165"/>
      <c r="AA42" s="165"/>
      <c r="AB42" s="165"/>
      <c r="AC42" s="165"/>
      <c r="AD42" s="165"/>
      <c r="AE42" s="160"/>
      <c r="AF42" s="164"/>
      <c r="AG42" s="165"/>
      <c r="AH42" s="182"/>
      <c r="AI42" s="175"/>
      <c r="AJ42" s="172"/>
      <c r="AK42" s="165"/>
      <c r="AL42" s="165"/>
      <c r="AM42" s="165"/>
      <c r="AN42" s="165"/>
      <c r="AO42" s="165"/>
      <c r="AP42" s="160"/>
      <c r="AQ42" s="164"/>
      <c r="AR42" s="165"/>
      <c r="AS42" s="165"/>
      <c r="AT42" s="165"/>
      <c r="AU42" s="165"/>
      <c r="AV42" s="165"/>
      <c r="AW42" s="165"/>
      <c r="AX42" s="160"/>
      <c r="AY42" s="164"/>
      <c r="AZ42" s="169"/>
      <c r="BA42" s="164"/>
      <c r="BB42" s="165"/>
      <c r="BC42" s="165"/>
      <c r="BD42" s="165"/>
      <c r="BE42" s="165"/>
      <c r="BF42" s="165"/>
      <c r="BG42" s="165"/>
      <c r="BH42" s="160"/>
      <c r="BI42" s="164"/>
      <c r="BJ42" s="165"/>
      <c r="BK42" s="182"/>
      <c r="BL42" s="165"/>
      <c r="BM42" s="165"/>
      <c r="BN42" s="175"/>
      <c r="BO42" s="172"/>
      <c r="BP42" s="165"/>
      <c r="BQ42" s="165"/>
      <c r="BR42" s="165"/>
      <c r="BS42" s="160"/>
      <c r="BT42" s="164"/>
      <c r="BU42" s="165"/>
      <c r="BV42" s="165"/>
      <c r="BW42" s="165"/>
      <c r="BX42" s="165"/>
      <c r="BY42" s="165"/>
      <c r="BZ42" s="165"/>
      <c r="CA42" s="160"/>
      <c r="CB42" s="164"/>
      <c r="CC42" s="169"/>
      <c r="CD42" s="164"/>
      <c r="CE42" s="165"/>
      <c r="CF42" s="165"/>
      <c r="CG42" s="165"/>
      <c r="CH42" s="165"/>
      <c r="CI42" s="165"/>
      <c r="CJ42" s="165"/>
      <c r="CK42" s="160"/>
      <c r="CL42" s="164"/>
      <c r="CM42" s="165"/>
      <c r="CN42" s="182"/>
      <c r="CO42" s="165"/>
      <c r="CP42" s="165"/>
      <c r="CQ42" s="165"/>
      <c r="CR42" s="165"/>
      <c r="CS42" s="175"/>
      <c r="CT42" s="172"/>
      <c r="CU42" s="165"/>
      <c r="CV42" s="160"/>
    </row>
    <row r="43" spans="1:100" x14ac:dyDescent="0.25">
      <c r="A43" s="178"/>
      <c r="B43" s="169"/>
      <c r="F43" s="164"/>
      <c r="G43" s="165"/>
      <c r="H43" s="165"/>
      <c r="I43" s="165"/>
      <c r="J43" s="165"/>
      <c r="K43" s="165"/>
      <c r="L43" s="165"/>
      <c r="M43" s="160"/>
      <c r="N43" s="164"/>
      <c r="O43" s="165"/>
      <c r="P43" s="165"/>
      <c r="Q43" s="165"/>
      <c r="R43" s="165"/>
      <c r="S43" s="165"/>
      <c r="T43" s="165"/>
      <c r="U43" s="160"/>
      <c r="V43" s="165"/>
      <c r="W43" s="169"/>
      <c r="X43" s="164"/>
      <c r="Y43" s="165"/>
      <c r="Z43" s="165"/>
      <c r="AA43" s="165"/>
      <c r="AB43" s="165"/>
      <c r="AC43" s="165"/>
      <c r="AD43" s="165"/>
      <c r="AE43" s="160"/>
      <c r="AF43" s="164"/>
      <c r="AG43" s="165"/>
      <c r="AH43" s="182"/>
      <c r="AI43" s="175"/>
      <c r="AJ43" s="172"/>
      <c r="AK43" s="165"/>
      <c r="AL43" s="165"/>
      <c r="AM43" s="165"/>
      <c r="AN43" s="165"/>
      <c r="AO43" s="165"/>
      <c r="AP43" s="160"/>
      <c r="AQ43" s="164"/>
      <c r="AR43" s="165"/>
      <c r="AS43" s="165"/>
      <c r="AT43" s="165"/>
      <c r="AU43" s="165"/>
      <c r="AV43" s="165"/>
      <c r="AW43" s="165"/>
      <c r="AX43" s="160"/>
      <c r="AY43" s="164"/>
      <c r="AZ43" s="169"/>
      <c r="BA43" s="164"/>
      <c r="BB43" s="165"/>
      <c r="BC43" s="165"/>
      <c r="BD43" s="165"/>
      <c r="BE43" s="165"/>
      <c r="BF43" s="165"/>
      <c r="BG43" s="165"/>
      <c r="BH43" s="160"/>
      <c r="BI43" s="164"/>
      <c r="BJ43" s="165"/>
      <c r="BK43" s="182"/>
      <c r="BL43" s="165"/>
      <c r="BM43" s="165"/>
      <c r="BN43" s="175"/>
      <c r="BO43" s="172"/>
      <c r="BP43" s="165"/>
      <c r="BQ43" s="165"/>
      <c r="BR43" s="165"/>
      <c r="BS43" s="160"/>
      <c r="BT43" s="164"/>
      <c r="BU43" s="165"/>
      <c r="BV43" s="165"/>
      <c r="BW43" s="165"/>
      <c r="BX43" s="165"/>
      <c r="BY43" s="165"/>
      <c r="BZ43" s="165"/>
      <c r="CA43" s="160"/>
      <c r="CB43" s="164"/>
      <c r="CC43" s="169"/>
      <c r="CD43" s="164"/>
      <c r="CE43" s="165"/>
      <c r="CF43" s="165"/>
      <c r="CG43" s="165"/>
      <c r="CH43" s="165"/>
      <c r="CI43" s="165"/>
      <c r="CJ43" s="165"/>
      <c r="CK43" s="160"/>
      <c r="CL43" s="164"/>
      <c r="CM43" s="165"/>
      <c r="CN43" s="182"/>
      <c r="CO43" s="165"/>
      <c r="CP43" s="165"/>
      <c r="CQ43" s="165"/>
      <c r="CR43" s="165"/>
      <c r="CS43" s="175"/>
      <c r="CT43" s="172"/>
      <c r="CU43" s="165"/>
      <c r="CV43" s="160"/>
    </row>
    <row r="44" spans="1:100" x14ac:dyDescent="0.25">
      <c r="A44" s="178"/>
      <c r="B44" s="169"/>
      <c r="F44" s="164"/>
      <c r="G44" s="165"/>
      <c r="H44" s="165"/>
      <c r="I44" s="165"/>
      <c r="J44" s="165"/>
      <c r="K44" s="165"/>
      <c r="L44" s="165"/>
      <c r="M44" s="160"/>
      <c r="N44" s="164"/>
      <c r="O44" s="165"/>
      <c r="P44" s="165"/>
      <c r="Q44" s="165"/>
      <c r="R44" s="165"/>
      <c r="S44" s="165"/>
      <c r="T44" s="165"/>
      <c r="U44" s="160"/>
      <c r="V44" s="165"/>
      <c r="W44" s="169"/>
      <c r="X44" s="164"/>
      <c r="Y44" s="165"/>
      <c r="Z44" s="165"/>
      <c r="AA44" s="165"/>
      <c r="AB44" s="165"/>
      <c r="AC44" s="165"/>
      <c r="AD44" s="165"/>
      <c r="AE44" s="160"/>
      <c r="AF44" s="164"/>
      <c r="AG44" s="165"/>
      <c r="AH44" s="182"/>
      <c r="AI44" s="175"/>
      <c r="AJ44" s="172"/>
      <c r="AK44" s="165"/>
      <c r="AL44" s="165"/>
      <c r="AM44" s="165"/>
      <c r="AN44" s="165"/>
      <c r="AO44" s="165"/>
      <c r="AP44" s="160"/>
      <c r="AQ44" s="164"/>
      <c r="AR44" s="165"/>
      <c r="AS44" s="165"/>
      <c r="AT44" s="165"/>
      <c r="AU44" s="165"/>
      <c r="AV44" s="165"/>
      <c r="AW44" s="165"/>
      <c r="AX44" s="160"/>
      <c r="AY44" s="164"/>
      <c r="AZ44" s="169"/>
      <c r="BA44" s="164"/>
      <c r="BB44" s="165"/>
      <c r="BC44" s="165"/>
      <c r="BD44" s="165"/>
      <c r="BE44" s="165"/>
      <c r="BF44" s="165"/>
      <c r="BG44" s="165"/>
      <c r="BH44" s="160"/>
      <c r="BI44" s="164"/>
      <c r="BJ44" s="165"/>
      <c r="BK44" s="182"/>
      <c r="BL44" s="165"/>
      <c r="BM44" s="165"/>
      <c r="BN44" s="175"/>
      <c r="BO44" s="172"/>
      <c r="BP44" s="165"/>
      <c r="BQ44" s="165"/>
      <c r="BR44" s="165"/>
      <c r="BS44" s="160"/>
      <c r="BT44" s="164"/>
      <c r="BU44" s="165"/>
      <c r="BV44" s="165"/>
      <c r="BW44" s="165"/>
      <c r="BX44" s="165"/>
      <c r="BY44" s="165"/>
      <c r="BZ44" s="165"/>
      <c r="CA44" s="160"/>
      <c r="CB44" s="164"/>
      <c r="CC44" s="169"/>
      <c r="CD44" s="164"/>
      <c r="CE44" s="165"/>
      <c r="CF44" s="165"/>
      <c r="CG44" s="165"/>
      <c r="CH44" s="165"/>
      <c r="CI44" s="165"/>
      <c r="CJ44" s="165"/>
      <c r="CK44" s="160"/>
      <c r="CL44" s="164"/>
      <c r="CM44" s="165"/>
      <c r="CN44" s="182"/>
      <c r="CO44" s="165"/>
      <c r="CP44" s="165"/>
      <c r="CQ44" s="165"/>
      <c r="CR44" s="165"/>
      <c r="CS44" s="175"/>
      <c r="CT44" s="172"/>
      <c r="CU44" s="165"/>
      <c r="CV44" s="160"/>
    </row>
    <row r="45" spans="1:100" x14ac:dyDescent="0.25">
      <c r="A45" s="178"/>
      <c r="B45" s="169"/>
      <c r="F45" s="164"/>
      <c r="G45" s="165"/>
      <c r="H45" s="165"/>
      <c r="I45" s="165"/>
      <c r="J45" s="165"/>
      <c r="K45" s="165"/>
      <c r="L45" s="165"/>
      <c r="M45" s="160"/>
      <c r="N45" s="164"/>
      <c r="O45" s="165"/>
      <c r="P45" s="165"/>
      <c r="Q45" s="165"/>
      <c r="R45" s="165"/>
      <c r="S45" s="165"/>
      <c r="T45" s="165"/>
      <c r="U45" s="160"/>
      <c r="V45" s="165"/>
      <c r="W45" s="169"/>
      <c r="X45" s="164"/>
      <c r="Y45" s="165"/>
      <c r="Z45" s="165"/>
      <c r="AA45" s="165"/>
      <c r="AB45" s="165"/>
      <c r="AC45" s="165"/>
      <c r="AD45" s="165"/>
      <c r="AE45" s="160"/>
      <c r="AF45" s="164"/>
      <c r="AG45" s="165"/>
      <c r="AH45" s="182"/>
      <c r="AI45" s="175"/>
      <c r="AJ45" s="172"/>
      <c r="AK45" s="165"/>
      <c r="AL45" s="165"/>
      <c r="AM45" s="165"/>
      <c r="AN45" s="165"/>
      <c r="AO45" s="165"/>
      <c r="AP45" s="160"/>
      <c r="AQ45" s="164"/>
      <c r="AR45" s="165"/>
      <c r="AS45" s="165"/>
      <c r="AT45" s="165"/>
      <c r="AU45" s="165"/>
      <c r="AV45" s="165"/>
      <c r="AW45" s="165"/>
      <c r="AX45" s="160"/>
      <c r="AY45" s="164"/>
      <c r="AZ45" s="169"/>
      <c r="BA45" s="164"/>
      <c r="BB45" s="165"/>
      <c r="BC45" s="165"/>
      <c r="BD45" s="165"/>
      <c r="BE45" s="165"/>
      <c r="BF45" s="165"/>
      <c r="BG45" s="165"/>
      <c r="BH45" s="160"/>
      <c r="BI45" s="164"/>
      <c r="BJ45" s="165"/>
      <c r="BK45" s="182"/>
      <c r="BL45" s="165"/>
      <c r="BM45" s="165"/>
      <c r="BN45" s="175"/>
      <c r="BO45" s="172"/>
      <c r="BP45" s="165"/>
      <c r="BQ45" s="165"/>
      <c r="BR45" s="165"/>
      <c r="BS45" s="160"/>
      <c r="BT45" s="164"/>
      <c r="BU45" s="165"/>
      <c r="BV45" s="165"/>
      <c r="BW45" s="165"/>
      <c r="BX45" s="165"/>
      <c r="BY45" s="165"/>
      <c r="BZ45" s="165"/>
      <c r="CA45" s="160"/>
      <c r="CB45" s="164"/>
      <c r="CC45" s="169"/>
      <c r="CD45" s="164"/>
      <c r="CE45" s="165"/>
      <c r="CF45" s="165"/>
      <c r="CG45" s="165"/>
      <c r="CH45" s="165"/>
      <c r="CI45" s="165"/>
      <c r="CJ45" s="165"/>
      <c r="CK45" s="160"/>
      <c r="CL45" s="164"/>
      <c r="CM45" s="165"/>
      <c r="CN45" s="182"/>
      <c r="CO45" s="165"/>
      <c r="CP45" s="165"/>
      <c r="CQ45" s="165"/>
      <c r="CR45" s="165"/>
      <c r="CS45" s="175"/>
      <c r="CT45" s="172"/>
      <c r="CU45" s="165"/>
      <c r="CV45" s="160"/>
    </row>
    <row r="46" spans="1:100" x14ac:dyDescent="0.25">
      <c r="A46" s="178"/>
      <c r="B46" s="169"/>
      <c r="F46" s="164"/>
      <c r="G46" s="165"/>
      <c r="H46" s="165"/>
      <c r="I46" s="165"/>
      <c r="J46" s="165"/>
      <c r="K46" s="165"/>
      <c r="L46" s="165"/>
      <c r="M46" s="160"/>
      <c r="N46" s="164"/>
      <c r="O46" s="165"/>
      <c r="P46" s="165"/>
      <c r="Q46" s="165"/>
      <c r="R46" s="165"/>
      <c r="S46" s="165"/>
      <c r="T46" s="165"/>
      <c r="U46" s="160"/>
      <c r="V46" s="165"/>
      <c r="W46" s="169"/>
      <c r="X46" s="164"/>
      <c r="Y46" s="165"/>
      <c r="Z46" s="165"/>
      <c r="AA46" s="165"/>
      <c r="AB46" s="165"/>
      <c r="AC46" s="165"/>
      <c r="AD46" s="165"/>
      <c r="AE46" s="160"/>
      <c r="AF46" s="164"/>
      <c r="AG46" s="165"/>
      <c r="AH46" s="182"/>
      <c r="AI46" s="175"/>
      <c r="AJ46" s="172"/>
      <c r="AK46" s="165"/>
      <c r="AL46" s="165"/>
      <c r="AM46" s="165"/>
      <c r="AN46" s="165"/>
      <c r="AO46" s="165"/>
      <c r="AP46" s="160"/>
      <c r="AQ46" s="164"/>
      <c r="AR46" s="165"/>
      <c r="AS46" s="165"/>
      <c r="AT46" s="165"/>
      <c r="AU46" s="165"/>
      <c r="AV46" s="165"/>
      <c r="AW46" s="165"/>
      <c r="AX46" s="160"/>
      <c r="AY46" s="164"/>
      <c r="AZ46" s="169"/>
      <c r="BA46" s="164"/>
      <c r="BB46" s="165"/>
      <c r="BC46" s="165"/>
      <c r="BD46" s="165"/>
      <c r="BE46" s="165"/>
      <c r="BF46" s="165"/>
      <c r="BG46" s="165"/>
      <c r="BH46" s="160"/>
      <c r="BI46" s="164"/>
      <c r="BJ46" s="165"/>
      <c r="BK46" s="182"/>
      <c r="BL46" s="165"/>
      <c r="BM46" s="165"/>
      <c r="BN46" s="175"/>
      <c r="BO46" s="172"/>
      <c r="BP46" s="165"/>
      <c r="BQ46" s="165"/>
      <c r="BR46" s="165"/>
      <c r="BS46" s="160"/>
      <c r="BT46" s="164"/>
      <c r="BU46" s="165"/>
      <c r="BV46" s="165"/>
      <c r="BW46" s="165"/>
      <c r="BX46" s="165"/>
      <c r="BY46" s="165"/>
      <c r="BZ46" s="165"/>
      <c r="CA46" s="160"/>
      <c r="CB46" s="164"/>
      <c r="CC46" s="169"/>
      <c r="CD46" s="164"/>
      <c r="CE46" s="165"/>
      <c r="CF46" s="165"/>
      <c r="CG46" s="165"/>
      <c r="CH46" s="165"/>
      <c r="CI46" s="165"/>
      <c r="CJ46" s="165"/>
      <c r="CK46" s="160"/>
      <c r="CL46" s="164"/>
      <c r="CM46" s="165"/>
      <c r="CN46" s="182"/>
      <c r="CO46" s="165"/>
      <c r="CP46" s="165"/>
      <c r="CQ46" s="165"/>
      <c r="CR46" s="165"/>
      <c r="CS46" s="175"/>
      <c r="CT46" s="172"/>
      <c r="CU46" s="165"/>
      <c r="CV46" s="160"/>
    </row>
    <row r="47" spans="1:100" x14ac:dyDescent="0.25">
      <c r="A47" s="178"/>
      <c r="B47" s="169"/>
      <c r="F47" s="164"/>
      <c r="G47" s="165"/>
      <c r="H47" s="165"/>
      <c r="I47" s="165"/>
      <c r="J47" s="165"/>
      <c r="K47" s="165"/>
      <c r="L47" s="165"/>
      <c r="M47" s="160"/>
      <c r="N47" s="164"/>
      <c r="O47" s="165"/>
      <c r="P47" s="165"/>
      <c r="Q47" s="165"/>
      <c r="R47" s="165"/>
      <c r="S47" s="165"/>
      <c r="T47" s="165"/>
      <c r="U47" s="160"/>
      <c r="V47" s="165"/>
      <c r="W47" s="169"/>
      <c r="X47" s="164"/>
      <c r="Y47" s="165"/>
      <c r="Z47" s="165"/>
      <c r="AA47" s="165"/>
      <c r="AB47" s="165"/>
      <c r="AC47" s="165"/>
      <c r="AD47" s="165"/>
      <c r="AE47" s="160"/>
      <c r="AF47" s="164"/>
      <c r="AG47" s="165"/>
      <c r="AH47" s="182"/>
      <c r="AI47" s="175"/>
      <c r="AJ47" s="172"/>
      <c r="AK47" s="165"/>
      <c r="AL47" s="165"/>
      <c r="AM47" s="165"/>
      <c r="AN47" s="165"/>
      <c r="AO47" s="165"/>
      <c r="AP47" s="160"/>
      <c r="AQ47" s="164"/>
      <c r="AR47" s="165"/>
      <c r="AS47" s="165"/>
      <c r="AT47" s="165"/>
      <c r="AU47" s="165"/>
      <c r="AV47" s="165"/>
      <c r="AW47" s="165"/>
      <c r="AX47" s="160"/>
      <c r="AY47" s="164"/>
      <c r="AZ47" s="169"/>
      <c r="BA47" s="164"/>
      <c r="BB47" s="165"/>
      <c r="BC47" s="165"/>
      <c r="BD47" s="165"/>
      <c r="BE47" s="165"/>
      <c r="BF47" s="165"/>
      <c r="BG47" s="165"/>
      <c r="BH47" s="160"/>
      <c r="BI47" s="164"/>
      <c r="BJ47" s="165"/>
      <c r="BK47" s="182"/>
      <c r="BL47" s="165"/>
      <c r="BM47" s="165"/>
      <c r="BN47" s="175"/>
      <c r="BO47" s="172"/>
      <c r="BP47" s="165"/>
      <c r="BQ47" s="165"/>
      <c r="BR47" s="165"/>
      <c r="BS47" s="160"/>
      <c r="BT47" s="164"/>
      <c r="BU47" s="165"/>
      <c r="BV47" s="165"/>
      <c r="BW47" s="165"/>
      <c r="BX47" s="165"/>
      <c r="BY47" s="165"/>
      <c r="BZ47" s="165"/>
      <c r="CA47" s="160"/>
      <c r="CB47" s="164"/>
      <c r="CC47" s="169"/>
      <c r="CD47" s="164"/>
      <c r="CE47" s="165"/>
      <c r="CF47" s="165"/>
      <c r="CG47" s="165"/>
      <c r="CH47" s="165"/>
      <c r="CI47" s="165"/>
      <c r="CJ47" s="165"/>
      <c r="CK47" s="160"/>
      <c r="CL47" s="164"/>
      <c r="CM47" s="165"/>
      <c r="CN47" s="182"/>
      <c r="CO47" s="165"/>
      <c r="CP47" s="165"/>
      <c r="CQ47" s="165"/>
      <c r="CR47" s="165"/>
      <c r="CS47" s="175"/>
      <c r="CT47" s="172"/>
      <c r="CU47" s="165"/>
      <c r="CV47" s="160"/>
    </row>
    <row r="48" spans="1:100" x14ac:dyDescent="0.25">
      <c r="A48" s="178"/>
      <c r="B48" s="169"/>
      <c r="F48" s="164"/>
      <c r="G48" s="165"/>
      <c r="H48" s="165"/>
      <c r="I48" s="165"/>
      <c r="J48" s="165"/>
      <c r="K48" s="165"/>
      <c r="L48" s="165"/>
      <c r="M48" s="160"/>
      <c r="N48" s="164"/>
      <c r="O48" s="165"/>
      <c r="P48" s="165"/>
      <c r="Q48" s="165"/>
      <c r="R48" s="165"/>
      <c r="S48" s="165"/>
      <c r="T48" s="165"/>
      <c r="U48" s="160"/>
      <c r="V48" s="165"/>
      <c r="W48" s="169"/>
      <c r="X48" s="164"/>
      <c r="Y48" s="165"/>
      <c r="Z48" s="165"/>
      <c r="AA48" s="165"/>
      <c r="AB48" s="165"/>
      <c r="AC48" s="165"/>
      <c r="AD48" s="165"/>
      <c r="AE48" s="160"/>
      <c r="AF48" s="164"/>
      <c r="AG48" s="165"/>
      <c r="AH48" s="182"/>
      <c r="AI48" s="175"/>
      <c r="AJ48" s="172"/>
      <c r="AK48" s="165"/>
      <c r="AL48" s="165"/>
      <c r="AM48" s="165"/>
      <c r="AN48" s="165"/>
      <c r="AO48" s="165"/>
      <c r="AP48" s="160"/>
      <c r="AQ48" s="164"/>
      <c r="AR48" s="165"/>
      <c r="AS48" s="165"/>
      <c r="AT48" s="165"/>
      <c r="AU48" s="165"/>
      <c r="AV48" s="165"/>
      <c r="AW48" s="165"/>
      <c r="AX48" s="160"/>
      <c r="AY48" s="164"/>
      <c r="AZ48" s="169"/>
      <c r="BA48" s="164"/>
      <c r="BB48" s="165"/>
      <c r="BC48" s="165"/>
      <c r="BD48" s="165"/>
      <c r="BE48" s="165"/>
      <c r="BF48" s="165"/>
      <c r="BG48" s="165"/>
      <c r="BH48" s="160"/>
      <c r="BI48" s="164"/>
      <c r="BJ48" s="165"/>
      <c r="BK48" s="182"/>
      <c r="BL48" s="165"/>
      <c r="BM48" s="165"/>
      <c r="BN48" s="175"/>
      <c r="BO48" s="172"/>
      <c r="BP48" s="165"/>
      <c r="BQ48" s="165"/>
      <c r="BR48" s="165"/>
      <c r="BS48" s="160"/>
      <c r="BT48" s="164"/>
      <c r="BU48" s="165"/>
      <c r="BV48" s="165"/>
      <c r="BW48" s="165"/>
      <c r="BX48" s="165"/>
      <c r="BY48" s="165"/>
      <c r="BZ48" s="165"/>
      <c r="CA48" s="160"/>
      <c r="CB48" s="164"/>
      <c r="CC48" s="169"/>
      <c r="CD48" s="164"/>
      <c r="CE48" s="165"/>
      <c r="CF48" s="165"/>
      <c r="CG48" s="165"/>
      <c r="CH48" s="165"/>
      <c r="CI48" s="165"/>
      <c r="CJ48" s="165"/>
      <c r="CK48" s="160"/>
      <c r="CL48" s="164"/>
      <c r="CM48" s="165"/>
      <c r="CN48" s="182"/>
      <c r="CO48" s="165"/>
      <c r="CP48" s="165"/>
      <c r="CQ48" s="165"/>
      <c r="CR48" s="165"/>
      <c r="CS48" s="175"/>
      <c r="CT48" s="172"/>
      <c r="CU48" s="165"/>
      <c r="CV48" s="160"/>
    </row>
    <row r="49" spans="1:100" x14ac:dyDescent="0.25">
      <c r="A49" s="178"/>
      <c r="B49" s="169"/>
      <c r="F49" s="164"/>
      <c r="G49" s="165"/>
      <c r="H49" s="165"/>
      <c r="I49" s="165"/>
      <c r="J49" s="165"/>
      <c r="K49" s="165"/>
      <c r="L49" s="165"/>
      <c r="M49" s="160"/>
      <c r="N49" s="164"/>
      <c r="O49" s="165"/>
      <c r="P49" s="165"/>
      <c r="Q49" s="165"/>
      <c r="R49" s="165"/>
      <c r="S49" s="165"/>
      <c r="T49" s="165"/>
      <c r="U49" s="160"/>
      <c r="V49" s="165"/>
      <c r="W49" s="169"/>
      <c r="X49" s="164"/>
      <c r="Y49" s="165"/>
      <c r="Z49" s="165"/>
      <c r="AA49" s="165"/>
      <c r="AB49" s="165"/>
      <c r="AC49" s="165"/>
      <c r="AD49" s="165"/>
      <c r="AE49" s="160"/>
      <c r="AF49" s="164"/>
      <c r="AG49" s="165"/>
      <c r="AH49" s="182"/>
      <c r="AI49" s="175"/>
      <c r="AJ49" s="172"/>
      <c r="AK49" s="165"/>
      <c r="AL49" s="165"/>
      <c r="AM49" s="165"/>
      <c r="AN49" s="165"/>
      <c r="AO49" s="165"/>
      <c r="AP49" s="160"/>
      <c r="AQ49" s="164"/>
      <c r="AR49" s="165"/>
      <c r="AS49" s="165"/>
      <c r="AT49" s="165"/>
      <c r="AU49" s="165"/>
      <c r="AV49" s="165"/>
      <c r="AW49" s="165"/>
      <c r="AX49" s="160"/>
      <c r="AY49" s="164"/>
      <c r="AZ49" s="169"/>
      <c r="BA49" s="164"/>
      <c r="BB49" s="165"/>
      <c r="BC49" s="165"/>
      <c r="BD49" s="165"/>
      <c r="BE49" s="165"/>
      <c r="BF49" s="165"/>
      <c r="BG49" s="165"/>
      <c r="BH49" s="160"/>
      <c r="BI49" s="164"/>
      <c r="BJ49" s="165"/>
      <c r="BK49" s="182"/>
      <c r="BL49" s="165"/>
      <c r="BM49" s="165"/>
      <c r="BN49" s="175"/>
      <c r="BO49" s="172"/>
      <c r="BP49" s="165"/>
      <c r="BQ49" s="165"/>
      <c r="BR49" s="165"/>
      <c r="BS49" s="160"/>
      <c r="BT49" s="164"/>
      <c r="BU49" s="165"/>
      <c r="BV49" s="165"/>
      <c r="BW49" s="165"/>
      <c r="BX49" s="165"/>
      <c r="BY49" s="165"/>
      <c r="BZ49" s="165"/>
      <c r="CA49" s="160"/>
      <c r="CB49" s="164"/>
      <c r="CC49" s="169"/>
      <c r="CD49" s="164"/>
      <c r="CE49" s="165"/>
      <c r="CF49" s="165"/>
      <c r="CG49" s="165"/>
      <c r="CH49" s="165"/>
      <c r="CI49" s="165"/>
      <c r="CJ49" s="165"/>
      <c r="CK49" s="160"/>
      <c r="CL49" s="164"/>
      <c r="CM49" s="165"/>
      <c r="CN49" s="182"/>
      <c r="CO49" s="165"/>
      <c r="CP49" s="165"/>
      <c r="CQ49" s="165"/>
      <c r="CR49" s="165"/>
      <c r="CS49" s="175"/>
      <c r="CT49" s="172"/>
      <c r="CU49" s="165"/>
      <c r="CV49" s="160"/>
    </row>
    <row r="50" spans="1:100" x14ac:dyDescent="0.25">
      <c r="A50" s="178"/>
      <c r="B50" s="169"/>
      <c r="F50" s="164"/>
      <c r="G50" s="165"/>
      <c r="H50" s="165"/>
      <c r="I50" s="165"/>
      <c r="J50" s="165"/>
      <c r="K50" s="165"/>
      <c r="L50" s="165"/>
      <c r="M50" s="160"/>
      <c r="N50" s="164"/>
      <c r="O50" s="165"/>
      <c r="P50" s="165"/>
      <c r="Q50" s="165"/>
      <c r="R50" s="165"/>
      <c r="S50" s="165"/>
      <c r="T50" s="165"/>
      <c r="U50" s="160"/>
      <c r="V50" s="165"/>
      <c r="W50" s="169"/>
      <c r="X50" s="164"/>
      <c r="Y50" s="165"/>
      <c r="Z50" s="165"/>
      <c r="AA50" s="165"/>
      <c r="AB50" s="165"/>
      <c r="AC50" s="165"/>
      <c r="AD50" s="165"/>
      <c r="AE50" s="160"/>
      <c r="AF50" s="164"/>
      <c r="AG50" s="165"/>
      <c r="AH50" s="182"/>
      <c r="AI50" s="175"/>
      <c r="AJ50" s="172"/>
      <c r="AK50" s="165"/>
      <c r="AL50" s="165"/>
      <c r="AM50" s="165"/>
      <c r="AN50" s="165"/>
      <c r="AO50" s="165"/>
      <c r="AP50" s="160"/>
      <c r="AQ50" s="164"/>
      <c r="AR50" s="165"/>
      <c r="AS50" s="165"/>
      <c r="AT50" s="165"/>
      <c r="AU50" s="165"/>
      <c r="AV50" s="165"/>
      <c r="AW50" s="165"/>
      <c r="AX50" s="160"/>
      <c r="AY50" s="164"/>
      <c r="AZ50" s="169"/>
      <c r="BA50" s="164"/>
      <c r="BB50" s="165"/>
      <c r="BC50" s="165"/>
      <c r="BD50" s="165"/>
      <c r="BE50" s="165"/>
      <c r="BF50" s="165"/>
      <c r="BG50" s="165"/>
      <c r="BH50" s="160"/>
      <c r="BI50" s="164"/>
      <c r="BJ50" s="165"/>
      <c r="BK50" s="182"/>
      <c r="BL50" s="165"/>
      <c r="BM50" s="165"/>
      <c r="BN50" s="175"/>
      <c r="BO50" s="172"/>
      <c r="BP50" s="165"/>
      <c r="BQ50" s="165"/>
      <c r="BR50" s="165"/>
      <c r="BS50" s="160"/>
      <c r="BT50" s="164"/>
      <c r="BU50" s="165"/>
      <c r="BV50" s="165"/>
      <c r="BW50" s="165"/>
      <c r="BX50" s="165"/>
      <c r="BY50" s="165"/>
      <c r="BZ50" s="165"/>
      <c r="CA50" s="160"/>
      <c r="CB50" s="164"/>
      <c r="CC50" s="169"/>
      <c r="CD50" s="164"/>
      <c r="CE50" s="165"/>
      <c r="CF50" s="165"/>
      <c r="CG50" s="165"/>
      <c r="CH50" s="165"/>
      <c r="CI50" s="165"/>
      <c r="CJ50" s="165"/>
      <c r="CK50" s="160"/>
      <c r="CL50" s="164"/>
      <c r="CM50" s="165"/>
      <c r="CN50" s="182"/>
      <c r="CO50" s="165"/>
      <c r="CP50" s="165"/>
      <c r="CQ50" s="165"/>
      <c r="CR50" s="165"/>
      <c r="CS50" s="175"/>
      <c r="CT50" s="172"/>
      <c r="CU50" s="165"/>
      <c r="CV50" s="160"/>
    </row>
    <row r="51" spans="1:100" x14ac:dyDescent="0.25">
      <c r="A51" s="178"/>
      <c r="B51" s="169"/>
      <c r="F51" s="164"/>
      <c r="G51" s="165"/>
      <c r="H51" s="165"/>
      <c r="I51" s="165"/>
      <c r="J51" s="165"/>
      <c r="K51" s="165"/>
      <c r="L51" s="165"/>
      <c r="M51" s="160"/>
      <c r="N51" s="164"/>
      <c r="O51" s="165"/>
      <c r="P51" s="165"/>
      <c r="Q51" s="165"/>
      <c r="R51" s="165"/>
      <c r="S51" s="165"/>
      <c r="T51" s="165"/>
      <c r="U51" s="160"/>
      <c r="V51" s="165"/>
      <c r="W51" s="169"/>
      <c r="X51" s="164"/>
      <c r="Y51" s="165"/>
      <c r="Z51" s="165"/>
      <c r="AA51" s="165"/>
      <c r="AB51" s="165"/>
      <c r="AC51" s="165"/>
      <c r="AD51" s="165"/>
      <c r="AE51" s="160"/>
      <c r="AF51" s="164"/>
      <c r="AG51" s="165"/>
      <c r="AH51" s="182"/>
      <c r="AI51" s="175"/>
      <c r="AJ51" s="172"/>
      <c r="AK51" s="165"/>
      <c r="AL51" s="165"/>
      <c r="AM51" s="165"/>
      <c r="AN51" s="165"/>
      <c r="AO51" s="165"/>
      <c r="AP51" s="160"/>
      <c r="AQ51" s="164"/>
      <c r="AR51" s="165"/>
      <c r="AS51" s="165"/>
      <c r="AT51" s="165"/>
      <c r="AU51" s="165"/>
      <c r="AV51" s="165"/>
      <c r="AW51" s="165"/>
      <c r="AX51" s="160"/>
      <c r="AY51" s="164"/>
      <c r="AZ51" s="169"/>
      <c r="BA51" s="164"/>
      <c r="BB51" s="165"/>
      <c r="BC51" s="165"/>
      <c r="BD51" s="165"/>
      <c r="BE51" s="165"/>
      <c r="BF51" s="165"/>
      <c r="BG51" s="165"/>
      <c r="BH51" s="160"/>
      <c r="BI51" s="164"/>
      <c r="BJ51" s="165"/>
      <c r="BK51" s="182"/>
      <c r="BL51" s="165"/>
      <c r="BM51" s="165"/>
      <c r="BN51" s="175"/>
      <c r="BO51" s="172"/>
      <c r="BP51" s="165"/>
      <c r="BQ51" s="165"/>
      <c r="BR51" s="165"/>
      <c r="BS51" s="160"/>
      <c r="BT51" s="164"/>
      <c r="BU51" s="165"/>
      <c r="BV51" s="165"/>
      <c r="BW51" s="165"/>
      <c r="BX51" s="165"/>
      <c r="BY51" s="165"/>
      <c r="BZ51" s="165"/>
      <c r="CA51" s="160"/>
      <c r="CB51" s="164"/>
      <c r="CC51" s="169"/>
      <c r="CD51" s="164"/>
      <c r="CE51" s="165"/>
      <c r="CF51" s="165"/>
      <c r="CG51" s="165"/>
      <c r="CH51" s="165"/>
      <c r="CI51" s="165"/>
      <c r="CJ51" s="165"/>
      <c r="CK51" s="160"/>
      <c r="CL51" s="164"/>
      <c r="CM51" s="165"/>
      <c r="CN51" s="182"/>
      <c r="CO51" s="165"/>
      <c r="CP51" s="165"/>
      <c r="CQ51" s="165"/>
      <c r="CR51" s="165"/>
      <c r="CS51" s="175"/>
      <c r="CT51" s="172"/>
      <c r="CU51" s="165"/>
      <c r="CV51" s="160"/>
    </row>
    <row r="52" spans="1:100" x14ac:dyDescent="0.25">
      <c r="A52" s="178"/>
      <c r="B52" s="169"/>
      <c r="F52" s="164"/>
      <c r="G52" s="165"/>
      <c r="H52" s="165"/>
      <c r="I52" s="165"/>
      <c r="J52" s="165"/>
      <c r="K52" s="165"/>
      <c r="L52" s="165"/>
      <c r="M52" s="160"/>
      <c r="N52" s="164"/>
      <c r="O52" s="165"/>
      <c r="P52" s="165"/>
      <c r="Q52" s="165"/>
      <c r="R52" s="165"/>
      <c r="S52" s="165"/>
      <c r="T52" s="165"/>
      <c r="U52" s="160"/>
      <c r="V52" s="165"/>
      <c r="W52" s="169"/>
      <c r="X52" s="164"/>
      <c r="Y52" s="165"/>
      <c r="Z52" s="165"/>
      <c r="AA52" s="165"/>
      <c r="AB52" s="165"/>
      <c r="AC52" s="165"/>
      <c r="AD52" s="165"/>
      <c r="AE52" s="160"/>
      <c r="AF52" s="164"/>
      <c r="AG52" s="165"/>
      <c r="AH52" s="182"/>
      <c r="AI52" s="175"/>
      <c r="AJ52" s="172"/>
      <c r="AK52" s="165"/>
      <c r="AL52" s="165"/>
      <c r="AM52" s="165"/>
      <c r="AN52" s="165"/>
      <c r="AO52" s="165"/>
      <c r="AP52" s="160"/>
      <c r="AQ52" s="164"/>
      <c r="AR52" s="165"/>
      <c r="AS52" s="165"/>
      <c r="AT52" s="165"/>
      <c r="AU52" s="165"/>
      <c r="AV52" s="165"/>
      <c r="AW52" s="165"/>
      <c r="AX52" s="160"/>
      <c r="AY52" s="164"/>
      <c r="AZ52" s="169"/>
      <c r="BA52" s="164"/>
      <c r="BB52" s="165"/>
      <c r="BC52" s="165"/>
      <c r="BD52" s="165"/>
      <c r="BE52" s="165"/>
      <c r="BF52" s="165"/>
      <c r="BG52" s="165"/>
      <c r="BH52" s="160"/>
      <c r="BI52" s="164"/>
      <c r="BJ52" s="165"/>
      <c r="BK52" s="182"/>
      <c r="BL52" s="165"/>
      <c r="BM52" s="165"/>
      <c r="BN52" s="175"/>
      <c r="BO52" s="172"/>
      <c r="BP52" s="165"/>
      <c r="BQ52" s="165"/>
      <c r="BR52" s="165"/>
      <c r="BS52" s="160"/>
      <c r="BT52" s="164"/>
      <c r="BU52" s="165"/>
      <c r="BV52" s="165"/>
      <c r="BW52" s="165"/>
      <c r="BX52" s="165"/>
      <c r="BY52" s="165"/>
      <c r="BZ52" s="165"/>
      <c r="CA52" s="160"/>
      <c r="CB52" s="164"/>
      <c r="CC52" s="169"/>
      <c r="CD52" s="164"/>
      <c r="CE52" s="165"/>
      <c r="CF52" s="165"/>
      <c r="CG52" s="165"/>
      <c r="CH52" s="165"/>
      <c r="CI52" s="165"/>
      <c r="CJ52" s="165"/>
      <c r="CK52" s="160"/>
      <c r="CL52" s="164"/>
      <c r="CM52" s="165"/>
      <c r="CN52" s="182"/>
      <c r="CO52" s="165"/>
      <c r="CP52" s="165"/>
      <c r="CQ52" s="165"/>
      <c r="CR52" s="165"/>
      <c r="CS52" s="175"/>
      <c r="CT52" s="172"/>
      <c r="CU52" s="165"/>
      <c r="CV52" s="160"/>
    </row>
    <row r="53" spans="1:100" x14ac:dyDescent="0.25">
      <c r="A53" s="178"/>
      <c r="B53" s="169"/>
      <c r="F53" s="164"/>
      <c r="G53" s="165"/>
      <c r="H53" s="165"/>
      <c r="I53" s="165"/>
      <c r="J53" s="165"/>
      <c r="K53" s="165"/>
      <c r="L53" s="165"/>
      <c r="M53" s="160"/>
      <c r="N53" s="164"/>
      <c r="O53" s="165"/>
      <c r="P53" s="165"/>
      <c r="Q53" s="165"/>
      <c r="R53" s="165"/>
      <c r="S53" s="165"/>
      <c r="T53" s="165"/>
      <c r="U53" s="160"/>
      <c r="V53" s="165"/>
      <c r="W53" s="169"/>
      <c r="X53" s="164"/>
      <c r="Y53" s="165"/>
      <c r="Z53" s="165"/>
      <c r="AA53" s="165"/>
      <c r="AB53" s="165"/>
      <c r="AC53" s="165"/>
      <c r="AD53" s="165"/>
      <c r="AE53" s="160"/>
      <c r="AF53" s="164"/>
      <c r="AG53" s="165"/>
      <c r="AH53" s="182"/>
      <c r="AI53" s="175"/>
      <c r="AJ53" s="172"/>
      <c r="AK53" s="165"/>
      <c r="AL53" s="165"/>
      <c r="AM53" s="165"/>
      <c r="AN53" s="165"/>
      <c r="AO53" s="165"/>
      <c r="AP53" s="160"/>
      <c r="AQ53" s="164"/>
      <c r="AR53" s="165"/>
      <c r="AS53" s="165"/>
      <c r="AT53" s="165"/>
      <c r="AU53" s="165"/>
      <c r="AV53" s="165"/>
      <c r="AW53" s="165"/>
      <c r="AX53" s="160"/>
      <c r="AY53" s="164"/>
      <c r="AZ53" s="169"/>
      <c r="BA53" s="164"/>
      <c r="BB53" s="165"/>
      <c r="BC53" s="165"/>
      <c r="BD53" s="165"/>
      <c r="BE53" s="165"/>
      <c r="BF53" s="165"/>
      <c r="BG53" s="165"/>
      <c r="BH53" s="160"/>
      <c r="BI53" s="164"/>
      <c r="BJ53" s="165"/>
      <c r="BK53" s="182"/>
      <c r="BL53" s="165"/>
      <c r="BM53" s="165"/>
      <c r="BN53" s="175"/>
      <c r="BO53" s="172"/>
      <c r="BP53" s="165"/>
      <c r="BQ53" s="165"/>
      <c r="BR53" s="165"/>
      <c r="BS53" s="160"/>
      <c r="BT53" s="164"/>
      <c r="BU53" s="165"/>
      <c r="BV53" s="165"/>
      <c r="BW53" s="165"/>
      <c r="BX53" s="165"/>
      <c r="BY53" s="165"/>
      <c r="BZ53" s="165"/>
      <c r="CA53" s="160"/>
      <c r="CB53" s="164"/>
      <c r="CC53" s="169"/>
      <c r="CD53" s="164"/>
      <c r="CE53" s="165"/>
      <c r="CF53" s="165"/>
      <c r="CG53" s="165"/>
      <c r="CH53" s="165"/>
      <c r="CI53" s="165"/>
      <c r="CJ53" s="165"/>
      <c r="CK53" s="160"/>
      <c r="CL53" s="164"/>
      <c r="CM53" s="165"/>
      <c r="CN53" s="182"/>
      <c r="CO53" s="165"/>
      <c r="CP53" s="165"/>
      <c r="CQ53" s="165"/>
      <c r="CR53" s="165"/>
      <c r="CS53" s="175"/>
      <c r="CT53" s="172"/>
      <c r="CU53" s="165"/>
      <c r="CV53" s="160"/>
    </row>
    <row r="54" spans="1:100" x14ac:dyDescent="0.25">
      <c r="A54" s="178"/>
      <c r="B54" s="169"/>
      <c r="F54" s="164"/>
      <c r="G54" s="165"/>
      <c r="H54" s="165"/>
      <c r="I54" s="165"/>
      <c r="J54" s="165"/>
      <c r="K54" s="165"/>
      <c r="L54" s="165"/>
      <c r="M54" s="160"/>
      <c r="N54" s="164"/>
      <c r="O54" s="165"/>
      <c r="P54" s="165"/>
      <c r="Q54" s="165"/>
      <c r="R54" s="165"/>
      <c r="S54" s="165"/>
      <c r="T54" s="165"/>
      <c r="U54" s="160"/>
      <c r="V54" s="165"/>
      <c r="W54" s="169"/>
      <c r="X54" s="164"/>
      <c r="Y54" s="165"/>
      <c r="Z54" s="165"/>
      <c r="AA54" s="165"/>
      <c r="AB54" s="165"/>
      <c r="AC54" s="165"/>
      <c r="AD54" s="165"/>
      <c r="AE54" s="160"/>
      <c r="AF54" s="164"/>
      <c r="AG54" s="165"/>
      <c r="AH54" s="182"/>
      <c r="AI54" s="175"/>
      <c r="AJ54" s="172"/>
      <c r="AK54" s="165"/>
      <c r="AL54" s="165"/>
      <c r="AM54" s="165"/>
      <c r="AN54" s="165"/>
      <c r="AO54" s="165"/>
      <c r="AP54" s="160"/>
      <c r="AQ54" s="164"/>
      <c r="AR54" s="165"/>
      <c r="AS54" s="165"/>
      <c r="AT54" s="165"/>
      <c r="AU54" s="165"/>
      <c r="AV54" s="165"/>
      <c r="AW54" s="165"/>
      <c r="AX54" s="160"/>
      <c r="AY54" s="164"/>
      <c r="AZ54" s="169"/>
      <c r="BA54" s="164"/>
      <c r="BB54" s="165"/>
      <c r="BC54" s="165"/>
      <c r="BD54" s="165"/>
      <c r="BE54" s="165"/>
      <c r="BF54" s="165"/>
      <c r="BG54" s="165"/>
      <c r="BH54" s="160"/>
      <c r="BI54" s="164"/>
      <c r="BJ54" s="165"/>
      <c r="BK54" s="182"/>
      <c r="BL54" s="165"/>
      <c r="BM54" s="165"/>
      <c r="BN54" s="175"/>
      <c r="BO54" s="172"/>
      <c r="BP54" s="165"/>
      <c r="BQ54" s="165"/>
      <c r="BR54" s="165"/>
      <c r="BS54" s="160"/>
      <c r="BT54" s="164"/>
      <c r="BU54" s="165"/>
      <c r="BV54" s="165"/>
      <c r="BW54" s="165"/>
      <c r="BX54" s="165"/>
      <c r="BY54" s="165"/>
      <c r="BZ54" s="165"/>
      <c r="CA54" s="160"/>
      <c r="CB54" s="164"/>
      <c r="CC54" s="169"/>
      <c r="CD54" s="164"/>
      <c r="CE54" s="165"/>
      <c r="CF54" s="165"/>
      <c r="CG54" s="165"/>
      <c r="CH54" s="165"/>
      <c r="CI54" s="165"/>
      <c r="CJ54" s="165"/>
      <c r="CK54" s="160"/>
      <c r="CL54" s="164"/>
      <c r="CM54" s="165"/>
      <c r="CN54" s="182"/>
      <c r="CO54" s="165"/>
      <c r="CP54" s="165"/>
      <c r="CQ54" s="165"/>
      <c r="CR54" s="165"/>
      <c r="CS54" s="175"/>
      <c r="CT54" s="172"/>
      <c r="CU54" s="165"/>
      <c r="CV54" s="160"/>
    </row>
    <row r="55" spans="1:100" x14ac:dyDescent="0.25">
      <c r="A55" s="178"/>
      <c r="B55" s="169"/>
      <c r="F55" s="164"/>
      <c r="G55" s="165"/>
      <c r="H55" s="165"/>
      <c r="I55" s="165"/>
      <c r="J55" s="165"/>
      <c r="K55" s="165"/>
      <c r="L55" s="165"/>
      <c r="M55" s="160"/>
      <c r="N55" s="164"/>
      <c r="O55" s="165"/>
      <c r="P55" s="165"/>
      <c r="Q55" s="165"/>
      <c r="R55" s="165"/>
      <c r="S55" s="165"/>
      <c r="T55" s="165"/>
      <c r="U55" s="160"/>
      <c r="V55" s="165"/>
      <c r="W55" s="169"/>
      <c r="X55" s="164"/>
      <c r="Y55" s="165"/>
      <c r="Z55" s="165"/>
      <c r="AA55" s="165"/>
      <c r="AB55" s="165"/>
      <c r="AC55" s="165"/>
      <c r="AD55" s="165"/>
      <c r="AE55" s="160"/>
      <c r="AF55" s="164"/>
      <c r="AG55" s="165"/>
      <c r="AH55" s="182"/>
      <c r="AI55" s="175"/>
      <c r="AJ55" s="172"/>
      <c r="AK55" s="165"/>
      <c r="AL55" s="165"/>
      <c r="AM55" s="165"/>
      <c r="AN55" s="165"/>
      <c r="AO55" s="165"/>
      <c r="AP55" s="160"/>
      <c r="AQ55" s="164"/>
      <c r="AR55" s="165"/>
      <c r="AS55" s="165"/>
      <c r="AT55" s="165"/>
      <c r="AU55" s="165"/>
      <c r="AV55" s="165"/>
      <c r="AW55" s="165"/>
      <c r="AX55" s="160"/>
      <c r="AY55" s="164"/>
      <c r="AZ55" s="169"/>
      <c r="BA55" s="164"/>
      <c r="BB55" s="165"/>
      <c r="BC55" s="165"/>
      <c r="BD55" s="165"/>
      <c r="BE55" s="165"/>
      <c r="BF55" s="165"/>
      <c r="BG55" s="165"/>
      <c r="BH55" s="160"/>
      <c r="BI55" s="164"/>
      <c r="BJ55" s="165"/>
      <c r="BK55" s="182"/>
      <c r="BL55" s="165"/>
      <c r="BM55" s="165"/>
      <c r="BN55" s="175"/>
      <c r="BO55" s="172"/>
      <c r="BP55" s="165"/>
      <c r="BQ55" s="165"/>
      <c r="BR55" s="165"/>
      <c r="BS55" s="160"/>
      <c r="BT55" s="164"/>
      <c r="BU55" s="165"/>
      <c r="BV55" s="165"/>
      <c r="BW55" s="165"/>
      <c r="BX55" s="165"/>
      <c r="BY55" s="165"/>
      <c r="BZ55" s="165"/>
      <c r="CA55" s="160"/>
      <c r="CB55" s="164"/>
      <c r="CC55" s="169"/>
      <c r="CD55" s="164"/>
      <c r="CE55" s="165"/>
      <c r="CF55" s="165"/>
      <c r="CG55" s="165"/>
      <c r="CH55" s="165"/>
      <c r="CI55" s="165"/>
      <c r="CJ55" s="165"/>
      <c r="CK55" s="160"/>
      <c r="CL55" s="164"/>
      <c r="CM55" s="165"/>
      <c r="CN55" s="182"/>
      <c r="CO55" s="165"/>
      <c r="CP55" s="165"/>
      <c r="CQ55" s="165"/>
      <c r="CR55" s="165"/>
      <c r="CS55" s="175"/>
      <c r="CT55" s="172"/>
      <c r="CU55" s="165"/>
      <c r="CV55" s="160"/>
    </row>
    <row r="56" spans="1:100" x14ac:dyDescent="0.25">
      <c r="A56" s="178"/>
      <c r="B56" s="169"/>
      <c r="F56" s="164"/>
      <c r="G56" s="165"/>
      <c r="H56" s="165"/>
      <c r="I56" s="165"/>
      <c r="J56" s="165"/>
      <c r="K56" s="165"/>
      <c r="L56" s="165"/>
      <c r="M56" s="160"/>
      <c r="N56" s="164"/>
      <c r="O56" s="165"/>
      <c r="P56" s="165"/>
      <c r="Q56" s="165"/>
      <c r="R56" s="165"/>
      <c r="S56" s="165"/>
      <c r="T56" s="165"/>
      <c r="U56" s="160"/>
      <c r="V56" s="165"/>
      <c r="W56" s="169"/>
      <c r="X56" s="164"/>
      <c r="Y56" s="165"/>
      <c r="Z56" s="165"/>
      <c r="AA56" s="165"/>
      <c r="AB56" s="165"/>
      <c r="AC56" s="165"/>
      <c r="AD56" s="165"/>
      <c r="AE56" s="160"/>
      <c r="AF56" s="164"/>
      <c r="AG56" s="165"/>
      <c r="AH56" s="182"/>
      <c r="AI56" s="175"/>
      <c r="AJ56" s="172"/>
      <c r="AK56" s="165"/>
      <c r="AL56" s="165"/>
      <c r="AM56" s="165"/>
      <c r="AN56" s="165"/>
      <c r="AO56" s="165"/>
      <c r="AP56" s="160"/>
      <c r="AQ56" s="164"/>
      <c r="AR56" s="165"/>
      <c r="AS56" s="165"/>
      <c r="AT56" s="165"/>
      <c r="AU56" s="165"/>
      <c r="AV56" s="165"/>
      <c r="AW56" s="165"/>
      <c r="AX56" s="160"/>
      <c r="AY56" s="164"/>
      <c r="AZ56" s="169"/>
      <c r="BA56" s="164"/>
      <c r="BB56" s="165"/>
      <c r="BC56" s="165"/>
      <c r="BD56" s="165"/>
      <c r="BE56" s="165"/>
      <c r="BF56" s="165"/>
      <c r="BG56" s="165"/>
      <c r="BH56" s="160"/>
      <c r="BI56" s="164"/>
      <c r="BJ56" s="165"/>
      <c r="BK56" s="182"/>
      <c r="BL56" s="165"/>
      <c r="BM56" s="165"/>
      <c r="BN56" s="175"/>
      <c r="BO56" s="172"/>
      <c r="BP56" s="165"/>
      <c r="BQ56" s="165"/>
      <c r="BR56" s="165"/>
      <c r="BS56" s="160"/>
      <c r="BT56" s="164"/>
      <c r="BU56" s="165"/>
      <c r="BV56" s="165"/>
      <c r="BW56" s="165"/>
      <c r="BX56" s="165"/>
      <c r="BY56" s="165"/>
      <c r="BZ56" s="165"/>
      <c r="CA56" s="160"/>
      <c r="CB56" s="164"/>
      <c r="CC56" s="169"/>
      <c r="CD56" s="164"/>
      <c r="CE56" s="165"/>
      <c r="CF56" s="165"/>
      <c r="CG56" s="165"/>
      <c r="CH56" s="165"/>
      <c r="CI56" s="165"/>
      <c r="CJ56" s="165"/>
      <c r="CK56" s="160"/>
      <c r="CL56" s="164"/>
      <c r="CM56" s="165"/>
      <c r="CN56" s="182"/>
      <c r="CO56" s="165"/>
      <c r="CP56" s="165"/>
      <c r="CQ56" s="165"/>
      <c r="CR56" s="165"/>
      <c r="CS56" s="175"/>
      <c r="CT56" s="172"/>
      <c r="CU56" s="165"/>
      <c r="CV56" s="160"/>
    </row>
    <row r="57" spans="1:100" x14ac:dyDescent="0.25">
      <c r="A57" s="178"/>
      <c r="B57" s="169"/>
      <c r="F57" s="164"/>
      <c r="G57" s="165"/>
      <c r="H57" s="165"/>
      <c r="I57" s="165"/>
      <c r="J57" s="165"/>
      <c r="K57" s="165"/>
      <c r="L57" s="165"/>
      <c r="M57" s="160"/>
      <c r="N57" s="164"/>
      <c r="O57" s="165"/>
      <c r="P57" s="165"/>
      <c r="Q57" s="165"/>
      <c r="R57" s="165"/>
      <c r="S57" s="165"/>
      <c r="T57" s="165"/>
      <c r="U57" s="160"/>
      <c r="V57" s="165"/>
      <c r="W57" s="169"/>
      <c r="X57" s="164"/>
      <c r="Y57" s="165"/>
      <c r="Z57" s="165"/>
      <c r="AA57" s="165"/>
      <c r="AB57" s="165"/>
      <c r="AC57" s="165"/>
      <c r="AD57" s="165"/>
      <c r="AE57" s="160"/>
      <c r="AF57" s="164"/>
      <c r="AG57" s="165"/>
      <c r="AH57" s="182"/>
      <c r="AI57" s="175"/>
      <c r="AJ57" s="172"/>
      <c r="AK57" s="165"/>
      <c r="AL57" s="165"/>
      <c r="AM57" s="165"/>
      <c r="AN57" s="165"/>
      <c r="AO57" s="165"/>
      <c r="AP57" s="160"/>
      <c r="AQ57" s="164"/>
      <c r="AR57" s="165"/>
      <c r="AS57" s="165"/>
      <c r="AT57" s="165"/>
      <c r="AU57" s="165"/>
      <c r="AV57" s="165"/>
      <c r="AW57" s="165"/>
      <c r="AX57" s="160"/>
      <c r="AY57" s="164"/>
      <c r="AZ57" s="169"/>
      <c r="BA57" s="164"/>
      <c r="BB57" s="165"/>
      <c r="BC57" s="165"/>
      <c r="BD57" s="165"/>
      <c r="BE57" s="165"/>
      <c r="BF57" s="165"/>
      <c r="BG57" s="165"/>
      <c r="BH57" s="160"/>
      <c r="BI57" s="164"/>
      <c r="BJ57" s="165"/>
      <c r="BK57" s="182"/>
      <c r="BL57" s="165"/>
      <c r="BM57" s="165"/>
      <c r="BN57" s="175"/>
      <c r="BO57" s="172"/>
      <c r="BP57" s="165"/>
      <c r="BQ57" s="165"/>
      <c r="BR57" s="165"/>
      <c r="BS57" s="160"/>
      <c r="BT57" s="164"/>
      <c r="BU57" s="165"/>
      <c r="BV57" s="165"/>
      <c r="BW57" s="165"/>
      <c r="BX57" s="165"/>
      <c r="BY57" s="165"/>
      <c r="BZ57" s="165"/>
      <c r="CA57" s="160"/>
      <c r="CB57" s="164"/>
      <c r="CC57" s="169"/>
      <c r="CD57" s="164"/>
      <c r="CE57" s="165"/>
      <c r="CF57" s="165"/>
      <c r="CG57" s="165"/>
      <c r="CH57" s="165"/>
      <c r="CI57" s="165"/>
      <c r="CJ57" s="165"/>
      <c r="CK57" s="160"/>
      <c r="CL57" s="164"/>
      <c r="CM57" s="165"/>
      <c r="CN57" s="182"/>
      <c r="CO57" s="165"/>
      <c r="CP57" s="165"/>
      <c r="CQ57" s="165"/>
      <c r="CR57" s="165"/>
      <c r="CS57" s="175"/>
      <c r="CT57" s="172"/>
      <c r="CU57" s="165"/>
      <c r="CV57" s="160"/>
    </row>
    <row r="58" spans="1:100" x14ac:dyDescent="0.25">
      <c r="A58" s="178"/>
      <c r="B58" s="169"/>
      <c r="F58" s="164"/>
      <c r="G58" s="165"/>
      <c r="H58" s="165"/>
      <c r="I58" s="165"/>
      <c r="J58" s="165"/>
      <c r="K58" s="165"/>
      <c r="L58" s="165"/>
      <c r="M58" s="160"/>
      <c r="N58" s="164"/>
      <c r="O58" s="165"/>
      <c r="P58" s="165"/>
      <c r="Q58" s="165"/>
      <c r="R58" s="165"/>
      <c r="S58" s="165"/>
      <c r="T58" s="165"/>
      <c r="U58" s="160"/>
      <c r="V58" s="165"/>
      <c r="W58" s="169"/>
      <c r="X58" s="164"/>
      <c r="Y58" s="165"/>
      <c r="Z58" s="165"/>
      <c r="AA58" s="165"/>
      <c r="AB58" s="165"/>
      <c r="AC58" s="165"/>
      <c r="AD58" s="165"/>
      <c r="AE58" s="160"/>
      <c r="AF58" s="164"/>
      <c r="AG58" s="165"/>
      <c r="AH58" s="182"/>
      <c r="AI58" s="175"/>
      <c r="AJ58" s="172"/>
      <c r="AK58" s="165"/>
      <c r="AL58" s="165"/>
      <c r="AM58" s="165"/>
      <c r="AN58" s="165"/>
      <c r="AO58" s="165"/>
      <c r="AP58" s="160"/>
      <c r="AQ58" s="164"/>
      <c r="AR58" s="165"/>
      <c r="AS58" s="165"/>
      <c r="AT58" s="165"/>
      <c r="AU58" s="165"/>
      <c r="AV58" s="165"/>
      <c r="AW58" s="165"/>
      <c r="AX58" s="160"/>
      <c r="AY58" s="164"/>
      <c r="AZ58" s="169"/>
      <c r="BA58" s="164"/>
      <c r="BB58" s="165"/>
      <c r="BC58" s="165"/>
      <c r="BD58" s="165"/>
      <c r="BE58" s="165"/>
      <c r="BF58" s="165"/>
      <c r="BG58" s="165"/>
      <c r="BH58" s="160"/>
      <c r="BI58" s="164"/>
      <c r="BJ58" s="165"/>
      <c r="BK58" s="182"/>
      <c r="BL58" s="165"/>
      <c r="BM58" s="165"/>
      <c r="BN58" s="175"/>
      <c r="BO58" s="172"/>
      <c r="BP58" s="165"/>
      <c r="BQ58" s="165"/>
      <c r="BR58" s="165"/>
      <c r="BS58" s="160"/>
      <c r="BT58" s="164"/>
      <c r="BU58" s="165"/>
      <c r="BV58" s="165"/>
      <c r="BW58" s="165"/>
      <c r="BX58" s="165"/>
      <c r="BY58" s="165"/>
      <c r="BZ58" s="165"/>
      <c r="CA58" s="160"/>
      <c r="CB58" s="164"/>
      <c r="CC58" s="169"/>
      <c r="CD58" s="164"/>
      <c r="CE58" s="165"/>
      <c r="CF58" s="165"/>
      <c r="CG58" s="165"/>
      <c r="CH58" s="165"/>
      <c r="CI58" s="165"/>
      <c r="CJ58" s="165"/>
      <c r="CK58" s="160"/>
      <c r="CL58" s="164"/>
      <c r="CM58" s="165"/>
      <c r="CN58" s="182"/>
      <c r="CO58" s="165"/>
      <c r="CP58" s="165"/>
      <c r="CQ58" s="165"/>
      <c r="CR58" s="165"/>
      <c r="CS58" s="175"/>
      <c r="CT58" s="172"/>
      <c r="CU58" s="165"/>
      <c r="CV58" s="160"/>
    </row>
    <row r="59" spans="1:100" x14ac:dyDescent="0.25">
      <c r="A59" s="178"/>
      <c r="B59" s="169"/>
      <c r="F59" s="164"/>
      <c r="G59" s="165"/>
      <c r="H59" s="165"/>
      <c r="I59" s="165"/>
      <c r="J59" s="165"/>
      <c r="K59" s="165"/>
      <c r="L59" s="165"/>
      <c r="M59" s="160"/>
      <c r="N59" s="164"/>
      <c r="O59" s="165"/>
      <c r="P59" s="165"/>
      <c r="Q59" s="165"/>
      <c r="R59" s="165"/>
      <c r="S59" s="165"/>
      <c r="T59" s="165"/>
      <c r="U59" s="160"/>
      <c r="V59" s="165"/>
      <c r="W59" s="169"/>
      <c r="X59" s="164"/>
      <c r="Y59" s="165"/>
      <c r="Z59" s="165"/>
      <c r="AA59" s="165"/>
      <c r="AB59" s="165"/>
      <c r="AC59" s="165"/>
      <c r="AD59" s="165"/>
      <c r="AE59" s="160"/>
      <c r="AF59" s="164"/>
      <c r="AG59" s="165"/>
      <c r="AH59" s="182"/>
      <c r="AI59" s="175"/>
      <c r="AJ59" s="172"/>
      <c r="AK59" s="165"/>
      <c r="AL59" s="165"/>
      <c r="AM59" s="165"/>
      <c r="AN59" s="165"/>
      <c r="AO59" s="165"/>
      <c r="AP59" s="160"/>
      <c r="AQ59" s="164"/>
      <c r="AR59" s="165"/>
      <c r="AS59" s="165"/>
      <c r="AT59" s="165"/>
      <c r="AU59" s="165"/>
      <c r="AV59" s="165"/>
      <c r="AW59" s="165"/>
      <c r="AX59" s="160"/>
      <c r="AY59" s="164"/>
      <c r="AZ59" s="169"/>
      <c r="BA59" s="164"/>
      <c r="BB59" s="165"/>
      <c r="BC59" s="165"/>
      <c r="BD59" s="165"/>
      <c r="BE59" s="165"/>
      <c r="BF59" s="165"/>
      <c r="BG59" s="165"/>
      <c r="BH59" s="160"/>
      <c r="BI59" s="164"/>
      <c r="BJ59" s="165"/>
      <c r="BK59" s="182"/>
      <c r="BL59" s="165"/>
      <c r="BM59" s="165"/>
      <c r="BN59" s="175"/>
      <c r="BO59" s="172"/>
      <c r="BP59" s="165"/>
      <c r="BQ59" s="165"/>
      <c r="BR59" s="165"/>
      <c r="BS59" s="160"/>
      <c r="BT59" s="164"/>
      <c r="BU59" s="165"/>
      <c r="BV59" s="165"/>
      <c r="BW59" s="165"/>
      <c r="BX59" s="165"/>
      <c r="BY59" s="165"/>
      <c r="BZ59" s="165"/>
      <c r="CA59" s="160"/>
      <c r="CB59" s="164"/>
      <c r="CC59" s="169"/>
      <c r="CD59" s="164"/>
      <c r="CE59" s="165"/>
      <c r="CF59" s="165"/>
      <c r="CG59" s="165"/>
      <c r="CH59" s="165"/>
      <c r="CI59" s="165"/>
      <c r="CJ59" s="165"/>
      <c r="CK59" s="160"/>
      <c r="CL59" s="164"/>
      <c r="CM59" s="165"/>
      <c r="CN59" s="182"/>
      <c r="CO59" s="165"/>
      <c r="CP59" s="165"/>
      <c r="CQ59" s="165"/>
      <c r="CR59" s="165"/>
      <c r="CS59" s="175"/>
      <c r="CT59" s="172"/>
      <c r="CU59" s="165"/>
      <c r="CV59" s="160"/>
    </row>
    <row r="60" spans="1:100" x14ac:dyDescent="0.25">
      <c r="A60" s="178"/>
      <c r="B60" s="169"/>
      <c r="F60" s="164"/>
      <c r="G60" s="165"/>
      <c r="H60" s="165"/>
      <c r="I60" s="165"/>
      <c r="J60" s="165"/>
      <c r="K60" s="165"/>
      <c r="L60" s="165"/>
      <c r="M60" s="160"/>
      <c r="N60" s="164"/>
      <c r="O60" s="165"/>
      <c r="P60" s="165"/>
      <c r="Q60" s="165"/>
      <c r="R60" s="165"/>
      <c r="S60" s="165"/>
      <c r="T60" s="165"/>
      <c r="U60" s="160"/>
      <c r="V60" s="165"/>
      <c r="W60" s="169"/>
      <c r="X60" s="164"/>
      <c r="Y60" s="165"/>
      <c r="Z60" s="165"/>
      <c r="AA60" s="165"/>
      <c r="AB60" s="165"/>
      <c r="AC60" s="165"/>
      <c r="AD60" s="165"/>
      <c r="AE60" s="160"/>
      <c r="AF60" s="164"/>
      <c r="AG60" s="165"/>
      <c r="AH60" s="182"/>
      <c r="AI60" s="175"/>
      <c r="AJ60" s="172"/>
      <c r="AK60" s="165"/>
      <c r="AL60" s="165"/>
      <c r="AM60" s="165"/>
      <c r="AN60" s="165"/>
      <c r="AO60" s="165"/>
      <c r="AP60" s="160"/>
      <c r="AQ60" s="164"/>
      <c r="AR60" s="165"/>
      <c r="AS60" s="165"/>
      <c r="AT60" s="165"/>
      <c r="AU60" s="165"/>
      <c r="AV60" s="165"/>
      <c r="AW60" s="165"/>
      <c r="AX60" s="160"/>
      <c r="AY60" s="164"/>
      <c r="AZ60" s="169"/>
      <c r="BA60" s="164"/>
      <c r="BB60" s="165"/>
      <c r="BC60" s="165"/>
      <c r="BD60" s="165"/>
      <c r="BE60" s="165"/>
      <c r="BF60" s="165"/>
      <c r="BG60" s="165"/>
      <c r="BH60" s="160"/>
      <c r="BI60" s="164"/>
      <c r="BJ60" s="165"/>
      <c r="BK60" s="182"/>
      <c r="BL60" s="165"/>
      <c r="BM60" s="165"/>
      <c r="BN60" s="175"/>
      <c r="BO60" s="172"/>
      <c r="BP60" s="165"/>
      <c r="BQ60" s="165"/>
      <c r="BR60" s="165"/>
      <c r="BS60" s="160"/>
      <c r="BT60" s="164"/>
      <c r="BU60" s="165"/>
      <c r="BV60" s="165"/>
      <c r="BW60" s="165"/>
      <c r="BX60" s="165"/>
      <c r="BY60" s="165"/>
      <c r="BZ60" s="165"/>
      <c r="CA60" s="160"/>
      <c r="CB60" s="164"/>
      <c r="CC60" s="169"/>
      <c r="CD60" s="164"/>
      <c r="CE60" s="165"/>
      <c r="CF60" s="165"/>
      <c r="CG60" s="165"/>
      <c r="CH60" s="165"/>
      <c r="CI60" s="165"/>
      <c r="CJ60" s="165"/>
      <c r="CK60" s="160"/>
      <c r="CL60" s="164"/>
      <c r="CM60" s="165"/>
      <c r="CN60" s="182"/>
      <c r="CO60" s="165"/>
      <c r="CP60" s="165"/>
      <c r="CQ60" s="165"/>
      <c r="CR60" s="165"/>
      <c r="CS60" s="175"/>
      <c r="CT60" s="172"/>
      <c r="CU60" s="165"/>
      <c r="CV60" s="160"/>
    </row>
    <row r="61" spans="1:100" x14ac:dyDescent="0.25">
      <c r="A61" s="178"/>
      <c r="B61" s="169"/>
      <c r="F61" s="164"/>
      <c r="G61" s="165"/>
      <c r="H61" s="165"/>
      <c r="I61" s="165"/>
      <c r="J61" s="165"/>
      <c r="K61" s="165"/>
      <c r="L61" s="165"/>
      <c r="M61" s="160"/>
      <c r="N61" s="164"/>
      <c r="O61" s="165"/>
      <c r="P61" s="165"/>
      <c r="Q61" s="165"/>
      <c r="R61" s="165"/>
      <c r="S61" s="165"/>
      <c r="T61" s="165"/>
      <c r="U61" s="160"/>
      <c r="V61" s="165"/>
      <c r="W61" s="169"/>
      <c r="X61" s="164"/>
      <c r="Y61" s="165"/>
      <c r="Z61" s="165"/>
      <c r="AA61" s="165"/>
      <c r="AB61" s="165"/>
      <c r="AC61" s="165"/>
      <c r="AD61" s="165"/>
      <c r="AE61" s="160"/>
      <c r="AF61" s="164"/>
      <c r="AG61" s="165"/>
      <c r="AH61" s="182"/>
      <c r="AI61" s="175"/>
      <c r="AJ61" s="172"/>
      <c r="AK61" s="165"/>
      <c r="AL61" s="165"/>
      <c r="AM61" s="165"/>
      <c r="AN61" s="165"/>
      <c r="AO61" s="165"/>
      <c r="AP61" s="160"/>
      <c r="AQ61" s="164"/>
      <c r="AR61" s="165"/>
      <c r="AS61" s="165"/>
      <c r="AT61" s="165"/>
      <c r="AU61" s="165"/>
      <c r="AV61" s="165"/>
      <c r="AW61" s="165"/>
      <c r="AX61" s="160"/>
      <c r="AY61" s="164"/>
      <c r="AZ61" s="169"/>
      <c r="BA61" s="164"/>
      <c r="BB61" s="165"/>
      <c r="BC61" s="165"/>
      <c r="BD61" s="165"/>
      <c r="BE61" s="165"/>
      <c r="BF61" s="165"/>
      <c r="BG61" s="165"/>
      <c r="BH61" s="160"/>
      <c r="BI61" s="164"/>
      <c r="BJ61" s="165"/>
      <c r="BK61" s="182"/>
      <c r="BL61" s="165"/>
      <c r="BM61" s="165"/>
      <c r="BN61" s="175"/>
      <c r="BO61" s="172"/>
      <c r="BP61" s="165"/>
      <c r="BQ61" s="165"/>
      <c r="BR61" s="165"/>
      <c r="BS61" s="160"/>
      <c r="BT61" s="164"/>
      <c r="BU61" s="165"/>
      <c r="BV61" s="165"/>
      <c r="BW61" s="165"/>
      <c r="BX61" s="165"/>
      <c r="BY61" s="165"/>
      <c r="BZ61" s="165"/>
      <c r="CA61" s="160"/>
      <c r="CB61" s="164"/>
      <c r="CC61" s="169"/>
      <c r="CD61" s="164"/>
      <c r="CE61" s="165"/>
      <c r="CF61" s="165"/>
      <c r="CG61" s="165"/>
      <c r="CH61" s="165"/>
      <c r="CI61" s="165"/>
      <c r="CJ61" s="165"/>
      <c r="CK61" s="160"/>
      <c r="CL61" s="164"/>
      <c r="CM61" s="165"/>
      <c r="CN61" s="182"/>
      <c r="CO61" s="165"/>
      <c r="CP61" s="165"/>
      <c r="CQ61" s="165"/>
      <c r="CR61" s="165"/>
      <c r="CS61" s="175"/>
      <c r="CT61" s="172"/>
      <c r="CU61" s="165"/>
      <c r="CV61" s="160"/>
    </row>
    <row r="62" spans="1:100" x14ac:dyDescent="0.25">
      <c r="A62" s="178"/>
      <c r="B62" s="169"/>
      <c r="F62" s="164"/>
      <c r="G62" s="165"/>
      <c r="H62" s="165"/>
      <c r="I62" s="165"/>
      <c r="J62" s="165"/>
      <c r="K62" s="165"/>
      <c r="L62" s="165"/>
      <c r="M62" s="160"/>
      <c r="N62" s="164"/>
      <c r="O62" s="165"/>
      <c r="P62" s="165"/>
      <c r="Q62" s="165"/>
      <c r="R62" s="165"/>
      <c r="S62" s="165"/>
      <c r="T62" s="165"/>
      <c r="U62" s="160"/>
      <c r="V62" s="165"/>
      <c r="W62" s="169"/>
      <c r="X62" s="164"/>
      <c r="Y62" s="165"/>
      <c r="Z62" s="165"/>
      <c r="AA62" s="165"/>
      <c r="AB62" s="165"/>
      <c r="AC62" s="165"/>
      <c r="AD62" s="165"/>
      <c r="AE62" s="160"/>
      <c r="AF62" s="164"/>
      <c r="AG62" s="165"/>
      <c r="AH62" s="182"/>
      <c r="AI62" s="175"/>
      <c r="AJ62" s="172"/>
      <c r="AK62" s="165"/>
      <c r="AL62" s="165"/>
      <c r="AM62" s="165"/>
      <c r="AN62" s="165"/>
      <c r="AO62" s="165"/>
      <c r="AP62" s="160"/>
      <c r="AQ62" s="164"/>
      <c r="AR62" s="165"/>
      <c r="AS62" s="165"/>
      <c r="AT62" s="165"/>
      <c r="AU62" s="165"/>
      <c r="AV62" s="165"/>
      <c r="AW62" s="165"/>
      <c r="AX62" s="160"/>
      <c r="AY62" s="164"/>
      <c r="AZ62" s="169"/>
      <c r="BA62" s="164"/>
      <c r="BB62" s="165"/>
      <c r="BC62" s="165"/>
      <c r="BD62" s="165"/>
      <c r="BE62" s="165"/>
      <c r="BF62" s="165"/>
      <c r="BG62" s="165"/>
      <c r="BH62" s="160"/>
      <c r="BI62" s="164"/>
      <c r="BJ62" s="165"/>
      <c r="BK62" s="182"/>
      <c r="BL62" s="165"/>
      <c r="BM62" s="165"/>
      <c r="BN62" s="175"/>
      <c r="BO62" s="172"/>
      <c r="BP62" s="165"/>
      <c r="BQ62" s="165"/>
      <c r="BR62" s="165"/>
      <c r="BS62" s="160"/>
      <c r="BT62" s="164"/>
      <c r="BU62" s="165"/>
      <c r="BV62" s="165"/>
      <c r="BW62" s="165"/>
      <c r="BX62" s="165"/>
      <c r="BY62" s="165"/>
      <c r="BZ62" s="165"/>
      <c r="CA62" s="160"/>
      <c r="CB62" s="164"/>
      <c r="CC62" s="169"/>
      <c r="CD62" s="164"/>
      <c r="CE62" s="165"/>
      <c r="CF62" s="165"/>
      <c r="CG62" s="165"/>
      <c r="CH62" s="165"/>
      <c r="CI62" s="165"/>
      <c r="CJ62" s="165"/>
      <c r="CK62" s="160"/>
      <c r="CL62" s="164"/>
      <c r="CM62" s="165"/>
      <c r="CN62" s="182"/>
      <c r="CO62" s="165"/>
      <c r="CP62" s="165"/>
      <c r="CQ62" s="165"/>
      <c r="CR62" s="165"/>
      <c r="CS62" s="175"/>
      <c r="CT62" s="172"/>
      <c r="CU62" s="165"/>
      <c r="CV62" s="160"/>
    </row>
    <row r="63" spans="1:100" x14ac:dyDescent="0.25">
      <c r="A63" s="178"/>
      <c r="B63" s="169"/>
      <c r="F63" s="164"/>
      <c r="G63" s="165"/>
      <c r="H63" s="165"/>
      <c r="I63" s="165"/>
      <c r="J63" s="165"/>
      <c r="K63" s="165"/>
      <c r="L63" s="165"/>
      <c r="M63" s="160"/>
      <c r="N63" s="164"/>
      <c r="O63" s="165"/>
      <c r="P63" s="165"/>
      <c r="Q63" s="165"/>
      <c r="R63" s="165"/>
      <c r="S63" s="165"/>
      <c r="T63" s="165"/>
      <c r="U63" s="160"/>
      <c r="V63" s="165"/>
      <c r="W63" s="169"/>
      <c r="X63" s="164"/>
      <c r="Y63" s="165"/>
      <c r="Z63" s="165"/>
      <c r="AA63" s="165"/>
      <c r="AB63" s="165"/>
      <c r="AC63" s="165"/>
      <c r="AD63" s="165"/>
      <c r="AE63" s="160"/>
      <c r="AF63" s="164"/>
      <c r="AG63" s="165"/>
      <c r="AH63" s="182"/>
      <c r="AI63" s="175"/>
      <c r="AJ63" s="172"/>
      <c r="AK63" s="165"/>
      <c r="AL63" s="165"/>
      <c r="AM63" s="165"/>
      <c r="AN63" s="165"/>
      <c r="AO63" s="165"/>
      <c r="AP63" s="160"/>
      <c r="AQ63" s="164"/>
      <c r="AR63" s="165"/>
      <c r="AS63" s="165"/>
      <c r="AT63" s="165"/>
      <c r="AU63" s="165"/>
      <c r="AV63" s="165"/>
      <c r="AW63" s="165"/>
      <c r="AX63" s="160"/>
      <c r="AY63" s="164"/>
      <c r="AZ63" s="169"/>
      <c r="BA63" s="164"/>
      <c r="BB63" s="165"/>
      <c r="BC63" s="165"/>
      <c r="BD63" s="165"/>
      <c r="BE63" s="165"/>
      <c r="BF63" s="165"/>
      <c r="BG63" s="165"/>
      <c r="BH63" s="160"/>
      <c r="BI63" s="164"/>
      <c r="BJ63" s="165"/>
      <c r="BK63" s="182"/>
      <c r="BL63" s="165"/>
      <c r="BM63" s="165"/>
      <c r="BN63" s="175"/>
      <c r="BO63" s="172"/>
      <c r="BP63" s="165"/>
      <c r="BQ63" s="165"/>
      <c r="BR63" s="165"/>
      <c r="BS63" s="160"/>
      <c r="BT63" s="164"/>
      <c r="BU63" s="165"/>
      <c r="BV63" s="165"/>
      <c r="BW63" s="165"/>
      <c r="BX63" s="165"/>
      <c r="BY63" s="165"/>
      <c r="BZ63" s="165"/>
      <c r="CA63" s="160"/>
      <c r="CB63" s="164"/>
      <c r="CC63" s="169"/>
      <c r="CD63" s="164"/>
      <c r="CE63" s="165"/>
      <c r="CF63" s="165"/>
      <c r="CG63" s="165"/>
      <c r="CH63" s="165"/>
      <c r="CI63" s="165"/>
      <c r="CJ63" s="165"/>
      <c r="CK63" s="160"/>
      <c r="CL63" s="164"/>
      <c r="CM63" s="165"/>
      <c r="CN63" s="182"/>
      <c r="CO63" s="165"/>
      <c r="CP63" s="165"/>
      <c r="CQ63" s="165"/>
      <c r="CR63" s="165"/>
      <c r="CS63" s="175"/>
      <c r="CT63" s="172"/>
      <c r="CU63" s="165"/>
      <c r="CV63" s="160"/>
    </row>
    <row r="64" spans="1:100" x14ac:dyDescent="0.25">
      <c r="A64" s="178"/>
      <c r="B64" s="169"/>
      <c r="F64" s="164"/>
      <c r="G64" s="165"/>
      <c r="H64" s="165"/>
      <c r="I64" s="165"/>
      <c r="J64" s="165"/>
      <c r="K64" s="165"/>
      <c r="L64" s="165"/>
      <c r="M64" s="160"/>
      <c r="N64" s="164"/>
      <c r="O64" s="165"/>
      <c r="P64" s="165"/>
      <c r="Q64" s="165"/>
      <c r="R64" s="165"/>
      <c r="S64" s="165"/>
      <c r="T64" s="165"/>
      <c r="U64" s="160"/>
      <c r="V64" s="165"/>
      <c r="W64" s="169"/>
      <c r="X64" s="164"/>
      <c r="Y64" s="165"/>
      <c r="Z64" s="165"/>
      <c r="AA64" s="165"/>
      <c r="AB64" s="165"/>
      <c r="AC64" s="165"/>
      <c r="AD64" s="165"/>
      <c r="AE64" s="160"/>
      <c r="AF64" s="164"/>
      <c r="AG64" s="165"/>
      <c r="AH64" s="182"/>
      <c r="AI64" s="175"/>
      <c r="AJ64" s="172"/>
      <c r="AK64" s="165"/>
      <c r="AL64" s="165"/>
      <c r="AM64" s="165"/>
      <c r="AN64" s="165"/>
      <c r="AO64" s="165"/>
      <c r="AP64" s="160"/>
      <c r="AQ64" s="164"/>
      <c r="AR64" s="165"/>
      <c r="AS64" s="165"/>
      <c r="AT64" s="165"/>
      <c r="AU64" s="165"/>
      <c r="AV64" s="165"/>
      <c r="AW64" s="165"/>
      <c r="AX64" s="160"/>
      <c r="AY64" s="164"/>
      <c r="AZ64" s="169"/>
      <c r="BA64" s="164"/>
      <c r="BB64" s="165"/>
      <c r="BC64" s="165"/>
      <c r="BD64" s="165"/>
      <c r="BE64" s="165"/>
      <c r="BF64" s="165"/>
      <c r="BG64" s="165"/>
      <c r="BH64" s="160"/>
      <c r="BI64" s="164"/>
      <c r="BJ64" s="165"/>
      <c r="BK64" s="182"/>
      <c r="BL64" s="165"/>
      <c r="BM64" s="165"/>
      <c r="BN64" s="175"/>
      <c r="BO64" s="172"/>
      <c r="BP64" s="165"/>
      <c r="BQ64" s="165"/>
      <c r="BR64" s="165"/>
      <c r="BS64" s="160"/>
      <c r="BT64" s="164"/>
      <c r="BU64" s="165"/>
      <c r="BV64" s="165"/>
      <c r="BW64" s="165"/>
      <c r="BX64" s="165"/>
      <c r="BY64" s="165"/>
      <c r="BZ64" s="165"/>
      <c r="CA64" s="160"/>
      <c r="CB64" s="164"/>
      <c r="CC64" s="169"/>
      <c r="CD64" s="164"/>
      <c r="CE64" s="165"/>
      <c r="CF64" s="165"/>
      <c r="CG64" s="165"/>
      <c r="CH64" s="165"/>
      <c r="CI64" s="165"/>
      <c r="CJ64" s="165"/>
      <c r="CK64" s="160"/>
      <c r="CL64" s="164"/>
      <c r="CM64" s="165"/>
      <c r="CN64" s="182"/>
      <c r="CO64" s="165"/>
      <c r="CP64" s="165"/>
      <c r="CQ64" s="165"/>
      <c r="CR64" s="165"/>
      <c r="CS64" s="175"/>
      <c r="CT64" s="172"/>
      <c r="CU64" s="165"/>
      <c r="CV64" s="160"/>
    </row>
    <row r="65" spans="1:100" x14ac:dyDescent="0.25">
      <c r="A65" s="178"/>
      <c r="B65" s="169"/>
      <c r="F65" s="164"/>
      <c r="G65" s="165"/>
      <c r="H65" s="165"/>
      <c r="I65" s="165"/>
      <c r="J65" s="165"/>
      <c r="K65" s="165"/>
      <c r="L65" s="165"/>
      <c r="M65" s="160"/>
      <c r="N65" s="164"/>
      <c r="O65" s="165"/>
      <c r="P65" s="165"/>
      <c r="Q65" s="165"/>
      <c r="R65" s="165"/>
      <c r="S65" s="165"/>
      <c r="T65" s="165"/>
      <c r="U65" s="160"/>
      <c r="V65" s="165"/>
      <c r="W65" s="169"/>
      <c r="X65" s="164"/>
      <c r="Y65" s="165"/>
      <c r="Z65" s="165"/>
      <c r="AA65" s="165"/>
      <c r="AB65" s="165"/>
      <c r="AC65" s="165"/>
      <c r="AD65" s="165"/>
      <c r="AE65" s="160"/>
      <c r="AF65" s="164"/>
      <c r="AG65" s="165"/>
      <c r="AH65" s="182"/>
      <c r="AI65" s="175"/>
      <c r="AJ65" s="172"/>
      <c r="AK65" s="165"/>
      <c r="AL65" s="165"/>
      <c r="AM65" s="165"/>
      <c r="AN65" s="165"/>
      <c r="AO65" s="165"/>
      <c r="AP65" s="160"/>
      <c r="AQ65" s="164"/>
      <c r="AR65" s="165"/>
      <c r="AS65" s="165"/>
      <c r="AT65" s="165"/>
      <c r="AU65" s="165"/>
      <c r="AV65" s="165"/>
      <c r="AW65" s="165"/>
      <c r="AX65" s="160"/>
      <c r="AY65" s="164"/>
      <c r="AZ65" s="169"/>
      <c r="BA65" s="164"/>
      <c r="BB65" s="165"/>
      <c r="BC65" s="165"/>
      <c r="BD65" s="165"/>
      <c r="BE65" s="165"/>
      <c r="BF65" s="165"/>
      <c r="BG65" s="165"/>
      <c r="BH65" s="160"/>
      <c r="BI65" s="164"/>
      <c r="BJ65" s="165"/>
      <c r="BK65" s="182"/>
      <c r="BL65" s="165"/>
      <c r="BM65" s="165"/>
      <c r="BN65" s="175"/>
      <c r="BO65" s="172"/>
      <c r="BP65" s="165"/>
      <c r="BQ65" s="165"/>
      <c r="BR65" s="165"/>
      <c r="BS65" s="160"/>
      <c r="BT65" s="164"/>
      <c r="BU65" s="165"/>
      <c r="BV65" s="165"/>
      <c r="BW65" s="165"/>
      <c r="BX65" s="165"/>
      <c r="BY65" s="165"/>
      <c r="BZ65" s="165"/>
      <c r="CA65" s="160"/>
      <c r="CB65" s="164"/>
      <c r="CC65" s="169"/>
      <c r="CD65" s="164"/>
      <c r="CE65" s="165"/>
      <c r="CF65" s="165"/>
      <c r="CG65" s="165"/>
      <c r="CH65" s="165"/>
      <c r="CI65" s="165"/>
      <c r="CJ65" s="165"/>
      <c r="CK65" s="160"/>
      <c r="CL65" s="164"/>
      <c r="CM65" s="165"/>
      <c r="CN65" s="182"/>
      <c r="CO65" s="165"/>
      <c r="CP65" s="165"/>
      <c r="CQ65" s="165"/>
      <c r="CR65" s="165"/>
      <c r="CS65" s="175"/>
      <c r="CT65" s="172"/>
      <c r="CU65" s="165"/>
      <c r="CV65" s="160"/>
    </row>
    <row r="66" spans="1:100" x14ac:dyDescent="0.25">
      <c r="A66" s="178"/>
      <c r="B66" s="169"/>
      <c r="F66" s="164"/>
      <c r="G66" s="165"/>
      <c r="H66" s="165"/>
      <c r="I66" s="165"/>
      <c r="J66" s="165"/>
      <c r="K66" s="165"/>
      <c r="L66" s="165"/>
      <c r="M66" s="160"/>
      <c r="N66" s="164"/>
      <c r="O66" s="165"/>
      <c r="P66" s="165"/>
      <c r="Q66" s="165"/>
      <c r="R66" s="165"/>
      <c r="S66" s="165"/>
      <c r="T66" s="165"/>
      <c r="U66" s="160"/>
      <c r="V66" s="165"/>
      <c r="W66" s="169"/>
      <c r="X66" s="164"/>
      <c r="Y66" s="165"/>
      <c r="Z66" s="165"/>
      <c r="AA66" s="165"/>
      <c r="AB66" s="165"/>
      <c r="AC66" s="165"/>
      <c r="AD66" s="165"/>
      <c r="AE66" s="160"/>
      <c r="AF66" s="164"/>
      <c r="AG66" s="165"/>
      <c r="AH66" s="182"/>
      <c r="AI66" s="175"/>
      <c r="AJ66" s="172"/>
      <c r="AK66" s="165"/>
      <c r="AL66" s="165"/>
      <c r="AM66" s="165"/>
      <c r="AN66" s="165"/>
      <c r="AO66" s="165"/>
      <c r="AP66" s="160"/>
      <c r="AQ66" s="164"/>
      <c r="AR66" s="165"/>
      <c r="AS66" s="165"/>
      <c r="AT66" s="165"/>
      <c r="AU66" s="165"/>
      <c r="AV66" s="165"/>
      <c r="AW66" s="165"/>
      <c r="AX66" s="160"/>
      <c r="AY66" s="164"/>
      <c r="AZ66" s="169"/>
      <c r="BA66" s="164"/>
      <c r="BB66" s="165"/>
      <c r="BC66" s="165"/>
      <c r="BD66" s="165"/>
      <c r="BE66" s="165"/>
      <c r="BF66" s="165"/>
      <c r="BG66" s="165"/>
      <c r="BH66" s="160"/>
      <c r="BI66" s="164"/>
      <c r="BJ66" s="165"/>
      <c r="BK66" s="182"/>
      <c r="BL66" s="165"/>
      <c r="BM66" s="165"/>
      <c r="BN66" s="175"/>
      <c r="BO66" s="172"/>
      <c r="BP66" s="165"/>
      <c r="BQ66" s="165"/>
      <c r="BR66" s="165"/>
      <c r="BS66" s="160"/>
      <c r="BT66" s="164"/>
      <c r="BU66" s="165"/>
      <c r="BV66" s="165"/>
      <c r="BW66" s="165"/>
      <c r="BX66" s="165"/>
      <c r="BY66" s="165"/>
      <c r="BZ66" s="165"/>
      <c r="CA66" s="160"/>
      <c r="CB66" s="164"/>
      <c r="CC66" s="169"/>
      <c r="CD66" s="164"/>
      <c r="CE66" s="165"/>
      <c r="CF66" s="165"/>
      <c r="CG66" s="165"/>
      <c r="CH66" s="165"/>
      <c r="CI66" s="165"/>
      <c r="CJ66" s="165"/>
      <c r="CK66" s="160"/>
      <c r="CL66" s="164"/>
      <c r="CM66" s="165"/>
      <c r="CN66" s="182"/>
      <c r="CO66" s="165"/>
      <c r="CP66" s="165"/>
      <c r="CQ66" s="165"/>
      <c r="CR66" s="165"/>
      <c r="CS66" s="175"/>
      <c r="CT66" s="172"/>
      <c r="CU66" s="165"/>
      <c r="CV66" s="160"/>
    </row>
    <row r="67" spans="1:100" x14ac:dyDescent="0.25">
      <c r="A67" s="178"/>
      <c r="B67" s="169"/>
      <c r="F67" s="164"/>
      <c r="G67" s="165"/>
      <c r="H67" s="165"/>
      <c r="I67" s="165"/>
      <c r="J67" s="165"/>
      <c r="K67" s="165"/>
      <c r="L67" s="165"/>
      <c r="M67" s="160"/>
      <c r="N67" s="164"/>
      <c r="O67" s="165"/>
      <c r="P67" s="165"/>
      <c r="Q67" s="165"/>
      <c r="R67" s="165"/>
      <c r="S67" s="165"/>
      <c r="T67" s="165"/>
      <c r="U67" s="160"/>
      <c r="V67" s="165"/>
      <c r="W67" s="169"/>
      <c r="X67" s="164"/>
      <c r="Y67" s="165"/>
      <c r="Z67" s="165"/>
      <c r="AA67" s="165"/>
      <c r="AB67" s="165"/>
      <c r="AC67" s="165"/>
      <c r="AD67" s="165"/>
      <c r="AE67" s="160"/>
      <c r="AF67" s="164"/>
      <c r="AG67" s="165"/>
      <c r="AH67" s="182"/>
      <c r="AI67" s="175"/>
      <c r="AJ67" s="172"/>
      <c r="AK67" s="165"/>
      <c r="AL67" s="165"/>
      <c r="AM67" s="165"/>
      <c r="AN67" s="165"/>
      <c r="AO67" s="165"/>
      <c r="AP67" s="160"/>
      <c r="AQ67" s="164"/>
      <c r="AR67" s="165"/>
      <c r="AS67" s="165"/>
      <c r="AT67" s="165"/>
      <c r="AU67" s="165"/>
      <c r="AV67" s="165"/>
      <c r="AW67" s="165"/>
      <c r="AX67" s="160"/>
      <c r="AY67" s="164"/>
      <c r="AZ67" s="169"/>
      <c r="BA67" s="164"/>
      <c r="BB67" s="165"/>
      <c r="BC67" s="165"/>
      <c r="BD67" s="165"/>
      <c r="BE67" s="165"/>
      <c r="BF67" s="165"/>
      <c r="BG67" s="165"/>
      <c r="BH67" s="160"/>
      <c r="BI67" s="164"/>
      <c r="BJ67" s="165"/>
      <c r="BK67" s="182"/>
      <c r="BL67" s="165"/>
      <c r="BM67" s="165"/>
      <c r="BN67" s="175"/>
      <c r="BO67" s="172"/>
      <c r="BP67" s="165"/>
      <c r="BQ67" s="165"/>
      <c r="BR67" s="165"/>
      <c r="BS67" s="160"/>
      <c r="BT67" s="164"/>
      <c r="BU67" s="165"/>
      <c r="BV67" s="165"/>
      <c r="BW67" s="165"/>
      <c r="BX67" s="165"/>
      <c r="BY67" s="165"/>
      <c r="BZ67" s="165"/>
      <c r="CA67" s="160"/>
      <c r="CB67" s="164"/>
      <c r="CC67" s="169"/>
      <c r="CD67" s="164"/>
      <c r="CE67" s="165"/>
      <c r="CF67" s="165"/>
      <c r="CG67" s="165"/>
      <c r="CH67" s="165"/>
      <c r="CI67" s="165"/>
      <c r="CJ67" s="165"/>
      <c r="CK67" s="160"/>
      <c r="CL67" s="164"/>
      <c r="CM67" s="165"/>
      <c r="CN67" s="182"/>
      <c r="CO67" s="165"/>
      <c r="CP67" s="165"/>
      <c r="CQ67" s="165"/>
      <c r="CR67" s="165"/>
      <c r="CS67" s="175"/>
      <c r="CT67" s="172"/>
      <c r="CU67" s="165"/>
      <c r="CV67" s="160"/>
    </row>
    <row r="68" spans="1:100" x14ac:dyDescent="0.25">
      <c r="A68" s="178"/>
      <c r="B68" s="169"/>
      <c r="F68" s="164"/>
      <c r="G68" s="165"/>
      <c r="H68" s="165"/>
      <c r="I68" s="165"/>
      <c r="J68" s="165"/>
      <c r="K68" s="165"/>
      <c r="L68" s="165"/>
      <c r="M68" s="160"/>
      <c r="N68" s="164"/>
      <c r="O68" s="165"/>
      <c r="P68" s="165"/>
      <c r="Q68" s="165"/>
      <c r="R68" s="165"/>
      <c r="S68" s="165"/>
      <c r="T68" s="165"/>
      <c r="U68" s="160"/>
      <c r="V68" s="165"/>
      <c r="W68" s="169"/>
      <c r="X68" s="164"/>
      <c r="Y68" s="165"/>
      <c r="Z68" s="165"/>
      <c r="AA68" s="165"/>
      <c r="AB68" s="165"/>
      <c r="AC68" s="165"/>
      <c r="AD68" s="165"/>
      <c r="AE68" s="160"/>
      <c r="AF68" s="164"/>
      <c r="AG68" s="165"/>
      <c r="AH68" s="182"/>
      <c r="AI68" s="175"/>
      <c r="AJ68" s="172"/>
      <c r="AK68" s="165"/>
      <c r="AL68" s="165"/>
      <c r="AM68" s="165"/>
      <c r="AN68" s="165"/>
      <c r="AO68" s="165"/>
      <c r="AP68" s="160"/>
      <c r="AQ68" s="164"/>
      <c r="AR68" s="165"/>
      <c r="AS68" s="165"/>
      <c r="AT68" s="165"/>
      <c r="AU68" s="165"/>
      <c r="AV68" s="165"/>
      <c r="AW68" s="165"/>
      <c r="AX68" s="160"/>
      <c r="AY68" s="164"/>
      <c r="AZ68" s="169"/>
      <c r="BA68" s="164"/>
      <c r="BB68" s="165"/>
      <c r="BC68" s="165"/>
      <c r="BD68" s="165"/>
      <c r="BE68" s="165"/>
      <c r="BF68" s="165"/>
      <c r="BG68" s="165"/>
      <c r="BH68" s="160"/>
      <c r="BI68" s="164"/>
      <c r="BJ68" s="165"/>
      <c r="BK68" s="182"/>
      <c r="BL68" s="165"/>
      <c r="BM68" s="165"/>
      <c r="BN68" s="175"/>
      <c r="BO68" s="172"/>
      <c r="BP68" s="165"/>
      <c r="BQ68" s="165"/>
      <c r="BR68" s="165"/>
      <c r="BS68" s="160"/>
      <c r="BT68" s="164"/>
      <c r="BU68" s="165"/>
      <c r="BV68" s="165"/>
      <c r="BW68" s="165"/>
      <c r="BX68" s="165"/>
      <c r="BY68" s="165"/>
      <c r="BZ68" s="165"/>
      <c r="CA68" s="160"/>
      <c r="CB68" s="164"/>
      <c r="CC68" s="169"/>
      <c r="CD68" s="164"/>
      <c r="CE68" s="165"/>
      <c r="CF68" s="165"/>
      <c r="CG68" s="165"/>
      <c r="CH68" s="165"/>
      <c r="CI68" s="165"/>
      <c r="CJ68" s="165"/>
      <c r="CK68" s="160"/>
      <c r="CL68" s="164"/>
      <c r="CM68" s="165"/>
      <c r="CN68" s="182"/>
      <c r="CO68" s="165"/>
      <c r="CP68" s="165"/>
      <c r="CQ68" s="165"/>
      <c r="CR68" s="165"/>
      <c r="CS68" s="175"/>
      <c r="CT68" s="172"/>
      <c r="CU68" s="165"/>
      <c r="CV68" s="160"/>
    </row>
    <row r="69" spans="1:100" x14ac:dyDescent="0.25">
      <c r="A69" s="178"/>
      <c r="B69" s="169"/>
      <c r="F69" s="164"/>
      <c r="G69" s="165"/>
      <c r="H69" s="165"/>
      <c r="I69" s="165"/>
      <c r="J69" s="165"/>
      <c r="K69" s="165"/>
      <c r="L69" s="165"/>
      <c r="M69" s="160"/>
      <c r="N69" s="164"/>
      <c r="O69" s="165"/>
      <c r="P69" s="165"/>
      <c r="Q69" s="165"/>
      <c r="R69" s="165"/>
      <c r="S69" s="165"/>
      <c r="T69" s="165"/>
      <c r="U69" s="160"/>
      <c r="V69" s="165"/>
      <c r="W69" s="169"/>
      <c r="X69" s="164"/>
      <c r="Y69" s="165"/>
      <c r="Z69" s="165"/>
      <c r="AA69" s="165"/>
      <c r="AB69" s="165"/>
      <c r="AC69" s="165"/>
      <c r="AD69" s="165"/>
      <c r="AE69" s="160"/>
      <c r="AF69" s="164"/>
      <c r="AG69" s="165"/>
      <c r="AH69" s="182"/>
      <c r="AI69" s="175"/>
      <c r="AJ69" s="172"/>
      <c r="AK69" s="165"/>
      <c r="AL69" s="165"/>
      <c r="AM69" s="165"/>
      <c r="AN69" s="165"/>
      <c r="AO69" s="165"/>
      <c r="AP69" s="160"/>
      <c r="AQ69" s="164"/>
      <c r="AR69" s="165"/>
      <c r="AS69" s="165"/>
      <c r="AT69" s="165"/>
      <c r="AU69" s="165"/>
      <c r="AV69" s="165"/>
      <c r="AW69" s="165"/>
      <c r="AX69" s="160"/>
      <c r="AY69" s="164"/>
      <c r="AZ69" s="169"/>
      <c r="BA69" s="164"/>
      <c r="BB69" s="165"/>
      <c r="BC69" s="165"/>
      <c r="BD69" s="165"/>
      <c r="BE69" s="165"/>
      <c r="BF69" s="165"/>
      <c r="BG69" s="165"/>
      <c r="BH69" s="160"/>
      <c r="BI69" s="164"/>
      <c r="BJ69" s="165"/>
      <c r="BK69" s="182"/>
      <c r="BL69" s="165"/>
      <c r="BM69" s="165"/>
      <c r="BN69" s="175"/>
      <c r="BO69" s="172"/>
      <c r="BP69" s="165"/>
      <c r="BQ69" s="165"/>
      <c r="BR69" s="165"/>
      <c r="BS69" s="160"/>
      <c r="BT69" s="164"/>
      <c r="BU69" s="165"/>
      <c r="BV69" s="165"/>
      <c r="BW69" s="165"/>
      <c r="BX69" s="165"/>
      <c r="BY69" s="165"/>
      <c r="BZ69" s="165"/>
      <c r="CA69" s="160"/>
      <c r="CB69" s="164"/>
      <c r="CC69" s="169"/>
      <c r="CD69" s="164"/>
      <c r="CE69" s="165"/>
      <c r="CF69" s="165"/>
      <c r="CG69" s="165"/>
      <c r="CH69" s="165"/>
      <c r="CI69" s="165"/>
      <c r="CJ69" s="165"/>
      <c r="CK69" s="160"/>
      <c r="CL69" s="164"/>
      <c r="CM69" s="165"/>
      <c r="CN69" s="182"/>
      <c r="CO69" s="165"/>
      <c r="CP69" s="165"/>
      <c r="CQ69" s="165"/>
      <c r="CR69" s="165"/>
      <c r="CS69" s="175"/>
      <c r="CT69" s="172"/>
      <c r="CU69" s="165"/>
      <c r="CV69" s="160"/>
    </row>
    <row r="70" spans="1:100" x14ac:dyDescent="0.25">
      <c r="A70" s="178"/>
      <c r="B70" s="169"/>
      <c r="F70" s="164"/>
      <c r="G70" s="165"/>
      <c r="H70" s="165"/>
      <c r="I70" s="165"/>
      <c r="J70" s="165"/>
      <c r="K70" s="165"/>
      <c r="L70" s="165"/>
      <c r="M70" s="160"/>
      <c r="N70" s="164"/>
      <c r="O70" s="165"/>
      <c r="P70" s="165"/>
      <c r="Q70" s="165"/>
      <c r="R70" s="165"/>
      <c r="S70" s="165"/>
      <c r="T70" s="165"/>
      <c r="U70" s="160"/>
      <c r="V70" s="165"/>
      <c r="W70" s="169"/>
      <c r="X70" s="164"/>
      <c r="Y70" s="165"/>
      <c r="Z70" s="165"/>
      <c r="AA70" s="165"/>
      <c r="AB70" s="165"/>
      <c r="AC70" s="165"/>
      <c r="AD70" s="165"/>
      <c r="AE70" s="160"/>
      <c r="AF70" s="164"/>
      <c r="AG70" s="165"/>
      <c r="AH70" s="182"/>
      <c r="AI70" s="175"/>
      <c r="AJ70" s="172"/>
      <c r="AK70" s="165"/>
      <c r="AL70" s="165"/>
      <c r="AM70" s="165"/>
      <c r="AN70" s="165"/>
      <c r="AO70" s="165"/>
      <c r="AP70" s="160"/>
      <c r="AQ70" s="164"/>
      <c r="AR70" s="165"/>
      <c r="AS70" s="165"/>
      <c r="AT70" s="165"/>
      <c r="AU70" s="165"/>
      <c r="AV70" s="165"/>
      <c r="AW70" s="165"/>
      <c r="AX70" s="160"/>
      <c r="AY70" s="164"/>
      <c r="AZ70" s="169"/>
      <c r="BA70" s="164"/>
      <c r="BB70" s="165"/>
      <c r="BC70" s="165"/>
      <c r="BD70" s="165"/>
      <c r="BE70" s="165"/>
      <c r="BF70" s="165"/>
      <c r="BG70" s="165"/>
      <c r="BH70" s="160"/>
      <c r="BI70" s="164"/>
      <c r="BJ70" s="165"/>
      <c r="BK70" s="182"/>
      <c r="BL70" s="165"/>
      <c r="BM70" s="165"/>
      <c r="BN70" s="175"/>
      <c r="BO70" s="172"/>
      <c r="BP70" s="165"/>
      <c r="BQ70" s="165"/>
      <c r="BR70" s="165"/>
      <c r="BS70" s="160"/>
      <c r="BT70" s="164"/>
      <c r="BU70" s="165"/>
      <c r="BV70" s="165"/>
      <c r="BW70" s="165"/>
      <c r="BX70" s="165"/>
      <c r="BY70" s="165"/>
      <c r="BZ70" s="165"/>
      <c r="CA70" s="160"/>
      <c r="CB70" s="164"/>
      <c r="CC70" s="169"/>
      <c r="CD70" s="164"/>
      <c r="CE70" s="165"/>
      <c r="CF70" s="165"/>
      <c r="CG70" s="165"/>
      <c r="CH70" s="165"/>
      <c r="CI70" s="165"/>
      <c r="CJ70" s="165"/>
      <c r="CK70" s="160"/>
      <c r="CL70" s="164"/>
      <c r="CM70" s="165"/>
      <c r="CN70" s="182"/>
      <c r="CO70" s="165"/>
      <c r="CP70" s="165"/>
      <c r="CQ70" s="165"/>
      <c r="CR70" s="165"/>
      <c r="CS70" s="175"/>
      <c r="CT70" s="172"/>
      <c r="CU70" s="165"/>
      <c r="CV70" s="160"/>
    </row>
    <row r="71" spans="1:100" x14ac:dyDescent="0.25">
      <c r="A71" s="178"/>
      <c r="B71" s="169"/>
      <c r="F71" s="164"/>
      <c r="G71" s="165"/>
      <c r="H71" s="165"/>
      <c r="I71" s="165"/>
      <c r="J71" s="165"/>
      <c r="K71" s="165"/>
      <c r="L71" s="165"/>
      <c r="M71" s="160"/>
      <c r="N71" s="164"/>
      <c r="O71" s="165"/>
      <c r="P71" s="165"/>
      <c r="Q71" s="165"/>
      <c r="R71" s="165"/>
      <c r="S71" s="165"/>
      <c r="T71" s="165"/>
      <c r="U71" s="160"/>
      <c r="V71" s="165"/>
      <c r="W71" s="169"/>
      <c r="X71" s="164"/>
      <c r="Y71" s="165"/>
      <c r="Z71" s="165"/>
      <c r="AA71" s="165"/>
      <c r="AB71" s="165"/>
      <c r="AC71" s="165"/>
      <c r="AD71" s="165"/>
      <c r="AE71" s="160"/>
      <c r="AF71" s="164"/>
      <c r="AG71" s="165"/>
      <c r="AH71" s="182"/>
      <c r="AI71" s="175"/>
      <c r="AJ71" s="172"/>
      <c r="AK71" s="165"/>
      <c r="AL71" s="165"/>
      <c r="AM71" s="165"/>
      <c r="AN71" s="165"/>
      <c r="AO71" s="165"/>
      <c r="AP71" s="160"/>
      <c r="AQ71" s="164"/>
      <c r="AR71" s="165"/>
      <c r="AS71" s="165"/>
      <c r="AT71" s="165"/>
      <c r="AU71" s="165"/>
      <c r="AV71" s="165"/>
      <c r="AW71" s="165"/>
      <c r="AX71" s="160"/>
      <c r="AY71" s="164"/>
      <c r="AZ71" s="169"/>
      <c r="BA71" s="164"/>
      <c r="BB71" s="165"/>
      <c r="BC71" s="165"/>
      <c r="BD71" s="165"/>
      <c r="BE71" s="165"/>
      <c r="BF71" s="165"/>
      <c r="BG71" s="165"/>
      <c r="BH71" s="160"/>
      <c r="BI71" s="164"/>
      <c r="BJ71" s="165"/>
      <c r="BK71" s="182"/>
      <c r="BL71" s="165"/>
      <c r="BM71" s="165"/>
      <c r="BN71" s="175"/>
      <c r="BO71" s="172"/>
      <c r="BP71" s="165"/>
      <c r="BQ71" s="165"/>
      <c r="BR71" s="165"/>
      <c r="BS71" s="160"/>
      <c r="BT71" s="164"/>
      <c r="BU71" s="165"/>
      <c r="BV71" s="165"/>
      <c r="BW71" s="165"/>
      <c r="BX71" s="165"/>
      <c r="BY71" s="165"/>
      <c r="BZ71" s="165"/>
      <c r="CA71" s="160"/>
      <c r="CB71" s="164"/>
      <c r="CC71" s="169"/>
      <c r="CD71" s="164"/>
      <c r="CE71" s="165"/>
      <c r="CF71" s="165"/>
      <c r="CG71" s="165"/>
      <c r="CH71" s="165"/>
      <c r="CI71" s="165"/>
      <c r="CJ71" s="165"/>
      <c r="CK71" s="160"/>
      <c r="CL71" s="164"/>
      <c r="CM71" s="165"/>
      <c r="CN71" s="182"/>
      <c r="CO71" s="165"/>
      <c r="CP71" s="165"/>
      <c r="CQ71" s="165"/>
      <c r="CR71" s="165"/>
      <c r="CS71" s="175"/>
      <c r="CT71" s="172"/>
      <c r="CU71" s="165"/>
      <c r="CV71" s="160"/>
    </row>
    <row r="72" spans="1:100" x14ac:dyDescent="0.25">
      <c r="A72" s="178"/>
      <c r="B72" s="169"/>
      <c r="F72" s="164"/>
      <c r="G72" s="165"/>
      <c r="H72" s="165"/>
      <c r="I72" s="165"/>
      <c r="J72" s="165"/>
      <c r="K72" s="165"/>
      <c r="L72" s="165"/>
      <c r="M72" s="160"/>
      <c r="N72" s="164"/>
      <c r="O72" s="165"/>
      <c r="P72" s="165"/>
      <c r="Q72" s="165"/>
      <c r="R72" s="165"/>
      <c r="S72" s="165"/>
      <c r="T72" s="165"/>
      <c r="U72" s="160"/>
      <c r="V72" s="165"/>
      <c r="W72" s="169"/>
      <c r="X72" s="164"/>
      <c r="Y72" s="165"/>
      <c r="Z72" s="165"/>
      <c r="AA72" s="165"/>
      <c r="AB72" s="165"/>
      <c r="AC72" s="165"/>
      <c r="AD72" s="165"/>
      <c r="AE72" s="160"/>
      <c r="AF72" s="164"/>
      <c r="AG72" s="165"/>
      <c r="AH72" s="182"/>
      <c r="AI72" s="175"/>
      <c r="AJ72" s="172"/>
      <c r="AK72" s="165"/>
      <c r="AL72" s="165"/>
      <c r="AM72" s="165"/>
      <c r="AN72" s="165"/>
      <c r="AO72" s="165"/>
      <c r="AP72" s="160"/>
      <c r="AQ72" s="164"/>
      <c r="AR72" s="165"/>
      <c r="AS72" s="165"/>
      <c r="AT72" s="165"/>
      <c r="AU72" s="165"/>
      <c r="AV72" s="165"/>
      <c r="AW72" s="165"/>
      <c r="AX72" s="160"/>
      <c r="AY72" s="164"/>
      <c r="AZ72" s="169"/>
      <c r="BA72" s="164"/>
      <c r="BB72" s="165"/>
      <c r="BC72" s="165"/>
      <c r="BD72" s="165"/>
      <c r="BE72" s="165"/>
      <c r="BF72" s="165"/>
      <c r="BG72" s="165"/>
      <c r="BH72" s="160"/>
      <c r="BI72" s="164"/>
      <c r="BJ72" s="165"/>
      <c r="BK72" s="182"/>
      <c r="BL72" s="165"/>
      <c r="BM72" s="165"/>
      <c r="BN72" s="175"/>
      <c r="BO72" s="172"/>
      <c r="BP72" s="165"/>
      <c r="BQ72" s="165"/>
      <c r="BR72" s="165"/>
      <c r="BS72" s="160"/>
      <c r="BT72" s="164"/>
      <c r="BU72" s="165"/>
      <c r="BV72" s="165"/>
      <c r="BW72" s="165"/>
      <c r="BX72" s="165"/>
      <c r="BY72" s="165"/>
      <c r="BZ72" s="165"/>
      <c r="CA72" s="160"/>
      <c r="CB72" s="164"/>
      <c r="CC72" s="169"/>
      <c r="CD72" s="164"/>
      <c r="CE72" s="165"/>
      <c r="CF72" s="165"/>
      <c r="CG72" s="165"/>
      <c r="CH72" s="165"/>
      <c r="CI72" s="165"/>
      <c r="CJ72" s="165"/>
      <c r="CK72" s="160"/>
      <c r="CL72" s="164"/>
      <c r="CM72" s="165"/>
      <c r="CN72" s="182"/>
      <c r="CO72" s="165"/>
      <c r="CP72" s="165"/>
      <c r="CQ72" s="165"/>
      <c r="CR72" s="165"/>
      <c r="CS72" s="175"/>
      <c r="CT72" s="172"/>
      <c r="CU72" s="165"/>
      <c r="CV72" s="160"/>
    </row>
    <row r="73" spans="1:100" x14ac:dyDescent="0.25">
      <c r="A73" s="178"/>
      <c r="B73" s="169"/>
      <c r="F73" s="164"/>
      <c r="G73" s="165"/>
      <c r="H73" s="165"/>
      <c r="I73" s="165"/>
      <c r="J73" s="165"/>
      <c r="K73" s="165"/>
      <c r="L73" s="165"/>
      <c r="M73" s="160"/>
      <c r="N73" s="164"/>
      <c r="O73" s="165"/>
      <c r="P73" s="165"/>
      <c r="Q73" s="165"/>
      <c r="R73" s="165"/>
      <c r="S73" s="165"/>
      <c r="T73" s="165"/>
      <c r="U73" s="160"/>
      <c r="V73" s="165"/>
      <c r="W73" s="169"/>
      <c r="X73" s="164"/>
      <c r="Y73" s="165"/>
      <c r="Z73" s="165"/>
      <c r="AA73" s="165"/>
      <c r="AB73" s="165"/>
      <c r="AC73" s="165"/>
      <c r="AD73" s="165"/>
      <c r="AE73" s="160"/>
      <c r="AF73" s="164"/>
      <c r="AG73" s="165"/>
      <c r="AH73" s="182"/>
      <c r="AI73" s="175"/>
      <c r="AJ73" s="172"/>
      <c r="AK73" s="165"/>
      <c r="AL73" s="165"/>
      <c r="AM73" s="165"/>
      <c r="AN73" s="165"/>
      <c r="AO73" s="165"/>
      <c r="AP73" s="160"/>
      <c r="AQ73" s="164"/>
      <c r="AR73" s="165"/>
      <c r="AS73" s="165"/>
      <c r="AT73" s="165"/>
      <c r="AU73" s="165"/>
      <c r="AV73" s="165"/>
      <c r="AW73" s="165"/>
      <c r="AX73" s="160"/>
      <c r="AY73" s="164"/>
      <c r="AZ73" s="169"/>
      <c r="BA73" s="164"/>
      <c r="BB73" s="165"/>
      <c r="BC73" s="165"/>
      <c r="BD73" s="165"/>
      <c r="BE73" s="165"/>
      <c r="BF73" s="165"/>
      <c r="BG73" s="165"/>
      <c r="BH73" s="160"/>
      <c r="BI73" s="164"/>
      <c r="BJ73" s="165"/>
      <c r="BK73" s="182"/>
      <c r="BL73" s="165"/>
      <c r="BM73" s="165"/>
      <c r="BN73" s="175"/>
      <c r="BO73" s="172"/>
      <c r="BP73" s="165"/>
      <c r="BQ73" s="165"/>
      <c r="BR73" s="165"/>
      <c r="BS73" s="160"/>
      <c r="BT73" s="164"/>
      <c r="BU73" s="165"/>
      <c r="BV73" s="165"/>
      <c r="BW73" s="165"/>
      <c r="BX73" s="165"/>
      <c r="BY73" s="165"/>
      <c r="BZ73" s="165"/>
      <c r="CA73" s="160"/>
      <c r="CB73" s="164"/>
      <c r="CC73" s="169"/>
      <c r="CD73" s="164"/>
      <c r="CE73" s="165"/>
      <c r="CF73" s="165"/>
      <c r="CG73" s="165"/>
      <c r="CH73" s="165"/>
      <c r="CI73" s="165"/>
      <c r="CJ73" s="165"/>
      <c r="CK73" s="160"/>
      <c r="CL73" s="164"/>
      <c r="CM73" s="165"/>
      <c r="CN73" s="182"/>
      <c r="CO73" s="165"/>
      <c r="CP73" s="165"/>
      <c r="CQ73" s="165"/>
      <c r="CR73" s="165"/>
      <c r="CS73" s="175"/>
      <c r="CT73" s="172"/>
      <c r="CU73" s="165"/>
      <c r="CV73" s="160"/>
    </row>
    <row r="74" spans="1:100" x14ac:dyDescent="0.25">
      <c r="A74" s="178"/>
      <c r="B74" s="169"/>
      <c r="F74" s="164"/>
      <c r="G74" s="165"/>
      <c r="H74" s="165"/>
      <c r="I74" s="165"/>
      <c r="J74" s="165"/>
      <c r="K74" s="165"/>
      <c r="L74" s="165"/>
      <c r="M74" s="160"/>
      <c r="N74" s="164"/>
      <c r="O74" s="165"/>
      <c r="P74" s="165"/>
      <c r="Q74" s="165"/>
      <c r="R74" s="165"/>
      <c r="S74" s="165"/>
      <c r="T74" s="165"/>
      <c r="U74" s="160"/>
      <c r="V74" s="165"/>
      <c r="W74" s="169"/>
      <c r="X74" s="164"/>
      <c r="Y74" s="165"/>
      <c r="Z74" s="165"/>
      <c r="AA74" s="165"/>
      <c r="AB74" s="165"/>
      <c r="AC74" s="165"/>
      <c r="AD74" s="165"/>
      <c r="AE74" s="160"/>
      <c r="AF74" s="164"/>
      <c r="AG74" s="165"/>
      <c r="AH74" s="182"/>
      <c r="AI74" s="175"/>
      <c r="AJ74" s="172"/>
      <c r="AK74" s="165"/>
      <c r="AL74" s="165"/>
      <c r="AM74" s="165"/>
      <c r="AN74" s="165"/>
      <c r="AO74" s="165"/>
      <c r="AP74" s="160"/>
      <c r="AQ74" s="164"/>
      <c r="AR74" s="165"/>
      <c r="AS74" s="165"/>
      <c r="AT74" s="165"/>
      <c r="AU74" s="165"/>
      <c r="AV74" s="165"/>
      <c r="AW74" s="165"/>
      <c r="AX74" s="160"/>
      <c r="AY74" s="164"/>
      <c r="AZ74" s="169"/>
      <c r="BA74" s="164"/>
      <c r="BB74" s="165"/>
      <c r="BC74" s="165"/>
      <c r="BD74" s="165"/>
      <c r="BE74" s="165"/>
      <c r="BF74" s="165"/>
      <c r="BG74" s="165"/>
      <c r="BH74" s="160"/>
      <c r="BI74" s="164"/>
      <c r="BJ74" s="165"/>
      <c r="BK74" s="182"/>
      <c r="BL74" s="165"/>
      <c r="BM74" s="165"/>
      <c r="BN74" s="175"/>
      <c r="BO74" s="172"/>
      <c r="BP74" s="165"/>
      <c r="BQ74" s="165"/>
      <c r="BR74" s="165"/>
      <c r="BS74" s="160"/>
      <c r="BT74" s="164"/>
      <c r="BU74" s="165"/>
      <c r="BV74" s="165"/>
      <c r="BW74" s="165"/>
      <c r="BX74" s="165"/>
      <c r="BY74" s="165"/>
      <c r="BZ74" s="165"/>
      <c r="CA74" s="160"/>
      <c r="CB74" s="164"/>
      <c r="CC74" s="169"/>
      <c r="CD74" s="164"/>
      <c r="CE74" s="165"/>
      <c r="CF74" s="165"/>
      <c r="CG74" s="165"/>
      <c r="CH74" s="165"/>
      <c r="CI74" s="165"/>
      <c r="CJ74" s="165"/>
      <c r="CK74" s="160"/>
      <c r="CL74" s="164"/>
      <c r="CM74" s="165"/>
      <c r="CN74" s="182"/>
      <c r="CO74" s="165"/>
      <c r="CP74" s="165"/>
      <c r="CQ74" s="165"/>
      <c r="CR74" s="165"/>
      <c r="CS74" s="175"/>
      <c r="CT74" s="172"/>
      <c r="CU74" s="165"/>
      <c r="CV74" s="160"/>
    </row>
    <row r="75" spans="1:100" x14ac:dyDescent="0.25">
      <c r="A75" s="178"/>
      <c r="B75" s="169"/>
      <c r="F75" s="164"/>
      <c r="G75" s="165"/>
      <c r="H75" s="165"/>
      <c r="I75" s="165"/>
      <c r="J75" s="165"/>
      <c r="K75" s="165"/>
      <c r="L75" s="165"/>
      <c r="M75" s="160"/>
      <c r="N75" s="164"/>
      <c r="O75" s="165"/>
      <c r="P75" s="165"/>
      <c r="Q75" s="165"/>
      <c r="R75" s="165"/>
      <c r="S75" s="165"/>
      <c r="T75" s="165"/>
      <c r="U75" s="160"/>
      <c r="V75" s="165"/>
      <c r="W75" s="169"/>
      <c r="X75" s="164"/>
      <c r="Y75" s="165"/>
      <c r="Z75" s="165"/>
      <c r="AA75" s="165"/>
      <c r="AB75" s="165"/>
      <c r="AC75" s="165"/>
      <c r="AD75" s="165"/>
      <c r="AE75" s="160"/>
      <c r="AF75" s="164"/>
      <c r="AG75" s="165"/>
      <c r="AH75" s="182"/>
      <c r="AI75" s="175"/>
      <c r="AJ75" s="172"/>
      <c r="AK75" s="165"/>
      <c r="AL75" s="165"/>
      <c r="AM75" s="165"/>
      <c r="AN75" s="165"/>
      <c r="AO75" s="165"/>
      <c r="AP75" s="160"/>
      <c r="AQ75" s="164"/>
      <c r="AR75" s="165"/>
      <c r="AS75" s="165"/>
      <c r="AT75" s="165"/>
      <c r="AU75" s="165"/>
      <c r="AV75" s="165"/>
      <c r="AW75" s="165"/>
      <c r="AX75" s="160"/>
      <c r="AY75" s="164"/>
      <c r="AZ75" s="169"/>
      <c r="BA75" s="164"/>
      <c r="BB75" s="165"/>
      <c r="BC75" s="165"/>
      <c r="BD75" s="165"/>
      <c r="BE75" s="165"/>
      <c r="BF75" s="165"/>
      <c r="BG75" s="165"/>
      <c r="BH75" s="160"/>
      <c r="BI75" s="164"/>
      <c r="BJ75" s="165"/>
      <c r="BK75" s="182"/>
      <c r="BL75" s="165"/>
      <c r="BM75" s="165"/>
      <c r="BN75" s="175"/>
      <c r="BO75" s="172"/>
      <c r="BP75" s="165"/>
      <c r="BQ75" s="165"/>
      <c r="BR75" s="165"/>
      <c r="BS75" s="160"/>
      <c r="BT75" s="164"/>
      <c r="BU75" s="165"/>
      <c r="BV75" s="165"/>
      <c r="BW75" s="165"/>
      <c r="BX75" s="165"/>
      <c r="BY75" s="165"/>
      <c r="BZ75" s="165"/>
      <c r="CA75" s="160"/>
      <c r="CB75" s="164"/>
      <c r="CC75" s="169"/>
      <c r="CD75" s="164"/>
      <c r="CE75" s="165"/>
      <c r="CF75" s="165"/>
      <c r="CG75" s="165"/>
      <c r="CH75" s="165"/>
      <c r="CI75" s="165"/>
      <c r="CJ75" s="165"/>
      <c r="CK75" s="160"/>
      <c r="CL75" s="164"/>
      <c r="CM75" s="165"/>
      <c r="CN75" s="182"/>
      <c r="CO75" s="165"/>
      <c r="CP75" s="165"/>
      <c r="CQ75" s="165"/>
      <c r="CR75" s="165"/>
      <c r="CS75" s="175"/>
      <c r="CT75" s="172"/>
      <c r="CU75" s="165"/>
      <c r="CV75" s="160"/>
    </row>
    <row r="76" spans="1:100" x14ac:dyDescent="0.25">
      <c r="A76" s="178"/>
      <c r="B76" s="169"/>
      <c r="F76" s="164"/>
      <c r="G76" s="165"/>
      <c r="H76" s="165"/>
      <c r="I76" s="165"/>
      <c r="J76" s="165"/>
      <c r="K76" s="165"/>
      <c r="L76" s="165"/>
      <c r="M76" s="160"/>
      <c r="N76" s="164"/>
      <c r="O76" s="165"/>
      <c r="P76" s="165"/>
      <c r="Q76" s="165"/>
      <c r="R76" s="165"/>
      <c r="S76" s="165"/>
      <c r="T76" s="165"/>
      <c r="U76" s="160"/>
      <c r="V76" s="165"/>
      <c r="W76" s="169"/>
      <c r="X76" s="164"/>
      <c r="Y76" s="165"/>
      <c r="Z76" s="165"/>
      <c r="AA76" s="165"/>
      <c r="AB76" s="165"/>
      <c r="AC76" s="165"/>
      <c r="AD76" s="165"/>
      <c r="AE76" s="160"/>
      <c r="AF76" s="164"/>
      <c r="AG76" s="165"/>
      <c r="AH76" s="182"/>
      <c r="AI76" s="175"/>
      <c r="AJ76" s="172"/>
      <c r="AK76" s="165"/>
      <c r="AL76" s="165"/>
      <c r="AM76" s="165"/>
      <c r="AN76" s="165"/>
      <c r="AO76" s="165"/>
      <c r="AP76" s="160"/>
      <c r="AQ76" s="164"/>
      <c r="AR76" s="165"/>
      <c r="AS76" s="165"/>
      <c r="AT76" s="165"/>
      <c r="AU76" s="165"/>
      <c r="AV76" s="165"/>
      <c r="AW76" s="165"/>
      <c r="AX76" s="160"/>
      <c r="AY76" s="164"/>
      <c r="AZ76" s="169"/>
      <c r="BA76" s="164"/>
      <c r="BB76" s="165"/>
      <c r="BC76" s="165"/>
      <c r="BD76" s="165"/>
      <c r="BE76" s="165"/>
      <c r="BF76" s="165"/>
      <c r="BG76" s="165"/>
      <c r="BH76" s="160"/>
      <c r="BI76" s="164"/>
      <c r="BJ76" s="165"/>
      <c r="BK76" s="182"/>
      <c r="BL76" s="165"/>
      <c r="BM76" s="165"/>
      <c r="BN76" s="175"/>
      <c r="BO76" s="172"/>
      <c r="BP76" s="165"/>
      <c r="BQ76" s="165"/>
      <c r="BR76" s="165"/>
      <c r="BS76" s="160"/>
      <c r="BT76" s="164"/>
      <c r="BU76" s="165"/>
      <c r="BV76" s="165"/>
      <c r="BW76" s="165"/>
      <c r="BX76" s="165"/>
      <c r="BY76" s="165"/>
      <c r="BZ76" s="165"/>
      <c r="CA76" s="160"/>
      <c r="CB76" s="164"/>
      <c r="CC76" s="169"/>
      <c r="CD76" s="164"/>
      <c r="CE76" s="165"/>
      <c r="CF76" s="165"/>
      <c r="CG76" s="165"/>
      <c r="CH76" s="165"/>
      <c r="CI76" s="165"/>
      <c r="CJ76" s="165"/>
      <c r="CK76" s="160"/>
      <c r="CL76" s="164"/>
      <c r="CM76" s="165"/>
      <c r="CN76" s="182"/>
      <c r="CO76" s="165"/>
      <c r="CP76" s="165"/>
      <c r="CQ76" s="165"/>
      <c r="CR76" s="165"/>
      <c r="CS76" s="175"/>
      <c r="CT76" s="172"/>
      <c r="CU76" s="165"/>
      <c r="CV76" s="160"/>
    </row>
    <row r="77" spans="1:100" x14ac:dyDescent="0.25">
      <c r="A77" s="178"/>
      <c r="B77" s="169"/>
      <c r="F77" s="164"/>
      <c r="G77" s="165"/>
      <c r="H77" s="165"/>
      <c r="I77" s="165"/>
      <c r="J77" s="165"/>
      <c r="K77" s="165"/>
      <c r="L77" s="165"/>
      <c r="M77" s="160"/>
      <c r="N77" s="164"/>
      <c r="O77" s="165"/>
      <c r="P77" s="165"/>
      <c r="Q77" s="165"/>
      <c r="R77" s="165"/>
      <c r="S77" s="165"/>
      <c r="T77" s="165"/>
      <c r="U77" s="160"/>
      <c r="V77" s="165"/>
      <c r="W77" s="169"/>
      <c r="X77" s="164"/>
      <c r="Y77" s="165"/>
      <c r="Z77" s="165"/>
      <c r="AA77" s="165"/>
      <c r="AB77" s="165"/>
      <c r="AC77" s="165"/>
      <c r="AD77" s="165"/>
      <c r="AE77" s="160"/>
      <c r="AF77" s="164"/>
      <c r="AG77" s="165"/>
      <c r="AH77" s="182"/>
      <c r="AI77" s="175"/>
      <c r="AJ77" s="172"/>
      <c r="AK77" s="165"/>
      <c r="AL77" s="165"/>
      <c r="AM77" s="165"/>
      <c r="AN77" s="165"/>
      <c r="AO77" s="165"/>
      <c r="AP77" s="160"/>
      <c r="AQ77" s="164"/>
      <c r="AR77" s="165"/>
      <c r="AS77" s="165"/>
      <c r="AT77" s="165"/>
      <c r="AU77" s="165"/>
      <c r="AV77" s="165"/>
      <c r="AW77" s="165"/>
      <c r="AX77" s="160"/>
      <c r="AY77" s="164"/>
      <c r="AZ77" s="169"/>
      <c r="BA77" s="164"/>
      <c r="BB77" s="165"/>
      <c r="BC77" s="165"/>
      <c r="BD77" s="165"/>
      <c r="BE77" s="165"/>
      <c r="BF77" s="165"/>
      <c r="BG77" s="165"/>
      <c r="BH77" s="160"/>
      <c r="BI77" s="164"/>
      <c r="BJ77" s="165"/>
      <c r="BK77" s="182"/>
      <c r="BL77" s="165"/>
      <c r="BM77" s="165"/>
      <c r="BN77" s="175"/>
      <c r="BO77" s="172"/>
      <c r="BP77" s="165"/>
      <c r="BQ77" s="165"/>
      <c r="BR77" s="165"/>
      <c r="BS77" s="160"/>
      <c r="BT77" s="164"/>
      <c r="BU77" s="165"/>
      <c r="BV77" s="165"/>
      <c r="BW77" s="165"/>
      <c r="BX77" s="165"/>
      <c r="BY77" s="165"/>
      <c r="BZ77" s="165"/>
      <c r="CA77" s="160"/>
      <c r="CB77" s="164"/>
      <c r="CC77" s="169"/>
      <c r="CD77" s="164"/>
      <c r="CE77" s="165"/>
      <c r="CF77" s="165"/>
      <c r="CG77" s="165"/>
      <c r="CH77" s="165"/>
      <c r="CI77" s="165"/>
      <c r="CJ77" s="165"/>
      <c r="CK77" s="160"/>
      <c r="CL77" s="164"/>
      <c r="CM77" s="165"/>
      <c r="CN77" s="182"/>
      <c r="CO77" s="165"/>
      <c r="CP77" s="165"/>
      <c r="CQ77" s="165"/>
      <c r="CR77" s="165"/>
      <c r="CS77" s="175"/>
      <c r="CT77" s="172"/>
      <c r="CU77" s="165"/>
      <c r="CV77" s="160"/>
    </row>
    <row r="78" spans="1:100" x14ac:dyDescent="0.25">
      <c r="A78" s="178"/>
      <c r="B78" s="169"/>
      <c r="F78" s="164"/>
      <c r="G78" s="165"/>
      <c r="H78" s="165"/>
      <c r="I78" s="165"/>
      <c r="J78" s="165"/>
      <c r="K78" s="165"/>
      <c r="L78" s="165"/>
      <c r="M78" s="160"/>
      <c r="N78" s="164"/>
      <c r="O78" s="165"/>
      <c r="P78" s="165"/>
      <c r="Q78" s="165"/>
      <c r="R78" s="165"/>
      <c r="S78" s="165"/>
      <c r="T78" s="165"/>
      <c r="U78" s="160"/>
      <c r="V78" s="165"/>
      <c r="W78" s="169"/>
      <c r="X78" s="164"/>
      <c r="Y78" s="165"/>
      <c r="Z78" s="165"/>
      <c r="AA78" s="165"/>
      <c r="AB78" s="165"/>
      <c r="AC78" s="165"/>
      <c r="AD78" s="165"/>
      <c r="AE78" s="160"/>
      <c r="AF78" s="164"/>
      <c r="AG78" s="165"/>
      <c r="AH78" s="182"/>
      <c r="AI78" s="175"/>
      <c r="AJ78" s="172"/>
      <c r="AK78" s="165"/>
      <c r="AL78" s="165"/>
      <c r="AM78" s="165"/>
      <c r="AN78" s="165"/>
      <c r="AO78" s="165"/>
      <c r="AP78" s="160"/>
      <c r="AQ78" s="164"/>
      <c r="AR78" s="165"/>
      <c r="AS78" s="165"/>
      <c r="AT78" s="165"/>
      <c r="AU78" s="165"/>
      <c r="AV78" s="165"/>
      <c r="AW78" s="165"/>
      <c r="AX78" s="160"/>
      <c r="AY78" s="164"/>
      <c r="AZ78" s="169"/>
      <c r="BA78" s="164"/>
      <c r="BB78" s="165"/>
      <c r="BC78" s="165"/>
      <c r="BD78" s="165"/>
      <c r="BE78" s="165"/>
      <c r="BF78" s="165"/>
      <c r="BG78" s="165"/>
      <c r="BH78" s="160"/>
      <c r="BI78" s="164"/>
      <c r="BJ78" s="165"/>
      <c r="BK78" s="182"/>
      <c r="BL78" s="165"/>
      <c r="BM78" s="165"/>
      <c r="BN78" s="175"/>
      <c r="BO78" s="172"/>
      <c r="BP78" s="165"/>
      <c r="BQ78" s="165"/>
      <c r="BR78" s="165"/>
      <c r="BS78" s="160"/>
      <c r="BT78" s="164"/>
      <c r="BU78" s="165"/>
      <c r="BV78" s="165"/>
      <c r="BW78" s="165"/>
      <c r="BX78" s="165"/>
      <c r="BY78" s="165"/>
      <c r="BZ78" s="165"/>
      <c r="CA78" s="160"/>
      <c r="CB78" s="164"/>
      <c r="CC78" s="169"/>
      <c r="CD78" s="164"/>
      <c r="CE78" s="165"/>
      <c r="CF78" s="165"/>
      <c r="CG78" s="165"/>
      <c r="CH78" s="165"/>
      <c r="CI78" s="165"/>
      <c r="CJ78" s="165"/>
      <c r="CK78" s="160"/>
      <c r="CL78" s="164"/>
      <c r="CM78" s="165"/>
      <c r="CN78" s="182"/>
      <c r="CO78" s="165"/>
      <c r="CP78" s="165"/>
      <c r="CQ78" s="165"/>
      <c r="CR78" s="165"/>
      <c r="CS78" s="175"/>
      <c r="CT78" s="172"/>
      <c r="CU78" s="165"/>
      <c r="CV78" s="160"/>
    </row>
    <row r="79" spans="1:100" x14ac:dyDescent="0.25">
      <c r="A79" s="178"/>
      <c r="B79" s="169"/>
      <c r="F79" s="164"/>
      <c r="G79" s="165"/>
      <c r="H79" s="165"/>
      <c r="I79" s="165"/>
      <c r="J79" s="165"/>
      <c r="K79" s="165"/>
      <c r="L79" s="165"/>
      <c r="M79" s="160"/>
      <c r="N79" s="164"/>
      <c r="O79" s="165"/>
      <c r="P79" s="165"/>
      <c r="Q79" s="165"/>
      <c r="R79" s="165"/>
      <c r="S79" s="165"/>
      <c r="T79" s="165"/>
      <c r="U79" s="160"/>
      <c r="V79" s="165"/>
      <c r="W79" s="169"/>
      <c r="X79" s="164"/>
      <c r="Y79" s="165"/>
      <c r="Z79" s="165"/>
      <c r="AA79" s="165"/>
      <c r="AB79" s="165"/>
      <c r="AC79" s="165"/>
      <c r="AD79" s="165"/>
      <c r="AE79" s="160"/>
      <c r="AF79" s="164"/>
      <c r="AG79" s="165"/>
      <c r="AH79" s="182"/>
      <c r="AI79" s="175"/>
      <c r="AJ79" s="172"/>
      <c r="AK79" s="165"/>
      <c r="AL79" s="165"/>
      <c r="AM79" s="165"/>
      <c r="AN79" s="165"/>
      <c r="AO79" s="165"/>
      <c r="AP79" s="160"/>
      <c r="AQ79" s="164"/>
      <c r="AR79" s="165"/>
      <c r="AS79" s="165"/>
      <c r="AT79" s="165"/>
      <c r="AU79" s="165"/>
      <c r="AV79" s="165"/>
      <c r="AW79" s="165"/>
      <c r="AX79" s="160"/>
      <c r="AY79" s="164"/>
      <c r="AZ79" s="169"/>
      <c r="BA79" s="164"/>
      <c r="BB79" s="165"/>
      <c r="BC79" s="165"/>
      <c r="BD79" s="165"/>
      <c r="BE79" s="165"/>
      <c r="BF79" s="165"/>
      <c r="BG79" s="165"/>
      <c r="BH79" s="160"/>
      <c r="BI79" s="164"/>
      <c r="BJ79" s="165"/>
      <c r="BK79" s="182"/>
      <c r="BL79" s="165"/>
      <c r="BM79" s="165"/>
      <c r="BN79" s="175"/>
      <c r="BO79" s="172"/>
      <c r="BP79" s="165"/>
      <c r="BQ79" s="165"/>
      <c r="BR79" s="165"/>
      <c r="BS79" s="160"/>
      <c r="BT79" s="164"/>
      <c r="BU79" s="165"/>
      <c r="BV79" s="165"/>
      <c r="BW79" s="165"/>
      <c r="BX79" s="165"/>
      <c r="BY79" s="165"/>
      <c r="BZ79" s="165"/>
      <c r="CA79" s="160"/>
      <c r="CB79" s="164"/>
      <c r="CC79" s="169"/>
      <c r="CD79" s="164"/>
      <c r="CE79" s="165"/>
      <c r="CF79" s="165"/>
      <c r="CG79" s="165"/>
      <c r="CH79" s="165"/>
      <c r="CI79" s="165"/>
      <c r="CJ79" s="165"/>
      <c r="CK79" s="160"/>
      <c r="CL79" s="164"/>
      <c r="CM79" s="165"/>
      <c r="CN79" s="182"/>
      <c r="CO79" s="165"/>
      <c r="CP79" s="165"/>
      <c r="CQ79" s="165"/>
      <c r="CR79" s="165"/>
      <c r="CS79" s="175"/>
      <c r="CT79" s="172"/>
      <c r="CU79" s="165"/>
      <c r="CV79" s="160"/>
    </row>
    <row r="80" spans="1:100" x14ac:dyDescent="0.25">
      <c r="A80" s="178"/>
      <c r="B80" s="169"/>
      <c r="F80" s="164"/>
      <c r="G80" s="165"/>
      <c r="H80" s="165"/>
      <c r="I80" s="165"/>
      <c r="J80" s="165"/>
      <c r="K80" s="165"/>
      <c r="L80" s="165"/>
      <c r="M80" s="160"/>
      <c r="N80" s="164"/>
      <c r="O80" s="165"/>
      <c r="P80" s="165"/>
      <c r="Q80" s="165"/>
      <c r="R80" s="165"/>
      <c r="S80" s="165"/>
      <c r="T80" s="165"/>
      <c r="U80" s="160"/>
      <c r="V80" s="165"/>
      <c r="W80" s="169"/>
      <c r="X80" s="164"/>
      <c r="Y80" s="165"/>
      <c r="Z80" s="165"/>
      <c r="AA80" s="165"/>
      <c r="AB80" s="165"/>
      <c r="AC80" s="165"/>
      <c r="AD80" s="165"/>
      <c r="AE80" s="160"/>
      <c r="AF80" s="164"/>
      <c r="AG80" s="165"/>
      <c r="AH80" s="182"/>
      <c r="AI80" s="175"/>
      <c r="AJ80" s="172"/>
      <c r="AK80" s="165"/>
      <c r="AL80" s="165"/>
      <c r="AM80" s="165"/>
      <c r="AN80" s="165"/>
      <c r="AO80" s="165"/>
      <c r="AP80" s="160"/>
      <c r="AQ80" s="164"/>
      <c r="AR80" s="165"/>
      <c r="AS80" s="165"/>
      <c r="AT80" s="165"/>
      <c r="AU80" s="165"/>
      <c r="AV80" s="165"/>
      <c r="AW80" s="165"/>
      <c r="AX80" s="160"/>
      <c r="AY80" s="164"/>
      <c r="AZ80" s="169"/>
      <c r="BA80" s="164"/>
      <c r="BB80" s="165"/>
      <c r="BC80" s="165"/>
      <c r="BD80" s="165"/>
      <c r="BE80" s="165"/>
      <c r="BF80" s="165"/>
      <c r="BG80" s="165"/>
      <c r="BH80" s="160"/>
      <c r="BI80" s="164"/>
      <c r="BJ80" s="165"/>
      <c r="BK80" s="182"/>
      <c r="BL80" s="165"/>
      <c r="BM80" s="165"/>
      <c r="BN80" s="175"/>
      <c r="BO80" s="172"/>
      <c r="BP80" s="165"/>
      <c r="BQ80" s="165"/>
      <c r="BR80" s="165"/>
      <c r="BS80" s="160"/>
      <c r="BT80" s="164"/>
      <c r="BU80" s="165"/>
      <c r="BV80" s="165"/>
      <c r="BW80" s="165"/>
      <c r="BX80" s="165"/>
      <c r="BY80" s="165"/>
      <c r="BZ80" s="165"/>
      <c r="CA80" s="160"/>
      <c r="CB80" s="164"/>
      <c r="CC80" s="169"/>
      <c r="CD80" s="164"/>
      <c r="CE80" s="165"/>
      <c r="CF80" s="165"/>
      <c r="CG80" s="165"/>
      <c r="CH80" s="165"/>
      <c r="CI80" s="165"/>
      <c r="CJ80" s="165"/>
      <c r="CK80" s="160"/>
      <c r="CL80" s="164"/>
      <c r="CM80" s="165"/>
      <c r="CN80" s="182"/>
      <c r="CO80" s="165"/>
      <c r="CP80" s="165"/>
      <c r="CQ80" s="165"/>
      <c r="CR80" s="165"/>
      <c r="CS80" s="175"/>
      <c r="CT80" s="172"/>
      <c r="CU80" s="165"/>
      <c r="CV80" s="160"/>
    </row>
    <row r="81" spans="1:100" x14ac:dyDescent="0.25">
      <c r="A81" s="178"/>
      <c r="B81" s="169"/>
      <c r="F81" s="164"/>
      <c r="G81" s="165"/>
      <c r="H81" s="165"/>
      <c r="I81" s="165"/>
      <c r="J81" s="165"/>
      <c r="K81" s="165"/>
      <c r="L81" s="165"/>
      <c r="M81" s="160"/>
      <c r="N81" s="164"/>
      <c r="O81" s="165"/>
      <c r="P81" s="165"/>
      <c r="Q81" s="165"/>
      <c r="R81" s="165"/>
      <c r="S81" s="165"/>
      <c r="T81" s="165"/>
      <c r="U81" s="160"/>
      <c r="V81" s="165"/>
      <c r="W81" s="169"/>
      <c r="X81" s="164"/>
      <c r="Y81" s="165"/>
      <c r="Z81" s="165"/>
      <c r="AA81" s="165"/>
      <c r="AB81" s="165"/>
      <c r="AC81" s="165"/>
      <c r="AD81" s="165"/>
      <c r="AE81" s="160"/>
      <c r="AF81" s="164"/>
      <c r="AG81" s="165"/>
      <c r="AH81" s="182"/>
      <c r="AI81" s="175"/>
      <c r="AJ81" s="172"/>
      <c r="AK81" s="165"/>
      <c r="AL81" s="165"/>
      <c r="AM81" s="165"/>
      <c r="AN81" s="165"/>
      <c r="AO81" s="165"/>
      <c r="AP81" s="160"/>
      <c r="AQ81" s="164"/>
      <c r="AR81" s="165"/>
      <c r="AS81" s="165"/>
      <c r="AT81" s="165"/>
      <c r="AU81" s="165"/>
      <c r="AV81" s="165"/>
      <c r="AW81" s="165"/>
      <c r="AX81" s="160"/>
      <c r="AY81" s="164"/>
      <c r="AZ81" s="169"/>
      <c r="BA81" s="164"/>
      <c r="BB81" s="165"/>
      <c r="BC81" s="165"/>
      <c r="BD81" s="165"/>
      <c r="BE81" s="165"/>
      <c r="BF81" s="165"/>
      <c r="BG81" s="165"/>
      <c r="BH81" s="160"/>
      <c r="BI81" s="164"/>
      <c r="BJ81" s="165"/>
      <c r="BK81" s="182"/>
      <c r="BL81" s="165"/>
      <c r="BM81" s="165"/>
      <c r="BN81" s="175"/>
      <c r="BO81" s="172"/>
      <c r="BP81" s="165"/>
      <c r="BQ81" s="165"/>
      <c r="BR81" s="165"/>
      <c r="BS81" s="160"/>
      <c r="BT81" s="164"/>
      <c r="BU81" s="165"/>
      <c r="BV81" s="165"/>
      <c r="BW81" s="165"/>
      <c r="BX81" s="165"/>
      <c r="BY81" s="165"/>
      <c r="BZ81" s="165"/>
      <c r="CA81" s="160"/>
      <c r="CB81" s="164"/>
      <c r="CC81" s="169"/>
      <c r="CD81" s="164"/>
      <c r="CE81" s="165"/>
      <c r="CF81" s="165"/>
      <c r="CG81" s="165"/>
      <c r="CH81" s="165"/>
      <c r="CI81" s="165"/>
      <c r="CJ81" s="165"/>
      <c r="CK81" s="160"/>
      <c r="CL81" s="164"/>
      <c r="CM81" s="165"/>
      <c r="CN81" s="182"/>
      <c r="CO81" s="165"/>
      <c r="CP81" s="165"/>
      <c r="CQ81" s="165"/>
      <c r="CR81" s="165"/>
      <c r="CS81" s="175"/>
      <c r="CT81" s="172"/>
      <c r="CU81" s="165"/>
      <c r="CV81" s="160"/>
    </row>
    <row r="82" spans="1:100" x14ac:dyDescent="0.25">
      <c r="A82" s="178"/>
      <c r="B82" s="169"/>
      <c r="F82" s="164"/>
      <c r="G82" s="165"/>
      <c r="H82" s="165"/>
      <c r="I82" s="165"/>
      <c r="J82" s="165"/>
      <c r="K82" s="165"/>
      <c r="L82" s="165"/>
      <c r="M82" s="160"/>
      <c r="N82" s="164"/>
      <c r="O82" s="165"/>
      <c r="P82" s="165"/>
      <c r="Q82" s="165"/>
      <c r="R82" s="165"/>
      <c r="S82" s="165"/>
      <c r="T82" s="165"/>
      <c r="U82" s="160"/>
      <c r="V82" s="165"/>
      <c r="W82" s="169"/>
      <c r="X82" s="164"/>
      <c r="Y82" s="165"/>
      <c r="Z82" s="165"/>
      <c r="AA82" s="165"/>
      <c r="AB82" s="165"/>
      <c r="AC82" s="165"/>
      <c r="AD82" s="165"/>
      <c r="AE82" s="160"/>
      <c r="AF82" s="164"/>
      <c r="AG82" s="165"/>
      <c r="AH82" s="182"/>
      <c r="AI82" s="175"/>
      <c r="AJ82" s="172"/>
      <c r="AK82" s="165"/>
      <c r="AL82" s="165"/>
      <c r="AM82" s="165"/>
      <c r="AN82" s="165"/>
      <c r="AO82" s="165"/>
      <c r="AP82" s="160"/>
      <c r="AQ82" s="164"/>
      <c r="AR82" s="165"/>
      <c r="AS82" s="165"/>
      <c r="AT82" s="165"/>
      <c r="AU82" s="165"/>
      <c r="AV82" s="165"/>
      <c r="AW82" s="165"/>
      <c r="AX82" s="160"/>
      <c r="AY82" s="164"/>
      <c r="AZ82" s="169"/>
      <c r="BA82" s="164"/>
      <c r="BB82" s="165"/>
      <c r="BC82" s="165"/>
      <c r="BD82" s="165"/>
      <c r="BE82" s="165"/>
      <c r="BF82" s="165"/>
      <c r="BG82" s="165"/>
      <c r="BH82" s="160"/>
      <c r="BI82" s="164"/>
      <c r="BJ82" s="165"/>
      <c r="BK82" s="182"/>
      <c r="BL82" s="165"/>
      <c r="BM82" s="165"/>
      <c r="BN82" s="175"/>
      <c r="BO82" s="172"/>
      <c r="BP82" s="165"/>
      <c r="BQ82" s="165"/>
      <c r="BR82" s="165"/>
      <c r="BS82" s="160"/>
      <c r="BT82" s="164"/>
      <c r="BU82" s="165"/>
      <c r="BV82" s="165"/>
      <c r="BW82" s="165"/>
      <c r="BX82" s="165"/>
      <c r="BY82" s="165"/>
      <c r="BZ82" s="165"/>
      <c r="CA82" s="160"/>
      <c r="CB82" s="164"/>
      <c r="CC82" s="169"/>
      <c r="CD82" s="164"/>
      <c r="CE82" s="165"/>
      <c r="CF82" s="165"/>
      <c r="CG82" s="165"/>
      <c r="CH82" s="165"/>
      <c r="CI82" s="165"/>
      <c r="CJ82" s="165"/>
      <c r="CK82" s="160"/>
      <c r="CL82" s="164"/>
      <c r="CM82" s="165"/>
      <c r="CN82" s="182"/>
      <c r="CO82" s="165"/>
      <c r="CP82" s="165"/>
      <c r="CQ82" s="165"/>
      <c r="CR82" s="165"/>
      <c r="CS82" s="175"/>
      <c r="CT82" s="172"/>
      <c r="CU82" s="165"/>
      <c r="CV82" s="160"/>
    </row>
    <row r="83" spans="1:100" x14ac:dyDescent="0.25">
      <c r="A83" s="178"/>
      <c r="B83" s="169"/>
      <c r="F83" s="164"/>
      <c r="G83" s="165"/>
      <c r="H83" s="165"/>
      <c r="I83" s="165"/>
      <c r="J83" s="165"/>
      <c r="K83" s="165"/>
      <c r="L83" s="165"/>
      <c r="M83" s="160"/>
      <c r="N83" s="164"/>
      <c r="O83" s="165"/>
      <c r="P83" s="165"/>
      <c r="Q83" s="165"/>
      <c r="R83" s="165"/>
      <c r="S83" s="165"/>
      <c r="T83" s="165"/>
      <c r="U83" s="160"/>
      <c r="V83" s="165"/>
      <c r="W83" s="169"/>
      <c r="X83" s="164"/>
      <c r="Y83" s="165"/>
      <c r="Z83" s="165"/>
      <c r="AA83" s="165"/>
      <c r="AB83" s="165"/>
      <c r="AC83" s="165"/>
      <c r="AD83" s="165"/>
      <c r="AE83" s="160"/>
      <c r="AF83" s="164"/>
      <c r="AG83" s="165"/>
      <c r="AH83" s="182"/>
      <c r="AI83" s="175"/>
      <c r="AJ83" s="172"/>
      <c r="AK83" s="165"/>
      <c r="AL83" s="165"/>
      <c r="AM83" s="165"/>
      <c r="AN83" s="165"/>
      <c r="AO83" s="165"/>
      <c r="AP83" s="160"/>
      <c r="AQ83" s="164"/>
      <c r="AR83" s="165"/>
      <c r="AS83" s="165"/>
      <c r="AT83" s="165"/>
      <c r="AU83" s="165"/>
      <c r="AV83" s="165"/>
      <c r="AW83" s="165"/>
      <c r="AX83" s="160"/>
      <c r="AY83" s="164"/>
      <c r="AZ83" s="169"/>
      <c r="BA83" s="164"/>
      <c r="BB83" s="165"/>
      <c r="BC83" s="165"/>
      <c r="BD83" s="165"/>
      <c r="BE83" s="165"/>
      <c r="BF83" s="165"/>
      <c r="BG83" s="165"/>
      <c r="BH83" s="160"/>
      <c r="BI83" s="164"/>
      <c r="BJ83" s="165"/>
      <c r="BK83" s="182"/>
      <c r="BL83" s="165"/>
      <c r="BM83" s="165"/>
      <c r="BN83" s="175"/>
      <c r="BO83" s="172"/>
      <c r="BP83" s="165"/>
      <c r="BQ83" s="165"/>
      <c r="BR83" s="165"/>
      <c r="BS83" s="160"/>
      <c r="BT83" s="164"/>
      <c r="BU83" s="165"/>
      <c r="BV83" s="165"/>
      <c r="BW83" s="165"/>
      <c r="BX83" s="165"/>
      <c r="BY83" s="165"/>
      <c r="BZ83" s="165"/>
      <c r="CA83" s="160"/>
      <c r="CB83" s="164"/>
      <c r="CC83" s="169"/>
      <c r="CD83" s="164"/>
      <c r="CE83" s="165"/>
      <c r="CF83" s="165"/>
      <c r="CG83" s="165"/>
      <c r="CH83" s="165"/>
      <c r="CI83" s="165"/>
      <c r="CJ83" s="165"/>
      <c r="CK83" s="160"/>
      <c r="CL83" s="164"/>
      <c r="CM83" s="165"/>
      <c r="CN83" s="182"/>
      <c r="CO83" s="165"/>
      <c r="CP83" s="165"/>
      <c r="CQ83" s="165"/>
      <c r="CR83" s="165"/>
      <c r="CS83" s="175"/>
      <c r="CT83" s="172"/>
      <c r="CU83" s="165"/>
      <c r="CV83" s="160"/>
    </row>
    <row r="84" spans="1:100" x14ac:dyDescent="0.25">
      <c r="A84" s="178"/>
      <c r="B84" s="169"/>
      <c r="F84" s="164"/>
      <c r="G84" s="165"/>
      <c r="H84" s="165"/>
      <c r="I84" s="165"/>
      <c r="J84" s="165"/>
      <c r="K84" s="165"/>
      <c r="L84" s="165"/>
      <c r="M84" s="160"/>
      <c r="N84" s="164"/>
      <c r="O84" s="165"/>
      <c r="P84" s="165"/>
      <c r="Q84" s="165"/>
      <c r="R84" s="165"/>
      <c r="S84" s="165"/>
      <c r="T84" s="165"/>
      <c r="U84" s="160"/>
      <c r="V84" s="165"/>
      <c r="W84" s="169"/>
      <c r="X84" s="164"/>
      <c r="Y84" s="165"/>
      <c r="Z84" s="165"/>
      <c r="AA84" s="165"/>
      <c r="AB84" s="165"/>
      <c r="AC84" s="165"/>
      <c r="AD84" s="165"/>
      <c r="AE84" s="160"/>
      <c r="AF84" s="164"/>
      <c r="AG84" s="165"/>
      <c r="AH84" s="182"/>
      <c r="AI84" s="175"/>
      <c r="AJ84" s="172"/>
      <c r="AK84" s="165"/>
      <c r="AL84" s="165"/>
      <c r="AM84" s="165"/>
      <c r="AN84" s="165"/>
      <c r="AO84" s="165"/>
      <c r="AP84" s="160"/>
      <c r="AQ84" s="164"/>
      <c r="AR84" s="165"/>
      <c r="AS84" s="165"/>
      <c r="AT84" s="165"/>
      <c r="AU84" s="165"/>
      <c r="AV84" s="165"/>
      <c r="AW84" s="165"/>
      <c r="AX84" s="160"/>
      <c r="AY84" s="164"/>
      <c r="AZ84" s="169"/>
      <c r="BA84" s="164"/>
      <c r="BB84" s="165"/>
      <c r="BC84" s="165"/>
      <c r="BD84" s="165"/>
      <c r="BE84" s="165"/>
      <c r="BF84" s="165"/>
      <c r="BG84" s="165"/>
      <c r="BH84" s="160"/>
      <c r="BI84" s="164"/>
      <c r="BJ84" s="165"/>
      <c r="BK84" s="182"/>
      <c r="BL84" s="165"/>
      <c r="BM84" s="165"/>
      <c r="BN84" s="175"/>
      <c r="BO84" s="172"/>
      <c r="BP84" s="165"/>
      <c r="BQ84" s="165"/>
      <c r="BR84" s="165"/>
      <c r="BS84" s="160"/>
      <c r="BT84" s="164"/>
      <c r="BU84" s="165"/>
      <c r="BV84" s="165"/>
      <c r="BW84" s="165"/>
      <c r="BX84" s="165"/>
      <c r="BY84" s="165"/>
      <c r="BZ84" s="165"/>
      <c r="CA84" s="160"/>
      <c r="CB84" s="164"/>
      <c r="CC84" s="169"/>
      <c r="CD84" s="164"/>
      <c r="CE84" s="165"/>
      <c r="CF84" s="165"/>
      <c r="CG84" s="165"/>
      <c r="CH84" s="165"/>
      <c r="CI84" s="165"/>
      <c r="CJ84" s="165"/>
      <c r="CK84" s="160"/>
      <c r="CL84" s="164"/>
      <c r="CM84" s="165"/>
      <c r="CN84" s="182"/>
      <c r="CO84" s="165"/>
      <c r="CP84" s="165"/>
      <c r="CQ84" s="165"/>
      <c r="CR84" s="165"/>
      <c r="CS84" s="175"/>
      <c r="CT84" s="172"/>
      <c r="CU84" s="165"/>
      <c r="CV84" s="160"/>
    </row>
    <row r="85" spans="1:100" x14ac:dyDescent="0.25">
      <c r="A85" s="178"/>
      <c r="B85" s="169"/>
      <c r="F85" s="164"/>
      <c r="G85" s="165"/>
      <c r="H85" s="165"/>
      <c r="I85" s="165"/>
      <c r="J85" s="165"/>
      <c r="K85" s="165"/>
      <c r="L85" s="165"/>
      <c r="M85" s="160"/>
      <c r="N85" s="164"/>
      <c r="O85" s="165"/>
      <c r="P85" s="165"/>
      <c r="Q85" s="165"/>
      <c r="R85" s="165"/>
      <c r="S85" s="165"/>
      <c r="T85" s="165"/>
      <c r="U85" s="160"/>
      <c r="V85" s="165"/>
      <c r="W85" s="169"/>
      <c r="X85" s="164"/>
      <c r="Y85" s="165"/>
      <c r="Z85" s="165"/>
      <c r="AA85" s="165"/>
      <c r="AB85" s="165"/>
      <c r="AC85" s="165"/>
      <c r="AD85" s="165"/>
      <c r="AE85" s="160"/>
      <c r="AF85" s="164"/>
      <c r="AG85" s="165"/>
      <c r="AH85" s="182"/>
      <c r="AI85" s="175"/>
      <c r="AJ85" s="172"/>
      <c r="AK85" s="165"/>
      <c r="AL85" s="165"/>
      <c r="AM85" s="165"/>
      <c r="AN85" s="165"/>
      <c r="AO85" s="165"/>
      <c r="AP85" s="160"/>
      <c r="AQ85" s="164"/>
      <c r="AR85" s="165"/>
      <c r="AS85" s="165"/>
      <c r="AT85" s="165"/>
      <c r="AU85" s="165"/>
      <c r="AV85" s="165"/>
      <c r="AW85" s="165"/>
      <c r="AX85" s="160"/>
      <c r="AY85" s="164"/>
      <c r="AZ85" s="169"/>
      <c r="BA85" s="164"/>
      <c r="BB85" s="165"/>
      <c r="BC85" s="165"/>
      <c r="BD85" s="165"/>
      <c r="BE85" s="165"/>
      <c r="BF85" s="165"/>
      <c r="BG85" s="165"/>
      <c r="BH85" s="160"/>
      <c r="BI85" s="164"/>
      <c r="BJ85" s="165"/>
      <c r="BK85" s="182"/>
      <c r="BL85" s="165"/>
      <c r="BM85" s="165"/>
      <c r="BN85" s="175"/>
      <c r="BO85" s="172"/>
      <c r="BP85" s="165"/>
      <c r="BQ85" s="165"/>
      <c r="BR85" s="165"/>
      <c r="BS85" s="160"/>
      <c r="BT85" s="164"/>
      <c r="BU85" s="165"/>
      <c r="BV85" s="165"/>
      <c r="BW85" s="165"/>
      <c r="BX85" s="165"/>
      <c r="BY85" s="165"/>
      <c r="BZ85" s="165"/>
      <c r="CA85" s="160"/>
      <c r="CB85" s="164"/>
      <c r="CC85" s="169"/>
      <c r="CD85" s="164"/>
      <c r="CE85" s="165"/>
      <c r="CF85" s="165"/>
      <c r="CG85" s="165"/>
      <c r="CH85" s="165"/>
      <c r="CI85" s="165"/>
      <c r="CJ85" s="165"/>
      <c r="CK85" s="160"/>
      <c r="CL85" s="164"/>
      <c r="CM85" s="165"/>
      <c r="CN85" s="182"/>
      <c r="CO85" s="165"/>
      <c r="CP85" s="165"/>
      <c r="CQ85" s="165"/>
      <c r="CR85" s="165"/>
      <c r="CS85" s="175"/>
      <c r="CT85" s="172"/>
      <c r="CU85" s="165"/>
      <c r="CV85" s="160"/>
    </row>
    <row r="86" spans="1:100" x14ac:dyDescent="0.25">
      <c r="A86" s="178"/>
      <c r="B86" s="169"/>
      <c r="F86" s="164"/>
      <c r="G86" s="165"/>
      <c r="H86" s="165"/>
      <c r="I86" s="165"/>
      <c r="J86" s="165"/>
      <c r="K86" s="165"/>
      <c r="L86" s="165"/>
      <c r="M86" s="160"/>
      <c r="N86" s="164"/>
      <c r="O86" s="165"/>
      <c r="P86" s="165"/>
      <c r="Q86" s="165"/>
      <c r="R86" s="165"/>
      <c r="S86" s="165"/>
      <c r="T86" s="165"/>
      <c r="U86" s="160"/>
      <c r="V86" s="165"/>
      <c r="W86" s="169"/>
      <c r="X86" s="164"/>
      <c r="Y86" s="165"/>
      <c r="Z86" s="165"/>
      <c r="AA86" s="165"/>
      <c r="AB86" s="165"/>
      <c r="AC86" s="165"/>
      <c r="AD86" s="165"/>
      <c r="AE86" s="160"/>
      <c r="AF86" s="164"/>
      <c r="AG86" s="165"/>
      <c r="AH86" s="182"/>
      <c r="AI86" s="175"/>
      <c r="AJ86" s="172"/>
      <c r="AK86" s="165"/>
      <c r="AL86" s="165"/>
      <c r="AM86" s="165"/>
      <c r="AN86" s="165"/>
      <c r="AO86" s="165"/>
      <c r="AP86" s="160"/>
      <c r="AQ86" s="164"/>
      <c r="AR86" s="165"/>
      <c r="AS86" s="165"/>
      <c r="AT86" s="165"/>
      <c r="AU86" s="165"/>
      <c r="AV86" s="165"/>
      <c r="AW86" s="165"/>
      <c r="AX86" s="160"/>
      <c r="AY86" s="164"/>
      <c r="AZ86" s="169"/>
      <c r="BA86" s="164"/>
      <c r="BB86" s="165"/>
      <c r="BC86" s="165"/>
      <c r="BD86" s="165"/>
      <c r="BE86" s="165"/>
      <c r="BF86" s="165"/>
      <c r="BG86" s="165"/>
      <c r="BH86" s="160"/>
      <c r="BI86" s="164"/>
      <c r="BJ86" s="165"/>
      <c r="BK86" s="182"/>
      <c r="BL86" s="165"/>
      <c r="BM86" s="165"/>
      <c r="BN86" s="175"/>
      <c r="BO86" s="172"/>
      <c r="BP86" s="165"/>
      <c r="BQ86" s="165"/>
      <c r="BR86" s="165"/>
      <c r="BS86" s="160"/>
      <c r="BT86" s="164"/>
      <c r="BU86" s="165"/>
      <c r="BV86" s="165"/>
      <c r="BW86" s="165"/>
      <c r="BX86" s="165"/>
      <c r="BY86" s="165"/>
      <c r="BZ86" s="165"/>
      <c r="CA86" s="160"/>
      <c r="CB86" s="164"/>
      <c r="CC86" s="169"/>
      <c r="CD86" s="164"/>
      <c r="CE86" s="165"/>
      <c r="CF86" s="165"/>
      <c r="CG86" s="165"/>
      <c r="CH86" s="165"/>
      <c r="CI86" s="165"/>
      <c r="CJ86" s="165"/>
      <c r="CK86" s="160"/>
      <c r="CL86" s="164"/>
      <c r="CM86" s="165"/>
      <c r="CN86" s="182"/>
      <c r="CO86" s="165"/>
      <c r="CP86" s="165"/>
      <c r="CQ86" s="165"/>
      <c r="CR86" s="165"/>
      <c r="CS86" s="175"/>
      <c r="CT86" s="172"/>
      <c r="CU86" s="165"/>
      <c r="CV86" s="160"/>
    </row>
    <row r="87" spans="1:100" x14ac:dyDescent="0.25">
      <c r="A87" s="178"/>
      <c r="B87" s="169"/>
      <c r="F87" s="164"/>
      <c r="G87" s="165"/>
      <c r="H87" s="165"/>
      <c r="I87" s="165"/>
      <c r="J87" s="165"/>
      <c r="K87" s="165"/>
      <c r="L87" s="165"/>
      <c r="M87" s="160"/>
      <c r="N87" s="164"/>
      <c r="O87" s="165"/>
      <c r="P87" s="165"/>
      <c r="Q87" s="165"/>
      <c r="R87" s="165"/>
      <c r="S87" s="165"/>
      <c r="T87" s="165"/>
      <c r="U87" s="160"/>
      <c r="V87" s="165"/>
      <c r="W87" s="169"/>
      <c r="X87" s="164"/>
      <c r="Y87" s="165"/>
      <c r="Z87" s="165"/>
      <c r="AA87" s="165"/>
      <c r="AB87" s="165"/>
      <c r="AC87" s="165"/>
      <c r="AD87" s="165"/>
      <c r="AE87" s="160"/>
      <c r="AF87" s="164"/>
      <c r="AG87" s="165"/>
      <c r="AH87" s="182"/>
      <c r="AI87" s="175"/>
      <c r="AJ87" s="172"/>
      <c r="AK87" s="165"/>
      <c r="AL87" s="165"/>
      <c r="AM87" s="165"/>
      <c r="AN87" s="165"/>
      <c r="AO87" s="165"/>
      <c r="AP87" s="160"/>
      <c r="AQ87" s="164"/>
      <c r="AR87" s="165"/>
      <c r="AS87" s="165"/>
      <c r="AT87" s="165"/>
      <c r="AU87" s="165"/>
      <c r="AV87" s="165"/>
      <c r="AW87" s="165"/>
      <c r="AX87" s="160"/>
      <c r="AY87" s="164"/>
      <c r="AZ87" s="169"/>
      <c r="BA87" s="164"/>
      <c r="BB87" s="165"/>
      <c r="BC87" s="165"/>
      <c r="BD87" s="165"/>
      <c r="BE87" s="165"/>
      <c r="BF87" s="165"/>
      <c r="BG87" s="165"/>
      <c r="BH87" s="160"/>
      <c r="BI87" s="164"/>
      <c r="BJ87" s="165"/>
      <c r="BK87" s="182"/>
      <c r="BL87" s="165"/>
      <c r="BM87" s="165"/>
      <c r="BN87" s="175"/>
      <c r="BO87" s="172"/>
      <c r="BP87" s="165"/>
      <c r="BQ87" s="165"/>
      <c r="BR87" s="165"/>
      <c r="BS87" s="160"/>
      <c r="BT87" s="164"/>
      <c r="BU87" s="165"/>
      <c r="BV87" s="165"/>
      <c r="BW87" s="165"/>
      <c r="BX87" s="165"/>
      <c r="BY87" s="165"/>
      <c r="BZ87" s="165"/>
      <c r="CA87" s="160"/>
      <c r="CB87" s="164"/>
      <c r="CC87" s="169"/>
      <c r="CD87" s="164"/>
      <c r="CE87" s="165"/>
      <c r="CF87" s="165"/>
      <c r="CG87" s="165"/>
      <c r="CH87" s="165"/>
      <c r="CI87" s="165"/>
      <c r="CJ87" s="165"/>
      <c r="CK87" s="160"/>
      <c r="CL87" s="164"/>
      <c r="CM87" s="165"/>
      <c r="CN87" s="182"/>
      <c r="CO87" s="165"/>
      <c r="CP87" s="165"/>
      <c r="CQ87" s="165"/>
      <c r="CR87" s="165"/>
      <c r="CS87" s="175"/>
      <c r="CT87" s="172"/>
      <c r="CU87" s="165"/>
      <c r="CV87" s="160"/>
    </row>
    <row r="88" spans="1:100" x14ac:dyDescent="0.25">
      <c r="A88" s="178"/>
      <c r="B88" s="169"/>
      <c r="F88" s="164"/>
      <c r="G88" s="165"/>
      <c r="H88" s="165"/>
      <c r="I88" s="165"/>
      <c r="J88" s="165"/>
      <c r="K88" s="165"/>
      <c r="L88" s="165"/>
      <c r="M88" s="160"/>
      <c r="N88" s="164"/>
      <c r="O88" s="165"/>
      <c r="P88" s="165"/>
      <c r="Q88" s="165"/>
      <c r="R88" s="165"/>
      <c r="S88" s="165"/>
      <c r="T88" s="165"/>
      <c r="U88" s="160"/>
      <c r="V88" s="165"/>
      <c r="W88" s="169"/>
      <c r="X88" s="164"/>
      <c r="Y88" s="165"/>
      <c r="Z88" s="165"/>
      <c r="AA88" s="165"/>
      <c r="AB88" s="165"/>
      <c r="AC88" s="165"/>
      <c r="AD88" s="165"/>
      <c r="AE88" s="160"/>
      <c r="AF88" s="164"/>
      <c r="AG88" s="165"/>
      <c r="AH88" s="182"/>
      <c r="AI88" s="175"/>
      <c r="AJ88" s="172"/>
      <c r="AK88" s="165"/>
      <c r="AL88" s="165"/>
      <c r="AM88" s="165"/>
      <c r="AN88" s="165"/>
      <c r="AO88" s="165"/>
      <c r="AP88" s="160"/>
      <c r="AQ88" s="164"/>
      <c r="AR88" s="165"/>
      <c r="AS88" s="165"/>
      <c r="AT88" s="165"/>
      <c r="AU88" s="165"/>
      <c r="AV88" s="165"/>
      <c r="AW88" s="165"/>
      <c r="AX88" s="160"/>
      <c r="AY88" s="164"/>
      <c r="AZ88" s="169"/>
      <c r="BA88" s="164"/>
      <c r="BB88" s="165"/>
      <c r="BC88" s="165"/>
      <c r="BD88" s="165"/>
      <c r="BE88" s="165"/>
      <c r="BF88" s="165"/>
      <c r="BG88" s="165"/>
      <c r="BH88" s="160"/>
      <c r="BI88" s="164"/>
      <c r="BJ88" s="165"/>
      <c r="BK88" s="182"/>
      <c r="BL88" s="165"/>
      <c r="BM88" s="165"/>
      <c r="BN88" s="175"/>
      <c r="BO88" s="172"/>
      <c r="BP88" s="165"/>
      <c r="BQ88" s="165"/>
      <c r="BR88" s="165"/>
      <c r="BS88" s="160"/>
      <c r="BT88" s="164"/>
      <c r="BU88" s="165"/>
      <c r="BV88" s="165"/>
      <c r="BW88" s="165"/>
      <c r="BX88" s="165"/>
      <c r="BY88" s="165"/>
      <c r="BZ88" s="165"/>
      <c r="CA88" s="160"/>
      <c r="CB88" s="164"/>
      <c r="CC88" s="169"/>
      <c r="CD88" s="164"/>
      <c r="CE88" s="165"/>
      <c r="CF88" s="165"/>
      <c r="CG88" s="165"/>
      <c r="CH88" s="165"/>
      <c r="CI88" s="165"/>
      <c r="CJ88" s="165"/>
      <c r="CK88" s="160"/>
      <c r="CL88" s="164"/>
      <c r="CM88" s="165"/>
      <c r="CN88" s="182"/>
      <c r="CO88" s="165"/>
      <c r="CP88" s="165"/>
      <c r="CQ88" s="165"/>
      <c r="CR88" s="165"/>
      <c r="CS88" s="175"/>
      <c r="CT88" s="172"/>
      <c r="CU88" s="165"/>
      <c r="CV88" s="160"/>
    </row>
    <row r="89" spans="1:100" x14ac:dyDescent="0.25">
      <c r="A89" s="178"/>
      <c r="B89" s="169"/>
      <c r="F89" s="164"/>
      <c r="G89" s="165"/>
      <c r="H89" s="165"/>
      <c r="I89" s="165"/>
      <c r="J89" s="165"/>
      <c r="K89" s="165"/>
      <c r="L89" s="165"/>
      <c r="M89" s="160"/>
      <c r="N89" s="164"/>
      <c r="O89" s="165"/>
      <c r="P89" s="165"/>
      <c r="Q89" s="165"/>
      <c r="R89" s="165"/>
      <c r="S89" s="165"/>
      <c r="T89" s="165"/>
      <c r="U89" s="160"/>
      <c r="V89" s="165"/>
      <c r="W89" s="169"/>
      <c r="X89" s="164"/>
      <c r="Y89" s="165"/>
      <c r="Z89" s="165"/>
      <c r="AA89" s="165"/>
      <c r="AB89" s="165"/>
      <c r="AC89" s="165"/>
      <c r="AD89" s="165"/>
      <c r="AE89" s="160"/>
      <c r="AF89" s="164"/>
      <c r="AG89" s="165"/>
      <c r="AH89" s="182"/>
      <c r="AI89" s="175"/>
      <c r="AJ89" s="172"/>
      <c r="AK89" s="165"/>
      <c r="AL89" s="165"/>
      <c r="AM89" s="165"/>
      <c r="AN89" s="165"/>
      <c r="AO89" s="165"/>
      <c r="AP89" s="160"/>
      <c r="AQ89" s="164"/>
      <c r="AR89" s="165"/>
      <c r="AS89" s="165"/>
      <c r="AT89" s="165"/>
      <c r="AU89" s="165"/>
      <c r="AV89" s="165"/>
      <c r="AW89" s="165"/>
      <c r="AX89" s="160"/>
      <c r="AY89" s="164"/>
      <c r="AZ89" s="169"/>
      <c r="BA89" s="164"/>
      <c r="BB89" s="165"/>
      <c r="BC89" s="165"/>
      <c r="BD89" s="165"/>
      <c r="BE89" s="165"/>
      <c r="BF89" s="165"/>
      <c r="BG89" s="165"/>
      <c r="BH89" s="160"/>
      <c r="BI89" s="164"/>
      <c r="BJ89" s="165"/>
      <c r="BK89" s="182"/>
      <c r="BL89" s="165"/>
      <c r="BM89" s="165"/>
      <c r="BN89" s="175"/>
      <c r="BO89" s="172"/>
      <c r="BP89" s="165"/>
      <c r="BQ89" s="165"/>
      <c r="BR89" s="165"/>
      <c r="BS89" s="160"/>
      <c r="BT89" s="164"/>
      <c r="BU89" s="165"/>
      <c r="BV89" s="165"/>
      <c r="BW89" s="165"/>
      <c r="BX89" s="165"/>
      <c r="BY89" s="165"/>
      <c r="BZ89" s="165"/>
      <c r="CA89" s="160"/>
      <c r="CB89" s="164"/>
      <c r="CC89" s="169"/>
      <c r="CD89" s="164"/>
      <c r="CE89" s="165"/>
      <c r="CF89" s="165"/>
      <c r="CG89" s="165"/>
      <c r="CH89" s="165"/>
      <c r="CI89" s="165"/>
      <c r="CJ89" s="165"/>
      <c r="CK89" s="160"/>
      <c r="CL89" s="164"/>
      <c r="CM89" s="165"/>
      <c r="CN89" s="182"/>
      <c r="CO89" s="165"/>
      <c r="CP89" s="165"/>
      <c r="CQ89" s="165"/>
      <c r="CR89" s="165"/>
      <c r="CS89" s="175"/>
      <c r="CT89" s="172"/>
      <c r="CU89" s="165"/>
      <c r="CV89" s="160"/>
    </row>
    <row r="90" spans="1:100" x14ac:dyDescent="0.25">
      <c r="A90" s="178"/>
      <c r="B90" s="169"/>
      <c r="F90" s="164"/>
      <c r="G90" s="165"/>
      <c r="H90" s="165"/>
      <c r="I90" s="165"/>
      <c r="J90" s="165"/>
      <c r="K90" s="165"/>
      <c r="L90" s="165"/>
      <c r="M90" s="160"/>
      <c r="N90" s="164"/>
      <c r="O90" s="165"/>
      <c r="P90" s="165"/>
      <c r="Q90" s="165"/>
      <c r="R90" s="165"/>
      <c r="S90" s="165"/>
      <c r="T90" s="165"/>
      <c r="U90" s="160"/>
      <c r="V90" s="165"/>
      <c r="W90" s="169"/>
      <c r="X90" s="164"/>
      <c r="Y90" s="165"/>
      <c r="Z90" s="165"/>
      <c r="AA90" s="165"/>
      <c r="AB90" s="165"/>
      <c r="AC90" s="165"/>
      <c r="AD90" s="165"/>
      <c r="AE90" s="160"/>
      <c r="AF90" s="164"/>
      <c r="AG90" s="165"/>
      <c r="AH90" s="182"/>
      <c r="AI90" s="175"/>
      <c r="AJ90" s="172"/>
      <c r="AK90" s="165"/>
      <c r="AL90" s="165"/>
      <c r="AM90" s="165"/>
      <c r="AN90" s="165"/>
      <c r="AO90" s="165"/>
      <c r="AP90" s="160"/>
      <c r="AQ90" s="164"/>
      <c r="AR90" s="165"/>
      <c r="AS90" s="165"/>
      <c r="AT90" s="165"/>
      <c r="AU90" s="165"/>
      <c r="AV90" s="165"/>
      <c r="AW90" s="165"/>
      <c r="AX90" s="160"/>
      <c r="AY90" s="164"/>
      <c r="AZ90" s="169"/>
      <c r="BA90" s="164"/>
      <c r="BB90" s="165"/>
      <c r="BC90" s="165"/>
      <c r="BD90" s="165"/>
      <c r="BE90" s="165"/>
      <c r="BF90" s="165"/>
      <c r="BG90" s="165"/>
      <c r="BH90" s="160"/>
      <c r="BI90" s="164"/>
      <c r="BJ90" s="165"/>
      <c r="BK90" s="182"/>
      <c r="BL90" s="165"/>
      <c r="BM90" s="165"/>
      <c r="BN90" s="175"/>
      <c r="BO90" s="172"/>
      <c r="BP90" s="165"/>
      <c r="BQ90" s="165"/>
      <c r="BR90" s="165"/>
      <c r="BS90" s="160"/>
      <c r="BT90" s="164"/>
      <c r="BU90" s="165"/>
      <c r="BV90" s="165"/>
      <c r="BW90" s="165"/>
      <c r="BX90" s="165"/>
      <c r="BY90" s="165"/>
      <c r="BZ90" s="165"/>
      <c r="CA90" s="160"/>
      <c r="CB90" s="164"/>
      <c r="CC90" s="169"/>
      <c r="CD90" s="164"/>
      <c r="CE90" s="165"/>
      <c r="CF90" s="165"/>
      <c r="CG90" s="165"/>
      <c r="CH90" s="165"/>
      <c r="CI90" s="165"/>
      <c r="CJ90" s="165"/>
      <c r="CK90" s="160"/>
      <c r="CL90" s="164"/>
      <c r="CM90" s="165"/>
      <c r="CN90" s="182"/>
      <c r="CO90" s="165"/>
      <c r="CP90" s="165"/>
      <c r="CQ90" s="165"/>
      <c r="CR90" s="165"/>
      <c r="CS90" s="175"/>
      <c r="CT90" s="172"/>
      <c r="CU90" s="165"/>
      <c r="CV90" s="160"/>
    </row>
    <row r="91" spans="1:100" x14ac:dyDescent="0.25">
      <c r="A91" s="178"/>
      <c r="B91" s="169"/>
      <c r="F91" s="164"/>
      <c r="G91" s="165"/>
      <c r="H91" s="165"/>
      <c r="I91" s="165"/>
      <c r="J91" s="165"/>
      <c r="K91" s="165"/>
      <c r="L91" s="165"/>
      <c r="M91" s="160"/>
      <c r="N91" s="164"/>
      <c r="O91" s="165"/>
      <c r="P91" s="165"/>
      <c r="Q91" s="165"/>
      <c r="R91" s="165"/>
      <c r="S91" s="165"/>
      <c r="T91" s="165"/>
      <c r="U91" s="160"/>
      <c r="V91" s="165"/>
      <c r="W91" s="169"/>
      <c r="X91" s="164"/>
      <c r="Y91" s="165"/>
      <c r="Z91" s="165"/>
      <c r="AA91" s="165"/>
      <c r="AB91" s="165"/>
      <c r="AC91" s="165"/>
      <c r="AD91" s="165"/>
      <c r="AE91" s="160"/>
      <c r="AF91" s="164"/>
      <c r="AG91" s="165"/>
      <c r="AH91" s="182"/>
      <c r="AI91" s="175"/>
      <c r="AJ91" s="172"/>
      <c r="AK91" s="165"/>
      <c r="AL91" s="165"/>
      <c r="AM91" s="165"/>
      <c r="AN91" s="165"/>
      <c r="AO91" s="165"/>
      <c r="AP91" s="160"/>
      <c r="AQ91" s="164"/>
      <c r="AR91" s="165"/>
      <c r="AS91" s="165"/>
      <c r="AT91" s="165"/>
      <c r="AU91" s="165"/>
      <c r="AV91" s="165"/>
      <c r="AW91" s="165"/>
      <c r="AX91" s="160"/>
      <c r="AY91" s="164"/>
      <c r="AZ91" s="169"/>
      <c r="BA91" s="164"/>
      <c r="BB91" s="165"/>
      <c r="BC91" s="165"/>
      <c r="BD91" s="165"/>
      <c r="BE91" s="165"/>
      <c r="BF91" s="165"/>
      <c r="BG91" s="165"/>
      <c r="BH91" s="160"/>
      <c r="BI91" s="164"/>
      <c r="BJ91" s="165"/>
      <c r="BK91" s="182"/>
      <c r="BL91" s="165"/>
      <c r="BM91" s="165"/>
      <c r="BN91" s="175"/>
      <c r="BO91" s="172"/>
      <c r="BP91" s="165"/>
      <c r="BQ91" s="165"/>
      <c r="BR91" s="165"/>
      <c r="BS91" s="160"/>
      <c r="BT91" s="164"/>
      <c r="BU91" s="165"/>
      <c r="BV91" s="165"/>
      <c r="BW91" s="165"/>
      <c r="BX91" s="165"/>
      <c r="BY91" s="165"/>
      <c r="BZ91" s="165"/>
      <c r="CA91" s="160"/>
      <c r="CB91" s="164"/>
      <c r="CC91" s="169"/>
      <c r="CD91" s="164"/>
      <c r="CE91" s="165"/>
      <c r="CF91" s="165"/>
      <c r="CG91" s="165"/>
      <c r="CH91" s="165"/>
      <c r="CI91" s="165"/>
      <c r="CJ91" s="165"/>
      <c r="CK91" s="160"/>
      <c r="CL91" s="164"/>
      <c r="CM91" s="165"/>
      <c r="CN91" s="182"/>
      <c r="CO91" s="165"/>
      <c r="CP91" s="165"/>
      <c r="CQ91" s="165"/>
      <c r="CR91" s="165"/>
      <c r="CS91" s="175"/>
      <c r="CT91" s="172"/>
      <c r="CU91" s="165"/>
      <c r="CV91" s="160"/>
    </row>
    <row r="92" spans="1:100" x14ac:dyDescent="0.25">
      <c r="A92" s="178"/>
      <c r="B92" s="169"/>
      <c r="F92" s="164"/>
      <c r="G92" s="165"/>
      <c r="H92" s="165"/>
      <c r="I92" s="165"/>
      <c r="J92" s="165"/>
      <c r="K92" s="165"/>
      <c r="L92" s="165"/>
      <c r="M92" s="160"/>
      <c r="N92" s="164"/>
      <c r="O92" s="165"/>
      <c r="P92" s="165"/>
      <c r="Q92" s="165"/>
      <c r="R92" s="165"/>
      <c r="S92" s="165"/>
      <c r="T92" s="165"/>
      <c r="U92" s="160"/>
      <c r="V92" s="165"/>
      <c r="W92" s="169"/>
      <c r="X92" s="164"/>
      <c r="Y92" s="165"/>
      <c r="Z92" s="165"/>
      <c r="AA92" s="165"/>
      <c r="AB92" s="165"/>
      <c r="AC92" s="165"/>
      <c r="AD92" s="165"/>
      <c r="AE92" s="160"/>
      <c r="AF92" s="164"/>
      <c r="AG92" s="165"/>
      <c r="AH92" s="182"/>
      <c r="AI92" s="175"/>
      <c r="AJ92" s="172"/>
      <c r="AK92" s="165"/>
      <c r="AL92" s="165"/>
      <c r="AM92" s="165"/>
      <c r="AN92" s="165"/>
      <c r="AO92" s="165"/>
      <c r="AP92" s="160"/>
      <c r="AQ92" s="164"/>
      <c r="AR92" s="165"/>
      <c r="AS92" s="165"/>
      <c r="AT92" s="165"/>
      <c r="AU92" s="165"/>
      <c r="AV92" s="165"/>
      <c r="AW92" s="165"/>
      <c r="AX92" s="160"/>
      <c r="AY92" s="164"/>
      <c r="AZ92" s="169"/>
      <c r="BA92" s="164"/>
      <c r="BB92" s="165"/>
      <c r="BC92" s="165"/>
      <c r="BD92" s="165"/>
      <c r="BE92" s="165"/>
      <c r="BF92" s="165"/>
      <c r="BG92" s="165"/>
      <c r="BH92" s="160"/>
      <c r="BI92" s="164"/>
      <c r="BJ92" s="165"/>
      <c r="BK92" s="182"/>
      <c r="BL92" s="165"/>
      <c r="BM92" s="165"/>
      <c r="BN92" s="175"/>
      <c r="BO92" s="172"/>
      <c r="BP92" s="165"/>
      <c r="BQ92" s="165"/>
      <c r="BR92" s="165"/>
      <c r="BS92" s="160"/>
      <c r="BT92" s="164"/>
      <c r="BU92" s="165"/>
      <c r="BV92" s="165"/>
      <c r="BW92" s="165"/>
      <c r="BX92" s="165"/>
      <c r="BY92" s="165"/>
      <c r="BZ92" s="165"/>
      <c r="CA92" s="160"/>
      <c r="CB92" s="164"/>
      <c r="CC92" s="169"/>
      <c r="CD92" s="164"/>
      <c r="CE92" s="165"/>
      <c r="CF92" s="165"/>
      <c r="CG92" s="165"/>
      <c r="CH92" s="165"/>
      <c r="CI92" s="165"/>
      <c r="CJ92" s="165"/>
      <c r="CK92" s="160"/>
      <c r="CL92" s="164"/>
      <c r="CM92" s="165"/>
      <c r="CN92" s="182"/>
      <c r="CO92" s="165"/>
      <c r="CP92" s="165"/>
      <c r="CQ92" s="165"/>
      <c r="CR92" s="165"/>
      <c r="CS92" s="175"/>
      <c r="CT92" s="172"/>
      <c r="CU92" s="165"/>
      <c r="CV92" s="160"/>
    </row>
    <row r="93" spans="1:100" x14ac:dyDescent="0.25">
      <c r="A93" s="178"/>
      <c r="B93" s="169"/>
      <c r="F93" s="164"/>
      <c r="G93" s="165"/>
      <c r="H93" s="165"/>
      <c r="I93" s="165"/>
      <c r="J93" s="165"/>
      <c r="K93" s="165"/>
      <c r="L93" s="165"/>
      <c r="M93" s="160"/>
      <c r="N93" s="164"/>
      <c r="O93" s="165"/>
      <c r="P93" s="165"/>
      <c r="Q93" s="165"/>
      <c r="R93" s="165"/>
      <c r="S93" s="165"/>
      <c r="T93" s="165"/>
      <c r="U93" s="160"/>
      <c r="V93" s="165"/>
      <c r="W93" s="169"/>
      <c r="X93" s="164"/>
      <c r="Y93" s="165"/>
      <c r="Z93" s="165"/>
      <c r="AA93" s="165"/>
      <c r="AB93" s="165"/>
      <c r="AC93" s="165"/>
      <c r="AD93" s="165"/>
      <c r="AE93" s="160"/>
      <c r="AF93" s="164"/>
      <c r="AG93" s="165"/>
      <c r="AH93" s="182"/>
      <c r="AI93" s="175"/>
      <c r="AJ93" s="172"/>
      <c r="AK93" s="165"/>
      <c r="AL93" s="165"/>
      <c r="AM93" s="165"/>
      <c r="AN93" s="165"/>
      <c r="AO93" s="165"/>
      <c r="AP93" s="160"/>
      <c r="AQ93" s="164"/>
      <c r="AR93" s="165"/>
      <c r="AS93" s="165"/>
      <c r="AT93" s="165"/>
      <c r="AU93" s="165"/>
      <c r="AV93" s="165"/>
      <c r="AW93" s="165"/>
      <c r="AX93" s="160"/>
      <c r="AY93" s="164"/>
      <c r="AZ93" s="169"/>
      <c r="BA93" s="164"/>
      <c r="BB93" s="165"/>
      <c r="BC93" s="165"/>
      <c r="BD93" s="165"/>
      <c r="BE93" s="165"/>
      <c r="BF93" s="165"/>
      <c r="BG93" s="165"/>
      <c r="BH93" s="160"/>
      <c r="BI93" s="164"/>
      <c r="BJ93" s="165"/>
      <c r="BK93" s="182"/>
      <c r="BL93" s="165"/>
      <c r="BM93" s="165"/>
      <c r="BN93" s="175"/>
      <c r="BO93" s="172"/>
      <c r="BP93" s="165"/>
      <c r="BQ93" s="165"/>
      <c r="BR93" s="165"/>
      <c r="BS93" s="160"/>
      <c r="BT93" s="164"/>
      <c r="BU93" s="165"/>
      <c r="BV93" s="165"/>
      <c r="BW93" s="165"/>
      <c r="BX93" s="165"/>
      <c r="BY93" s="165"/>
      <c r="BZ93" s="165"/>
      <c r="CA93" s="160"/>
      <c r="CB93" s="164"/>
      <c r="CC93" s="169"/>
      <c r="CD93" s="164"/>
      <c r="CE93" s="165"/>
      <c r="CF93" s="165"/>
      <c r="CG93" s="165"/>
      <c r="CH93" s="165"/>
      <c r="CI93" s="165"/>
      <c r="CJ93" s="165"/>
      <c r="CK93" s="160"/>
      <c r="CL93" s="164"/>
      <c r="CM93" s="165"/>
      <c r="CN93" s="182"/>
      <c r="CO93" s="165"/>
      <c r="CP93" s="165"/>
      <c r="CQ93" s="165"/>
      <c r="CR93" s="165"/>
      <c r="CS93" s="175"/>
      <c r="CT93" s="172"/>
      <c r="CU93" s="165"/>
      <c r="CV93" s="160"/>
    </row>
    <row r="94" spans="1:100" x14ac:dyDescent="0.25">
      <c r="A94" s="178"/>
      <c r="B94" s="169"/>
      <c r="F94" s="164"/>
      <c r="G94" s="165"/>
      <c r="H94" s="165"/>
      <c r="I94" s="165"/>
      <c r="J94" s="165"/>
      <c r="K94" s="165"/>
      <c r="L94" s="165"/>
      <c r="M94" s="160"/>
      <c r="N94" s="164"/>
      <c r="O94" s="165"/>
      <c r="P94" s="165"/>
      <c r="Q94" s="165"/>
      <c r="R94" s="165"/>
      <c r="S94" s="165"/>
      <c r="T94" s="165"/>
      <c r="U94" s="160"/>
      <c r="V94" s="165"/>
      <c r="W94" s="169"/>
      <c r="X94" s="164"/>
      <c r="Y94" s="165"/>
      <c r="Z94" s="165"/>
      <c r="AA94" s="165"/>
      <c r="AB94" s="165"/>
      <c r="AC94" s="165"/>
      <c r="AD94" s="165"/>
      <c r="AE94" s="160"/>
      <c r="AF94" s="164"/>
      <c r="AG94" s="165"/>
      <c r="AH94" s="182"/>
      <c r="AI94" s="175"/>
      <c r="AJ94" s="172"/>
      <c r="AK94" s="165"/>
      <c r="AL94" s="165"/>
      <c r="AM94" s="165"/>
      <c r="AN94" s="165"/>
      <c r="AO94" s="165"/>
      <c r="AP94" s="160"/>
      <c r="AQ94" s="164"/>
      <c r="AR94" s="165"/>
      <c r="AS94" s="165"/>
      <c r="AT94" s="165"/>
      <c r="AU94" s="165"/>
      <c r="AV94" s="165"/>
      <c r="AW94" s="165"/>
      <c r="AX94" s="160"/>
      <c r="AY94" s="164"/>
      <c r="AZ94" s="169"/>
      <c r="BA94" s="164"/>
      <c r="BB94" s="165"/>
      <c r="BC94" s="165"/>
      <c r="BD94" s="165"/>
      <c r="BE94" s="165"/>
      <c r="BF94" s="165"/>
      <c r="BG94" s="165"/>
      <c r="BH94" s="160"/>
      <c r="BI94" s="164"/>
      <c r="BJ94" s="165"/>
      <c r="BK94" s="182"/>
      <c r="BL94" s="165"/>
      <c r="BM94" s="165"/>
      <c r="BN94" s="175"/>
      <c r="BO94" s="172"/>
      <c r="BP94" s="165"/>
      <c r="BQ94" s="165"/>
      <c r="BR94" s="165"/>
      <c r="BS94" s="160"/>
      <c r="BT94" s="164"/>
      <c r="BU94" s="165"/>
      <c r="BV94" s="165"/>
      <c r="BW94" s="165"/>
      <c r="BX94" s="165"/>
      <c r="BY94" s="165"/>
      <c r="BZ94" s="165"/>
      <c r="CA94" s="160"/>
      <c r="CB94" s="164"/>
      <c r="CC94" s="169"/>
      <c r="CD94" s="164"/>
      <c r="CE94" s="165"/>
      <c r="CF94" s="165"/>
      <c r="CG94" s="165"/>
      <c r="CH94" s="165"/>
      <c r="CI94" s="165"/>
      <c r="CJ94" s="165"/>
      <c r="CK94" s="160"/>
      <c r="CL94" s="164"/>
      <c r="CM94" s="165"/>
      <c r="CN94" s="182"/>
      <c r="CO94" s="165"/>
      <c r="CP94" s="165"/>
      <c r="CQ94" s="165"/>
      <c r="CR94" s="165"/>
      <c r="CS94" s="175"/>
      <c r="CT94" s="172"/>
      <c r="CU94" s="165"/>
      <c r="CV94" s="160"/>
    </row>
    <row r="95" spans="1:100" x14ac:dyDescent="0.25">
      <c r="A95" s="178"/>
      <c r="B95" s="169"/>
      <c r="F95" s="164"/>
      <c r="G95" s="165"/>
      <c r="H95" s="165"/>
      <c r="I95" s="165"/>
      <c r="J95" s="165"/>
      <c r="K95" s="165"/>
      <c r="L95" s="165"/>
      <c r="M95" s="160"/>
      <c r="N95" s="164"/>
      <c r="O95" s="165"/>
      <c r="P95" s="165"/>
      <c r="Q95" s="165"/>
      <c r="R95" s="165"/>
      <c r="S95" s="165"/>
      <c r="T95" s="165"/>
      <c r="U95" s="160"/>
      <c r="V95" s="165"/>
      <c r="W95" s="169"/>
      <c r="X95" s="164"/>
      <c r="Y95" s="165"/>
      <c r="Z95" s="165"/>
      <c r="AA95" s="165"/>
      <c r="AB95" s="165"/>
      <c r="AC95" s="165"/>
      <c r="AD95" s="165"/>
      <c r="AE95" s="160"/>
      <c r="AF95" s="164"/>
      <c r="AG95" s="165"/>
      <c r="AH95" s="182"/>
      <c r="AI95" s="175"/>
      <c r="AJ95" s="172"/>
      <c r="AK95" s="165"/>
      <c r="AL95" s="165"/>
      <c r="AM95" s="165"/>
      <c r="AN95" s="165"/>
      <c r="AO95" s="165"/>
      <c r="AP95" s="160"/>
      <c r="AQ95" s="164"/>
      <c r="AR95" s="165"/>
      <c r="AS95" s="165"/>
      <c r="AT95" s="165"/>
      <c r="AU95" s="165"/>
      <c r="AV95" s="165"/>
      <c r="AW95" s="165"/>
      <c r="AX95" s="160"/>
      <c r="AY95" s="164"/>
      <c r="AZ95" s="169"/>
      <c r="BA95" s="164"/>
      <c r="BB95" s="165"/>
      <c r="BC95" s="165"/>
      <c r="BD95" s="165"/>
      <c r="BE95" s="165"/>
      <c r="BF95" s="165"/>
      <c r="BG95" s="165"/>
      <c r="BH95" s="160"/>
      <c r="BI95" s="164"/>
      <c r="BJ95" s="165"/>
      <c r="BK95" s="182"/>
      <c r="BL95" s="165"/>
      <c r="BM95" s="165"/>
      <c r="BN95" s="175"/>
      <c r="BO95" s="172"/>
      <c r="BP95" s="165"/>
      <c r="BQ95" s="165"/>
      <c r="BR95" s="165"/>
      <c r="BS95" s="160"/>
      <c r="BT95" s="164"/>
      <c r="BU95" s="165"/>
      <c r="BV95" s="165"/>
      <c r="BW95" s="165"/>
      <c r="BX95" s="165"/>
      <c r="BY95" s="165"/>
      <c r="BZ95" s="165"/>
      <c r="CA95" s="160"/>
      <c r="CB95" s="164"/>
      <c r="CC95" s="169"/>
      <c r="CD95" s="164"/>
      <c r="CE95" s="165"/>
      <c r="CF95" s="165"/>
      <c r="CG95" s="165"/>
      <c r="CH95" s="165"/>
      <c r="CI95" s="165"/>
      <c r="CJ95" s="165"/>
      <c r="CK95" s="160"/>
      <c r="CL95" s="164"/>
      <c r="CM95" s="165"/>
      <c r="CN95" s="182"/>
      <c r="CO95" s="165"/>
      <c r="CP95" s="165"/>
      <c r="CQ95" s="165"/>
      <c r="CR95" s="165"/>
      <c r="CS95" s="175"/>
      <c r="CT95" s="172"/>
      <c r="CU95" s="165"/>
      <c r="CV95" s="160"/>
    </row>
    <row r="96" spans="1:100" x14ac:dyDescent="0.25">
      <c r="A96" s="178"/>
      <c r="B96" s="169"/>
      <c r="F96" s="164"/>
      <c r="G96" s="165"/>
      <c r="H96" s="165"/>
      <c r="I96" s="165"/>
      <c r="J96" s="165"/>
      <c r="K96" s="165"/>
      <c r="L96" s="165"/>
      <c r="M96" s="160"/>
      <c r="N96" s="164"/>
      <c r="O96" s="165"/>
      <c r="P96" s="165"/>
      <c r="Q96" s="165"/>
      <c r="R96" s="165"/>
      <c r="S96" s="165"/>
      <c r="T96" s="165"/>
      <c r="U96" s="160"/>
      <c r="V96" s="165"/>
      <c r="W96" s="169"/>
      <c r="X96" s="164"/>
      <c r="Y96" s="165"/>
      <c r="Z96" s="165"/>
      <c r="AA96" s="165"/>
      <c r="AB96" s="165"/>
      <c r="AC96" s="165"/>
      <c r="AD96" s="165"/>
      <c r="AE96" s="160"/>
      <c r="AF96" s="164"/>
      <c r="AG96" s="165"/>
      <c r="AH96" s="182"/>
      <c r="AI96" s="175"/>
      <c r="AJ96" s="172"/>
      <c r="AK96" s="165"/>
      <c r="AL96" s="165"/>
      <c r="AM96" s="165"/>
      <c r="AN96" s="165"/>
      <c r="AO96" s="165"/>
      <c r="AP96" s="160"/>
      <c r="AQ96" s="164"/>
      <c r="AR96" s="165"/>
      <c r="AS96" s="165"/>
      <c r="AT96" s="165"/>
      <c r="AU96" s="165"/>
      <c r="AV96" s="165"/>
      <c r="AW96" s="165"/>
      <c r="AX96" s="160"/>
      <c r="AY96" s="164"/>
      <c r="AZ96" s="169"/>
      <c r="BA96" s="164"/>
      <c r="BB96" s="165"/>
      <c r="BC96" s="165"/>
      <c r="BD96" s="165"/>
      <c r="BE96" s="165"/>
      <c r="BF96" s="165"/>
      <c r="BG96" s="165"/>
      <c r="BH96" s="160"/>
      <c r="BI96" s="164"/>
      <c r="BJ96" s="165"/>
      <c r="BK96" s="182"/>
      <c r="BL96" s="165"/>
      <c r="BM96" s="165"/>
      <c r="BN96" s="175"/>
      <c r="BO96" s="172"/>
      <c r="BP96" s="165"/>
      <c r="BQ96" s="165"/>
      <c r="BR96" s="165"/>
      <c r="BS96" s="160"/>
      <c r="BT96" s="164"/>
      <c r="BU96" s="165"/>
      <c r="BV96" s="165"/>
      <c r="BW96" s="165"/>
      <c r="BX96" s="165"/>
      <c r="BY96" s="165"/>
      <c r="BZ96" s="165"/>
      <c r="CA96" s="160"/>
      <c r="CB96" s="164"/>
      <c r="CC96" s="169"/>
      <c r="CD96" s="164"/>
      <c r="CE96" s="165"/>
      <c r="CF96" s="165"/>
      <c r="CG96" s="165"/>
      <c r="CH96" s="165"/>
      <c r="CI96" s="165"/>
      <c r="CJ96" s="165"/>
      <c r="CK96" s="160"/>
      <c r="CL96" s="164"/>
      <c r="CM96" s="165"/>
      <c r="CN96" s="182"/>
      <c r="CO96" s="165"/>
      <c r="CP96" s="165"/>
      <c r="CQ96" s="165"/>
      <c r="CR96" s="165"/>
      <c r="CS96" s="175"/>
      <c r="CT96" s="172"/>
      <c r="CU96" s="165"/>
      <c r="CV96" s="160"/>
    </row>
    <row r="97" spans="1:100" x14ac:dyDescent="0.25">
      <c r="A97" s="178"/>
      <c r="B97" s="169"/>
      <c r="F97" s="164"/>
      <c r="G97" s="165"/>
      <c r="H97" s="165"/>
      <c r="I97" s="165"/>
      <c r="J97" s="165"/>
      <c r="K97" s="165"/>
      <c r="L97" s="165"/>
      <c r="M97" s="160"/>
      <c r="N97" s="164"/>
      <c r="O97" s="165"/>
      <c r="P97" s="165"/>
      <c r="Q97" s="165"/>
      <c r="R97" s="165"/>
      <c r="S97" s="165"/>
      <c r="T97" s="165"/>
      <c r="U97" s="160"/>
      <c r="V97" s="165"/>
      <c r="W97" s="169"/>
      <c r="X97" s="164"/>
      <c r="Y97" s="165"/>
      <c r="Z97" s="165"/>
      <c r="AA97" s="165"/>
      <c r="AB97" s="165"/>
      <c r="AC97" s="165"/>
      <c r="AD97" s="165"/>
      <c r="AE97" s="160"/>
      <c r="AF97" s="164"/>
      <c r="AG97" s="165"/>
      <c r="AH97" s="182"/>
      <c r="AI97" s="175"/>
      <c r="AJ97" s="172"/>
      <c r="AK97" s="165"/>
      <c r="AL97" s="165"/>
      <c r="AM97" s="165"/>
      <c r="AN97" s="165"/>
      <c r="AO97" s="165"/>
      <c r="AP97" s="160"/>
      <c r="AQ97" s="164"/>
      <c r="AR97" s="165"/>
      <c r="AS97" s="165"/>
      <c r="AT97" s="165"/>
      <c r="AU97" s="165"/>
      <c r="AV97" s="165"/>
      <c r="AW97" s="165"/>
      <c r="AX97" s="160"/>
      <c r="AY97" s="164"/>
      <c r="AZ97" s="169"/>
      <c r="BA97" s="164"/>
      <c r="BB97" s="165"/>
      <c r="BC97" s="165"/>
      <c r="BD97" s="165"/>
      <c r="BE97" s="165"/>
      <c r="BF97" s="165"/>
      <c r="BG97" s="165"/>
      <c r="BH97" s="160"/>
      <c r="BI97" s="164"/>
      <c r="BJ97" s="165"/>
      <c r="BK97" s="182"/>
      <c r="BL97" s="165"/>
      <c r="BM97" s="165"/>
      <c r="BN97" s="175"/>
      <c r="BO97" s="172"/>
      <c r="BP97" s="165"/>
      <c r="BQ97" s="165"/>
      <c r="BR97" s="165"/>
      <c r="BS97" s="160"/>
      <c r="BT97" s="164"/>
      <c r="BU97" s="165"/>
      <c r="BV97" s="165"/>
      <c r="BW97" s="165"/>
      <c r="BX97" s="165"/>
      <c r="BY97" s="165"/>
      <c r="BZ97" s="165"/>
      <c r="CA97" s="160"/>
      <c r="CB97" s="164"/>
      <c r="CC97" s="169"/>
      <c r="CD97" s="164"/>
      <c r="CE97" s="165"/>
      <c r="CF97" s="165"/>
      <c r="CG97" s="165"/>
      <c r="CH97" s="165"/>
      <c r="CI97" s="165"/>
      <c r="CJ97" s="165"/>
      <c r="CK97" s="160"/>
      <c r="CL97" s="164"/>
      <c r="CM97" s="165"/>
      <c r="CN97" s="182"/>
      <c r="CO97" s="165"/>
      <c r="CP97" s="165"/>
      <c r="CQ97" s="165"/>
      <c r="CR97" s="165"/>
      <c r="CS97" s="175"/>
      <c r="CT97" s="172"/>
      <c r="CU97" s="165"/>
      <c r="CV97" s="160"/>
    </row>
    <row r="98" spans="1:100" x14ac:dyDescent="0.25">
      <c r="A98" s="178"/>
      <c r="B98" s="169"/>
      <c r="F98" s="164"/>
      <c r="G98" s="165"/>
      <c r="H98" s="165"/>
      <c r="I98" s="165"/>
      <c r="J98" s="165"/>
      <c r="K98" s="165"/>
      <c r="L98" s="165"/>
      <c r="M98" s="160"/>
      <c r="N98" s="164"/>
      <c r="O98" s="165"/>
      <c r="P98" s="165"/>
      <c r="Q98" s="165"/>
      <c r="R98" s="165"/>
      <c r="S98" s="165"/>
      <c r="T98" s="165"/>
      <c r="U98" s="160"/>
      <c r="V98" s="165"/>
      <c r="W98" s="169"/>
      <c r="X98" s="164"/>
      <c r="Y98" s="165"/>
      <c r="Z98" s="165"/>
      <c r="AA98" s="165"/>
      <c r="AB98" s="165"/>
      <c r="AC98" s="165"/>
      <c r="AD98" s="165"/>
      <c r="AE98" s="160"/>
      <c r="AF98" s="164"/>
      <c r="AG98" s="165"/>
      <c r="AH98" s="182"/>
      <c r="AI98" s="175"/>
      <c r="AJ98" s="172"/>
      <c r="AK98" s="165"/>
      <c r="AL98" s="165"/>
      <c r="AM98" s="165"/>
      <c r="AN98" s="165"/>
      <c r="AO98" s="165"/>
      <c r="AP98" s="160"/>
      <c r="AQ98" s="164"/>
      <c r="AR98" s="165"/>
      <c r="AS98" s="165"/>
      <c r="AT98" s="165"/>
      <c r="AU98" s="165"/>
      <c r="AV98" s="165"/>
      <c r="AW98" s="165"/>
      <c r="AX98" s="160"/>
      <c r="AY98" s="164"/>
      <c r="AZ98" s="169"/>
      <c r="BA98" s="164"/>
      <c r="BB98" s="165"/>
      <c r="BC98" s="165"/>
      <c r="BD98" s="165"/>
      <c r="BE98" s="165"/>
      <c r="BF98" s="165"/>
      <c r="BG98" s="165"/>
      <c r="BH98" s="160"/>
      <c r="BI98" s="164"/>
      <c r="BJ98" s="165"/>
      <c r="BK98" s="182"/>
      <c r="BL98" s="165"/>
      <c r="BM98" s="165"/>
      <c r="BN98" s="175"/>
      <c r="BO98" s="172"/>
      <c r="BP98" s="165"/>
      <c r="BQ98" s="165"/>
      <c r="BR98" s="165"/>
      <c r="BS98" s="160"/>
      <c r="BT98" s="164"/>
      <c r="BU98" s="165"/>
      <c r="BV98" s="165"/>
      <c r="BW98" s="165"/>
      <c r="BX98" s="165"/>
      <c r="BY98" s="165"/>
      <c r="BZ98" s="165"/>
      <c r="CA98" s="160"/>
      <c r="CB98" s="164"/>
      <c r="CC98" s="169"/>
      <c r="CD98" s="164"/>
      <c r="CE98" s="165"/>
      <c r="CF98" s="165"/>
      <c r="CG98" s="165"/>
      <c r="CH98" s="165"/>
      <c r="CI98" s="165"/>
      <c r="CJ98" s="165"/>
      <c r="CK98" s="160"/>
      <c r="CL98" s="164"/>
      <c r="CM98" s="165"/>
      <c r="CN98" s="182"/>
      <c r="CO98" s="165"/>
      <c r="CP98" s="165"/>
      <c r="CQ98" s="165"/>
      <c r="CR98" s="165"/>
      <c r="CS98" s="175"/>
      <c r="CT98" s="172"/>
      <c r="CU98" s="165"/>
      <c r="CV98" s="160"/>
    </row>
    <row r="99" spans="1:100" x14ac:dyDescent="0.25">
      <c r="A99" s="178"/>
      <c r="B99" s="169"/>
      <c r="F99" s="164"/>
      <c r="G99" s="165"/>
      <c r="H99" s="165"/>
      <c r="I99" s="165"/>
      <c r="J99" s="165"/>
      <c r="K99" s="165"/>
      <c r="L99" s="165"/>
      <c r="M99" s="160"/>
      <c r="N99" s="164"/>
      <c r="O99" s="165"/>
      <c r="P99" s="165"/>
      <c r="Q99" s="165"/>
      <c r="R99" s="165"/>
      <c r="S99" s="165"/>
      <c r="T99" s="165"/>
      <c r="U99" s="160"/>
      <c r="V99" s="165"/>
      <c r="W99" s="169"/>
      <c r="X99" s="164"/>
      <c r="Y99" s="165"/>
      <c r="Z99" s="165"/>
      <c r="AA99" s="165"/>
      <c r="AB99" s="165"/>
      <c r="AC99" s="165"/>
      <c r="AD99" s="165"/>
      <c r="AE99" s="160"/>
      <c r="AF99" s="164"/>
      <c r="AG99" s="165"/>
      <c r="AH99" s="182"/>
      <c r="AI99" s="175"/>
      <c r="AJ99" s="172"/>
      <c r="AK99" s="165"/>
      <c r="AL99" s="165"/>
      <c r="AM99" s="165"/>
      <c r="AN99" s="165"/>
      <c r="AO99" s="165"/>
      <c r="AP99" s="160"/>
      <c r="AQ99" s="164"/>
      <c r="AR99" s="165"/>
      <c r="AS99" s="165"/>
      <c r="AT99" s="165"/>
      <c r="AU99" s="165"/>
      <c r="AV99" s="165"/>
      <c r="AW99" s="165"/>
      <c r="AX99" s="160"/>
      <c r="AY99" s="164"/>
      <c r="AZ99" s="169"/>
      <c r="BA99" s="164"/>
      <c r="BB99" s="165"/>
      <c r="BC99" s="165"/>
      <c r="BD99" s="165"/>
      <c r="BE99" s="165"/>
      <c r="BF99" s="165"/>
      <c r="BG99" s="165"/>
      <c r="BH99" s="160"/>
      <c r="BI99" s="164"/>
      <c r="BJ99" s="165"/>
      <c r="BK99" s="182"/>
      <c r="BL99" s="165"/>
      <c r="BM99" s="165"/>
      <c r="BN99" s="175"/>
      <c r="BO99" s="172"/>
      <c r="BP99" s="165"/>
      <c r="BQ99" s="165"/>
      <c r="BR99" s="165"/>
      <c r="BS99" s="160"/>
      <c r="BT99" s="164"/>
      <c r="BU99" s="165"/>
      <c r="BV99" s="165"/>
      <c r="BW99" s="165"/>
      <c r="BX99" s="165"/>
      <c r="BY99" s="165"/>
      <c r="BZ99" s="165"/>
      <c r="CA99" s="160"/>
      <c r="CB99" s="164"/>
      <c r="CC99" s="169"/>
      <c r="CD99" s="164"/>
      <c r="CE99" s="165"/>
      <c r="CF99" s="165"/>
      <c r="CG99" s="165"/>
      <c r="CH99" s="165"/>
      <c r="CI99" s="165"/>
      <c r="CJ99" s="165"/>
      <c r="CK99" s="160"/>
      <c r="CL99" s="164"/>
      <c r="CM99" s="165"/>
      <c r="CN99" s="182"/>
      <c r="CO99" s="165"/>
      <c r="CP99" s="165"/>
      <c r="CQ99" s="165"/>
      <c r="CR99" s="165"/>
      <c r="CS99" s="175"/>
      <c r="CT99" s="172"/>
      <c r="CU99" s="165"/>
      <c r="CV99" s="160"/>
    </row>
    <row r="100" spans="1:100" x14ac:dyDescent="0.25">
      <c r="A100" s="178"/>
      <c r="B100" s="169"/>
      <c r="F100" s="164"/>
      <c r="G100" s="165"/>
      <c r="H100" s="165"/>
      <c r="I100" s="165"/>
      <c r="J100" s="165"/>
      <c r="K100" s="165"/>
      <c r="L100" s="165"/>
      <c r="M100" s="160"/>
      <c r="N100" s="164"/>
      <c r="O100" s="165"/>
      <c r="P100" s="165"/>
      <c r="Q100" s="165"/>
      <c r="R100" s="165"/>
      <c r="S100" s="165"/>
      <c r="T100" s="165"/>
      <c r="U100" s="160"/>
      <c r="V100" s="165"/>
      <c r="W100" s="169"/>
      <c r="X100" s="164"/>
      <c r="Y100" s="165"/>
      <c r="Z100" s="165"/>
      <c r="AA100" s="165"/>
      <c r="AB100" s="165"/>
      <c r="AC100" s="165"/>
      <c r="AD100" s="165"/>
      <c r="AE100" s="160"/>
      <c r="AF100" s="164"/>
      <c r="AG100" s="165"/>
      <c r="AH100" s="182"/>
      <c r="AI100" s="175"/>
      <c r="AJ100" s="172"/>
      <c r="AK100" s="165"/>
      <c r="AL100" s="165"/>
      <c r="AM100" s="165"/>
      <c r="AN100" s="165"/>
      <c r="AO100" s="165"/>
      <c r="AP100" s="160"/>
      <c r="AQ100" s="164"/>
      <c r="AR100" s="165"/>
      <c r="AS100" s="165"/>
      <c r="AT100" s="165"/>
      <c r="AU100" s="165"/>
      <c r="AV100" s="165"/>
      <c r="AW100" s="165"/>
      <c r="AX100" s="160"/>
      <c r="AY100" s="164"/>
      <c r="AZ100" s="169"/>
      <c r="BA100" s="164"/>
      <c r="BB100" s="165"/>
      <c r="BC100" s="165"/>
      <c r="BD100" s="165"/>
      <c r="BE100" s="165"/>
      <c r="BF100" s="165"/>
      <c r="BG100" s="165"/>
      <c r="BH100" s="160"/>
      <c r="BI100" s="164"/>
      <c r="BJ100" s="165"/>
      <c r="BK100" s="182"/>
      <c r="BL100" s="165"/>
      <c r="BM100" s="165"/>
      <c r="BN100" s="175"/>
      <c r="BO100" s="172"/>
      <c r="BP100" s="165"/>
      <c r="BQ100" s="165"/>
      <c r="BR100" s="165"/>
      <c r="BS100" s="160"/>
      <c r="BT100" s="164"/>
      <c r="BU100" s="165"/>
      <c r="BV100" s="165"/>
      <c r="BW100" s="165"/>
      <c r="BX100" s="165"/>
      <c r="BY100" s="165"/>
      <c r="BZ100" s="165"/>
      <c r="CA100" s="160"/>
      <c r="CB100" s="164"/>
      <c r="CC100" s="169"/>
      <c r="CD100" s="164"/>
      <c r="CE100" s="165"/>
      <c r="CF100" s="165"/>
      <c r="CG100" s="165"/>
      <c r="CH100" s="165"/>
      <c r="CI100" s="165"/>
      <c r="CJ100" s="165"/>
      <c r="CK100" s="160"/>
      <c r="CL100" s="164"/>
      <c r="CM100" s="165"/>
      <c r="CN100" s="182"/>
      <c r="CO100" s="165"/>
      <c r="CP100" s="165"/>
      <c r="CQ100" s="165"/>
      <c r="CR100" s="165"/>
      <c r="CS100" s="175"/>
      <c r="CT100" s="172"/>
      <c r="CU100" s="165"/>
      <c r="CV100" s="160"/>
    </row>
    <row r="101" spans="1:100" x14ac:dyDescent="0.25">
      <c r="A101" s="178"/>
      <c r="B101" s="169"/>
      <c r="F101" s="164"/>
      <c r="G101" s="165"/>
      <c r="H101" s="165"/>
      <c r="I101" s="165"/>
      <c r="J101" s="165"/>
      <c r="K101" s="165"/>
      <c r="L101" s="165"/>
      <c r="M101" s="160"/>
      <c r="N101" s="164"/>
      <c r="O101" s="165"/>
      <c r="P101" s="165"/>
      <c r="Q101" s="165"/>
      <c r="R101" s="165"/>
      <c r="S101" s="165"/>
      <c r="T101" s="165"/>
      <c r="U101" s="160"/>
      <c r="V101" s="165"/>
      <c r="W101" s="169"/>
      <c r="X101" s="164"/>
      <c r="Y101" s="165"/>
      <c r="Z101" s="165"/>
      <c r="AA101" s="165"/>
      <c r="AB101" s="165"/>
      <c r="AC101" s="165"/>
      <c r="AD101" s="165"/>
      <c r="AE101" s="160"/>
      <c r="AF101" s="164"/>
      <c r="AG101" s="165"/>
      <c r="AH101" s="182"/>
      <c r="AI101" s="175"/>
      <c r="AJ101" s="172"/>
      <c r="AK101" s="165"/>
      <c r="AL101" s="165"/>
      <c r="AM101" s="165"/>
      <c r="AN101" s="165"/>
      <c r="AO101" s="165"/>
      <c r="AP101" s="160"/>
      <c r="AQ101" s="164"/>
      <c r="AR101" s="165"/>
      <c r="AS101" s="165"/>
      <c r="AT101" s="165"/>
      <c r="AU101" s="165"/>
      <c r="AV101" s="165"/>
      <c r="AW101" s="165"/>
      <c r="AX101" s="160"/>
      <c r="AY101" s="164"/>
      <c r="AZ101" s="169"/>
      <c r="BA101" s="164"/>
      <c r="BB101" s="165"/>
      <c r="BC101" s="165"/>
      <c r="BD101" s="165"/>
      <c r="BE101" s="165"/>
      <c r="BF101" s="165"/>
      <c r="BG101" s="165"/>
      <c r="BH101" s="160"/>
      <c r="BI101" s="164"/>
      <c r="BJ101" s="165"/>
      <c r="BK101" s="182"/>
      <c r="BL101" s="165"/>
      <c r="BM101" s="165"/>
      <c r="BN101" s="175"/>
      <c r="BO101" s="172"/>
      <c r="BP101" s="165"/>
      <c r="BQ101" s="165"/>
      <c r="BR101" s="165"/>
      <c r="BS101" s="160"/>
      <c r="BT101" s="164"/>
      <c r="BU101" s="165"/>
      <c r="BV101" s="165"/>
      <c r="BW101" s="165"/>
      <c r="BX101" s="165"/>
      <c r="BY101" s="165"/>
      <c r="BZ101" s="165"/>
      <c r="CA101" s="160"/>
      <c r="CB101" s="164"/>
      <c r="CC101" s="169"/>
      <c r="CD101" s="164"/>
      <c r="CE101" s="165"/>
      <c r="CF101" s="165"/>
      <c r="CG101" s="165"/>
      <c r="CH101" s="165"/>
      <c r="CI101" s="165"/>
      <c r="CJ101" s="165"/>
      <c r="CK101" s="160"/>
      <c r="CL101" s="164"/>
      <c r="CM101" s="165"/>
      <c r="CN101" s="182"/>
      <c r="CO101" s="165"/>
      <c r="CP101" s="165"/>
      <c r="CQ101" s="165"/>
      <c r="CR101" s="165"/>
      <c r="CS101" s="175"/>
      <c r="CT101" s="172"/>
      <c r="CU101" s="165"/>
      <c r="CV101" s="160"/>
    </row>
    <row r="102" spans="1:100" x14ac:dyDescent="0.25">
      <c r="A102" s="178"/>
      <c r="B102" s="169"/>
      <c r="F102" s="164"/>
      <c r="G102" s="165"/>
      <c r="H102" s="165"/>
      <c r="I102" s="165"/>
      <c r="J102" s="165"/>
      <c r="K102" s="165"/>
      <c r="L102" s="165"/>
      <c r="M102" s="160"/>
      <c r="N102" s="164"/>
      <c r="O102" s="165"/>
      <c r="P102" s="165"/>
      <c r="Q102" s="165"/>
      <c r="R102" s="165"/>
      <c r="S102" s="165"/>
      <c r="T102" s="165"/>
      <c r="U102" s="160"/>
      <c r="V102" s="165"/>
      <c r="W102" s="169"/>
      <c r="X102" s="164"/>
      <c r="Y102" s="165"/>
      <c r="Z102" s="165"/>
      <c r="AA102" s="165"/>
      <c r="AB102" s="165"/>
      <c r="AC102" s="165"/>
      <c r="AD102" s="165"/>
      <c r="AE102" s="160"/>
      <c r="AF102" s="164"/>
      <c r="AG102" s="165"/>
      <c r="AH102" s="182"/>
      <c r="AI102" s="175"/>
      <c r="AJ102" s="172"/>
      <c r="AK102" s="165"/>
      <c r="AL102" s="165"/>
      <c r="AM102" s="165"/>
      <c r="AN102" s="165"/>
      <c r="AO102" s="165"/>
      <c r="AP102" s="160"/>
      <c r="AQ102" s="164"/>
      <c r="AR102" s="165"/>
      <c r="AS102" s="165"/>
      <c r="AT102" s="165"/>
      <c r="AU102" s="165"/>
      <c r="AV102" s="165"/>
      <c r="AW102" s="165"/>
      <c r="AX102" s="160"/>
      <c r="AY102" s="164"/>
      <c r="AZ102" s="169"/>
      <c r="BA102" s="164"/>
      <c r="BB102" s="165"/>
      <c r="BC102" s="165"/>
      <c r="BD102" s="165"/>
      <c r="BE102" s="165"/>
      <c r="BF102" s="165"/>
      <c r="BG102" s="165"/>
      <c r="BH102" s="160"/>
      <c r="BI102" s="164"/>
      <c r="BJ102" s="165"/>
      <c r="BK102" s="182"/>
      <c r="BL102" s="165"/>
      <c r="BM102" s="165"/>
      <c r="BN102" s="175"/>
      <c r="BO102" s="172"/>
      <c r="BP102" s="165"/>
      <c r="BQ102" s="165"/>
      <c r="BR102" s="165"/>
      <c r="BS102" s="160"/>
      <c r="BT102" s="164"/>
      <c r="BU102" s="165"/>
      <c r="BV102" s="165"/>
      <c r="BW102" s="165"/>
      <c r="BX102" s="165"/>
      <c r="BY102" s="165"/>
      <c r="BZ102" s="165"/>
      <c r="CA102" s="160"/>
      <c r="CB102" s="164"/>
      <c r="CC102" s="169"/>
      <c r="CD102" s="164"/>
      <c r="CE102" s="165"/>
      <c r="CF102" s="165"/>
      <c r="CG102" s="165"/>
      <c r="CH102" s="165"/>
      <c r="CI102" s="165"/>
      <c r="CJ102" s="165"/>
      <c r="CK102" s="160"/>
      <c r="CL102" s="164"/>
      <c r="CM102" s="165"/>
      <c r="CN102" s="182"/>
      <c r="CO102" s="165"/>
      <c r="CP102" s="165"/>
      <c r="CQ102" s="165"/>
      <c r="CR102" s="165"/>
      <c r="CS102" s="175"/>
      <c r="CT102" s="172"/>
      <c r="CU102" s="165"/>
      <c r="CV102" s="160"/>
    </row>
    <row r="103" spans="1:100" x14ac:dyDescent="0.25">
      <c r="A103" s="178"/>
      <c r="B103" s="169"/>
      <c r="F103" s="164"/>
      <c r="G103" s="165"/>
      <c r="H103" s="165"/>
      <c r="I103" s="165"/>
      <c r="J103" s="165"/>
      <c r="K103" s="165"/>
      <c r="L103" s="165"/>
      <c r="M103" s="160"/>
      <c r="N103" s="164"/>
      <c r="O103" s="165"/>
      <c r="P103" s="165"/>
      <c r="Q103" s="165"/>
      <c r="R103" s="165"/>
      <c r="S103" s="165"/>
      <c r="T103" s="165"/>
      <c r="U103" s="160"/>
      <c r="V103" s="165"/>
      <c r="W103" s="169"/>
      <c r="X103" s="164"/>
      <c r="Y103" s="165"/>
      <c r="Z103" s="165"/>
      <c r="AA103" s="165"/>
      <c r="AB103" s="165"/>
      <c r="AC103" s="165"/>
      <c r="AD103" s="165"/>
      <c r="AE103" s="160"/>
      <c r="AF103" s="164"/>
      <c r="AG103" s="165"/>
      <c r="AH103" s="182"/>
      <c r="AI103" s="175"/>
      <c r="AJ103" s="172"/>
      <c r="AK103" s="165"/>
      <c r="AL103" s="165"/>
      <c r="AM103" s="165"/>
      <c r="AN103" s="165"/>
      <c r="AO103" s="165"/>
      <c r="AP103" s="160"/>
      <c r="AQ103" s="164"/>
      <c r="AR103" s="165"/>
      <c r="AS103" s="165"/>
      <c r="AT103" s="165"/>
      <c r="AU103" s="165"/>
      <c r="AV103" s="165"/>
      <c r="AW103" s="165"/>
      <c r="AX103" s="160"/>
      <c r="AY103" s="164"/>
      <c r="AZ103" s="169"/>
      <c r="BA103" s="164"/>
      <c r="BB103" s="165"/>
      <c r="BC103" s="165"/>
      <c r="BD103" s="165"/>
      <c r="BE103" s="165"/>
      <c r="BF103" s="165"/>
      <c r="BG103" s="165"/>
      <c r="BH103" s="160"/>
      <c r="BI103" s="164"/>
      <c r="BJ103" s="165"/>
      <c r="BK103" s="182"/>
      <c r="BL103" s="165"/>
      <c r="BM103" s="165"/>
      <c r="BN103" s="175"/>
      <c r="BO103" s="172"/>
      <c r="BP103" s="165"/>
      <c r="BQ103" s="165"/>
      <c r="BR103" s="165"/>
      <c r="BS103" s="160"/>
      <c r="BT103" s="164"/>
      <c r="BU103" s="165"/>
      <c r="BV103" s="165"/>
      <c r="BW103" s="165"/>
      <c r="BX103" s="165"/>
      <c r="BY103" s="165"/>
      <c r="BZ103" s="165"/>
      <c r="CA103" s="160"/>
      <c r="CB103" s="164"/>
      <c r="CC103" s="169"/>
      <c r="CD103" s="164"/>
      <c r="CE103" s="165"/>
      <c r="CF103" s="165"/>
      <c r="CG103" s="165"/>
      <c r="CH103" s="165"/>
      <c r="CI103" s="165"/>
      <c r="CJ103" s="165"/>
      <c r="CK103" s="160"/>
      <c r="CL103" s="164"/>
      <c r="CM103" s="165"/>
      <c r="CN103" s="182"/>
      <c r="CO103" s="165"/>
      <c r="CP103" s="165"/>
      <c r="CQ103" s="165"/>
      <c r="CR103" s="165"/>
      <c r="CS103" s="175"/>
      <c r="CT103" s="172"/>
      <c r="CU103" s="165"/>
      <c r="CV103" s="160"/>
    </row>
    <row r="104" spans="1:100" x14ac:dyDescent="0.25">
      <c r="A104" s="178"/>
      <c r="B104" s="169"/>
      <c r="F104" s="164"/>
      <c r="G104" s="165"/>
      <c r="H104" s="165"/>
      <c r="I104" s="165"/>
      <c r="J104" s="165"/>
      <c r="K104" s="165"/>
      <c r="L104" s="165"/>
      <c r="M104" s="160"/>
      <c r="N104" s="164"/>
      <c r="O104" s="165"/>
      <c r="P104" s="165"/>
      <c r="Q104" s="165"/>
      <c r="R104" s="165"/>
      <c r="S104" s="165"/>
      <c r="T104" s="165"/>
      <c r="U104" s="160"/>
      <c r="V104" s="165"/>
      <c r="W104" s="169"/>
      <c r="X104" s="164"/>
      <c r="Y104" s="165"/>
      <c r="Z104" s="165"/>
      <c r="AA104" s="165"/>
      <c r="AB104" s="165"/>
      <c r="AC104" s="165"/>
      <c r="AD104" s="165"/>
      <c r="AE104" s="160"/>
      <c r="AF104" s="164"/>
      <c r="AG104" s="165"/>
      <c r="AH104" s="182"/>
      <c r="AI104" s="175"/>
      <c r="AJ104" s="172"/>
      <c r="AK104" s="165"/>
      <c r="AL104" s="165"/>
      <c r="AM104" s="165"/>
      <c r="AN104" s="165"/>
      <c r="AO104" s="165"/>
      <c r="AP104" s="160"/>
      <c r="AQ104" s="164"/>
      <c r="AR104" s="165"/>
      <c r="AS104" s="165"/>
      <c r="AT104" s="165"/>
      <c r="AU104" s="165"/>
      <c r="AV104" s="165"/>
      <c r="AW104" s="165"/>
      <c r="AX104" s="160"/>
      <c r="AY104" s="164"/>
      <c r="AZ104" s="169"/>
      <c r="BA104" s="164"/>
      <c r="BB104" s="165"/>
      <c r="BC104" s="165"/>
      <c r="BD104" s="165"/>
      <c r="BE104" s="165"/>
      <c r="BF104" s="165"/>
      <c r="BG104" s="165"/>
      <c r="BH104" s="160"/>
      <c r="BI104" s="164"/>
      <c r="BJ104" s="165"/>
      <c r="BK104" s="182"/>
      <c r="BL104" s="165"/>
      <c r="BM104" s="165"/>
      <c r="BN104" s="175"/>
      <c r="BO104" s="172"/>
      <c r="BP104" s="165"/>
      <c r="BQ104" s="165"/>
      <c r="BR104" s="165"/>
      <c r="BS104" s="160"/>
      <c r="BT104" s="164"/>
      <c r="BU104" s="165"/>
      <c r="BV104" s="165"/>
      <c r="BW104" s="165"/>
      <c r="BX104" s="165"/>
      <c r="BY104" s="165"/>
      <c r="BZ104" s="165"/>
      <c r="CA104" s="160"/>
      <c r="CB104" s="164"/>
      <c r="CC104" s="169"/>
      <c r="CD104" s="164"/>
      <c r="CE104" s="165"/>
      <c r="CF104" s="165"/>
      <c r="CG104" s="165"/>
      <c r="CH104" s="165"/>
      <c r="CI104" s="165"/>
      <c r="CJ104" s="165"/>
      <c r="CK104" s="160"/>
      <c r="CL104" s="164"/>
      <c r="CM104" s="165"/>
      <c r="CN104" s="182"/>
      <c r="CO104" s="165"/>
      <c r="CP104" s="165"/>
      <c r="CQ104" s="165"/>
      <c r="CR104" s="165"/>
      <c r="CS104" s="175"/>
      <c r="CT104" s="172"/>
      <c r="CU104" s="165"/>
      <c r="CV104" s="160"/>
    </row>
    <row r="105" spans="1:100" x14ac:dyDescent="0.25">
      <c r="A105" s="178"/>
      <c r="B105" s="169"/>
      <c r="F105" s="164"/>
      <c r="G105" s="165"/>
      <c r="H105" s="165"/>
      <c r="I105" s="165"/>
      <c r="J105" s="165"/>
      <c r="K105" s="165"/>
      <c r="L105" s="165"/>
      <c r="M105" s="160"/>
      <c r="N105" s="164"/>
      <c r="O105" s="165"/>
      <c r="P105" s="165"/>
      <c r="Q105" s="165"/>
      <c r="R105" s="165"/>
      <c r="S105" s="165"/>
      <c r="T105" s="165"/>
      <c r="U105" s="160"/>
      <c r="V105" s="165"/>
      <c r="W105" s="169"/>
      <c r="X105" s="164"/>
      <c r="Y105" s="165"/>
      <c r="Z105" s="165"/>
      <c r="AA105" s="165"/>
      <c r="AB105" s="165"/>
      <c r="AC105" s="165"/>
      <c r="AD105" s="165"/>
      <c r="AE105" s="160"/>
      <c r="AF105" s="164"/>
      <c r="AG105" s="165"/>
      <c r="AH105" s="182"/>
      <c r="AI105" s="175"/>
      <c r="AJ105" s="172"/>
      <c r="AK105" s="165"/>
      <c r="AL105" s="165"/>
      <c r="AM105" s="165"/>
      <c r="AN105" s="165"/>
      <c r="AO105" s="165"/>
      <c r="AP105" s="160"/>
      <c r="AQ105" s="164"/>
      <c r="AR105" s="165"/>
      <c r="AS105" s="165"/>
      <c r="AT105" s="165"/>
      <c r="AU105" s="165"/>
      <c r="AV105" s="165"/>
      <c r="AW105" s="165"/>
      <c r="AX105" s="160"/>
      <c r="AY105" s="164"/>
      <c r="AZ105" s="169"/>
      <c r="BA105" s="164"/>
      <c r="BB105" s="165"/>
      <c r="BC105" s="165"/>
      <c r="BD105" s="165"/>
      <c r="BE105" s="165"/>
      <c r="BF105" s="165"/>
      <c r="BG105" s="165"/>
      <c r="BH105" s="160"/>
      <c r="BI105" s="164"/>
      <c r="BJ105" s="165"/>
      <c r="BK105" s="182"/>
      <c r="BL105" s="165"/>
      <c r="BM105" s="165"/>
      <c r="BN105" s="175"/>
      <c r="BO105" s="172"/>
      <c r="BP105" s="165"/>
      <c r="BQ105" s="165"/>
      <c r="BR105" s="165"/>
      <c r="BS105" s="160"/>
      <c r="BT105" s="164"/>
      <c r="BU105" s="165"/>
      <c r="BV105" s="165"/>
      <c r="BW105" s="165"/>
      <c r="BX105" s="165"/>
      <c r="BY105" s="165"/>
      <c r="BZ105" s="165"/>
      <c r="CA105" s="160"/>
      <c r="CB105" s="164"/>
      <c r="CC105" s="169"/>
      <c r="CD105" s="164"/>
      <c r="CE105" s="165"/>
      <c r="CF105" s="165"/>
      <c r="CG105" s="165"/>
      <c r="CH105" s="165"/>
      <c r="CI105" s="165"/>
      <c r="CJ105" s="165"/>
      <c r="CK105" s="160"/>
      <c r="CL105" s="164"/>
      <c r="CM105" s="165"/>
      <c r="CN105" s="182"/>
      <c r="CO105" s="165"/>
      <c r="CP105" s="165"/>
      <c r="CQ105" s="165"/>
      <c r="CR105" s="165"/>
      <c r="CS105" s="175"/>
      <c r="CT105" s="172"/>
      <c r="CU105" s="165"/>
      <c r="CV105" s="160"/>
    </row>
    <row r="106" spans="1:100" x14ac:dyDescent="0.25">
      <c r="A106" s="178"/>
      <c r="B106" s="169"/>
      <c r="F106" s="164"/>
      <c r="G106" s="165"/>
      <c r="H106" s="165"/>
      <c r="I106" s="165"/>
      <c r="J106" s="165"/>
      <c r="K106" s="165"/>
      <c r="L106" s="165"/>
      <c r="M106" s="160"/>
      <c r="N106" s="164"/>
      <c r="O106" s="165"/>
      <c r="P106" s="165"/>
      <c r="Q106" s="165"/>
      <c r="R106" s="165"/>
      <c r="S106" s="165"/>
      <c r="T106" s="165"/>
      <c r="U106" s="160"/>
      <c r="V106" s="165"/>
      <c r="W106" s="169"/>
      <c r="X106" s="164"/>
      <c r="Y106" s="165"/>
      <c r="Z106" s="165"/>
      <c r="AA106" s="165"/>
      <c r="AB106" s="165"/>
      <c r="AC106" s="165"/>
      <c r="AD106" s="165"/>
      <c r="AE106" s="160"/>
      <c r="AF106" s="164"/>
      <c r="AG106" s="165"/>
      <c r="AH106" s="182"/>
      <c r="AI106" s="175"/>
      <c r="AJ106" s="172"/>
      <c r="AK106" s="165"/>
      <c r="AL106" s="165"/>
      <c r="AM106" s="165"/>
      <c r="AN106" s="165"/>
      <c r="AO106" s="165"/>
      <c r="AP106" s="160"/>
      <c r="AQ106" s="164"/>
      <c r="AR106" s="165"/>
      <c r="AS106" s="165"/>
      <c r="AT106" s="165"/>
      <c r="AU106" s="165"/>
      <c r="AV106" s="165"/>
      <c r="AW106" s="165"/>
      <c r="AX106" s="160"/>
      <c r="AY106" s="164"/>
      <c r="AZ106" s="169"/>
      <c r="BA106" s="164"/>
      <c r="BB106" s="165"/>
      <c r="BC106" s="165"/>
      <c r="BD106" s="165"/>
      <c r="BE106" s="165"/>
      <c r="BF106" s="165"/>
      <c r="BG106" s="165"/>
      <c r="BH106" s="160"/>
      <c r="BI106" s="164"/>
      <c r="BJ106" s="165"/>
      <c r="BK106" s="182"/>
      <c r="BL106" s="165"/>
      <c r="BM106" s="165"/>
      <c r="BN106" s="175"/>
      <c r="BO106" s="172"/>
      <c r="BP106" s="165"/>
      <c r="BQ106" s="165"/>
      <c r="BR106" s="165"/>
      <c r="BS106" s="160"/>
      <c r="BT106" s="164"/>
      <c r="BU106" s="165"/>
      <c r="BV106" s="165"/>
      <c r="BW106" s="165"/>
      <c r="BX106" s="165"/>
      <c r="BY106" s="165"/>
      <c r="BZ106" s="165"/>
      <c r="CA106" s="160"/>
      <c r="CB106" s="164"/>
      <c r="CC106" s="169"/>
      <c r="CD106" s="164"/>
      <c r="CE106" s="165"/>
      <c r="CF106" s="165"/>
      <c r="CG106" s="165"/>
      <c r="CH106" s="165"/>
      <c r="CI106" s="165"/>
      <c r="CJ106" s="165"/>
      <c r="CK106" s="160"/>
      <c r="CL106" s="164"/>
      <c r="CM106" s="165"/>
      <c r="CN106" s="182"/>
      <c r="CO106" s="165"/>
      <c r="CP106" s="165"/>
      <c r="CQ106" s="165"/>
      <c r="CR106" s="165"/>
      <c r="CS106" s="175"/>
      <c r="CT106" s="172"/>
      <c r="CU106" s="165"/>
      <c r="CV106" s="160"/>
    </row>
    <row r="107" spans="1:100" x14ac:dyDescent="0.25">
      <c r="A107" s="178"/>
      <c r="B107" s="169"/>
      <c r="F107" s="164"/>
      <c r="G107" s="165"/>
      <c r="H107" s="165"/>
      <c r="I107" s="165"/>
      <c r="J107" s="165"/>
      <c r="K107" s="165"/>
      <c r="L107" s="165"/>
      <c r="M107" s="160"/>
      <c r="N107" s="164"/>
      <c r="O107" s="165"/>
      <c r="P107" s="165"/>
      <c r="Q107" s="165"/>
      <c r="R107" s="165"/>
      <c r="S107" s="165"/>
      <c r="T107" s="165"/>
      <c r="U107" s="160"/>
      <c r="V107" s="165"/>
      <c r="W107" s="169"/>
      <c r="X107" s="164"/>
      <c r="Y107" s="165"/>
      <c r="Z107" s="165"/>
      <c r="AA107" s="165"/>
      <c r="AB107" s="165"/>
      <c r="AC107" s="165"/>
      <c r="AD107" s="165"/>
      <c r="AE107" s="160"/>
      <c r="AF107" s="164"/>
      <c r="AG107" s="165"/>
      <c r="AH107" s="182"/>
      <c r="AI107" s="175"/>
      <c r="AJ107" s="172"/>
      <c r="AK107" s="165"/>
      <c r="AL107" s="165"/>
      <c r="AM107" s="165"/>
      <c r="AN107" s="165"/>
      <c r="AO107" s="165"/>
      <c r="AP107" s="160"/>
      <c r="AQ107" s="164"/>
      <c r="AR107" s="165"/>
      <c r="AS107" s="165"/>
      <c r="AT107" s="165"/>
      <c r="AU107" s="165"/>
      <c r="AV107" s="165"/>
      <c r="AW107" s="165"/>
      <c r="AX107" s="160"/>
      <c r="AY107" s="164"/>
      <c r="AZ107" s="169"/>
      <c r="BA107" s="164"/>
      <c r="BB107" s="165"/>
      <c r="BC107" s="165"/>
      <c r="BD107" s="165"/>
      <c r="BE107" s="165"/>
      <c r="BF107" s="165"/>
      <c r="BG107" s="165"/>
      <c r="BH107" s="160"/>
      <c r="BI107" s="164"/>
      <c r="BJ107" s="165"/>
      <c r="BK107" s="182"/>
      <c r="BL107" s="165"/>
      <c r="BM107" s="165"/>
      <c r="BN107" s="175"/>
      <c r="BO107" s="172"/>
      <c r="BP107" s="165"/>
      <c r="BQ107" s="165"/>
      <c r="BR107" s="165"/>
      <c r="BS107" s="160"/>
      <c r="BT107" s="164"/>
      <c r="BU107" s="165"/>
      <c r="BV107" s="165"/>
      <c r="BW107" s="165"/>
      <c r="BX107" s="165"/>
      <c r="BY107" s="165"/>
      <c r="BZ107" s="165"/>
      <c r="CA107" s="160"/>
      <c r="CB107" s="164"/>
      <c r="CC107" s="169"/>
      <c r="CD107" s="164"/>
      <c r="CE107" s="165"/>
      <c r="CF107" s="165"/>
      <c r="CG107" s="165"/>
      <c r="CH107" s="165"/>
      <c r="CI107" s="165"/>
      <c r="CJ107" s="165"/>
      <c r="CK107" s="160"/>
      <c r="CL107" s="164"/>
      <c r="CM107" s="165"/>
      <c r="CN107" s="182"/>
      <c r="CO107" s="165"/>
      <c r="CP107" s="165"/>
      <c r="CQ107" s="165"/>
      <c r="CR107" s="165"/>
      <c r="CS107" s="175"/>
      <c r="CT107" s="172"/>
      <c r="CU107" s="165"/>
      <c r="CV107" s="160"/>
    </row>
    <row r="108" spans="1:100" x14ac:dyDescent="0.25">
      <c r="A108" s="178"/>
      <c r="B108" s="169"/>
      <c r="F108" s="164"/>
      <c r="G108" s="165"/>
      <c r="H108" s="165"/>
      <c r="I108" s="165"/>
      <c r="J108" s="165"/>
      <c r="K108" s="165"/>
      <c r="L108" s="165"/>
      <c r="M108" s="160"/>
      <c r="N108" s="164"/>
      <c r="O108" s="165"/>
      <c r="P108" s="165"/>
      <c r="Q108" s="165"/>
      <c r="R108" s="165"/>
      <c r="S108" s="165"/>
      <c r="T108" s="165"/>
      <c r="U108" s="160"/>
      <c r="V108" s="165"/>
      <c r="W108" s="169"/>
      <c r="X108" s="164"/>
      <c r="Y108" s="165"/>
      <c r="Z108" s="165"/>
      <c r="AA108" s="165"/>
      <c r="AB108" s="165"/>
      <c r="AC108" s="165"/>
      <c r="AD108" s="165"/>
      <c r="AE108" s="160"/>
      <c r="AF108" s="164"/>
      <c r="AG108" s="165"/>
      <c r="AH108" s="182"/>
      <c r="AI108" s="175"/>
      <c r="AJ108" s="172"/>
      <c r="AK108" s="165"/>
      <c r="AL108" s="165"/>
      <c r="AM108" s="165"/>
      <c r="AN108" s="165"/>
      <c r="AO108" s="165"/>
      <c r="AP108" s="160"/>
      <c r="AQ108" s="164"/>
      <c r="AR108" s="165"/>
      <c r="AS108" s="165"/>
      <c r="AT108" s="165"/>
      <c r="AU108" s="165"/>
      <c r="AV108" s="165"/>
      <c r="AW108" s="165"/>
      <c r="AX108" s="160"/>
      <c r="AY108" s="164"/>
      <c r="AZ108" s="169"/>
      <c r="BA108" s="164"/>
      <c r="BB108" s="165"/>
      <c r="BC108" s="165"/>
      <c r="BD108" s="165"/>
      <c r="BE108" s="165"/>
      <c r="BF108" s="165"/>
      <c r="BG108" s="165"/>
      <c r="BH108" s="160"/>
      <c r="BI108" s="164"/>
      <c r="BJ108" s="165"/>
      <c r="BK108" s="182"/>
      <c r="BL108" s="165"/>
      <c r="BM108" s="165"/>
      <c r="BN108" s="175"/>
      <c r="BO108" s="172"/>
      <c r="BP108" s="165"/>
      <c r="BQ108" s="165"/>
      <c r="BR108" s="165"/>
      <c r="BS108" s="160"/>
      <c r="BT108" s="164"/>
      <c r="BU108" s="165"/>
      <c r="BV108" s="165"/>
      <c r="BW108" s="165"/>
      <c r="BX108" s="165"/>
      <c r="BY108" s="165"/>
      <c r="BZ108" s="165"/>
      <c r="CA108" s="160"/>
      <c r="CB108" s="164"/>
      <c r="CC108" s="169"/>
      <c r="CD108" s="164"/>
      <c r="CE108" s="165"/>
      <c r="CF108" s="165"/>
      <c r="CG108" s="165"/>
      <c r="CH108" s="165"/>
      <c r="CI108" s="165"/>
      <c r="CJ108" s="165"/>
      <c r="CK108" s="160"/>
      <c r="CL108" s="164"/>
      <c r="CM108" s="165"/>
      <c r="CN108" s="182"/>
      <c r="CO108" s="165"/>
      <c r="CP108" s="165"/>
      <c r="CQ108" s="165"/>
      <c r="CR108" s="165"/>
      <c r="CS108" s="175"/>
      <c r="CT108" s="172"/>
      <c r="CU108" s="165"/>
      <c r="CV108" s="160"/>
    </row>
    <row r="109" spans="1:100" x14ac:dyDescent="0.25">
      <c r="A109" s="178"/>
      <c r="B109" s="169"/>
      <c r="F109" s="164"/>
      <c r="G109" s="165"/>
      <c r="H109" s="165"/>
      <c r="I109" s="165"/>
      <c r="J109" s="165"/>
      <c r="K109" s="165"/>
      <c r="L109" s="165"/>
      <c r="M109" s="160"/>
      <c r="N109" s="164"/>
      <c r="O109" s="165"/>
      <c r="P109" s="165"/>
      <c r="Q109" s="165"/>
      <c r="R109" s="165"/>
      <c r="S109" s="165"/>
      <c r="T109" s="165"/>
      <c r="U109" s="160"/>
      <c r="V109" s="165"/>
      <c r="W109" s="169"/>
      <c r="X109" s="164"/>
      <c r="Y109" s="165"/>
      <c r="Z109" s="165"/>
      <c r="AA109" s="165"/>
      <c r="AB109" s="165"/>
      <c r="AC109" s="165"/>
      <c r="AD109" s="165"/>
      <c r="AE109" s="160"/>
      <c r="AF109" s="164"/>
      <c r="AG109" s="165"/>
      <c r="AH109" s="182"/>
      <c r="AI109" s="175"/>
      <c r="AJ109" s="172"/>
      <c r="AK109" s="165"/>
      <c r="AL109" s="165"/>
      <c r="AM109" s="165"/>
      <c r="AN109" s="165"/>
      <c r="AO109" s="165"/>
      <c r="AP109" s="160"/>
      <c r="AQ109" s="164"/>
      <c r="AR109" s="165"/>
      <c r="AS109" s="165"/>
      <c r="AT109" s="165"/>
      <c r="AU109" s="165"/>
      <c r="AV109" s="165"/>
      <c r="AW109" s="165"/>
      <c r="AX109" s="160"/>
      <c r="AY109" s="164"/>
      <c r="AZ109" s="169"/>
      <c r="BA109" s="164"/>
      <c r="BB109" s="165"/>
      <c r="BC109" s="165"/>
      <c r="BD109" s="165"/>
      <c r="BE109" s="165"/>
      <c r="BF109" s="165"/>
      <c r="BG109" s="165"/>
      <c r="BH109" s="160"/>
      <c r="BI109" s="164"/>
      <c r="BJ109" s="165"/>
      <c r="BK109" s="182"/>
      <c r="BL109" s="165"/>
      <c r="BM109" s="165"/>
      <c r="BN109" s="175"/>
      <c r="BO109" s="172"/>
      <c r="BP109" s="165"/>
      <c r="BQ109" s="165"/>
      <c r="BR109" s="165"/>
      <c r="BS109" s="160"/>
      <c r="BT109" s="164"/>
      <c r="BU109" s="165"/>
      <c r="BV109" s="165"/>
      <c r="BW109" s="165"/>
      <c r="BX109" s="165"/>
      <c r="BY109" s="165"/>
      <c r="BZ109" s="165"/>
      <c r="CA109" s="160"/>
      <c r="CB109" s="164"/>
      <c r="CC109" s="169"/>
      <c r="CD109" s="164"/>
      <c r="CE109" s="165"/>
      <c r="CF109" s="165"/>
      <c r="CG109" s="165"/>
      <c r="CH109" s="165"/>
      <c r="CI109" s="165"/>
      <c r="CJ109" s="165"/>
      <c r="CK109" s="160"/>
      <c r="CL109" s="164"/>
      <c r="CM109" s="165"/>
      <c r="CN109" s="182"/>
      <c r="CO109" s="165"/>
      <c r="CP109" s="165"/>
      <c r="CQ109" s="165"/>
      <c r="CR109" s="165"/>
      <c r="CS109" s="175"/>
      <c r="CT109" s="172"/>
      <c r="CU109" s="165"/>
      <c r="CV109" s="160"/>
    </row>
    <row r="110" spans="1:100" x14ac:dyDescent="0.25">
      <c r="A110" s="178"/>
      <c r="B110" s="169"/>
      <c r="F110" s="164"/>
      <c r="G110" s="165"/>
      <c r="H110" s="165"/>
      <c r="I110" s="165"/>
      <c r="J110" s="165"/>
      <c r="K110" s="165"/>
      <c r="L110" s="165"/>
      <c r="M110" s="160"/>
      <c r="N110" s="164"/>
      <c r="O110" s="165"/>
      <c r="P110" s="165"/>
      <c r="Q110" s="165"/>
      <c r="R110" s="165"/>
      <c r="S110" s="165"/>
      <c r="T110" s="165"/>
      <c r="U110" s="160"/>
      <c r="V110" s="165"/>
      <c r="W110" s="169"/>
      <c r="X110" s="164"/>
      <c r="Y110" s="165"/>
      <c r="Z110" s="165"/>
      <c r="AA110" s="165"/>
      <c r="AB110" s="165"/>
      <c r="AC110" s="165"/>
      <c r="AD110" s="165"/>
      <c r="AE110" s="160"/>
      <c r="AF110" s="164"/>
      <c r="AG110" s="165"/>
      <c r="AH110" s="182"/>
      <c r="AI110" s="175"/>
      <c r="AJ110" s="172"/>
      <c r="AK110" s="165"/>
      <c r="AL110" s="165"/>
      <c r="AM110" s="165"/>
      <c r="AN110" s="165"/>
      <c r="AO110" s="165"/>
      <c r="AP110" s="160"/>
      <c r="AQ110" s="164"/>
      <c r="AR110" s="165"/>
      <c r="AS110" s="165"/>
      <c r="AT110" s="165"/>
      <c r="AU110" s="165"/>
      <c r="AV110" s="165"/>
      <c r="AW110" s="165"/>
      <c r="AX110" s="160"/>
      <c r="AY110" s="164"/>
      <c r="AZ110" s="169"/>
      <c r="BA110" s="164"/>
      <c r="BB110" s="165"/>
      <c r="BC110" s="165"/>
      <c r="BD110" s="165"/>
      <c r="BE110" s="165"/>
      <c r="BF110" s="165"/>
      <c r="BG110" s="165"/>
      <c r="BH110" s="160"/>
      <c r="BI110" s="164"/>
      <c r="BJ110" s="165"/>
      <c r="BK110" s="182"/>
      <c r="BL110" s="165"/>
      <c r="BM110" s="165"/>
      <c r="BN110" s="175"/>
      <c r="BO110" s="172"/>
      <c r="BP110" s="165"/>
      <c r="BQ110" s="165"/>
      <c r="BR110" s="165"/>
      <c r="BS110" s="160"/>
      <c r="BT110" s="164"/>
      <c r="BU110" s="165"/>
      <c r="BV110" s="165"/>
      <c r="BW110" s="165"/>
      <c r="BX110" s="165"/>
      <c r="BY110" s="165"/>
      <c r="BZ110" s="165"/>
      <c r="CA110" s="160"/>
      <c r="CB110" s="164"/>
      <c r="CC110" s="169"/>
      <c r="CD110" s="164"/>
      <c r="CE110" s="165"/>
      <c r="CF110" s="165"/>
      <c r="CG110" s="165"/>
      <c r="CH110" s="165"/>
      <c r="CI110" s="165"/>
      <c r="CJ110" s="165"/>
      <c r="CK110" s="160"/>
      <c r="CL110" s="164"/>
      <c r="CM110" s="165"/>
      <c r="CN110" s="182"/>
      <c r="CO110" s="165"/>
      <c r="CP110" s="165"/>
      <c r="CQ110" s="165"/>
      <c r="CR110" s="165"/>
      <c r="CS110" s="175"/>
      <c r="CT110" s="172"/>
      <c r="CU110" s="165"/>
      <c r="CV110" s="160"/>
    </row>
    <row r="111" spans="1:100" x14ac:dyDescent="0.25">
      <c r="A111" s="178"/>
      <c r="B111" s="169"/>
      <c r="F111" s="164"/>
      <c r="G111" s="165"/>
      <c r="H111" s="165"/>
      <c r="I111" s="165"/>
      <c r="J111" s="165"/>
      <c r="K111" s="165"/>
      <c r="L111" s="165"/>
      <c r="M111" s="160"/>
      <c r="N111" s="164"/>
      <c r="O111" s="165"/>
      <c r="P111" s="165"/>
      <c r="Q111" s="165"/>
      <c r="R111" s="165"/>
      <c r="S111" s="165"/>
      <c r="T111" s="165"/>
      <c r="U111" s="160"/>
      <c r="V111" s="165"/>
      <c r="W111" s="169"/>
      <c r="X111" s="164"/>
      <c r="Y111" s="165"/>
      <c r="Z111" s="165"/>
      <c r="AA111" s="165"/>
      <c r="AB111" s="165"/>
      <c r="AC111" s="165"/>
      <c r="AD111" s="165"/>
      <c r="AE111" s="160"/>
      <c r="AF111" s="164"/>
      <c r="AG111" s="165"/>
      <c r="AH111" s="182"/>
      <c r="AI111" s="175"/>
      <c r="AJ111" s="172"/>
      <c r="AK111" s="165"/>
      <c r="AL111" s="165"/>
      <c r="AM111" s="165"/>
      <c r="AN111" s="165"/>
      <c r="AO111" s="165"/>
      <c r="AP111" s="160"/>
      <c r="AQ111" s="164"/>
      <c r="AR111" s="165"/>
      <c r="AS111" s="165"/>
      <c r="AT111" s="165"/>
      <c r="AU111" s="165"/>
      <c r="AV111" s="165"/>
      <c r="AW111" s="165"/>
      <c r="AX111" s="160"/>
      <c r="AY111" s="164"/>
      <c r="AZ111" s="169"/>
      <c r="BA111" s="164"/>
      <c r="BB111" s="165"/>
      <c r="BC111" s="165"/>
      <c r="BD111" s="165"/>
      <c r="BE111" s="165"/>
      <c r="BF111" s="165"/>
      <c r="BG111" s="165"/>
      <c r="BH111" s="160"/>
      <c r="BI111" s="164"/>
      <c r="BJ111" s="165"/>
      <c r="BK111" s="182"/>
      <c r="BL111" s="165"/>
      <c r="BM111" s="165"/>
      <c r="BN111" s="175"/>
      <c r="BO111" s="172"/>
      <c r="BP111" s="165"/>
      <c r="BQ111" s="165"/>
      <c r="BR111" s="165"/>
      <c r="BS111" s="160"/>
      <c r="BT111" s="164"/>
      <c r="BU111" s="165"/>
      <c r="BV111" s="165"/>
      <c r="BW111" s="165"/>
      <c r="BX111" s="165"/>
      <c r="BY111" s="165"/>
      <c r="BZ111" s="165"/>
      <c r="CA111" s="160"/>
      <c r="CB111" s="164"/>
      <c r="CC111" s="169"/>
      <c r="CD111" s="164"/>
      <c r="CE111" s="165"/>
      <c r="CF111" s="165"/>
      <c r="CG111" s="165"/>
      <c r="CH111" s="165"/>
      <c r="CI111" s="165"/>
      <c r="CJ111" s="165"/>
      <c r="CK111" s="160"/>
      <c r="CL111" s="164"/>
      <c r="CM111" s="165"/>
      <c r="CN111" s="182"/>
      <c r="CO111" s="165"/>
      <c r="CP111" s="165"/>
      <c r="CQ111" s="165"/>
      <c r="CR111" s="165"/>
      <c r="CS111" s="175"/>
      <c r="CT111" s="172"/>
      <c r="CU111" s="165"/>
      <c r="CV111" s="160"/>
    </row>
    <row r="112" spans="1:100" x14ac:dyDescent="0.25">
      <c r="A112" s="178"/>
      <c r="B112" s="169"/>
      <c r="F112" s="164"/>
      <c r="G112" s="165"/>
      <c r="H112" s="165"/>
      <c r="I112" s="165"/>
      <c r="J112" s="165"/>
      <c r="K112" s="165"/>
      <c r="L112" s="165"/>
      <c r="M112" s="160"/>
      <c r="N112" s="164"/>
      <c r="O112" s="165"/>
      <c r="P112" s="165"/>
      <c r="Q112" s="165"/>
      <c r="R112" s="165"/>
      <c r="S112" s="165"/>
      <c r="T112" s="165"/>
      <c r="U112" s="160"/>
      <c r="V112" s="165"/>
      <c r="W112" s="169"/>
      <c r="X112" s="164"/>
      <c r="Y112" s="165"/>
      <c r="Z112" s="165"/>
      <c r="AA112" s="165"/>
      <c r="AB112" s="165"/>
      <c r="AC112" s="165"/>
      <c r="AD112" s="165"/>
      <c r="AE112" s="160"/>
      <c r="AF112" s="164"/>
      <c r="AG112" s="165"/>
      <c r="AH112" s="182"/>
      <c r="AI112" s="175"/>
      <c r="AJ112" s="172"/>
      <c r="AK112" s="165"/>
      <c r="AL112" s="165"/>
      <c r="AM112" s="165"/>
      <c r="AN112" s="165"/>
      <c r="AO112" s="165"/>
      <c r="AP112" s="160"/>
      <c r="AQ112" s="164"/>
      <c r="AR112" s="165"/>
      <c r="AS112" s="165"/>
      <c r="AT112" s="165"/>
      <c r="AU112" s="165"/>
      <c r="AV112" s="165"/>
      <c r="AW112" s="165"/>
      <c r="AX112" s="160"/>
      <c r="AY112" s="164"/>
      <c r="AZ112" s="169"/>
      <c r="BA112" s="164"/>
      <c r="BB112" s="165"/>
      <c r="BC112" s="165"/>
      <c r="BD112" s="165"/>
      <c r="BE112" s="165"/>
      <c r="BF112" s="165"/>
      <c r="BG112" s="165"/>
      <c r="BH112" s="160"/>
      <c r="BI112" s="164"/>
      <c r="BJ112" s="165"/>
      <c r="BK112" s="182"/>
      <c r="BL112" s="165"/>
      <c r="BM112" s="165"/>
      <c r="BN112" s="175"/>
      <c r="BO112" s="172"/>
      <c r="BP112" s="165"/>
      <c r="BQ112" s="165"/>
      <c r="BR112" s="165"/>
      <c r="BS112" s="160"/>
      <c r="BT112" s="164"/>
      <c r="BU112" s="165"/>
      <c r="BV112" s="165"/>
      <c r="BW112" s="165"/>
      <c r="BX112" s="165"/>
      <c r="BY112" s="165"/>
      <c r="BZ112" s="165"/>
      <c r="CA112" s="160"/>
      <c r="CB112" s="164"/>
      <c r="CC112" s="169"/>
      <c r="CD112" s="164"/>
      <c r="CE112" s="165"/>
      <c r="CF112" s="165"/>
      <c r="CG112" s="165"/>
      <c r="CH112" s="165"/>
      <c r="CI112" s="165"/>
      <c r="CJ112" s="165"/>
      <c r="CK112" s="160"/>
      <c r="CL112" s="164"/>
      <c r="CM112" s="165"/>
      <c r="CN112" s="182"/>
      <c r="CO112" s="165"/>
      <c r="CP112" s="165"/>
      <c r="CQ112" s="165"/>
      <c r="CR112" s="165"/>
      <c r="CS112" s="175"/>
      <c r="CT112" s="172"/>
      <c r="CU112" s="165"/>
      <c r="CV112" s="160"/>
    </row>
    <row r="113" spans="1:100" x14ac:dyDescent="0.25">
      <c r="A113" s="178"/>
      <c r="B113" s="169"/>
      <c r="F113" s="164"/>
      <c r="G113" s="165"/>
      <c r="H113" s="165"/>
      <c r="I113" s="165"/>
      <c r="J113" s="165"/>
      <c r="K113" s="165"/>
      <c r="L113" s="165"/>
      <c r="M113" s="160"/>
      <c r="N113" s="164"/>
      <c r="O113" s="165"/>
      <c r="P113" s="165"/>
      <c r="Q113" s="165"/>
      <c r="R113" s="165"/>
      <c r="S113" s="165"/>
      <c r="T113" s="165"/>
      <c r="U113" s="160"/>
      <c r="V113" s="165"/>
      <c r="W113" s="169"/>
      <c r="X113" s="164"/>
      <c r="Y113" s="165"/>
      <c r="Z113" s="165"/>
      <c r="AA113" s="165"/>
      <c r="AB113" s="165"/>
      <c r="AC113" s="165"/>
      <c r="AD113" s="165"/>
      <c r="AE113" s="160"/>
      <c r="AF113" s="164"/>
      <c r="AG113" s="165"/>
      <c r="AH113" s="182"/>
      <c r="AI113" s="175"/>
      <c r="AJ113" s="172"/>
      <c r="AK113" s="165"/>
      <c r="AL113" s="165"/>
      <c r="AM113" s="165"/>
      <c r="AN113" s="165"/>
      <c r="AO113" s="165"/>
      <c r="AP113" s="160"/>
      <c r="AQ113" s="164"/>
      <c r="AR113" s="165"/>
      <c r="AS113" s="165"/>
      <c r="AT113" s="165"/>
      <c r="AU113" s="165"/>
      <c r="AV113" s="165"/>
      <c r="AW113" s="165"/>
      <c r="AX113" s="160"/>
      <c r="AY113" s="164"/>
      <c r="AZ113" s="169"/>
      <c r="BA113" s="164"/>
      <c r="BB113" s="165"/>
      <c r="BC113" s="165"/>
      <c r="BD113" s="165"/>
      <c r="BE113" s="165"/>
      <c r="BF113" s="165"/>
      <c r="BG113" s="165"/>
      <c r="BH113" s="160"/>
      <c r="BI113" s="164"/>
      <c r="BJ113" s="165"/>
      <c r="BK113" s="182"/>
      <c r="BL113" s="165"/>
      <c r="BM113" s="165"/>
      <c r="BN113" s="175"/>
      <c r="BO113" s="172"/>
      <c r="BP113" s="165"/>
      <c r="BQ113" s="165"/>
      <c r="BR113" s="165"/>
      <c r="BS113" s="160"/>
      <c r="BT113" s="164"/>
      <c r="BU113" s="165"/>
      <c r="BV113" s="165"/>
      <c r="BW113" s="165"/>
      <c r="BX113" s="165"/>
      <c r="BY113" s="165"/>
      <c r="BZ113" s="165"/>
      <c r="CA113" s="160"/>
      <c r="CB113" s="164"/>
      <c r="CC113" s="169"/>
      <c r="CD113" s="164"/>
      <c r="CE113" s="165"/>
      <c r="CF113" s="165"/>
      <c r="CG113" s="165"/>
      <c r="CH113" s="165"/>
      <c r="CI113" s="165"/>
      <c r="CJ113" s="165"/>
      <c r="CK113" s="160"/>
      <c r="CL113" s="164"/>
      <c r="CM113" s="165"/>
      <c r="CN113" s="182"/>
      <c r="CO113" s="165"/>
      <c r="CP113" s="165"/>
      <c r="CQ113" s="165"/>
      <c r="CR113" s="165"/>
      <c r="CS113" s="175"/>
      <c r="CT113" s="172"/>
      <c r="CU113" s="165"/>
      <c r="CV113" s="160"/>
    </row>
    <row r="114" spans="1:100" x14ac:dyDescent="0.25">
      <c r="A114" s="178"/>
      <c r="B114" s="169"/>
      <c r="F114" s="164"/>
      <c r="G114" s="165"/>
      <c r="H114" s="165"/>
      <c r="I114" s="165"/>
      <c r="J114" s="165"/>
      <c r="K114" s="165"/>
      <c r="L114" s="165"/>
      <c r="M114" s="160"/>
      <c r="N114" s="164"/>
      <c r="O114" s="165"/>
      <c r="P114" s="165"/>
      <c r="Q114" s="165"/>
      <c r="R114" s="165"/>
      <c r="S114" s="165"/>
      <c r="T114" s="165"/>
      <c r="U114" s="160"/>
      <c r="V114" s="165"/>
      <c r="W114" s="169"/>
      <c r="X114" s="164"/>
      <c r="Y114" s="165"/>
      <c r="Z114" s="165"/>
      <c r="AA114" s="165"/>
      <c r="AB114" s="165"/>
      <c r="AC114" s="165"/>
      <c r="AD114" s="165"/>
      <c r="AE114" s="160"/>
      <c r="AF114" s="164"/>
      <c r="AG114" s="165"/>
      <c r="AH114" s="182"/>
      <c r="AI114" s="175"/>
      <c r="AJ114" s="172"/>
      <c r="AK114" s="165"/>
      <c r="AL114" s="165"/>
      <c r="AM114" s="165"/>
      <c r="AN114" s="165"/>
      <c r="AO114" s="165"/>
      <c r="AP114" s="160"/>
      <c r="AQ114" s="164"/>
      <c r="AR114" s="165"/>
      <c r="AS114" s="165"/>
      <c r="AT114" s="165"/>
      <c r="AU114" s="165"/>
      <c r="AV114" s="165"/>
      <c r="AW114" s="165"/>
      <c r="AX114" s="160"/>
      <c r="AY114" s="164"/>
      <c r="AZ114" s="169"/>
      <c r="BA114" s="164"/>
      <c r="BB114" s="165"/>
      <c r="BC114" s="165"/>
      <c r="BD114" s="165"/>
      <c r="BE114" s="165"/>
      <c r="BF114" s="165"/>
      <c r="BG114" s="165"/>
      <c r="BH114" s="160"/>
      <c r="BI114" s="164"/>
      <c r="BJ114" s="165"/>
      <c r="BK114" s="182"/>
      <c r="BL114" s="165"/>
      <c r="BM114" s="165"/>
      <c r="BN114" s="175"/>
      <c r="BO114" s="172"/>
      <c r="BP114" s="165"/>
      <c r="BQ114" s="165"/>
      <c r="BR114" s="165"/>
      <c r="BS114" s="160"/>
      <c r="BT114" s="164"/>
      <c r="BU114" s="165"/>
      <c r="BV114" s="165"/>
      <c r="BW114" s="165"/>
      <c r="BX114" s="165"/>
      <c r="BY114" s="165"/>
      <c r="BZ114" s="165"/>
      <c r="CA114" s="160"/>
      <c r="CB114" s="164"/>
      <c r="CC114" s="169"/>
      <c r="CD114" s="164"/>
      <c r="CE114" s="165"/>
      <c r="CF114" s="165"/>
      <c r="CG114" s="165"/>
      <c r="CH114" s="165"/>
      <c r="CI114" s="165"/>
      <c r="CJ114" s="165"/>
      <c r="CK114" s="160"/>
      <c r="CL114" s="164"/>
      <c r="CM114" s="165"/>
      <c r="CN114" s="182"/>
      <c r="CO114" s="165"/>
      <c r="CP114" s="165"/>
      <c r="CQ114" s="165"/>
      <c r="CR114" s="165"/>
      <c r="CS114" s="175"/>
      <c r="CT114" s="172"/>
      <c r="CU114" s="165"/>
      <c r="CV114" s="160"/>
    </row>
    <row r="115" spans="1:100" x14ac:dyDescent="0.25">
      <c r="A115" s="178"/>
      <c r="B115" s="169"/>
      <c r="F115" s="164"/>
      <c r="G115" s="165"/>
      <c r="H115" s="165"/>
      <c r="I115" s="165"/>
      <c r="J115" s="165"/>
      <c r="K115" s="165"/>
      <c r="L115" s="165"/>
      <c r="M115" s="160"/>
      <c r="N115" s="164"/>
      <c r="O115" s="165"/>
      <c r="P115" s="165"/>
      <c r="Q115" s="165"/>
      <c r="R115" s="165"/>
      <c r="S115" s="165"/>
      <c r="T115" s="165"/>
      <c r="U115" s="160"/>
      <c r="V115" s="165"/>
      <c r="W115" s="169"/>
      <c r="X115" s="164"/>
      <c r="Y115" s="165"/>
      <c r="Z115" s="165"/>
      <c r="AA115" s="165"/>
      <c r="AB115" s="165"/>
      <c r="AC115" s="165"/>
      <c r="AD115" s="165"/>
      <c r="AE115" s="160"/>
      <c r="AF115" s="164"/>
      <c r="AG115" s="165"/>
      <c r="AH115" s="182"/>
      <c r="AI115" s="175"/>
      <c r="AJ115" s="172"/>
      <c r="AK115" s="165"/>
      <c r="AL115" s="165"/>
      <c r="AM115" s="165"/>
      <c r="AN115" s="165"/>
      <c r="AO115" s="165"/>
      <c r="AP115" s="160"/>
      <c r="AQ115" s="164"/>
      <c r="AR115" s="165"/>
      <c r="AS115" s="165"/>
      <c r="AT115" s="165"/>
      <c r="AU115" s="165"/>
      <c r="AV115" s="165"/>
      <c r="AW115" s="165"/>
      <c r="AX115" s="160"/>
      <c r="AY115" s="164"/>
      <c r="AZ115" s="169"/>
      <c r="BA115" s="164"/>
      <c r="BB115" s="165"/>
      <c r="BC115" s="165"/>
      <c r="BD115" s="165"/>
      <c r="BE115" s="165"/>
      <c r="BF115" s="165"/>
      <c r="BG115" s="165"/>
      <c r="BH115" s="160"/>
      <c r="BI115" s="164"/>
      <c r="BJ115" s="165"/>
      <c r="BK115" s="182"/>
      <c r="BL115" s="165"/>
      <c r="BM115" s="165"/>
      <c r="BN115" s="175"/>
      <c r="BO115" s="172"/>
      <c r="BP115" s="165"/>
      <c r="BQ115" s="165"/>
      <c r="BR115" s="165"/>
      <c r="BS115" s="160"/>
      <c r="BT115" s="164"/>
      <c r="BU115" s="165"/>
      <c r="BV115" s="165"/>
      <c r="BW115" s="165"/>
      <c r="BX115" s="165"/>
      <c r="BY115" s="165"/>
      <c r="BZ115" s="165"/>
      <c r="CA115" s="160"/>
      <c r="CB115" s="164"/>
      <c r="CC115" s="169"/>
      <c r="CD115" s="164"/>
      <c r="CE115" s="165"/>
      <c r="CF115" s="165"/>
      <c r="CG115" s="165"/>
      <c r="CH115" s="165"/>
      <c r="CI115" s="165"/>
      <c r="CJ115" s="165"/>
      <c r="CK115" s="160"/>
      <c r="CL115" s="164"/>
      <c r="CM115" s="165"/>
      <c r="CN115" s="182"/>
      <c r="CO115" s="165"/>
      <c r="CP115" s="165"/>
      <c r="CQ115" s="165"/>
      <c r="CR115" s="165"/>
      <c r="CS115" s="175"/>
      <c r="CT115" s="172"/>
      <c r="CU115" s="165"/>
      <c r="CV115" s="160"/>
    </row>
    <row r="116" spans="1:100" x14ac:dyDescent="0.25">
      <c r="A116" s="178"/>
      <c r="B116" s="169"/>
      <c r="F116" s="164"/>
      <c r="G116" s="165"/>
      <c r="H116" s="165"/>
      <c r="I116" s="165"/>
      <c r="J116" s="165"/>
      <c r="K116" s="165"/>
      <c r="L116" s="165"/>
      <c r="M116" s="160"/>
      <c r="N116" s="164"/>
      <c r="O116" s="165"/>
      <c r="P116" s="165"/>
      <c r="Q116" s="165"/>
      <c r="R116" s="165"/>
      <c r="S116" s="165"/>
      <c r="T116" s="165"/>
      <c r="U116" s="160"/>
      <c r="V116" s="165"/>
      <c r="W116" s="169"/>
      <c r="X116" s="164"/>
      <c r="Y116" s="165"/>
      <c r="Z116" s="165"/>
      <c r="AA116" s="165"/>
      <c r="AB116" s="165"/>
      <c r="AC116" s="165"/>
      <c r="AD116" s="165"/>
      <c r="AE116" s="160"/>
      <c r="AF116" s="164"/>
      <c r="AG116" s="165"/>
      <c r="AH116" s="182"/>
      <c r="AI116" s="175"/>
      <c r="AJ116" s="172"/>
      <c r="AK116" s="165"/>
      <c r="AL116" s="165"/>
      <c r="AM116" s="165"/>
      <c r="AN116" s="165"/>
      <c r="AO116" s="165"/>
      <c r="AP116" s="160"/>
      <c r="AQ116" s="164"/>
      <c r="AR116" s="165"/>
      <c r="AS116" s="165"/>
      <c r="AT116" s="165"/>
      <c r="AU116" s="165"/>
      <c r="AV116" s="165"/>
      <c r="AW116" s="165"/>
      <c r="AX116" s="160"/>
      <c r="AY116" s="164"/>
      <c r="AZ116" s="169"/>
      <c r="BA116" s="164"/>
      <c r="BB116" s="165"/>
      <c r="BC116" s="165"/>
      <c r="BD116" s="165"/>
      <c r="BE116" s="165"/>
      <c r="BF116" s="165"/>
      <c r="BG116" s="165"/>
      <c r="BH116" s="160"/>
      <c r="BI116" s="164"/>
      <c r="BJ116" s="165"/>
      <c r="BK116" s="182"/>
      <c r="BL116" s="165"/>
      <c r="BM116" s="165"/>
      <c r="BN116" s="175"/>
      <c r="BO116" s="172"/>
      <c r="BP116" s="165"/>
      <c r="BQ116" s="165"/>
      <c r="BR116" s="165"/>
      <c r="BS116" s="160"/>
      <c r="BT116" s="164"/>
      <c r="BU116" s="165"/>
      <c r="BV116" s="165"/>
      <c r="BW116" s="165"/>
      <c r="BX116" s="165"/>
      <c r="BY116" s="165"/>
      <c r="BZ116" s="165"/>
      <c r="CA116" s="160"/>
      <c r="CB116" s="164"/>
      <c r="CC116" s="169"/>
      <c r="CD116" s="164"/>
      <c r="CE116" s="165"/>
      <c r="CF116" s="165"/>
      <c r="CG116" s="165"/>
      <c r="CH116" s="165"/>
      <c r="CI116" s="165"/>
      <c r="CJ116" s="165"/>
      <c r="CK116" s="160"/>
      <c r="CL116" s="164"/>
      <c r="CM116" s="165"/>
      <c r="CN116" s="182"/>
      <c r="CO116" s="165"/>
      <c r="CP116" s="165"/>
      <c r="CQ116" s="165"/>
      <c r="CR116" s="165"/>
      <c r="CS116" s="175"/>
      <c r="CT116" s="172"/>
      <c r="CU116" s="165"/>
      <c r="CV116" s="160"/>
    </row>
    <row r="117" spans="1:100" x14ac:dyDescent="0.25">
      <c r="A117" s="178"/>
      <c r="B117" s="169"/>
      <c r="F117" s="164"/>
      <c r="G117" s="165"/>
      <c r="H117" s="165"/>
      <c r="I117" s="165"/>
      <c r="J117" s="165"/>
      <c r="K117" s="165"/>
      <c r="L117" s="165"/>
      <c r="M117" s="160"/>
      <c r="N117" s="164"/>
      <c r="O117" s="165"/>
      <c r="P117" s="165"/>
      <c r="Q117" s="165"/>
      <c r="R117" s="165"/>
      <c r="S117" s="165"/>
      <c r="T117" s="165"/>
      <c r="U117" s="160"/>
      <c r="V117" s="165"/>
      <c r="W117" s="169"/>
      <c r="X117" s="164"/>
      <c r="Y117" s="165"/>
      <c r="Z117" s="165"/>
      <c r="AA117" s="165"/>
      <c r="AB117" s="165"/>
      <c r="AC117" s="165"/>
      <c r="AD117" s="165"/>
      <c r="AE117" s="160"/>
      <c r="AF117" s="164"/>
      <c r="AG117" s="165"/>
      <c r="AH117" s="182"/>
      <c r="AI117" s="175"/>
      <c r="AJ117" s="172"/>
      <c r="AK117" s="165"/>
      <c r="AL117" s="165"/>
      <c r="AM117" s="165"/>
      <c r="AN117" s="165"/>
      <c r="AO117" s="165"/>
      <c r="AP117" s="160"/>
      <c r="AQ117" s="164"/>
      <c r="AR117" s="165"/>
      <c r="AS117" s="165"/>
      <c r="AT117" s="165"/>
      <c r="AU117" s="165"/>
      <c r="AV117" s="165"/>
      <c r="AW117" s="165"/>
      <c r="AX117" s="160"/>
      <c r="AY117" s="164"/>
      <c r="AZ117" s="169"/>
      <c r="BA117" s="164"/>
      <c r="BB117" s="165"/>
      <c r="BC117" s="165"/>
      <c r="BD117" s="165"/>
      <c r="BE117" s="165"/>
      <c r="BF117" s="165"/>
      <c r="BG117" s="165"/>
      <c r="BH117" s="160"/>
      <c r="BI117" s="164"/>
      <c r="BJ117" s="165"/>
      <c r="BK117" s="182"/>
      <c r="BL117" s="165"/>
      <c r="BM117" s="165"/>
      <c r="BN117" s="175"/>
      <c r="BO117" s="172"/>
      <c r="BP117" s="165"/>
      <c r="BQ117" s="165"/>
      <c r="BR117" s="165"/>
      <c r="BS117" s="160"/>
      <c r="BT117" s="164"/>
      <c r="BU117" s="165"/>
      <c r="BV117" s="165"/>
      <c r="BW117" s="165"/>
      <c r="BX117" s="165"/>
      <c r="BY117" s="165"/>
      <c r="BZ117" s="165"/>
      <c r="CA117" s="160"/>
      <c r="CB117" s="164"/>
      <c r="CC117" s="169"/>
      <c r="CD117" s="164"/>
      <c r="CE117" s="165"/>
      <c r="CF117" s="165"/>
      <c r="CG117" s="165"/>
      <c r="CH117" s="165"/>
      <c r="CI117" s="165"/>
      <c r="CJ117" s="165"/>
      <c r="CK117" s="160"/>
      <c r="CL117" s="164"/>
      <c r="CM117" s="165"/>
      <c r="CN117" s="182"/>
      <c r="CO117" s="165"/>
      <c r="CP117" s="165"/>
      <c r="CQ117" s="165"/>
      <c r="CR117" s="165"/>
      <c r="CS117" s="175"/>
      <c r="CT117" s="172"/>
      <c r="CU117" s="165"/>
      <c r="CV117" s="160"/>
    </row>
    <row r="118" spans="1:100" x14ac:dyDescent="0.25">
      <c r="A118" s="178"/>
      <c r="B118" s="169"/>
      <c r="F118" s="164"/>
      <c r="G118" s="165"/>
      <c r="H118" s="165"/>
      <c r="I118" s="165"/>
      <c r="J118" s="165"/>
      <c r="K118" s="165"/>
      <c r="L118" s="165"/>
      <c r="M118" s="160"/>
      <c r="N118" s="164"/>
      <c r="O118" s="165"/>
      <c r="P118" s="165"/>
      <c r="Q118" s="165"/>
      <c r="R118" s="165"/>
      <c r="S118" s="165"/>
      <c r="T118" s="165"/>
      <c r="U118" s="160"/>
      <c r="V118" s="165"/>
      <c r="W118" s="169"/>
      <c r="X118" s="164"/>
      <c r="Y118" s="165"/>
      <c r="Z118" s="165"/>
      <c r="AA118" s="165"/>
      <c r="AB118" s="165"/>
      <c r="AC118" s="165"/>
      <c r="AD118" s="165"/>
      <c r="AE118" s="160"/>
      <c r="AF118" s="164"/>
      <c r="AG118" s="165"/>
      <c r="AH118" s="182"/>
      <c r="AI118" s="175"/>
      <c r="AJ118" s="172"/>
      <c r="AK118" s="165"/>
      <c r="AL118" s="165"/>
      <c r="AM118" s="165"/>
      <c r="AN118" s="165"/>
      <c r="AO118" s="165"/>
      <c r="AP118" s="160"/>
      <c r="AQ118" s="164"/>
      <c r="AR118" s="165"/>
      <c r="AS118" s="165"/>
      <c r="AT118" s="165"/>
      <c r="AU118" s="165"/>
      <c r="AV118" s="165"/>
      <c r="AW118" s="165"/>
      <c r="AX118" s="160"/>
      <c r="AY118" s="164"/>
      <c r="AZ118" s="169"/>
      <c r="BA118" s="164"/>
      <c r="BB118" s="165"/>
      <c r="BC118" s="165"/>
      <c r="BD118" s="165"/>
      <c r="BE118" s="165"/>
      <c r="BF118" s="165"/>
      <c r="BG118" s="165"/>
      <c r="BH118" s="160"/>
      <c r="BI118" s="164"/>
      <c r="BJ118" s="165"/>
      <c r="BK118" s="182"/>
      <c r="BL118" s="165"/>
      <c r="BM118" s="165"/>
      <c r="BN118" s="175"/>
      <c r="BO118" s="172"/>
      <c r="BP118" s="165"/>
      <c r="BQ118" s="165"/>
      <c r="BR118" s="165"/>
      <c r="BS118" s="160"/>
      <c r="BT118" s="164"/>
      <c r="BU118" s="165"/>
      <c r="BV118" s="165"/>
      <c r="BW118" s="165"/>
      <c r="BX118" s="165"/>
      <c r="BY118" s="165"/>
      <c r="BZ118" s="165"/>
      <c r="CA118" s="160"/>
      <c r="CB118" s="164"/>
      <c r="CC118" s="169"/>
      <c r="CD118" s="164"/>
      <c r="CE118" s="165"/>
      <c r="CF118" s="165"/>
      <c r="CG118" s="165"/>
      <c r="CH118" s="165"/>
      <c r="CI118" s="165"/>
      <c r="CJ118" s="165"/>
      <c r="CK118" s="160"/>
      <c r="CL118" s="164"/>
      <c r="CM118" s="165"/>
      <c r="CN118" s="182"/>
      <c r="CO118" s="165"/>
      <c r="CP118" s="165"/>
      <c r="CQ118" s="165"/>
      <c r="CR118" s="165"/>
      <c r="CS118" s="175"/>
      <c r="CT118" s="172"/>
      <c r="CU118" s="165"/>
      <c r="CV118" s="160"/>
    </row>
    <row r="119" spans="1:100" x14ac:dyDescent="0.25">
      <c r="A119" s="178"/>
      <c r="B119" s="169"/>
      <c r="F119" s="164"/>
      <c r="G119" s="165"/>
      <c r="H119" s="165"/>
      <c r="I119" s="165"/>
      <c r="J119" s="165"/>
      <c r="K119" s="165"/>
      <c r="L119" s="165"/>
      <c r="M119" s="160"/>
      <c r="N119" s="164"/>
      <c r="O119" s="165"/>
      <c r="P119" s="165"/>
      <c r="Q119" s="165"/>
      <c r="R119" s="165"/>
      <c r="S119" s="165"/>
      <c r="T119" s="165"/>
      <c r="U119" s="160"/>
      <c r="V119" s="165"/>
      <c r="W119" s="169"/>
      <c r="X119" s="164"/>
      <c r="Y119" s="165"/>
      <c r="Z119" s="165"/>
      <c r="AA119" s="165"/>
      <c r="AB119" s="165"/>
      <c r="AC119" s="165"/>
      <c r="AD119" s="165"/>
      <c r="AE119" s="160"/>
      <c r="AF119" s="164"/>
      <c r="AG119" s="165"/>
      <c r="AH119" s="182"/>
      <c r="AI119" s="175"/>
      <c r="AJ119" s="172"/>
      <c r="AK119" s="165"/>
      <c r="AL119" s="165"/>
      <c r="AM119" s="165"/>
      <c r="AN119" s="165"/>
      <c r="AO119" s="165"/>
      <c r="AP119" s="160"/>
      <c r="AQ119" s="164"/>
      <c r="AR119" s="165"/>
      <c r="AS119" s="165"/>
      <c r="AT119" s="165"/>
      <c r="AU119" s="165"/>
      <c r="AV119" s="165"/>
      <c r="AW119" s="165"/>
      <c r="AX119" s="160"/>
      <c r="AY119" s="164"/>
      <c r="AZ119" s="169"/>
      <c r="BA119" s="164"/>
      <c r="BB119" s="165"/>
      <c r="BC119" s="165"/>
      <c r="BD119" s="165"/>
      <c r="BE119" s="165"/>
      <c r="BF119" s="165"/>
      <c r="BG119" s="165"/>
      <c r="BH119" s="160"/>
      <c r="BI119" s="164"/>
      <c r="BJ119" s="165"/>
      <c r="BK119" s="182"/>
      <c r="BL119" s="165"/>
      <c r="BM119" s="165"/>
      <c r="BN119" s="175"/>
      <c r="BO119" s="172"/>
      <c r="BP119" s="165"/>
      <c r="BQ119" s="165"/>
      <c r="BR119" s="165"/>
      <c r="BS119" s="160"/>
      <c r="BT119" s="164"/>
      <c r="BU119" s="165"/>
      <c r="BV119" s="165"/>
      <c r="BW119" s="165"/>
      <c r="BX119" s="165"/>
      <c r="BY119" s="165"/>
      <c r="BZ119" s="165"/>
      <c r="CA119" s="160"/>
      <c r="CB119" s="164"/>
      <c r="CC119" s="169"/>
      <c r="CD119" s="164"/>
      <c r="CE119" s="165"/>
      <c r="CF119" s="165"/>
      <c r="CG119" s="165"/>
      <c r="CH119" s="165"/>
      <c r="CI119" s="165"/>
      <c r="CJ119" s="165"/>
      <c r="CK119" s="160"/>
      <c r="CL119" s="164"/>
      <c r="CM119" s="165"/>
      <c r="CN119" s="182"/>
      <c r="CO119" s="165"/>
      <c r="CP119" s="165"/>
      <c r="CQ119" s="165"/>
      <c r="CR119" s="165"/>
      <c r="CS119" s="175"/>
      <c r="CT119" s="172"/>
      <c r="CU119" s="165"/>
      <c r="CV119" s="160"/>
    </row>
    <row r="120" spans="1:100" x14ac:dyDescent="0.25">
      <c r="A120" s="178"/>
      <c r="B120" s="169"/>
      <c r="F120" s="164"/>
      <c r="G120" s="165"/>
      <c r="H120" s="165"/>
      <c r="I120" s="165"/>
      <c r="J120" s="165"/>
      <c r="K120" s="165"/>
      <c r="L120" s="165"/>
      <c r="M120" s="160"/>
      <c r="N120" s="164"/>
      <c r="O120" s="165"/>
      <c r="P120" s="165"/>
      <c r="Q120" s="165"/>
      <c r="R120" s="165"/>
      <c r="S120" s="165"/>
      <c r="T120" s="165"/>
      <c r="U120" s="160"/>
      <c r="V120" s="165"/>
      <c r="W120" s="169"/>
      <c r="X120" s="164"/>
      <c r="Y120" s="165"/>
      <c r="Z120" s="165"/>
      <c r="AA120" s="165"/>
      <c r="AB120" s="165"/>
      <c r="AC120" s="165"/>
      <c r="AD120" s="165"/>
      <c r="AE120" s="160"/>
      <c r="AF120" s="164"/>
      <c r="AG120" s="165"/>
      <c r="AH120" s="182"/>
      <c r="AI120" s="175"/>
      <c r="AJ120" s="172"/>
      <c r="AK120" s="165"/>
      <c r="AL120" s="165"/>
      <c r="AM120" s="165"/>
      <c r="AN120" s="165"/>
      <c r="AO120" s="165"/>
      <c r="AP120" s="160"/>
      <c r="AQ120" s="164"/>
      <c r="AR120" s="165"/>
      <c r="AS120" s="165"/>
      <c r="AT120" s="165"/>
      <c r="AU120" s="165"/>
      <c r="AV120" s="165"/>
      <c r="AW120" s="165"/>
      <c r="AX120" s="160"/>
      <c r="AY120" s="164"/>
      <c r="AZ120" s="169"/>
      <c r="BA120" s="164"/>
      <c r="BB120" s="165"/>
      <c r="BC120" s="165"/>
      <c r="BD120" s="165"/>
      <c r="BE120" s="165"/>
      <c r="BF120" s="165"/>
      <c r="BG120" s="165"/>
      <c r="BH120" s="160"/>
      <c r="BI120" s="164"/>
      <c r="BJ120" s="165"/>
      <c r="BK120" s="182"/>
      <c r="BL120" s="165"/>
      <c r="BM120" s="165"/>
      <c r="BN120" s="175"/>
      <c r="BO120" s="172"/>
      <c r="BP120" s="165"/>
      <c r="BQ120" s="165"/>
      <c r="BR120" s="165"/>
      <c r="BS120" s="160"/>
      <c r="BT120" s="164"/>
      <c r="BU120" s="165"/>
      <c r="BV120" s="165"/>
      <c r="BW120" s="165"/>
      <c r="BX120" s="165"/>
      <c r="BY120" s="165"/>
      <c r="BZ120" s="165"/>
      <c r="CA120" s="160"/>
      <c r="CB120" s="164"/>
      <c r="CC120" s="169"/>
      <c r="CD120" s="164"/>
      <c r="CE120" s="165"/>
      <c r="CF120" s="165"/>
      <c r="CG120" s="165"/>
      <c r="CH120" s="165"/>
      <c r="CI120" s="165"/>
      <c r="CJ120" s="165"/>
      <c r="CK120" s="160"/>
      <c r="CL120" s="164"/>
      <c r="CM120" s="165"/>
      <c r="CN120" s="182"/>
      <c r="CO120" s="165"/>
      <c r="CP120" s="165"/>
      <c r="CQ120" s="165"/>
      <c r="CR120" s="165"/>
      <c r="CS120" s="175"/>
      <c r="CT120" s="172"/>
      <c r="CU120" s="165"/>
      <c r="CV120" s="160"/>
    </row>
    <row r="121" spans="1:100" x14ac:dyDescent="0.25">
      <c r="A121" s="178"/>
      <c r="B121" s="169"/>
      <c r="F121" s="164"/>
      <c r="G121" s="165"/>
      <c r="H121" s="165"/>
      <c r="I121" s="165"/>
      <c r="J121" s="165"/>
      <c r="K121" s="165"/>
      <c r="L121" s="165"/>
      <c r="M121" s="160"/>
      <c r="N121" s="164"/>
      <c r="O121" s="165"/>
      <c r="P121" s="165"/>
      <c r="Q121" s="165"/>
      <c r="R121" s="165"/>
      <c r="S121" s="165"/>
      <c r="T121" s="165"/>
      <c r="U121" s="160"/>
      <c r="V121" s="165"/>
      <c r="W121" s="169"/>
      <c r="X121" s="164"/>
      <c r="Y121" s="165"/>
      <c r="Z121" s="165"/>
      <c r="AA121" s="165"/>
      <c r="AB121" s="165"/>
      <c r="AC121" s="165"/>
      <c r="AD121" s="165"/>
      <c r="AE121" s="160"/>
      <c r="AF121" s="164"/>
      <c r="AG121" s="165"/>
      <c r="AH121" s="182"/>
      <c r="AI121" s="175"/>
      <c r="AJ121" s="172"/>
      <c r="AK121" s="165"/>
      <c r="AL121" s="165"/>
      <c r="AM121" s="165"/>
      <c r="AN121" s="165"/>
      <c r="AO121" s="165"/>
      <c r="AP121" s="160"/>
      <c r="AQ121" s="164"/>
      <c r="AR121" s="165"/>
      <c r="AS121" s="165"/>
      <c r="AT121" s="165"/>
      <c r="AU121" s="165"/>
      <c r="AV121" s="165"/>
      <c r="AW121" s="165"/>
      <c r="AX121" s="160"/>
      <c r="AY121" s="164"/>
      <c r="AZ121" s="169"/>
      <c r="BA121" s="164"/>
      <c r="BB121" s="165"/>
      <c r="BC121" s="165"/>
      <c r="BD121" s="165"/>
      <c r="BE121" s="165"/>
      <c r="BF121" s="165"/>
      <c r="BG121" s="165"/>
      <c r="BH121" s="160"/>
      <c r="BI121" s="164"/>
      <c r="BJ121" s="165"/>
      <c r="BK121" s="182"/>
      <c r="BL121" s="165"/>
      <c r="BM121" s="165"/>
      <c r="BN121" s="175"/>
      <c r="BO121" s="172"/>
      <c r="BP121" s="165"/>
      <c r="BQ121" s="165"/>
      <c r="BR121" s="165"/>
      <c r="BS121" s="160"/>
      <c r="BT121" s="164"/>
      <c r="BU121" s="165"/>
      <c r="BV121" s="165"/>
      <c r="BW121" s="165"/>
      <c r="BX121" s="165"/>
      <c r="BY121" s="165"/>
      <c r="BZ121" s="165"/>
      <c r="CA121" s="160"/>
      <c r="CB121" s="164"/>
      <c r="CC121" s="169"/>
      <c r="CD121" s="164"/>
      <c r="CE121" s="165"/>
      <c r="CF121" s="165"/>
      <c r="CG121" s="165"/>
      <c r="CH121" s="165"/>
      <c r="CI121" s="165"/>
      <c r="CJ121" s="165"/>
      <c r="CK121" s="160"/>
      <c r="CL121" s="164"/>
      <c r="CM121" s="165"/>
      <c r="CN121" s="182"/>
      <c r="CO121" s="165"/>
      <c r="CP121" s="165"/>
      <c r="CQ121" s="165"/>
      <c r="CR121" s="165"/>
      <c r="CS121" s="175"/>
      <c r="CT121" s="172"/>
      <c r="CU121" s="165"/>
      <c r="CV121" s="160"/>
    </row>
    <row r="122" spans="1:100" x14ac:dyDescent="0.25">
      <c r="A122" s="178"/>
      <c r="B122" s="169"/>
      <c r="F122" s="164"/>
      <c r="G122" s="165"/>
      <c r="H122" s="165"/>
      <c r="I122" s="165"/>
      <c r="J122" s="165"/>
      <c r="K122" s="165"/>
      <c r="L122" s="165"/>
      <c r="M122" s="160"/>
      <c r="N122" s="164"/>
      <c r="O122" s="165"/>
      <c r="P122" s="165"/>
      <c r="Q122" s="165"/>
      <c r="R122" s="165"/>
      <c r="S122" s="165"/>
      <c r="T122" s="165"/>
      <c r="U122" s="160"/>
      <c r="V122" s="165"/>
      <c r="W122" s="169"/>
      <c r="X122" s="164"/>
      <c r="Y122" s="165"/>
      <c r="Z122" s="165"/>
      <c r="AA122" s="165"/>
      <c r="AB122" s="165"/>
      <c r="AC122" s="165"/>
      <c r="AD122" s="165"/>
      <c r="AE122" s="160"/>
      <c r="AF122" s="164"/>
      <c r="AG122" s="165"/>
      <c r="AH122" s="182"/>
      <c r="AI122" s="175"/>
      <c r="AJ122" s="172"/>
      <c r="AK122" s="165"/>
      <c r="AL122" s="165"/>
      <c r="AM122" s="165"/>
      <c r="AN122" s="165"/>
      <c r="AO122" s="165"/>
      <c r="AP122" s="160"/>
      <c r="AQ122" s="164"/>
      <c r="AR122" s="165"/>
      <c r="AS122" s="165"/>
      <c r="AT122" s="165"/>
      <c r="AU122" s="165"/>
      <c r="AV122" s="165"/>
      <c r="AW122" s="165"/>
      <c r="AX122" s="160"/>
      <c r="AY122" s="164"/>
      <c r="AZ122" s="169"/>
      <c r="BA122" s="164"/>
      <c r="BB122" s="165"/>
      <c r="BC122" s="165"/>
      <c r="BD122" s="165"/>
      <c r="BE122" s="165"/>
      <c r="BF122" s="165"/>
      <c r="BG122" s="165"/>
      <c r="BH122" s="160"/>
      <c r="BI122" s="164"/>
      <c r="BJ122" s="165"/>
      <c r="BK122" s="182"/>
      <c r="BL122" s="165"/>
      <c r="BM122" s="165"/>
      <c r="BN122" s="175"/>
      <c r="BO122" s="172"/>
      <c r="BP122" s="165"/>
      <c r="BQ122" s="165"/>
      <c r="BR122" s="165"/>
      <c r="BS122" s="160"/>
      <c r="BT122" s="164"/>
      <c r="BU122" s="165"/>
      <c r="BV122" s="165"/>
      <c r="BW122" s="165"/>
      <c r="BX122" s="165"/>
      <c r="BY122" s="165"/>
      <c r="BZ122" s="165"/>
      <c r="CA122" s="160"/>
      <c r="CB122" s="164"/>
      <c r="CC122" s="169"/>
      <c r="CD122" s="164"/>
      <c r="CE122" s="165"/>
      <c r="CF122" s="165"/>
      <c r="CG122" s="165"/>
      <c r="CH122" s="165"/>
      <c r="CI122" s="165"/>
      <c r="CJ122" s="165"/>
      <c r="CK122" s="160"/>
      <c r="CL122" s="164"/>
      <c r="CM122" s="165"/>
      <c r="CN122" s="182"/>
      <c r="CO122" s="165"/>
      <c r="CP122" s="165"/>
      <c r="CQ122" s="165"/>
      <c r="CR122" s="165"/>
      <c r="CS122" s="175"/>
      <c r="CT122" s="172"/>
      <c r="CU122" s="165"/>
      <c r="CV122" s="160"/>
    </row>
    <row r="123" spans="1:100" x14ac:dyDescent="0.25">
      <c r="A123" s="178"/>
      <c r="B123" s="169"/>
      <c r="F123" s="164"/>
      <c r="G123" s="165"/>
      <c r="H123" s="165"/>
      <c r="I123" s="165"/>
      <c r="J123" s="165"/>
      <c r="K123" s="165"/>
      <c r="L123" s="165"/>
      <c r="M123" s="160"/>
      <c r="N123" s="164"/>
      <c r="O123" s="165"/>
      <c r="P123" s="165"/>
      <c r="Q123" s="165"/>
      <c r="R123" s="165"/>
      <c r="S123" s="165"/>
      <c r="T123" s="165"/>
      <c r="U123" s="160"/>
      <c r="V123" s="165"/>
      <c r="W123" s="169"/>
      <c r="X123" s="164"/>
      <c r="Y123" s="165"/>
      <c r="Z123" s="165"/>
      <c r="AA123" s="165"/>
      <c r="AB123" s="165"/>
      <c r="AC123" s="165"/>
      <c r="AD123" s="165"/>
      <c r="AE123" s="160"/>
      <c r="AF123" s="164"/>
      <c r="AG123" s="165"/>
      <c r="AH123" s="182"/>
      <c r="AI123" s="175"/>
      <c r="AJ123" s="172"/>
      <c r="AK123" s="165"/>
      <c r="AL123" s="165"/>
      <c r="AM123" s="165"/>
      <c r="AN123" s="165"/>
      <c r="AO123" s="165"/>
      <c r="AP123" s="160"/>
      <c r="AQ123" s="164"/>
      <c r="AR123" s="165"/>
      <c r="AS123" s="165"/>
      <c r="AT123" s="165"/>
      <c r="AU123" s="165"/>
      <c r="AV123" s="165"/>
      <c r="AW123" s="165"/>
      <c r="AX123" s="160"/>
      <c r="AY123" s="164"/>
      <c r="AZ123" s="169"/>
      <c r="BA123" s="164"/>
      <c r="BB123" s="165"/>
      <c r="BC123" s="165"/>
      <c r="BD123" s="165"/>
      <c r="BE123" s="165"/>
      <c r="BF123" s="165"/>
      <c r="BG123" s="165"/>
      <c r="BH123" s="160"/>
      <c r="BI123" s="164"/>
      <c r="BJ123" s="165"/>
      <c r="BK123" s="182"/>
      <c r="BL123" s="165"/>
      <c r="BM123" s="165"/>
      <c r="BN123" s="175"/>
      <c r="BO123" s="172"/>
      <c r="BP123" s="165"/>
      <c r="BQ123" s="165"/>
      <c r="BR123" s="165"/>
      <c r="BS123" s="160"/>
      <c r="BT123" s="164"/>
      <c r="BU123" s="165"/>
      <c r="BV123" s="165"/>
      <c r="BW123" s="165"/>
      <c r="BX123" s="165"/>
      <c r="BY123" s="165"/>
      <c r="BZ123" s="165"/>
      <c r="CA123" s="160"/>
      <c r="CB123" s="164"/>
      <c r="CC123" s="169"/>
      <c r="CD123" s="164"/>
      <c r="CE123" s="165"/>
      <c r="CF123" s="165"/>
      <c r="CG123" s="165"/>
      <c r="CH123" s="165"/>
      <c r="CI123" s="165"/>
      <c r="CJ123" s="165"/>
      <c r="CK123" s="160"/>
      <c r="CL123" s="164"/>
      <c r="CM123" s="165"/>
      <c r="CN123" s="182"/>
      <c r="CO123" s="165"/>
      <c r="CP123" s="165"/>
      <c r="CQ123" s="165"/>
      <c r="CR123" s="165"/>
      <c r="CS123" s="175"/>
      <c r="CT123" s="172"/>
      <c r="CU123" s="165"/>
      <c r="CV123" s="160"/>
    </row>
    <row r="124" spans="1:100" x14ac:dyDescent="0.25">
      <c r="A124" s="178"/>
      <c r="B124" s="169"/>
      <c r="F124" s="164"/>
      <c r="G124" s="165"/>
      <c r="H124" s="165"/>
      <c r="I124" s="165"/>
      <c r="J124" s="165"/>
      <c r="K124" s="165"/>
      <c r="L124" s="165"/>
      <c r="M124" s="160"/>
      <c r="N124" s="164"/>
      <c r="O124" s="165"/>
      <c r="P124" s="165"/>
      <c r="Q124" s="165"/>
      <c r="R124" s="165"/>
      <c r="S124" s="165"/>
      <c r="T124" s="165"/>
      <c r="U124" s="160"/>
      <c r="V124" s="165"/>
      <c r="W124" s="169"/>
      <c r="X124" s="164"/>
      <c r="Y124" s="165"/>
      <c r="Z124" s="165"/>
      <c r="AA124" s="165"/>
      <c r="AB124" s="165"/>
      <c r="AC124" s="165"/>
      <c r="AD124" s="165"/>
      <c r="AE124" s="160"/>
      <c r="AF124" s="164"/>
      <c r="AG124" s="165"/>
      <c r="AH124" s="182"/>
      <c r="AI124" s="175"/>
      <c r="AJ124" s="172"/>
      <c r="AK124" s="165"/>
      <c r="AL124" s="165"/>
      <c r="AM124" s="165"/>
      <c r="AN124" s="165"/>
      <c r="AO124" s="165"/>
      <c r="AP124" s="160"/>
      <c r="AQ124" s="164"/>
      <c r="AR124" s="165"/>
      <c r="AS124" s="165"/>
      <c r="AT124" s="165"/>
      <c r="AU124" s="165"/>
      <c r="AV124" s="165"/>
      <c r="AW124" s="165"/>
      <c r="AX124" s="160"/>
      <c r="AY124" s="164"/>
      <c r="AZ124" s="169"/>
      <c r="BA124" s="164"/>
      <c r="BB124" s="165"/>
      <c r="BC124" s="165"/>
      <c r="BD124" s="165"/>
      <c r="BE124" s="165"/>
      <c r="BF124" s="165"/>
      <c r="BG124" s="165"/>
      <c r="BH124" s="160"/>
      <c r="BI124" s="164"/>
      <c r="BJ124" s="165"/>
      <c r="BK124" s="182"/>
      <c r="BL124" s="165"/>
      <c r="BM124" s="165"/>
      <c r="BN124" s="175"/>
      <c r="BO124" s="172"/>
      <c r="BP124" s="165"/>
      <c r="BQ124" s="165"/>
      <c r="BR124" s="165"/>
      <c r="BS124" s="160"/>
      <c r="BT124" s="164"/>
      <c r="BU124" s="165"/>
      <c r="BV124" s="165"/>
      <c r="BW124" s="165"/>
      <c r="BX124" s="165"/>
      <c r="BY124" s="165"/>
      <c r="BZ124" s="165"/>
      <c r="CA124" s="160"/>
      <c r="CB124" s="164"/>
      <c r="CC124" s="169"/>
      <c r="CD124" s="164"/>
      <c r="CE124" s="165"/>
      <c r="CF124" s="165"/>
      <c r="CG124" s="165"/>
      <c r="CH124" s="165"/>
      <c r="CI124" s="165"/>
      <c r="CJ124" s="165"/>
      <c r="CK124" s="160"/>
      <c r="CL124" s="164"/>
      <c r="CM124" s="165"/>
      <c r="CN124" s="182"/>
      <c r="CO124" s="165"/>
      <c r="CP124" s="165"/>
      <c r="CQ124" s="165"/>
      <c r="CR124" s="165"/>
      <c r="CS124" s="175"/>
      <c r="CT124" s="172"/>
      <c r="CU124" s="165"/>
      <c r="CV124" s="160"/>
    </row>
    <row r="125" spans="1:100" x14ac:dyDescent="0.25">
      <c r="A125" s="178"/>
      <c r="B125" s="169"/>
      <c r="F125" s="164"/>
      <c r="G125" s="165"/>
      <c r="H125" s="165"/>
      <c r="I125" s="165"/>
      <c r="J125" s="165"/>
      <c r="K125" s="165"/>
      <c r="L125" s="165"/>
      <c r="M125" s="160"/>
      <c r="N125" s="164"/>
      <c r="O125" s="165"/>
      <c r="P125" s="165"/>
      <c r="Q125" s="165"/>
      <c r="R125" s="165"/>
      <c r="S125" s="165"/>
      <c r="T125" s="165"/>
      <c r="U125" s="160"/>
      <c r="V125" s="165"/>
      <c r="W125" s="169"/>
      <c r="X125" s="164"/>
      <c r="Y125" s="165"/>
      <c r="Z125" s="165"/>
      <c r="AA125" s="165"/>
      <c r="AB125" s="165"/>
      <c r="AC125" s="165"/>
      <c r="AD125" s="165"/>
      <c r="AE125" s="160"/>
      <c r="AF125" s="164"/>
      <c r="AG125" s="165"/>
      <c r="AH125" s="182"/>
      <c r="AI125" s="175"/>
      <c r="AJ125" s="172"/>
      <c r="AK125" s="165"/>
      <c r="AL125" s="165"/>
      <c r="AM125" s="165"/>
      <c r="AN125" s="165"/>
      <c r="AO125" s="165"/>
      <c r="AP125" s="160"/>
      <c r="AQ125" s="164"/>
      <c r="AR125" s="165"/>
      <c r="AS125" s="165"/>
      <c r="AT125" s="165"/>
      <c r="AU125" s="165"/>
      <c r="AV125" s="165"/>
      <c r="AW125" s="165"/>
      <c r="AX125" s="160"/>
      <c r="AY125" s="164"/>
      <c r="AZ125" s="169"/>
      <c r="BA125" s="164"/>
      <c r="BB125" s="165"/>
      <c r="BC125" s="165"/>
      <c r="BD125" s="165"/>
      <c r="BE125" s="165"/>
      <c r="BF125" s="165"/>
      <c r="BG125" s="165"/>
      <c r="BH125" s="160"/>
      <c r="BI125" s="164"/>
      <c r="BJ125" s="165"/>
      <c r="BK125" s="182"/>
      <c r="BL125" s="165"/>
      <c r="BM125" s="165"/>
      <c r="BN125" s="175"/>
      <c r="BO125" s="172"/>
      <c r="BP125" s="165"/>
      <c r="BQ125" s="165"/>
      <c r="BR125" s="165"/>
      <c r="BS125" s="160"/>
      <c r="BT125" s="164"/>
      <c r="BU125" s="165"/>
      <c r="BV125" s="165"/>
      <c r="BW125" s="165"/>
      <c r="BX125" s="165"/>
      <c r="BY125" s="165"/>
      <c r="BZ125" s="165"/>
      <c r="CA125" s="160"/>
      <c r="CB125" s="164"/>
      <c r="CC125" s="169"/>
      <c r="CD125" s="164"/>
      <c r="CE125" s="165"/>
      <c r="CF125" s="165"/>
      <c r="CG125" s="165"/>
      <c r="CH125" s="165"/>
      <c r="CI125" s="165"/>
      <c r="CJ125" s="165"/>
      <c r="CK125" s="160"/>
      <c r="CL125" s="164"/>
      <c r="CM125" s="165"/>
      <c r="CN125" s="182"/>
      <c r="CO125" s="165"/>
      <c r="CP125" s="165"/>
      <c r="CQ125" s="165"/>
      <c r="CR125" s="165"/>
      <c r="CS125" s="175"/>
      <c r="CT125" s="172"/>
      <c r="CU125" s="165"/>
      <c r="CV125" s="160"/>
    </row>
    <row r="126" spans="1:100" x14ac:dyDescent="0.25">
      <c r="A126" s="178"/>
      <c r="B126" s="169"/>
      <c r="F126" s="164"/>
      <c r="G126" s="165"/>
      <c r="H126" s="165"/>
      <c r="I126" s="165"/>
      <c r="J126" s="165"/>
      <c r="K126" s="165"/>
      <c r="L126" s="165"/>
      <c r="M126" s="160"/>
      <c r="N126" s="164"/>
      <c r="O126" s="165"/>
      <c r="P126" s="165"/>
      <c r="Q126" s="165"/>
      <c r="R126" s="165"/>
      <c r="S126" s="165"/>
      <c r="T126" s="165"/>
      <c r="U126" s="160"/>
      <c r="V126" s="165"/>
      <c r="W126" s="169"/>
      <c r="X126" s="164"/>
      <c r="Y126" s="165"/>
      <c r="Z126" s="165"/>
      <c r="AA126" s="165"/>
      <c r="AB126" s="165"/>
      <c r="AC126" s="165"/>
      <c r="AD126" s="165"/>
      <c r="AE126" s="160"/>
      <c r="AF126" s="164"/>
      <c r="AG126" s="165"/>
      <c r="AH126" s="182"/>
      <c r="AI126" s="175"/>
      <c r="AJ126" s="172"/>
      <c r="AK126" s="165"/>
      <c r="AL126" s="165"/>
      <c r="AM126" s="165"/>
      <c r="AN126" s="165"/>
      <c r="AO126" s="165"/>
      <c r="AP126" s="160"/>
      <c r="AQ126" s="164"/>
      <c r="AR126" s="165"/>
      <c r="AS126" s="165"/>
      <c r="AT126" s="165"/>
      <c r="AU126" s="165"/>
      <c r="AV126" s="165"/>
      <c r="AW126" s="165"/>
      <c r="AX126" s="160"/>
      <c r="AY126" s="164"/>
      <c r="AZ126" s="169"/>
      <c r="BA126" s="164"/>
      <c r="BB126" s="165"/>
      <c r="BC126" s="165"/>
      <c r="BD126" s="165"/>
      <c r="BE126" s="165"/>
      <c r="BF126" s="165"/>
      <c r="BG126" s="165"/>
      <c r="BH126" s="160"/>
      <c r="BI126" s="164"/>
      <c r="BJ126" s="165"/>
      <c r="BK126" s="182"/>
      <c r="BL126" s="165"/>
      <c r="BM126" s="165"/>
      <c r="BN126" s="175"/>
      <c r="BO126" s="172"/>
      <c r="BP126" s="165"/>
      <c r="BQ126" s="165"/>
      <c r="BR126" s="165"/>
      <c r="BS126" s="160"/>
      <c r="BT126" s="164"/>
      <c r="BU126" s="165"/>
      <c r="BV126" s="165"/>
      <c r="BW126" s="165"/>
      <c r="BX126" s="165"/>
      <c r="BY126" s="165"/>
      <c r="BZ126" s="165"/>
      <c r="CA126" s="160"/>
      <c r="CB126" s="164"/>
      <c r="CC126" s="169"/>
      <c r="CD126" s="164"/>
      <c r="CE126" s="165"/>
      <c r="CF126" s="165"/>
      <c r="CG126" s="165"/>
      <c r="CH126" s="165"/>
      <c r="CI126" s="165"/>
      <c r="CJ126" s="165"/>
      <c r="CK126" s="160"/>
      <c r="CL126" s="164"/>
      <c r="CM126" s="165"/>
      <c r="CN126" s="182"/>
      <c r="CO126" s="165"/>
      <c r="CP126" s="165"/>
      <c r="CQ126" s="165"/>
      <c r="CR126" s="165"/>
      <c r="CS126" s="175"/>
      <c r="CT126" s="172"/>
      <c r="CU126" s="165"/>
      <c r="CV126" s="160"/>
    </row>
    <row r="127" spans="1:100" x14ac:dyDescent="0.25">
      <c r="A127" s="178"/>
      <c r="B127" s="169"/>
      <c r="F127" s="164"/>
      <c r="G127" s="165"/>
      <c r="H127" s="165"/>
      <c r="I127" s="165"/>
      <c r="J127" s="165"/>
      <c r="K127" s="165"/>
      <c r="L127" s="165"/>
      <c r="M127" s="160"/>
      <c r="N127" s="164"/>
      <c r="O127" s="165"/>
      <c r="P127" s="165"/>
      <c r="Q127" s="165"/>
      <c r="R127" s="165"/>
      <c r="S127" s="165"/>
      <c r="T127" s="165"/>
      <c r="U127" s="160"/>
      <c r="V127" s="165"/>
      <c r="W127" s="169"/>
      <c r="X127" s="164"/>
      <c r="Y127" s="165"/>
      <c r="Z127" s="165"/>
      <c r="AA127" s="165"/>
      <c r="AB127" s="165"/>
      <c r="AC127" s="165"/>
      <c r="AD127" s="165"/>
      <c r="AE127" s="160"/>
      <c r="AF127" s="164"/>
      <c r="AG127" s="165"/>
      <c r="AH127" s="182"/>
      <c r="AI127" s="175"/>
      <c r="AJ127" s="172"/>
      <c r="AK127" s="165"/>
      <c r="AL127" s="165"/>
      <c r="AM127" s="165"/>
      <c r="AN127" s="165"/>
      <c r="AO127" s="165"/>
      <c r="AP127" s="160"/>
      <c r="AQ127" s="164"/>
      <c r="AR127" s="165"/>
      <c r="AS127" s="165"/>
      <c r="AT127" s="165"/>
      <c r="AU127" s="165"/>
      <c r="AV127" s="165"/>
      <c r="AW127" s="165"/>
      <c r="AX127" s="160"/>
      <c r="AY127" s="164"/>
      <c r="AZ127" s="169"/>
      <c r="BA127" s="164"/>
      <c r="BB127" s="165"/>
      <c r="BC127" s="165"/>
      <c r="BD127" s="165"/>
      <c r="BE127" s="165"/>
      <c r="BF127" s="165"/>
      <c r="BG127" s="165"/>
      <c r="BH127" s="160"/>
      <c r="BI127" s="164"/>
      <c r="BJ127" s="165"/>
      <c r="BK127" s="182"/>
      <c r="BL127" s="165"/>
      <c r="BM127" s="165"/>
      <c r="BN127" s="175"/>
      <c r="BO127" s="172"/>
      <c r="BP127" s="165"/>
      <c r="BQ127" s="165"/>
      <c r="BR127" s="165"/>
      <c r="BS127" s="160"/>
      <c r="BT127" s="164"/>
      <c r="BU127" s="165"/>
      <c r="BV127" s="165"/>
      <c r="BW127" s="165"/>
      <c r="BX127" s="165"/>
      <c r="BY127" s="165"/>
      <c r="BZ127" s="165"/>
      <c r="CA127" s="160"/>
      <c r="CB127" s="164"/>
      <c r="CC127" s="169"/>
      <c r="CD127" s="164"/>
      <c r="CE127" s="165"/>
      <c r="CF127" s="165"/>
      <c r="CG127" s="165"/>
      <c r="CH127" s="165"/>
      <c r="CI127" s="165"/>
      <c r="CJ127" s="165"/>
      <c r="CK127" s="160"/>
      <c r="CL127" s="164"/>
      <c r="CM127" s="165"/>
      <c r="CN127" s="182"/>
      <c r="CO127" s="165"/>
      <c r="CP127" s="165"/>
      <c r="CQ127" s="165"/>
      <c r="CR127" s="165"/>
      <c r="CS127" s="175"/>
      <c r="CT127" s="172"/>
      <c r="CU127" s="165"/>
      <c r="CV127" s="160"/>
    </row>
    <row r="128" spans="1:100" x14ac:dyDescent="0.25">
      <c r="A128" s="178"/>
      <c r="B128" s="169"/>
      <c r="F128" s="164"/>
      <c r="G128" s="165"/>
      <c r="H128" s="165"/>
      <c r="I128" s="165"/>
      <c r="J128" s="165"/>
      <c r="K128" s="165"/>
      <c r="L128" s="165"/>
      <c r="M128" s="160"/>
      <c r="N128" s="164"/>
      <c r="O128" s="165"/>
      <c r="P128" s="165"/>
      <c r="Q128" s="165"/>
      <c r="R128" s="165"/>
      <c r="S128" s="165"/>
      <c r="T128" s="165"/>
      <c r="U128" s="160"/>
      <c r="V128" s="165"/>
      <c r="W128" s="169"/>
      <c r="X128" s="164"/>
      <c r="Y128" s="165"/>
      <c r="Z128" s="165"/>
      <c r="AA128" s="165"/>
      <c r="AB128" s="165"/>
      <c r="AC128" s="165"/>
      <c r="AD128" s="165"/>
      <c r="AE128" s="160"/>
      <c r="AF128" s="164"/>
      <c r="AG128" s="165"/>
      <c r="AH128" s="182"/>
      <c r="AI128" s="175"/>
      <c r="AJ128" s="172"/>
      <c r="AK128" s="165"/>
      <c r="AL128" s="165"/>
      <c r="AM128" s="165"/>
      <c r="AN128" s="165"/>
      <c r="AO128" s="165"/>
      <c r="AP128" s="160"/>
      <c r="AQ128" s="164"/>
      <c r="AR128" s="165"/>
      <c r="AS128" s="165"/>
      <c r="AT128" s="165"/>
      <c r="AU128" s="165"/>
      <c r="AV128" s="165"/>
      <c r="AW128" s="165"/>
      <c r="AX128" s="160"/>
      <c r="AY128" s="164"/>
      <c r="AZ128" s="169"/>
      <c r="BA128" s="164"/>
      <c r="BB128" s="165"/>
      <c r="BC128" s="165"/>
      <c r="BD128" s="165"/>
      <c r="BE128" s="165"/>
      <c r="BF128" s="165"/>
      <c r="BG128" s="165"/>
      <c r="BH128" s="160"/>
      <c r="BI128" s="164"/>
      <c r="BJ128" s="165"/>
      <c r="BK128" s="182"/>
      <c r="BL128" s="165"/>
      <c r="BM128" s="165"/>
      <c r="BN128" s="175"/>
      <c r="BO128" s="172"/>
      <c r="BP128" s="165"/>
      <c r="BQ128" s="165"/>
      <c r="BR128" s="165"/>
      <c r="BS128" s="160"/>
      <c r="BT128" s="164"/>
      <c r="BU128" s="165"/>
      <c r="BV128" s="165"/>
      <c r="BW128" s="165"/>
      <c r="BX128" s="165"/>
      <c r="BY128" s="165"/>
      <c r="BZ128" s="165"/>
      <c r="CA128" s="160"/>
      <c r="CB128" s="164"/>
      <c r="CC128" s="169"/>
      <c r="CD128" s="164"/>
      <c r="CE128" s="165"/>
      <c r="CF128" s="165"/>
      <c r="CG128" s="165"/>
      <c r="CH128" s="165"/>
      <c r="CI128" s="165"/>
      <c r="CJ128" s="165"/>
      <c r="CK128" s="160"/>
      <c r="CL128" s="164"/>
      <c r="CM128" s="165"/>
      <c r="CN128" s="182"/>
      <c r="CO128" s="165"/>
      <c r="CP128" s="165"/>
      <c r="CQ128" s="165"/>
      <c r="CR128" s="165"/>
      <c r="CS128" s="175"/>
      <c r="CT128" s="172"/>
      <c r="CU128" s="165"/>
      <c r="CV128" s="160"/>
    </row>
    <row r="129" spans="1:100" x14ac:dyDescent="0.25">
      <c r="A129" s="178"/>
      <c r="B129" s="169"/>
      <c r="F129" s="164"/>
      <c r="G129" s="165"/>
      <c r="H129" s="165"/>
      <c r="I129" s="165"/>
      <c r="J129" s="165"/>
      <c r="K129" s="165"/>
      <c r="L129" s="165"/>
      <c r="M129" s="160"/>
      <c r="N129" s="164"/>
      <c r="O129" s="165"/>
      <c r="P129" s="165"/>
      <c r="Q129" s="165"/>
      <c r="R129" s="165"/>
      <c r="S129" s="165"/>
      <c r="T129" s="165"/>
      <c r="U129" s="160"/>
      <c r="V129" s="165"/>
      <c r="W129" s="169"/>
      <c r="X129" s="164"/>
      <c r="Y129" s="165"/>
      <c r="Z129" s="165"/>
      <c r="AA129" s="165"/>
      <c r="AB129" s="165"/>
      <c r="AC129" s="165"/>
      <c r="AD129" s="165"/>
      <c r="AE129" s="160"/>
      <c r="AF129" s="164"/>
      <c r="AG129" s="165"/>
      <c r="AH129" s="182"/>
      <c r="AI129" s="175"/>
      <c r="AJ129" s="172"/>
      <c r="AK129" s="165"/>
      <c r="AL129" s="165"/>
      <c r="AM129" s="165"/>
      <c r="AN129" s="165"/>
      <c r="AO129" s="165"/>
      <c r="AP129" s="160"/>
      <c r="AQ129" s="164"/>
      <c r="AR129" s="165"/>
      <c r="AS129" s="165"/>
      <c r="AT129" s="165"/>
      <c r="AU129" s="165"/>
      <c r="AV129" s="165"/>
      <c r="AW129" s="165"/>
      <c r="AX129" s="160"/>
      <c r="AY129" s="164"/>
      <c r="AZ129" s="169"/>
      <c r="BA129" s="164"/>
      <c r="BB129" s="165"/>
      <c r="BC129" s="165"/>
      <c r="BD129" s="165"/>
      <c r="BE129" s="165"/>
      <c r="BF129" s="165"/>
      <c r="BG129" s="165"/>
      <c r="BH129" s="160"/>
      <c r="BI129" s="164"/>
      <c r="BJ129" s="165"/>
      <c r="BK129" s="182"/>
      <c r="BL129" s="165"/>
      <c r="BM129" s="165"/>
      <c r="BN129" s="175"/>
      <c r="BO129" s="172"/>
      <c r="BP129" s="165"/>
      <c r="BQ129" s="165"/>
      <c r="BR129" s="165"/>
      <c r="BS129" s="160"/>
      <c r="BT129" s="164"/>
      <c r="BU129" s="165"/>
      <c r="BV129" s="165"/>
      <c r="BW129" s="165"/>
      <c r="BX129" s="165"/>
      <c r="BY129" s="165"/>
      <c r="BZ129" s="165"/>
      <c r="CA129" s="160"/>
      <c r="CB129" s="164"/>
      <c r="CC129" s="169"/>
      <c r="CD129" s="164"/>
      <c r="CE129" s="165"/>
      <c r="CF129" s="165"/>
      <c r="CG129" s="165"/>
      <c r="CH129" s="165"/>
      <c r="CI129" s="165"/>
      <c r="CJ129" s="165"/>
      <c r="CK129" s="160"/>
      <c r="CL129" s="164"/>
      <c r="CM129" s="165"/>
      <c r="CN129" s="182"/>
      <c r="CO129" s="165"/>
      <c r="CP129" s="165"/>
      <c r="CQ129" s="165"/>
      <c r="CR129" s="165"/>
      <c r="CS129" s="175"/>
      <c r="CT129" s="172"/>
      <c r="CU129" s="165"/>
      <c r="CV129" s="160"/>
    </row>
    <row r="130" spans="1:100" x14ac:dyDescent="0.25">
      <c r="A130" s="178"/>
      <c r="B130" s="169"/>
      <c r="F130" s="164"/>
      <c r="G130" s="165"/>
      <c r="H130" s="165"/>
      <c r="I130" s="165"/>
      <c r="J130" s="165"/>
      <c r="K130" s="165"/>
      <c r="L130" s="165"/>
      <c r="M130" s="160"/>
      <c r="N130" s="164"/>
      <c r="O130" s="165"/>
      <c r="P130" s="165"/>
      <c r="Q130" s="165"/>
      <c r="R130" s="165"/>
      <c r="S130" s="165"/>
      <c r="T130" s="165"/>
      <c r="U130" s="160"/>
      <c r="V130" s="165"/>
      <c r="W130" s="169"/>
      <c r="X130" s="164"/>
      <c r="Y130" s="165"/>
      <c r="Z130" s="165"/>
      <c r="AA130" s="165"/>
      <c r="AB130" s="165"/>
      <c r="AC130" s="165"/>
      <c r="AD130" s="165"/>
      <c r="AE130" s="160"/>
      <c r="AF130" s="164"/>
      <c r="AG130" s="165"/>
      <c r="AH130" s="182"/>
      <c r="AI130" s="175"/>
      <c r="AJ130" s="172"/>
      <c r="AK130" s="165"/>
      <c r="AL130" s="165"/>
      <c r="AM130" s="165"/>
      <c r="AN130" s="165"/>
      <c r="AO130" s="165"/>
      <c r="AP130" s="160"/>
      <c r="AQ130" s="164"/>
      <c r="AR130" s="165"/>
      <c r="AS130" s="165"/>
      <c r="AT130" s="165"/>
      <c r="AU130" s="165"/>
      <c r="AV130" s="165"/>
      <c r="AW130" s="165"/>
      <c r="AX130" s="160"/>
      <c r="AY130" s="164"/>
      <c r="AZ130" s="169"/>
      <c r="BA130" s="164"/>
      <c r="BB130" s="165"/>
      <c r="BC130" s="165"/>
      <c r="BD130" s="165"/>
      <c r="BE130" s="165"/>
      <c r="BF130" s="165"/>
      <c r="BG130" s="165"/>
      <c r="BH130" s="160"/>
      <c r="BI130" s="164"/>
      <c r="BJ130" s="165"/>
      <c r="BK130" s="182"/>
      <c r="BL130" s="165"/>
      <c r="BM130" s="165"/>
      <c r="BN130" s="175"/>
      <c r="BO130" s="172"/>
      <c r="BP130" s="165"/>
      <c r="BQ130" s="165"/>
      <c r="BR130" s="165"/>
      <c r="BS130" s="160"/>
      <c r="BT130" s="164"/>
      <c r="BU130" s="165"/>
      <c r="BV130" s="165"/>
      <c r="BW130" s="165"/>
      <c r="BX130" s="165"/>
      <c r="BY130" s="165"/>
      <c r="BZ130" s="165"/>
      <c r="CA130" s="160"/>
      <c r="CB130" s="164"/>
      <c r="CC130" s="169"/>
      <c r="CD130" s="164"/>
      <c r="CE130" s="165"/>
      <c r="CF130" s="165"/>
      <c r="CG130" s="165"/>
      <c r="CH130" s="165"/>
      <c r="CI130" s="165"/>
      <c r="CJ130" s="165"/>
      <c r="CK130" s="160"/>
      <c r="CL130" s="164"/>
      <c r="CM130" s="165"/>
      <c r="CN130" s="182"/>
      <c r="CO130" s="165"/>
      <c r="CP130" s="165"/>
      <c r="CQ130" s="165"/>
      <c r="CR130" s="165"/>
      <c r="CS130" s="175"/>
      <c r="CT130" s="172"/>
      <c r="CU130" s="165"/>
      <c r="CV130" s="160"/>
    </row>
    <row r="131" spans="1:100" x14ac:dyDescent="0.25">
      <c r="A131" s="178"/>
      <c r="B131" s="169"/>
      <c r="F131" s="164"/>
      <c r="G131" s="165"/>
      <c r="H131" s="165"/>
      <c r="I131" s="165"/>
      <c r="J131" s="165"/>
      <c r="K131" s="165"/>
      <c r="L131" s="165"/>
      <c r="M131" s="160"/>
      <c r="N131" s="164"/>
      <c r="O131" s="165"/>
      <c r="P131" s="165"/>
      <c r="Q131" s="165"/>
      <c r="R131" s="165"/>
      <c r="S131" s="165"/>
      <c r="T131" s="165"/>
      <c r="U131" s="160"/>
      <c r="V131" s="165"/>
      <c r="W131" s="169"/>
      <c r="X131" s="164"/>
      <c r="Y131" s="165"/>
      <c r="Z131" s="165"/>
      <c r="AA131" s="165"/>
      <c r="AB131" s="165"/>
      <c r="AC131" s="165"/>
      <c r="AD131" s="165"/>
      <c r="AE131" s="160"/>
      <c r="AF131" s="164"/>
      <c r="AG131" s="165"/>
      <c r="AH131" s="182"/>
      <c r="AI131" s="175"/>
      <c r="AJ131" s="172"/>
      <c r="AK131" s="165"/>
      <c r="AL131" s="165"/>
      <c r="AM131" s="165"/>
      <c r="AN131" s="165"/>
      <c r="AO131" s="165"/>
      <c r="AP131" s="160"/>
      <c r="AQ131" s="164"/>
      <c r="AR131" s="165"/>
      <c r="AS131" s="165"/>
      <c r="AT131" s="165"/>
      <c r="AU131" s="165"/>
      <c r="AV131" s="165"/>
      <c r="AW131" s="165"/>
      <c r="AX131" s="160"/>
      <c r="AY131" s="164"/>
      <c r="AZ131" s="169"/>
      <c r="BA131" s="164"/>
      <c r="BB131" s="165"/>
      <c r="BC131" s="165"/>
      <c r="BD131" s="165"/>
      <c r="BE131" s="165"/>
      <c r="BF131" s="165"/>
      <c r="BG131" s="165"/>
      <c r="BH131" s="160"/>
      <c r="BI131" s="164"/>
      <c r="BJ131" s="165"/>
      <c r="BK131" s="182"/>
      <c r="BL131" s="165"/>
      <c r="BM131" s="165"/>
      <c r="BN131" s="175"/>
      <c r="BO131" s="172"/>
      <c r="BP131" s="165"/>
      <c r="BQ131" s="165"/>
      <c r="BR131" s="165"/>
      <c r="BS131" s="160"/>
      <c r="BT131" s="164"/>
      <c r="BU131" s="165"/>
      <c r="BV131" s="165"/>
      <c r="BW131" s="165"/>
      <c r="BX131" s="165"/>
      <c r="BY131" s="165"/>
      <c r="BZ131" s="165"/>
      <c r="CA131" s="160"/>
      <c r="CB131" s="164"/>
      <c r="CC131" s="169"/>
      <c r="CD131" s="164"/>
      <c r="CE131" s="165"/>
      <c r="CF131" s="165"/>
      <c r="CG131" s="165"/>
      <c r="CH131" s="165"/>
      <c r="CI131" s="165"/>
      <c r="CJ131" s="165"/>
      <c r="CK131" s="160"/>
      <c r="CL131" s="164"/>
      <c r="CM131" s="165"/>
      <c r="CN131" s="182"/>
      <c r="CO131" s="165"/>
      <c r="CP131" s="165"/>
      <c r="CQ131" s="165"/>
      <c r="CR131" s="165"/>
      <c r="CS131" s="175"/>
      <c r="CT131" s="172"/>
      <c r="CU131" s="165"/>
      <c r="CV131" s="160"/>
    </row>
    <row r="132" spans="1:100" x14ac:dyDescent="0.25">
      <c r="A132" s="178"/>
      <c r="B132" s="169"/>
      <c r="F132" s="164"/>
      <c r="G132" s="165"/>
      <c r="H132" s="165"/>
      <c r="I132" s="165"/>
      <c r="J132" s="165"/>
      <c r="K132" s="165"/>
      <c r="L132" s="165"/>
      <c r="M132" s="160"/>
      <c r="N132" s="164"/>
      <c r="O132" s="165"/>
      <c r="P132" s="165"/>
      <c r="Q132" s="165"/>
      <c r="R132" s="165"/>
      <c r="S132" s="165"/>
      <c r="T132" s="165"/>
      <c r="U132" s="160"/>
      <c r="V132" s="165"/>
      <c r="W132" s="169"/>
      <c r="X132" s="164"/>
      <c r="Y132" s="165"/>
      <c r="Z132" s="165"/>
      <c r="AA132" s="165"/>
      <c r="AB132" s="165"/>
      <c r="AC132" s="165"/>
      <c r="AD132" s="165"/>
      <c r="AE132" s="160"/>
      <c r="AF132" s="164"/>
      <c r="AG132" s="165"/>
      <c r="AH132" s="182"/>
      <c r="AI132" s="175"/>
      <c r="AJ132" s="172"/>
      <c r="AK132" s="165"/>
      <c r="AL132" s="165"/>
      <c r="AM132" s="165"/>
      <c r="AN132" s="165"/>
      <c r="AO132" s="165"/>
      <c r="AP132" s="160"/>
      <c r="AQ132" s="164"/>
      <c r="AR132" s="165"/>
      <c r="AS132" s="165"/>
      <c r="AT132" s="165"/>
      <c r="AU132" s="165"/>
      <c r="AV132" s="165"/>
      <c r="AW132" s="165"/>
      <c r="AX132" s="160"/>
      <c r="AY132" s="164"/>
      <c r="AZ132" s="169"/>
      <c r="BA132" s="164"/>
      <c r="BB132" s="165"/>
      <c r="BC132" s="165"/>
      <c r="BD132" s="165"/>
      <c r="BE132" s="165"/>
      <c r="BF132" s="165"/>
      <c r="BG132" s="165"/>
      <c r="BH132" s="160"/>
      <c r="BI132" s="164"/>
      <c r="BJ132" s="165"/>
      <c r="BK132" s="182"/>
      <c r="BL132" s="165"/>
      <c r="BM132" s="165"/>
      <c r="BN132" s="175"/>
      <c r="BO132" s="172"/>
      <c r="BP132" s="165"/>
      <c r="BQ132" s="165"/>
      <c r="BR132" s="165"/>
      <c r="BS132" s="160"/>
      <c r="BT132" s="164"/>
      <c r="BU132" s="165"/>
      <c r="BV132" s="165"/>
      <c r="BW132" s="165"/>
      <c r="BX132" s="165"/>
      <c r="BY132" s="165"/>
      <c r="BZ132" s="165"/>
      <c r="CA132" s="160"/>
      <c r="CB132" s="164"/>
      <c r="CC132" s="169"/>
      <c r="CD132" s="164"/>
      <c r="CE132" s="165"/>
      <c r="CF132" s="165"/>
      <c r="CG132" s="165"/>
      <c r="CH132" s="165"/>
      <c r="CI132" s="165"/>
      <c r="CJ132" s="165"/>
      <c r="CK132" s="160"/>
      <c r="CL132" s="164"/>
      <c r="CM132" s="165"/>
      <c r="CN132" s="182"/>
      <c r="CO132" s="165"/>
      <c r="CP132" s="165"/>
      <c r="CQ132" s="165"/>
      <c r="CR132" s="165"/>
      <c r="CS132" s="175"/>
      <c r="CT132" s="172"/>
      <c r="CU132" s="165"/>
      <c r="CV132" s="160"/>
    </row>
    <row r="133" spans="1:100" x14ac:dyDescent="0.25">
      <c r="A133" s="178"/>
      <c r="B133" s="169"/>
      <c r="F133" s="164"/>
      <c r="G133" s="165"/>
      <c r="H133" s="165"/>
      <c r="I133" s="165"/>
      <c r="J133" s="165"/>
      <c r="K133" s="165"/>
      <c r="L133" s="165"/>
      <c r="M133" s="160"/>
      <c r="N133" s="164"/>
      <c r="O133" s="165"/>
      <c r="P133" s="165"/>
      <c r="Q133" s="165"/>
      <c r="R133" s="165"/>
      <c r="S133" s="165"/>
      <c r="T133" s="165"/>
      <c r="U133" s="160"/>
      <c r="V133" s="165"/>
      <c r="W133" s="169"/>
      <c r="X133" s="164"/>
      <c r="Y133" s="165"/>
      <c r="Z133" s="165"/>
      <c r="AA133" s="165"/>
      <c r="AB133" s="165"/>
      <c r="AC133" s="165"/>
      <c r="AD133" s="165"/>
      <c r="AE133" s="160"/>
      <c r="AF133" s="164"/>
      <c r="AG133" s="165"/>
      <c r="AH133" s="182"/>
      <c r="AI133" s="175"/>
      <c r="AJ133" s="172"/>
      <c r="AK133" s="165"/>
      <c r="AL133" s="165"/>
      <c r="AM133" s="165"/>
      <c r="AN133" s="165"/>
      <c r="AO133" s="165"/>
      <c r="AP133" s="160"/>
      <c r="AQ133" s="164"/>
      <c r="AR133" s="165"/>
      <c r="AS133" s="165"/>
      <c r="AT133" s="165"/>
      <c r="AU133" s="165"/>
      <c r="AV133" s="165"/>
      <c r="AW133" s="165"/>
      <c r="AX133" s="160"/>
      <c r="AY133" s="164"/>
      <c r="AZ133" s="169"/>
      <c r="BA133" s="164"/>
      <c r="BB133" s="165"/>
      <c r="BC133" s="165"/>
      <c r="BD133" s="165"/>
      <c r="BE133" s="165"/>
      <c r="BF133" s="165"/>
      <c r="BG133" s="165"/>
      <c r="BH133" s="160"/>
      <c r="BI133" s="164"/>
      <c r="BJ133" s="165"/>
      <c r="BK133" s="182"/>
      <c r="BL133" s="165"/>
      <c r="BM133" s="165"/>
      <c r="BN133" s="175"/>
      <c r="BO133" s="172"/>
      <c r="BP133" s="165"/>
      <c r="BQ133" s="165"/>
      <c r="BR133" s="165"/>
      <c r="BS133" s="160"/>
      <c r="BT133" s="164"/>
      <c r="BU133" s="165"/>
      <c r="BV133" s="165"/>
      <c r="BW133" s="165"/>
      <c r="BX133" s="165"/>
      <c r="BY133" s="165"/>
      <c r="BZ133" s="165"/>
      <c r="CA133" s="160"/>
      <c r="CB133" s="164"/>
      <c r="CC133" s="169"/>
      <c r="CD133" s="164"/>
      <c r="CE133" s="165"/>
      <c r="CF133" s="165"/>
      <c r="CG133" s="165"/>
      <c r="CH133" s="165"/>
      <c r="CI133" s="165"/>
      <c r="CJ133" s="165"/>
      <c r="CK133" s="160"/>
      <c r="CL133" s="164"/>
      <c r="CM133" s="165"/>
      <c r="CN133" s="182"/>
      <c r="CO133" s="165"/>
      <c r="CP133" s="165"/>
      <c r="CQ133" s="165"/>
      <c r="CR133" s="165"/>
      <c r="CS133" s="175"/>
      <c r="CT133" s="172"/>
      <c r="CU133" s="165"/>
      <c r="CV133" s="160"/>
    </row>
    <row r="134" spans="1:100" x14ac:dyDescent="0.25">
      <c r="A134" s="178"/>
      <c r="B134" s="169"/>
      <c r="F134" s="164"/>
      <c r="G134" s="165"/>
      <c r="H134" s="165"/>
      <c r="I134" s="165"/>
      <c r="J134" s="165"/>
      <c r="K134" s="165"/>
      <c r="L134" s="165"/>
      <c r="M134" s="160"/>
      <c r="N134" s="164"/>
      <c r="O134" s="165"/>
      <c r="P134" s="165"/>
      <c r="Q134" s="165"/>
      <c r="R134" s="165"/>
      <c r="S134" s="165"/>
      <c r="T134" s="165"/>
      <c r="U134" s="160"/>
      <c r="V134" s="165"/>
      <c r="W134" s="169"/>
      <c r="X134" s="164"/>
      <c r="Y134" s="165"/>
      <c r="Z134" s="165"/>
      <c r="AA134" s="165"/>
      <c r="AB134" s="165"/>
      <c r="AC134" s="165"/>
      <c r="AD134" s="165"/>
      <c r="AE134" s="160"/>
      <c r="AF134" s="164"/>
      <c r="AG134" s="165"/>
      <c r="AH134" s="182"/>
      <c r="AI134" s="175"/>
      <c r="AJ134" s="172"/>
      <c r="AK134" s="165"/>
      <c r="AL134" s="165"/>
      <c r="AM134" s="165"/>
      <c r="AN134" s="165"/>
      <c r="AO134" s="165"/>
      <c r="AP134" s="160"/>
      <c r="AQ134" s="164"/>
      <c r="AR134" s="165"/>
      <c r="AS134" s="165"/>
      <c r="AT134" s="165"/>
      <c r="AU134" s="165"/>
      <c r="AV134" s="165"/>
      <c r="AW134" s="165"/>
      <c r="AX134" s="160"/>
      <c r="AY134" s="164"/>
      <c r="AZ134" s="169"/>
      <c r="BA134" s="164"/>
      <c r="BB134" s="165"/>
      <c r="BC134" s="165"/>
      <c r="BD134" s="165"/>
      <c r="BE134" s="165"/>
      <c r="BF134" s="165"/>
      <c r="BG134" s="165"/>
      <c r="BH134" s="160"/>
      <c r="BI134" s="164"/>
      <c r="BJ134" s="165"/>
      <c r="BK134" s="182"/>
      <c r="BL134" s="165"/>
      <c r="BM134" s="165"/>
      <c r="BN134" s="175"/>
      <c r="BO134" s="172"/>
      <c r="BP134" s="165"/>
      <c r="BQ134" s="165"/>
      <c r="BR134" s="165"/>
      <c r="BS134" s="160"/>
      <c r="BT134" s="164"/>
      <c r="BU134" s="165"/>
      <c r="BV134" s="165"/>
      <c r="BW134" s="165"/>
      <c r="BX134" s="165"/>
      <c r="BY134" s="165"/>
      <c r="BZ134" s="165"/>
      <c r="CA134" s="160"/>
      <c r="CB134" s="164"/>
      <c r="CC134" s="169"/>
      <c r="CD134" s="164"/>
      <c r="CE134" s="165"/>
      <c r="CF134" s="165"/>
      <c r="CG134" s="165"/>
      <c r="CH134" s="165"/>
      <c r="CI134" s="165"/>
      <c r="CJ134" s="165"/>
      <c r="CK134" s="160"/>
      <c r="CL134" s="164"/>
      <c r="CM134" s="165"/>
      <c r="CN134" s="182"/>
      <c r="CO134" s="165"/>
      <c r="CP134" s="165"/>
      <c r="CQ134" s="165"/>
      <c r="CR134" s="165"/>
      <c r="CS134" s="175"/>
      <c r="CT134" s="172"/>
      <c r="CU134" s="165"/>
      <c r="CV134" s="160"/>
    </row>
    <row r="135" spans="1:100" x14ac:dyDescent="0.25">
      <c r="A135" s="178"/>
      <c r="B135" s="169"/>
      <c r="F135" s="164"/>
      <c r="G135" s="165"/>
      <c r="H135" s="165"/>
      <c r="I135" s="165"/>
      <c r="J135" s="165"/>
      <c r="K135" s="165"/>
      <c r="L135" s="165"/>
      <c r="M135" s="160"/>
      <c r="N135" s="164"/>
      <c r="O135" s="165"/>
      <c r="P135" s="165"/>
      <c r="Q135" s="165"/>
      <c r="R135" s="165"/>
      <c r="S135" s="165"/>
      <c r="T135" s="165"/>
      <c r="U135" s="160"/>
      <c r="V135" s="165"/>
      <c r="W135" s="169"/>
      <c r="X135" s="164"/>
      <c r="Y135" s="165"/>
      <c r="Z135" s="165"/>
      <c r="AA135" s="165"/>
      <c r="AB135" s="165"/>
      <c r="AC135" s="165"/>
      <c r="AD135" s="165"/>
      <c r="AE135" s="160"/>
      <c r="AF135" s="164"/>
      <c r="AG135" s="165"/>
      <c r="AH135" s="182"/>
      <c r="AI135" s="175"/>
      <c r="AJ135" s="172"/>
      <c r="AK135" s="165"/>
      <c r="AL135" s="165"/>
      <c r="AM135" s="165"/>
      <c r="AN135" s="165"/>
      <c r="AO135" s="165"/>
      <c r="AP135" s="160"/>
      <c r="AQ135" s="164"/>
      <c r="AR135" s="165"/>
      <c r="AS135" s="165"/>
      <c r="AT135" s="165"/>
      <c r="AU135" s="165"/>
      <c r="AV135" s="165"/>
      <c r="AW135" s="165"/>
      <c r="AX135" s="160"/>
      <c r="AY135" s="164"/>
      <c r="AZ135" s="169"/>
      <c r="BA135" s="164"/>
      <c r="BB135" s="165"/>
      <c r="BC135" s="165"/>
      <c r="BD135" s="165"/>
      <c r="BE135" s="165"/>
      <c r="BF135" s="165"/>
      <c r="BG135" s="165"/>
      <c r="BH135" s="160"/>
      <c r="BI135" s="164"/>
      <c r="BJ135" s="165"/>
      <c r="BK135" s="182"/>
      <c r="BL135" s="165"/>
      <c r="BM135" s="165"/>
      <c r="BN135" s="175"/>
      <c r="BO135" s="172"/>
      <c r="BP135" s="165"/>
      <c r="BQ135" s="165"/>
      <c r="BR135" s="165"/>
      <c r="BS135" s="160"/>
      <c r="BT135" s="164"/>
      <c r="BU135" s="165"/>
      <c r="BV135" s="165"/>
      <c r="BW135" s="165"/>
      <c r="BX135" s="165"/>
      <c r="BY135" s="165"/>
      <c r="BZ135" s="165"/>
      <c r="CA135" s="160"/>
      <c r="CB135" s="164"/>
      <c r="CC135" s="169"/>
      <c r="CD135" s="164"/>
      <c r="CE135" s="165"/>
      <c r="CF135" s="165"/>
      <c r="CG135" s="165"/>
      <c r="CH135" s="165"/>
      <c r="CI135" s="165"/>
      <c r="CJ135" s="165"/>
      <c r="CK135" s="160"/>
      <c r="CL135" s="164"/>
      <c r="CM135" s="165"/>
      <c r="CN135" s="182"/>
      <c r="CO135" s="165"/>
      <c r="CP135" s="165"/>
      <c r="CQ135" s="165"/>
      <c r="CR135" s="165"/>
      <c r="CS135" s="175"/>
      <c r="CT135" s="172"/>
      <c r="CU135" s="165"/>
      <c r="CV135" s="160"/>
    </row>
    <row r="136" spans="1:100" x14ac:dyDescent="0.25">
      <c r="A136" s="178"/>
      <c r="B136" s="169"/>
      <c r="F136" s="164"/>
      <c r="G136" s="165"/>
      <c r="H136" s="165"/>
      <c r="I136" s="165"/>
      <c r="J136" s="165"/>
      <c r="K136" s="165"/>
      <c r="L136" s="165"/>
      <c r="M136" s="160"/>
      <c r="N136" s="164"/>
      <c r="O136" s="165"/>
      <c r="P136" s="165"/>
      <c r="Q136" s="165"/>
      <c r="R136" s="165"/>
      <c r="S136" s="165"/>
      <c r="T136" s="165"/>
      <c r="U136" s="160"/>
      <c r="V136" s="165"/>
      <c r="W136" s="169"/>
      <c r="X136" s="164"/>
      <c r="Y136" s="165"/>
      <c r="Z136" s="165"/>
      <c r="AA136" s="165"/>
      <c r="AB136" s="165"/>
      <c r="AC136" s="165"/>
      <c r="AD136" s="165"/>
      <c r="AE136" s="160"/>
      <c r="AF136" s="164"/>
      <c r="AG136" s="165"/>
      <c r="AH136" s="182"/>
      <c r="AI136" s="175"/>
      <c r="AJ136" s="172"/>
      <c r="AK136" s="165"/>
      <c r="AL136" s="165"/>
      <c r="AM136" s="165"/>
      <c r="AN136" s="165"/>
      <c r="AO136" s="165"/>
      <c r="AP136" s="160"/>
      <c r="AQ136" s="164"/>
      <c r="AR136" s="165"/>
      <c r="AS136" s="165"/>
      <c r="AT136" s="165"/>
      <c r="AU136" s="165"/>
      <c r="AV136" s="165"/>
      <c r="AW136" s="165"/>
      <c r="AX136" s="160"/>
      <c r="AY136" s="164"/>
      <c r="AZ136" s="169"/>
      <c r="BA136" s="164"/>
      <c r="BB136" s="165"/>
      <c r="BC136" s="165"/>
      <c r="BD136" s="165"/>
      <c r="BE136" s="165"/>
      <c r="BF136" s="165"/>
      <c r="BG136" s="165"/>
      <c r="BH136" s="160"/>
      <c r="BI136" s="164"/>
      <c r="BJ136" s="165"/>
      <c r="BK136" s="182"/>
      <c r="BL136" s="165"/>
      <c r="BM136" s="165"/>
      <c r="BN136" s="175"/>
      <c r="BO136" s="172"/>
      <c r="BP136" s="165"/>
      <c r="BQ136" s="165"/>
      <c r="BR136" s="165"/>
      <c r="BS136" s="160"/>
      <c r="BT136" s="164"/>
      <c r="BU136" s="165"/>
      <c r="BV136" s="165"/>
      <c r="BW136" s="165"/>
      <c r="BX136" s="165"/>
      <c r="BY136" s="165"/>
      <c r="BZ136" s="165"/>
      <c r="CA136" s="160"/>
      <c r="CB136" s="164"/>
      <c r="CC136" s="169"/>
      <c r="CD136" s="164"/>
      <c r="CE136" s="165"/>
      <c r="CF136" s="165"/>
      <c r="CG136" s="165"/>
      <c r="CH136" s="165"/>
      <c r="CI136" s="165"/>
      <c r="CJ136" s="165"/>
      <c r="CK136" s="160"/>
      <c r="CL136" s="164"/>
      <c r="CM136" s="165"/>
      <c r="CN136" s="182"/>
      <c r="CO136" s="165"/>
      <c r="CP136" s="165"/>
      <c r="CQ136" s="165"/>
      <c r="CR136" s="165"/>
      <c r="CS136" s="175"/>
      <c r="CT136" s="172"/>
      <c r="CU136" s="165"/>
      <c r="CV136" s="160"/>
    </row>
    <row r="137" spans="1:100" x14ac:dyDescent="0.25">
      <c r="A137" s="178"/>
      <c r="B137" s="169"/>
      <c r="F137" s="164"/>
      <c r="G137" s="165"/>
      <c r="H137" s="165"/>
      <c r="I137" s="165"/>
      <c r="J137" s="165"/>
      <c r="K137" s="165"/>
      <c r="L137" s="165"/>
      <c r="M137" s="160"/>
      <c r="N137" s="164"/>
      <c r="O137" s="165"/>
      <c r="P137" s="165"/>
      <c r="Q137" s="165"/>
      <c r="R137" s="165"/>
      <c r="S137" s="165"/>
      <c r="T137" s="165"/>
      <c r="U137" s="160"/>
      <c r="V137" s="165"/>
      <c r="W137" s="169"/>
      <c r="X137" s="164"/>
      <c r="Y137" s="165"/>
      <c r="Z137" s="165"/>
      <c r="AA137" s="165"/>
      <c r="AB137" s="165"/>
      <c r="AC137" s="165"/>
      <c r="AD137" s="165"/>
      <c r="AE137" s="160"/>
      <c r="AF137" s="164"/>
      <c r="AG137" s="165"/>
      <c r="AH137" s="182"/>
      <c r="AI137" s="175"/>
      <c r="AJ137" s="172"/>
      <c r="AK137" s="165"/>
      <c r="AL137" s="165"/>
      <c r="AM137" s="165"/>
      <c r="AN137" s="165"/>
      <c r="AO137" s="165"/>
      <c r="AP137" s="160"/>
      <c r="AQ137" s="164"/>
      <c r="AR137" s="165"/>
      <c r="AS137" s="165"/>
      <c r="AT137" s="165"/>
      <c r="AU137" s="165"/>
      <c r="AV137" s="165"/>
      <c r="AW137" s="165"/>
      <c r="AX137" s="160"/>
      <c r="AY137" s="164"/>
      <c r="AZ137" s="169"/>
      <c r="BA137" s="164"/>
      <c r="BB137" s="165"/>
      <c r="BC137" s="165"/>
      <c r="BD137" s="165"/>
      <c r="BE137" s="165"/>
      <c r="BF137" s="165"/>
      <c r="BG137" s="165"/>
      <c r="BH137" s="160"/>
      <c r="BI137" s="164"/>
      <c r="BJ137" s="165"/>
      <c r="BK137" s="182"/>
      <c r="BL137" s="165"/>
      <c r="BM137" s="165"/>
      <c r="BN137" s="175"/>
      <c r="BO137" s="172"/>
      <c r="BP137" s="165"/>
      <c r="BQ137" s="165"/>
      <c r="BR137" s="165"/>
      <c r="BS137" s="160"/>
      <c r="BT137" s="164"/>
      <c r="BU137" s="165"/>
      <c r="BV137" s="165"/>
      <c r="BW137" s="165"/>
      <c r="BX137" s="165"/>
      <c r="BY137" s="165"/>
      <c r="BZ137" s="165"/>
      <c r="CA137" s="160"/>
      <c r="CB137" s="164"/>
      <c r="CC137" s="169"/>
      <c r="CD137" s="164"/>
      <c r="CE137" s="165"/>
      <c r="CF137" s="165"/>
      <c r="CG137" s="165"/>
      <c r="CH137" s="165"/>
      <c r="CI137" s="165"/>
      <c r="CJ137" s="165"/>
      <c r="CK137" s="160"/>
      <c r="CL137" s="164"/>
      <c r="CM137" s="165"/>
      <c r="CN137" s="182"/>
      <c r="CO137" s="165"/>
      <c r="CP137" s="165"/>
      <c r="CQ137" s="165"/>
      <c r="CR137" s="165"/>
      <c r="CS137" s="175"/>
      <c r="CT137" s="172"/>
      <c r="CU137" s="165"/>
      <c r="CV137" s="160"/>
    </row>
    <row r="138" spans="1:100" x14ac:dyDescent="0.25">
      <c r="A138" s="178"/>
      <c r="B138" s="169"/>
      <c r="F138" s="164"/>
      <c r="G138" s="165"/>
      <c r="H138" s="165"/>
      <c r="I138" s="165"/>
      <c r="J138" s="165"/>
      <c r="K138" s="165"/>
      <c r="L138" s="165"/>
      <c r="M138" s="160"/>
      <c r="N138" s="164"/>
      <c r="O138" s="165"/>
      <c r="P138" s="165"/>
      <c r="Q138" s="165"/>
      <c r="R138" s="165"/>
      <c r="S138" s="165"/>
      <c r="T138" s="165"/>
      <c r="U138" s="160"/>
      <c r="V138" s="165"/>
      <c r="W138" s="169"/>
      <c r="X138" s="164"/>
      <c r="Y138" s="165"/>
      <c r="Z138" s="165"/>
      <c r="AA138" s="165"/>
      <c r="AB138" s="165"/>
      <c r="AC138" s="165"/>
      <c r="AD138" s="165"/>
      <c r="AE138" s="160"/>
      <c r="AF138" s="164"/>
      <c r="AG138" s="165"/>
      <c r="AH138" s="182"/>
      <c r="AI138" s="175"/>
      <c r="AJ138" s="172"/>
      <c r="AK138" s="165"/>
      <c r="AL138" s="165"/>
      <c r="AM138" s="165"/>
      <c r="AN138" s="165"/>
      <c r="AO138" s="165"/>
      <c r="AP138" s="160"/>
      <c r="AQ138" s="164"/>
      <c r="AR138" s="165"/>
      <c r="AS138" s="165"/>
      <c r="AT138" s="165"/>
      <c r="AU138" s="165"/>
      <c r="AV138" s="165"/>
      <c r="AW138" s="165"/>
      <c r="AX138" s="160"/>
      <c r="AY138" s="164"/>
      <c r="AZ138" s="169"/>
      <c r="BA138" s="164"/>
      <c r="BB138" s="165"/>
      <c r="BC138" s="165"/>
      <c r="BD138" s="165"/>
      <c r="BE138" s="165"/>
      <c r="BF138" s="165"/>
      <c r="BG138" s="165"/>
      <c r="BH138" s="160"/>
      <c r="BI138" s="164"/>
      <c r="BJ138" s="165"/>
      <c r="BK138" s="182"/>
      <c r="BL138" s="165"/>
      <c r="BM138" s="165"/>
      <c r="BN138" s="175"/>
      <c r="BO138" s="172"/>
      <c r="BP138" s="165"/>
      <c r="BQ138" s="165"/>
      <c r="BR138" s="165"/>
      <c r="BS138" s="160"/>
      <c r="BT138" s="164"/>
      <c r="BU138" s="165"/>
      <c r="BV138" s="165"/>
      <c r="BW138" s="165"/>
      <c r="BX138" s="165"/>
      <c r="BY138" s="165"/>
      <c r="BZ138" s="165"/>
      <c r="CA138" s="160"/>
      <c r="CB138" s="164"/>
      <c r="CC138" s="169"/>
      <c r="CD138" s="164"/>
      <c r="CE138" s="165"/>
      <c r="CF138" s="165"/>
      <c r="CG138" s="165"/>
      <c r="CH138" s="165"/>
      <c r="CI138" s="165"/>
      <c r="CJ138" s="165"/>
      <c r="CK138" s="160"/>
      <c r="CL138" s="164"/>
      <c r="CM138" s="165"/>
      <c r="CN138" s="182"/>
      <c r="CO138" s="165"/>
      <c r="CP138" s="165"/>
      <c r="CQ138" s="165"/>
      <c r="CR138" s="165"/>
      <c r="CS138" s="175"/>
      <c r="CT138" s="172"/>
      <c r="CU138" s="165"/>
      <c r="CV138" s="160"/>
    </row>
    <row r="139" spans="1:100" x14ac:dyDescent="0.25">
      <c r="A139" s="178"/>
      <c r="B139" s="169"/>
      <c r="F139" s="164"/>
      <c r="G139" s="165"/>
      <c r="H139" s="165"/>
      <c r="I139" s="165"/>
      <c r="J139" s="165"/>
      <c r="K139" s="165"/>
      <c r="L139" s="165"/>
      <c r="M139" s="160"/>
      <c r="N139" s="164"/>
      <c r="O139" s="165"/>
      <c r="P139" s="165"/>
      <c r="Q139" s="165"/>
      <c r="R139" s="165"/>
      <c r="S139" s="165"/>
      <c r="T139" s="165"/>
      <c r="U139" s="160"/>
      <c r="V139" s="165"/>
      <c r="W139" s="169"/>
      <c r="X139" s="164"/>
      <c r="Y139" s="165"/>
      <c r="Z139" s="165"/>
      <c r="AA139" s="165"/>
      <c r="AB139" s="165"/>
      <c r="AC139" s="165"/>
      <c r="AD139" s="165"/>
      <c r="AE139" s="160"/>
      <c r="AF139" s="164"/>
      <c r="AG139" s="165"/>
      <c r="AH139" s="182"/>
      <c r="AI139" s="175"/>
      <c r="AJ139" s="172"/>
      <c r="AK139" s="165"/>
      <c r="AL139" s="165"/>
      <c r="AM139" s="165"/>
      <c r="AN139" s="165"/>
      <c r="AO139" s="165"/>
      <c r="AP139" s="160"/>
      <c r="AQ139" s="164"/>
      <c r="AR139" s="165"/>
      <c r="AS139" s="165"/>
      <c r="AT139" s="165"/>
      <c r="AU139" s="165"/>
      <c r="AV139" s="165"/>
      <c r="AW139" s="165"/>
      <c r="AX139" s="160"/>
      <c r="AY139" s="164"/>
      <c r="AZ139" s="169"/>
      <c r="BA139" s="164"/>
      <c r="BB139" s="165"/>
      <c r="BC139" s="165"/>
      <c r="BD139" s="165"/>
      <c r="BE139" s="165"/>
      <c r="BF139" s="165"/>
      <c r="BG139" s="165"/>
      <c r="BH139" s="160"/>
      <c r="BI139" s="164"/>
      <c r="BJ139" s="165"/>
      <c r="BK139" s="182"/>
      <c r="BL139" s="165"/>
      <c r="BM139" s="165"/>
      <c r="BN139" s="175"/>
      <c r="BO139" s="172"/>
      <c r="BP139" s="165"/>
      <c r="BQ139" s="165"/>
      <c r="BR139" s="165"/>
      <c r="BS139" s="160"/>
      <c r="BT139" s="164"/>
      <c r="BU139" s="165"/>
      <c r="BV139" s="165"/>
      <c r="BW139" s="165"/>
      <c r="BX139" s="165"/>
      <c r="BY139" s="165"/>
      <c r="BZ139" s="165"/>
      <c r="CA139" s="160"/>
      <c r="CB139" s="164"/>
      <c r="CC139" s="169"/>
      <c r="CD139" s="164"/>
      <c r="CE139" s="165"/>
      <c r="CF139" s="165"/>
      <c r="CG139" s="165"/>
      <c r="CH139" s="165"/>
      <c r="CI139" s="165"/>
      <c r="CJ139" s="165"/>
      <c r="CK139" s="160"/>
      <c r="CL139" s="164"/>
      <c r="CM139" s="165"/>
      <c r="CN139" s="182"/>
      <c r="CO139" s="165"/>
      <c r="CP139" s="165"/>
      <c r="CQ139" s="165"/>
      <c r="CR139" s="165"/>
      <c r="CS139" s="175"/>
      <c r="CT139" s="172"/>
      <c r="CU139" s="165"/>
      <c r="CV139" s="160"/>
    </row>
    <row r="140" spans="1:100" x14ac:dyDescent="0.25">
      <c r="A140" s="178"/>
      <c r="B140" s="169"/>
      <c r="F140" s="164"/>
      <c r="G140" s="165"/>
      <c r="H140" s="165"/>
      <c r="I140" s="165"/>
      <c r="J140" s="165"/>
      <c r="K140" s="165"/>
      <c r="L140" s="165"/>
      <c r="M140" s="160"/>
      <c r="N140" s="164"/>
      <c r="O140" s="165"/>
      <c r="P140" s="165"/>
      <c r="Q140" s="165"/>
      <c r="R140" s="165"/>
      <c r="S140" s="165"/>
      <c r="T140" s="165"/>
      <c r="U140" s="160"/>
      <c r="V140" s="165"/>
      <c r="W140" s="169"/>
      <c r="X140" s="164"/>
      <c r="Y140" s="165"/>
      <c r="Z140" s="165"/>
      <c r="AA140" s="165"/>
      <c r="AB140" s="165"/>
      <c r="AC140" s="165"/>
      <c r="AD140" s="165"/>
      <c r="AE140" s="160"/>
      <c r="AF140" s="164"/>
      <c r="AG140" s="165"/>
      <c r="AH140" s="182"/>
      <c r="AI140" s="175"/>
      <c r="AJ140" s="172"/>
      <c r="AK140" s="165"/>
      <c r="AL140" s="165"/>
      <c r="AM140" s="165"/>
      <c r="AN140" s="165"/>
      <c r="AO140" s="165"/>
      <c r="AP140" s="160"/>
      <c r="AQ140" s="164"/>
      <c r="AR140" s="165"/>
      <c r="AS140" s="165"/>
      <c r="AT140" s="165"/>
      <c r="AU140" s="165"/>
      <c r="AV140" s="165"/>
      <c r="AW140" s="165"/>
      <c r="AX140" s="160"/>
      <c r="AY140" s="164"/>
      <c r="AZ140" s="169"/>
      <c r="BA140" s="164"/>
      <c r="BB140" s="165"/>
      <c r="BC140" s="165"/>
      <c r="BD140" s="165"/>
      <c r="BE140" s="165"/>
      <c r="BF140" s="165"/>
      <c r="BG140" s="165"/>
      <c r="BH140" s="160"/>
      <c r="BI140" s="164"/>
      <c r="BJ140" s="165"/>
      <c r="BK140" s="182"/>
      <c r="BL140" s="165"/>
      <c r="BM140" s="165"/>
      <c r="BN140" s="175"/>
      <c r="BO140" s="172"/>
      <c r="BP140" s="165"/>
      <c r="BQ140" s="165"/>
      <c r="BR140" s="165"/>
      <c r="BS140" s="160"/>
      <c r="BT140" s="164"/>
      <c r="BU140" s="165"/>
      <c r="BV140" s="165"/>
      <c r="BW140" s="165"/>
      <c r="BX140" s="165"/>
      <c r="BY140" s="165"/>
      <c r="BZ140" s="165"/>
      <c r="CA140" s="160"/>
      <c r="CB140" s="164"/>
      <c r="CC140" s="169"/>
      <c r="CD140" s="164"/>
      <c r="CE140" s="165"/>
      <c r="CF140" s="165"/>
      <c r="CG140" s="165"/>
      <c r="CH140" s="165"/>
      <c r="CI140" s="165"/>
      <c r="CJ140" s="165"/>
      <c r="CK140" s="160"/>
      <c r="CL140" s="164"/>
      <c r="CM140" s="165"/>
      <c r="CN140" s="182"/>
      <c r="CO140" s="165"/>
      <c r="CP140" s="165"/>
      <c r="CQ140" s="165"/>
      <c r="CR140" s="165"/>
      <c r="CS140" s="175"/>
      <c r="CT140" s="172"/>
      <c r="CU140" s="165"/>
      <c r="CV140" s="160"/>
    </row>
    <row r="141" spans="1:100" x14ac:dyDescent="0.25">
      <c r="A141" s="178"/>
      <c r="B141" s="169"/>
      <c r="F141" s="164"/>
      <c r="G141" s="165"/>
      <c r="H141" s="165"/>
      <c r="I141" s="165"/>
      <c r="J141" s="165"/>
      <c r="K141" s="165"/>
      <c r="L141" s="165"/>
      <c r="M141" s="160"/>
      <c r="N141" s="164"/>
      <c r="O141" s="165"/>
      <c r="P141" s="165"/>
      <c r="Q141" s="165"/>
      <c r="R141" s="165"/>
      <c r="S141" s="165"/>
      <c r="T141" s="165"/>
      <c r="U141" s="160"/>
      <c r="V141" s="165"/>
      <c r="W141" s="169"/>
      <c r="X141" s="164"/>
      <c r="Y141" s="165"/>
      <c r="Z141" s="165"/>
      <c r="AA141" s="165"/>
      <c r="AB141" s="165"/>
      <c r="AC141" s="165"/>
      <c r="AD141" s="165"/>
      <c r="AE141" s="160"/>
      <c r="AF141" s="164"/>
      <c r="AG141" s="165"/>
      <c r="AH141" s="182"/>
      <c r="AI141" s="175"/>
      <c r="AJ141" s="172"/>
      <c r="AK141" s="165"/>
      <c r="AL141" s="165"/>
      <c r="AM141" s="165"/>
      <c r="AN141" s="165"/>
      <c r="AO141" s="165"/>
      <c r="AP141" s="160"/>
      <c r="AQ141" s="164"/>
      <c r="AR141" s="165"/>
      <c r="AS141" s="165"/>
      <c r="AT141" s="165"/>
      <c r="AU141" s="165"/>
      <c r="AV141" s="165"/>
      <c r="AW141" s="165"/>
      <c r="AX141" s="160"/>
      <c r="AY141" s="164"/>
      <c r="AZ141" s="169"/>
      <c r="BA141" s="164"/>
      <c r="BB141" s="165"/>
      <c r="BC141" s="165"/>
      <c r="BD141" s="165"/>
      <c r="BE141" s="165"/>
      <c r="BF141" s="165"/>
      <c r="BG141" s="165"/>
      <c r="BH141" s="160"/>
      <c r="BI141" s="164"/>
      <c r="BJ141" s="165"/>
      <c r="BK141" s="182"/>
      <c r="BL141" s="165"/>
      <c r="BM141" s="165"/>
      <c r="BN141" s="175"/>
      <c r="BO141" s="172"/>
      <c r="BP141" s="165"/>
      <c r="BQ141" s="165"/>
      <c r="BR141" s="165"/>
      <c r="BS141" s="160"/>
      <c r="BT141" s="164"/>
      <c r="BU141" s="165"/>
      <c r="BV141" s="165"/>
      <c r="BW141" s="165"/>
      <c r="BX141" s="165"/>
      <c r="BY141" s="165"/>
      <c r="BZ141" s="165"/>
      <c r="CA141" s="160"/>
      <c r="CB141" s="164"/>
      <c r="CC141" s="169"/>
      <c r="CD141" s="164"/>
      <c r="CE141" s="165"/>
      <c r="CF141" s="165"/>
      <c r="CG141" s="165"/>
      <c r="CH141" s="165"/>
      <c r="CI141" s="165"/>
      <c r="CJ141" s="165"/>
      <c r="CK141" s="160"/>
      <c r="CL141" s="164"/>
      <c r="CM141" s="165"/>
      <c r="CN141" s="182"/>
      <c r="CO141" s="165"/>
      <c r="CP141" s="165"/>
      <c r="CQ141" s="165"/>
      <c r="CR141" s="165"/>
      <c r="CS141" s="175"/>
      <c r="CT141" s="172"/>
      <c r="CU141" s="165"/>
      <c r="CV141" s="160"/>
    </row>
    <row r="142" spans="1:100" x14ac:dyDescent="0.25">
      <c r="A142" s="178"/>
      <c r="B142" s="169"/>
      <c r="F142" s="164"/>
      <c r="G142" s="165"/>
      <c r="H142" s="165"/>
      <c r="I142" s="165"/>
      <c r="J142" s="165"/>
      <c r="K142" s="165"/>
      <c r="L142" s="165"/>
      <c r="M142" s="160"/>
      <c r="N142" s="164"/>
      <c r="O142" s="165"/>
      <c r="P142" s="165"/>
      <c r="Q142" s="165"/>
      <c r="R142" s="165"/>
      <c r="S142" s="165"/>
      <c r="T142" s="165"/>
      <c r="U142" s="160"/>
      <c r="V142" s="165"/>
      <c r="W142" s="169"/>
      <c r="X142" s="164"/>
      <c r="Y142" s="165"/>
      <c r="Z142" s="165"/>
      <c r="AA142" s="165"/>
      <c r="AB142" s="165"/>
      <c r="AC142" s="165"/>
      <c r="AD142" s="165"/>
      <c r="AE142" s="160"/>
      <c r="AF142" s="164"/>
      <c r="AG142" s="165"/>
      <c r="AH142" s="182"/>
      <c r="AI142" s="175"/>
      <c r="AJ142" s="172"/>
      <c r="AK142" s="165"/>
      <c r="AL142" s="165"/>
      <c r="AM142" s="165"/>
      <c r="AN142" s="165"/>
      <c r="AO142" s="165"/>
      <c r="AP142" s="160"/>
      <c r="AQ142" s="164"/>
      <c r="AR142" s="165"/>
      <c r="AS142" s="165"/>
      <c r="AT142" s="165"/>
      <c r="AU142" s="165"/>
      <c r="AV142" s="165"/>
      <c r="AW142" s="165"/>
      <c r="AX142" s="160"/>
      <c r="AY142" s="164"/>
      <c r="AZ142" s="169"/>
      <c r="BA142" s="164"/>
      <c r="BB142" s="165"/>
      <c r="BC142" s="165"/>
      <c r="BD142" s="165"/>
      <c r="BE142" s="165"/>
      <c r="BF142" s="165"/>
      <c r="BG142" s="165"/>
      <c r="BH142" s="160"/>
      <c r="BI142" s="164"/>
      <c r="BJ142" s="165"/>
      <c r="BK142" s="182"/>
      <c r="BL142" s="165"/>
      <c r="BM142" s="165"/>
      <c r="BN142" s="175"/>
      <c r="BO142" s="172"/>
      <c r="BP142" s="165"/>
      <c r="BQ142" s="165"/>
      <c r="BR142" s="165"/>
      <c r="BS142" s="160"/>
      <c r="BT142" s="164"/>
      <c r="BU142" s="165"/>
      <c r="BV142" s="165"/>
      <c r="BW142" s="165"/>
      <c r="BX142" s="165"/>
      <c r="BY142" s="165"/>
      <c r="BZ142" s="165"/>
      <c r="CA142" s="160"/>
      <c r="CB142" s="164"/>
      <c r="CC142" s="169"/>
      <c r="CD142" s="164"/>
      <c r="CE142" s="165"/>
      <c r="CF142" s="165"/>
      <c r="CG142" s="165"/>
      <c r="CH142" s="165"/>
      <c r="CI142" s="165"/>
      <c r="CJ142" s="165"/>
      <c r="CK142" s="160"/>
      <c r="CL142" s="164"/>
      <c r="CM142" s="165"/>
      <c r="CN142" s="182"/>
      <c r="CO142" s="165"/>
      <c r="CP142" s="165"/>
      <c r="CQ142" s="165"/>
      <c r="CR142" s="165"/>
      <c r="CS142" s="175"/>
      <c r="CT142" s="172"/>
      <c r="CU142" s="165"/>
      <c r="CV142" s="160"/>
    </row>
    <row r="143" spans="1:100" x14ac:dyDescent="0.25">
      <c r="A143" s="178"/>
      <c r="B143" s="169"/>
      <c r="F143" s="164"/>
      <c r="G143" s="165"/>
      <c r="H143" s="165"/>
      <c r="I143" s="165"/>
      <c r="J143" s="165"/>
      <c r="K143" s="165"/>
      <c r="L143" s="165"/>
      <c r="M143" s="160"/>
      <c r="N143" s="164"/>
      <c r="O143" s="165"/>
      <c r="P143" s="165"/>
      <c r="Q143" s="165"/>
      <c r="R143" s="165"/>
      <c r="S143" s="165"/>
      <c r="T143" s="165"/>
      <c r="U143" s="160"/>
      <c r="V143" s="165"/>
      <c r="W143" s="169"/>
      <c r="X143" s="164"/>
      <c r="Y143" s="165"/>
      <c r="Z143" s="165"/>
      <c r="AA143" s="165"/>
      <c r="AB143" s="165"/>
      <c r="AC143" s="165"/>
      <c r="AD143" s="165"/>
      <c r="AE143" s="160"/>
      <c r="AF143" s="164"/>
      <c r="AG143" s="165"/>
      <c r="AH143" s="182"/>
      <c r="AI143" s="175"/>
      <c r="AJ143" s="172"/>
      <c r="AK143" s="165"/>
      <c r="AL143" s="165"/>
      <c r="AM143" s="165"/>
      <c r="AN143" s="165"/>
      <c r="AO143" s="165"/>
      <c r="AP143" s="160"/>
      <c r="AQ143" s="164"/>
      <c r="AR143" s="165"/>
      <c r="AS143" s="165"/>
      <c r="AT143" s="165"/>
      <c r="AU143" s="165"/>
      <c r="AV143" s="165"/>
      <c r="AW143" s="165"/>
      <c r="AX143" s="160"/>
      <c r="AY143" s="164"/>
      <c r="AZ143" s="169"/>
      <c r="BA143" s="164"/>
      <c r="BB143" s="165"/>
      <c r="BC143" s="165"/>
      <c r="BD143" s="165"/>
      <c r="BE143" s="165"/>
      <c r="BF143" s="165"/>
      <c r="BG143" s="165"/>
      <c r="BH143" s="160"/>
      <c r="BI143" s="164"/>
      <c r="BJ143" s="165"/>
      <c r="BK143" s="182"/>
      <c r="BL143" s="165"/>
      <c r="BM143" s="165"/>
      <c r="BN143" s="175"/>
      <c r="BO143" s="172"/>
      <c r="BP143" s="165"/>
      <c r="BQ143" s="165"/>
      <c r="BR143" s="165"/>
      <c r="BS143" s="160"/>
      <c r="BT143" s="164"/>
      <c r="BU143" s="165"/>
      <c r="BV143" s="165"/>
      <c r="BW143" s="165"/>
      <c r="BX143" s="165"/>
      <c r="BY143" s="165"/>
      <c r="BZ143" s="165"/>
      <c r="CA143" s="160"/>
      <c r="CB143" s="164"/>
      <c r="CC143" s="169"/>
      <c r="CD143" s="164"/>
      <c r="CE143" s="165"/>
      <c r="CF143" s="165"/>
      <c r="CG143" s="165"/>
      <c r="CH143" s="165"/>
      <c r="CI143" s="165"/>
      <c r="CJ143" s="165"/>
      <c r="CK143" s="160"/>
      <c r="CL143" s="164"/>
      <c r="CM143" s="165"/>
      <c r="CN143" s="182"/>
      <c r="CO143" s="165"/>
      <c r="CP143" s="165"/>
      <c r="CQ143" s="165"/>
      <c r="CR143" s="165"/>
      <c r="CS143" s="175"/>
      <c r="CT143" s="172"/>
      <c r="CU143" s="165"/>
      <c r="CV143" s="160"/>
    </row>
    <row r="144" spans="1:100" x14ac:dyDescent="0.25">
      <c r="A144" s="178"/>
      <c r="B144" s="169"/>
      <c r="F144" s="164"/>
      <c r="G144" s="165"/>
      <c r="H144" s="165"/>
      <c r="I144" s="165"/>
      <c r="J144" s="165"/>
      <c r="K144" s="165"/>
      <c r="L144" s="165"/>
      <c r="M144" s="160"/>
      <c r="N144" s="164"/>
      <c r="O144" s="165"/>
      <c r="P144" s="165"/>
      <c r="Q144" s="165"/>
      <c r="R144" s="165"/>
      <c r="S144" s="165"/>
      <c r="T144" s="165"/>
      <c r="U144" s="160"/>
      <c r="V144" s="165"/>
      <c r="W144" s="169"/>
      <c r="X144" s="164"/>
      <c r="Y144" s="165"/>
      <c r="Z144" s="165"/>
      <c r="AA144" s="165"/>
      <c r="AB144" s="165"/>
      <c r="AC144" s="165"/>
      <c r="AD144" s="165"/>
      <c r="AE144" s="160"/>
      <c r="AF144" s="164"/>
      <c r="AG144" s="165"/>
      <c r="AH144" s="182"/>
      <c r="AI144" s="175"/>
      <c r="AJ144" s="172"/>
      <c r="AK144" s="165"/>
      <c r="AL144" s="165"/>
      <c r="AM144" s="165"/>
      <c r="AN144" s="165"/>
      <c r="AO144" s="165"/>
      <c r="AP144" s="160"/>
      <c r="AQ144" s="164"/>
      <c r="AR144" s="165"/>
      <c r="AS144" s="165"/>
      <c r="AT144" s="165"/>
      <c r="AU144" s="165"/>
      <c r="AV144" s="165"/>
      <c r="AW144" s="165"/>
      <c r="AX144" s="160"/>
      <c r="AY144" s="164"/>
      <c r="AZ144" s="169"/>
      <c r="BA144" s="164"/>
      <c r="BB144" s="165"/>
      <c r="BC144" s="165"/>
      <c r="BD144" s="165"/>
      <c r="BE144" s="165"/>
      <c r="BF144" s="165"/>
      <c r="BG144" s="165"/>
      <c r="BH144" s="160"/>
      <c r="BI144" s="164"/>
      <c r="BJ144" s="165"/>
      <c r="BK144" s="182"/>
      <c r="BL144" s="165"/>
      <c r="BM144" s="165"/>
      <c r="BN144" s="175"/>
      <c r="BO144" s="172"/>
      <c r="BP144" s="165"/>
      <c r="BQ144" s="165"/>
      <c r="BR144" s="165"/>
      <c r="BS144" s="160"/>
      <c r="BT144" s="164"/>
      <c r="BU144" s="165"/>
      <c r="BV144" s="165"/>
      <c r="BW144" s="165"/>
      <c r="BX144" s="165"/>
      <c r="BY144" s="165"/>
      <c r="BZ144" s="165"/>
      <c r="CA144" s="160"/>
      <c r="CB144" s="164"/>
      <c r="CC144" s="169"/>
      <c r="CD144" s="164"/>
      <c r="CE144" s="165"/>
      <c r="CF144" s="165"/>
      <c r="CG144" s="165"/>
      <c r="CH144" s="165"/>
      <c r="CI144" s="165"/>
      <c r="CJ144" s="165"/>
      <c r="CK144" s="160"/>
      <c r="CL144" s="164"/>
      <c r="CM144" s="165"/>
      <c r="CN144" s="182"/>
      <c r="CO144" s="165"/>
      <c r="CP144" s="165"/>
      <c r="CQ144" s="165"/>
      <c r="CR144" s="165"/>
      <c r="CS144" s="175"/>
      <c r="CT144" s="172"/>
      <c r="CU144" s="165"/>
      <c r="CV144" s="160"/>
    </row>
    <row r="145" spans="1:101" x14ac:dyDescent="0.25">
      <c r="A145" s="178"/>
      <c r="B145" s="169"/>
      <c r="F145" s="164"/>
      <c r="G145" s="165"/>
      <c r="H145" s="165"/>
      <c r="I145" s="165"/>
      <c r="J145" s="165"/>
      <c r="K145" s="165"/>
      <c r="L145" s="165"/>
      <c r="M145" s="160"/>
      <c r="N145" s="164"/>
      <c r="O145" s="165"/>
      <c r="P145" s="165"/>
      <c r="Q145" s="165"/>
      <c r="R145" s="165"/>
      <c r="S145" s="165"/>
      <c r="T145" s="165"/>
      <c r="U145" s="160"/>
      <c r="V145" s="165"/>
      <c r="W145" s="169"/>
      <c r="X145" s="164"/>
      <c r="Y145" s="165"/>
      <c r="Z145" s="165"/>
      <c r="AA145" s="165"/>
      <c r="AB145" s="165"/>
      <c r="AC145" s="165"/>
      <c r="AD145" s="165"/>
      <c r="AE145" s="160"/>
      <c r="AF145" s="164"/>
      <c r="AG145" s="165"/>
      <c r="AH145" s="182"/>
      <c r="AI145" s="175"/>
      <c r="AJ145" s="172"/>
      <c r="AK145" s="165"/>
      <c r="AL145" s="165"/>
      <c r="AM145" s="165"/>
      <c r="AN145" s="165"/>
      <c r="AO145" s="165"/>
      <c r="AP145" s="160"/>
      <c r="AQ145" s="164"/>
      <c r="AR145" s="165"/>
      <c r="AS145" s="165"/>
      <c r="AT145" s="165"/>
      <c r="AU145" s="165"/>
      <c r="AV145" s="165"/>
      <c r="AW145" s="165"/>
      <c r="AX145" s="160"/>
      <c r="AY145" s="164"/>
      <c r="AZ145" s="169"/>
      <c r="BA145" s="164"/>
      <c r="BB145" s="165"/>
      <c r="BC145" s="165"/>
      <c r="BD145" s="165"/>
      <c r="BE145" s="165"/>
      <c r="BF145" s="165"/>
      <c r="BG145" s="165"/>
      <c r="BH145" s="160"/>
      <c r="BI145" s="164"/>
      <c r="BJ145" s="165"/>
      <c r="BK145" s="182"/>
      <c r="BL145" s="165"/>
      <c r="BM145" s="165"/>
      <c r="BN145" s="175"/>
      <c r="BO145" s="172"/>
      <c r="BP145" s="165"/>
      <c r="BQ145" s="165"/>
      <c r="BR145" s="165"/>
      <c r="BS145" s="160"/>
      <c r="BT145" s="164"/>
      <c r="BU145" s="165"/>
      <c r="BV145" s="165"/>
      <c r="BW145" s="165"/>
      <c r="BX145" s="165"/>
      <c r="BY145" s="165"/>
      <c r="BZ145" s="165"/>
      <c r="CA145" s="160"/>
      <c r="CB145" s="164"/>
      <c r="CC145" s="169"/>
      <c r="CD145" s="164"/>
      <c r="CE145" s="165"/>
      <c r="CF145" s="165"/>
      <c r="CG145" s="165"/>
      <c r="CH145" s="165"/>
      <c r="CI145" s="165"/>
      <c r="CJ145" s="165"/>
      <c r="CK145" s="160"/>
      <c r="CL145" s="164"/>
      <c r="CM145" s="165"/>
      <c r="CN145" s="182"/>
      <c r="CO145" s="165"/>
      <c r="CP145" s="165"/>
      <c r="CQ145" s="165"/>
      <c r="CR145" s="165"/>
      <c r="CS145" s="175"/>
      <c r="CT145" s="172"/>
      <c r="CU145" s="165"/>
      <c r="CV145" s="160"/>
    </row>
    <row r="146" spans="1:101" x14ac:dyDescent="0.25">
      <c r="A146" s="178"/>
      <c r="B146" s="169"/>
      <c r="F146" s="164"/>
      <c r="G146" s="165"/>
      <c r="H146" s="165"/>
      <c r="I146" s="165"/>
      <c r="J146" s="165"/>
      <c r="K146" s="165"/>
      <c r="L146" s="165"/>
      <c r="M146" s="160"/>
      <c r="N146" s="164"/>
      <c r="O146" s="165"/>
      <c r="P146" s="165"/>
      <c r="Q146" s="165"/>
      <c r="R146" s="165"/>
      <c r="S146" s="165"/>
      <c r="T146" s="165"/>
      <c r="U146" s="160"/>
      <c r="V146" s="165"/>
      <c r="W146" s="169"/>
      <c r="X146" s="164"/>
      <c r="Y146" s="165"/>
      <c r="Z146" s="165"/>
      <c r="AA146" s="165"/>
      <c r="AB146" s="165"/>
      <c r="AC146" s="165"/>
      <c r="AD146" s="165"/>
      <c r="AE146" s="160"/>
      <c r="AF146" s="164"/>
      <c r="AG146" s="165"/>
      <c r="AH146" s="182"/>
      <c r="AI146" s="175"/>
      <c r="AJ146" s="172"/>
      <c r="AK146" s="165"/>
      <c r="AL146" s="165"/>
      <c r="AM146" s="165"/>
      <c r="AN146" s="165"/>
      <c r="AO146" s="165"/>
      <c r="AP146" s="160"/>
      <c r="AQ146" s="164"/>
      <c r="AR146" s="165"/>
      <c r="AS146" s="165"/>
      <c r="AT146" s="165"/>
      <c r="AU146" s="165"/>
      <c r="AV146" s="165"/>
      <c r="AW146" s="165"/>
      <c r="AX146" s="160"/>
      <c r="AY146" s="164"/>
      <c r="AZ146" s="169"/>
      <c r="BA146" s="164"/>
      <c r="BB146" s="165"/>
      <c r="BC146" s="165"/>
      <c r="BD146" s="165"/>
      <c r="BE146" s="165"/>
      <c r="BF146" s="165"/>
      <c r="BG146" s="165"/>
      <c r="BH146" s="160"/>
      <c r="BI146" s="164"/>
      <c r="BJ146" s="165"/>
      <c r="BK146" s="182"/>
      <c r="BL146" s="165"/>
      <c r="BM146" s="165"/>
      <c r="BN146" s="175"/>
      <c r="BO146" s="172"/>
      <c r="BP146" s="165"/>
      <c r="BQ146" s="165"/>
      <c r="BR146" s="165"/>
      <c r="BS146" s="160"/>
      <c r="BT146" s="164"/>
      <c r="BU146" s="165"/>
      <c r="BV146" s="165"/>
      <c r="BW146" s="165"/>
      <c r="BX146" s="165"/>
      <c r="BY146" s="165"/>
      <c r="BZ146" s="165"/>
      <c r="CA146" s="160"/>
      <c r="CB146" s="164"/>
      <c r="CC146" s="169"/>
      <c r="CD146" s="164"/>
      <c r="CE146" s="165"/>
      <c r="CF146" s="165"/>
      <c r="CG146" s="165"/>
      <c r="CH146" s="165"/>
      <c r="CI146" s="165"/>
      <c r="CJ146" s="165"/>
      <c r="CK146" s="160"/>
      <c r="CL146" s="164"/>
      <c r="CM146" s="165"/>
      <c r="CN146" s="182"/>
      <c r="CO146" s="165"/>
      <c r="CP146" s="165"/>
      <c r="CQ146" s="165"/>
      <c r="CR146" s="165"/>
      <c r="CS146" s="175"/>
      <c r="CT146" s="172"/>
      <c r="CU146" s="165"/>
      <c r="CV146" s="160"/>
    </row>
    <row r="147" spans="1:101" x14ac:dyDescent="0.25">
      <c r="A147" s="178"/>
      <c r="B147" s="169"/>
      <c r="F147" s="164"/>
      <c r="G147" s="165"/>
      <c r="H147" s="165"/>
      <c r="I147" s="165"/>
      <c r="J147" s="165"/>
      <c r="K147" s="165"/>
      <c r="L147" s="165"/>
      <c r="M147" s="160"/>
      <c r="N147" s="164"/>
      <c r="O147" s="165"/>
      <c r="P147" s="165"/>
      <c r="Q147" s="165"/>
      <c r="R147" s="165"/>
      <c r="S147" s="165"/>
      <c r="T147" s="165"/>
      <c r="U147" s="160"/>
      <c r="V147" s="165"/>
      <c r="W147" s="169"/>
      <c r="X147" s="164"/>
      <c r="Y147" s="165"/>
      <c r="Z147" s="165"/>
      <c r="AA147" s="165"/>
      <c r="AB147" s="165"/>
      <c r="AC147" s="165"/>
      <c r="AD147" s="165"/>
      <c r="AE147" s="160"/>
      <c r="AF147" s="164"/>
      <c r="AG147" s="165"/>
      <c r="AH147" s="182"/>
      <c r="AI147" s="175"/>
      <c r="AJ147" s="172"/>
      <c r="AK147" s="165"/>
      <c r="AL147" s="165"/>
      <c r="AM147" s="165"/>
      <c r="AN147" s="165"/>
      <c r="AO147" s="165"/>
      <c r="AP147" s="160"/>
      <c r="AQ147" s="164"/>
      <c r="AR147" s="165"/>
      <c r="AS147" s="165"/>
      <c r="AT147" s="165"/>
      <c r="AU147" s="165"/>
      <c r="AV147" s="165"/>
      <c r="AW147" s="165"/>
      <c r="AX147" s="160"/>
      <c r="AY147" s="164"/>
      <c r="AZ147" s="169"/>
      <c r="BA147" s="164"/>
      <c r="BB147" s="165"/>
      <c r="BC147" s="165"/>
      <c r="BD147" s="165"/>
      <c r="BE147" s="165"/>
      <c r="BF147" s="165"/>
      <c r="BG147" s="165"/>
      <c r="BH147" s="160"/>
      <c r="BI147" s="164"/>
      <c r="BJ147" s="165"/>
      <c r="BK147" s="182"/>
      <c r="BL147" s="165"/>
      <c r="BM147" s="165"/>
      <c r="BN147" s="175"/>
      <c r="BO147" s="172"/>
      <c r="BP147" s="165"/>
      <c r="BQ147" s="165"/>
      <c r="BR147" s="165"/>
      <c r="BS147" s="160"/>
      <c r="BT147" s="164"/>
      <c r="BU147" s="165"/>
      <c r="BV147" s="165"/>
      <c r="BW147" s="165"/>
      <c r="BX147" s="165"/>
      <c r="BY147" s="165"/>
      <c r="BZ147" s="165"/>
      <c r="CA147" s="160"/>
      <c r="CB147" s="164"/>
      <c r="CC147" s="169"/>
      <c r="CD147" s="164"/>
      <c r="CE147" s="165"/>
      <c r="CF147" s="165"/>
      <c r="CG147" s="165"/>
      <c r="CH147" s="165"/>
      <c r="CI147" s="165"/>
      <c r="CJ147" s="165"/>
      <c r="CK147" s="160"/>
      <c r="CL147" s="164"/>
      <c r="CM147" s="165"/>
      <c r="CN147" s="182"/>
      <c r="CO147" s="165"/>
      <c r="CP147" s="165"/>
      <c r="CQ147" s="165"/>
      <c r="CR147" s="165"/>
      <c r="CS147" s="175"/>
      <c r="CT147" s="172"/>
      <c r="CU147" s="165"/>
      <c r="CV147" s="160"/>
    </row>
    <row r="148" spans="1:101" x14ac:dyDescent="0.25">
      <c r="A148" s="178"/>
      <c r="B148" s="169"/>
      <c r="F148" s="164"/>
      <c r="G148" s="165"/>
      <c r="H148" s="165"/>
      <c r="I148" s="165"/>
      <c r="J148" s="165"/>
      <c r="K148" s="165"/>
      <c r="L148" s="165"/>
      <c r="M148" s="160"/>
      <c r="N148" s="164"/>
      <c r="O148" s="165"/>
      <c r="P148" s="165"/>
      <c r="Q148" s="165"/>
      <c r="R148" s="165"/>
      <c r="S148" s="165"/>
      <c r="T148" s="165"/>
      <c r="U148" s="160"/>
      <c r="V148" s="165"/>
      <c r="W148" s="169"/>
      <c r="X148" s="164"/>
      <c r="Y148" s="165"/>
      <c r="Z148" s="165"/>
      <c r="AA148" s="165"/>
      <c r="AB148" s="165"/>
      <c r="AC148" s="165"/>
      <c r="AD148" s="165"/>
      <c r="AE148" s="160"/>
      <c r="AF148" s="164"/>
      <c r="AG148" s="165"/>
      <c r="AH148" s="182"/>
      <c r="AI148" s="175"/>
      <c r="AJ148" s="172"/>
      <c r="AK148" s="165"/>
      <c r="AL148" s="165"/>
      <c r="AM148" s="165"/>
      <c r="AN148" s="165"/>
      <c r="AO148" s="165"/>
      <c r="AP148" s="160"/>
      <c r="AQ148" s="164"/>
      <c r="AR148" s="165"/>
      <c r="AS148" s="165"/>
      <c r="AT148" s="165"/>
      <c r="AU148" s="165"/>
      <c r="AV148" s="165"/>
      <c r="AW148" s="165"/>
      <c r="AX148" s="160"/>
      <c r="AY148" s="164"/>
      <c r="AZ148" s="169"/>
      <c r="BA148" s="164"/>
      <c r="BB148" s="165"/>
      <c r="BC148" s="165"/>
      <c r="BD148" s="165"/>
      <c r="BE148" s="165"/>
      <c r="BF148" s="165"/>
      <c r="BG148" s="165"/>
      <c r="BH148" s="160"/>
      <c r="BI148" s="164"/>
      <c r="BJ148" s="165"/>
      <c r="BK148" s="182"/>
      <c r="BL148" s="165"/>
      <c r="BM148" s="165"/>
      <c r="BN148" s="175"/>
      <c r="BO148" s="172"/>
      <c r="BP148" s="165"/>
      <c r="BQ148" s="165"/>
      <c r="BR148" s="165"/>
      <c r="BS148" s="160"/>
      <c r="BT148" s="164"/>
      <c r="BU148" s="165"/>
      <c r="BV148" s="165"/>
      <c r="BW148" s="165"/>
      <c r="BX148" s="165"/>
      <c r="BY148" s="165"/>
      <c r="BZ148" s="165"/>
      <c r="CA148" s="160"/>
      <c r="CB148" s="164"/>
      <c r="CC148" s="169"/>
      <c r="CD148" s="164"/>
      <c r="CE148" s="165"/>
      <c r="CF148" s="165"/>
      <c r="CG148" s="165"/>
      <c r="CH148" s="165"/>
      <c r="CI148" s="165"/>
      <c r="CJ148" s="165"/>
      <c r="CK148" s="160"/>
      <c r="CL148" s="164"/>
      <c r="CM148" s="165"/>
      <c r="CN148" s="182"/>
      <c r="CO148" s="165"/>
      <c r="CP148" s="165"/>
      <c r="CQ148" s="165"/>
      <c r="CR148" s="165"/>
      <c r="CS148" s="175"/>
      <c r="CT148" s="172"/>
      <c r="CU148" s="165"/>
      <c r="CV148" s="160"/>
    </row>
    <row r="149" spans="1:101" x14ac:dyDescent="0.25">
      <c r="A149" s="178"/>
      <c r="B149" s="169"/>
      <c r="F149" s="164"/>
      <c r="G149" s="165"/>
      <c r="H149" s="165"/>
      <c r="I149" s="165"/>
      <c r="J149" s="165"/>
      <c r="K149" s="165"/>
      <c r="L149" s="165"/>
      <c r="M149" s="160"/>
      <c r="N149" s="164"/>
      <c r="O149" s="165"/>
      <c r="P149" s="165"/>
      <c r="Q149" s="165"/>
      <c r="R149" s="165"/>
      <c r="S149" s="165"/>
      <c r="T149" s="165"/>
      <c r="U149" s="160"/>
      <c r="V149" s="165"/>
      <c r="W149" s="169"/>
      <c r="X149" s="164"/>
      <c r="Y149" s="165"/>
      <c r="Z149" s="165"/>
      <c r="AA149" s="165"/>
      <c r="AB149" s="165"/>
      <c r="AC149" s="165"/>
      <c r="AD149" s="165"/>
      <c r="AE149" s="160"/>
      <c r="AF149" s="164"/>
      <c r="AG149" s="165"/>
      <c r="AH149" s="182"/>
      <c r="AI149" s="175"/>
      <c r="AJ149" s="172"/>
      <c r="AK149" s="165"/>
      <c r="AL149" s="165"/>
      <c r="AM149" s="165"/>
      <c r="AN149" s="165"/>
      <c r="AO149" s="165"/>
      <c r="AP149" s="160"/>
      <c r="AQ149" s="164"/>
      <c r="AR149" s="165"/>
      <c r="AS149" s="165"/>
      <c r="AT149" s="165"/>
      <c r="AU149" s="165"/>
      <c r="AV149" s="165"/>
      <c r="AW149" s="165"/>
      <c r="AX149" s="160"/>
      <c r="AY149" s="164"/>
      <c r="AZ149" s="169"/>
      <c r="BA149" s="164"/>
      <c r="BB149" s="165"/>
      <c r="BC149" s="165"/>
      <c r="BD149" s="165"/>
      <c r="BE149" s="165"/>
      <c r="BF149" s="165"/>
      <c r="BG149" s="165"/>
      <c r="BH149" s="160"/>
      <c r="BI149" s="164"/>
      <c r="BJ149" s="165"/>
      <c r="BK149" s="182"/>
      <c r="BL149" s="165"/>
      <c r="BM149" s="165"/>
      <c r="BN149" s="175"/>
      <c r="BO149" s="172"/>
      <c r="BP149" s="165"/>
      <c r="BQ149" s="165"/>
      <c r="BR149" s="165"/>
      <c r="BS149" s="160"/>
      <c r="BT149" s="164"/>
      <c r="BU149" s="165"/>
      <c r="BV149" s="165"/>
      <c r="BW149" s="165"/>
      <c r="BX149" s="165"/>
      <c r="BY149" s="165"/>
      <c r="BZ149" s="165"/>
      <c r="CA149" s="160"/>
      <c r="CB149" s="164"/>
      <c r="CC149" s="169"/>
      <c r="CD149" s="164"/>
      <c r="CE149" s="165"/>
      <c r="CF149" s="165"/>
      <c r="CG149" s="165"/>
      <c r="CH149" s="165"/>
      <c r="CI149" s="165"/>
      <c r="CJ149" s="165"/>
      <c r="CK149" s="160"/>
      <c r="CL149" s="164"/>
      <c r="CM149" s="165"/>
      <c r="CN149" s="182"/>
      <c r="CO149" s="165"/>
      <c r="CP149" s="165"/>
      <c r="CQ149" s="165"/>
      <c r="CR149" s="165"/>
      <c r="CS149" s="175"/>
      <c r="CT149" s="172"/>
      <c r="CU149" s="165"/>
      <c r="CV149" s="160"/>
    </row>
    <row r="150" spans="1:101" x14ac:dyDescent="0.25">
      <c r="A150" s="178"/>
      <c r="B150" s="169"/>
      <c r="F150" s="164"/>
      <c r="G150" s="165"/>
      <c r="H150" s="165"/>
      <c r="I150" s="165"/>
      <c r="J150" s="165"/>
      <c r="K150" s="165"/>
      <c r="L150" s="165"/>
      <c r="M150" s="160"/>
      <c r="N150" s="164"/>
      <c r="O150" s="165"/>
      <c r="P150" s="165"/>
      <c r="Q150" s="165"/>
      <c r="R150" s="165"/>
      <c r="S150" s="165"/>
      <c r="T150" s="165"/>
      <c r="U150" s="160"/>
      <c r="V150" s="165"/>
      <c r="W150" s="169"/>
      <c r="X150" s="164"/>
      <c r="Y150" s="165"/>
      <c r="Z150" s="165"/>
      <c r="AA150" s="165"/>
      <c r="AB150" s="165"/>
      <c r="AC150" s="165"/>
      <c r="AD150" s="165"/>
      <c r="AE150" s="160"/>
      <c r="AF150" s="164"/>
      <c r="AG150" s="165"/>
      <c r="AH150" s="182"/>
      <c r="AI150" s="175"/>
      <c r="AJ150" s="172"/>
      <c r="AK150" s="165"/>
      <c r="AL150" s="165"/>
      <c r="AM150" s="165"/>
      <c r="AN150" s="165"/>
      <c r="AO150" s="165"/>
      <c r="AP150" s="160"/>
      <c r="AQ150" s="164"/>
      <c r="AR150" s="165"/>
      <c r="AS150" s="165"/>
      <c r="AT150" s="165"/>
      <c r="AU150" s="165"/>
      <c r="AV150" s="165"/>
      <c r="AW150" s="165"/>
      <c r="AX150" s="160"/>
      <c r="AY150" s="164"/>
      <c r="AZ150" s="169"/>
      <c r="BA150" s="164"/>
      <c r="BB150" s="165"/>
      <c r="BC150" s="165"/>
      <c r="BD150" s="165"/>
      <c r="BE150" s="165"/>
      <c r="BF150" s="165"/>
      <c r="BG150" s="165"/>
      <c r="BH150" s="160"/>
      <c r="BI150" s="164"/>
      <c r="BJ150" s="165"/>
      <c r="BK150" s="182"/>
      <c r="BL150" s="165"/>
      <c r="BM150" s="165"/>
      <c r="BN150" s="175"/>
      <c r="BO150" s="172"/>
      <c r="BP150" s="165"/>
      <c r="BQ150" s="165"/>
      <c r="BR150" s="165"/>
      <c r="BS150" s="160"/>
      <c r="BT150" s="164"/>
      <c r="BU150" s="165"/>
      <c r="BV150" s="165"/>
      <c r="BW150" s="165"/>
      <c r="BX150" s="165"/>
      <c r="BY150" s="165"/>
      <c r="BZ150" s="165"/>
      <c r="CA150" s="160"/>
      <c r="CB150" s="164"/>
      <c r="CC150" s="169"/>
      <c r="CD150" s="164"/>
      <c r="CE150" s="165"/>
      <c r="CF150" s="165"/>
      <c r="CG150" s="165"/>
      <c r="CH150" s="165"/>
      <c r="CI150" s="165"/>
      <c r="CJ150" s="165"/>
      <c r="CK150" s="160"/>
      <c r="CL150" s="164"/>
      <c r="CM150" s="165"/>
      <c r="CN150" s="182"/>
      <c r="CO150" s="165"/>
      <c r="CP150" s="165"/>
      <c r="CQ150" s="165"/>
      <c r="CR150" s="165"/>
      <c r="CS150" s="175"/>
      <c r="CT150" s="172"/>
      <c r="CU150" s="165"/>
      <c r="CV150" s="160"/>
    </row>
    <row r="151" spans="1:101" x14ac:dyDescent="0.25">
      <c r="A151" s="178"/>
      <c r="B151" s="169"/>
      <c r="F151" s="164"/>
      <c r="G151" s="165"/>
      <c r="H151" s="165"/>
      <c r="I151" s="165"/>
      <c r="J151" s="165"/>
      <c r="K151" s="165"/>
      <c r="L151" s="165"/>
      <c r="M151" s="160"/>
      <c r="N151" s="164"/>
      <c r="O151" s="165"/>
      <c r="P151" s="165"/>
      <c r="Q151" s="165"/>
      <c r="R151" s="165"/>
      <c r="S151" s="165"/>
      <c r="T151" s="165"/>
      <c r="U151" s="160"/>
      <c r="V151" s="165"/>
      <c r="W151" s="169"/>
      <c r="X151" s="164"/>
      <c r="Y151" s="165"/>
      <c r="Z151" s="165"/>
      <c r="AA151" s="165"/>
      <c r="AB151" s="165"/>
      <c r="AC151" s="165"/>
      <c r="AD151" s="165"/>
      <c r="AE151" s="160"/>
      <c r="AF151" s="164"/>
      <c r="AG151" s="165"/>
      <c r="AH151" s="182"/>
      <c r="AI151" s="175"/>
      <c r="AJ151" s="172"/>
      <c r="AK151" s="165"/>
      <c r="AL151" s="165"/>
      <c r="AM151" s="165"/>
      <c r="AN151" s="165"/>
      <c r="AO151" s="165"/>
      <c r="AP151" s="160"/>
      <c r="AQ151" s="164"/>
      <c r="AR151" s="165"/>
      <c r="AS151" s="165"/>
      <c r="AT151" s="165"/>
      <c r="AU151" s="165"/>
      <c r="AV151" s="165"/>
      <c r="AW151" s="165"/>
      <c r="AX151" s="160"/>
      <c r="AY151" s="164"/>
      <c r="AZ151" s="169"/>
      <c r="BA151" s="164"/>
      <c r="BB151" s="165"/>
      <c r="BC151" s="165"/>
      <c r="BD151" s="165"/>
      <c r="BE151" s="165"/>
      <c r="BF151" s="165"/>
      <c r="BG151" s="165"/>
      <c r="BH151" s="160"/>
      <c r="BI151" s="164"/>
      <c r="BJ151" s="165"/>
      <c r="BK151" s="182"/>
      <c r="BL151" s="165"/>
      <c r="BM151" s="165"/>
      <c r="BN151" s="175"/>
      <c r="BO151" s="172"/>
      <c r="BP151" s="165"/>
      <c r="BQ151" s="165"/>
      <c r="BR151" s="165"/>
      <c r="BS151" s="160"/>
      <c r="BT151" s="164"/>
      <c r="BU151" s="165"/>
      <c r="BV151" s="165"/>
      <c r="BW151" s="165"/>
      <c r="BX151" s="165"/>
      <c r="BY151" s="165"/>
      <c r="BZ151" s="165"/>
      <c r="CA151" s="160"/>
      <c r="CB151" s="164"/>
      <c r="CC151" s="169"/>
      <c r="CD151" s="164"/>
      <c r="CE151" s="165"/>
      <c r="CF151" s="165"/>
      <c r="CG151" s="165"/>
      <c r="CH151" s="165"/>
      <c r="CI151" s="165"/>
      <c r="CJ151" s="165"/>
      <c r="CK151" s="160"/>
      <c r="CL151" s="164"/>
      <c r="CM151" s="165"/>
      <c r="CN151" s="182"/>
      <c r="CO151" s="165"/>
      <c r="CP151" s="165"/>
      <c r="CQ151" s="165"/>
      <c r="CR151" s="165"/>
      <c r="CS151" s="175"/>
      <c r="CT151" s="172"/>
      <c r="CU151" s="165"/>
      <c r="CV151" s="160"/>
    </row>
    <row r="152" spans="1:101" x14ac:dyDescent="0.25">
      <c r="A152" s="178"/>
      <c r="B152" s="169"/>
      <c r="F152" s="164"/>
      <c r="G152" s="165"/>
      <c r="H152" s="165"/>
      <c r="I152" s="165"/>
      <c r="J152" s="165"/>
      <c r="K152" s="165"/>
      <c r="L152" s="165"/>
      <c r="M152" s="160"/>
      <c r="N152" s="164"/>
      <c r="O152" s="165"/>
      <c r="P152" s="165"/>
      <c r="Q152" s="165"/>
      <c r="R152" s="165"/>
      <c r="S152" s="165"/>
      <c r="T152" s="165"/>
      <c r="U152" s="160"/>
      <c r="V152" s="165"/>
      <c r="W152" s="169"/>
      <c r="X152" s="164"/>
      <c r="Y152" s="165"/>
      <c r="Z152" s="165"/>
      <c r="AA152" s="165"/>
      <c r="AB152" s="165"/>
      <c r="AC152" s="165"/>
      <c r="AD152" s="165"/>
      <c r="AE152" s="160"/>
      <c r="AF152" s="164"/>
      <c r="AG152" s="165"/>
      <c r="AH152" s="182"/>
      <c r="AI152" s="175"/>
      <c r="AJ152" s="172"/>
      <c r="AK152" s="165"/>
      <c r="AL152" s="165"/>
      <c r="AM152" s="165"/>
      <c r="AN152" s="165"/>
      <c r="AO152" s="165"/>
      <c r="AP152" s="160"/>
      <c r="AQ152" s="164"/>
      <c r="AR152" s="165"/>
      <c r="AS152" s="165"/>
      <c r="AT152" s="165"/>
      <c r="AU152" s="165"/>
      <c r="AV152" s="165"/>
      <c r="AW152" s="165"/>
      <c r="AX152" s="160"/>
      <c r="AY152" s="164"/>
      <c r="AZ152" s="169"/>
      <c r="BA152" s="164"/>
      <c r="BB152" s="165"/>
      <c r="BC152" s="165"/>
      <c r="BD152" s="165"/>
      <c r="BE152" s="165"/>
      <c r="BF152" s="165"/>
      <c r="BG152" s="165"/>
      <c r="BH152" s="160"/>
      <c r="BI152" s="164"/>
      <c r="BJ152" s="165"/>
      <c r="BK152" s="182"/>
      <c r="BL152" s="165"/>
      <c r="BM152" s="165"/>
      <c r="BN152" s="175"/>
      <c r="BO152" s="172"/>
      <c r="BP152" s="165"/>
      <c r="BQ152" s="165"/>
      <c r="BR152" s="165"/>
      <c r="BS152" s="160"/>
      <c r="BT152" s="164"/>
      <c r="BU152" s="165"/>
      <c r="BV152" s="165"/>
      <c r="BW152" s="165"/>
      <c r="BX152" s="165"/>
      <c r="BY152" s="165"/>
      <c r="BZ152" s="165"/>
      <c r="CA152" s="160"/>
      <c r="CB152" s="164"/>
      <c r="CC152" s="169"/>
      <c r="CD152" s="164"/>
      <c r="CE152" s="165"/>
      <c r="CF152" s="165"/>
      <c r="CG152" s="165"/>
      <c r="CH152" s="165"/>
      <c r="CI152" s="165"/>
      <c r="CJ152" s="165"/>
      <c r="CK152" s="160"/>
      <c r="CL152" s="164"/>
      <c r="CM152" s="165"/>
      <c r="CN152" s="182"/>
      <c r="CO152" s="165"/>
      <c r="CP152" s="165"/>
      <c r="CQ152" s="165"/>
      <c r="CR152" s="165"/>
      <c r="CS152" s="175"/>
      <c r="CT152" s="172"/>
      <c r="CU152" s="165"/>
      <c r="CV152" s="160"/>
    </row>
    <row r="153" spans="1:101" x14ac:dyDescent="0.25">
      <c r="A153" s="178"/>
      <c r="B153" s="169"/>
      <c r="F153" s="164"/>
      <c r="G153" s="165"/>
      <c r="H153" s="165"/>
      <c r="I153" s="165"/>
      <c r="J153" s="165"/>
      <c r="K153" s="165"/>
      <c r="L153" s="165"/>
      <c r="M153" s="160"/>
      <c r="N153" s="164"/>
      <c r="O153" s="165"/>
      <c r="P153" s="165"/>
      <c r="Q153" s="165"/>
      <c r="R153" s="165"/>
      <c r="S153" s="165"/>
      <c r="T153" s="165"/>
      <c r="U153" s="160"/>
      <c r="V153" s="165"/>
      <c r="W153" s="169"/>
      <c r="X153" s="164"/>
      <c r="Y153" s="165"/>
      <c r="Z153" s="165"/>
      <c r="AA153" s="165"/>
      <c r="AB153" s="165"/>
      <c r="AC153" s="165"/>
      <c r="AD153" s="165"/>
      <c r="AE153" s="160"/>
      <c r="AF153" s="164"/>
      <c r="AG153" s="165"/>
      <c r="AH153" s="182"/>
      <c r="AI153" s="175"/>
      <c r="AJ153" s="172"/>
      <c r="AK153" s="165"/>
      <c r="AL153" s="165"/>
      <c r="AM153" s="165"/>
      <c r="AN153" s="165"/>
      <c r="AO153" s="165"/>
      <c r="AP153" s="160"/>
      <c r="AQ153" s="164"/>
      <c r="AR153" s="165"/>
      <c r="AS153" s="165"/>
      <c r="AT153" s="165"/>
      <c r="AU153" s="165"/>
      <c r="AV153" s="165"/>
      <c r="AW153" s="165"/>
      <c r="AX153" s="160"/>
      <c r="AY153" s="164"/>
      <c r="AZ153" s="169"/>
      <c r="BA153" s="164"/>
      <c r="BB153" s="165"/>
      <c r="BC153" s="165"/>
      <c r="BD153" s="165"/>
      <c r="BE153" s="165"/>
      <c r="BF153" s="165"/>
      <c r="BG153" s="165"/>
      <c r="BH153" s="160"/>
      <c r="BI153" s="164"/>
      <c r="BJ153" s="165"/>
      <c r="BK153" s="182"/>
      <c r="BL153" s="165"/>
      <c r="BM153" s="165"/>
      <c r="BN153" s="175"/>
      <c r="BO153" s="172"/>
      <c r="BP153" s="165"/>
      <c r="BQ153" s="165"/>
      <c r="BR153" s="165"/>
      <c r="BS153" s="160"/>
      <c r="BT153" s="164"/>
      <c r="BU153" s="165"/>
      <c r="BV153" s="165"/>
      <c r="BW153" s="165"/>
      <c r="BX153" s="165"/>
      <c r="BY153" s="165"/>
      <c r="BZ153" s="165"/>
      <c r="CA153" s="160"/>
      <c r="CB153" s="164"/>
      <c r="CC153" s="169"/>
      <c r="CD153" s="164"/>
      <c r="CE153" s="165"/>
      <c r="CF153" s="165"/>
      <c r="CG153" s="165"/>
      <c r="CH153" s="165"/>
      <c r="CI153" s="165"/>
      <c r="CJ153" s="165"/>
      <c r="CK153" s="160"/>
      <c r="CL153" s="164"/>
      <c r="CM153" s="165"/>
      <c r="CN153" s="182"/>
      <c r="CO153" s="165"/>
      <c r="CP153" s="165"/>
      <c r="CQ153" s="165"/>
      <c r="CR153" s="165"/>
      <c r="CS153" s="175"/>
      <c r="CT153" s="172"/>
      <c r="CU153" s="165"/>
      <c r="CV153" s="160"/>
    </row>
    <row r="154" spans="1:101" x14ac:dyDescent="0.25">
      <c r="A154" s="178"/>
      <c r="B154" s="169"/>
      <c r="F154" s="164"/>
      <c r="G154" s="165"/>
      <c r="H154" s="165"/>
      <c r="I154" s="165"/>
      <c r="J154" s="165"/>
      <c r="K154" s="165"/>
      <c r="L154" s="165"/>
      <c r="M154" s="160"/>
      <c r="N154" s="164"/>
      <c r="O154" s="165"/>
      <c r="P154" s="165"/>
      <c r="Q154" s="165"/>
      <c r="R154" s="165"/>
      <c r="S154" s="165"/>
      <c r="T154" s="165"/>
      <c r="U154" s="160"/>
      <c r="V154" s="165"/>
      <c r="W154" s="169"/>
      <c r="X154" s="164"/>
      <c r="Y154" s="165"/>
      <c r="Z154" s="165"/>
      <c r="AA154" s="165"/>
      <c r="AB154" s="165"/>
      <c r="AC154" s="165"/>
      <c r="AD154" s="165"/>
      <c r="AE154" s="160"/>
      <c r="AF154" s="164"/>
      <c r="AG154" s="165"/>
      <c r="AH154" s="182"/>
      <c r="AI154" s="175"/>
      <c r="AJ154" s="172"/>
      <c r="AK154" s="165"/>
      <c r="AL154" s="165"/>
      <c r="AM154" s="165"/>
      <c r="AN154" s="165"/>
      <c r="AO154" s="165"/>
      <c r="AP154" s="160"/>
      <c r="AQ154" s="164"/>
      <c r="AR154" s="165"/>
      <c r="AS154" s="165"/>
      <c r="AT154" s="165"/>
      <c r="AU154" s="165"/>
      <c r="AV154" s="165"/>
      <c r="AW154" s="165"/>
      <c r="AX154" s="160"/>
      <c r="AY154" s="164"/>
      <c r="AZ154" s="169"/>
      <c r="BA154" s="164"/>
      <c r="BB154" s="165"/>
      <c r="BC154" s="165"/>
      <c r="BD154" s="165"/>
      <c r="BE154" s="165"/>
      <c r="BF154" s="165"/>
      <c r="BG154" s="165"/>
      <c r="BH154" s="160"/>
      <c r="BI154" s="164"/>
      <c r="BJ154" s="165"/>
      <c r="BK154" s="182"/>
      <c r="BL154" s="165"/>
      <c r="BM154" s="165"/>
      <c r="BN154" s="175"/>
      <c r="BO154" s="172"/>
      <c r="BP154" s="165"/>
      <c r="BQ154" s="165"/>
      <c r="BR154" s="165"/>
      <c r="BS154" s="160"/>
      <c r="BT154" s="164"/>
      <c r="BU154" s="165"/>
      <c r="BV154" s="165"/>
      <c r="BW154" s="165"/>
      <c r="BX154" s="165"/>
      <c r="BY154" s="165"/>
      <c r="BZ154" s="165"/>
      <c r="CA154" s="160"/>
      <c r="CB154" s="164"/>
      <c r="CC154" s="169"/>
      <c r="CD154" s="164"/>
      <c r="CE154" s="165"/>
      <c r="CF154" s="165"/>
      <c r="CG154" s="165"/>
      <c r="CH154" s="165"/>
      <c r="CI154" s="165"/>
      <c r="CJ154" s="165"/>
      <c r="CK154" s="160"/>
      <c r="CL154" s="164"/>
      <c r="CM154" s="165"/>
      <c r="CN154" s="182"/>
      <c r="CO154" s="165"/>
      <c r="CP154" s="165"/>
      <c r="CQ154" s="165"/>
      <c r="CR154" s="165"/>
      <c r="CS154" s="175"/>
      <c r="CT154" s="172"/>
      <c r="CU154" s="165"/>
      <c r="CV154" s="160"/>
    </row>
    <row r="155" spans="1:101" x14ac:dyDescent="0.25">
      <c r="A155" s="178"/>
      <c r="B155" s="169"/>
      <c r="F155" s="164"/>
      <c r="G155" s="165"/>
      <c r="H155" s="165"/>
      <c r="I155" s="165"/>
      <c r="J155" s="165"/>
      <c r="K155" s="165"/>
      <c r="L155" s="165"/>
      <c r="M155" s="160"/>
      <c r="N155" s="164"/>
      <c r="O155" s="165"/>
      <c r="P155" s="165"/>
      <c r="Q155" s="165"/>
      <c r="R155" s="165"/>
      <c r="S155" s="165"/>
      <c r="T155" s="165"/>
      <c r="U155" s="160"/>
      <c r="V155" s="165"/>
      <c r="W155" s="169"/>
      <c r="X155" s="164"/>
      <c r="Y155" s="165"/>
      <c r="Z155" s="165"/>
      <c r="AA155" s="165"/>
      <c r="AB155" s="165"/>
      <c r="AC155" s="165"/>
      <c r="AD155" s="165"/>
      <c r="AE155" s="160"/>
      <c r="AF155" s="164"/>
      <c r="AG155" s="165"/>
      <c r="AH155" s="182"/>
      <c r="AI155" s="175"/>
      <c r="AJ155" s="172"/>
      <c r="AK155" s="165"/>
      <c r="AL155" s="165"/>
      <c r="AM155" s="165"/>
      <c r="AN155" s="165"/>
      <c r="AO155" s="165"/>
      <c r="AP155" s="160"/>
      <c r="AQ155" s="164"/>
      <c r="AR155" s="165"/>
      <c r="AS155" s="165"/>
      <c r="AT155" s="165"/>
      <c r="AU155" s="165"/>
      <c r="AV155" s="165"/>
      <c r="AW155" s="165"/>
      <c r="AX155" s="160"/>
      <c r="AY155" s="164"/>
      <c r="AZ155" s="169"/>
      <c r="BA155" s="164"/>
      <c r="BB155" s="165"/>
      <c r="BC155" s="165"/>
      <c r="BD155" s="165"/>
      <c r="BE155" s="165"/>
      <c r="BF155" s="165"/>
      <c r="BG155" s="165"/>
      <c r="BH155" s="160"/>
      <c r="BI155" s="164"/>
      <c r="BJ155" s="165"/>
      <c r="BK155" s="182"/>
      <c r="BL155" s="165"/>
      <c r="BM155" s="165"/>
      <c r="BN155" s="175"/>
      <c r="BO155" s="172"/>
      <c r="BP155" s="165"/>
      <c r="BQ155" s="165"/>
      <c r="BR155" s="165"/>
      <c r="BS155" s="160"/>
      <c r="BT155" s="164"/>
      <c r="BU155" s="165"/>
      <c r="BV155" s="165"/>
      <c r="BW155" s="165"/>
      <c r="BX155" s="165"/>
      <c r="BY155" s="165"/>
      <c r="BZ155" s="165"/>
      <c r="CA155" s="160"/>
      <c r="CB155" s="164"/>
      <c r="CC155" s="169"/>
      <c r="CD155" s="164"/>
      <c r="CE155" s="165"/>
      <c r="CF155" s="165"/>
      <c r="CG155" s="165"/>
      <c r="CH155" s="165"/>
      <c r="CI155" s="165"/>
      <c r="CJ155" s="165"/>
      <c r="CK155" s="160"/>
      <c r="CL155" s="164"/>
      <c r="CM155" s="165"/>
      <c r="CN155" s="182"/>
      <c r="CO155" s="165"/>
      <c r="CP155" s="165"/>
      <c r="CQ155" s="165"/>
      <c r="CR155" s="165"/>
      <c r="CS155" s="175"/>
      <c r="CT155" s="172"/>
      <c r="CU155" s="165"/>
      <c r="CV155" s="160"/>
    </row>
    <row r="156" spans="1:101" x14ac:dyDescent="0.25">
      <c r="A156" s="178"/>
      <c r="B156" s="169"/>
      <c r="F156" s="164"/>
      <c r="G156" s="165"/>
      <c r="H156" s="165"/>
      <c r="I156" s="165"/>
      <c r="J156" s="165"/>
      <c r="K156" s="165"/>
      <c r="L156" s="165"/>
      <c r="M156" s="160"/>
      <c r="N156" s="164"/>
      <c r="O156" s="165"/>
      <c r="P156" s="165"/>
      <c r="Q156" s="165"/>
      <c r="R156" s="165"/>
      <c r="S156" s="165"/>
      <c r="T156" s="165"/>
      <c r="U156" s="160"/>
      <c r="V156" s="165"/>
      <c r="W156" s="169"/>
      <c r="X156" s="164"/>
      <c r="Y156" s="165"/>
      <c r="Z156" s="165"/>
      <c r="AA156" s="165"/>
      <c r="AB156" s="165"/>
      <c r="AC156" s="165"/>
      <c r="AD156" s="165"/>
      <c r="AE156" s="160"/>
      <c r="AF156" s="164"/>
      <c r="AG156" s="165"/>
      <c r="AH156" s="182"/>
      <c r="AI156" s="175"/>
      <c r="AJ156" s="172"/>
      <c r="AK156" s="165"/>
      <c r="AL156" s="165"/>
      <c r="AM156" s="165"/>
      <c r="AN156" s="165"/>
      <c r="AO156" s="165"/>
      <c r="AP156" s="160"/>
      <c r="AQ156" s="164"/>
      <c r="AR156" s="165"/>
      <c r="AS156" s="165"/>
      <c r="AT156" s="165"/>
      <c r="AU156" s="165"/>
      <c r="AV156" s="165"/>
      <c r="AW156" s="165"/>
      <c r="AX156" s="160"/>
      <c r="AY156" s="164"/>
      <c r="AZ156" s="169"/>
      <c r="BA156" s="164"/>
      <c r="BB156" s="165"/>
      <c r="BC156" s="165"/>
      <c r="BD156" s="165"/>
      <c r="BE156" s="165"/>
      <c r="BF156" s="165"/>
      <c r="BG156" s="165"/>
      <c r="BH156" s="160"/>
      <c r="BI156" s="164"/>
      <c r="BJ156" s="165"/>
      <c r="BK156" s="182"/>
      <c r="BL156" s="165"/>
      <c r="BM156" s="165"/>
      <c r="BN156" s="175"/>
      <c r="BO156" s="172"/>
      <c r="BP156" s="165"/>
      <c r="BQ156" s="165"/>
      <c r="BR156" s="165"/>
      <c r="BS156" s="160"/>
      <c r="BT156" s="164"/>
      <c r="BU156" s="165"/>
      <c r="BV156" s="165"/>
      <c r="BW156" s="165"/>
      <c r="BX156" s="165"/>
      <c r="BY156" s="165"/>
      <c r="BZ156" s="165"/>
      <c r="CA156" s="160"/>
      <c r="CB156" s="164"/>
      <c r="CC156" s="169"/>
      <c r="CD156" s="164"/>
      <c r="CE156" s="165"/>
      <c r="CF156" s="165"/>
      <c r="CG156" s="165"/>
      <c r="CH156" s="165"/>
      <c r="CI156" s="165"/>
      <c r="CJ156" s="165"/>
      <c r="CK156" s="160"/>
      <c r="CL156" s="164"/>
      <c r="CM156" s="165"/>
      <c r="CN156" s="182"/>
      <c r="CO156" s="165"/>
      <c r="CP156" s="165"/>
      <c r="CQ156" s="165"/>
      <c r="CR156" s="165"/>
      <c r="CS156" s="175"/>
      <c r="CT156" s="172"/>
      <c r="CU156" s="165"/>
      <c r="CV156" s="160"/>
    </row>
    <row r="157" spans="1:101" x14ac:dyDescent="0.25">
      <c r="A157" s="178"/>
      <c r="B157" s="169"/>
      <c r="F157" s="164"/>
      <c r="G157" s="165"/>
      <c r="H157" s="165"/>
      <c r="I157" s="165"/>
      <c r="J157" s="165"/>
      <c r="K157" s="165"/>
      <c r="L157" s="165"/>
      <c r="M157" s="160"/>
      <c r="N157" s="164"/>
      <c r="O157" s="165"/>
      <c r="P157" s="165"/>
      <c r="Q157" s="165"/>
      <c r="R157" s="165"/>
      <c r="S157" s="165"/>
      <c r="T157" s="165"/>
      <c r="U157" s="160"/>
      <c r="V157" s="165"/>
      <c r="W157" s="169"/>
      <c r="X157" s="164"/>
      <c r="Y157" s="165"/>
      <c r="Z157" s="165"/>
      <c r="AA157" s="165"/>
      <c r="AB157" s="165"/>
      <c r="AC157" s="165"/>
      <c r="AD157" s="165"/>
      <c r="AE157" s="160"/>
      <c r="AF157" s="164"/>
      <c r="AG157" s="165"/>
      <c r="AH157" s="182"/>
      <c r="AI157" s="175"/>
      <c r="AJ157" s="172"/>
      <c r="AK157" s="165"/>
      <c r="AL157" s="165"/>
      <c r="AM157" s="165"/>
      <c r="AN157" s="165"/>
      <c r="AO157" s="165"/>
      <c r="AP157" s="160"/>
      <c r="AQ157" s="164"/>
      <c r="AR157" s="165"/>
      <c r="AS157" s="165"/>
      <c r="AT157" s="165"/>
      <c r="AU157" s="165"/>
      <c r="AV157" s="165"/>
      <c r="AW157" s="165"/>
      <c r="AX157" s="160"/>
      <c r="AY157" s="164"/>
      <c r="AZ157" s="169"/>
      <c r="BA157" s="164"/>
      <c r="BB157" s="165"/>
      <c r="BC157" s="165"/>
      <c r="BD157" s="165"/>
      <c r="BE157" s="165"/>
      <c r="BF157" s="165"/>
      <c r="BG157" s="165"/>
      <c r="BH157" s="160"/>
      <c r="BI157" s="164"/>
      <c r="BJ157" s="165"/>
      <c r="BK157" s="182"/>
      <c r="BL157" s="165"/>
      <c r="BM157" s="165"/>
      <c r="BN157" s="175"/>
      <c r="BO157" s="172"/>
      <c r="BP157" s="165"/>
      <c r="BQ157" s="165"/>
      <c r="BR157" s="165"/>
      <c r="BS157" s="160"/>
      <c r="BT157" s="164"/>
      <c r="BU157" s="165"/>
      <c r="BV157" s="165"/>
      <c r="BW157" s="165"/>
      <c r="BX157" s="165"/>
      <c r="BY157" s="165"/>
      <c r="BZ157" s="165"/>
      <c r="CA157" s="160"/>
      <c r="CB157" s="164"/>
      <c r="CC157" s="169"/>
      <c r="CD157" s="164"/>
      <c r="CE157" s="165"/>
      <c r="CF157" s="165"/>
      <c r="CG157" s="165"/>
      <c r="CH157" s="165"/>
      <c r="CI157" s="165"/>
      <c r="CJ157" s="165"/>
      <c r="CK157" s="160"/>
      <c r="CL157" s="164"/>
      <c r="CM157" s="165"/>
      <c r="CN157" s="182"/>
      <c r="CO157" s="165"/>
      <c r="CP157" s="165"/>
      <c r="CQ157" s="165"/>
      <c r="CR157" s="165"/>
      <c r="CS157" s="175"/>
      <c r="CT157" s="172"/>
      <c r="CU157" s="165"/>
      <c r="CV157" s="160"/>
    </row>
    <row r="158" spans="1:101" x14ac:dyDescent="0.25">
      <c r="A158" s="178"/>
      <c r="B158" s="169"/>
      <c r="F158" s="164"/>
      <c r="G158" s="165"/>
      <c r="H158" s="165"/>
      <c r="I158" s="165"/>
      <c r="J158" s="165"/>
      <c r="K158" s="165"/>
      <c r="L158" s="165"/>
      <c r="M158" s="160"/>
      <c r="N158" s="164"/>
      <c r="O158" s="165"/>
      <c r="P158" s="165"/>
      <c r="Q158" s="165"/>
      <c r="R158" s="165"/>
      <c r="S158" s="165"/>
      <c r="T158" s="165"/>
      <c r="U158" s="160"/>
      <c r="V158" s="165"/>
      <c r="W158" s="169"/>
      <c r="X158" s="164"/>
      <c r="Y158" s="165"/>
      <c r="Z158" s="165"/>
      <c r="AA158" s="165"/>
      <c r="AB158" s="165"/>
      <c r="AC158" s="165"/>
      <c r="AD158" s="165"/>
      <c r="AE158" s="160"/>
      <c r="AF158" s="164"/>
      <c r="AG158" s="165"/>
      <c r="AH158" s="182"/>
      <c r="AI158" s="175"/>
      <c r="AJ158" s="172"/>
      <c r="AK158" s="165"/>
      <c r="AL158" s="165"/>
      <c r="AM158" s="165"/>
      <c r="AN158" s="165"/>
      <c r="AO158" s="165"/>
      <c r="AP158" s="160"/>
      <c r="AQ158" s="164"/>
      <c r="AR158" s="165"/>
      <c r="AS158" s="165"/>
      <c r="AT158" s="165"/>
      <c r="AU158" s="165"/>
      <c r="AV158" s="165"/>
      <c r="AW158" s="165"/>
      <c r="AX158" s="160"/>
      <c r="AY158" s="164"/>
      <c r="AZ158" s="169"/>
      <c r="BA158" s="164"/>
      <c r="BB158" s="165"/>
      <c r="BC158" s="165"/>
      <c r="BD158" s="165"/>
      <c r="BE158" s="165"/>
      <c r="BF158" s="165"/>
      <c r="BG158" s="165"/>
      <c r="BH158" s="160"/>
      <c r="BI158" s="164"/>
      <c r="BJ158" s="165"/>
      <c r="BK158" s="182"/>
      <c r="BL158" s="165"/>
      <c r="BM158" s="165"/>
      <c r="BN158" s="175"/>
      <c r="BO158" s="172"/>
      <c r="BP158" s="165"/>
      <c r="BQ158" s="165"/>
      <c r="BR158" s="165"/>
      <c r="BS158" s="160"/>
      <c r="BT158" s="164"/>
      <c r="BU158" s="165"/>
      <c r="BV158" s="165"/>
      <c r="BW158" s="165"/>
      <c r="BX158" s="165"/>
      <c r="BY158" s="165"/>
      <c r="BZ158" s="165"/>
      <c r="CA158" s="160"/>
      <c r="CB158" s="164"/>
      <c r="CC158" s="169"/>
      <c r="CD158" s="164"/>
      <c r="CE158" s="165"/>
      <c r="CF158" s="165"/>
      <c r="CG158" s="165"/>
      <c r="CH158" s="165"/>
      <c r="CI158" s="165"/>
      <c r="CJ158" s="165"/>
      <c r="CK158" s="160"/>
      <c r="CL158" s="164"/>
      <c r="CM158" s="165"/>
      <c r="CN158" s="182"/>
      <c r="CO158" s="165"/>
      <c r="CP158" s="165"/>
      <c r="CQ158" s="165"/>
      <c r="CR158" s="165"/>
      <c r="CS158" s="175"/>
      <c r="CT158" s="172"/>
      <c r="CU158" s="165"/>
      <c r="CV158" s="160"/>
    </row>
    <row r="159" spans="1:101" x14ac:dyDescent="0.25">
      <c r="A159" s="178"/>
      <c r="B159" s="169"/>
      <c r="F159" s="164"/>
      <c r="G159" s="165"/>
      <c r="H159" s="165"/>
      <c r="I159" s="165"/>
      <c r="J159" s="165"/>
      <c r="K159" s="165"/>
      <c r="L159" s="165"/>
      <c r="M159" s="160"/>
      <c r="N159" s="164"/>
      <c r="O159" s="165"/>
      <c r="P159" s="165"/>
      <c r="Q159" s="165"/>
      <c r="R159" s="165"/>
      <c r="S159" s="165"/>
      <c r="T159" s="165"/>
      <c r="U159" s="160"/>
      <c r="V159" s="165"/>
      <c r="W159" s="169"/>
      <c r="X159" s="164"/>
      <c r="Y159" s="165"/>
      <c r="Z159" s="165"/>
      <c r="AA159" s="165"/>
      <c r="AB159" s="165"/>
      <c r="AC159" s="165"/>
      <c r="AD159" s="165"/>
      <c r="AE159" s="160"/>
      <c r="AF159" s="164"/>
      <c r="AG159" s="165"/>
      <c r="AH159" s="182"/>
      <c r="AI159" s="175"/>
      <c r="AJ159" s="172"/>
      <c r="AK159" s="165"/>
      <c r="AL159" s="165"/>
      <c r="AM159" s="165"/>
      <c r="AN159" s="165"/>
      <c r="AO159" s="165"/>
      <c r="AP159" s="160"/>
      <c r="AQ159" s="164"/>
      <c r="AR159" s="165"/>
      <c r="AS159" s="165"/>
      <c r="AT159" s="165"/>
      <c r="AU159" s="165"/>
      <c r="AV159" s="165"/>
      <c r="AW159" s="165"/>
      <c r="AX159" s="160"/>
      <c r="AY159" s="164"/>
      <c r="AZ159" s="169"/>
      <c r="BA159" s="164"/>
      <c r="BB159" s="165"/>
      <c r="BC159" s="165"/>
      <c r="BD159" s="165"/>
      <c r="BE159" s="165"/>
      <c r="BF159" s="165"/>
      <c r="BG159" s="165"/>
      <c r="BH159" s="160"/>
      <c r="BI159" s="164"/>
      <c r="BJ159" s="165"/>
      <c r="BK159" s="182"/>
      <c r="BL159" s="165"/>
      <c r="BM159" s="165"/>
      <c r="BN159" s="175"/>
      <c r="BO159" s="172"/>
      <c r="BP159" s="165"/>
      <c r="BQ159" s="165"/>
      <c r="BR159" s="165"/>
      <c r="BS159" s="160"/>
      <c r="BT159" s="164"/>
      <c r="BU159" s="165"/>
      <c r="BV159" s="165"/>
      <c r="BW159" s="165"/>
      <c r="BX159" s="165"/>
      <c r="BY159" s="165"/>
      <c r="BZ159" s="165"/>
      <c r="CA159" s="160"/>
      <c r="CB159" s="164"/>
      <c r="CC159" s="169"/>
      <c r="CD159" s="164"/>
      <c r="CE159" s="165"/>
      <c r="CF159" s="165"/>
      <c r="CG159" s="165"/>
      <c r="CH159" s="165"/>
      <c r="CI159" s="165"/>
      <c r="CJ159" s="165"/>
      <c r="CK159" s="160"/>
      <c r="CL159" s="164"/>
      <c r="CM159" s="165"/>
      <c r="CN159" s="182"/>
      <c r="CO159" s="165"/>
      <c r="CP159" s="165"/>
      <c r="CQ159" s="165"/>
      <c r="CR159" s="165"/>
      <c r="CS159" s="175"/>
      <c r="CT159" s="172"/>
      <c r="CU159" s="165"/>
      <c r="CV159" s="160"/>
      <c r="CW159" s="135"/>
    </row>
    <row r="160" spans="1:101" x14ac:dyDescent="0.25">
      <c r="A160" s="178"/>
      <c r="B160" s="169"/>
      <c r="F160" s="164"/>
      <c r="G160" s="165"/>
      <c r="H160" s="165"/>
      <c r="I160" s="165"/>
      <c r="J160" s="165"/>
      <c r="K160" s="165"/>
      <c r="L160" s="165"/>
      <c r="M160" s="160"/>
      <c r="N160" s="164"/>
      <c r="O160" s="165"/>
      <c r="P160" s="165"/>
      <c r="Q160" s="165"/>
      <c r="R160" s="165"/>
      <c r="S160" s="165"/>
      <c r="T160" s="165"/>
      <c r="U160" s="160"/>
      <c r="V160" s="165"/>
      <c r="W160" s="169"/>
      <c r="X160" s="164"/>
      <c r="Y160" s="165"/>
      <c r="Z160" s="165"/>
      <c r="AA160" s="165"/>
      <c r="AB160" s="165"/>
      <c r="AC160" s="165"/>
      <c r="AD160" s="165"/>
      <c r="AE160" s="160"/>
      <c r="AF160" s="164"/>
      <c r="AG160" s="165"/>
      <c r="AH160" s="182"/>
      <c r="AI160" s="175"/>
      <c r="AJ160" s="172"/>
      <c r="AK160" s="165"/>
      <c r="AL160" s="165"/>
      <c r="AM160" s="165"/>
      <c r="AN160" s="165"/>
      <c r="AO160" s="165"/>
      <c r="AP160" s="160"/>
      <c r="AQ160" s="164"/>
      <c r="AR160" s="165"/>
      <c r="AS160" s="165"/>
      <c r="AT160" s="165"/>
      <c r="AU160" s="165"/>
      <c r="AV160" s="165"/>
      <c r="AW160" s="165"/>
      <c r="AX160" s="160"/>
      <c r="AY160" s="164"/>
      <c r="AZ160" s="169"/>
      <c r="BA160" s="164"/>
      <c r="BB160" s="165"/>
      <c r="BC160" s="165"/>
      <c r="BD160" s="165"/>
      <c r="BE160" s="165"/>
      <c r="BF160" s="165"/>
      <c r="BG160" s="165"/>
      <c r="BH160" s="160"/>
      <c r="BI160" s="164"/>
      <c r="BJ160" s="165"/>
      <c r="BK160" s="182"/>
      <c r="BL160" s="165"/>
      <c r="BM160" s="165"/>
      <c r="BN160" s="175"/>
      <c r="BO160" s="172"/>
      <c r="BP160" s="165"/>
      <c r="BQ160" s="165"/>
      <c r="BR160" s="165"/>
      <c r="BS160" s="160"/>
      <c r="BT160" s="164"/>
      <c r="BU160" s="165"/>
      <c r="BV160" s="165"/>
      <c r="BW160" s="165"/>
      <c r="BX160" s="165"/>
      <c r="BY160" s="165"/>
      <c r="BZ160" s="165"/>
      <c r="CA160" s="160"/>
      <c r="CB160" s="164"/>
      <c r="CC160" s="169"/>
      <c r="CD160" s="164"/>
      <c r="CE160" s="165"/>
      <c r="CF160" s="165"/>
      <c r="CG160" s="165"/>
      <c r="CH160" s="165"/>
      <c r="CI160" s="165"/>
      <c r="CJ160" s="165"/>
      <c r="CK160" s="160"/>
      <c r="CL160" s="164"/>
      <c r="CM160" s="165"/>
      <c r="CN160" s="182"/>
      <c r="CO160" s="165"/>
      <c r="CP160" s="165"/>
      <c r="CQ160" s="165"/>
      <c r="CR160" s="165"/>
      <c r="CS160" s="175"/>
      <c r="CT160" s="172"/>
      <c r="CU160" s="165"/>
      <c r="CV160" s="160"/>
      <c r="CW160" s="135"/>
    </row>
    <row r="161" spans="1:101" x14ac:dyDescent="0.25">
      <c r="A161" s="178"/>
      <c r="B161" s="169"/>
      <c r="F161" s="164"/>
      <c r="G161" s="165"/>
      <c r="H161" s="165"/>
      <c r="I161" s="165"/>
      <c r="J161" s="165"/>
      <c r="K161" s="165"/>
      <c r="L161" s="165"/>
      <c r="M161" s="160"/>
      <c r="N161" s="164"/>
      <c r="O161" s="165"/>
      <c r="P161" s="165"/>
      <c r="Q161" s="165"/>
      <c r="R161" s="165"/>
      <c r="S161" s="165"/>
      <c r="T161" s="165"/>
      <c r="U161" s="160"/>
      <c r="V161" s="165"/>
      <c r="W161" s="169"/>
      <c r="X161" s="164"/>
      <c r="Y161" s="165"/>
      <c r="Z161" s="165"/>
      <c r="AA161" s="165"/>
      <c r="AB161" s="165"/>
      <c r="AC161" s="165"/>
      <c r="AD161" s="165"/>
      <c r="AE161" s="160"/>
      <c r="AF161" s="164"/>
      <c r="AG161" s="165"/>
      <c r="AH161" s="182"/>
      <c r="AI161" s="175"/>
      <c r="AJ161" s="172"/>
      <c r="AK161" s="165"/>
      <c r="AL161" s="165"/>
      <c r="AM161" s="165"/>
      <c r="AN161" s="165"/>
      <c r="AO161" s="165"/>
      <c r="AP161" s="160"/>
      <c r="AQ161" s="164"/>
      <c r="AR161" s="165"/>
      <c r="AS161" s="165"/>
      <c r="AT161" s="165"/>
      <c r="AU161" s="165"/>
      <c r="AV161" s="165"/>
      <c r="AW161" s="165"/>
      <c r="AX161" s="160"/>
      <c r="AY161" s="164"/>
      <c r="AZ161" s="169"/>
      <c r="BA161" s="164"/>
      <c r="BB161" s="165"/>
      <c r="BC161" s="165"/>
      <c r="BD161" s="165"/>
      <c r="BE161" s="165"/>
      <c r="BF161" s="165"/>
      <c r="BG161" s="165"/>
      <c r="BH161" s="160"/>
      <c r="BI161" s="164"/>
      <c r="BJ161" s="165"/>
      <c r="BK161" s="182"/>
      <c r="BL161" s="165"/>
      <c r="BM161" s="165"/>
      <c r="BN161" s="175"/>
      <c r="BO161" s="172"/>
      <c r="BP161" s="165"/>
      <c r="BQ161" s="165"/>
      <c r="BR161" s="165"/>
      <c r="BS161" s="160"/>
      <c r="BT161" s="164"/>
      <c r="BU161" s="165"/>
      <c r="BV161" s="165"/>
      <c r="BW161" s="165"/>
      <c r="BX161" s="165"/>
      <c r="BY161" s="165"/>
      <c r="BZ161" s="165"/>
      <c r="CA161" s="160"/>
      <c r="CB161" s="164"/>
      <c r="CC161" s="169"/>
      <c r="CD161" s="164"/>
      <c r="CE161" s="165"/>
      <c r="CF161" s="165"/>
      <c r="CG161" s="165"/>
      <c r="CH161" s="165"/>
      <c r="CI161" s="165"/>
      <c r="CJ161" s="165"/>
      <c r="CK161" s="160"/>
      <c r="CL161" s="164"/>
      <c r="CM161" s="165"/>
      <c r="CN161" s="182"/>
      <c r="CO161" s="165"/>
      <c r="CP161" s="165"/>
      <c r="CQ161" s="165"/>
      <c r="CR161" s="165"/>
      <c r="CS161" s="175"/>
      <c r="CT161" s="172"/>
      <c r="CU161" s="165"/>
      <c r="CV161" s="160"/>
      <c r="CW161" s="135"/>
    </row>
    <row r="162" spans="1:101" x14ac:dyDescent="0.25">
      <c r="A162" s="178"/>
      <c r="B162" s="169"/>
      <c r="F162" s="164"/>
      <c r="G162" s="165"/>
      <c r="H162" s="165"/>
      <c r="I162" s="165"/>
      <c r="J162" s="165"/>
      <c r="K162" s="165"/>
      <c r="L162" s="165"/>
      <c r="M162" s="160"/>
      <c r="N162" s="164"/>
      <c r="O162" s="165"/>
      <c r="P162" s="165"/>
      <c r="Q162" s="165"/>
      <c r="R162" s="165"/>
      <c r="S162" s="165"/>
      <c r="T162" s="165"/>
      <c r="U162" s="160"/>
      <c r="V162" s="165"/>
      <c r="W162" s="169"/>
      <c r="X162" s="164"/>
      <c r="Y162" s="165"/>
      <c r="Z162" s="165"/>
      <c r="AA162" s="165"/>
      <c r="AB162" s="165"/>
      <c r="AC162" s="165"/>
      <c r="AD162" s="165"/>
      <c r="AE162" s="160"/>
      <c r="AF162" s="164"/>
      <c r="AG162" s="165"/>
      <c r="AH162" s="182"/>
      <c r="AI162" s="175"/>
      <c r="AJ162" s="172"/>
      <c r="AK162" s="165"/>
      <c r="AL162" s="165"/>
      <c r="AM162" s="165"/>
      <c r="AN162" s="165"/>
      <c r="AO162" s="165"/>
      <c r="AP162" s="160"/>
      <c r="AQ162" s="164"/>
      <c r="AR162" s="165"/>
      <c r="AS162" s="165"/>
      <c r="AT162" s="165"/>
      <c r="AU162" s="165"/>
      <c r="AV162" s="165"/>
      <c r="AW162" s="165"/>
      <c r="AX162" s="160"/>
      <c r="AY162" s="164"/>
      <c r="AZ162" s="169"/>
      <c r="BA162" s="164"/>
      <c r="BB162" s="165"/>
      <c r="BC162" s="165"/>
      <c r="BD162" s="165"/>
      <c r="BE162" s="165"/>
      <c r="BF162" s="165"/>
      <c r="BG162" s="165"/>
      <c r="BH162" s="160"/>
      <c r="BI162" s="164"/>
      <c r="BJ162" s="165"/>
      <c r="BK162" s="182"/>
      <c r="BL162" s="165"/>
      <c r="BM162" s="165"/>
      <c r="BN162" s="175"/>
      <c r="BO162" s="172"/>
      <c r="BP162" s="165"/>
      <c r="BQ162" s="165"/>
      <c r="BR162" s="165"/>
      <c r="BS162" s="160"/>
      <c r="BT162" s="164"/>
      <c r="BU162" s="165"/>
      <c r="BV162" s="165"/>
      <c r="BW162" s="165"/>
      <c r="BX162" s="165"/>
      <c r="BY162" s="165"/>
      <c r="BZ162" s="165"/>
      <c r="CA162" s="160"/>
      <c r="CB162" s="164"/>
      <c r="CC162" s="169"/>
      <c r="CD162" s="164"/>
      <c r="CE162" s="165"/>
      <c r="CF162" s="165"/>
      <c r="CG162" s="165"/>
      <c r="CH162" s="165"/>
      <c r="CI162" s="165"/>
      <c r="CJ162" s="165"/>
      <c r="CK162" s="160"/>
      <c r="CL162" s="164"/>
      <c r="CM162" s="165"/>
      <c r="CN162" s="182"/>
      <c r="CO162" s="165"/>
      <c r="CP162" s="165"/>
      <c r="CQ162" s="165"/>
      <c r="CR162" s="165"/>
      <c r="CS162" s="175"/>
      <c r="CT162" s="172"/>
      <c r="CU162" s="165"/>
      <c r="CV162" s="160"/>
      <c r="CW162" s="135"/>
    </row>
    <row r="163" spans="1:101" x14ac:dyDescent="0.25">
      <c r="A163" s="178"/>
      <c r="B163" s="169"/>
      <c r="F163" s="164"/>
      <c r="G163" s="165"/>
      <c r="H163" s="165"/>
      <c r="I163" s="165"/>
      <c r="J163" s="165"/>
      <c r="K163" s="165"/>
      <c r="L163" s="165"/>
      <c r="M163" s="160"/>
      <c r="N163" s="164"/>
      <c r="O163" s="165"/>
      <c r="P163" s="165"/>
      <c r="Q163" s="165"/>
      <c r="R163" s="165"/>
      <c r="S163" s="165"/>
      <c r="T163" s="165"/>
      <c r="U163" s="160"/>
      <c r="V163" s="165"/>
      <c r="W163" s="169"/>
      <c r="X163" s="164"/>
      <c r="Y163" s="165"/>
      <c r="Z163" s="165"/>
      <c r="AA163" s="165"/>
      <c r="AB163" s="165"/>
      <c r="AC163" s="165"/>
      <c r="AD163" s="165"/>
      <c r="AE163" s="160"/>
      <c r="AF163" s="164"/>
      <c r="AG163" s="165"/>
      <c r="AH163" s="182"/>
      <c r="AI163" s="175"/>
      <c r="AJ163" s="172"/>
      <c r="AK163" s="165"/>
      <c r="AL163" s="165"/>
      <c r="AM163" s="165"/>
      <c r="AN163" s="165"/>
      <c r="AO163" s="165"/>
      <c r="AP163" s="160"/>
      <c r="AQ163" s="164"/>
      <c r="AR163" s="165"/>
      <c r="AS163" s="165"/>
      <c r="AT163" s="165"/>
      <c r="AU163" s="165"/>
      <c r="AV163" s="165"/>
      <c r="AW163" s="165"/>
      <c r="AX163" s="160"/>
      <c r="AY163" s="164"/>
      <c r="AZ163" s="169"/>
      <c r="BA163" s="164"/>
      <c r="BB163" s="165"/>
      <c r="BC163" s="165"/>
      <c r="BD163" s="165"/>
      <c r="BE163" s="165"/>
      <c r="BF163" s="165"/>
      <c r="BG163" s="165"/>
      <c r="BH163" s="160"/>
      <c r="BI163" s="164"/>
      <c r="BJ163" s="165"/>
      <c r="BK163" s="182"/>
      <c r="BL163" s="165"/>
      <c r="BM163" s="165"/>
      <c r="BN163" s="175"/>
      <c r="BO163" s="172"/>
      <c r="BP163" s="165"/>
      <c r="BQ163" s="165"/>
      <c r="BR163" s="165"/>
      <c r="BS163" s="160"/>
      <c r="BT163" s="164"/>
      <c r="BU163" s="165"/>
      <c r="BV163" s="165"/>
      <c r="BW163" s="165"/>
      <c r="BX163" s="165"/>
      <c r="BY163" s="165"/>
      <c r="BZ163" s="165"/>
      <c r="CA163" s="160"/>
      <c r="CB163" s="164"/>
      <c r="CC163" s="169"/>
      <c r="CD163" s="164"/>
      <c r="CE163" s="165"/>
      <c r="CF163" s="165"/>
      <c r="CG163" s="165"/>
      <c r="CH163" s="165"/>
      <c r="CI163" s="165"/>
      <c r="CJ163" s="165"/>
      <c r="CK163" s="160"/>
      <c r="CL163" s="164"/>
      <c r="CM163" s="165"/>
      <c r="CN163" s="182"/>
      <c r="CO163" s="165"/>
      <c r="CP163" s="165"/>
      <c r="CQ163" s="165"/>
      <c r="CR163" s="165"/>
      <c r="CS163" s="175"/>
      <c r="CT163" s="172"/>
      <c r="CU163" s="165"/>
      <c r="CV163" s="160"/>
      <c r="CW163" s="135"/>
    </row>
    <row r="164" spans="1:101" x14ac:dyDescent="0.25">
      <c r="A164" s="178"/>
      <c r="B164" s="169"/>
      <c r="F164" s="164"/>
      <c r="G164" s="165"/>
      <c r="H164" s="165"/>
      <c r="I164" s="165"/>
      <c r="J164" s="165"/>
      <c r="K164" s="165"/>
      <c r="L164" s="165"/>
      <c r="M164" s="160"/>
      <c r="N164" s="164"/>
      <c r="O164" s="165"/>
      <c r="P164" s="165"/>
      <c r="Q164" s="165"/>
      <c r="R164" s="165"/>
      <c r="S164" s="165"/>
      <c r="T164" s="165"/>
      <c r="U164" s="160"/>
      <c r="V164" s="165"/>
      <c r="W164" s="169"/>
      <c r="X164" s="164"/>
      <c r="Y164" s="165"/>
      <c r="Z164" s="165"/>
      <c r="AA164" s="165"/>
      <c r="AB164" s="165"/>
      <c r="AC164" s="165"/>
      <c r="AD164" s="165"/>
      <c r="AE164" s="160"/>
      <c r="AF164" s="164"/>
      <c r="AG164" s="165"/>
      <c r="AH164" s="182"/>
      <c r="AI164" s="175"/>
      <c r="AJ164" s="172"/>
      <c r="AK164" s="165"/>
      <c r="AL164" s="165"/>
      <c r="AM164" s="165"/>
      <c r="AN164" s="165"/>
      <c r="AO164" s="165"/>
      <c r="AP164" s="160"/>
      <c r="AQ164" s="164"/>
      <c r="AR164" s="165"/>
      <c r="AS164" s="165"/>
      <c r="AT164" s="165"/>
      <c r="AU164" s="165"/>
      <c r="AV164" s="165"/>
      <c r="AW164" s="165"/>
      <c r="AX164" s="160"/>
      <c r="AY164" s="164"/>
      <c r="AZ164" s="169"/>
      <c r="BA164" s="164"/>
      <c r="BB164" s="165"/>
      <c r="BC164" s="165"/>
      <c r="BD164" s="165"/>
      <c r="BE164" s="165"/>
      <c r="BF164" s="165"/>
      <c r="BG164" s="165"/>
      <c r="BH164" s="160"/>
      <c r="BI164" s="164"/>
      <c r="BJ164" s="165"/>
      <c r="BK164" s="182"/>
      <c r="BL164" s="165"/>
      <c r="BM164" s="165"/>
      <c r="BN164" s="175"/>
      <c r="BO164" s="172"/>
      <c r="BP164" s="165"/>
      <c r="BQ164" s="165"/>
      <c r="BR164" s="165"/>
      <c r="BS164" s="160"/>
      <c r="BT164" s="164"/>
      <c r="BU164" s="165"/>
      <c r="BV164" s="165"/>
      <c r="BW164" s="165"/>
      <c r="BX164" s="165"/>
      <c r="BY164" s="165"/>
      <c r="BZ164" s="165"/>
      <c r="CA164" s="160"/>
      <c r="CB164" s="164"/>
      <c r="CC164" s="169"/>
      <c r="CD164" s="164"/>
      <c r="CE164" s="165"/>
      <c r="CF164" s="165"/>
      <c r="CG164" s="165"/>
      <c r="CH164" s="165"/>
      <c r="CI164" s="165"/>
      <c r="CJ164" s="165"/>
      <c r="CK164" s="160"/>
      <c r="CL164" s="164"/>
      <c r="CM164" s="165"/>
      <c r="CN164" s="182"/>
      <c r="CO164" s="165"/>
      <c r="CP164" s="165"/>
      <c r="CQ164" s="165"/>
      <c r="CR164" s="165"/>
      <c r="CS164" s="175"/>
      <c r="CT164" s="172"/>
      <c r="CU164" s="165"/>
      <c r="CV164" s="160"/>
      <c r="CW164" s="135"/>
    </row>
    <row r="165" spans="1:101" x14ac:dyDescent="0.25">
      <c r="A165" s="178"/>
      <c r="B165" s="169"/>
      <c r="F165" s="164"/>
      <c r="G165" s="165"/>
      <c r="H165" s="165"/>
      <c r="I165" s="165"/>
      <c r="J165" s="165"/>
      <c r="K165" s="165"/>
      <c r="L165" s="165"/>
      <c r="M165" s="160"/>
      <c r="N165" s="164"/>
      <c r="O165" s="165"/>
      <c r="P165" s="165"/>
      <c r="Q165" s="165"/>
      <c r="R165" s="165"/>
      <c r="S165" s="165"/>
      <c r="T165" s="165"/>
      <c r="U165" s="160"/>
      <c r="V165" s="165"/>
      <c r="W165" s="169"/>
      <c r="X165" s="164"/>
      <c r="Y165" s="165"/>
      <c r="Z165" s="165"/>
      <c r="AA165" s="165"/>
      <c r="AB165" s="165"/>
      <c r="AC165" s="165"/>
      <c r="AD165" s="165"/>
      <c r="AE165" s="160"/>
      <c r="AF165" s="164"/>
      <c r="AG165" s="165"/>
      <c r="AH165" s="182"/>
      <c r="AI165" s="175"/>
      <c r="AJ165" s="172"/>
      <c r="AK165" s="165"/>
      <c r="AL165" s="165"/>
      <c r="AM165" s="165"/>
      <c r="AN165" s="165"/>
      <c r="AO165" s="165"/>
      <c r="AP165" s="160"/>
      <c r="AQ165" s="164"/>
      <c r="AR165" s="165"/>
      <c r="AS165" s="165"/>
      <c r="AT165" s="165"/>
      <c r="AU165" s="165"/>
      <c r="AV165" s="165"/>
      <c r="AW165" s="165"/>
      <c r="AX165" s="160"/>
      <c r="AY165" s="164"/>
      <c r="AZ165" s="169"/>
      <c r="BA165" s="164"/>
      <c r="BB165" s="165"/>
      <c r="BC165" s="165"/>
      <c r="BD165" s="165"/>
      <c r="BE165" s="165"/>
      <c r="BF165" s="165"/>
      <c r="BG165" s="165"/>
      <c r="BH165" s="160"/>
      <c r="BI165" s="164"/>
      <c r="BJ165" s="165"/>
      <c r="BK165" s="182"/>
      <c r="BL165" s="165"/>
      <c r="BM165" s="165"/>
      <c r="BN165" s="175"/>
      <c r="BO165" s="172"/>
      <c r="BP165" s="165"/>
      <c r="BQ165" s="165"/>
      <c r="BR165" s="165"/>
      <c r="BS165" s="160"/>
      <c r="BT165" s="164"/>
      <c r="BU165" s="165"/>
      <c r="BV165" s="165"/>
      <c r="BW165" s="165"/>
      <c r="BX165" s="165"/>
      <c r="BY165" s="165"/>
      <c r="BZ165" s="165"/>
      <c r="CA165" s="160"/>
      <c r="CB165" s="164"/>
      <c r="CC165" s="169"/>
      <c r="CD165" s="164"/>
      <c r="CE165" s="165"/>
      <c r="CF165" s="165"/>
      <c r="CG165" s="165"/>
      <c r="CH165" s="165"/>
      <c r="CI165" s="165"/>
      <c r="CJ165" s="165"/>
      <c r="CK165" s="160"/>
      <c r="CL165" s="164"/>
      <c r="CM165" s="165"/>
      <c r="CN165" s="182"/>
      <c r="CO165" s="165"/>
      <c r="CP165" s="165"/>
      <c r="CQ165" s="165"/>
      <c r="CR165" s="165"/>
      <c r="CS165" s="175"/>
      <c r="CT165" s="172"/>
      <c r="CU165" s="165"/>
      <c r="CV165" s="160"/>
      <c r="CW165" s="135"/>
    </row>
    <row r="166" spans="1:101" x14ac:dyDescent="0.25">
      <c r="A166" s="178"/>
      <c r="B166" s="169"/>
      <c r="F166" s="164"/>
      <c r="G166" s="165"/>
      <c r="H166" s="165"/>
      <c r="I166" s="165"/>
      <c r="J166" s="165"/>
      <c r="K166" s="165"/>
      <c r="L166" s="165"/>
      <c r="M166" s="160"/>
      <c r="N166" s="164"/>
      <c r="O166" s="165"/>
      <c r="P166" s="165"/>
      <c r="Q166" s="165"/>
      <c r="R166" s="165"/>
      <c r="S166" s="165"/>
      <c r="T166" s="165"/>
      <c r="U166" s="160"/>
      <c r="V166" s="165"/>
      <c r="W166" s="169"/>
      <c r="X166" s="164"/>
      <c r="Y166" s="165"/>
      <c r="Z166" s="165"/>
      <c r="AA166" s="165"/>
      <c r="AB166" s="165"/>
      <c r="AC166" s="165"/>
      <c r="AD166" s="165"/>
      <c r="AE166" s="160"/>
      <c r="AF166" s="164"/>
      <c r="AG166" s="165"/>
      <c r="AH166" s="182"/>
      <c r="AI166" s="175"/>
      <c r="AJ166" s="172"/>
      <c r="AK166" s="165"/>
      <c r="AL166" s="165"/>
      <c r="AM166" s="165"/>
      <c r="AN166" s="165"/>
      <c r="AO166" s="165"/>
      <c r="AP166" s="160"/>
      <c r="AQ166" s="164"/>
      <c r="AR166" s="165"/>
      <c r="AS166" s="165"/>
      <c r="AT166" s="165"/>
      <c r="AU166" s="165"/>
      <c r="AV166" s="165"/>
      <c r="AW166" s="165"/>
      <c r="AX166" s="160"/>
      <c r="AY166" s="164"/>
      <c r="AZ166" s="169"/>
      <c r="BA166" s="164"/>
      <c r="BB166" s="165"/>
      <c r="BC166" s="165"/>
      <c r="BD166" s="165"/>
      <c r="BE166" s="165"/>
      <c r="BF166" s="165"/>
      <c r="BG166" s="165"/>
      <c r="BH166" s="160"/>
      <c r="BI166" s="164"/>
      <c r="BJ166" s="165"/>
      <c r="BK166" s="182"/>
      <c r="BL166" s="165"/>
      <c r="BM166" s="165"/>
      <c r="BN166" s="175"/>
      <c r="BO166" s="172"/>
      <c r="BP166" s="165"/>
      <c r="BQ166" s="165"/>
      <c r="BR166" s="165"/>
      <c r="BS166" s="160"/>
      <c r="BT166" s="164"/>
      <c r="BU166" s="165"/>
      <c r="BV166" s="165"/>
      <c r="BW166" s="165"/>
      <c r="BX166" s="165"/>
      <c r="BY166" s="165"/>
      <c r="BZ166" s="165"/>
      <c r="CA166" s="160"/>
      <c r="CB166" s="164"/>
      <c r="CC166" s="169"/>
      <c r="CD166" s="164"/>
      <c r="CE166" s="165"/>
      <c r="CF166" s="165"/>
      <c r="CG166" s="165"/>
      <c r="CH166" s="165"/>
      <c r="CI166" s="165"/>
      <c r="CJ166" s="165"/>
      <c r="CK166" s="160"/>
      <c r="CL166" s="164"/>
      <c r="CM166" s="165"/>
      <c r="CN166" s="182"/>
      <c r="CO166" s="165"/>
      <c r="CP166" s="165"/>
      <c r="CQ166" s="165"/>
      <c r="CR166" s="165"/>
      <c r="CS166" s="175"/>
      <c r="CT166" s="172"/>
      <c r="CU166" s="165"/>
      <c r="CV166" s="160"/>
      <c r="CW166" s="135"/>
    </row>
    <row r="167" spans="1:101" x14ac:dyDescent="0.25">
      <c r="A167" s="178"/>
      <c r="B167" s="169"/>
      <c r="F167" s="164"/>
      <c r="G167" s="165"/>
      <c r="H167" s="165"/>
      <c r="I167" s="165"/>
      <c r="J167" s="165"/>
      <c r="K167" s="165"/>
      <c r="L167" s="165"/>
      <c r="M167" s="160"/>
      <c r="N167" s="164"/>
      <c r="O167" s="165"/>
      <c r="P167" s="165"/>
      <c r="Q167" s="165"/>
      <c r="R167" s="165"/>
      <c r="S167" s="165"/>
      <c r="T167" s="165"/>
      <c r="U167" s="160"/>
      <c r="V167" s="165"/>
      <c r="W167" s="169"/>
      <c r="X167" s="164"/>
      <c r="Y167" s="165"/>
      <c r="Z167" s="165"/>
      <c r="AA167" s="165"/>
      <c r="AB167" s="165"/>
      <c r="AC167" s="165"/>
      <c r="AD167" s="165"/>
      <c r="AE167" s="160"/>
      <c r="AF167" s="164"/>
      <c r="AG167" s="165"/>
      <c r="AH167" s="182"/>
      <c r="AI167" s="175"/>
      <c r="AJ167" s="172"/>
      <c r="AK167" s="165"/>
      <c r="AL167" s="165"/>
      <c r="AM167" s="165"/>
      <c r="AN167" s="165"/>
      <c r="AO167" s="165"/>
      <c r="AP167" s="160"/>
      <c r="AQ167" s="164"/>
      <c r="AR167" s="165"/>
      <c r="AS167" s="165"/>
      <c r="AT167" s="165"/>
      <c r="AU167" s="165"/>
      <c r="AV167" s="165"/>
      <c r="AW167" s="165"/>
      <c r="AX167" s="160"/>
      <c r="AY167" s="164"/>
      <c r="AZ167" s="169"/>
      <c r="BA167" s="164"/>
      <c r="BB167" s="165"/>
      <c r="BC167" s="165"/>
      <c r="BD167" s="165"/>
      <c r="BE167" s="165"/>
      <c r="BF167" s="165"/>
      <c r="BG167" s="165"/>
      <c r="BH167" s="160"/>
      <c r="BI167" s="164"/>
      <c r="BJ167" s="165"/>
      <c r="BK167" s="182"/>
      <c r="BL167" s="165"/>
      <c r="BM167" s="165"/>
      <c r="BN167" s="175"/>
      <c r="BO167" s="172"/>
      <c r="BP167" s="165"/>
      <c r="BQ167" s="165"/>
      <c r="BR167" s="165"/>
      <c r="BS167" s="160"/>
      <c r="BT167" s="164"/>
      <c r="BU167" s="165"/>
      <c r="BV167" s="165"/>
      <c r="BW167" s="165"/>
      <c r="BX167" s="165"/>
      <c r="BY167" s="165"/>
      <c r="BZ167" s="165"/>
      <c r="CA167" s="160"/>
      <c r="CB167" s="164"/>
      <c r="CC167" s="169"/>
      <c r="CD167" s="164"/>
      <c r="CE167" s="165"/>
      <c r="CF167" s="165"/>
      <c r="CG167" s="165"/>
      <c r="CH167" s="165"/>
      <c r="CI167" s="165"/>
      <c r="CJ167" s="165"/>
      <c r="CK167" s="160"/>
      <c r="CL167" s="164"/>
      <c r="CM167" s="165"/>
      <c r="CN167" s="182"/>
      <c r="CO167" s="165"/>
      <c r="CP167" s="165"/>
      <c r="CQ167" s="165"/>
      <c r="CR167" s="165"/>
      <c r="CS167" s="175"/>
      <c r="CT167" s="172"/>
      <c r="CU167" s="165"/>
      <c r="CV167" s="160"/>
      <c r="CW167" s="135"/>
    </row>
    <row r="168" spans="1:101" x14ac:dyDescent="0.25">
      <c r="A168" s="178"/>
      <c r="B168" s="169"/>
      <c r="F168" s="164"/>
      <c r="G168" s="165"/>
      <c r="H168" s="165"/>
      <c r="I168" s="165"/>
      <c r="J168" s="165"/>
      <c r="K168" s="165"/>
      <c r="L168" s="165"/>
      <c r="M168" s="160"/>
      <c r="N168" s="164"/>
      <c r="O168" s="165"/>
      <c r="P168" s="165"/>
      <c r="Q168" s="165"/>
      <c r="R168" s="165"/>
      <c r="S168" s="165"/>
      <c r="T168" s="165"/>
      <c r="U168" s="160"/>
      <c r="V168" s="165"/>
      <c r="W168" s="169"/>
      <c r="X168" s="164"/>
      <c r="Y168" s="165"/>
      <c r="Z168" s="165"/>
      <c r="AA168" s="165"/>
      <c r="AB168" s="165"/>
      <c r="AC168" s="165"/>
      <c r="AD168" s="165"/>
      <c r="AE168" s="160"/>
      <c r="AF168" s="164"/>
      <c r="AG168" s="165"/>
      <c r="AH168" s="182"/>
      <c r="AI168" s="175"/>
      <c r="AJ168" s="172"/>
      <c r="AK168" s="165"/>
      <c r="AL168" s="165"/>
      <c r="AM168" s="165"/>
      <c r="AN168" s="165"/>
      <c r="AO168" s="165"/>
      <c r="AP168" s="160"/>
      <c r="AQ168" s="164"/>
      <c r="AR168" s="165"/>
      <c r="AS168" s="165"/>
      <c r="AT168" s="165"/>
      <c r="AU168" s="165"/>
      <c r="AV168" s="165"/>
      <c r="AW168" s="165"/>
      <c r="AX168" s="160"/>
      <c r="AY168" s="164"/>
      <c r="AZ168" s="169"/>
      <c r="BA168" s="164"/>
      <c r="BB168" s="165"/>
      <c r="BC168" s="165"/>
      <c r="BD168" s="165"/>
      <c r="BE168" s="165"/>
      <c r="BF168" s="165"/>
      <c r="BG168" s="165"/>
      <c r="BH168" s="160"/>
      <c r="BI168" s="164"/>
      <c r="BJ168" s="165"/>
      <c r="BK168" s="182"/>
      <c r="BL168" s="165"/>
      <c r="BM168" s="165"/>
      <c r="BN168" s="175"/>
      <c r="BO168" s="172"/>
      <c r="BP168" s="165"/>
      <c r="BQ168" s="165"/>
      <c r="BR168" s="165"/>
      <c r="BS168" s="160"/>
      <c r="BT168" s="164"/>
      <c r="BU168" s="165"/>
      <c r="BV168" s="165"/>
      <c r="BW168" s="165"/>
      <c r="BX168" s="165"/>
      <c r="BY168" s="165"/>
      <c r="BZ168" s="165"/>
      <c r="CA168" s="160"/>
      <c r="CB168" s="164"/>
      <c r="CC168" s="169"/>
      <c r="CD168" s="164"/>
      <c r="CE168" s="165"/>
      <c r="CF168" s="165"/>
      <c r="CG168" s="165"/>
      <c r="CH168" s="165"/>
      <c r="CI168" s="165"/>
      <c r="CJ168" s="165"/>
      <c r="CK168" s="160"/>
      <c r="CL168" s="164"/>
      <c r="CM168" s="165"/>
      <c r="CN168" s="182"/>
      <c r="CO168" s="165"/>
      <c r="CP168" s="165"/>
      <c r="CQ168" s="165"/>
      <c r="CR168" s="165"/>
      <c r="CS168" s="175"/>
      <c r="CT168" s="172"/>
      <c r="CU168" s="165"/>
      <c r="CV168" s="160"/>
      <c r="CW168" s="135"/>
    </row>
    <row r="169" spans="1:101" x14ac:dyDescent="0.25">
      <c r="A169" s="178"/>
      <c r="B169" s="169"/>
      <c r="F169" s="164"/>
      <c r="G169" s="165"/>
      <c r="H169" s="165"/>
      <c r="I169" s="165"/>
      <c r="J169" s="165"/>
      <c r="K169" s="165"/>
      <c r="L169" s="165"/>
      <c r="M169" s="160"/>
      <c r="N169" s="164"/>
      <c r="O169" s="165"/>
      <c r="P169" s="165"/>
      <c r="Q169" s="165"/>
      <c r="R169" s="165"/>
      <c r="S169" s="165"/>
      <c r="T169" s="165"/>
      <c r="U169" s="160"/>
      <c r="V169" s="165"/>
      <c r="W169" s="169"/>
      <c r="X169" s="164"/>
      <c r="Y169" s="165"/>
      <c r="Z169" s="165"/>
      <c r="AA169" s="165"/>
      <c r="AB169" s="165"/>
      <c r="AC169" s="165"/>
      <c r="AD169" s="165"/>
      <c r="AE169" s="160"/>
      <c r="AF169" s="164"/>
      <c r="AG169" s="165"/>
      <c r="AH169" s="182"/>
      <c r="AI169" s="175"/>
      <c r="AJ169" s="172"/>
      <c r="AK169" s="165"/>
      <c r="AL169" s="165"/>
      <c r="AM169" s="165"/>
      <c r="AN169" s="165"/>
      <c r="AO169" s="165"/>
      <c r="AP169" s="160"/>
      <c r="AQ169" s="164"/>
      <c r="AR169" s="165"/>
      <c r="AS169" s="165"/>
      <c r="AT169" s="165"/>
      <c r="AU169" s="165"/>
      <c r="AV169" s="165"/>
      <c r="AW169" s="165"/>
      <c r="AX169" s="160"/>
      <c r="AY169" s="164"/>
      <c r="AZ169" s="169"/>
      <c r="BA169" s="164"/>
      <c r="BB169" s="165"/>
      <c r="BC169" s="165"/>
      <c r="BD169" s="165"/>
      <c r="BE169" s="165"/>
      <c r="BF169" s="165"/>
      <c r="BG169" s="165"/>
      <c r="BH169" s="160"/>
      <c r="BI169" s="164"/>
      <c r="BJ169" s="165"/>
      <c r="BK169" s="182"/>
      <c r="BL169" s="165"/>
      <c r="BM169" s="165"/>
      <c r="BN169" s="175"/>
      <c r="BO169" s="172"/>
      <c r="BP169" s="165"/>
      <c r="BQ169" s="165"/>
      <c r="BR169" s="165"/>
      <c r="BS169" s="160"/>
      <c r="BT169" s="164"/>
      <c r="BU169" s="165"/>
      <c r="BV169" s="165"/>
      <c r="BW169" s="165"/>
      <c r="BX169" s="165"/>
      <c r="BY169" s="165"/>
      <c r="BZ169" s="165"/>
      <c r="CA169" s="160"/>
      <c r="CB169" s="164"/>
      <c r="CC169" s="169"/>
      <c r="CD169" s="164"/>
      <c r="CE169" s="165"/>
      <c r="CF169" s="165"/>
      <c r="CG169" s="165"/>
      <c r="CH169" s="165"/>
      <c r="CI169" s="165"/>
      <c r="CJ169" s="165"/>
      <c r="CK169" s="160"/>
      <c r="CL169" s="164"/>
      <c r="CM169" s="165"/>
      <c r="CN169" s="182"/>
      <c r="CO169" s="165"/>
      <c r="CP169" s="165"/>
      <c r="CQ169" s="165"/>
      <c r="CR169" s="165"/>
      <c r="CS169" s="175"/>
      <c r="CT169" s="172"/>
      <c r="CU169" s="165"/>
      <c r="CV169" s="160"/>
      <c r="CW169" s="135"/>
    </row>
    <row r="170" spans="1:101" x14ac:dyDescent="0.25">
      <c r="A170" s="178"/>
      <c r="B170" s="169"/>
      <c r="F170" s="164"/>
      <c r="G170" s="165"/>
      <c r="H170" s="165"/>
      <c r="I170" s="165"/>
      <c r="J170" s="165"/>
      <c r="K170" s="165"/>
      <c r="L170" s="165"/>
      <c r="M170" s="160"/>
      <c r="N170" s="164"/>
      <c r="O170" s="165"/>
      <c r="P170" s="165"/>
      <c r="Q170" s="165"/>
      <c r="R170" s="165"/>
      <c r="S170" s="165"/>
      <c r="T170" s="165"/>
      <c r="U170" s="160"/>
      <c r="V170" s="165"/>
      <c r="W170" s="169"/>
      <c r="X170" s="164"/>
      <c r="Y170" s="165"/>
      <c r="Z170" s="165"/>
      <c r="AA170" s="165"/>
      <c r="AB170" s="165"/>
      <c r="AC170" s="165"/>
      <c r="AD170" s="165"/>
      <c r="AE170" s="160"/>
      <c r="AF170" s="164"/>
      <c r="AG170" s="165"/>
      <c r="AH170" s="182"/>
      <c r="AI170" s="175"/>
      <c r="AJ170" s="172"/>
      <c r="AK170" s="165"/>
      <c r="AL170" s="165"/>
      <c r="AM170" s="165"/>
      <c r="AN170" s="165"/>
      <c r="AO170" s="165"/>
      <c r="AP170" s="160"/>
      <c r="AQ170" s="164"/>
      <c r="AR170" s="165"/>
      <c r="AS170" s="165"/>
      <c r="AT170" s="165"/>
      <c r="AU170" s="165"/>
      <c r="AV170" s="165"/>
      <c r="AW170" s="165"/>
      <c r="AX170" s="160"/>
      <c r="AY170" s="164"/>
      <c r="AZ170" s="169"/>
      <c r="BA170" s="164"/>
      <c r="BB170" s="165"/>
      <c r="BC170" s="165"/>
      <c r="BD170" s="165"/>
      <c r="BE170" s="165"/>
      <c r="BF170" s="165"/>
      <c r="BG170" s="165"/>
      <c r="BH170" s="160"/>
      <c r="BI170" s="164"/>
      <c r="BJ170" s="165"/>
      <c r="BK170" s="182"/>
      <c r="BL170" s="165"/>
      <c r="BM170" s="165"/>
      <c r="BN170" s="175"/>
      <c r="BO170" s="172"/>
      <c r="BP170" s="165"/>
      <c r="BQ170" s="165"/>
      <c r="BR170" s="165"/>
      <c r="BS170" s="160"/>
      <c r="BT170" s="164"/>
      <c r="BU170" s="165"/>
      <c r="BV170" s="165"/>
      <c r="BW170" s="165"/>
      <c r="BX170" s="165"/>
      <c r="BY170" s="165"/>
      <c r="BZ170" s="165"/>
      <c r="CA170" s="160"/>
      <c r="CB170" s="164"/>
      <c r="CC170" s="169"/>
      <c r="CD170" s="164"/>
      <c r="CE170" s="165"/>
      <c r="CF170" s="165"/>
      <c r="CG170" s="165"/>
      <c r="CH170" s="165"/>
      <c r="CI170" s="165"/>
      <c r="CJ170" s="165"/>
      <c r="CK170" s="160"/>
      <c r="CL170" s="164"/>
      <c r="CM170" s="165"/>
      <c r="CN170" s="182"/>
      <c r="CO170" s="165"/>
      <c r="CP170" s="165"/>
      <c r="CQ170" s="165"/>
      <c r="CR170" s="165"/>
      <c r="CS170" s="175"/>
      <c r="CT170" s="172"/>
      <c r="CU170" s="165"/>
      <c r="CV170" s="160"/>
      <c r="CW170" s="135"/>
    </row>
    <row r="171" spans="1:101" x14ac:dyDescent="0.25">
      <c r="A171" s="178"/>
      <c r="B171" s="169"/>
      <c r="F171" s="164"/>
      <c r="G171" s="165"/>
      <c r="H171" s="165"/>
      <c r="I171" s="165"/>
      <c r="J171" s="165"/>
      <c r="K171" s="165"/>
      <c r="L171" s="165"/>
      <c r="M171" s="160"/>
      <c r="N171" s="164"/>
      <c r="O171" s="165"/>
      <c r="P171" s="165"/>
      <c r="Q171" s="165"/>
      <c r="R171" s="165"/>
      <c r="S171" s="165"/>
      <c r="T171" s="165"/>
      <c r="U171" s="160"/>
      <c r="V171" s="165"/>
      <c r="W171" s="169"/>
      <c r="X171" s="164"/>
      <c r="Y171" s="165"/>
      <c r="Z171" s="165"/>
      <c r="AA171" s="165"/>
      <c r="AB171" s="165"/>
      <c r="AC171" s="165"/>
      <c r="AD171" s="165"/>
      <c r="AE171" s="160"/>
      <c r="AF171" s="164"/>
      <c r="AG171" s="165"/>
      <c r="AH171" s="182"/>
      <c r="AI171" s="175"/>
      <c r="AJ171" s="172"/>
      <c r="AK171" s="165"/>
      <c r="AL171" s="165"/>
      <c r="AM171" s="165"/>
      <c r="AN171" s="165"/>
      <c r="AO171" s="165"/>
      <c r="AP171" s="160"/>
      <c r="AQ171" s="164"/>
      <c r="AR171" s="165"/>
      <c r="AS171" s="165"/>
      <c r="AT171" s="165"/>
      <c r="AU171" s="165"/>
      <c r="AV171" s="165"/>
      <c r="AW171" s="165"/>
      <c r="AX171" s="160"/>
      <c r="AY171" s="164"/>
      <c r="AZ171" s="169"/>
      <c r="BA171" s="164"/>
      <c r="BB171" s="165"/>
      <c r="BC171" s="165"/>
      <c r="BD171" s="165"/>
      <c r="BE171" s="165"/>
      <c r="BF171" s="165"/>
      <c r="BG171" s="165"/>
      <c r="BH171" s="160"/>
      <c r="BI171" s="164"/>
      <c r="BJ171" s="165"/>
      <c r="BK171" s="182"/>
      <c r="BL171" s="165"/>
      <c r="BM171" s="165"/>
      <c r="BN171" s="175"/>
      <c r="BO171" s="172"/>
      <c r="BP171" s="165"/>
      <c r="BQ171" s="165"/>
      <c r="BR171" s="165"/>
      <c r="BS171" s="160"/>
      <c r="BT171" s="164"/>
      <c r="BU171" s="165"/>
      <c r="BV171" s="165"/>
      <c r="BW171" s="165"/>
      <c r="BX171" s="165"/>
      <c r="BY171" s="165"/>
      <c r="BZ171" s="165"/>
      <c r="CA171" s="160"/>
      <c r="CB171" s="164"/>
      <c r="CC171" s="169"/>
      <c r="CD171" s="164"/>
      <c r="CE171" s="165"/>
      <c r="CF171" s="165"/>
      <c r="CG171" s="165"/>
      <c r="CH171" s="165"/>
      <c r="CI171" s="165"/>
      <c r="CJ171" s="165"/>
      <c r="CK171" s="160"/>
      <c r="CL171" s="164"/>
      <c r="CM171" s="165"/>
      <c r="CN171" s="182"/>
      <c r="CO171" s="165"/>
      <c r="CP171" s="165"/>
      <c r="CQ171" s="165"/>
      <c r="CR171" s="165"/>
      <c r="CS171" s="175"/>
      <c r="CT171" s="172"/>
      <c r="CU171" s="165"/>
      <c r="CV171" s="160"/>
      <c r="CW171" s="135"/>
    </row>
    <row r="172" spans="1:101" x14ac:dyDescent="0.25">
      <c r="A172" s="178"/>
      <c r="B172" s="169"/>
      <c r="F172" s="164"/>
      <c r="G172" s="165"/>
      <c r="H172" s="165"/>
      <c r="I172" s="165"/>
      <c r="J172" s="165"/>
      <c r="K172" s="165"/>
      <c r="L172" s="165"/>
      <c r="M172" s="160"/>
      <c r="N172" s="164"/>
      <c r="O172" s="165"/>
      <c r="P172" s="165"/>
      <c r="Q172" s="165"/>
      <c r="R172" s="165"/>
      <c r="S172" s="165"/>
      <c r="T172" s="165"/>
      <c r="U172" s="160"/>
      <c r="V172" s="165"/>
      <c r="W172" s="169"/>
      <c r="X172" s="164"/>
      <c r="Y172" s="165"/>
      <c r="Z172" s="165"/>
      <c r="AA172" s="165"/>
      <c r="AB172" s="165"/>
      <c r="AC172" s="165"/>
      <c r="AD172" s="165"/>
      <c r="AE172" s="160"/>
      <c r="AF172" s="164"/>
      <c r="AG172" s="165"/>
      <c r="AH172" s="182"/>
      <c r="AI172" s="175"/>
      <c r="AJ172" s="172"/>
      <c r="AK172" s="165"/>
      <c r="AL172" s="165"/>
      <c r="AM172" s="165"/>
      <c r="AN172" s="165"/>
      <c r="AO172" s="165"/>
      <c r="AP172" s="160"/>
      <c r="AQ172" s="164"/>
      <c r="AR172" s="165"/>
      <c r="AS172" s="165"/>
      <c r="AT172" s="165"/>
      <c r="AU172" s="165"/>
      <c r="AV172" s="165"/>
      <c r="AW172" s="165"/>
      <c r="AX172" s="160"/>
      <c r="AY172" s="164"/>
      <c r="AZ172" s="169"/>
      <c r="BA172" s="164"/>
      <c r="BB172" s="165"/>
      <c r="BC172" s="165"/>
      <c r="BD172" s="165"/>
      <c r="BE172" s="165"/>
      <c r="BF172" s="165"/>
      <c r="BG172" s="165"/>
      <c r="BH172" s="160"/>
      <c r="BI172" s="164"/>
      <c r="BJ172" s="165"/>
      <c r="BK172" s="182"/>
      <c r="BL172" s="165"/>
      <c r="BM172" s="165"/>
      <c r="BN172" s="175"/>
      <c r="BO172" s="172"/>
      <c r="BP172" s="165"/>
      <c r="BQ172" s="165"/>
      <c r="BR172" s="165"/>
      <c r="BS172" s="160"/>
      <c r="BT172" s="164"/>
      <c r="BU172" s="165"/>
      <c r="BV172" s="165"/>
      <c r="BW172" s="165"/>
      <c r="BX172" s="165"/>
      <c r="BY172" s="165"/>
      <c r="BZ172" s="165"/>
      <c r="CA172" s="160"/>
      <c r="CB172" s="164"/>
      <c r="CC172" s="169"/>
      <c r="CD172" s="164"/>
      <c r="CE172" s="165"/>
      <c r="CF172" s="165"/>
      <c r="CG172" s="165"/>
      <c r="CH172" s="165"/>
      <c r="CI172" s="165"/>
      <c r="CJ172" s="165"/>
      <c r="CK172" s="160"/>
      <c r="CL172" s="164"/>
      <c r="CM172" s="165"/>
      <c r="CN172" s="182"/>
      <c r="CO172" s="165"/>
      <c r="CP172" s="165"/>
      <c r="CQ172" s="165"/>
      <c r="CR172" s="165"/>
      <c r="CS172" s="175"/>
      <c r="CT172" s="172"/>
      <c r="CU172" s="165"/>
      <c r="CV172" s="160"/>
      <c r="CW172" s="135"/>
    </row>
    <row r="173" spans="1:101" x14ac:dyDescent="0.25">
      <c r="A173" s="178"/>
      <c r="B173" s="169"/>
      <c r="F173" s="164"/>
      <c r="G173" s="165"/>
      <c r="H173" s="165"/>
      <c r="I173" s="165"/>
      <c r="J173" s="165"/>
      <c r="K173" s="165"/>
      <c r="L173" s="165"/>
      <c r="M173" s="160"/>
      <c r="N173" s="164"/>
      <c r="O173" s="165"/>
      <c r="P173" s="165"/>
      <c r="Q173" s="165"/>
      <c r="R173" s="165"/>
      <c r="S173" s="165"/>
      <c r="T173" s="165"/>
      <c r="U173" s="160"/>
      <c r="V173" s="165"/>
      <c r="W173" s="169"/>
      <c r="X173" s="164"/>
      <c r="Y173" s="165"/>
      <c r="Z173" s="165"/>
      <c r="AA173" s="165"/>
      <c r="AB173" s="165"/>
      <c r="AC173" s="165"/>
      <c r="AD173" s="165"/>
      <c r="AE173" s="160"/>
      <c r="AF173" s="164"/>
      <c r="AG173" s="165"/>
      <c r="AH173" s="182"/>
      <c r="AI173" s="175"/>
      <c r="AJ173" s="172"/>
      <c r="AK173" s="165"/>
      <c r="AL173" s="165"/>
      <c r="AM173" s="165"/>
      <c r="AN173" s="165"/>
      <c r="AO173" s="165"/>
      <c r="AP173" s="160"/>
      <c r="AQ173" s="164"/>
      <c r="AR173" s="165"/>
      <c r="AS173" s="165"/>
      <c r="AT173" s="165"/>
      <c r="AU173" s="165"/>
      <c r="AV173" s="165"/>
      <c r="AW173" s="165"/>
      <c r="AX173" s="160"/>
      <c r="AY173" s="164"/>
      <c r="AZ173" s="169"/>
      <c r="BA173" s="164"/>
      <c r="BB173" s="165"/>
      <c r="BC173" s="165"/>
      <c r="BD173" s="165"/>
      <c r="BE173" s="165"/>
      <c r="BF173" s="165"/>
      <c r="BG173" s="165"/>
      <c r="BH173" s="160"/>
      <c r="BI173" s="164"/>
      <c r="BJ173" s="165"/>
      <c r="BK173" s="182"/>
      <c r="BL173" s="165"/>
      <c r="BM173" s="165"/>
      <c r="BN173" s="175"/>
      <c r="BO173" s="172"/>
      <c r="BP173" s="165"/>
      <c r="BQ173" s="165"/>
      <c r="BR173" s="165"/>
      <c r="BS173" s="160"/>
      <c r="BT173" s="164"/>
      <c r="BU173" s="165"/>
      <c r="BV173" s="165"/>
      <c r="BW173" s="165"/>
      <c r="BX173" s="165"/>
      <c r="BY173" s="165"/>
      <c r="BZ173" s="165"/>
      <c r="CA173" s="160"/>
      <c r="CB173" s="164"/>
      <c r="CC173" s="169"/>
      <c r="CD173" s="164"/>
      <c r="CE173" s="165"/>
      <c r="CF173" s="165"/>
      <c r="CG173" s="165"/>
      <c r="CH173" s="165"/>
      <c r="CI173" s="165"/>
      <c r="CJ173" s="165"/>
      <c r="CK173" s="160"/>
      <c r="CL173" s="164"/>
      <c r="CM173" s="165"/>
      <c r="CN173" s="182"/>
      <c r="CO173" s="165"/>
      <c r="CP173" s="165"/>
      <c r="CQ173" s="165"/>
      <c r="CR173" s="165"/>
      <c r="CS173" s="175"/>
      <c r="CT173" s="172"/>
      <c r="CU173" s="165"/>
      <c r="CV173" s="160"/>
      <c r="CW173" s="135"/>
    </row>
    <row r="174" spans="1:101" x14ac:dyDescent="0.25">
      <c r="A174" s="178"/>
      <c r="B174" s="169"/>
      <c r="F174" s="164"/>
      <c r="G174" s="165"/>
      <c r="H174" s="165"/>
      <c r="I174" s="165"/>
      <c r="J174" s="165"/>
      <c r="K174" s="165"/>
      <c r="L174" s="165"/>
      <c r="M174" s="160"/>
      <c r="N174" s="164"/>
      <c r="O174" s="165"/>
      <c r="P174" s="165"/>
      <c r="Q174" s="165"/>
      <c r="R174" s="165"/>
      <c r="S174" s="165"/>
      <c r="T174" s="165"/>
      <c r="U174" s="160"/>
      <c r="V174" s="165"/>
      <c r="W174" s="169"/>
      <c r="X174" s="164"/>
      <c r="Y174" s="165"/>
      <c r="Z174" s="165"/>
      <c r="AA174" s="165"/>
      <c r="AB174" s="165"/>
      <c r="AC174" s="165"/>
      <c r="AD174" s="165"/>
      <c r="AE174" s="160"/>
      <c r="AF174" s="164"/>
      <c r="AG174" s="165"/>
      <c r="AH174" s="182"/>
      <c r="AI174" s="175"/>
      <c r="AJ174" s="172"/>
      <c r="AK174" s="165"/>
      <c r="AL174" s="165"/>
      <c r="AM174" s="165"/>
      <c r="AN174" s="165"/>
      <c r="AO174" s="165"/>
      <c r="AP174" s="160"/>
      <c r="AQ174" s="164"/>
      <c r="AR174" s="165"/>
      <c r="AS174" s="165"/>
      <c r="AT174" s="165"/>
      <c r="AU174" s="165"/>
      <c r="AV174" s="165"/>
      <c r="AW174" s="165"/>
      <c r="AX174" s="160"/>
      <c r="AY174" s="164"/>
      <c r="AZ174" s="169"/>
      <c r="BA174" s="164"/>
      <c r="BB174" s="165"/>
      <c r="BC174" s="165"/>
      <c r="BD174" s="165"/>
      <c r="BE174" s="165"/>
      <c r="BF174" s="165"/>
      <c r="BG174" s="165"/>
      <c r="BH174" s="160"/>
      <c r="BI174" s="164"/>
      <c r="BJ174" s="165"/>
      <c r="BK174" s="182"/>
      <c r="BL174" s="165"/>
      <c r="BM174" s="165"/>
      <c r="BN174" s="175"/>
      <c r="BO174" s="172"/>
      <c r="BP174" s="165"/>
      <c r="BQ174" s="165"/>
      <c r="BR174" s="165"/>
      <c r="BS174" s="160"/>
      <c r="BT174" s="164"/>
      <c r="BU174" s="165"/>
      <c r="BV174" s="165"/>
      <c r="BW174" s="165"/>
      <c r="BX174" s="165"/>
      <c r="BY174" s="165"/>
      <c r="BZ174" s="165"/>
      <c r="CA174" s="160"/>
      <c r="CB174" s="164"/>
      <c r="CC174" s="169"/>
      <c r="CD174" s="164"/>
      <c r="CE174" s="165"/>
      <c r="CF174" s="165"/>
      <c r="CG174" s="165"/>
      <c r="CH174" s="165"/>
      <c r="CI174" s="165"/>
      <c r="CJ174" s="165"/>
      <c r="CK174" s="160"/>
      <c r="CL174" s="164"/>
      <c r="CM174" s="165"/>
      <c r="CN174" s="182"/>
      <c r="CO174" s="165"/>
      <c r="CP174" s="165"/>
      <c r="CQ174" s="165"/>
      <c r="CR174" s="165"/>
      <c r="CS174" s="175"/>
      <c r="CT174" s="172"/>
      <c r="CU174" s="165"/>
      <c r="CV174" s="160"/>
      <c r="CW174" s="135"/>
    </row>
    <row r="175" spans="1:101" x14ac:dyDescent="0.25">
      <c r="A175" s="178"/>
      <c r="B175" s="169"/>
      <c r="F175" s="164"/>
      <c r="G175" s="165"/>
      <c r="H175" s="165"/>
      <c r="I175" s="165"/>
      <c r="J175" s="165"/>
      <c r="K175" s="165"/>
      <c r="L175" s="165"/>
      <c r="M175" s="160"/>
      <c r="N175" s="164"/>
      <c r="O175" s="165"/>
      <c r="P175" s="165"/>
      <c r="Q175" s="165"/>
      <c r="R175" s="165"/>
      <c r="S175" s="165"/>
      <c r="T175" s="165"/>
      <c r="U175" s="160"/>
      <c r="V175" s="165"/>
      <c r="W175" s="169"/>
      <c r="X175" s="164"/>
      <c r="Y175" s="165"/>
      <c r="Z175" s="165"/>
      <c r="AA175" s="165"/>
      <c r="AB175" s="165"/>
      <c r="AC175" s="165"/>
      <c r="AD175" s="165"/>
      <c r="AE175" s="160"/>
      <c r="AF175" s="164"/>
      <c r="AG175" s="165"/>
      <c r="AH175" s="182"/>
      <c r="AI175" s="175"/>
      <c r="AJ175" s="172"/>
      <c r="AK175" s="165"/>
      <c r="AL175" s="165"/>
      <c r="AM175" s="165"/>
      <c r="AN175" s="165"/>
      <c r="AO175" s="165"/>
      <c r="AP175" s="160"/>
      <c r="AQ175" s="164"/>
      <c r="AR175" s="165"/>
      <c r="AS175" s="165"/>
      <c r="AT175" s="165"/>
      <c r="AU175" s="165"/>
      <c r="AV175" s="165"/>
      <c r="AW175" s="165"/>
      <c r="AX175" s="160"/>
      <c r="AY175" s="164"/>
      <c r="AZ175" s="169"/>
      <c r="BA175" s="164"/>
      <c r="BB175" s="165"/>
      <c r="BC175" s="165"/>
      <c r="BD175" s="165"/>
      <c r="BE175" s="165"/>
      <c r="BF175" s="165"/>
      <c r="BG175" s="165"/>
      <c r="BH175" s="160"/>
      <c r="BI175" s="164"/>
      <c r="BJ175" s="165"/>
      <c r="BK175" s="182"/>
      <c r="BL175" s="165"/>
      <c r="BM175" s="165"/>
      <c r="BN175" s="175"/>
      <c r="BO175" s="172"/>
      <c r="BP175" s="165"/>
      <c r="BQ175" s="165"/>
      <c r="BR175" s="165"/>
      <c r="BS175" s="160"/>
      <c r="BT175" s="164"/>
      <c r="BU175" s="165"/>
      <c r="BV175" s="165"/>
      <c r="BW175" s="165"/>
      <c r="BX175" s="165"/>
      <c r="BY175" s="165"/>
      <c r="BZ175" s="165"/>
      <c r="CA175" s="160"/>
      <c r="CB175" s="164"/>
      <c r="CC175" s="169"/>
      <c r="CD175" s="164"/>
      <c r="CE175" s="165"/>
      <c r="CF175" s="165"/>
      <c r="CG175" s="165"/>
      <c r="CH175" s="165"/>
      <c r="CI175" s="165"/>
      <c r="CJ175" s="165"/>
      <c r="CK175" s="160"/>
      <c r="CL175" s="164"/>
      <c r="CM175" s="165"/>
      <c r="CN175" s="182"/>
      <c r="CO175" s="165"/>
      <c r="CP175" s="165"/>
      <c r="CQ175" s="165"/>
      <c r="CR175" s="165"/>
      <c r="CS175" s="175"/>
      <c r="CT175" s="172"/>
      <c r="CU175" s="165"/>
      <c r="CV175" s="160"/>
      <c r="CW175" s="135"/>
    </row>
    <row r="176" spans="1:101" x14ac:dyDescent="0.25">
      <c r="A176" s="178"/>
      <c r="B176" s="169"/>
      <c r="F176" s="164"/>
      <c r="G176" s="165"/>
      <c r="H176" s="165"/>
      <c r="I176" s="165"/>
      <c r="J176" s="165"/>
      <c r="K176" s="165"/>
      <c r="L176" s="165"/>
      <c r="M176" s="160"/>
      <c r="N176" s="164"/>
      <c r="O176" s="165"/>
      <c r="P176" s="165"/>
      <c r="Q176" s="165"/>
      <c r="R176" s="165"/>
      <c r="S176" s="165"/>
      <c r="T176" s="165"/>
      <c r="U176" s="160"/>
      <c r="V176" s="165"/>
      <c r="W176" s="169"/>
      <c r="X176" s="164"/>
      <c r="Y176" s="165"/>
      <c r="Z176" s="165"/>
      <c r="AA176" s="165"/>
      <c r="AB176" s="165"/>
      <c r="AC176" s="165"/>
      <c r="AD176" s="165"/>
      <c r="AE176" s="160"/>
      <c r="AF176" s="164"/>
      <c r="AG176" s="165"/>
      <c r="AH176" s="182"/>
      <c r="AI176" s="175"/>
      <c r="AJ176" s="172"/>
      <c r="AK176" s="165"/>
      <c r="AL176" s="165"/>
      <c r="AM176" s="165"/>
      <c r="AN176" s="165"/>
      <c r="AO176" s="165"/>
      <c r="AP176" s="160"/>
      <c r="AQ176" s="164"/>
      <c r="AR176" s="165"/>
      <c r="AS176" s="165"/>
      <c r="AT176" s="165"/>
      <c r="AU176" s="165"/>
      <c r="AV176" s="165"/>
      <c r="AW176" s="165"/>
      <c r="AX176" s="160"/>
      <c r="AY176" s="164"/>
      <c r="AZ176" s="169"/>
      <c r="BA176" s="164"/>
      <c r="BB176" s="165"/>
      <c r="BC176" s="165"/>
      <c r="BD176" s="165"/>
      <c r="BE176" s="165"/>
      <c r="BF176" s="165"/>
      <c r="BG176" s="165"/>
      <c r="BH176" s="160"/>
      <c r="BI176" s="164"/>
      <c r="BJ176" s="165"/>
      <c r="BK176" s="182"/>
      <c r="BL176" s="165"/>
      <c r="BM176" s="165"/>
      <c r="BN176" s="175"/>
      <c r="BO176" s="172"/>
      <c r="BP176" s="165"/>
      <c r="BQ176" s="165"/>
      <c r="BR176" s="165"/>
      <c r="BS176" s="160"/>
      <c r="BT176" s="164"/>
      <c r="BU176" s="165"/>
      <c r="BV176" s="165"/>
      <c r="BW176" s="165"/>
      <c r="BX176" s="165"/>
      <c r="BY176" s="165"/>
      <c r="BZ176" s="165"/>
      <c r="CA176" s="160"/>
      <c r="CB176" s="164"/>
      <c r="CC176" s="169"/>
      <c r="CD176" s="164"/>
      <c r="CE176" s="165"/>
      <c r="CF176" s="165"/>
      <c r="CG176" s="165"/>
      <c r="CH176" s="165"/>
      <c r="CI176" s="165"/>
      <c r="CJ176" s="165"/>
      <c r="CK176" s="160"/>
      <c r="CL176" s="164"/>
      <c r="CM176" s="165"/>
      <c r="CN176" s="182"/>
      <c r="CO176" s="165"/>
      <c r="CP176" s="165"/>
      <c r="CQ176" s="165"/>
      <c r="CR176" s="165"/>
      <c r="CS176" s="175"/>
      <c r="CT176" s="172"/>
      <c r="CU176" s="165"/>
      <c r="CV176" s="160"/>
      <c r="CW176" s="135"/>
    </row>
    <row r="177" spans="1:100" x14ac:dyDescent="0.25">
      <c r="A177" s="178"/>
      <c r="B177" s="169"/>
      <c r="F177" s="164"/>
      <c r="G177" s="165"/>
      <c r="H177" s="165"/>
      <c r="I177" s="165"/>
      <c r="J177" s="165"/>
      <c r="K177" s="165"/>
      <c r="L177" s="165"/>
      <c r="M177" s="160"/>
      <c r="N177" s="164"/>
      <c r="O177" s="165"/>
      <c r="P177" s="165"/>
      <c r="Q177" s="165"/>
      <c r="R177" s="165"/>
      <c r="S177" s="165"/>
      <c r="T177" s="165"/>
      <c r="U177" s="160"/>
      <c r="V177" s="165"/>
      <c r="W177" s="169"/>
      <c r="X177" s="164"/>
      <c r="Y177" s="165"/>
      <c r="Z177" s="165"/>
      <c r="AA177" s="165"/>
      <c r="AB177" s="165"/>
      <c r="AC177" s="165"/>
      <c r="AD177" s="165"/>
      <c r="AE177" s="160"/>
      <c r="AF177" s="164"/>
      <c r="AG177" s="165"/>
      <c r="AH177" s="182"/>
      <c r="AI177" s="175"/>
      <c r="AJ177" s="172"/>
      <c r="AK177" s="165"/>
      <c r="AL177" s="165"/>
      <c r="AM177" s="165"/>
      <c r="AN177" s="165"/>
      <c r="AO177" s="165"/>
      <c r="AP177" s="160"/>
      <c r="AQ177" s="164"/>
      <c r="AR177" s="165"/>
      <c r="AS177" s="165"/>
      <c r="AT177" s="165"/>
      <c r="AU177" s="165"/>
      <c r="AV177" s="165"/>
      <c r="AW177" s="165"/>
      <c r="AX177" s="160"/>
      <c r="AY177" s="164"/>
      <c r="AZ177" s="169"/>
      <c r="BA177" s="164"/>
      <c r="BB177" s="165"/>
      <c r="BC177" s="165"/>
      <c r="BD177" s="165"/>
      <c r="BE177" s="165"/>
      <c r="BF177" s="165"/>
      <c r="BG177" s="165"/>
      <c r="BH177" s="160"/>
      <c r="BI177" s="164"/>
      <c r="BJ177" s="165"/>
      <c r="BK177" s="182"/>
      <c r="BL177" s="165"/>
      <c r="BM177" s="165"/>
      <c r="BN177" s="175"/>
      <c r="BO177" s="172"/>
      <c r="BP177" s="165"/>
      <c r="BQ177" s="165"/>
      <c r="BR177" s="165"/>
      <c r="BS177" s="160"/>
      <c r="BT177" s="164"/>
      <c r="BU177" s="165"/>
      <c r="BV177" s="165"/>
      <c r="BW177" s="165"/>
      <c r="BX177" s="165"/>
      <c r="BY177" s="165"/>
      <c r="BZ177" s="165"/>
      <c r="CA177" s="160"/>
      <c r="CB177" s="164"/>
      <c r="CC177" s="169"/>
      <c r="CD177" s="164"/>
      <c r="CE177" s="165"/>
      <c r="CF177" s="165"/>
      <c r="CG177" s="165"/>
      <c r="CH177" s="165"/>
      <c r="CI177" s="165"/>
      <c r="CJ177" s="165"/>
      <c r="CK177" s="160"/>
      <c r="CL177" s="164"/>
      <c r="CM177" s="165"/>
      <c r="CN177" s="182"/>
      <c r="CO177" s="165"/>
      <c r="CP177" s="165"/>
      <c r="CQ177" s="165"/>
      <c r="CR177" s="165"/>
      <c r="CS177" s="175"/>
      <c r="CT177" s="172"/>
      <c r="CU177" s="165"/>
      <c r="CV177" s="160"/>
    </row>
    <row r="178" spans="1:100" x14ac:dyDescent="0.25">
      <c r="A178" s="178"/>
      <c r="B178" s="169"/>
      <c r="F178" s="164"/>
      <c r="G178" s="165"/>
      <c r="H178" s="165"/>
      <c r="I178" s="165"/>
      <c r="J178" s="165"/>
      <c r="K178" s="165"/>
      <c r="L178" s="165"/>
      <c r="M178" s="160"/>
      <c r="N178" s="164"/>
      <c r="O178" s="165"/>
      <c r="P178" s="165"/>
      <c r="Q178" s="165"/>
      <c r="R178" s="165"/>
      <c r="S178" s="165"/>
      <c r="T178" s="165"/>
      <c r="U178" s="160"/>
      <c r="V178" s="165"/>
      <c r="W178" s="169"/>
      <c r="X178" s="164"/>
      <c r="Y178" s="165"/>
      <c r="Z178" s="165"/>
      <c r="AA178" s="165"/>
      <c r="AB178" s="165"/>
      <c r="AC178" s="165"/>
      <c r="AD178" s="165"/>
      <c r="AE178" s="160"/>
      <c r="AF178" s="164"/>
      <c r="AG178" s="165"/>
      <c r="AH178" s="182"/>
      <c r="AI178" s="175"/>
      <c r="AJ178" s="172"/>
      <c r="AK178" s="165"/>
      <c r="AL178" s="165"/>
      <c r="AM178" s="165"/>
      <c r="AN178" s="165"/>
      <c r="AO178" s="165"/>
      <c r="AP178" s="160"/>
      <c r="AQ178" s="164"/>
      <c r="AR178" s="165"/>
      <c r="AS178" s="165"/>
      <c r="AT178" s="165"/>
      <c r="AU178" s="165"/>
      <c r="AV178" s="165"/>
      <c r="AW178" s="165"/>
      <c r="AX178" s="160"/>
      <c r="AY178" s="164"/>
      <c r="AZ178" s="169"/>
      <c r="BA178" s="164"/>
      <c r="BB178" s="165"/>
      <c r="BC178" s="165"/>
      <c r="BD178" s="165"/>
      <c r="BE178" s="165"/>
      <c r="BF178" s="165"/>
      <c r="BG178" s="165"/>
      <c r="BH178" s="160"/>
      <c r="BI178" s="164"/>
      <c r="BJ178" s="165"/>
      <c r="BK178" s="182"/>
      <c r="BL178" s="165"/>
      <c r="BM178" s="165"/>
      <c r="BN178" s="175"/>
      <c r="BO178" s="172"/>
      <c r="BP178" s="165"/>
      <c r="BQ178" s="165"/>
      <c r="BR178" s="165"/>
      <c r="BS178" s="160"/>
      <c r="BT178" s="164"/>
      <c r="BU178" s="165"/>
      <c r="BV178" s="165"/>
      <c r="BW178" s="165"/>
      <c r="BX178" s="165"/>
      <c r="BY178" s="165"/>
      <c r="BZ178" s="165"/>
      <c r="CA178" s="160"/>
      <c r="CB178" s="164"/>
      <c r="CC178" s="169"/>
      <c r="CD178" s="164"/>
      <c r="CE178" s="165"/>
      <c r="CF178" s="165"/>
      <c r="CG178" s="165"/>
      <c r="CH178" s="165"/>
      <c r="CI178" s="165"/>
      <c r="CJ178" s="165"/>
      <c r="CK178" s="160"/>
      <c r="CL178" s="164"/>
      <c r="CM178" s="165"/>
      <c r="CN178" s="182"/>
      <c r="CO178" s="165"/>
      <c r="CP178" s="165"/>
      <c r="CQ178" s="165"/>
      <c r="CR178" s="165"/>
      <c r="CS178" s="175"/>
      <c r="CT178" s="172"/>
      <c r="CU178" s="165"/>
      <c r="CV178" s="160"/>
    </row>
    <row r="179" spans="1:100" x14ac:dyDescent="0.25">
      <c r="A179" s="178"/>
      <c r="B179" s="169"/>
      <c r="F179" s="164"/>
      <c r="G179" s="165"/>
      <c r="H179" s="165"/>
      <c r="I179" s="165"/>
      <c r="J179" s="165"/>
      <c r="K179" s="165"/>
      <c r="L179" s="165"/>
      <c r="M179" s="160"/>
      <c r="N179" s="164"/>
      <c r="O179" s="165"/>
      <c r="P179" s="165"/>
      <c r="Q179" s="165"/>
      <c r="R179" s="165"/>
      <c r="S179" s="165"/>
      <c r="T179" s="165"/>
      <c r="U179" s="160"/>
      <c r="V179" s="165"/>
      <c r="W179" s="169"/>
      <c r="X179" s="164"/>
      <c r="Y179" s="165"/>
      <c r="Z179" s="165"/>
      <c r="AA179" s="165"/>
      <c r="AB179" s="165"/>
      <c r="AC179" s="165"/>
      <c r="AD179" s="165"/>
      <c r="AE179" s="160"/>
      <c r="AF179" s="164"/>
      <c r="AG179" s="165"/>
      <c r="AH179" s="182"/>
      <c r="AI179" s="175"/>
      <c r="AJ179" s="172"/>
      <c r="AK179" s="165"/>
      <c r="AL179" s="165"/>
      <c r="AM179" s="165"/>
      <c r="AN179" s="165"/>
      <c r="AO179" s="165"/>
      <c r="AP179" s="160"/>
      <c r="AQ179" s="164"/>
      <c r="AR179" s="165"/>
      <c r="AS179" s="165"/>
      <c r="AT179" s="165"/>
      <c r="AU179" s="165"/>
      <c r="AV179" s="165"/>
      <c r="AW179" s="165"/>
      <c r="AX179" s="160"/>
      <c r="AY179" s="164"/>
      <c r="AZ179" s="169"/>
      <c r="BA179" s="164"/>
      <c r="BB179" s="165"/>
      <c r="BC179" s="165"/>
      <c r="BD179" s="165"/>
      <c r="BE179" s="165"/>
      <c r="BF179" s="165"/>
      <c r="BG179" s="165"/>
      <c r="BH179" s="160"/>
      <c r="BI179" s="164"/>
      <c r="BJ179" s="165"/>
      <c r="BK179" s="182"/>
      <c r="BL179" s="165"/>
      <c r="BM179" s="165"/>
      <c r="BN179" s="175"/>
      <c r="BO179" s="172"/>
      <c r="BP179" s="165"/>
      <c r="BQ179" s="165"/>
      <c r="BR179" s="165"/>
      <c r="BS179" s="160"/>
      <c r="BT179" s="164"/>
      <c r="BU179" s="165"/>
      <c r="BV179" s="165"/>
      <c r="BW179" s="165"/>
      <c r="BX179" s="165"/>
      <c r="BY179" s="165"/>
      <c r="BZ179" s="165"/>
      <c r="CA179" s="160"/>
      <c r="CB179" s="164"/>
      <c r="CC179" s="169"/>
      <c r="CD179" s="164"/>
      <c r="CE179" s="165"/>
      <c r="CF179" s="165"/>
      <c r="CG179" s="165"/>
      <c r="CH179" s="165"/>
      <c r="CI179" s="165"/>
      <c r="CJ179" s="165"/>
      <c r="CK179" s="160"/>
      <c r="CL179" s="164"/>
      <c r="CM179" s="165"/>
      <c r="CN179" s="182"/>
      <c r="CO179" s="165"/>
      <c r="CP179" s="165"/>
      <c r="CQ179" s="165"/>
      <c r="CR179" s="165"/>
      <c r="CS179" s="175"/>
      <c r="CT179" s="172"/>
      <c r="CU179" s="165"/>
      <c r="CV179" s="160"/>
    </row>
    <row r="180" spans="1:100" x14ac:dyDescent="0.25">
      <c r="A180" s="179"/>
      <c r="B180" s="170"/>
      <c r="C180" s="148"/>
      <c r="D180" s="148"/>
      <c r="E180" s="148"/>
      <c r="F180" s="166"/>
      <c r="G180" s="167"/>
      <c r="H180" s="167"/>
      <c r="I180" s="167"/>
      <c r="J180" s="167"/>
      <c r="K180" s="167"/>
      <c r="L180" s="167"/>
      <c r="M180" s="161"/>
      <c r="N180" s="166"/>
      <c r="O180" s="167"/>
      <c r="P180" s="167"/>
      <c r="Q180" s="167"/>
      <c r="R180" s="167"/>
      <c r="S180" s="167"/>
      <c r="T180" s="167"/>
      <c r="U180" s="161"/>
      <c r="V180" s="167"/>
      <c r="W180" s="170"/>
      <c r="X180" s="166"/>
      <c r="Y180" s="167"/>
      <c r="Z180" s="167"/>
      <c r="AA180" s="167"/>
      <c r="AB180" s="167"/>
      <c r="AC180" s="167"/>
      <c r="AD180" s="167"/>
      <c r="AE180" s="161"/>
      <c r="AF180" s="166"/>
      <c r="AG180" s="167"/>
      <c r="AH180" s="183"/>
      <c r="AI180" s="176"/>
      <c r="AJ180" s="173"/>
      <c r="AK180" s="167"/>
      <c r="AL180" s="167"/>
      <c r="AM180" s="167"/>
      <c r="AN180" s="167"/>
      <c r="AO180" s="167"/>
      <c r="AP180" s="161"/>
      <c r="AQ180" s="166"/>
      <c r="AR180" s="167"/>
      <c r="AS180" s="167"/>
      <c r="AT180" s="167"/>
      <c r="AU180" s="167"/>
      <c r="AV180" s="167"/>
      <c r="AW180" s="167"/>
      <c r="AX180" s="161"/>
      <c r="AY180" s="166"/>
      <c r="AZ180" s="170"/>
      <c r="BA180" s="166"/>
      <c r="BB180" s="167"/>
      <c r="BC180" s="167"/>
      <c r="BD180" s="167"/>
      <c r="BE180" s="167"/>
      <c r="BF180" s="167"/>
      <c r="BG180" s="167"/>
      <c r="BH180" s="161"/>
      <c r="BI180" s="166"/>
      <c r="BJ180" s="167"/>
      <c r="BK180" s="183"/>
      <c r="BL180" s="167"/>
      <c r="BM180" s="167"/>
      <c r="BN180" s="176"/>
      <c r="BO180" s="173"/>
      <c r="BP180" s="167"/>
      <c r="BQ180" s="167"/>
      <c r="BR180" s="167"/>
      <c r="BS180" s="161"/>
      <c r="BT180" s="166"/>
      <c r="BU180" s="167"/>
      <c r="BV180" s="167"/>
      <c r="BW180" s="167"/>
      <c r="BX180" s="167"/>
      <c r="BY180" s="167"/>
      <c r="BZ180" s="167"/>
      <c r="CA180" s="161"/>
      <c r="CB180" s="166"/>
      <c r="CC180" s="170"/>
      <c r="CD180" s="166"/>
      <c r="CE180" s="167"/>
      <c r="CF180" s="167"/>
      <c r="CG180" s="167"/>
      <c r="CH180" s="167"/>
      <c r="CI180" s="167"/>
      <c r="CJ180" s="167"/>
      <c r="CK180" s="161"/>
      <c r="CL180" s="166"/>
      <c r="CM180" s="167"/>
      <c r="CN180" s="183"/>
      <c r="CO180" s="167"/>
      <c r="CP180" s="167"/>
      <c r="CQ180" s="167"/>
      <c r="CR180" s="167"/>
      <c r="CS180" s="176"/>
      <c r="CT180" s="173"/>
      <c r="CU180" s="167"/>
      <c r="CV180" s="161"/>
    </row>
  </sheetData>
  <mergeCells count="17">
    <mergeCell ref="F5:AG5"/>
    <mergeCell ref="AI5:BJ5"/>
    <mergeCell ref="BL5:CM5"/>
    <mergeCell ref="CO5:CU5"/>
    <mergeCell ref="A3:AD3"/>
    <mergeCell ref="AE3:BM3"/>
    <mergeCell ref="BN3:CV3"/>
    <mergeCell ref="A4:AD4"/>
    <mergeCell ref="AE4:BM4"/>
    <mergeCell ref="BN4:CV4"/>
    <mergeCell ref="A5:E5"/>
    <mergeCell ref="A1:AD1"/>
    <mergeCell ref="AE1:BM1"/>
    <mergeCell ref="BN1:CV1"/>
    <mergeCell ref="A2:AD2"/>
    <mergeCell ref="AE2:BM2"/>
    <mergeCell ref="BN2:CV2"/>
  </mergeCells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14"/>
  <sheetViews>
    <sheetView tabSelected="1" workbookViewId="0">
      <selection activeCell="E12" sqref="E12"/>
    </sheetView>
  </sheetViews>
  <sheetFormatPr defaultRowHeight="15" x14ac:dyDescent="0.25"/>
  <cols>
    <col min="1" max="1" width="19.140625" bestFit="1" customWidth="1"/>
    <col min="2" max="2" width="14.140625" bestFit="1" customWidth="1"/>
    <col min="3" max="3" width="11.85546875" bestFit="1" customWidth="1"/>
  </cols>
  <sheetData>
    <row r="1" spans="1:3" x14ac:dyDescent="0.25">
      <c r="A1" t="s">
        <v>110</v>
      </c>
      <c r="B1" t="s">
        <v>111</v>
      </c>
      <c r="C1" t="s">
        <v>112</v>
      </c>
    </row>
    <row r="2" spans="1:3" x14ac:dyDescent="0.25">
      <c r="A2" t="s">
        <v>64</v>
      </c>
      <c r="B2" t="s">
        <v>64</v>
      </c>
      <c r="C2" t="s">
        <v>113</v>
      </c>
    </row>
    <row r="3" spans="1:3" x14ac:dyDescent="0.25">
      <c r="A3" t="s">
        <v>114</v>
      </c>
      <c r="B3" t="s">
        <v>114</v>
      </c>
      <c r="C3" t="s">
        <v>113</v>
      </c>
    </row>
    <row r="4" spans="1:3" x14ac:dyDescent="0.25">
      <c r="A4" t="s">
        <v>145</v>
      </c>
      <c r="B4" t="s">
        <v>145</v>
      </c>
      <c r="C4" t="s">
        <v>113</v>
      </c>
    </row>
    <row r="5" spans="1:3" x14ac:dyDescent="0.25">
      <c r="A5" t="s">
        <v>115</v>
      </c>
      <c r="B5" t="s">
        <v>115</v>
      </c>
      <c r="C5" t="s">
        <v>113</v>
      </c>
    </row>
    <row r="6" spans="1:3" x14ac:dyDescent="0.25">
      <c r="A6" t="s">
        <v>106</v>
      </c>
      <c r="B6" t="s">
        <v>106</v>
      </c>
      <c r="C6" t="s">
        <v>113</v>
      </c>
    </row>
    <row r="7" spans="1:3" x14ac:dyDescent="0.25">
      <c r="A7" t="s">
        <v>116</v>
      </c>
      <c r="B7" t="s">
        <v>116</v>
      </c>
      <c r="C7" t="s">
        <v>113</v>
      </c>
    </row>
    <row r="8" spans="1:3" x14ac:dyDescent="0.25">
      <c r="A8" t="s">
        <v>107</v>
      </c>
      <c r="B8" t="s">
        <v>107</v>
      </c>
      <c r="C8" t="s">
        <v>113</v>
      </c>
    </row>
    <row r="9" spans="1:3" x14ac:dyDescent="0.25">
      <c r="A9" t="s">
        <v>108</v>
      </c>
      <c r="B9" t="s">
        <v>108</v>
      </c>
      <c r="C9" t="s">
        <v>113</v>
      </c>
    </row>
    <row r="10" spans="1:3" x14ac:dyDescent="0.25">
      <c r="A10" t="s">
        <v>62</v>
      </c>
      <c r="B10" t="s">
        <v>62</v>
      </c>
      <c r="C10" t="s">
        <v>113</v>
      </c>
    </row>
    <row r="11" spans="1:3" x14ac:dyDescent="0.25">
      <c r="A11" t="s">
        <v>49</v>
      </c>
      <c r="B11" t="s">
        <v>49</v>
      </c>
      <c r="C11" t="s">
        <v>113</v>
      </c>
    </row>
    <row r="12" spans="1:3" x14ac:dyDescent="0.25">
      <c r="A12" t="s">
        <v>70</v>
      </c>
      <c r="B12" t="s">
        <v>70</v>
      </c>
      <c r="C12" t="s">
        <v>113</v>
      </c>
    </row>
    <row r="13" spans="1:3" x14ac:dyDescent="0.25">
      <c r="A13" t="s">
        <v>109</v>
      </c>
      <c r="B13" t="s">
        <v>109</v>
      </c>
      <c r="C13" t="s">
        <v>113</v>
      </c>
    </row>
    <row r="14" spans="1:3" x14ac:dyDescent="0.25">
      <c r="A14" t="s">
        <v>117</v>
      </c>
      <c r="B14" t="s">
        <v>117</v>
      </c>
      <c r="C14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Table7 ProgFee_2014</vt:lpstr>
      <vt:lpstr>Table17 GAAP GA Line</vt:lpstr>
      <vt:lpstr>XCEL</vt:lpstr>
      <vt:lpstr>Metadata</vt:lpstr>
      <vt:lpstr>'Table7 ProgFee_2014'!Print_Area</vt:lpstr>
      <vt:lpstr>'Table7 ProgFee_2014'!Print_Titles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2020-07-13T04:37:59Z</dcterms:created>
  <dcterms:modified xsi:type="dcterms:W3CDTF">2020-09-14T20:26:11Z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iginatingReportID">
    <vt:lpwstr>ce53b173-07ab-4959-9fa6-5fe642d3f59e</vt:lpwstr>
  </property>
</Properties>
</file>