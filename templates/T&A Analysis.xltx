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/>
  <mc:AlternateContent xmlns:mc="http://schemas.openxmlformats.org/markup-compatibility/2006">
    <mc:Choice Requires="x15">
      <x15ac:absPath xmlns:x15ac="http://schemas.microsoft.com/office/spreadsheetml/2010/11/ac" url="C:\Users\ssiva02\Documents\GitHub\excel_combiner\templates\"/>
    </mc:Choice>
  </mc:AlternateContent>
  <xr:revisionPtr revIDLastSave="0" documentId="8_{05DB1960-2638-4947-A34E-8B3687EB6419}" xr6:coauthVersionLast="45" xr6:coauthVersionMax="45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Table7 ProgFee_2014" sheetId="1" state="hidden" r:id="rId1"/>
    <sheet name="Table17 GAAP GA Line" sheetId="2" state="hidden" r:id="rId2"/>
    <sheet name="XCEL" sheetId="6" r:id="rId3"/>
    <sheet name="Metadata" sheetId="7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new1" localSheetId="1">[1]Sheet2!#REF!</definedName>
    <definedName name="_new1" localSheetId="0">[1]Sheet2!#REF!</definedName>
    <definedName name="_new1" localSheetId="2">[1]Sheet2!#REF!</definedName>
    <definedName name="_Order1" hidden="1">255</definedName>
    <definedName name="_Order2" hidden="1">255</definedName>
    <definedName name="_pe1">[2]TB!$A$1:$D$65536</definedName>
    <definedName name="_pe10">[2]TB!$AT$1:$AW$65536</definedName>
    <definedName name="_pe11">[2]TB!$AY$1:$BB$65536</definedName>
    <definedName name="_pe12">[2]TB!$BD$1:$BG$65536</definedName>
    <definedName name="_pe13">[2]TB!$BI$1:$BL$65536</definedName>
    <definedName name="_pe2">[2]TB!$F$1:$I$65536</definedName>
    <definedName name="_pe3">[2]TB!$K$1:$N$65536</definedName>
    <definedName name="_pe4">[2]TB!$P$1:$S$65536</definedName>
    <definedName name="_pe5">[2]TB!$U$1:$X$65536</definedName>
    <definedName name="_pe6">[2]TB!$Z$1:$AC$65536</definedName>
    <definedName name="_pe7">[2]TB!$AE$1:$AH$65536</definedName>
    <definedName name="_pe8">[2]TB!$AJ$1:$AM$65536</definedName>
    <definedName name="_pe9">[2]TB!$AO$1:$AR$65536</definedName>
    <definedName name="Act_Top50_data">'[3]2009 Actual'!$A$509:$E$751</definedName>
    <definedName name="ACTUALS" localSheetId="1">#REF!</definedName>
    <definedName name="ACTUALS" localSheetId="0">#REF!</definedName>
    <definedName name="ACTUALS" localSheetId="2">#REF!</definedName>
    <definedName name="ANALYTICAL">#N/A</definedName>
    <definedName name="ARA_Threshold">[4]Lead!$S$2</definedName>
    <definedName name="ARP_Threshold">[4]Lead!$R$2</definedName>
    <definedName name="AS2DocOpenMode" hidden="1">"AS2DocumentBrowse"</definedName>
    <definedName name="AS2NamedRange" hidden="1">22</definedName>
    <definedName name="AS2ReportLS" hidden="1">1</definedName>
    <definedName name="AS2SyncStepLS" hidden="1">0</definedName>
    <definedName name="AS2VersionLS" hidden="1">300</definedName>
    <definedName name="ASCII" localSheetId="1">#N/A</definedName>
    <definedName name="ASCII" localSheetId="0">#N/A</definedName>
    <definedName name="ASCII" localSheetId="2">#N/A</definedName>
    <definedName name="ASCII">[0]!ASCII</definedName>
    <definedName name="ASP">'[5]US Indirect COR and Prog Exp'!$C$70</definedName>
    <definedName name="BG_Del" hidden="1">15</definedName>
    <definedName name="BG_Ins" hidden="1">4</definedName>
    <definedName name="BG_Mod" hidden="1">6</definedName>
    <definedName name="CL">'[5]US Indirect COR and Prog Exp'!$C$66</definedName>
    <definedName name="Clear_Area_CPQ_Alliance_Ticket_Card_Ranking" localSheetId="1">#REF!</definedName>
    <definedName name="Clear_Area_CPQ_Alliance_Ticket_Card_Ranking" localSheetId="0">#REF!</definedName>
    <definedName name="Clear_Area_CPQ_Alliance_Ticket_Card_Ranking" localSheetId="2">#REF!</definedName>
    <definedName name="Clear_Area_CPQ_Overall_PPD_Ranking" localSheetId="1">#REF!</definedName>
    <definedName name="Clear_Area_CPQ_Overall_PPD_Ranking" localSheetId="0">#REF!</definedName>
    <definedName name="Clear_Area_CPQ_Overall_PPD_Ranking" localSheetId="2">#REF!</definedName>
    <definedName name="Clear_Area_CPQ_Overall_Telecom_Ranking" localSheetId="1">#REF!</definedName>
    <definedName name="Clear_Area_CPQ_Overall_Telecom_Ranking" localSheetId="0">#REF!</definedName>
    <definedName name="Clear_Area_CPQ_Overall_Telecom_Ranking" localSheetId="2">#REF!</definedName>
    <definedName name="Clear_Area_CPQ_Overall_Ticket_Ranking" localSheetId="1">#REF!</definedName>
    <definedName name="Clear_Area_CPQ_Overall_Ticket_Ranking" localSheetId="0">#REF!</definedName>
    <definedName name="Clear_Area_CPQ_Overall_Ticket_Ranking" localSheetId="2">#REF!</definedName>
    <definedName name="Clear_Area_CPQ_Safeway_PPD_Card_Ranking" localSheetId="1">#REF!</definedName>
    <definedName name="Clear_Area_CPQ_Safeway_PPD_Card_Ranking" localSheetId="0">#REF!</definedName>
    <definedName name="Clear_Area_CPQ_Safeway_PPD_Card_Ranking" localSheetId="2">#REF!</definedName>
    <definedName name="Clear_Area_CPQ_Safeway_Telecom_Ranking" localSheetId="1">#REF!</definedName>
    <definedName name="Clear_Area_CPQ_Safeway_Telecom_Ranking" localSheetId="0">#REF!</definedName>
    <definedName name="Clear_Area_CPQ_Safeway_Telecom_Ranking" localSheetId="2">#REF!</definedName>
    <definedName name="Clear_Area_CPQ_Safeway_Ticket_Card_Ranking" localSheetId="1">#REF!</definedName>
    <definedName name="Clear_Area_CPQ_Safeway_Ticket_Card_Ranking" localSheetId="0">#REF!</definedName>
    <definedName name="Clear_Area_CPQ_Safeway_Ticket_Card_Ranking" localSheetId="2">#REF!</definedName>
    <definedName name="Clear_Area_CPW_Alliance_PPD_Card_Ranking" localSheetId="1">#REF!</definedName>
    <definedName name="Clear_Area_CPW_Alliance_PPD_Card_Ranking" localSheetId="0">#REF!</definedName>
    <definedName name="Clear_Area_CPW_Alliance_PPD_Card_Ranking" localSheetId="2">#REF!</definedName>
    <definedName name="Clear_Area_CPW_Alliance_Telecom_Ranking" localSheetId="1">#REF!</definedName>
    <definedName name="Clear_Area_CPW_Alliance_Telecom_Ranking" localSheetId="0">#REF!</definedName>
    <definedName name="Clear_Area_CPW_Alliance_Telecom_Ranking" localSheetId="2">#REF!</definedName>
    <definedName name="Clear_Area_CPW_Alliance_Ticket_Card_Ranking" localSheetId="1">#REF!</definedName>
    <definedName name="Clear_Area_CPW_Alliance_Ticket_Card_Ranking" localSheetId="0">#REF!</definedName>
    <definedName name="Clear_Area_CPW_Alliance_Ticket_Card_Ranking" localSheetId="2">#REF!</definedName>
    <definedName name="Clear_Area_CPW_Overall_PPD_Ranking" localSheetId="1">#REF!</definedName>
    <definedName name="Clear_Area_CPW_Overall_PPD_Ranking" localSheetId="0">#REF!</definedName>
    <definedName name="Clear_Area_CPW_Overall_PPD_Ranking" localSheetId="2">#REF!</definedName>
    <definedName name="Clear_Area_CPW_Overall_Telecom_Ranking" localSheetId="1">#REF!</definedName>
    <definedName name="Clear_Area_CPW_Overall_Telecom_Ranking" localSheetId="0">#REF!</definedName>
    <definedName name="Clear_Area_CPW_Overall_Telecom_Ranking" localSheetId="2">#REF!</definedName>
    <definedName name="Clear_Area_CPW_Overall_Ticket_Ranking" localSheetId="1">#REF!</definedName>
    <definedName name="Clear_Area_CPW_Overall_Ticket_Ranking" localSheetId="0">#REF!</definedName>
    <definedName name="Clear_Area_CPW_Overall_Ticket_Ranking" localSheetId="2">#REF!</definedName>
    <definedName name="Clear_Area_CPW_Safeway_PPD_Card_Ranking" localSheetId="1">#REF!</definedName>
    <definedName name="Clear_Area_CPW_Safeway_PPD_Card_Ranking" localSheetId="0">#REF!</definedName>
    <definedName name="Clear_Area_CPW_Safeway_PPD_Card_Ranking" localSheetId="2">#REF!</definedName>
    <definedName name="Clear_Area_CPW_Safeway_Sports_Card_Ranking" localSheetId="1">#REF!</definedName>
    <definedName name="Clear_Area_CPW_Safeway_Sports_Card_Ranking" localSheetId="0">#REF!</definedName>
    <definedName name="Clear_Area_CPW_Safeway_Sports_Card_Ranking" localSheetId="2">#REF!</definedName>
    <definedName name="Clear_Area_CPW_Safeway_Ticket_Card_Ranking" localSheetId="1">#REF!</definedName>
    <definedName name="Clear_Area_CPW_Safeway_Ticket_Card_Ranking" localSheetId="0">#REF!</definedName>
    <definedName name="Clear_Area_CPW_Safeway_Ticket_Card_Ranking" localSheetId="2">#REF!</definedName>
    <definedName name="Clear_Area_CPW_Telecom_Ranking" localSheetId="1">#REF!</definedName>
    <definedName name="Clear_Area_CPW_Telecom_Ranking" localSheetId="0">#REF!</definedName>
    <definedName name="Clear_Area_CPW_Telecom_Ranking" localSheetId="2">#REF!</definedName>
    <definedName name="Clear_ChannelbyPG" localSheetId="1">#REF!</definedName>
    <definedName name="Clear_ChannelbyPG" localSheetId="0">#REF!</definedName>
    <definedName name="Clear_ChannelbyPG" localSheetId="2">#REF!</definedName>
    <definedName name="Clear_Detail" localSheetId="1">#REF!</definedName>
    <definedName name="Clear_Detail" localSheetId="0">#REF!</definedName>
    <definedName name="Clear_Detail" localSheetId="2">#REF!</definedName>
    <definedName name="Clear_Dist" localSheetId="1">#REF!</definedName>
    <definedName name="Clear_Dist" localSheetId="0">#REF!</definedName>
    <definedName name="Clear_Dist" localSheetId="2">#REF!</definedName>
    <definedName name="Clear_Dist_LARC" localSheetId="1">#REF!</definedName>
    <definedName name="Clear_Dist_LARC" localSheetId="0">#REF!</definedName>
    <definedName name="Clear_Dist_LARC" localSheetId="2">#REF!</definedName>
    <definedName name="Clear_Dist_PART" localSheetId="1">#REF!</definedName>
    <definedName name="Clear_Dist_PART" localSheetId="0">#REF!</definedName>
    <definedName name="Clear_Dist_PART" localSheetId="2">#REF!</definedName>
    <definedName name="Clear_Dist_PRED" localSheetId="1">#REF!</definedName>
    <definedName name="Clear_Dist_PRED" localSheetId="0">#REF!</definedName>
    <definedName name="Clear_Dist_PRED" localSheetId="2">#REF!</definedName>
    <definedName name="Clear_Dist_PREG" localSheetId="1">#REF!</definedName>
    <definedName name="Clear_Dist_PREG" localSheetId="0">#REF!</definedName>
    <definedName name="Clear_Dist_PREG" localSheetId="2">#REF!</definedName>
    <definedName name="Clear_Dist_SPRT" localSheetId="1">#REF!</definedName>
    <definedName name="Clear_Dist_SPRT" localSheetId="0">#REF!</definedName>
    <definedName name="Clear_Dist_SPRT" localSheetId="2">#REF!</definedName>
    <definedName name="Clear_Dist_TELE" localSheetId="1">#REF!</definedName>
    <definedName name="Clear_Dist_TELE" localSheetId="0">#REF!</definedName>
    <definedName name="Clear_Dist_TELE" localSheetId="2">#REF!</definedName>
    <definedName name="Clear_Dist_TICK" localSheetId="1">#REF!</definedName>
    <definedName name="Clear_Dist_TICK" localSheetId="0">#REF!</definedName>
    <definedName name="Clear_Dist_TICK" localSheetId="2">#REF!</definedName>
    <definedName name="Clear_INTL" localSheetId="1">#REF!</definedName>
    <definedName name="Clear_INTL" localSheetId="0">#REF!</definedName>
    <definedName name="Clear_INTL" localSheetId="2">#REF!</definedName>
    <definedName name="Clear_PGbyChannel" localSheetId="1">#REF!</definedName>
    <definedName name="Clear_PGbyChannel" localSheetId="0">#REF!</definedName>
    <definedName name="Clear_PGbyChannel" localSheetId="2">#REF!</definedName>
    <definedName name="Clear_SWY" localSheetId="1">#REF!</definedName>
    <definedName name="Clear_SWY" localSheetId="0">#REF!</definedName>
    <definedName name="Clear_SWY" localSheetId="2">#REF!</definedName>
    <definedName name="Clear_SWY_LARC" localSheetId="1">#REF!</definedName>
    <definedName name="Clear_SWY_LARC" localSheetId="0">#REF!</definedName>
    <definedName name="Clear_SWY_LARC" localSheetId="2">#REF!</definedName>
    <definedName name="Clear_SWY_PART" localSheetId="1">#REF!</definedName>
    <definedName name="Clear_SWY_PART" localSheetId="0">#REF!</definedName>
    <definedName name="Clear_SWY_PART" localSheetId="2">#REF!</definedName>
    <definedName name="Clear_SWY_PRED" localSheetId="1">#REF!</definedName>
    <definedName name="Clear_SWY_PRED" localSheetId="0">#REF!</definedName>
    <definedName name="Clear_SWY_PRED" localSheetId="2">#REF!</definedName>
    <definedName name="Clear_SWY_PREG" localSheetId="1">#REF!</definedName>
    <definedName name="Clear_SWY_PREG" localSheetId="0">#REF!</definedName>
    <definedName name="Clear_SWY_PREG" localSheetId="2">#REF!</definedName>
    <definedName name="Clear_SWY_SPRT" localSheetId="1">#REF!</definedName>
    <definedName name="Clear_SWY_SPRT" localSheetId="0">#REF!</definedName>
    <definedName name="Clear_SWY_SPRT" localSheetId="2">#REF!</definedName>
    <definedName name="Clear_SWY_TELE" localSheetId="1">#REF!</definedName>
    <definedName name="Clear_SWY_TELE" localSheetId="0">#REF!</definedName>
    <definedName name="Clear_SWY_TELE" localSheetId="2">#REF!</definedName>
    <definedName name="Clear_SWY_TICK" localSheetId="1">#REF!</definedName>
    <definedName name="Clear_SWY_TICK" localSheetId="0">#REF!</definedName>
    <definedName name="Clear_SWY_TICK" localSheetId="2">#REF!</definedName>
    <definedName name="Clear_Top100" localSheetId="1">#REF!</definedName>
    <definedName name="Clear_Top100" localSheetId="0">#REF!</definedName>
    <definedName name="Clear_Top100" localSheetId="2">#REF!</definedName>
    <definedName name="Clear_Total" localSheetId="1">#REF!</definedName>
    <definedName name="Clear_Total" localSheetId="0">#REF!</definedName>
    <definedName name="Clear_Total" localSheetId="2">#REF!</definedName>
    <definedName name="Clear_Total_LARC" localSheetId="1">#REF!</definedName>
    <definedName name="Clear_Total_LARC" localSheetId="0">#REF!</definedName>
    <definedName name="Clear_Total_LARC" localSheetId="2">#REF!</definedName>
    <definedName name="Clear_Total_PART" localSheetId="1">#REF!</definedName>
    <definedName name="Clear_Total_PART" localSheetId="0">#REF!</definedName>
    <definedName name="Clear_Total_PART" localSheetId="2">#REF!</definedName>
    <definedName name="Clear_Total_PRED" localSheetId="1">#REF!</definedName>
    <definedName name="Clear_Total_PRED" localSheetId="0">#REF!</definedName>
    <definedName name="Clear_Total_PRED" localSheetId="2">#REF!</definedName>
    <definedName name="Clear_Total_PREG" localSheetId="1">#REF!</definedName>
    <definedName name="Clear_Total_PREG" localSheetId="0">#REF!</definedName>
    <definedName name="Clear_Total_PREG" localSheetId="2">#REF!</definedName>
    <definedName name="Clear_Total_SPRT" localSheetId="1">#REF!</definedName>
    <definedName name="Clear_Total_SPRT" localSheetId="0">#REF!</definedName>
    <definedName name="Clear_Total_SPRT" localSheetId="2">#REF!</definedName>
    <definedName name="Clear_Total_TELE" localSheetId="1">#REF!</definedName>
    <definedName name="Clear_Total_TELE" localSheetId="0">#REF!</definedName>
    <definedName name="Clear_Total_TELE" localSheetId="2">#REF!</definedName>
    <definedName name="Clear_Total_TICK" localSheetId="1">#REF!</definedName>
    <definedName name="Clear_Total_TICK" localSheetId="0">#REF!</definedName>
    <definedName name="Clear_Total_TICK" localSheetId="2">#REF!</definedName>
    <definedName name="Corp_1510">[6]FATS_GL_ALL!$CE$4:$CN$14</definedName>
    <definedName name="csAllowLocalConsolidation">TRUE</definedName>
    <definedName name="csAppName">"BudgetWeb"</definedName>
    <definedName name="csDesignMode">1</definedName>
    <definedName name="csKeepAlive">5</definedName>
    <definedName name="csLocalConsolidationOnSubmit">TRUE</definedName>
    <definedName name="csMIS_OPINC_SCHED_D_Dim01">"="</definedName>
    <definedName name="csMIS_OPINC_SCHED_D_Dim02">"="</definedName>
    <definedName name="csMIS_OPINC_SCHED_D_Dim03">"="</definedName>
    <definedName name="csMIS_OPINC_SCHED_D_Dim04">"="</definedName>
    <definedName name="csMIS_OPINC_SCHED_D_Dim05">"="</definedName>
    <definedName name="csMIS_OPINC_SCHED_D_Dim06">"="</definedName>
    <definedName name="csMIS_OPINC_SCHED_D_Dim07">"="</definedName>
    <definedName name="csMNC_CH_EXPENSE_SCHEDB7_Dim01">"="</definedName>
    <definedName name="csMNC_CH_EXPENSE_SCHEDB7_Dim02">"="</definedName>
    <definedName name="csMNC_CH_EXPENSE_SCHEDB7_Dim03">[7]Location!$AA$7:$AB$7</definedName>
    <definedName name="csMNC_CH_EXPENSE_SCHEDB7_Dim04">"="</definedName>
    <definedName name="csMNC_CH_EXPENSE_SCHEDB7_Dim05">"="</definedName>
    <definedName name="csMNC_CH_EXPENSE_SCHEDB7_Dim06">"="</definedName>
    <definedName name="csMNC_CH_EXPENSE_SCHEDB7_Dim07">[7]Location!$AA$8:$AB$8</definedName>
    <definedName name="csMNC_CH_EXPENSE_SCHEDB7_Dim08">"="</definedName>
    <definedName name="csMNC_CH_EXPENSE_SCHEDB7Anchor">[7]Location!$AA$10</definedName>
    <definedName name="csMNC_DEPREC_BYMONTH_SCHEDB11_Dim01">"="</definedName>
    <definedName name="csMNC_DEPREC_BYMONTH_SCHEDB11_Dim02">"="</definedName>
    <definedName name="csMNC_DEPREC_BYMONTH_SCHEDB11_Dim04">"="</definedName>
    <definedName name="csMNC_DEPREC_BYMONTH_SCHEDB11_Dim05">"="</definedName>
    <definedName name="csMNC_DEPREC_BYMONTH_SCHEDB11_Dim06">"="</definedName>
    <definedName name="csMNC_DEPREC_BYMONTH_SCHEDB11_Dim07">"="</definedName>
    <definedName name="csMNC_DEPREC_BYMONTH_SCHEDB11_Dim08">"="</definedName>
    <definedName name="csMNC_DEPREC_BYSERVICE_SCHEDB11_Dim01">"="</definedName>
    <definedName name="csMNC_DEPREC_BYSERVICE_SCHEDB11_Dim02">"="</definedName>
    <definedName name="csMNC_DEPREC_BYSERVICE_SCHEDB11_Dim03">"="</definedName>
    <definedName name="csMNC_DEPREC_BYSERVICE_SCHEDB11_Dim05">"="</definedName>
    <definedName name="csMNC_DEPREC_BYSERVICE_SCHEDB11_Dim06">"="</definedName>
    <definedName name="csMNC_DEPREC_BYSERVICE_SCHEDB11_Dim07">"="</definedName>
    <definedName name="csMNC_GAEXPENSE_SCHEDB12_Dim01">"="</definedName>
    <definedName name="csMNC_GAEXPENSE_SCHEDB12_Dim02">"="</definedName>
    <definedName name="csMNC_GAEXPENSE_SCHEDB12_Dim03">"="</definedName>
    <definedName name="csMNC_GAEXPENSE_SCHEDB12_Dim04">"="</definedName>
    <definedName name="csMNC_GAEXPENSE_SCHEDB12_Dim05">"="</definedName>
    <definedName name="csMNC_GAEXPENSE_SCHEDB12_Dim06">"="</definedName>
    <definedName name="csMNC_GAEXPENSE_SCHEDB12_Dim07">"="</definedName>
    <definedName name="csMNC_GAEXPENSE_SCHEDB12_Dim08">"="</definedName>
    <definedName name="csMNC_OPINC_SCHED_B_Dim01">"="</definedName>
    <definedName name="csMNC_OPINC_SCHED_B_Dim02">"="</definedName>
    <definedName name="csMNC_OPINC_SCHED_B_Dim04">"="</definedName>
    <definedName name="csMNC_OPINC_SCHED_B_Dim05">"="</definedName>
    <definedName name="csMNC_OPINC_SCHED_B_Dim06">"="</definedName>
    <definedName name="csMNC_OPINC_SCHED_B_Dim07">"="</definedName>
    <definedName name="csMNC_OPINC_SCHED_B_Dim08">"="</definedName>
    <definedName name="csMNC_OPINC_SCHEDB2_5_Dim01">"="</definedName>
    <definedName name="csMNC_OPINC_SCHEDB2_5_Dim02">"="</definedName>
    <definedName name="csMNC_OPINC_SCHEDB2_5_Dim04">"="</definedName>
    <definedName name="csMNC_OPINC_SCHEDB2_5_Dim05">"="</definedName>
    <definedName name="csMNC_OPINC_SCHEDB2_5_Dim06">"="</definedName>
    <definedName name="csMNC_OPINC_SCHEDB2_5_Dim07">"="</definedName>
    <definedName name="csMNC_OPINC_SCHEDB2_5_Dim08">"="</definedName>
    <definedName name="csMNC_OPINC_SCHEDB2_Guam_Dim01">"="</definedName>
    <definedName name="csMNC_OPINC_SCHEDB2_Guam_Dim02">"="</definedName>
    <definedName name="csMNC_OPINC_SCHEDB2_Guam_Dim03">"="</definedName>
    <definedName name="csMNC_OPINC_SCHEDB2_Guam_Dim04">"="</definedName>
    <definedName name="csMNC_OPINC_SCHEDB2_Guam_Dim05">"="</definedName>
    <definedName name="csMNC_OPINC_SCHEDB2_Guam_Dim06">"="</definedName>
    <definedName name="csMNC_OPINC_SCHEDB2_Guam_Dim07">"="</definedName>
    <definedName name="csMNC_OPINC_SCHEDB2_MPS_Dim01">"="</definedName>
    <definedName name="csMNC_OPINC_SCHEDB2_MPS_Dim02">"="</definedName>
    <definedName name="csMNC_OPINC_SCHEDB2_MPS_Dim03">"="</definedName>
    <definedName name="csMNC_OPINC_SCHEDB2_MPS_Dim04">"="</definedName>
    <definedName name="csMNC_OPINC_SCHEDB2_MPS_Dim05">"="</definedName>
    <definedName name="csMNC_OPINC_SCHEDB2_MPS_Dim06">"="</definedName>
    <definedName name="csMNC_OPINC_SCHEDB2_MPS_Dim07">"="</definedName>
    <definedName name="csMNC_OPINC_SCHEDB6_Dim01">"="</definedName>
    <definedName name="csMNC_OPINC_SCHEDB6_Dim02">"="</definedName>
    <definedName name="csMNC_OPINC_SCHEDB6_Dim03">"="</definedName>
    <definedName name="csMNC_OPINC_SCHEDB6_Dim04">"="</definedName>
    <definedName name="csMNC_OPINC_SCHEDB6_Dim05">"="</definedName>
    <definedName name="csMNC_OPINC_SCHEDB6_Dim06">"="</definedName>
    <definedName name="csMNC_OPINC_SCHEDB6_Dim07">"="</definedName>
    <definedName name="csMNC_OPOH_BYMONTH_SCHEDB9_Dim01">"="</definedName>
    <definedName name="csMNC_OPOH_BYMONTH_SCHEDB9_Dim02">'[7]OP OH'!$AL$10:$AM$10</definedName>
    <definedName name="csMNC_OPOH_BYMONTH_SCHEDB9_Dim03">"="</definedName>
    <definedName name="csMNC_OPOH_BYMONTH_SCHEDB9_Dim04">"="</definedName>
    <definedName name="csMNC_OPOH_BYMONTH_SCHEDB9_Dim05">"="</definedName>
    <definedName name="csMNC_OPOH_BYMONTH_SCHEDB9_Dim06">"="</definedName>
    <definedName name="csMNC_OPOH_BYMONTH_SCHEDB9_Dim07">"="</definedName>
    <definedName name="csMNC_OPOH_BYMONTH_SCHEDB9_Dim08">"="</definedName>
    <definedName name="csMNC_OPOH_BYMONTH_SCHEDB9Anchor">'[7]OP OH'!$AL$12</definedName>
    <definedName name="csMNC_OPOH_BYSERVICE_SCHEDB9_Dim01">"="</definedName>
    <definedName name="csMNC_OPOH_BYSERVICE_SCHEDB9_Dim02">"="</definedName>
    <definedName name="csMNC_OPOH_BYSERVICE_SCHEDB9_Dim03">'[7]OP OH'!$AL$30:$AM$30</definedName>
    <definedName name="csMNC_OPOH_BYSERVICE_SCHEDB9_Dim04">"="</definedName>
    <definedName name="csMNC_OPOH_BYSERVICE_SCHEDB9_Dim05">"="</definedName>
    <definedName name="csMNC_OPOH_BYSERVICE_SCHEDB9_Dim06">"="</definedName>
    <definedName name="csMNC_OPOH_BYSERVICE_SCHEDB9_Dim07">'[7]OP OH'!$AL$31:$AM$31</definedName>
    <definedName name="csMNC_OPOH_BYSERVICE_SCHEDB9_Dim08">"="</definedName>
    <definedName name="csMNC_OPOH_BYSERVICE_SCHEDB9Anchor">'[7]OP OH'!$AL$33</definedName>
    <definedName name="csMNC_OTHINC_BYMONTH_SCHEDB13_Dim01">"="</definedName>
    <definedName name="csMNC_OTHINC_BYMONTH_SCHEDB13_Dim02">"="</definedName>
    <definedName name="csMNC_OTHINC_BYMONTH_SCHEDB13_Dim04">"="</definedName>
    <definedName name="csMNC_OTHINC_BYMONTH_SCHEDB13_Dim05">"="</definedName>
    <definedName name="csMNC_OTHINC_BYMONTH_SCHEDB13_Dim06">"="</definedName>
    <definedName name="csMNC_OTHINC_BYMONTH_SCHEDB13_Dim07">"="</definedName>
    <definedName name="csMNC_OTHINC_BYMONTH_SCHEDB13_Dim08">"="</definedName>
    <definedName name="csMNC_VOE_BYVESSEL_SCHEDB8_Dim01">"="</definedName>
    <definedName name="csMNC_VOE_BYVESSEL_SCHEDB8_Dim02">"="</definedName>
    <definedName name="csMNC_VOE_BYVESSEL_SCHEDB8_Dim03">"="</definedName>
    <definedName name="csMNC_VOE_BYVESSEL_SCHEDB8_Dim04">"="</definedName>
    <definedName name="csMNC_VOE_BYVESSEL_SCHEDB8_Dim05">"="</definedName>
    <definedName name="csMNC_VOE_BYVESSEL_SCHEDB8_Dim06">"="</definedName>
    <definedName name="csMNC_VOE_BYVESSEL_SCHEDB8_Dim07">"="</definedName>
    <definedName name="csMNC_VOE_BYVESSEL_SCHEDB8_Dim08">"="</definedName>
    <definedName name="csMNC_VOE_BYVESSEL_SCHEDB8Anchor">[7]VesselsOperating!$BA$12</definedName>
    <definedName name="csMNC_VOH_BYMONTH_SCHEDB10_Dim01">"="</definedName>
    <definedName name="csMNC_VOH_BYMONTH_SCHEDB10_Dim02">"="</definedName>
    <definedName name="csMNC_VOH_BYMONTH_SCHEDB10_Dim04">"="</definedName>
    <definedName name="csMNC_VOH_BYMONTH_SCHEDB10_Dim05">"="</definedName>
    <definedName name="csMNC_VOH_BYMONTH_SCHEDB10_Dim06">"="</definedName>
    <definedName name="csMNC_VOH_BYMONTH_SCHEDB10_Dim07">"="</definedName>
    <definedName name="csMNC_VOH_BYMONTH_SCHEDB10_Dim08">"="</definedName>
    <definedName name="csMNC_VOH_BYVESSEL_SCHEDB10_Dim01">"="</definedName>
    <definedName name="csMNC_VOH_BYVESSEL_SCHEDB10_Dim02">"="</definedName>
    <definedName name="csMNC_VOH_BYVESSEL_SCHEDB10_Dim03">"="</definedName>
    <definedName name="csMNC_VOH_BYVESSEL_SCHEDB10_Dim05">"="</definedName>
    <definedName name="csMNC_VOH_BYVESSEL_SCHEDB10_Dim06">"="</definedName>
    <definedName name="csMNC_VOH_BYVESSEL_SCHEDB10_Dim07">"="</definedName>
    <definedName name="csMTI_OPINC_SCHED_C_Dim01">"="</definedName>
    <definedName name="csMTI_OPINC_SCHED_C_Dim02">"="</definedName>
    <definedName name="csMTI_OPINC_SCHED_C_Dim03">"="</definedName>
    <definedName name="csMTI_OPINC_SCHED_C_Dim04">"="</definedName>
    <definedName name="csMTI_OPINC_SCHED_C_Dim05">"="</definedName>
    <definedName name="csMTI_OPINC_SCHED_C_Dim06">"="</definedName>
    <definedName name="csMTI_OPINC_SCHED_C_Dim07">"="</definedName>
    <definedName name="csMTI_OPINC_SCHED_C_Dim08">"="</definedName>
    <definedName name="csRefreshOnOpen">TRUE</definedName>
    <definedName name="csRefreshOnRotate">TRUE</definedName>
    <definedName name="deno" localSheetId="1">#REF!</definedName>
    <definedName name="deno" localSheetId="0">#REF!</definedName>
    <definedName name="deno" localSheetId="2">#REF!</definedName>
    <definedName name="Dimensions_T_BoldTypeface" localSheetId="1">#REF!</definedName>
    <definedName name="Dimensions_T_BoldTypeface" localSheetId="0">#REF!</definedName>
    <definedName name="Dimensions_T_BoldTypeface" localSheetId="2">#REF!</definedName>
    <definedName name="Dimensions_T_Closed" localSheetId="1">#REF!</definedName>
    <definedName name="Dimensions_T_Closed" localSheetId="0">#REF!</definedName>
    <definedName name="Dimensions_T_Closed" localSheetId="2">#REF!</definedName>
    <definedName name="Dimensions_T_Column" localSheetId="1">#REF!</definedName>
    <definedName name="Dimensions_T_Column" localSheetId="0">#REF!</definedName>
    <definedName name="Dimensions_T_Column" localSheetId="2">#REF!</definedName>
    <definedName name="Dimensions_T_CompanyGroup" localSheetId="1">#REF!</definedName>
    <definedName name="Dimensions_T_CompanyGroup" localSheetId="0">#REF!</definedName>
    <definedName name="Dimensions_T_CompanyGroup" localSheetId="2">#REF!</definedName>
    <definedName name="Dimensions_T_COSBlockAllocation" localSheetId="1">#REF!</definedName>
    <definedName name="Dimensions_T_COSBlockAllocation" localSheetId="0">#REF!</definedName>
    <definedName name="Dimensions_T_COSBlockAllocation" localSheetId="2">#REF!</definedName>
    <definedName name="Dimensions_T_COSBlockDistribution" localSheetId="1">#REF!</definedName>
    <definedName name="Dimensions_T_COSBlockDistribution" localSheetId="0">#REF!</definedName>
    <definedName name="Dimensions_T_COSBlockDistribution" localSheetId="2">#REF!</definedName>
    <definedName name="Dimensions_T_COSBlockPostCost" localSheetId="1">#REF!</definedName>
    <definedName name="Dimensions_T_COSBlockPostCost" localSheetId="0">#REF!</definedName>
    <definedName name="Dimensions_T_COSBlockPostCost" localSheetId="2">#REF!</definedName>
    <definedName name="Dimensions_T_COSBlockPostWork" localSheetId="1">#REF!</definedName>
    <definedName name="Dimensions_T_COSBlockPostWork" localSheetId="0">#REF!</definedName>
    <definedName name="Dimensions_T_COSBlockPostWork" localSheetId="2">#REF!</definedName>
    <definedName name="Dimensions_T_COSValidFrom" localSheetId="1">#REF!</definedName>
    <definedName name="Dimensions_T_COSValidFrom" localSheetId="0">#REF!</definedName>
    <definedName name="Dimensions_T_COSValidFrom" localSheetId="2">#REF!</definedName>
    <definedName name="Dimensions_T_COSValidUntil" localSheetId="1">#REF!</definedName>
    <definedName name="Dimensions_T_COSValidUntil" localSheetId="0">#REF!</definedName>
    <definedName name="Dimensions_T_COSValidUntil" localSheetId="2">#REF!</definedName>
    <definedName name="Dimensions_T_Description" localSheetId="1">#REF!</definedName>
    <definedName name="Dimensions_T_Description" localSheetId="0">#REF!</definedName>
    <definedName name="Dimensions_T_Description" localSheetId="2">#REF!</definedName>
    <definedName name="Dimensions_T_DimensionCode" localSheetId="1">#REF!</definedName>
    <definedName name="Dimensions_T_DimensionCode" localSheetId="0">#REF!</definedName>
    <definedName name="Dimensions_T_DimensionCode" localSheetId="2">#REF!</definedName>
    <definedName name="Dimensions_T_InCharge" localSheetId="1">#REF!</definedName>
    <definedName name="Dimensions_T_InCharge" localSheetId="0">#REF!</definedName>
    <definedName name="Dimensions_T_InCharge" localSheetId="2">#REF!</definedName>
    <definedName name="Dimensions_T_Italic" localSheetId="1">#REF!</definedName>
    <definedName name="Dimensions_T_Italic" localSheetId="0">#REF!</definedName>
    <definedName name="Dimensions_T_Italic" localSheetId="2">#REF!</definedName>
    <definedName name="Dimensions_T_LineExceed" localSheetId="1">#REF!</definedName>
    <definedName name="Dimensions_T_LineExceed" localSheetId="0">#REF!</definedName>
    <definedName name="Dimensions_T_LineExceed" localSheetId="2">#REF!</definedName>
    <definedName name="Dimensions_T_LineSub" localSheetId="1">#REF!</definedName>
    <definedName name="Dimensions_T_LineSub" localSheetId="0">#REF!</definedName>
    <definedName name="Dimensions_T_LineSub" localSheetId="2">#REF!</definedName>
    <definedName name="Dimensions_T_Num" localSheetId="1">#REF!</definedName>
    <definedName name="Dimensions_T_Num" localSheetId="0">#REF!</definedName>
    <definedName name="Dimensions_T_Num" localSheetId="2">#REF!</definedName>
    <definedName name="Dimensions_T_ReverseSign" localSheetId="1">#REF!</definedName>
    <definedName name="Dimensions_T_ReverseSign" localSheetId="0">#REF!</definedName>
    <definedName name="Dimensions_T_ReverseSign" localSheetId="2">#REF!</definedName>
    <definedName name="Dimensions_T_UnderlineNumerals" localSheetId="1">#REF!</definedName>
    <definedName name="Dimensions_T_UnderlineNumerals" localSheetId="0">#REF!</definedName>
    <definedName name="Dimensions_T_UnderlineNumerals" localSheetId="2">#REF!</definedName>
    <definedName name="Dimensions_T_UnderLineTxt" localSheetId="1">#REF!</definedName>
    <definedName name="Dimensions_T_UnderLineTxt" localSheetId="0">#REF!</definedName>
    <definedName name="Dimensions_T_UnderLineTxt" localSheetId="2">#REF!</definedName>
    <definedName name="domair">[8]Assumptions!$B$19</definedName>
    <definedName name="domlodg">[8]Assumptions!$C$19</definedName>
    <definedName name="dommeal">[8]Assumptions!$D$19</definedName>
    <definedName name="domtran">[8]Assumptions!$E$19</definedName>
    <definedName name="Enum326">'[9]#Lookup'!$A$2:$A$6</definedName>
    <definedName name="Enum61469">'[9]#Lookup'!$B$2:$B$3</definedName>
    <definedName name="FieldListDet">[10]Setup!$K$2:$K$200</definedName>
    <definedName name="FS">'[5]US Indirect COR and Prog Exp'!$C$68</definedName>
    <definedName name="Gegenkonto">[11]Gegenkonto!$C$7:$D$153</definedName>
    <definedName name="Hide_INTL" localSheetId="1">#REF!</definedName>
    <definedName name="Hide_INTL" localSheetId="0">#REF!</definedName>
    <definedName name="Hide_INTL" localSheetId="2">#REF!</definedName>
    <definedName name="Hide_LARC_Dist" localSheetId="1">#REF!</definedName>
    <definedName name="Hide_LARC_Dist" localSheetId="0">#REF!</definedName>
    <definedName name="Hide_LARC_Dist" localSheetId="2">#REF!</definedName>
    <definedName name="Hide_LARC_Swy" localSheetId="1">#REF!</definedName>
    <definedName name="Hide_LARC_Swy" localSheetId="0">#REF!</definedName>
    <definedName name="Hide_LARC_Swy" localSheetId="2">#REF!</definedName>
    <definedName name="Hide_LARC_Total" localSheetId="1">#REF!</definedName>
    <definedName name="Hide_LARC_Total" localSheetId="0">#REF!</definedName>
    <definedName name="Hide_LARC_Total" localSheetId="2">#REF!</definedName>
    <definedName name="Hide_PART_Dist" localSheetId="1">#REF!</definedName>
    <definedName name="Hide_PART_Dist" localSheetId="0">#REF!</definedName>
    <definedName name="Hide_PART_Dist" localSheetId="2">#REF!</definedName>
    <definedName name="Hide_PART_Swy" localSheetId="1">#REF!</definedName>
    <definedName name="Hide_PART_Swy" localSheetId="0">#REF!</definedName>
    <definedName name="Hide_PART_Swy" localSheetId="2">#REF!</definedName>
    <definedName name="Hide_PART_Total" localSheetId="1">#REF!</definedName>
    <definedName name="Hide_PART_Total" localSheetId="0">#REF!</definedName>
    <definedName name="Hide_PART_Total" localSheetId="2">#REF!</definedName>
    <definedName name="Hide_PG_DIST" localSheetId="1">#REF!</definedName>
    <definedName name="Hide_PG_DIST" localSheetId="0">#REF!</definedName>
    <definedName name="Hide_PG_DIST" localSheetId="2">#REF!</definedName>
    <definedName name="Hide_PG_SWY" localSheetId="1">#REF!</definedName>
    <definedName name="Hide_PG_SWY" localSheetId="0">#REF!</definedName>
    <definedName name="Hide_PG_SWY" localSheetId="2">#REF!</definedName>
    <definedName name="Hide_PG_Total" localSheetId="1">#REF!</definedName>
    <definedName name="Hide_PG_Total" localSheetId="0">#REF!</definedName>
    <definedName name="Hide_PG_Total" localSheetId="2">#REF!</definedName>
    <definedName name="Hide_PRED_Dist" localSheetId="1">#REF!</definedName>
    <definedName name="Hide_PRED_Dist" localSheetId="0">#REF!</definedName>
    <definedName name="Hide_PRED_Dist" localSheetId="2">#REF!</definedName>
    <definedName name="Hide_PRED_Swy" localSheetId="1">#REF!</definedName>
    <definedName name="Hide_PRED_Swy" localSheetId="0">#REF!</definedName>
    <definedName name="Hide_PRED_Swy" localSheetId="2">#REF!</definedName>
    <definedName name="Hide_PRED_Total" localSheetId="1">#REF!</definedName>
    <definedName name="Hide_PRED_Total" localSheetId="0">#REF!</definedName>
    <definedName name="Hide_PRED_Total" localSheetId="2">#REF!</definedName>
    <definedName name="Hide_PREG_Dist" localSheetId="1">#REF!</definedName>
    <definedName name="Hide_PREG_Dist" localSheetId="0">#REF!</definedName>
    <definedName name="Hide_PREG_Dist" localSheetId="2">#REF!</definedName>
    <definedName name="Hide_PREG_Swy" localSheetId="1">#REF!</definedName>
    <definedName name="Hide_PREG_Swy" localSheetId="0">#REF!</definedName>
    <definedName name="Hide_PREG_Swy" localSheetId="2">#REF!</definedName>
    <definedName name="Hide_PREG_Total" localSheetId="1">#REF!</definedName>
    <definedName name="Hide_PREG_Total" localSheetId="0">#REF!</definedName>
    <definedName name="Hide_PREG_Total" localSheetId="2">#REF!</definedName>
    <definedName name="Hide_SPRT_Dist" localSheetId="1">#REF!</definedName>
    <definedName name="Hide_SPRT_Dist" localSheetId="0">#REF!</definedName>
    <definedName name="Hide_SPRT_Dist" localSheetId="2">#REF!</definedName>
    <definedName name="Hide_SPRT_Swy" localSheetId="1">#REF!</definedName>
    <definedName name="Hide_SPRT_Swy" localSheetId="0">#REF!</definedName>
    <definedName name="Hide_SPRT_Swy" localSheetId="2">#REF!</definedName>
    <definedName name="Hide_SPRT_Total" localSheetId="1">#REF!</definedName>
    <definedName name="Hide_SPRT_Total" localSheetId="0">#REF!</definedName>
    <definedName name="Hide_SPRT_Total" localSheetId="2">#REF!</definedName>
    <definedName name="Hide_TELE_Dist" localSheetId="1">#REF!</definedName>
    <definedName name="Hide_TELE_Dist" localSheetId="0">#REF!</definedName>
    <definedName name="Hide_TELE_Dist" localSheetId="2">#REF!</definedName>
    <definedName name="Hide_TELE_Swy" localSheetId="1">#REF!</definedName>
    <definedName name="Hide_TELE_Swy" localSheetId="0">#REF!</definedName>
    <definedName name="Hide_TELE_Swy" localSheetId="2">#REF!</definedName>
    <definedName name="Hide_TELE_Total" localSheetId="1">#REF!</definedName>
    <definedName name="Hide_TELE_Total" localSheetId="0">#REF!</definedName>
    <definedName name="Hide_TELE_Total" localSheetId="2">#REF!</definedName>
    <definedName name="Hide_TICK_Dist" localSheetId="1">#REF!</definedName>
    <definedName name="Hide_TICK_Dist" localSheetId="0">#REF!</definedName>
    <definedName name="Hide_TICK_Dist" localSheetId="2">#REF!</definedName>
    <definedName name="Hide_TICK_Swy" localSheetId="1">#REF!</definedName>
    <definedName name="Hide_TICK_Swy" localSheetId="0">#REF!</definedName>
    <definedName name="Hide_TICK_Swy" localSheetId="2">#REF!</definedName>
    <definedName name="Hide_TICK_Total" localSheetId="1">#REF!</definedName>
    <definedName name="Hide_TICK_Total" localSheetId="0">#REF!</definedName>
    <definedName name="Hide_TICK_Total" localSheetId="2">#REF!</definedName>
    <definedName name="Hide_Top100" localSheetId="1">#REF!</definedName>
    <definedName name="Hide_Top100" localSheetId="0">#REF!</definedName>
    <definedName name="Hide_Top100" localSheetId="2">#REF!</definedName>
    <definedName name="Hide_Total" localSheetId="1">#REF!</definedName>
    <definedName name="Hide_Total" localSheetId="0">#REF!</definedName>
    <definedName name="Hide_Total" localSheetId="2">#REF!</definedName>
    <definedName name="Hide_Total_DIst" localSheetId="1">#REF!</definedName>
    <definedName name="Hide_Total_DIst" localSheetId="0">#REF!</definedName>
    <definedName name="Hide_Total_DIst" localSheetId="2">#REF!</definedName>
    <definedName name="Hide_Total_LARC" localSheetId="1">#REF!</definedName>
    <definedName name="Hide_Total_LARC" localSheetId="0">#REF!</definedName>
    <definedName name="Hide_Total_LARC" localSheetId="2">#REF!</definedName>
    <definedName name="intair">[8]Assumptions!$B$20</definedName>
    <definedName name="intlodg">[8]Assumptions!$C$20</definedName>
    <definedName name="intmeal">[8]Assumptions!$D$20</definedName>
    <definedName name="inttran">[8]Assumptions!$E$20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EMPLOYEES" hidden="1">"c6019"</definedName>
    <definedName name="IQ_AVG_INDUSTRY_REC" hidden="1">"c4455"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OPER" hidden="1">"c6293"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EQ_INC" hidden="1">"c3498"</definedName>
    <definedName name="IQ_EBIT_EQ_INC_EXCL_SBC" hidden="1">"c3502"</definedName>
    <definedName name="IQ_EBIT_EST" hidden="1">"c1681"</definedName>
    <definedName name="IQ_EBIT_EXCL_SBC" hidden="1">"c3082"</definedName>
    <definedName name="IQ_EBIT_GW_ACT_OR_EST" hidden="1">"c4306"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_STDDEV_EST" hidden="1">"c1686"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" hidden="1">"c6215"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EST" hidden="1">"c399"</definedName>
    <definedName name="IQ_EPS_EST_REUT" hidden="1">"c5453"</definedName>
    <definedName name="IQ_EPS_GW_ACT_OR_EST" hidden="1">"c2223"</definedName>
    <definedName name="IQ_EPS_GW_EST" hidden="1">"c1737"</definedName>
    <definedName name="IQ_EPS_GW_EST_REUT" hidden="1">"c5389"</definedName>
    <definedName name="IQ_EPS_GW_HIGH_EST" hidden="1">"c1739"</definedName>
    <definedName name="IQ_EPS_GW_HIGH_EST_REUT" hidden="1">"c5391"</definedName>
    <definedName name="IQ_EPS_GW_LOW_EST" hidden="1">"c1740"</definedName>
    <definedName name="IQ_EPS_GW_LOW_EST_REUT" hidden="1">"c5392"</definedName>
    <definedName name="IQ_EPS_GW_MEDIAN_EST" hidden="1">"c1738"</definedName>
    <definedName name="IQ_EPS_GW_MEDIAN_EST_REUT" hidden="1">"c5390"</definedName>
    <definedName name="IQ_EPS_GW_NUM_EST" hidden="1">"c1741"</definedName>
    <definedName name="IQ_EPS_GW_NUM_EST_REUT" hidden="1">"c5393"</definedName>
    <definedName name="IQ_EPS_GW_STDDEV_EST" hidden="1">"c1742"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ORM_EST" hidden="1">"c2226"</definedName>
    <definedName name="IQ_EPS_NORM_EST_REUT" hidden="1">"c5326"</definedName>
    <definedName name="IQ_EPS_NORM_HIGH_EST" hidden="1">"c2228"</definedName>
    <definedName name="IQ_EPS_NORM_HIGH_EST_REUT" hidden="1">"c5328"</definedName>
    <definedName name="IQ_EPS_NORM_LOW_EST" hidden="1">"c2229"</definedName>
    <definedName name="IQ_EPS_NORM_LOW_EST_REUT" hidden="1">"c5329"</definedName>
    <definedName name="IQ_EPS_NORM_MEDIAN_EST" hidden="1">"c2227"</definedName>
    <definedName name="IQ_EPS_NORM_MEDIAN_EST_REUT" hidden="1">"c5327"</definedName>
    <definedName name="IQ_EPS_NORM_NUM_EST" hidden="1">"c2230"</definedName>
    <definedName name="IQ_EPS_NORM_NUM_EST_REUT" hidden="1">"c5330"</definedName>
    <definedName name="IQ_EPS_NORM_STDDEV_EST" hidden="1">"c2231"</definedName>
    <definedName name="IQ_EPS_NORM_STDDEV_EST_REUT" hidden="1">"c5331"</definedName>
    <definedName name="IQ_EPS_NUM_EST" hidden="1">"c402"</definedName>
    <definedName name="IQ_EPS_NUM_EST_REUT" hidden="1">"c5451"</definedName>
    <definedName name="IQ_EPS_REPORT_ACT_OR_EST" hidden="1">"c2224"</definedName>
    <definedName name="IQ_EPS_REPORTED_EST" hidden="1">"c1744"</definedName>
    <definedName name="IQ_EPS_REPORTED_EST_REUT" hidden="1">"c5396"</definedName>
    <definedName name="IQ_EPS_REPORTED_HIGH_EST" hidden="1">"c1746"</definedName>
    <definedName name="IQ_EPS_REPORTED_HIGH_EST_REUT" hidden="1">"c5398"</definedName>
    <definedName name="IQ_EPS_REPORTED_LOW_EST" hidden="1">"c1747"</definedName>
    <definedName name="IQ_EPS_REPORTED_LOW_EST_REUT" hidden="1">"c5399"</definedName>
    <definedName name="IQ_EPS_REPORTED_MEDIAN_EST" hidden="1">"c1745"</definedName>
    <definedName name="IQ_EPS_REPORTED_MEDIAN_EST_REUT" hidden="1">"c5397"</definedName>
    <definedName name="IQ_EPS_REPORTED_NUM_EST" hidden="1">"c1748"</definedName>
    <definedName name="IQ_EPS_REPORTED_NUM_EST_REUT" hidden="1">"c5400"</definedName>
    <definedName name="IQ_EPS_REPORTED_STDDEV_EST" hidden="1">"c1749"</definedName>
    <definedName name="IQ_EPS_REPORTED_STDDEV_EST_REUT" hidden="1">"c5401"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GW_REUT" hidden="1">"c5395"</definedName>
    <definedName name="IQ_EST_ACT_EPS_NORM" hidden="1">"c2232"</definedName>
    <definedName name="IQ_EST_ACT_EPS_NORM_REUT" hidden="1">"c5332"</definedName>
    <definedName name="IQ_EST_ACT_EPS_REPORTED" hidden="1">"c1750"</definedName>
    <definedName name="IQ_EST_ACT_EPS_REPORTED_REUT" hidden="1">"c5402"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REUT" hidden="1">"c3633"</definedName>
    <definedName name="IQ_EST_EPS_GROWTH_5YR_STDDEV" hidden="1">"c1660"</definedName>
    <definedName name="IQ_EST_EPS_GROWTH_Q_1YR" hidden="1">"c1641"</definedName>
    <definedName name="IQ_EST_EPS_GROWTH_Q_1YR_REUT" hidden="1">"c5410"</definedName>
    <definedName name="IQ_EST_EPS_GW_DIFF" hidden="1">"c1891"</definedName>
    <definedName name="IQ_EST_EPS_GW_DIFF_REUT" hidden="1">"c5429"</definedName>
    <definedName name="IQ_EST_EPS_GW_SURPRISE_PERCENT" hidden="1">"c1892"</definedName>
    <definedName name="IQ_EST_EPS_GW_SURPRISE_PERCENT_REUT" hidden="1">"c5430"</definedName>
    <definedName name="IQ_EST_EPS_NORM_DIFF" hidden="1">"c2247"</definedName>
    <definedName name="IQ_EST_EPS_NORM_DIFF_REUT" hidden="1">"c5411"</definedName>
    <definedName name="IQ_EST_EPS_NORM_SURPRISE_PERCENT" hidden="1">"c2248"</definedName>
    <definedName name="IQ_EST_EPS_NORM_SURPRISE_PERCENT_REUT" hidden="1">"c5412"</definedName>
    <definedName name="IQ_EST_EPS_REPORT_DIFF" hidden="1">"c1893"</definedName>
    <definedName name="IQ_EST_EPS_REPORT_DIFF_REUT" hidden="1">"c5431"</definedName>
    <definedName name="IQ_EST_EPS_REPORT_SURPRISE_PERCENT" hidden="1">"c1894"</definedName>
    <definedName name="IQ_EST_EPS_REPORT_SURPRISE_PERCENT_REUT" hidden="1">"c5432"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ADJ_ACT_OR_EST" hidden="1">"c4435"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PAYOUT_RATIO" hidden="1">"c3492"</definedName>
    <definedName name="IQ_FFO_SHARE_ACT_OR_EST" hidden="1">"c4446"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DEBT_CURRENT" hidden="1">"c429"</definedName>
    <definedName name="IQ_FIN_DIV_DEBT_LT" hidden="1">"c430"</definedName>
    <definedName name="IQ_FIN_DIV_DEBT_TOTAL" hidden="1">"c5656"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NG_CASH" hidden="1">"c1405"</definedName>
    <definedName name="IQ_FINANCING_CASH_SUPPL" hidden="1">"c1406"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DAYS_REV_OUT" hidden="1">"c5993"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SALARIES_PCT_REV" hidden="1">"c5970"</definedName>
    <definedName name="IQ_HC_SUPPLIES_PCT_REV" hidden="1">"c5971"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IGH_TARGET_PRICE" hidden="1">"c1651"</definedName>
    <definedName name="IQ_HIGH_TARGET_PRICE_REUT" hidden="1">"c5317"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" hidden="1">"c6225"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BC_ACT_OR_EST" hidden="1">"c4474"</definedName>
    <definedName name="IQ_NI_SBC_GW_ACT_OR_EST" hidden="1">"c4478"</definedName>
    <definedName name="IQ_NI_SFAS" hidden="1">"c795"</definedName>
    <definedName name="IQ_NI_STDDEV_EST" hidden="1">"c1721"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" hidden="1">"c6240"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39056.5286574074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joy" localSheetId="1">#REF!</definedName>
    <definedName name="joy" localSheetId="0">#REF!</definedName>
    <definedName name="joy" localSheetId="2">#REF!</definedName>
    <definedName name="kjh" localSheetId="1">#REF!</definedName>
    <definedName name="kjh" localSheetId="0">#REF!</definedName>
    <definedName name="kjh" localSheetId="2">#REF!</definedName>
    <definedName name="Konto">[12]Konten!$C$113:$D$157</definedName>
    <definedName name="L_Adjust">[4]Links!$H$1:$H$65536</definedName>
    <definedName name="L_AJE_Tot">[4]Links!$G$1:$G$65536</definedName>
    <definedName name="L_CY_Beg">[4]Links!$F$1:$F$65536</definedName>
    <definedName name="L_CY_End">[4]Links!$J$1:$J$65536</definedName>
    <definedName name="L_PY_End">[4]Links!$K$1:$K$65536</definedName>
    <definedName name="L_RJE_Tot">[4]Links!$I$1:$I$65536</definedName>
    <definedName name="LAST_YEAR">'[13]2008 Actual'!$A$2:$BB$502</definedName>
    <definedName name="Mapping2">'[14]GL Detail_Period'!$A$1:$M$348</definedName>
    <definedName name="MARGIN">'[15]MNC Marg (2)'!$A$1:$K$28</definedName>
    <definedName name="mil">'[16]FV by Product Detail $'!$Y$3</definedName>
    <definedName name="My" localSheetId="1">#REF!</definedName>
    <definedName name="My" localSheetId="0">#REF!</definedName>
    <definedName name="My" localSheetId="2">#REF!</definedName>
    <definedName name="MyAffilate1" localSheetId="1">#REF!</definedName>
    <definedName name="MyAffilate1" localSheetId="0">#REF!</definedName>
    <definedName name="MyAffilate1" localSheetId="2">#REF!</definedName>
    <definedName name="MyAffiliate" localSheetId="1">#REF!</definedName>
    <definedName name="MyAffiliate" localSheetId="0">#REF!</definedName>
    <definedName name="MyAffiliate" localSheetId="2">#REF!</definedName>
    <definedName name="MyAffiliate1" localSheetId="1">#REF!</definedName>
    <definedName name="MyAffiliate1" localSheetId="0">#REF!</definedName>
    <definedName name="MyAffiliate1" localSheetId="2">#REF!</definedName>
    <definedName name="MyAffiliate2" localSheetId="1">#REF!</definedName>
    <definedName name="MyAffiliate2" localSheetId="0">#REF!</definedName>
    <definedName name="MyAffiliate2" localSheetId="2">#REF!</definedName>
    <definedName name="MyAffiliate3" localSheetId="1">#REF!</definedName>
    <definedName name="MyAffiliate3" localSheetId="0">#REF!</definedName>
    <definedName name="MyAffiliate3" localSheetId="2">#REF!</definedName>
    <definedName name="New" localSheetId="1">[1]Sheet2!#REF!</definedName>
    <definedName name="New" localSheetId="0">[1]Sheet2!#REF!</definedName>
    <definedName name="New" localSheetId="2">[1]Sheet2!#REF!</definedName>
    <definedName name="OG">'[5]US Indirect COR and Prog Exp'!$C$67</definedName>
    <definedName name="oops">'[17]Detail GL Accts w.Acct Unit'!$A$3:$C$7038</definedName>
    <definedName name="Paste_Area_CPW_Overall_Ticket_Ranking" localSheetId="1">#REF!</definedName>
    <definedName name="Paste_Area_CPW_Overall_Ticket_Ranking" localSheetId="0">#REF!</definedName>
    <definedName name="Paste_Area_CPW_Overall_Ticket_Ranking" localSheetId="2">#REF!</definedName>
    <definedName name="Paste_Area_CPW_Safeway_Ticket_Card_Ranking" localSheetId="1">#REF!</definedName>
    <definedName name="Paste_Area_CPW_Safeway_Ticket_Card_Ranking" localSheetId="0">#REF!</definedName>
    <definedName name="Paste_Area_CPW_Safeway_Ticket_Card_Ranking" localSheetId="2">#REF!</definedName>
    <definedName name="Plan">[3]Plan!$A$2:$BB$502</definedName>
    <definedName name="PLAN_PTD">[3]Plan!$A$561:$BB$610</definedName>
    <definedName name="PLAN_QTD">[3]Plan!$A$613:$BB$662</definedName>
    <definedName name="PLAN_YTD">[3]Plan!$A$665:$BC$714</definedName>
    <definedName name="_xlnm.Print_Area" localSheetId="1">#REF!</definedName>
    <definedName name="_xlnm.Print_Area" localSheetId="0">'Table7 ProgFee_2014'!$A$1:$AB$133</definedName>
    <definedName name="_xlnm.Print_Area" localSheetId="2">#REF!</definedName>
    <definedName name="_xlnm.Print_Area">#REF!</definedName>
    <definedName name="_xlnm.Print_Titles" localSheetId="1">#REF!</definedName>
    <definedName name="_xlnm.Print_Titles" localSheetId="0">'Table7 ProgFee_2014'!$1:$11</definedName>
    <definedName name="_xlnm.Print_Titles" localSheetId="2">#REF!</definedName>
    <definedName name="_xlnm.Print_Titles">#REF!</definedName>
    <definedName name="PS">'[5]US Indirect COR and Prog Exp'!$C$69</definedName>
    <definedName name="Ref_7">[18]Tickmarks!$A$14</definedName>
    <definedName name="REVENUE">#N/A</definedName>
    <definedName name="S_Adjust_Data">[4]Lead!$M$1:$M$20</definedName>
    <definedName name="S_AJE_Tot_Data">[4]Lead!$J$1:$J$20</definedName>
    <definedName name="S_AJE_Tot_GT">[19]Lead!$I$204</definedName>
    <definedName name="S_CY_Beg_Data">[4]Lead!$F$1:$F$20</definedName>
    <definedName name="S_CY_Beg_GT">[19]Lead!$F$204</definedName>
    <definedName name="S_CY_End_Data">[4]Lead!$O$1:$O$20</definedName>
    <definedName name="S_CY_End_GT">[19]Lead!$N$204</definedName>
    <definedName name="S_PY_End_Data">[4]Lead!$Q$1:$Q$20</definedName>
    <definedName name="S_RJE_Tot_Data">[4]Lead!$N$1:$N$20</definedName>
    <definedName name="sdfg">'[20].0 Lead'!$L$171</definedName>
    <definedName name="Table221Field1" localSheetId="1">#REF!</definedName>
    <definedName name="Table221Field1" localSheetId="0">#REF!</definedName>
    <definedName name="Table221Field1" localSheetId="2">#REF!</definedName>
    <definedName name="TextRefCopy4" localSheetId="1">#REF!</definedName>
    <definedName name="TextRefCopy4" localSheetId="0">#REF!</definedName>
    <definedName name="TextRefCopy4" localSheetId="2">#REF!</definedName>
    <definedName name="TextRefCopyRangeCount" hidden="1">23</definedName>
    <definedName name="THIS_YEAR">'[3]2009 Actual'!$A$2:$BB$502</definedName>
    <definedName name="TICKMARK">'[15]MNC Marg (2)'!$K$74:$X$145</definedName>
    <definedName name="Total_Amount">'[21]9. Additions Xfer CMA'!$D$953</definedName>
    <definedName name="Total_PART" localSheetId="1">#REF!</definedName>
    <definedName name="Total_PART" localSheetId="0">#REF!</definedName>
    <definedName name="Total_PART" localSheetId="2">#REF!</definedName>
    <definedName name="unit">'[22]FV by Product $$'!$S$6</definedName>
    <definedName name="Units" localSheetId="1">[3]Week!#REF!</definedName>
    <definedName name="Units" localSheetId="0">[3]Week!#REF!</definedName>
    <definedName name="Units" localSheetId="2">[3]Week!#REF!</definedName>
    <definedName name="WEEK">[13]data!$B$5</definedName>
    <definedName name="XRefColumnsCount" hidden="1">11</definedName>
    <definedName name="XRefCopyRangeCount" hidden="1">8</definedName>
    <definedName name="XRefPasteRangeCount" hidden="1">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" i="6" l="1"/>
  <c r="AB400" i="2" l="1"/>
  <c r="Y400" i="2"/>
  <c r="V400" i="2"/>
  <c r="U400" i="2"/>
  <c r="R400" i="2"/>
  <c r="O400" i="2"/>
  <c r="N400" i="2"/>
  <c r="K400" i="2"/>
  <c r="H400" i="2"/>
  <c r="G400" i="2"/>
  <c r="AB399" i="2"/>
  <c r="Y399" i="2"/>
  <c r="V399" i="2"/>
  <c r="U399" i="2"/>
  <c r="R399" i="2"/>
  <c r="O399" i="2"/>
  <c r="N399" i="2"/>
  <c r="K399" i="2"/>
  <c r="H399" i="2"/>
  <c r="G399" i="2"/>
  <c r="AB398" i="2"/>
  <c r="Y398" i="2"/>
  <c r="V398" i="2"/>
  <c r="V401" i="2" s="1"/>
  <c r="U398" i="2"/>
  <c r="R398" i="2"/>
  <c r="O398" i="2"/>
  <c r="N398" i="2"/>
  <c r="K398" i="2"/>
  <c r="H398" i="2"/>
  <c r="G398" i="2"/>
  <c r="AB358" i="2"/>
  <c r="Y358" i="2"/>
  <c r="V358" i="2"/>
  <c r="U358" i="2"/>
  <c r="W358" i="2" s="1"/>
  <c r="X358" i="2" s="1"/>
  <c r="R358" i="2"/>
  <c r="O358" i="2"/>
  <c r="N358" i="2"/>
  <c r="P358" i="2" s="1"/>
  <c r="Q358" i="2" s="1"/>
  <c r="K358" i="2"/>
  <c r="H358" i="2"/>
  <c r="G358" i="2"/>
  <c r="AB354" i="2"/>
  <c r="Y354" i="2"/>
  <c r="V354" i="2"/>
  <c r="U354" i="2"/>
  <c r="W354" i="2" s="1"/>
  <c r="X354" i="2" s="1"/>
  <c r="R354" i="2"/>
  <c r="O354" i="2"/>
  <c r="N354" i="2"/>
  <c r="P354" i="2" s="1"/>
  <c r="Q354" i="2" s="1"/>
  <c r="L354" i="2"/>
  <c r="M354" i="2" s="1"/>
  <c r="K354" i="2"/>
  <c r="H354" i="2"/>
  <c r="I354" i="2" s="1"/>
  <c r="J354" i="2" s="1"/>
  <c r="G354" i="2"/>
  <c r="AB353" i="2"/>
  <c r="Z353" i="2"/>
  <c r="AA353" i="2" s="1"/>
  <c r="Y353" i="2"/>
  <c r="V353" i="2"/>
  <c r="W353" i="2" s="1"/>
  <c r="X353" i="2" s="1"/>
  <c r="U353" i="2"/>
  <c r="R353" i="2"/>
  <c r="O353" i="2"/>
  <c r="N353" i="2"/>
  <c r="K353" i="2"/>
  <c r="L353" i="2" s="1"/>
  <c r="M353" i="2" s="1"/>
  <c r="H353" i="2"/>
  <c r="G353" i="2"/>
  <c r="AB352" i="2"/>
  <c r="Y352" i="2"/>
  <c r="V352" i="2"/>
  <c r="U352" i="2"/>
  <c r="R352" i="2"/>
  <c r="O352" i="2"/>
  <c r="N352" i="2"/>
  <c r="K352" i="2"/>
  <c r="H352" i="2"/>
  <c r="G352" i="2"/>
  <c r="AB351" i="2"/>
  <c r="Y351" i="2"/>
  <c r="V351" i="2"/>
  <c r="U351" i="2"/>
  <c r="W351" i="2" s="1"/>
  <c r="X351" i="2" s="1"/>
  <c r="R351" i="2"/>
  <c r="O351" i="2"/>
  <c r="O350" i="2" s="1"/>
  <c r="N351" i="2"/>
  <c r="K351" i="2"/>
  <c r="H351" i="2"/>
  <c r="G351" i="2"/>
  <c r="Y350" i="2"/>
  <c r="U350" i="2"/>
  <c r="AB347" i="2"/>
  <c r="Y347" i="2"/>
  <c r="Z347" i="2" s="1"/>
  <c r="AA347" i="2" s="1"/>
  <c r="V347" i="2"/>
  <c r="U347" i="2"/>
  <c r="R347" i="2"/>
  <c r="O347" i="2"/>
  <c r="P347" i="2" s="1"/>
  <c r="Q347" i="2" s="1"/>
  <c r="N347" i="2"/>
  <c r="S347" i="2" s="1"/>
  <c r="T347" i="2" s="1"/>
  <c r="K347" i="2"/>
  <c r="L347" i="2" s="1"/>
  <c r="M347" i="2" s="1"/>
  <c r="H347" i="2"/>
  <c r="G347" i="2"/>
  <c r="AB346" i="2"/>
  <c r="Y346" i="2"/>
  <c r="V346" i="2"/>
  <c r="U346" i="2"/>
  <c r="R346" i="2"/>
  <c r="O346" i="2"/>
  <c r="N346" i="2"/>
  <c r="P346" i="2" s="1"/>
  <c r="Q346" i="2" s="1"/>
  <c r="K346" i="2"/>
  <c r="L346" i="2" s="1"/>
  <c r="M346" i="2" s="1"/>
  <c r="H346" i="2"/>
  <c r="G346" i="2"/>
  <c r="AB345" i="2"/>
  <c r="Y345" i="2"/>
  <c r="Z345" i="2" s="1"/>
  <c r="AA345" i="2" s="1"/>
  <c r="V345" i="2"/>
  <c r="W345" i="2" s="1"/>
  <c r="X345" i="2" s="1"/>
  <c r="U345" i="2"/>
  <c r="R345" i="2"/>
  <c r="O345" i="2"/>
  <c r="N345" i="2"/>
  <c r="P345" i="2" s="1"/>
  <c r="Q345" i="2" s="1"/>
  <c r="K345" i="2"/>
  <c r="H345" i="2"/>
  <c r="G345" i="2"/>
  <c r="L345" i="2" s="1"/>
  <c r="M345" i="2" s="1"/>
  <c r="AB344" i="2"/>
  <c r="Y344" i="2"/>
  <c r="V344" i="2"/>
  <c r="U344" i="2"/>
  <c r="W344" i="2" s="1"/>
  <c r="X344" i="2" s="1"/>
  <c r="R344" i="2"/>
  <c r="O344" i="2"/>
  <c r="N344" i="2"/>
  <c r="K344" i="2"/>
  <c r="H344" i="2"/>
  <c r="G344" i="2"/>
  <c r="AB340" i="2"/>
  <c r="AB339" i="2" s="1"/>
  <c r="Y340" i="2"/>
  <c r="Y339" i="2" s="1"/>
  <c r="V340" i="2"/>
  <c r="V339" i="2" s="1"/>
  <c r="U340" i="2"/>
  <c r="R340" i="2"/>
  <c r="O340" i="2"/>
  <c r="N340" i="2"/>
  <c r="K340" i="2"/>
  <c r="H340" i="2"/>
  <c r="G340" i="2"/>
  <c r="O339" i="2"/>
  <c r="G339" i="2"/>
  <c r="AB336" i="2"/>
  <c r="Y336" i="2"/>
  <c r="V336" i="2"/>
  <c r="U336" i="2"/>
  <c r="R336" i="2"/>
  <c r="O336" i="2"/>
  <c r="N336" i="2"/>
  <c r="K336" i="2"/>
  <c r="L336" i="2" s="1"/>
  <c r="M336" i="2" s="1"/>
  <c r="H336" i="2"/>
  <c r="G336" i="2"/>
  <c r="AB333" i="2"/>
  <c r="Y333" i="2"/>
  <c r="V333" i="2"/>
  <c r="U333" i="2"/>
  <c r="W333" i="2" s="1"/>
  <c r="X333" i="2" s="1"/>
  <c r="R333" i="2"/>
  <c r="O333" i="2"/>
  <c r="N333" i="2"/>
  <c r="K333" i="2"/>
  <c r="L333" i="2" s="1"/>
  <c r="M333" i="2" s="1"/>
  <c r="H333" i="2"/>
  <c r="G333" i="2"/>
  <c r="I333" i="2" s="1"/>
  <c r="J333" i="2" s="1"/>
  <c r="AB330" i="2"/>
  <c r="Y330" i="2"/>
  <c r="V330" i="2"/>
  <c r="U330" i="2"/>
  <c r="R330" i="2"/>
  <c r="R328" i="2" s="1"/>
  <c r="O330" i="2"/>
  <c r="N330" i="2"/>
  <c r="K330" i="2"/>
  <c r="H330" i="2"/>
  <c r="G330" i="2"/>
  <c r="AB329" i="2"/>
  <c r="AB328" i="2" s="1"/>
  <c r="Y329" i="2"/>
  <c r="V329" i="2"/>
  <c r="V328" i="2" s="1"/>
  <c r="U329" i="2"/>
  <c r="R329" i="2"/>
  <c r="O329" i="2"/>
  <c r="N329" i="2"/>
  <c r="P329" i="2" s="1"/>
  <c r="Q329" i="2" s="1"/>
  <c r="K329" i="2"/>
  <c r="H329" i="2"/>
  <c r="G329" i="2"/>
  <c r="L329" i="2" s="1"/>
  <c r="M329" i="2" s="1"/>
  <c r="AB325" i="2"/>
  <c r="Y325" i="2"/>
  <c r="V325" i="2"/>
  <c r="U325" i="2"/>
  <c r="W325" i="2" s="1"/>
  <c r="X325" i="2" s="1"/>
  <c r="R325" i="2"/>
  <c r="O325" i="2"/>
  <c r="N325" i="2"/>
  <c r="K325" i="2"/>
  <c r="H325" i="2"/>
  <c r="G325" i="2"/>
  <c r="AB324" i="2"/>
  <c r="Y324" i="2"/>
  <c r="V324" i="2"/>
  <c r="U324" i="2"/>
  <c r="R324" i="2"/>
  <c r="S324" i="2" s="1"/>
  <c r="T324" i="2" s="1"/>
  <c r="O324" i="2"/>
  <c r="N324" i="2"/>
  <c r="P324" i="2" s="1"/>
  <c r="Q324" i="2" s="1"/>
  <c r="K324" i="2"/>
  <c r="H324" i="2"/>
  <c r="G324" i="2"/>
  <c r="AB323" i="2"/>
  <c r="Y323" i="2"/>
  <c r="Z323" i="2" s="1"/>
  <c r="AA323" i="2" s="1"/>
  <c r="X323" i="2"/>
  <c r="V323" i="2"/>
  <c r="U323" i="2"/>
  <c r="W323" i="2" s="1"/>
  <c r="R323" i="2"/>
  <c r="O323" i="2"/>
  <c r="P323" i="2" s="1"/>
  <c r="Q323" i="2" s="1"/>
  <c r="N323" i="2"/>
  <c r="L323" i="2"/>
  <c r="M323" i="2" s="1"/>
  <c r="K323" i="2"/>
  <c r="H323" i="2"/>
  <c r="G323" i="2"/>
  <c r="AB322" i="2"/>
  <c r="Y322" i="2"/>
  <c r="V322" i="2"/>
  <c r="U322" i="2"/>
  <c r="W322" i="2" s="1"/>
  <c r="X322" i="2" s="1"/>
  <c r="R322" i="2"/>
  <c r="O322" i="2"/>
  <c r="N322" i="2"/>
  <c r="K322" i="2"/>
  <c r="H322" i="2"/>
  <c r="I322" i="2" s="1"/>
  <c r="J322" i="2" s="1"/>
  <c r="G322" i="2"/>
  <c r="G321" i="2"/>
  <c r="AB318" i="2"/>
  <c r="Y318" i="2"/>
  <c r="Z318" i="2" s="1"/>
  <c r="AA318" i="2" s="1"/>
  <c r="V318" i="2"/>
  <c r="U318" i="2"/>
  <c r="R318" i="2"/>
  <c r="O318" i="2"/>
  <c r="N318" i="2"/>
  <c r="K318" i="2"/>
  <c r="H318" i="2"/>
  <c r="G318" i="2"/>
  <c r="AB315" i="2"/>
  <c r="Y315" i="2"/>
  <c r="Z315" i="2" s="1"/>
  <c r="AA315" i="2" s="1"/>
  <c r="V315" i="2"/>
  <c r="U315" i="2"/>
  <c r="W315" i="2" s="1"/>
  <c r="X315" i="2" s="1"/>
  <c r="R315" i="2"/>
  <c r="S315" i="2" s="1"/>
  <c r="T315" i="2" s="1"/>
  <c r="O315" i="2"/>
  <c r="N315" i="2"/>
  <c r="K315" i="2"/>
  <c r="H315" i="2"/>
  <c r="G315" i="2"/>
  <c r="AB314" i="2"/>
  <c r="Y314" i="2"/>
  <c r="Z314" i="2" s="1"/>
  <c r="AA314" i="2" s="1"/>
  <c r="V314" i="2"/>
  <c r="U314" i="2"/>
  <c r="R314" i="2"/>
  <c r="O314" i="2"/>
  <c r="N314" i="2"/>
  <c r="K314" i="2"/>
  <c r="H314" i="2"/>
  <c r="G314" i="2"/>
  <c r="I314" i="2" s="1"/>
  <c r="J314" i="2" s="1"/>
  <c r="AB313" i="2"/>
  <c r="Y313" i="2"/>
  <c r="V313" i="2"/>
  <c r="U313" i="2"/>
  <c r="R313" i="2"/>
  <c r="S313" i="2" s="1"/>
  <c r="T313" i="2" s="1"/>
  <c r="O313" i="2"/>
  <c r="N313" i="2"/>
  <c r="P313" i="2" s="1"/>
  <c r="Q313" i="2" s="1"/>
  <c r="K313" i="2"/>
  <c r="H313" i="2"/>
  <c r="G313" i="2"/>
  <c r="AB312" i="2"/>
  <c r="Y312" i="2"/>
  <c r="V312" i="2"/>
  <c r="U312" i="2"/>
  <c r="Z312" i="2" s="1"/>
  <c r="AA312" i="2" s="1"/>
  <c r="R312" i="2"/>
  <c r="O312" i="2"/>
  <c r="N312" i="2"/>
  <c r="P312" i="2" s="1"/>
  <c r="Q312" i="2" s="1"/>
  <c r="K312" i="2"/>
  <c r="L312" i="2" s="1"/>
  <c r="M312" i="2" s="1"/>
  <c r="H312" i="2"/>
  <c r="I312" i="2" s="1"/>
  <c r="J312" i="2" s="1"/>
  <c r="G312" i="2"/>
  <c r="AB311" i="2"/>
  <c r="Z311" i="2"/>
  <c r="AA311" i="2" s="1"/>
  <c r="Y311" i="2"/>
  <c r="V311" i="2"/>
  <c r="W311" i="2" s="1"/>
  <c r="X311" i="2" s="1"/>
  <c r="U311" i="2"/>
  <c r="R311" i="2"/>
  <c r="O311" i="2"/>
  <c r="N311" i="2"/>
  <c r="K311" i="2"/>
  <c r="L311" i="2" s="1"/>
  <c r="M311" i="2" s="1"/>
  <c r="H311" i="2"/>
  <c r="G311" i="2"/>
  <c r="AB310" i="2"/>
  <c r="Y310" i="2"/>
  <c r="V310" i="2"/>
  <c r="U310" i="2"/>
  <c r="R310" i="2"/>
  <c r="O310" i="2"/>
  <c r="N310" i="2"/>
  <c r="K310" i="2"/>
  <c r="H310" i="2"/>
  <c r="G310" i="2"/>
  <c r="AB309" i="2"/>
  <c r="Y309" i="2"/>
  <c r="Z309" i="2" s="1"/>
  <c r="AA309" i="2" s="1"/>
  <c r="V309" i="2"/>
  <c r="W309" i="2" s="1"/>
  <c r="X309" i="2" s="1"/>
  <c r="U309" i="2"/>
  <c r="R309" i="2"/>
  <c r="O309" i="2"/>
  <c r="N309" i="2"/>
  <c r="K309" i="2"/>
  <c r="L309" i="2" s="1"/>
  <c r="M309" i="2" s="1"/>
  <c r="H309" i="2"/>
  <c r="G309" i="2"/>
  <c r="I309" i="2" s="1"/>
  <c r="J309" i="2" s="1"/>
  <c r="AB308" i="2"/>
  <c r="Y308" i="2"/>
  <c r="V308" i="2"/>
  <c r="U308" i="2"/>
  <c r="R308" i="2"/>
  <c r="S308" i="2" s="1"/>
  <c r="T308" i="2" s="1"/>
  <c r="O308" i="2"/>
  <c r="N308" i="2"/>
  <c r="K308" i="2"/>
  <c r="J308" i="2"/>
  <c r="H308" i="2"/>
  <c r="G308" i="2"/>
  <c r="I308" i="2" s="1"/>
  <c r="AB307" i="2"/>
  <c r="Y307" i="2"/>
  <c r="Z307" i="2" s="1"/>
  <c r="AA307" i="2" s="1"/>
  <c r="V307" i="2"/>
  <c r="U307" i="2"/>
  <c r="R307" i="2"/>
  <c r="S307" i="2" s="1"/>
  <c r="T307" i="2" s="1"/>
  <c r="O307" i="2"/>
  <c r="P307" i="2" s="1"/>
  <c r="Q307" i="2" s="1"/>
  <c r="N307" i="2"/>
  <c r="K307" i="2"/>
  <c r="H307" i="2"/>
  <c r="G307" i="2"/>
  <c r="L307" i="2" s="1"/>
  <c r="M307" i="2" s="1"/>
  <c r="AB306" i="2"/>
  <c r="Y306" i="2"/>
  <c r="Z306" i="2" s="1"/>
  <c r="AA306" i="2" s="1"/>
  <c r="V306" i="2"/>
  <c r="U306" i="2"/>
  <c r="R306" i="2"/>
  <c r="O306" i="2"/>
  <c r="N306" i="2"/>
  <c r="L306" i="2"/>
  <c r="M306" i="2" s="1"/>
  <c r="K306" i="2"/>
  <c r="H306" i="2"/>
  <c r="I306" i="2" s="1"/>
  <c r="J306" i="2" s="1"/>
  <c r="G306" i="2"/>
  <c r="AB305" i="2"/>
  <c r="Y305" i="2"/>
  <c r="V305" i="2"/>
  <c r="W305" i="2" s="1"/>
  <c r="X305" i="2" s="1"/>
  <c r="U305" i="2"/>
  <c r="R305" i="2"/>
  <c r="S305" i="2" s="1"/>
  <c r="T305" i="2" s="1"/>
  <c r="O305" i="2"/>
  <c r="N305" i="2"/>
  <c r="K305" i="2"/>
  <c r="H305" i="2"/>
  <c r="G305" i="2"/>
  <c r="AB304" i="2"/>
  <c r="Y304" i="2"/>
  <c r="Z304" i="2" s="1"/>
  <c r="AA304" i="2" s="1"/>
  <c r="V304" i="2"/>
  <c r="U304" i="2"/>
  <c r="R304" i="2"/>
  <c r="O304" i="2"/>
  <c r="N304" i="2"/>
  <c r="L304" i="2"/>
  <c r="M304" i="2" s="1"/>
  <c r="K304" i="2"/>
  <c r="H304" i="2"/>
  <c r="G304" i="2"/>
  <c r="AB300" i="2"/>
  <c r="Y300" i="2"/>
  <c r="V300" i="2"/>
  <c r="U300" i="2"/>
  <c r="Z300" i="2" s="1"/>
  <c r="AA300" i="2" s="1"/>
  <c r="R300" i="2"/>
  <c r="O300" i="2"/>
  <c r="N300" i="2"/>
  <c r="P300" i="2" s="1"/>
  <c r="Q300" i="2" s="1"/>
  <c r="L300" i="2"/>
  <c r="M300" i="2" s="1"/>
  <c r="K300" i="2"/>
  <c r="H300" i="2"/>
  <c r="I300" i="2" s="1"/>
  <c r="J300" i="2" s="1"/>
  <c r="G300" i="2"/>
  <c r="AB299" i="2"/>
  <c r="Z299" i="2"/>
  <c r="AA299" i="2" s="1"/>
  <c r="Y299" i="2"/>
  <c r="V299" i="2"/>
  <c r="W299" i="2" s="1"/>
  <c r="X299" i="2" s="1"/>
  <c r="U299" i="2"/>
  <c r="R299" i="2"/>
  <c r="O299" i="2"/>
  <c r="N299" i="2"/>
  <c r="L299" i="2"/>
  <c r="M299" i="2" s="1"/>
  <c r="K299" i="2"/>
  <c r="H299" i="2"/>
  <c r="G299" i="2"/>
  <c r="AB298" i="2"/>
  <c r="Y298" i="2"/>
  <c r="V298" i="2"/>
  <c r="U298" i="2"/>
  <c r="R298" i="2"/>
  <c r="O298" i="2"/>
  <c r="N298" i="2"/>
  <c r="K298" i="2"/>
  <c r="I298" i="2"/>
  <c r="J298" i="2" s="1"/>
  <c r="H298" i="2"/>
  <c r="G298" i="2"/>
  <c r="AB297" i="2"/>
  <c r="Y297" i="2"/>
  <c r="V297" i="2"/>
  <c r="U297" i="2"/>
  <c r="S297" i="2"/>
  <c r="T297" i="2" s="1"/>
  <c r="R297" i="2"/>
  <c r="O297" i="2"/>
  <c r="N297" i="2"/>
  <c r="K297" i="2"/>
  <c r="H297" i="2"/>
  <c r="G297" i="2"/>
  <c r="AB296" i="2"/>
  <c r="Y296" i="2"/>
  <c r="Z296" i="2" s="1"/>
  <c r="AA296" i="2" s="1"/>
  <c r="V296" i="2"/>
  <c r="U296" i="2"/>
  <c r="R296" i="2"/>
  <c r="O296" i="2"/>
  <c r="N296" i="2"/>
  <c r="P296" i="2" s="1"/>
  <c r="Q296" i="2" s="1"/>
  <c r="K296" i="2"/>
  <c r="H296" i="2"/>
  <c r="G296" i="2"/>
  <c r="AB295" i="2"/>
  <c r="Y295" i="2"/>
  <c r="V295" i="2"/>
  <c r="U295" i="2"/>
  <c r="T295" i="2"/>
  <c r="R295" i="2"/>
  <c r="S295" i="2" s="1"/>
  <c r="O295" i="2"/>
  <c r="N295" i="2"/>
  <c r="K295" i="2"/>
  <c r="L295" i="2" s="1"/>
  <c r="M295" i="2" s="1"/>
  <c r="H295" i="2"/>
  <c r="G295" i="2"/>
  <c r="AB294" i="2"/>
  <c r="Y294" i="2"/>
  <c r="Z294" i="2" s="1"/>
  <c r="AA294" i="2" s="1"/>
  <c r="V294" i="2"/>
  <c r="U294" i="2"/>
  <c r="R294" i="2"/>
  <c r="O294" i="2"/>
  <c r="N294" i="2"/>
  <c r="K294" i="2"/>
  <c r="H294" i="2"/>
  <c r="I294" i="2" s="1"/>
  <c r="J294" i="2" s="1"/>
  <c r="G294" i="2"/>
  <c r="L294" i="2" s="1"/>
  <c r="M294" i="2" s="1"/>
  <c r="AB293" i="2"/>
  <c r="Y293" i="2"/>
  <c r="V293" i="2"/>
  <c r="U293" i="2"/>
  <c r="R293" i="2"/>
  <c r="O293" i="2"/>
  <c r="N293" i="2"/>
  <c r="P293" i="2" s="1"/>
  <c r="Q293" i="2" s="1"/>
  <c r="K293" i="2"/>
  <c r="L293" i="2" s="1"/>
  <c r="M293" i="2" s="1"/>
  <c r="H293" i="2"/>
  <c r="G293" i="2"/>
  <c r="AB292" i="2"/>
  <c r="Y292" i="2"/>
  <c r="Z292" i="2" s="1"/>
  <c r="AA292" i="2" s="1"/>
  <c r="V292" i="2"/>
  <c r="U292" i="2"/>
  <c r="R292" i="2"/>
  <c r="O292" i="2"/>
  <c r="N292" i="2"/>
  <c r="K292" i="2"/>
  <c r="H292" i="2"/>
  <c r="G292" i="2"/>
  <c r="L292" i="2" s="1"/>
  <c r="M292" i="2" s="1"/>
  <c r="AB286" i="2"/>
  <c r="Y286" i="2"/>
  <c r="X286" i="2"/>
  <c r="W286" i="2"/>
  <c r="V286" i="2"/>
  <c r="U286" i="2"/>
  <c r="Z286" i="2" s="1"/>
  <c r="AA286" i="2" s="1"/>
  <c r="S286" i="2"/>
  <c r="T286" i="2" s="1"/>
  <c r="R286" i="2"/>
  <c r="O286" i="2"/>
  <c r="N286" i="2"/>
  <c r="K286" i="2"/>
  <c r="H286" i="2"/>
  <c r="G286" i="2"/>
  <c r="AB282" i="2"/>
  <c r="Y282" i="2"/>
  <c r="V282" i="2"/>
  <c r="U282" i="2"/>
  <c r="R282" i="2"/>
  <c r="O282" i="2"/>
  <c r="N282" i="2"/>
  <c r="K282" i="2"/>
  <c r="L282" i="2" s="1"/>
  <c r="M282" i="2" s="1"/>
  <c r="H282" i="2"/>
  <c r="G282" i="2"/>
  <c r="AB281" i="2"/>
  <c r="Y281" i="2"/>
  <c r="V281" i="2"/>
  <c r="U281" i="2"/>
  <c r="W281" i="2" s="1"/>
  <c r="X281" i="2" s="1"/>
  <c r="R281" i="2"/>
  <c r="O281" i="2"/>
  <c r="N281" i="2"/>
  <c r="K281" i="2"/>
  <c r="H281" i="2"/>
  <c r="G281" i="2"/>
  <c r="AB280" i="2"/>
  <c r="Y280" i="2"/>
  <c r="V280" i="2"/>
  <c r="U280" i="2"/>
  <c r="R280" i="2"/>
  <c r="O280" i="2"/>
  <c r="N280" i="2"/>
  <c r="K280" i="2"/>
  <c r="H280" i="2"/>
  <c r="G280" i="2"/>
  <c r="AB279" i="2"/>
  <c r="Y279" i="2"/>
  <c r="Z279" i="2" s="1"/>
  <c r="AA279" i="2" s="1"/>
  <c r="V279" i="2"/>
  <c r="U279" i="2"/>
  <c r="W279" i="2" s="1"/>
  <c r="X279" i="2" s="1"/>
  <c r="R279" i="2"/>
  <c r="O279" i="2"/>
  <c r="N279" i="2"/>
  <c r="K279" i="2"/>
  <c r="H279" i="2"/>
  <c r="G279" i="2"/>
  <c r="AB275" i="2"/>
  <c r="Y275" i="2"/>
  <c r="V275" i="2"/>
  <c r="U275" i="2"/>
  <c r="W275" i="2" s="1"/>
  <c r="X275" i="2" s="1"/>
  <c r="R275" i="2"/>
  <c r="O275" i="2"/>
  <c r="N275" i="2"/>
  <c r="K275" i="2"/>
  <c r="H275" i="2"/>
  <c r="G275" i="2"/>
  <c r="AB274" i="2"/>
  <c r="Y274" i="2"/>
  <c r="Z274" i="2" s="1"/>
  <c r="AA274" i="2" s="1"/>
  <c r="V274" i="2"/>
  <c r="U274" i="2"/>
  <c r="R274" i="2"/>
  <c r="S274" i="2" s="1"/>
  <c r="T274" i="2" s="1"/>
  <c r="O274" i="2"/>
  <c r="N274" i="2"/>
  <c r="K274" i="2"/>
  <c r="I274" i="2"/>
  <c r="J274" i="2" s="1"/>
  <c r="H274" i="2"/>
  <c r="G274" i="2"/>
  <c r="AB273" i="2"/>
  <c r="Y273" i="2"/>
  <c r="V273" i="2"/>
  <c r="U273" i="2"/>
  <c r="S273" i="2"/>
  <c r="T273" i="2" s="1"/>
  <c r="R273" i="2"/>
  <c r="O273" i="2"/>
  <c r="N273" i="2"/>
  <c r="K273" i="2"/>
  <c r="H273" i="2"/>
  <c r="G273" i="2"/>
  <c r="AB272" i="2"/>
  <c r="Y272" i="2"/>
  <c r="V272" i="2"/>
  <c r="U272" i="2"/>
  <c r="W272" i="2" s="1"/>
  <c r="X272" i="2" s="1"/>
  <c r="R272" i="2"/>
  <c r="O272" i="2"/>
  <c r="N272" i="2"/>
  <c r="K272" i="2"/>
  <c r="L272" i="2" s="1"/>
  <c r="M272" i="2" s="1"/>
  <c r="H272" i="2"/>
  <c r="G272" i="2"/>
  <c r="AB271" i="2"/>
  <c r="Y271" i="2"/>
  <c r="V271" i="2"/>
  <c r="U271" i="2"/>
  <c r="W271" i="2" s="1"/>
  <c r="X271" i="2" s="1"/>
  <c r="R271" i="2"/>
  <c r="S271" i="2" s="1"/>
  <c r="T271" i="2" s="1"/>
  <c r="O271" i="2"/>
  <c r="N271" i="2"/>
  <c r="K271" i="2"/>
  <c r="H271" i="2"/>
  <c r="G271" i="2"/>
  <c r="AB270" i="2"/>
  <c r="Y270" i="2"/>
  <c r="Z270" i="2" s="1"/>
  <c r="AA270" i="2" s="1"/>
  <c r="V270" i="2"/>
  <c r="U270" i="2"/>
  <c r="R270" i="2"/>
  <c r="O270" i="2"/>
  <c r="N270" i="2"/>
  <c r="P270" i="2" s="1"/>
  <c r="Q270" i="2" s="1"/>
  <c r="K270" i="2"/>
  <c r="L270" i="2" s="1"/>
  <c r="M270" i="2" s="1"/>
  <c r="H270" i="2"/>
  <c r="G270" i="2"/>
  <c r="AB269" i="2"/>
  <c r="Y269" i="2"/>
  <c r="Z269" i="2" s="1"/>
  <c r="AA269" i="2" s="1"/>
  <c r="V269" i="2"/>
  <c r="U269" i="2"/>
  <c r="R269" i="2"/>
  <c r="O269" i="2"/>
  <c r="N269" i="2"/>
  <c r="K269" i="2"/>
  <c r="L269" i="2" s="1"/>
  <c r="M269" i="2" s="1"/>
  <c r="H269" i="2"/>
  <c r="G269" i="2"/>
  <c r="AB268" i="2"/>
  <c r="Y268" i="2"/>
  <c r="V268" i="2"/>
  <c r="U268" i="2"/>
  <c r="R268" i="2"/>
  <c r="O268" i="2"/>
  <c r="N268" i="2"/>
  <c r="K268" i="2"/>
  <c r="H268" i="2"/>
  <c r="G268" i="2"/>
  <c r="AB264" i="2"/>
  <c r="Y264" i="2"/>
  <c r="V264" i="2"/>
  <c r="U264" i="2"/>
  <c r="R264" i="2"/>
  <c r="O264" i="2"/>
  <c r="N264" i="2"/>
  <c r="K264" i="2"/>
  <c r="I264" i="2"/>
  <c r="J264" i="2" s="1"/>
  <c r="H264" i="2"/>
  <c r="G264" i="2"/>
  <c r="AB261" i="2"/>
  <c r="AB260" i="2" s="1"/>
  <c r="Y261" i="2"/>
  <c r="Y260" i="2" s="1"/>
  <c r="V261" i="2"/>
  <c r="U261" i="2"/>
  <c r="R261" i="2"/>
  <c r="R260" i="2" s="1"/>
  <c r="P261" i="2"/>
  <c r="Q261" i="2" s="1"/>
  <c r="O261" i="2"/>
  <c r="O260" i="2" s="1"/>
  <c r="N261" i="2"/>
  <c r="K261" i="2"/>
  <c r="H261" i="2"/>
  <c r="H260" i="2" s="1"/>
  <c r="G261" i="2"/>
  <c r="V260" i="2"/>
  <c r="N260" i="2"/>
  <c r="AB257" i="2"/>
  <c r="Y257" i="2"/>
  <c r="V257" i="2"/>
  <c r="U257" i="2"/>
  <c r="W257" i="2" s="1"/>
  <c r="X257" i="2" s="1"/>
  <c r="R257" i="2"/>
  <c r="O257" i="2"/>
  <c r="N257" i="2"/>
  <c r="P257" i="2" s="1"/>
  <c r="Q257" i="2" s="1"/>
  <c r="K257" i="2"/>
  <c r="L257" i="2" s="1"/>
  <c r="M257" i="2" s="1"/>
  <c r="H257" i="2"/>
  <c r="G257" i="2"/>
  <c r="AB254" i="2"/>
  <c r="AB253" i="2" s="1"/>
  <c r="Y254" i="2"/>
  <c r="V254" i="2"/>
  <c r="V253" i="2" s="1"/>
  <c r="U254" i="2"/>
  <c r="R254" i="2"/>
  <c r="O254" i="2"/>
  <c r="O253" i="2" s="1"/>
  <c r="N254" i="2"/>
  <c r="K254" i="2"/>
  <c r="K253" i="2" s="1"/>
  <c r="L253" i="2" s="1"/>
  <c r="M253" i="2" s="1"/>
  <c r="H254" i="2"/>
  <c r="H253" i="2" s="1"/>
  <c r="G254" i="2"/>
  <c r="G253" i="2"/>
  <c r="AB250" i="2"/>
  <c r="Y250" i="2"/>
  <c r="V250" i="2"/>
  <c r="U250" i="2"/>
  <c r="W250" i="2" s="1"/>
  <c r="X250" i="2" s="1"/>
  <c r="R250" i="2"/>
  <c r="S250" i="2" s="1"/>
  <c r="T250" i="2" s="1"/>
  <c r="O250" i="2"/>
  <c r="N250" i="2"/>
  <c r="K250" i="2"/>
  <c r="H250" i="2"/>
  <c r="G250" i="2"/>
  <c r="AB249" i="2"/>
  <c r="Y249" i="2"/>
  <c r="W249" i="2"/>
  <c r="X249" i="2" s="1"/>
  <c r="V249" i="2"/>
  <c r="U249" i="2"/>
  <c r="R249" i="2"/>
  <c r="O249" i="2"/>
  <c r="N249" i="2"/>
  <c r="K249" i="2"/>
  <c r="H249" i="2"/>
  <c r="G249" i="2"/>
  <c r="AB248" i="2"/>
  <c r="Y248" i="2"/>
  <c r="V248" i="2"/>
  <c r="U248" i="2"/>
  <c r="R248" i="2"/>
  <c r="O248" i="2"/>
  <c r="N248" i="2"/>
  <c r="K248" i="2"/>
  <c r="L248" i="2" s="1"/>
  <c r="M248" i="2" s="1"/>
  <c r="H248" i="2"/>
  <c r="G248" i="2"/>
  <c r="AB244" i="2"/>
  <c r="Z244" i="2"/>
  <c r="AA244" i="2" s="1"/>
  <c r="Y244" i="2"/>
  <c r="V244" i="2"/>
  <c r="U244" i="2"/>
  <c r="R244" i="2"/>
  <c r="O244" i="2"/>
  <c r="N244" i="2"/>
  <c r="K244" i="2"/>
  <c r="H244" i="2"/>
  <c r="G244" i="2"/>
  <c r="I244" i="2" s="1"/>
  <c r="J244" i="2" s="1"/>
  <c r="AB241" i="2"/>
  <c r="Y241" i="2"/>
  <c r="V241" i="2"/>
  <c r="U241" i="2"/>
  <c r="R241" i="2"/>
  <c r="O241" i="2"/>
  <c r="N241" i="2"/>
  <c r="P241" i="2" s="1"/>
  <c r="Q241" i="2" s="1"/>
  <c r="L241" i="2"/>
  <c r="M241" i="2" s="1"/>
  <c r="K241" i="2"/>
  <c r="H241" i="2"/>
  <c r="G241" i="2"/>
  <c r="AB240" i="2"/>
  <c r="Z240" i="2"/>
  <c r="AA240" i="2" s="1"/>
  <c r="Y240" i="2"/>
  <c r="V240" i="2"/>
  <c r="U240" i="2"/>
  <c r="R240" i="2"/>
  <c r="O240" i="2"/>
  <c r="N240" i="2"/>
  <c r="K240" i="2"/>
  <c r="H240" i="2"/>
  <c r="G240" i="2"/>
  <c r="I240" i="2" s="1"/>
  <c r="J240" i="2" s="1"/>
  <c r="AB239" i="2"/>
  <c r="Y239" i="2"/>
  <c r="V239" i="2"/>
  <c r="W239" i="2" s="1"/>
  <c r="X239" i="2" s="1"/>
  <c r="U239" i="2"/>
  <c r="Z239" i="2" s="1"/>
  <c r="AA239" i="2" s="1"/>
  <c r="R239" i="2"/>
  <c r="S239" i="2" s="1"/>
  <c r="T239" i="2" s="1"/>
  <c r="O239" i="2"/>
  <c r="N239" i="2"/>
  <c r="P239" i="2" s="1"/>
  <c r="Q239" i="2" s="1"/>
  <c r="K239" i="2"/>
  <c r="H239" i="2"/>
  <c r="G239" i="2"/>
  <c r="AB238" i="2"/>
  <c r="Y238" i="2"/>
  <c r="Z238" i="2" s="1"/>
  <c r="AA238" i="2" s="1"/>
  <c r="V238" i="2"/>
  <c r="U238" i="2"/>
  <c r="R238" i="2"/>
  <c r="O238" i="2"/>
  <c r="N238" i="2"/>
  <c r="K238" i="2"/>
  <c r="L238" i="2" s="1"/>
  <c r="M238" i="2" s="1"/>
  <c r="H238" i="2"/>
  <c r="I238" i="2" s="1"/>
  <c r="J238" i="2" s="1"/>
  <c r="G238" i="2"/>
  <c r="AB237" i="2"/>
  <c r="Y237" i="2"/>
  <c r="Z237" i="2" s="1"/>
  <c r="AA237" i="2" s="1"/>
  <c r="V237" i="2"/>
  <c r="U237" i="2"/>
  <c r="W237" i="2" s="1"/>
  <c r="X237" i="2" s="1"/>
  <c r="R237" i="2"/>
  <c r="O237" i="2"/>
  <c r="N237" i="2"/>
  <c r="L237" i="2"/>
  <c r="M237" i="2" s="1"/>
  <c r="K237" i="2"/>
  <c r="H237" i="2"/>
  <c r="G237" i="2"/>
  <c r="AB236" i="2"/>
  <c r="Y236" i="2"/>
  <c r="Z236" i="2" s="1"/>
  <c r="AA236" i="2" s="1"/>
  <c r="V236" i="2"/>
  <c r="U236" i="2"/>
  <c r="R236" i="2"/>
  <c r="O236" i="2"/>
  <c r="N236" i="2"/>
  <c r="K236" i="2"/>
  <c r="H236" i="2"/>
  <c r="G236" i="2"/>
  <c r="AB235" i="2"/>
  <c r="Y235" i="2"/>
  <c r="V235" i="2"/>
  <c r="U235" i="2"/>
  <c r="R235" i="2"/>
  <c r="S235" i="2" s="1"/>
  <c r="T235" i="2" s="1"/>
  <c r="P235" i="2"/>
  <c r="Q235" i="2" s="1"/>
  <c r="O235" i="2"/>
  <c r="N235" i="2"/>
  <c r="K235" i="2"/>
  <c r="H235" i="2"/>
  <c r="G235" i="2"/>
  <c r="AB234" i="2"/>
  <c r="Z234" i="2"/>
  <c r="AA234" i="2" s="1"/>
  <c r="Y234" i="2"/>
  <c r="V234" i="2"/>
  <c r="U234" i="2"/>
  <c r="R234" i="2"/>
  <c r="O234" i="2"/>
  <c r="N234" i="2"/>
  <c r="K234" i="2"/>
  <c r="H234" i="2"/>
  <c r="G234" i="2"/>
  <c r="AB230" i="2"/>
  <c r="Y230" i="2"/>
  <c r="V230" i="2"/>
  <c r="U230" i="2"/>
  <c r="R230" i="2"/>
  <c r="O230" i="2"/>
  <c r="N230" i="2"/>
  <c r="K230" i="2"/>
  <c r="L230" i="2" s="1"/>
  <c r="M230" i="2" s="1"/>
  <c r="H230" i="2"/>
  <c r="G230" i="2"/>
  <c r="I230" i="2" s="1"/>
  <c r="J230" i="2" s="1"/>
  <c r="AB229" i="2"/>
  <c r="Y229" i="2"/>
  <c r="V229" i="2"/>
  <c r="U229" i="2"/>
  <c r="W229" i="2" s="1"/>
  <c r="X229" i="2" s="1"/>
  <c r="R229" i="2"/>
  <c r="S229" i="2" s="1"/>
  <c r="T229" i="2" s="1"/>
  <c r="O229" i="2"/>
  <c r="N229" i="2"/>
  <c r="P229" i="2" s="1"/>
  <c r="Q229" i="2" s="1"/>
  <c r="K229" i="2"/>
  <c r="L229" i="2" s="1"/>
  <c r="M229" i="2" s="1"/>
  <c r="H229" i="2"/>
  <c r="G229" i="2"/>
  <c r="I229" i="2" s="1"/>
  <c r="J229" i="2" s="1"/>
  <c r="AB228" i="2"/>
  <c r="Y228" i="2"/>
  <c r="Z228" i="2" s="1"/>
  <c r="AA228" i="2" s="1"/>
  <c r="V228" i="2"/>
  <c r="U228" i="2"/>
  <c r="R228" i="2"/>
  <c r="O228" i="2"/>
  <c r="N228" i="2"/>
  <c r="K228" i="2"/>
  <c r="H228" i="2"/>
  <c r="G228" i="2"/>
  <c r="I228" i="2" s="1"/>
  <c r="J228" i="2" s="1"/>
  <c r="AB227" i="2"/>
  <c r="Z227" i="2"/>
  <c r="AA227" i="2" s="1"/>
  <c r="Y227" i="2"/>
  <c r="V227" i="2"/>
  <c r="U227" i="2"/>
  <c r="R227" i="2"/>
  <c r="O227" i="2"/>
  <c r="P227" i="2" s="1"/>
  <c r="Q227" i="2" s="1"/>
  <c r="N227" i="2"/>
  <c r="L227" i="2"/>
  <c r="M227" i="2" s="1"/>
  <c r="K227" i="2"/>
  <c r="H227" i="2"/>
  <c r="G227" i="2"/>
  <c r="I227" i="2" s="1"/>
  <c r="J227" i="2" s="1"/>
  <c r="AB226" i="2"/>
  <c r="Y226" i="2"/>
  <c r="Z226" i="2" s="1"/>
  <c r="AA226" i="2" s="1"/>
  <c r="V226" i="2"/>
  <c r="U226" i="2"/>
  <c r="W226" i="2" s="1"/>
  <c r="X226" i="2" s="1"/>
  <c r="R226" i="2"/>
  <c r="O226" i="2"/>
  <c r="N226" i="2"/>
  <c r="P226" i="2" s="1"/>
  <c r="Q226" i="2" s="1"/>
  <c r="K226" i="2"/>
  <c r="L226" i="2" s="1"/>
  <c r="M226" i="2" s="1"/>
  <c r="H226" i="2"/>
  <c r="G226" i="2"/>
  <c r="AB225" i="2"/>
  <c r="Y225" i="2"/>
  <c r="V225" i="2"/>
  <c r="U225" i="2"/>
  <c r="R225" i="2"/>
  <c r="O225" i="2"/>
  <c r="N225" i="2"/>
  <c r="K225" i="2"/>
  <c r="H225" i="2"/>
  <c r="G225" i="2"/>
  <c r="AB219" i="2"/>
  <c r="Y219" i="2"/>
  <c r="Z219" i="2" s="1"/>
  <c r="AA219" i="2" s="1"/>
  <c r="V219" i="2"/>
  <c r="U219" i="2"/>
  <c r="R219" i="2"/>
  <c r="S219" i="2" s="1"/>
  <c r="T219" i="2" s="1"/>
  <c r="O219" i="2"/>
  <c r="N219" i="2"/>
  <c r="K219" i="2"/>
  <c r="H219" i="2"/>
  <c r="G219" i="2"/>
  <c r="L219" i="2" s="1"/>
  <c r="M219" i="2" s="1"/>
  <c r="AB215" i="2"/>
  <c r="AB214" i="2" s="1"/>
  <c r="Y215" i="2"/>
  <c r="Z215" i="2" s="1"/>
  <c r="AA215" i="2" s="1"/>
  <c r="V215" i="2"/>
  <c r="V214" i="2" s="1"/>
  <c r="U215" i="2"/>
  <c r="R215" i="2"/>
  <c r="O215" i="2"/>
  <c r="O214" i="2" s="1"/>
  <c r="N215" i="2"/>
  <c r="N214" i="2" s="1"/>
  <c r="P214" i="2" s="1"/>
  <c r="Q214" i="2" s="1"/>
  <c r="K215" i="2"/>
  <c r="K214" i="2" s="1"/>
  <c r="H215" i="2"/>
  <c r="H214" i="2" s="1"/>
  <c r="G215" i="2"/>
  <c r="R214" i="2"/>
  <c r="AB211" i="2"/>
  <c r="Y211" i="2"/>
  <c r="Z211" i="2" s="1"/>
  <c r="AA211" i="2" s="1"/>
  <c r="V211" i="2"/>
  <c r="U211" i="2"/>
  <c r="W211" i="2" s="1"/>
  <c r="X211" i="2" s="1"/>
  <c r="R211" i="2"/>
  <c r="S211" i="2" s="1"/>
  <c r="T211" i="2" s="1"/>
  <c r="O211" i="2"/>
  <c r="N211" i="2"/>
  <c r="K211" i="2"/>
  <c r="H211" i="2"/>
  <c r="G211" i="2"/>
  <c r="AB210" i="2"/>
  <c r="Y210" i="2"/>
  <c r="Z210" i="2" s="1"/>
  <c r="AA210" i="2" s="1"/>
  <c r="V210" i="2"/>
  <c r="U210" i="2"/>
  <c r="R210" i="2"/>
  <c r="O210" i="2"/>
  <c r="N210" i="2"/>
  <c r="K210" i="2"/>
  <c r="H210" i="2"/>
  <c r="G210" i="2"/>
  <c r="AB209" i="2"/>
  <c r="Y209" i="2"/>
  <c r="V209" i="2"/>
  <c r="U209" i="2"/>
  <c r="R209" i="2"/>
  <c r="S209" i="2" s="1"/>
  <c r="T209" i="2" s="1"/>
  <c r="O209" i="2"/>
  <c r="N209" i="2"/>
  <c r="K209" i="2"/>
  <c r="H209" i="2"/>
  <c r="G209" i="2"/>
  <c r="AB208" i="2"/>
  <c r="Y208" i="2"/>
  <c r="Z208" i="2" s="1"/>
  <c r="AA208" i="2" s="1"/>
  <c r="V208" i="2"/>
  <c r="U208" i="2"/>
  <c r="R208" i="2"/>
  <c r="O208" i="2"/>
  <c r="N208" i="2"/>
  <c r="K208" i="2"/>
  <c r="H208" i="2"/>
  <c r="G208" i="2"/>
  <c r="AB207" i="2"/>
  <c r="Y207" i="2"/>
  <c r="V207" i="2"/>
  <c r="U207" i="2"/>
  <c r="R207" i="2"/>
  <c r="O207" i="2"/>
  <c r="O206" i="2" s="1"/>
  <c r="N207" i="2"/>
  <c r="S207" i="2" s="1"/>
  <c r="T207" i="2" s="1"/>
  <c r="K207" i="2"/>
  <c r="H207" i="2"/>
  <c r="G207" i="2"/>
  <c r="AB203" i="2"/>
  <c r="AB202" i="2" s="1"/>
  <c r="Y203" i="2"/>
  <c r="V203" i="2"/>
  <c r="V202" i="2" s="1"/>
  <c r="U203" i="2"/>
  <c r="R203" i="2"/>
  <c r="S203" i="2" s="1"/>
  <c r="T203" i="2" s="1"/>
  <c r="O203" i="2"/>
  <c r="O202" i="2" s="1"/>
  <c r="N203" i="2"/>
  <c r="K203" i="2"/>
  <c r="K202" i="2" s="1"/>
  <c r="H203" i="2"/>
  <c r="H202" i="2" s="1"/>
  <c r="G203" i="2"/>
  <c r="Y202" i="2"/>
  <c r="N202" i="2"/>
  <c r="P202" i="2" s="1"/>
  <c r="Q202" i="2" s="1"/>
  <c r="AB199" i="2"/>
  <c r="Y199" i="2"/>
  <c r="V199" i="2"/>
  <c r="U199" i="2"/>
  <c r="W199" i="2" s="1"/>
  <c r="X199" i="2" s="1"/>
  <c r="R199" i="2"/>
  <c r="S199" i="2" s="1"/>
  <c r="T199" i="2" s="1"/>
  <c r="O199" i="2"/>
  <c r="N199" i="2"/>
  <c r="K199" i="2"/>
  <c r="H199" i="2"/>
  <c r="G199" i="2"/>
  <c r="AB198" i="2"/>
  <c r="Y198" i="2"/>
  <c r="Z198" i="2" s="1"/>
  <c r="AA198" i="2" s="1"/>
  <c r="V198" i="2"/>
  <c r="U198" i="2"/>
  <c r="R198" i="2"/>
  <c r="O198" i="2"/>
  <c r="N198" i="2"/>
  <c r="P198" i="2" s="1"/>
  <c r="Q198" i="2" s="1"/>
  <c r="K198" i="2"/>
  <c r="H198" i="2"/>
  <c r="G198" i="2"/>
  <c r="AB197" i="2"/>
  <c r="Y197" i="2"/>
  <c r="Z197" i="2" s="1"/>
  <c r="AA197" i="2" s="1"/>
  <c r="W197" i="2"/>
  <c r="X197" i="2" s="1"/>
  <c r="V197" i="2"/>
  <c r="U197" i="2"/>
  <c r="R197" i="2"/>
  <c r="S197" i="2" s="1"/>
  <c r="T197" i="2" s="1"/>
  <c r="O197" i="2"/>
  <c r="N197" i="2"/>
  <c r="K197" i="2"/>
  <c r="H197" i="2"/>
  <c r="G197" i="2"/>
  <c r="AB196" i="2"/>
  <c r="Y196" i="2"/>
  <c r="V196" i="2"/>
  <c r="U196" i="2"/>
  <c r="R196" i="2"/>
  <c r="S196" i="2" s="1"/>
  <c r="T196" i="2" s="1"/>
  <c r="O196" i="2"/>
  <c r="N196" i="2"/>
  <c r="K196" i="2"/>
  <c r="L196" i="2" s="1"/>
  <c r="M196" i="2" s="1"/>
  <c r="I196" i="2"/>
  <c r="J196" i="2" s="1"/>
  <c r="H196" i="2"/>
  <c r="G196" i="2"/>
  <c r="AB195" i="2"/>
  <c r="Y195" i="2"/>
  <c r="Z195" i="2" s="1"/>
  <c r="AA195" i="2" s="1"/>
  <c r="V195" i="2"/>
  <c r="W195" i="2" s="1"/>
  <c r="X195" i="2" s="1"/>
  <c r="U195" i="2"/>
  <c r="R195" i="2"/>
  <c r="S195" i="2" s="1"/>
  <c r="T195" i="2" s="1"/>
  <c r="O195" i="2"/>
  <c r="N195" i="2"/>
  <c r="K195" i="2"/>
  <c r="H195" i="2"/>
  <c r="H192" i="2" s="1"/>
  <c r="G195" i="2"/>
  <c r="AB194" i="2"/>
  <c r="Y194" i="2"/>
  <c r="V194" i="2"/>
  <c r="U194" i="2"/>
  <c r="R194" i="2"/>
  <c r="O194" i="2"/>
  <c r="N194" i="2"/>
  <c r="K194" i="2"/>
  <c r="H194" i="2"/>
  <c r="G194" i="2"/>
  <c r="L194" i="2" s="1"/>
  <c r="M194" i="2" s="1"/>
  <c r="AB193" i="2"/>
  <c r="Y193" i="2"/>
  <c r="Z193" i="2" s="1"/>
  <c r="AA193" i="2" s="1"/>
  <c r="V193" i="2"/>
  <c r="U193" i="2"/>
  <c r="R193" i="2"/>
  <c r="O193" i="2"/>
  <c r="N193" i="2"/>
  <c r="K193" i="2"/>
  <c r="H193" i="2"/>
  <c r="G193" i="2"/>
  <c r="AB189" i="2"/>
  <c r="Y189" i="2"/>
  <c r="V189" i="2"/>
  <c r="U189" i="2"/>
  <c r="W189" i="2" s="1"/>
  <c r="X189" i="2" s="1"/>
  <c r="R189" i="2"/>
  <c r="O189" i="2"/>
  <c r="N189" i="2"/>
  <c r="S189" i="2" s="1"/>
  <c r="T189" i="2" s="1"/>
  <c r="K189" i="2"/>
  <c r="L189" i="2" s="1"/>
  <c r="M189" i="2" s="1"/>
  <c r="H189" i="2"/>
  <c r="G189" i="2"/>
  <c r="AB186" i="2"/>
  <c r="AB185" i="2" s="1"/>
  <c r="Y186" i="2"/>
  <c r="V186" i="2"/>
  <c r="V185" i="2" s="1"/>
  <c r="U186" i="2"/>
  <c r="R186" i="2"/>
  <c r="O186" i="2"/>
  <c r="O185" i="2" s="1"/>
  <c r="N186" i="2"/>
  <c r="K186" i="2"/>
  <c r="K185" i="2" s="1"/>
  <c r="H186" i="2"/>
  <c r="H185" i="2" s="1"/>
  <c r="G186" i="2"/>
  <c r="L186" i="2" s="1"/>
  <c r="M186" i="2" s="1"/>
  <c r="Y185" i="2"/>
  <c r="R185" i="2"/>
  <c r="AB182" i="2"/>
  <c r="Y182" i="2"/>
  <c r="V182" i="2"/>
  <c r="U182" i="2"/>
  <c r="W182" i="2" s="1"/>
  <c r="X182" i="2" s="1"/>
  <c r="R182" i="2"/>
  <c r="S182" i="2" s="1"/>
  <c r="T182" i="2" s="1"/>
  <c r="O182" i="2"/>
  <c r="N182" i="2"/>
  <c r="P182" i="2" s="1"/>
  <c r="Q182" i="2" s="1"/>
  <c r="K182" i="2"/>
  <c r="L182" i="2" s="1"/>
  <c r="M182" i="2" s="1"/>
  <c r="H182" i="2"/>
  <c r="G182" i="2"/>
  <c r="AB181" i="2"/>
  <c r="AB180" i="2" s="1"/>
  <c r="Y181" i="2"/>
  <c r="Y180" i="2" s="1"/>
  <c r="V181" i="2"/>
  <c r="U181" i="2"/>
  <c r="R181" i="2"/>
  <c r="O181" i="2"/>
  <c r="O180" i="2" s="1"/>
  <c r="N181" i="2"/>
  <c r="K181" i="2"/>
  <c r="H181" i="2"/>
  <c r="G181" i="2"/>
  <c r="AB177" i="2"/>
  <c r="Y177" i="2"/>
  <c r="V177" i="2"/>
  <c r="U177" i="2"/>
  <c r="R177" i="2"/>
  <c r="O177" i="2"/>
  <c r="N177" i="2"/>
  <c r="K177" i="2"/>
  <c r="H177" i="2"/>
  <c r="I177" i="2" s="1"/>
  <c r="J177" i="2" s="1"/>
  <c r="G177" i="2"/>
  <c r="AB174" i="2"/>
  <c r="Y174" i="2"/>
  <c r="Z174" i="2" s="1"/>
  <c r="AA174" i="2" s="1"/>
  <c r="V174" i="2"/>
  <c r="U174" i="2"/>
  <c r="W174" i="2" s="1"/>
  <c r="X174" i="2" s="1"/>
  <c r="R174" i="2"/>
  <c r="O174" i="2"/>
  <c r="N174" i="2"/>
  <c r="K174" i="2"/>
  <c r="H174" i="2"/>
  <c r="G174" i="2"/>
  <c r="AB173" i="2"/>
  <c r="Z173" i="2"/>
  <c r="AA173" i="2" s="1"/>
  <c r="Y173" i="2"/>
  <c r="V173" i="2"/>
  <c r="U173" i="2"/>
  <c r="R173" i="2"/>
  <c r="O173" i="2"/>
  <c r="N173" i="2"/>
  <c r="K173" i="2"/>
  <c r="H173" i="2"/>
  <c r="G173" i="2"/>
  <c r="AB172" i="2"/>
  <c r="Y172" i="2"/>
  <c r="V172" i="2"/>
  <c r="U172" i="2"/>
  <c r="R172" i="2"/>
  <c r="S172" i="2" s="1"/>
  <c r="T172" i="2" s="1"/>
  <c r="O172" i="2"/>
  <c r="N172" i="2"/>
  <c r="P172" i="2" s="1"/>
  <c r="Q172" i="2" s="1"/>
  <c r="K172" i="2"/>
  <c r="L172" i="2" s="1"/>
  <c r="M172" i="2" s="1"/>
  <c r="H172" i="2"/>
  <c r="G172" i="2"/>
  <c r="I172" i="2" s="1"/>
  <c r="J172" i="2" s="1"/>
  <c r="AB171" i="2"/>
  <c r="Y171" i="2"/>
  <c r="V171" i="2"/>
  <c r="U171" i="2"/>
  <c r="R171" i="2"/>
  <c r="O171" i="2"/>
  <c r="N171" i="2"/>
  <c r="P171" i="2" s="1"/>
  <c r="Q171" i="2" s="1"/>
  <c r="K171" i="2"/>
  <c r="H171" i="2"/>
  <c r="G171" i="2"/>
  <c r="I171" i="2" s="1"/>
  <c r="J171" i="2" s="1"/>
  <c r="AB170" i="2"/>
  <c r="Y170" i="2"/>
  <c r="V170" i="2"/>
  <c r="W170" i="2" s="1"/>
  <c r="X170" i="2" s="1"/>
  <c r="U170" i="2"/>
  <c r="R170" i="2"/>
  <c r="S170" i="2" s="1"/>
  <c r="T170" i="2" s="1"/>
  <c r="O170" i="2"/>
  <c r="N170" i="2"/>
  <c r="P170" i="2" s="1"/>
  <c r="Q170" i="2" s="1"/>
  <c r="K170" i="2"/>
  <c r="L170" i="2" s="1"/>
  <c r="M170" i="2" s="1"/>
  <c r="H170" i="2"/>
  <c r="G170" i="2"/>
  <c r="AB169" i="2"/>
  <c r="Y169" i="2"/>
  <c r="Z169" i="2" s="1"/>
  <c r="AA169" i="2" s="1"/>
  <c r="V169" i="2"/>
  <c r="U169" i="2"/>
  <c r="R169" i="2"/>
  <c r="O169" i="2"/>
  <c r="N169" i="2"/>
  <c r="P169" i="2" s="1"/>
  <c r="Q169" i="2" s="1"/>
  <c r="K169" i="2"/>
  <c r="H169" i="2"/>
  <c r="G169" i="2"/>
  <c r="AB168" i="2"/>
  <c r="Y168" i="2"/>
  <c r="V168" i="2"/>
  <c r="U168" i="2"/>
  <c r="W168" i="2" s="1"/>
  <c r="X168" i="2" s="1"/>
  <c r="S168" i="2"/>
  <c r="T168" i="2" s="1"/>
  <c r="R168" i="2"/>
  <c r="O168" i="2"/>
  <c r="P168" i="2" s="1"/>
  <c r="Q168" i="2" s="1"/>
  <c r="N168" i="2"/>
  <c r="K168" i="2"/>
  <c r="H168" i="2"/>
  <c r="G168" i="2"/>
  <c r="AB167" i="2"/>
  <c r="Y167" i="2"/>
  <c r="V167" i="2"/>
  <c r="U167" i="2"/>
  <c r="W167" i="2" s="1"/>
  <c r="X167" i="2" s="1"/>
  <c r="R167" i="2"/>
  <c r="O167" i="2"/>
  <c r="N167" i="2"/>
  <c r="K167" i="2"/>
  <c r="H167" i="2"/>
  <c r="I167" i="2" s="1"/>
  <c r="J167" i="2" s="1"/>
  <c r="G167" i="2"/>
  <c r="AB166" i="2"/>
  <c r="Y166" i="2"/>
  <c r="V166" i="2"/>
  <c r="U166" i="2"/>
  <c r="W166" i="2" s="1"/>
  <c r="X166" i="2" s="1"/>
  <c r="R166" i="2"/>
  <c r="O166" i="2"/>
  <c r="N166" i="2"/>
  <c r="K166" i="2"/>
  <c r="H166" i="2"/>
  <c r="G166" i="2"/>
  <c r="AB165" i="2"/>
  <c r="Y165" i="2"/>
  <c r="V165" i="2"/>
  <c r="U165" i="2"/>
  <c r="W165" i="2" s="1"/>
  <c r="X165" i="2" s="1"/>
  <c r="R165" i="2"/>
  <c r="O165" i="2"/>
  <c r="N165" i="2"/>
  <c r="P165" i="2" s="1"/>
  <c r="Q165" i="2" s="1"/>
  <c r="K165" i="2"/>
  <c r="L165" i="2" s="1"/>
  <c r="M165" i="2" s="1"/>
  <c r="H165" i="2"/>
  <c r="G165" i="2"/>
  <c r="AB164" i="2"/>
  <c r="Y164" i="2"/>
  <c r="V164" i="2"/>
  <c r="U164" i="2"/>
  <c r="W164" i="2" s="1"/>
  <c r="X164" i="2" s="1"/>
  <c r="R164" i="2"/>
  <c r="O164" i="2"/>
  <c r="N164" i="2"/>
  <c r="P164" i="2" s="1"/>
  <c r="Q164" i="2" s="1"/>
  <c r="K164" i="2"/>
  <c r="L164" i="2" s="1"/>
  <c r="M164" i="2" s="1"/>
  <c r="H164" i="2"/>
  <c r="G164" i="2"/>
  <c r="AB163" i="2"/>
  <c r="Y163" i="2"/>
  <c r="V163" i="2"/>
  <c r="U163" i="2"/>
  <c r="R163" i="2"/>
  <c r="O163" i="2"/>
  <c r="N163" i="2"/>
  <c r="K163" i="2"/>
  <c r="H163" i="2"/>
  <c r="G163" i="2"/>
  <c r="AB162" i="2"/>
  <c r="Y162" i="2"/>
  <c r="V162" i="2"/>
  <c r="U162" i="2"/>
  <c r="R162" i="2"/>
  <c r="O162" i="2"/>
  <c r="N162" i="2"/>
  <c r="P162" i="2" s="1"/>
  <c r="Q162" i="2" s="1"/>
  <c r="K162" i="2"/>
  <c r="H162" i="2"/>
  <c r="G162" i="2"/>
  <c r="AB161" i="2"/>
  <c r="Y161" i="2"/>
  <c r="Z161" i="2" s="1"/>
  <c r="AA161" i="2" s="1"/>
  <c r="V161" i="2"/>
  <c r="U161" i="2"/>
  <c r="R161" i="2"/>
  <c r="O161" i="2"/>
  <c r="N161" i="2"/>
  <c r="K161" i="2"/>
  <c r="H161" i="2"/>
  <c r="I161" i="2" s="1"/>
  <c r="J161" i="2" s="1"/>
  <c r="G161" i="2"/>
  <c r="AB160" i="2"/>
  <c r="Y160" i="2"/>
  <c r="V160" i="2"/>
  <c r="U160" i="2"/>
  <c r="W160" i="2" s="1"/>
  <c r="X160" i="2" s="1"/>
  <c r="R160" i="2"/>
  <c r="O160" i="2"/>
  <c r="N160" i="2"/>
  <c r="K160" i="2"/>
  <c r="H160" i="2"/>
  <c r="G160" i="2"/>
  <c r="I160" i="2" s="1"/>
  <c r="J160" i="2" s="1"/>
  <c r="AB156" i="2"/>
  <c r="Y156" i="2"/>
  <c r="V156" i="2"/>
  <c r="U156" i="2"/>
  <c r="W156" i="2" s="1"/>
  <c r="X156" i="2" s="1"/>
  <c r="R156" i="2"/>
  <c r="O156" i="2"/>
  <c r="N156" i="2"/>
  <c r="K156" i="2"/>
  <c r="H156" i="2"/>
  <c r="G156" i="2"/>
  <c r="AB155" i="2"/>
  <c r="Y155" i="2"/>
  <c r="Z155" i="2" s="1"/>
  <c r="AA155" i="2" s="1"/>
  <c r="V155" i="2"/>
  <c r="U155" i="2"/>
  <c r="R155" i="2"/>
  <c r="S155" i="2" s="1"/>
  <c r="T155" i="2" s="1"/>
  <c r="O155" i="2"/>
  <c r="N155" i="2"/>
  <c r="K155" i="2"/>
  <c r="H155" i="2"/>
  <c r="G155" i="2"/>
  <c r="I155" i="2" s="1"/>
  <c r="J155" i="2" s="1"/>
  <c r="AB154" i="2"/>
  <c r="AB153" i="2" s="1"/>
  <c r="Y154" i="2"/>
  <c r="V154" i="2"/>
  <c r="U154" i="2"/>
  <c r="R154" i="2"/>
  <c r="O154" i="2"/>
  <c r="N154" i="2"/>
  <c r="K154" i="2"/>
  <c r="H154" i="2"/>
  <c r="G154" i="2"/>
  <c r="R153" i="2"/>
  <c r="AB148" i="2"/>
  <c r="Y148" i="2"/>
  <c r="V148" i="2"/>
  <c r="V374" i="2" s="1"/>
  <c r="U148" i="2"/>
  <c r="R148" i="2"/>
  <c r="O148" i="2"/>
  <c r="N148" i="2"/>
  <c r="K148" i="2"/>
  <c r="H148" i="2"/>
  <c r="G148" i="2"/>
  <c r="G374" i="2" s="1"/>
  <c r="AB144" i="2"/>
  <c r="Y144" i="2"/>
  <c r="Z144" i="2" s="1"/>
  <c r="AA144" i="2" s="1"/>
  <c r="W144" i="2"/>
  <c r="X144" i="2" s="1"/>
  <c r="V144" i="2"/>
  <c r="U144" i="2"/>
  <c r="R144" i="2"/>
  <c r="O144" i="2"/>
  <c r="N144" i="2"/>
  <c r="K144" i="2"/>
  <c r="H144" i="2"/>
  <c r="G144" i="2"/>
  <c r="AB143" i="2"/>
  <c r="Y143" i="2"/>
  <c r="V143" i="2"/>
  <c r="U143" i="2"/>
  <c r="R143" i="2"/>
  <c r="O143" i="2"/>
  <c r="N143" i="2"/>
  <c r="K143" i="2"/>
  <c r="H143" i="2"/>
  <c r="I143" i="2" s="1"/>
  <c r="J143" i="2" s="1"/>
  <c r="G143" i="2"/>
  <c r="AB142" i="2"/>
  <c r="Y142" i="2"/>
  <c r="V142" i="2"/>
  <c r="U142" i="2"/>
  <c r="R142" i="2"/>
  <c r="S142" i="2" s="1"/>
  <c r="T142" i="2" s="1"/>
  <c r="P142" i="2"/>
  <c r="Q142" i="2" s="1"/>
  <c r="O142" i="2"/>
  <c r="N142" i="2"/>
  <c r="K142" i="2"/>
  <c r="H142" i="2"/>
  <c r="G142" i="2"/>
  <c r="AB141" i="2"/>
  <c r="Z141" i="2"/>
  <c r="AA141" i="2" s="1"/>
  <c r="Y141" i="2"/>
  <c r="V141" i="2"/>
  <c r="U141" i="2"/>
  <c r="R141" i="2"/>
  <c r="O141" i="2"/>
  <c r="N141" i="2"/>
  <c r="K141" i="2"/>
  <c r="L141" i="2" s="1"/>
  <c r="M141" i="2" s="1"/>
  <c r="J141" i="2"/>
  <c r="I141" i="2"/>
  <c r="H141" i="2"/>
  <c r="G141" i="2"/>
  <c r="AB140" i="2"/>
  <c r="Y140" i="2"/>
  <c r="V140" i="2"/>
  <c r="U140" i="2"/>
  <c r="R140" i="2"/>
  <c r="S140" i="2" s="1"/>
  <c r="T140" i="2" s="1"/>
  <c r="O140" i="2"/>
  <c r="N140" i="2"/>
  <c r="K140" i="2"/>
  <c r="H140" i="2"/>
  <c r="G140" i="2"/>
  <c r="AB139" i="2"/>
  <c r="Y139" i="2"/>
  <c r="V139" i="2"/>
  <c r="U139" i="2"/>
  <c r="R139" i="2"/>
  <c r="O139" i="2"/>
  <c r="N139" i="2"/>
  <c r="P139" i="2" s="1"/>
  <c r="Q139" i="2" s="1"/>
  <c r="K139" i="2"/>
  <c r="H139" i="2"/>
  <c r="G139" i="2"/>
  <c r="AB138" i="2"/>
  <c r="Y138" i="2"/>
  <c r="V138" i="2"/>
  <c r="W138" i="2" s="1"/>
  <c r="X138" i="2" s="1"/>
  <c r="U138" i="2"/>
  <c r="R138" i="2"/>
  <c r="O138" i="2"/>
  <c r="N138" i="2"/>
  <c r="K138" i="2"/>
  <c r="H138" i="2"/>
  <c r="G138" i="2"/>
  <c r="AB137" i="2"/>
  <c r="Y137" i="2"/>
  <c r="V137" i="2"/>
  <c r="U137" i="2"/>
  <c r="R137" i="2"/>
  <c r="O137" i="2"/>
  <c r="N137" i="2"/>
  <c r="K137" i="2"/>
  <c r="H137" i="2"/>
  <c r="G137" i="2"/>
  <c r="AB136" i="2"/>
  <c r="Y136" i="2"/>
  <c r="V136" i="2"/>
  <c r="U136" i="2"/>
  <c r="S136" i="2"/>
  <c r="T136" i="2" s="1"/>
  <c r="R136" i="2"/>
  <c r="O136" i="2"/>
  <c r="P136" i="2" s="1"/>
  <c r="Q136" i="2" s="1"/>
  <c r="N136" i="2"/>
  <c r="K136" i="2"/>
  <c r="H136" i="2"/>
  <c r="G136" i="2"/>
  <c r="I136" i="2" s="1"/>
  <c r="J136" i="2" s="1"/>
  <c r="AB135" i="2"/>
  <c r="Z135" i="2"/>
  <c r="AA135" i="2" s="1"/>
  <c r="Y135" i="2"/>
  <c r="V135" i="2"/>
  <c r="U135" i="2"/>
  <c r="R135" i="2"/>
  <c r="O135" i="2"/>
  <c r="N135" i="2"/>
  <c r="P135" i="2" s="1"/>
  <c r="Q135" i="2" s="1"/>
  <c r="K135" i="2"/>
  <c r="L135" i="2" s="1"/>
  <c r="M135" i="2" s="1"/>
  <c r="H135" i="2"/>
  <c r="I135" i="2" s="1"/>
  <c r="J135" i="2" s="1"/>
  <c r="G135" i="2"/>
  <c r="AB134" i="2"/>
  <c r="Y134" i="2"/>
  <c r="V134" i="2"/>
  <c r="U134" i="2"/>
  <c r="R134" i="2"/>
  <c r="O134" i="2"/>
  <c r="N134" i="2"/>
  <c r="K134" i="2"/>
  <c r="L134" i="2" s="1"/>
  <c r="M134" i="2" s="1"/>
  <c r="H134" i="2"/>
  <c r="G134" i="2"/>
  <c r="AB133" i="2"/>
  <c r="Y133" i="2"/>
  <c r="V133" i="2"/>
  <c r="U133" i="2"/>
  <c r="R133" i="2"/>
  <c r="S133" i="2" s="1"/>
  <c r="T133" i="2" s="1"/>
  <c r="O133" i="2"/>
  <c r="N133" i="2"/>
  <c r="K133" i="2"/>
  <c r="H133" i="2"/>
  <c r="G133" i="2"/>
  <c r="AB132" i="2"/>
  <c r="Y132" i="2"/>
  <c r="Z132" i="2" s="1"/>
  <c r="AA132" i="2" s="1"/>
  <c r="V132" i="2"/>
  <c r="W132" i="2" s="1"/>
  <c r="X132" i="2" s="1"/>
  <c r="U132" i="2"/>
  <c r="R132" i="2"/>
  <c r="O132" i="2"/>
  <c r="N132" i="2"/>
  <c r="K132" i="2"/>
  <c r="H132" i="2"/>
  <c r="G132" i="2"/>
  <c r="AB131" i="2"/>
  <c r="Y131" i="2"/>
  <c r="V131" i="2"/>
  <c r="U131" i="2"/>
  <c r="Z131" i="2" s="1"/>
  <c r="AA131" i="2" s="1"/>
  <c r="R131" i="2"/>
  <c r="O131" i="2"/>
  <c r="N131" i="2"/>
  <c r="K131" i="2"/>
  <c r="H131" i="2"/>
  <c r="G131" i="2"/>
  <c r="AB130" i="2"/>
  <c r="Y130" i="2"/>
  <c r="V130" i="2"/>
  <c r="U130" i="2"/>
  <c r="W130" i="2" s="1"/>
  <c r="X130" i="2" s="1"/>
  <c r="R130" i="2"/>
  <c r="S130" i="2" s="1"/>
  <c r="T130" i="2" s="1"/>
  <c r="O130" i="2"/>
  <c r="N130" i="2"/>
  <c r="K130" i="2"/>
  <c r="H130" i="2"/>
  <c r="G130" i="2"/>
  <c r="AB129" i="2"/>
  <c r="Y129" i="2"/>
  <c r="Z129" i="2" s="1"/>
  <c r="AA129" i="2" s="1"/>
  <c r="V129" i="2"/>
  <c r="U129" i="2"/>
  <c r="R129" i="2"/>
  <c r="O129" i="2"/>
  <c r="N129" i="2"/>
  <c r="K129" i="2"/>
  <c r="H129" i="2"/>
  <c r="G129" i="2"/>
  <c r="I129" i="2" s="1"/>
  <c r="J129" i="2" s="1"/>
  <c r="AB128" i="2"/>
  <c r="Y128" i="2"/>
  <c r="Z128" i="2" s="1"/>
  <c r="AA128" i="2" s="1"/>
  <c r="V128" i="2"/>
  <c r="W128" i="2" s="1"/>
  <c r="X128" i="2" s="1"/>
  <c r="U128" i="2"/>
  <c r="R128" i="2"/>
  <c r="O128" i="2"/>
  <c r="N128" i="2"/>
  <c r="L128" i="2"/>
  <c r="M128" i="2" s="1"/>
  <c r="K128" i="2"/>
  <c r="H128" i="2"/>
  <c r="G128" i="2"/>
  <c r="AB127" i="2"/>
  <c r="Y127" i="2"/>
  <c r="V127" i="2"/>
  <c r="U127" i="2"/>
  <c r="R127" i="2"/>
  <c r="O127" i="2"/>
  <c r="N127" i="2"/>
  <c r="K127" i="2"/>
  <c r="L127" i="2" s="1"/>
  <c r="M127" i="2" s="1"/>
  <c r="H127" i="2"/>
  <c r="G127" i="2"/>
  <c r="AB126" i="2"/>
  <c r="Y126" i="2"/>
  <c r="V126" i="2"/>
  <c r="U126" i="2"/>
  <c r="R126" i="2"/>
  <c r="O126" i="2"/>
  <c r="N126" i="2"/>
  <c r="S126" i="2" s="1"/>
  <c r="T126" i="2" s="1"/>
  <c r="K126" i="2"/>
  <c r="H126" i="2"/>
  <c r="G126" i="2"/>
  <c r="AB125" i="2"/>
  <c r="Y125" i="2"/>
  <c r="V125" i="2"/>
  <c r="U125" i="2"/>
  <c r="R125" i="2"/>
  <c r="O125" i="2"/>
  <c r="N125" i="2"/>
  <c r="P125" i="2" s="1"/>
  <c r="Q125" i="2" s="1"/>
  <c r="K125" i="2"/>
  <c r="H125" i="2"/>
  <c r="G125" i="2"/>
  <c r="AB124" i="2"/>
  <c r="Y124" i="2"/>
  <c r="V124" i="2"/>
  <c r="U124" i="2"/>
  <c r="R124" i="2"/>
  <c r="O124" i="2"/>
  <c r="N124" i="2"/>
  <c r="K124" i="2"/>
  <c r="H124" i="2"/>
  <c r="G124" i="2"/>
  <c r="AB123" i="2"/>
  <c r="Y123" i="2"/>
  <c r="V123" i="2"/>
  <c r="U123" i="2"/>
  <c r="R123" i="2"/>
  <c r="O123" i="2"/>
  <c r="N123" i="2"/>
  <c r="P123" i="2" s="1"/>
  <c r="Q123" i="2" s="1"/>
  <c r="K123" i="2"/>
  <c r="L123" i="2" s="1"/>
  <c r="M123" i="2" s="1"/>
  <c r="H123" i="2"/>
  <c r="G123" i="2"/>
  <c r="AB122" i="2"/>
  <c r="Y122" i="2"/>
  <c r="Z122" i="2" s="1"/>
  <c r="AA122" i="2" s="1"/>
  <c r="W122" i="2"/>
  <c r="X122" i="2" s="1"/>
  <c r="V122" i="2"/>
  <c r="U122" i="2"/>
  <c r="R122" i="2"/>
  <c r="O122" i="2"/>
  <c r="N122" i="2"/>
  <c r="K122" i="2"/>
  <c r="H122" i="2"/>
  <c r="G122" i="2"/>
  <c r="I122" i="2" s="1"/>
  <c r="J122" i="2" s="1"/>
  <c r="AB121" i="2"/>
  <c r="Y121" i="2"/>
  <c r="V121" i="2"/>
  <c r="U121" i="2"/>
  <c r="R121" i="2"/>
  <c r="O121" i="2"/>
  <c r="N121" i="2"/>
  <c r="K121" i="2"/>
  <c r="H121" i="2"/>
  <c r="G121" i="2"/>
  <c r="I121" i="2" s="1"/>
  <c r="J121" i="2" s="1"/>
  <c r="AB120" i="2"/>
  <c r="Y120" i="2"/>
  <c r="V120" i="2"/>
  <c r="U120" i="2"/>
  <c r="W120" i="2" s="1"/>
  <c r="X120" i="2" s="1"/>
  <c r="R120" i="2"/>
  <c r="O120" i="2"/>
  <c r="N120" i="2"/>
  <c r="P120" i="2" s="1"/>
  <c r="Q120" i="2" s="1"/>
  <c r="K120" i="2"/>
  <c r="L120" i="2" s="1"/>
  <c r="M120" i="2" s="1"/>
  <c r="H120" i="2"/>
  <c r="G120" i="2"/>
  <c r="AB119" i="2"/>
  <c r="Y119" i="2"/>
  <c r="V119" i="2"/>
  <c r="U119" i="2"/>
  <c r="R119" i="2"/>
  <c r="O119" i="2"/>
  <c r="N119" i="2"/>
  <c r="K119" i="2"/>
  <c r="H119" i="2"/>
  <c r="G119" i="2"/>
  <c r="AB115" i="2"/>
  <c r="Y115" i="2"/>
  <c r="V115" i="2"/>
  <c r="U115" i="2"/>
  <c r="R115" i="2"/>
  <c r="O115" i="2"/>
  <c r="N115" i="2"/>
  <c r="P115" i="2" s="1"/>
  <c r="Q115" i="2" s="1"/>
  <c r="K115" i="2"/>
  <c r="H115" i="2"/>
  <c r="G115" i="2"/>
  <c r="I115" i="2" s="1"/>
  <c r="J115" i="2" s="1"/>
  <c r="AB114" i="2"/>
  <c r="Y114" i="2"/>
  <c r="Z114" i="2" s="1"/>
  <c r="AA114" i="2" s="1"/>
  <c r="V114" i="2"/>
  <c r="U114" i="2"/>
  <c r="R114" i="2"/>
  <c r="O114" i="2"/>
  <c r="N114" i="2"/>
  <c r="K114" i="2"/>
  <c r="L114" i="2" s="1"/>
  <c r="M114" i="2" s="1"/>
  <c r="H114" i="2"/>
  <c r="G114" i="2"/>
  <c r="AB113" i="2"/>
  <c r="Y113" i="2"/>
  <c r="V113" i="2"/>
  <c r="W113" i="2" s="1"/>
  <c r="X113" i="2" s="1"/>
  <c r="U113" i="2"/>
  <c r="R113" i="2"/>
  <c r="O113" i="2"/>
  <c r="N113" i="2"/>
  <c r="P113" i="2" s="1"/>
  <c r="Q113" i="2" s="1"/>
  <c r="K113" i="2"/>
  <c r="H113" i="2"/>
  <c r="G113" i="2"/>
  <c r="AB112" i="2"/>
  <c r="Y112" i="2"/>
  <c r="Z112" i="2" s="1"/>
  <c r="AA112" i="2" s="1"/>
  <c r="V112" i="2"/>
  <c r="U112" i="2"/>
  <c r="R112" i="2"/>
  <c r="S112" i="2" s="1"/>
  <c r="T112" i="2" s="1"/>
  <c r="O112" i="2"/>
  <c r="N112" i="2"/>
  <c r="P112" i="2" s="1"/>
  <c r="Q112" i="2" s="1"/>
  <c r="K112" i="2"/>
  <c r="H112" i="2"/>
  <c r="G112" i="2"/>
  <c r="L112" i="2" s="1"/>
  <c r="M112" i="2" s="1"/>
  <c r="AB111" i="2"/>
  <c r="Y111" i="2"/>
  <c r="Z111" i="2" s="1"/>
  <c r="AA111" i="2" s="1"/>
  <c r="V111" i="2"/>
  <c r="U111" i="2"/>
  <c r="R111" i="2"/>
  <c r="O111" i="2"/>
  <c r="N111" i="2"/>
  <c r="P111" i="2" s="1"/>
  <c r="Q111" i="2" s="1"/>
  <c r="K111" i="2"/>
  <c r="L111" i="2" s="1"/>
  <c r="M111" i="2" s="1"/>
  <c r="H111" i="2"/>
  <c r="G111" i="2"/>
  <c r="I111" i="2" s="1"/>
  <c r="J111" i="2" s="1"/>
  <c r="AB110" i="2"/>
  <c r="Y110" i="2"/>
  <c r="V110" i="2"/>
  <c r="U110" i="2"/>
  <c r="R110" i="2"/>
  <c r="S110" i="2" s="1"/>
  <c r="T110" i="2" s="1"/>
  <c r="O110" i="2"/>
  <c r="P110" i="2" s="1"/>
  <c r="Q110" i="2" s="1"/>
  <c r="N110" i="2"/>
  <c r="K110" i="2"/>
  <c r="L110" i="2" s="1"/>
  <c r="M110" i="2" s="1"/>
  <c r="H110" i="2"/>
  <c r="I110" i="2" s="1"/>
  <c r="J110" i="2" s="1"/>
  <c r="G110" i="2"/>
  <c r="AB109" i="2"/>
  <c r="Y109" i="2"/>
  <c r="V109" i="2"/>
  <c r="U109" i="2"/>
  <c r="R109" i="2"/>
  <c r="O109" i="2"/>
  <c r="N109" i="2"/>
  <c r="K109" i="2"/>
  <c r="H109" i="2"/>
  <c r="G109" i="2"/>
  <c r="AB108" i="2"/>
  <c r="Y108" i="2"/>
  <c r="Y106" i="2" s="1"/>
  <c r="V108" i="2"/>
  <c r="U108" i="2"/>
  <c r="W108" i="2" s="1"/>
  <c r="X108" i="2" s="1"/>
  <c r="R108" i="2"/>
  <c r="O108" i="2"/>
  <c r="N108" i="2"/>
  <c r="K108" i="2"/>
  <c r="H108" i="2"/>
  <c r="G108" i="2"/>
  <c r="AB107" i="2"/>
  <c r="Y107" i="2"/>
  <c r="V107" i="2"/>
  <c r="U107" i="2"/>
  <c r="R107" i="2"/>
  <c r="O107" i="2"/>
  <c r="N107" i="2"/>
  <c r="K107" i="2"/>
  <c r="H107" i="2"/>
  <c r="G107" i="2"/>
  <c r="AB103" i="2"/>
  <c r="Y103" i="2"/>
  <c r="V103" i="2"/>
  <c r="W103" i="2" s="1"/>
  <c r="X103" i="2" s="1"/>
  <c r="U103" i="2"/>
  <c r="Z103" i="2" s="1"/>
  <c r="AA103" i="2" s="1"/>
  <c r="R103" i="2"/>
  <c r="O103" i="2"/>
  <c r="N103" i="2"/>
  <c r="K103" i="2"/>
  <c r="H103" i="2"/>
  <c r="G103" i="2"/>
  <c r="AB102" i="2"/>
  <c r="Y102" i="2"/>
  <c r="Y100" i="2" s="1"/>
  <c r="Y371" i="2" s="1"/>
  <c r="V102" i="2"/>
  <c r="U102" i="2"/>
  <c r="R102" i="2"/>
  <c r="O102" i="2"/>
  <c r="N102" i="2"/>
  <c r="K102" i="2"/>
  <c r="H102" i="2"/>
  <c r="G102" i="2"/>
  <c r="AB101" i="2"/>
  <c r="Y101" i="2"/>
  <c r="V101" i="2"/>
  <c r="U101" i="2"/>
  <c r="R101" i="2"/>
  <c r="O101" i="2"/>
  <c r="N101" i="2"/>
  <c r="K101" i="2"/>
  <c r="H101" i="2"/>
  <c r="G101" i="2"/>
  <c r="AB89" i="2"/>
  <c r="Y89" i="2"/>
  <c r="V89" i="2"/>
  <c r="W89" i="2" s="1"/>
  <c r="X89" i="2" s="1"/>
  <c r="U89" i="2"/>
  <c r="Z89" i="2" s="1"/>
  <c r="AA89" i="2" s="1"/>
  <c r="R89" i="2"/>
  <c r="O89" i="2"/>
  <c r="N89" i="2"/>
  <c r="P89" i="2" s="1"/>
  <c r="Q89" i="2" s="1"/>
  <c r="K89" i="2"/>
  <c r="H89" i="2"/>
  <c r="G89" i="2"/>
  <c r="AB88" i="2"/>
  <c r="Y88" i="2"/>
  <c r="Z88" i="2" s="1"/>
  <c r="AA88" i="2" s="1"/>
  <c r="V88" i="2"/>
  <c r="U88" i="2"/>
  <c r="R88" i="2"/>
  <c r="O88" i="2"/>
  <c r="N88" i="2"/>
  <c r="P88" i="2" s="1"/>
  <c r="Q88" i="2" s="1"/>
  <c r="K88" i="2"/>
  <c r="L88" i="2" s="1"/>
  <c r="M88" i="2" s="1"/>
  <c r="H88" i="2"/>
  <c r="G88" i="2"/>
  <c r="AB87" i="2"/>
  <c r="Y87" i="2"/>
  <c r="V87" i="2"/>
  <c r="U87" i="2"/>
  <c r="R87" i="2"/>
  <c r="O87" i="2"/>
  <c r="N87" i="2"/>
  <c r="K87" i="2"/>
  <c r="H87" i="2"/>
  <c r="G87" i="2"/>
  <c r="I87" i="2" s="1"/>
  <c r="J87" i="2" s="1"/>
  <c r="AB86" i="2"/>
  <c r="Y86" i="2"/>
  <c r="V86" i="2"/>
  <c r="U86" i="2"/>
  <c r="R86" i="2"/>
  <c r="S86" i="2" s="1"/>
  <c r="T86" i="2" s="1"/>
  <c r="O86" i="2"/>
  <c r="P86" i="2" s="1"/>
  <c r="Q86" i="2" s="1"/>
  <c r="N86" i="2"/>
  <c r="L86" i="2"/>
  <c r="M86" i="2" s="1"/>
  <c r="K86" i="2"/>
  <c r="H86" i="2"/>
  <c r="I86" i="2" s="1"/>
  <c r="J86" i="2" s="1"/>
  <c r="G86" i="2"/>
  <c r="AB85" i="2"/>
  <c r="Y85" i="2"/>
  <c r="Z85" i="2" s="1"/>
  <c r="AA85" i="2" s="1"/>
  <c r="V85" i="2"/>
  <c r="U85" i="2"/>
  <c r="R85" i="2"/>
  <c r="O85" i="2"/>
  <c r="N85" i="2"/>
  <c r="K85" i="2"/>
  <c r="H85" i="2"/>
  <c r="G85" i="2"/>
  <c r="AB84" i="2"/>
  <c r="Y84" i="2"/>
  <c r="V84" i="2"/>
  <c r="U84" i="2"/>
  <c r="R84" i="2"/>
  <c r="O84" i="2"/>
  <c r="N84" i="2"/>
  <c r="P84" i="2" s="1"/>
  <c r="Q84" i="2" s="1"/>
  <c r="K84" i="2"/>
  <c r="L84" i="2" s="1"/>
  <c r="M84" i="2" s="1"/>
  <c r="H84" i="2"/>
  <c r="G84" i="2"/>
  <c r="AB83" i="2"/>
  <c r="Y83" i="2"/>
  <c r="V83" i="2"/>
  <c r="W83" i="2" s="1"/>
  <c r="X83" i="2" s="1"/>
  <c r="U83" i="2"/>
  <c r="Z83" i="2" s="1"/>
  <c r="AA83" i="2" s="1"/>
  <c r="R83" i="2"/>
  <c r="O83" i="2"/>
  <c r="N83" i="2"/>
  <c r="P83" i="2" s="1"/>
  <c r="Q83" i="2" s="1"/>
  <c r="K83" i="2"/>
  <c r="H83" i="2"/>
  <c r="G83" i="2"/>
  <c r="I83" i="2" s="1"/>
  <c r="J83" i="2" s="1"/>
  <c r="AB82" i="2"/>
  <c r="Y82" i="2"/>
  <c r="V82" i="2"/>
  <c r="U82" i="2"/>
  <c r="W82" i="2" s="1"/>
  <c r="X82" i="2" s="1"/>
  <c r="R82" i="2"/>
  <c r="S82" i="2" s="1"/>
  <c r="T82" i="2" s="1"/>
  <c r="O82" i="2"/>
  <c r="N82" i="2"/>
  <c r="P82" i="2" s="1"/>
  <c r="Q82" i="2" s="1"/>
  <c r="K82" i="2"/>
  <c r="H82" i="2"/>
  <c r="G82" i="2"/>
  <c r="AB81" i="2"/>
  <c r="Y81" i="2"/>
  <c r="Z81" i="2" s="1"/>
  <c r="AA81" i="2" s="1"/>
  <c r="V81" i="2"/>
  <c r="U81" i="2"/>
  <c r="R81" i="2"/>
  <c r="O81" i="2"/>
  <c r="N81" i="2"/>
  <c r="K81" i="2"/>
  <c r="H81" i="2"/>
  <c r="G81" i="2"/>
  <c r="I81" i="2" s="1"/>
  <c r="J81" i="2" s="1"/>
  <c r="AB80" i="2"/>
  <c r="Y80" i="2"/>
  <c r="V80" i="2"/>
  <c r="U80" i="2"/>
  <c r="R80" i="2"/>
  <c r="S80" i="2" s="1"/>
  <c r="T80" i="2" s="1"/>
  <c r="O80" i="2"/>
  <c r="N80" i="2"/>
  <c r="K80" i="2"/>
  <c r="H80" i="2"/>
  <c r="I80" i="2" s="1"/>
  <c r="J80" i="2" s="1"/>
  <c r="G80" i="2"/>
  <c r="L80" i="2" s="1"/>
  <c r="M80" i="2" s="1"/>
  <c r="AB79" i="2"/>
  <c r="Y79" i="2"/>
  <c r="Z79" i="2" s="1"/>
  <c r="AA79" i="2" s="1"/>
  <c r="V79" i="2"/>
  <c r="W79" i="2" s="1"/>
  <c r="X79" i="2" s="1"/>
  <c r="U79" i="2"/>
  <c r="R79" i="2"/>
  <c r="O79" i="2"/>
  <c r="N79" i="2"/>
  <c r="K79" i="2"/>
  <c r="H79" i="2"/>
  <c r="G79" i="2"/>
  <c r="AB78" i="2"/>
  <c r="Y78" i="2"/>
  <c r="Z78" i="2" s="1"/>
  <c r="AA78" i="2" s="1"/>
  <c r="V78" i="2"/>
  <c r="U78" i="2"/>
  <c r="R78" i="2"/>
  <c r="O78" i="2"/>
  <c r="N78" i="2"/>
  <c r="K78" i="2"/>
  <c r="L78" i="2" s="1"/>
  <c r="M78" i="2" s="1"/>
  <c r="H78" i="2"/>
  <c r="G78" i="2"/>
  <c r="AB77" i="2"/>
  <c r="Y77" i="2"/>
  <c r="V77" i="2"/>
  <c r="U77" i="2"/>
  <c r="R77" i="2"/>
  <c r="O77" i="2"/>
  <c r="N77" i="2"/>
  <c r="K77" i="2"/>
  <c r="H77" i="2"/>
  <c r="G77" i="2"/>
  <c r="I77" i="2" s="1"/>
  <c r="J77" i="2" s="1"/>
  <c r="AB76" i="2"/>
  <c r="Y76" i="2"/>
  <c r="Y74" i="2" s="1"/>
  <c r="V76" i="2"/>
  <c r="U76" i="2"/>
  <c r="W76" i="2" s="1"/>
  <c r="X76" i="2" s="1"/>
  <c r="R76" i="2"/>
  <c r="O76" i="2"/>
  <c r="N76" i="2"/>
  <c r="P76" i="2" s="1"/>
  <c r="Q76" i="2" s="1"/>
  <c r="K76" i="2"/>
  <c r="L76" i="2" s="1"/>
  <c r="M76" i="2" s="1"/>
  <c r="H76" i="2"/>
  <c r="G76" i="2"/>
  <c r="AB75" i="2"/>
  <c r="Y75" i="2"/>
  <c r="Z75" i="2" s="1"/>
  <c r="AA75" i="2" s="1"/>
  <c r="V75" i="2"/>
  <c r="U75" i="2"/>
  <c r="R75" i="2"/>
  <c r="O75" i="2"/>
  <c r="N75" i="2"/>
  <c r="K75" i="2"/>
  <c r="H75" i="2"/>
  <c r="G75" i="2"/>
  <c r="AB71" i="2"/>
  <c r="Y71" i="2"/>
  <c r="Z71" i="2" s="1"/>
  <c r="AA71" i="2" s="1"/>
  <c r="V71" i="2"/>
  <c r="W71" i="2" s="1"/>
  <c r="X71" i="2" s="1"/>
  <c r="U71" i="2"/>
  <c r="R71" i="2"/>
  <c r="O71" i="2"/>
  <c r="N71" i="2"/>
  <c r="P71" i="2" s="1"/>
  <c r="Q71" i="2" s="1"/>
  <c r="K71" i="2"/>
  <c r="H71" i="2"/>
  <c r="G71" i="2"/>
  <c r="AB70" i="2"/>
  <c r="Y70" i="2"/>
  <c r="V70" i="2"/>
  <c r="U70" i="2"/>
  <c r="R70" i="2"/>
  <c r="O70" i="2"/>
  <c r="N70" i="2"/>
  <c r="P70" i="2" s="1"/>
  <c r="Q70" i="2" s="1"/>
  <c r="K70" i="2"/>
  <c r="L70" i="2" s="1"/>
  <c r="M70" i="2" s="1"/>
  <c r="H70" i="2"/>
  <c r="G70" i="2"/>
  <c r="AB69" i="2"/>
  <c r="Y69" i="2"/>
  <c r="V69" i="2"/>
  <c r="U69" i="2"/>
  <c r="Z69" i="2" s="1"/>
  <c r="AA69" i="2" s="1"/>
  <c r="R69" i="2"/>
  <c r="O69" i="2"/>
  <c r="N69" i="2"/>
  <c r="K69" i="2"/>
  <c r="H69" i="2"/>
  <c r="G69" i="2"/>
  <c r="I69" i="2" s="1"/>
  <c r="J69" i="2" s="1"/>
  <c r="U68" i="2"/>
  <c r="AB65" i="2"/>
  <c r="Y65" i="2"/>
  <c r="Z65" i="2" s="1"/>
  <c r="AA65" i="2" s="1"/>
  <c r="V65" i="2"/>
  <c r="W65" i="2" s="1"/>
  <c r="X65" i="2" s="1"/>
  <c r="U65" i="2"/>
  <c r="R65" i="2"/>
  <c r="O65" i="2"/>
  <c r="N65" i="2"/>
  <c r="P65" i="2" s="1"/>
  <c r="Q65" i="2" s="1"/>
  <c r="K65" i="2"/>
  <c r="H65" i="2"/>
  <c r="G65" i="2"/>
  <c r="AB64" i="2"/>
  <c r="Y64" i="2"/>
  <c r="Z64" i="2" s="1"/>
  <c r="AA64" i="2" s="1"/>
  <c r="V64" i="2"/>
  <c r="U64" i="2"/>
  <c r="R64" i="2"/>
  <c r="O64" i="2"/>
  <c r="N64" i="2"/>
  <c r="K64" i="2"/>
  <c r="H64" i="2"/>
  <c r="G64" i="2"/>
  <c r="AB63" i="2"/>
  <c r="Y63" i="2"/>
  <c r="V63" i="2"/>
  <c r="U63" i="2"/>
  <c r="R63" i="2"/>
  <c r="O63" i="2"/>
  <c r="N63" i="2"/>
  <c r="K63" i="2"/>
  <c r="H63" i="2"/>
  <c r="G63" i="2"/>
  <c r="U62" i="2"/>
  <c r="AB59" i="2"/>
  <c r="Z59" i="2"/>
  <c r="AA59" i="2" s="1"/>
  <c r="Y59" i="2"/>
  <c r="V59" i="2"/>
  <c r="U59" i="2"/>
  <c r="R59" i="2"/>
  <c r="O59" i="2"/>
  <c r="N59" i="2"/>
  <c r="K59" i="2"/>
  <c r="H59" i="2"/>
  <c r="G59" i="2"/>
  <c r="AB58" i="2"/>
  <c r="Y58" i="2"/>
  <c r="Z58" i="2" s="1"/>
  <c r="AA58" i="2" s="1"/>
  <c r="V58" i="2"/>
  <c r="U58" i="2"/>
  <c r="R58" i="2"/>
  <c r="O58" i="2"/>
  <c r="N58" i="2"/>
  <c r="P58" i="2" s="1"/>
  <c r="Q58" i="2" s="1"/>
  <c r="K58" i="2"/>
  <c r="H58" i="2"/>
  <c r="G58" i="2"/>
  <c r="L58" i="2" s="1"/>
  <c r="M58" i="2" s="1"/>
  <c r="AB57" i="2"/>
  <c r="Y57" i="2"/>
  <c r="V57" i="2"/>
  <c r="U57" i="2"/>
  <c r="R57" i="2"/>
  <c r="O57" i="2"/>
  <c r="N57" i="2"/>
  <c r="P57" i="2" s="1"/>
  <c r="Q57" i="2" s="1"/>
  <c r="K57" i="2"/>
  <c r="L57" i="2" s="1"/>
  <c r="M57" i="2" s="1"/>
  <c r="H57" i="2"/>
  <c r="G57" i="2"/>
  <c r="AB56" i="2"/>
  <c r="Y56" i="2"/>
  <c r="V56" i="2"/>
  <c r="U56" i="2"/>
  <c r="S56" i="2"/>
  <c r="T56" i="2" s="1"/>
  <c r="R56" i="2"/>
  <c r="O56" i="2"/>
  <c r="N56" i="2"/>
  <c r="K56" i="2"/>
  <c r="K55" i="2" s="1"/>
  <c r="H56" i="2"/>
  <c r="G56" i="2"/>
  <c r="G55" i="2" s="1"/>
  <c r="AB52" i="2"/>
  <c r="AB51" i="2" s="1"/>
  <c r="AB366" i="2" s="1"/>
  <c r="Y52" i="2"/>
  <c r="Y51" i="2" s="1"/>
  <c r="V52" i="2"/>
  <c r="V51" i="2" s="1"/>
  <c r="U52" i="2"/>
  <c r="W52" i="2" s="1"/>
  <c r="X52" i="2" s="1"/>
  <c r="R52" i="2"/>
  <c r="O52" i="2"/>
  <c r="O51" i="2" s="1"/>
  <c r="O366" i="2" s="1"/>
  <c r="N52" i="2"/>
  <c r="S52" i="2" s="1"/>
  <c r="T52" i="2" s="1"/>
  <c r="L52" i="2"/>
  <c r="M52" i="2" s="1"/>
  <c r="K52" i="2"/>
  <c r="K51" i="2" s="1"/>
  <c r="K366" i="2" s="1"/>
  <c r="H52" i="2"/>
  <c r="G52" i="2"/>
  <c r="R51" i="2"/>
  <c r="N51" i="2"/>
  <c r="G51" i="2"/>
  <c r="AB48" i="2"/>
  <c r="Y48" i="2"/>
  <c r="V48" i="2"/>
  <c r="U48" i="2"/>
  <c r="R48" i="2"/>
  <c r="O48" i="2"/>
  <c r="N48" i="2"/>
  <c r="S48" i="2" s="1"/>
  <c r="T48" i="2" s="1"/>
  <c r="K48" i="2"/>
  <c r="H48" i="2"/>
  <c r="G48" i="2"/>
  <c r="AB47" i="2"/>
  <c r="Y47" i="2"/>
  <c r="V47" i="2"/>
  <c r="U47" i="2"/>
  <c r="R47" i="2"/>
  <c r="O47" i="2"/>
  <c r="N47" i="2"/>
  <c r="K47" i="2"/>
  <c r="L47" i="2" s="1"/>
  <c r="M47" i="2" s="1"/>
  <c r="H47" i="2"/>
  <c r="G47" i="2"/>
  <c r="I47" i="2" s="1"/>
  <c r="J47" i="2" s="1"/>
  <c r="AB46" i="2"/>
  <c r="Y46" i="2"/>
  <c r="V46" i="2"/>
  <c r="U46" i="2"/>
  <c r="W46" i="2" s="1"/>
  <c r="X46" i="2" s="1"/>
  <c r="R46" i="2"/>
  <c r="O46" i="2"/>
  <c r="N46" i="2"/>
  <c r="K46" i="2"/>
  <c r="H46" i="2"/>
  <c r="G46" i="2"/>
  <c r="AB45" i="2"/>
  <c r="Y45" i="2"/>
  <c r="Z45" i="2" s="1"/>
  <c r="AA45" i="2" s="1"/>
  <c r="V45" i="2"/>
  <c r="U45" i="2"/>
  <c r="R45" i="2"/>
  <c r="O45" i="2"/>
  <c r="N45" i="2"/>
  <c r="K45" i="2"/>
  <c r="H45" i="2"/>
  <c r="G45" i="2"/>
  <c r="I45" i="2" s="1"/>
  <c r="J45" i="2" s="1"/>
  <c r="AB44" i="2"/>
  <c r="Y44" i="2"/>
  <c r="V44" i="2"/>
  <c r="U44" i="2"/>
  <c r="R44" i="2"/>
  <c r="O44" i="2"/>
  <c r="N44" i="2"/>
  <c r="S44" i="2" s="1"/>
  <c r="T44" i="2" s="1"/>
  <c r="K44" i="2"/>
  <c r="L44" i="2" s="1"/>
  <c r="M44" i="2" s="1"/>
  <c r="H44" i="2"/>
  <c r="G44" i="2"/>
  <c r="AB43" i="2"/>
  <c r="Y43" i="2"/>
  <c r="V43" i="2"/>
  <c r="U43" i="2"/>
  <c r="Z43" i="2" s="1"/>
  <c r="AA43" i="2" s="1"/>
  <c r="R43" i="2"/>
  <c r="S43" i="2" s="1"/>
  <c r="T43" i="2" s="1"/>
  <c r="O43" i="2"/>
  <c r="N43" i="2"/>
  <c r="K43" i="2"/>
  <c r="H43" i="2"/>
  <c r="G43" i="2"/>
  <c r="I43" i="2" s="1"/>
  <c r="J43" i="2" s="1"/>
  <c r="AB42" i="2"/>
  <c r="Y42" i="2"/>
  <c r="V42" i="2"/>
  <c r="U42" i="2"/>
  <c r="W42" i="2" s="1"/>
  <c r="X42" i="2" s="1"/>
  <c r="R42" i="2"/>
  <c r="O42" i="2"/>
  <c r="N42" i="2"/>
  <c r="K42" i="2"/>
  <c r="H42" i="2"/>
  <c r="G42" i="2"/>
  <c r="AB41" i="2"/>
  <c r="Y41" i="2"/>
  <c r="Z41" i="2" s="1"/>
  <c r="AA41" i="2" s="1"/>
  <c r="V41" i="2"/>
  <c r="U41" i="2"/>
  <c r="R41" i="2"/>
  <c r="O41" i="2"/>
  <c r="N41" i="2"/>
  <c r="K41" i="2"/>
  <c r="H41" i="2"/>
  <c r="G41" i="2"/>
  <c r="I41" i="2" s="1"/>
  <c r="J41" i="2" s="1"/>
  <c r="AB40" i="2"/>
  <c r="Y40" i="2"/>
  <c r="Z40" i="2" s="1"/>
  <c r="AA40" i="2" s="1"/>
  <c r="V40" i="2"/>
  <c r="U40" i="2"/>
  <c r="R40" i="2"/>
  <c r="S40" i="2" s="1"/>
  <c r="T40" i="2" s="1"/>
  <c r="O40" i="2"/>
  <c r="N40" i="2"/>
  <c r="P40" i="2" s="1"/>
  <c r="Q40" i="2" s="1"/>
  <c r="K40" i="2"/>
  <c r="H40" i="2"/>
  <c r="G40" i="2"/>
  <c r="L40" i="2" s="1"/>
  <c r="M40" i="2" s="1"/>
  <c r="AB39" i="2"/>
  <c r="Y39" i="2"/>
  <c r="V39" i="2"/>
  <c r="U39" i="2"/>
  <c r="R39" i="2"/>
  <c r="O39" i="2"/>
  <c r="N39" i="2"/>
  <c r="P39" i="2" s="1"/>
  <c r="Q39" i="2" s="1"/>
  <c r="K39" i="2"/>
  <c r="L39" i="2" s="1"/>
  <c r="M39" i="2" s="1"/>
  <c r="H39" i="2"/>
  <c r="G39" i="2"/>
  <c r="AB38" i="2"/>
  <c r="Y38" i="2"/>
  <c r="V38" i="2"/>
  <c r="U38" i="2"/>
  <c r="T38" i="2"/>
  <c r="R38" i="2"/>
  <c r="S38" i="2" s="1"/>
  <c r="O38" i="2"/>
  <c r="P38" i="2" s="1"/>
  <c r="Q38" i="2" s="1"/>
  <c r="N38" i="2"/>
  <c r="K38" i="2"/>
  <c r="H38" i="2"/>
  <c r="G38" i="2"/>
  <c r="AB37" i="2"/>
  <c r="Y37" i="2"/>
  <c r="Z37" i="2" s="1"/>
  <c r="AA37" i="2" s="1"/>
  <c r="V37" i="2"/>
  <c r="U37" i="2"/>
  <c r="R37" i="2"/>
  <c r="O37" i="2"/>
  <c r="N37" i="2"/>
  <c r="K37" i="2"/>
  <c r="H37" i="2"/>
  <c r="G37" i="2"/>
  <c r="I37" i="2" s="1"/>
  <c r="J37" i="2" s="1"/>
  <c r="AB36" i="2"/>
  <c r="Y36" i="2"/>
  <c r="V36" i="2"/>
  <c r="U36" i="2"/>
  <c r="R36" i="2"/>
  <c r="O36" i="2"/>
  <c r="N36" i="2"/>
  <c r="L36" i="2"/>
  <c r="M36" i="2" s="1"/>
  <c r="K36" i="2"/>
  <c r="H36" i="2"/>
  <c r="G36" i="2"/>
  <c r="AB35" i="2"/>
  <c r="Y35" i="2"/>
  <c r="V35" i="2"/>
  <c r="U35" i="2"/>
  <c r="R35" i="2"/>
  <c r="S35" i="2" s="1"/>
  <c r="T35" i="2" s="1"/>
  <c r="O35" i="2"/>
  <c r="N35" i="2"/>
  <c r="P35" i="2" s="1"/>
  <c r="Q35" i="2" s="1"/>
  <c r="K35" i="2"/>
  <c r="H35" i="2"/>
  <c r="G35" i="2"/>
  <c r="AB34" i="2"/>
  <c r="Y34" i="2"/>
  <c r="V34" i="2"/>
  <c r="U34" i="2"/>
  <c r="R34" i="2"/>
  <c r="O34" i="2"/>
  <c r="N34" i="2"/>
  <c r="K34" i="2"/>
  <c r="L34" i="2" s="1"/>
  <c r="M34" i="2" s="1"/>
  <c r="H34" i="2"/>
  <c r="G34" i="2"/>
  <c r="AB33" i="2"/>
  <c r="Y33" i="2"/>
  <c r="Z33" i="2" s="1"/>
  <c r="AA33" i="2" s="1"/>
  <c r="V33" i="2"/>
  <c r="W33" i="2" s="1"/>
  <c r="X33" i="2" s="1"/>
  <c r="U33" i="2"/>
  <c r="R33" i="2"/>
  <c r="O33" i="2"/>
  <c r="N33" i="2"/>
  <c r="P33" i="2" s="1"/>
  <c r="Q33" i="2" s="1"/>
  <c r="K33" i="2"/>
  <c r="H33" i="2"/>
  <c r="G33" i="2"/>
  <c r="AB32" i="2"/>
  <c r="Y32" i="2"/>
  <c r="V32" i="2"/>
  <c r="U32" i="2"/>
  <c r="R32" i="2"/>
  <c r="S32" i="2" s="1"/>
  <c r="T32" i="2" s="1"/>
  <c r="O32" i="2"/>
  <c r="N32" i="2"/>
  <c r="P32" i="2" s="1"/>
  <c r="Q32" i="2" s="1"/>
  <c r="K32" i="2"/>
  <c r="H32" i="2"/>
  <c r="G32" i="2"/>
  <c r="AB31" i="2"/>
  <c r="Y31" i="2"/>
  <c r="Z31" i="2" s="1"/>
  <c r="AA31" i="2" s="1"/>
  <c r="V31" i="2"/>
  <c r="U31" i="2"/>
  <c r="R31" i="2"/>
  <c r="O31" i="2"/>
  <c r="N31" i="2"/>
  <c r="P31" i="2" s="1"/>
  <c r="Q31" i="2" s="1"/>
  <c r="K31" i="2"/>
  <c r="H31" i="2"/>
  <c r="G31" i="2"/>
  <c r="AB30" i="2"/>
  <c r="Y30" i="2"/>
  <c r="V30" i="2"/>
  <c r="U30" i="2"/>
  <c r="R30" i="2"/>
  <c r="O30" i="2"/>
  <c r="P30" i="2" s="1"/>
  <c r="Q30" i="2" s="1"/>
  <c r="N30" i="2"/>
  <c r="K30" i="2"/>
  <c r="L30" i="2" s="1"/>
  <c r="M30" i="2" s="1"/>
  <c r="H30" i="2"/>
  <c r="G30" i="2"/>
  <c r="AB29" i="2"/>
  <c r="Y29" i="2"/>
  <c r="V29" i="2"/>
  <c r="U29" i="2"/>
  <c r="R29" i="2"/>
  <c r="O29" i="2"/>
  <c r="N29" i="2"/>
  <c r="K29" i="2"/>
  <c r="H29" i="2"/>
  <c r="G29" i="2"/>
  <c r="I29" i="2" s="1"/>
  <c r="J29" i="2" s="1"/>
  <c r="AB28" i="2"/>
  <c r="Y28" i="2"/>
  <c r="V28" i="2"/>
  <c r="U28" i="2"/>
  <c r="W28" i="2" s="1"/>
  <c r="X28" i="2" s="1"/>
  <c r="R28" i="2"/>
  <c r="O28" i="2"/>
  <c r="N28" i="2"/>
  <c r="K28" i="2"/>
  <c r="H28" i="2"/>
  <c r="G28" i="2"/>
  <c r="L28" i="2" s="1"/>
  <c r="M28" i="2" s="1"/>
  <c r="AB27" i="2"/>
  <c r="Y27" i="2"/>
  <c r="V27" i="2"/>
  <c r="W27" i="2" s="1"/>
  <c r="X27" i="2" s="1"/>
  <c r="U27" i="2"/>
  <c r="Z27" i="2" s="1"/>
  <c r="AA27" i="2" s="1"/>
  <c r="R27" i="2"/>
  <c r="O27" i="2"/>
  <c r="N27" i="2"/>
  <c r="P27" i="2" s="1"/>
  <c r="Q27" i="2" s="1"/>
  <c r="K27" i="2"/>
  <c r="H27" i="2"/>
  <c r="G27" i="2"/>
  <c r="AB26" i="2"/>
  <c r="Y26" i="2"/>
  <c r="V26" i="2"/>
  <c r="U26" i="2"/>
  <c r="R26" i="2"/>
  <c r="O26" i="2"/>
  <c r="N26" i="2"/>
  <c r="P26" i="2" s="1"/>
  <c r="Q26" i="2" s="1"/>
  <c r="K26" i="2"/>
  <c r="L26" i="2" s="1"/>
  <c r="M26" i="2" s="1"/>
  <c r="H26" i="2"/>
  <c r="G26" i="2"/>
  <c r="AB22" i="2"/>
  <c r="Y22" i="2"/>
  <c r="V22" i="2"/>
  <c r="U22" i="2"/>
  <c r="R22" i="2"/>
  <c r="O22" i="2"/>
  <c r="P22" i="2" s="1"/>
  <c r="Q22" i="2" s="1"/>
  <c r="N22" i="2"/>
  <c r="K22" i="2"/>
  <c r="H22" i="2"/>
  <c r="I22" i="2" s="1"/>
  <c r="J22" i="2" s="1"/>
  <c r="G22" i="2"/>
  <c r="L22" i="2" s="1"/>
  <c r="M22" i="2" s="1"/>
  <c r="AB21" i="2"/>
  <c r="Y21" i="2"/>
  <c r="V21" i="2"/>
  <c r="U21" i="2"/>
  <c r="R21" i="2"/>
  <c r="O21" i="2"/>
  <c r="N21" i="2"/>
  <c r="K21" i="2"/>
  <c r="H21" i="2"/>
  <c r="G21" i="2"/>
  <c r="AB20" i="2"/>
  <c r="Y20" i="2"/>
  <c r="V20" i="2"/>
  <c r="U20" i="2"/>
  <c r="R20" i="2"/>
  <c r="O20" i="2"/>
  <c r="N20" i="2"/>
  <c r="S20" i="2" s="1"/>
  <c r="T20" i="2" s="1"/>
  <c r="K20" i="2"/>
  <c r="H20" i="2"/>
  <c r="G20" i="2"/>
  <c r="AB19" i="2"/>
  <c r="Y19" i="2"/>
  <c r="Z19" i="2" s="1"/>
  <c r="AA19" i="2" s="1"/>
  <c r="V19" i="2"/>
  <c r="U19" i="2"/>
  <c r="R19" i="2"/>
  <c r="O19" i="2"/>
  <c r="N19" i="2"/>
  <c r="K19" i="2"/>
  <c r="H19" i="2"/>
  <c r="G19" i="2"/>
  <c r="AB18" i="2"/>
  <c r="Y18" i="2"/>
  <c r="Z18" i="2" s="1"/>
  <c r="AA18" i="2" s="1"/>
  <c r="V18" i="2"/>
  <c r="U18" i="2"/>
  <c r="R18" i="2"/>
  <c r="O18" i="2"/>
  <c r="N18" i="2"/>
  <c r="P18" i="2" s="1"/>
  <c r="Q18" i="2" s="1"/>
  <c r="K18" i="2"/>
  <c r="L18" i="2" s="1"/>
  <c r="M18" i="2" s="1"/>
  <c r="H18" i="2"/>
  <c r="G18" i="2"/>
  <c r="AB17" i="2"/>
  <c r="Y17" i="2"/>
  <c r="V17" i="2"/>
  <c r="U17" i="2"/>
  <c r="Z17" i="2" s="1"/>
  <c r="AA17" i="2" s="1"/>
  <c r="R17" i="2"/>
  <c r="O17" i="2"/>
  <c r="N17" i="2"/>
  <c r="K17" i="2"/>
  <c r="L17" i="2" s="1"/>
  <c r="M17" i="2" s="1"/>
  <c r="H17" i="2"/>
  <c r="G17" i="2"/>
  <c r="AB16" i="2"/>
  <c r="Y16" i="2"/>
  <c r="V16" i="2"/>
  <c r="U16" i="2"/>
  <c r="R16" i="2"/>
  <c r="O16" i="2"/>
  <c r="P16" i="2" s="1"/>
  <c r="Q16" i="2" s="1"/>
  <c r="N16" i="2"/>
  <c r="K16" i="2"/>
  <c r="H16" i="2"/>
  <c r="G16" i="2"/>
  <c r="AB15" i="2"/>
  <c r="Y15" i="2"/>
  <c r="V15" i="2"/>
  <c r="W15" i="2" s="1"/>
  <c r="X15" i="2" s="1"/>
  <c r="U15" i="2"/>
  <c r="R15" i="2"/>
  <c r="O15" i="2"/>
  <c r="N15" i="2"/>
  <c r="P15" i="2" s="1"/>
  <c r="Q15" i="2" s="1"/>
  <c r="K15" i="2"/>
  <c r="H15" i="2"/>
  <c r="G15" i="2"/>
  <c r="AB14" i="2"/>
  <c r="Y14" i="2"/>
  <c r="V14" i="2"/>
  <c r="U14" i="2"/>
  <c r="R14" i="2"/>
  <c r="O14" i="2"/>
  <c r="N14" i="2"/>
  <c r="K14" i="2"/>
  <c r="L14" i="2" s="1"/>
  <c r="M14" i="2" s="1"/>
  <c r="H14" i="2"/>
  <c r="G14" i="2"/>
  <c r="AB149" i="1"/>
  <c r="X149" i="1"/>
  <c r="U149" i="1"/>
  <c r="T149" i="1"/>
  <c r="P149" i="1"/>
  <c r="M149" i="1"/>
  <c r="L149" i="1"/>
  <c r="H149" i="1"/>
  <c r="E149" i="1"/>
  <c r="D149" i="1"/>
  <c r="AB148" i="1"/>
  <c r="AB151" i="1" s="1"/>
  <c r="X148" i="1"/>
  <c r="U148" i="1"/>
  <c r="T148" i="1"/>
  <c r="P148" i="1"/>
  <c r="M148" i="1"/>
  <c r="L148" i="1"/>
  <c r="H148" i="1"/>
  <c r="E148" i="1"/>
  <c r="E151" i="1" s="1"/>
  <c r="D148" i="1"/>
  <c r="AB104" i="1"/>
  <c r="X104" i="1"/>
  <c r="U104" i="1"/>
  <c r="T104" i="1"/>
  <c r="P104" i="1"/>
  <c r="M104" i="1"/>
  <c r="L104" i="1"/>
  <c r="H104" i="1"/>
  <c r="E104" i="1"/>
  <c r="D104" i="1"/>
  <c r="AB100" i="1"/>
  <c r="X100" i="1"/>
  <c r="U100" i="1"/>
  <c r="U98" i="1" s="1"/>
  <c r="U94" i="1" s="1"/>
  <c r="T100" i="1"/>
  <c r="P100" i="1"/>
  <c r="M100" i="1"/>
  <c r="L100" i="1"/>
  <c r="H100" i="1"/>
  <c r="E100" i="1"/>
  <c r="D100" i="1"/>
  <c r="AB99" i="1"/>
  <c r="X99" i="1"/>
  <c r="U99" i="1"/>
  <c r="T99" i="1"/>
  <c r="P99" i="1"/>
  <c r="P98" i="1" s="1"/>
  <c r="M99" i="1"/>
  <c r="M98" i="1" s="1"/>
  <c r="L99" i="1"/>
  <c r="Q99" i="1" s="1"/>
  <c r="R99" i="1" s="1"/>
  <c r="H99" i="1"/>
  <c r="E99" i="1"/>
  <c r="D99" i="1"/>
  <c r="I99" i="1" s="1"/>
  <c r="J99" i="1" s="1"/>
  <c r="H98" i="1"/>
  <c r="AB97" i="1"/>
  <c r="X97" i="1"/>
  <c r="U97" i="1"/>
  <c r="T97" i="1"/>
  <c r="V97" i="1" s="1"/>
  <c r="W97" i="1" s="1"/>
  <c r="P97" i="1"/>
  <c r="M97" i="1"/>
  <c r="L97" i="1"/>
  <c r="N97" i="1" s="1"/>
  <c r="O97" i="1" s="1"/>
  <c r="H97" i="1"/>
  <c r="E97" i="1"/>
  <c r="D97" i="1"/>
  <c r="AB96" i="1"/>
  <c r="X96" i="1"/>
  <c r="U96" i="1"/>
  <c r="T96" i="1"/>
  <c r="Y96" i="1" s="1"/>
  <c r="Z96" i="1" s="1"/>
  <c r="P96" i="1"/>
  <c r="M96" i="1"/>
  <c r="L96" i="1"/>
  <c r="H96" i="1"/>
  <c r="H94" i="1" s="1"/>
  <c r="E96" i="1"/>
  <c r="D96" i="1"/>
  <c r="AB95" i="1"/>
  <c r="X95" i="1"/>
  <c r="U95" i="1"/>
  <c r="T95" i="1"/>
  <c r="P95" i="1"/>
  <c r="M95" i="1"/>
  <c r="N95" i="1" s="1"/>
  <c r="O95" i="1" s="1"/>
  <c r="L95" i="1"/>
  <c r="H95" i="1"/>
  <c r="E95" i="1"/>
  <c r="D95" i="1"/>
  <c r="I95" i="1" s="1"/>
  <c r="J95" i="1" s="1"/>
  <c r="Z93" i="1"/>
  <c r="Y93" i="1"/>
  <c r="V93" i="1"/>
  <c r="W93" i="1" s="1"/>
  <c r="Q93" i="1"/>
  <c r="R93" i="1" s="1"/>
  <c r="N93" i="1"/>
  <c r="O93" i="1" s="1"/>
  <c r="I93" i="1"/>
  <c r="J93" i="1" s="1"/>
  <c r="F93" i="1"/>
  <c r="G93" i="1" s="1"/>
  <c r="AB92" i="1"/>
  <c r="X92" i="1"/>
  <c r="X90" i="1" s="1"/>
  <c r="U92" i="1"/>
  <c r="T92" i="1"/>
  <c r="P92" i="1"/>
  <c r="M92" i="1"/>
  <c r="N92" i="1" s="1"/>
  <c r="O92" i="1" s="1"/>
  <c r="L92" i="1"/>
  <c r="H92" i="1"/>
  <c r="E92" i="1"/>
  <c r="D92" i="1"/>
  <c r="AB91" i="1"/>
  <c r="Y91" i="1"/>
  <c r="Z91" i="1" s="1"/>
  <c r="X91" i="1"/>
  <c r="U91" i="1"/>
  <c r="T91" i="1"/>
  <c r="P91" i="1"/>
  <c r="M91" i="1"/>
  <c r="L91" i="1"/>
  <c r="H91" i="1"/>
  <c r="E91" i="1"/>
  <c r="E90" i="1" s="1"/>
  <c r="D91" i="1"/>
  <c r="AB89" i="1"/>
  <c r="X89" i="1"/>
  <c r="U89" i="1"/>
  <c r="T89" i="1"/>
  <c r="Y89" i="1" s="1"/>
  <c r="Z89" i="1" s="1"/>
  <c r="P89" i="1"/>
  <c r="M89" i="1"/>
  <c r="L89" i="1"/>
  <c r="H89" i="1"/>
  <c r="H87" i="1" s="1"/>
  <c r="E89" i="1"/>
  <c r="D89" i="1"/>
  <c r="AB88" i="1"/>
  <c r="X88" i="1"/>
  <c r="U88" i="1"/>
  <c r="T88" i="1"/>
  <c r="V88" i="1" s="1"/>
  <c r="W88" i="1" s="1"/>
  <c r="P88" i="1"/>
  <c r="M88" i="1"/>
  <c r="N88" i="1" s="1"/>
  <c r="O88" i="1" s="1"/>
  <c r="L88" i="1"/>
  <c r="H88" i="1"/>
  <c r="E88" i="1"/>
  <c r="D88" i="1"/>
  <c r="AB86" i="1"/>
  <c r="X86" i="1"/>
  <c r="U86" i="1"/>
  <c r="T86" i="1"/>
  <c r="P86" i="1"/>
  <c r="M86" i="1"/>
  <c r="L86" i="1"/>
  <c r="N86" i="1" s="1"/>
  <c r="O86" i="1" s="1"/>
  <c r="H86" i="1"/>
  <c r="E86" i="1"/>
  <c r="D86" i="1"/>
  <c r="AB85" i="1"/>
  <c r="X85" i="1"/>
  <c r="U85" i="1"/>
  <c r="T85" i="1"/>
  <c r="P85" i="1"/>
  <c r="M85" i="1"/>
  <c r="L85" i="1"/>
  <c r="H85" i="1"/>
  <c r="E85" i="1"/>
  <c r="D85" i="1"/>
  <c r="AB80" i="1"/>
  <c r="X80" i="1"/>
  <c r="U80" i="1"/>
  <c r="T80" i="1"/>
  <c r="Y80" i="1" s="1"/>
  <c r="Z80" i="1" s="1"/>
  <c r="P80" i="1"/>
  <c r="M80" i="1"/>
  <c r="L80" i="1"/>
  <c r="H80" i="1"/>
  <c r="E80" i="1"/>
  <c r="D80" i="1"/>
  <c r="AB76" i="1"/>
  <c r="X76" i="1"/>
  <c r="U76" i="1"/>
  <c r="T76" i="1"/>
  <c r="P76" i="1"/>
  <c r="M76" i="1"/>
  <c r="L76" i="1"/>
  <c r="H76" i="1"/>
  <c r="H74" i="1" s="1"/>
  <c r="E76" i="1"/>
  <c r="D76" i="1"/>
  <c r="F76" i="1" s="1"/>
  <c r="G76" i="1" s="1"/>
  <c r="AB75" i="1"/>
  <c r="X75" i="1"/>
  <c r="U75" i="1"/>
  <c r="T75" i="1"/>
  <c r="P75" i="1"/>
  <c r="M75" i="1"/>
  <c r="M74" i="1" s="1"/>
  <c r="L75" i="1"/>
  <c r="I75" i="1"/>
  <c r="J75" i="1" s="1"/>
  <c r="H75" i="1"/>
  <c r="E75" i="1"/>
  <c r="D75" i="1"/>
  <c r="D74" i="1" s="1"/>
  <c r="AB73" i="1"/>
  <c r="X73" i="1"/>
  <c r="U73" i="1"/>
  <c r="T73" i="1"/>
  <c r="V73" i="1" s="1"/>
  <c r="W73" i="1" s="1"/>
  <c r="P73" i="1"/>
  <c r="M73" i="1"/>
  <c r="L73" i="1"/>
  <c r="I73" i="1"/>
  <c r="J73" i="1" s="1"/>
  <c r="H73" i="1"/>
  <c r="E73" i="1"/>
  <c r="D73" i="1"/>
  <c r="AB72" i="1"/>
  <c r="X72" i="1"/>
  <c r="U72" i="1"/>
  <c r="T72" i="1"/>
  <c r="Y72" i="1" s="1"/>
  <c r="Z72" i="1" s="1"/>
  <c r="P72" i="1"/>
  <c r="M72" i="1"/>
  <c r="L72" i="1"/>
  <c r="H72" i="1"/>
  <c r="E72" i="1"/>
  <c r="D72" i="1"/>
  <c r="AB71" i="1"/>
  <c r="X71" i="1"/>
  <c r="U71" i="1"/>
  <c r="T71" i="1"/>
  <c r="V71" i="1" s="1"/>
  <c r="W71" i="1" s="1"/>
  <c r="P71" i="1"/>
  <c r="M71" i="1"/>
  <c r="L71" i="1"/>
  <c r="H71" i="1"/>
  <c r="E71" i="1"/>
  <c r="D71" i="1"/>
  <c r="Y69" i="1"/>
  <c r="Z69" i="1" s="1"/>
  <c r="V69" i="1"/>
  <c r="W69" i="1" s="1"/>
  <c r="Q69" i="1"/>
  <c r="R69" i="1" s="1"/>
  <c r="N69" i="1"/>
  <c r="O69" i="1" s="1"/>
  <c r="I69" i="1"/>
  <c r="J69" i="1" s="1"/>
  <c r="F69" i="1"/>
  <c r="G69" i="1" s="1"/>
  <c r="AB68" i="1"/>
  <c r="AB66" i="1" s="1"/>
  <c r="X68" i="1"/>
  <c r="U68" i="1"/>
  <c r="T68" i="1"/>
  <c r="P68" i="1"/>
  <c r="M68" i="1"/>
  <c r="L68" i="1"/>
  <c r="H68" i="1"/>
  <c r="E68" i="1"/>
  <c r="D68" i="1"/>
  <c r="I68" i="1" s="1"/>
  <c r="J68" i="1" s="1"/>
  <c r="AB67" i="1"/>
  <c r="X67" i="1"/>
  <c r="X66" i="1" s="1"/>
  <c r="U67" i="1"/>
  <c r="T67" i="1"/>
  <c r="P67" i="1"/>
  <c r="M67" i="1"/>
  <c r="M66" i="1" s="1"/>
  <c r="L67" i="1"/>
  <c r="H67" i="1"/>
  <c r="E67" i="1"/>
  <c r="D67" i="1"/>
  <c r="F67" i="1" s="1"/>
  <c r="G67" i="1" s="1"/>
  <c r="T66" i="1"/>
  <c r="AB65" i="1"/>
  <c r="Y65" i="1"/>
  <c r="Z65" i="1" s="1"/>
  <c r="X65" i="1"/>
  <c r="U65" i="1"/>
  <c r="V65" i="1" s="1"/>
  <c r="W65" i="1" s="1"/>
  <c r="T65" i="1"/>
  <c r="P65" i="1"/>
  <c r="P63" i="1" s="1"/>
  <c r="M65" i="1"/>
  <c r="L65" i="1"/>
  <c r="L63" i="1" s="1"/>
  <c r="H65" i="1"/>
  <c r="E65" i="1"/>
  <c r="D65" i="1"/>
  <c r="AB64" i="1"/>
  <c r="AB63" i="1" s="1"/>
  <c r="X64" i="1"/>
  <c r="X63" i="1" s="1"/>
  <c r="U64" i="1"/>
  <c r="U63" i="1" s="1"/>
  <c r="T64" i="1"/>
  <c r="P64" i="1"/>
  <c r="M64" i="1"/>
  <c r="N64" i="1" s="1"/>
  <c r="O64" i="1" s="1"/>
  <c r="L64" i="1"/>
  <c r="H64" i="1"/>
  <c r="E64" i="1"/>
  <c r="D64" i="1"/>
  <c r="D63" i="1"/>
  <c r="AB62" i="1"/>
  <c r="X62" i="1"/>
  <c r="U62" i="1"/>
  <c r="T62" i="1"/>
  <c r="P62" i="1"/>
  <c r="M62" i="1"/>
  <c r="L62" i="1"/>
  <c r="I62" i="1"/>
  <c r="J62" i="1" s="1"/>
  <c r="H62" i="1"/>
  <c r="E62" i="1"/>
  <c r="D62" i="1"/>
  <c r="AB61" i="1"/>
  <c r="X61" i="1"/>
  <c r="U61" i="1"/>
  <c r="T61" i="1"/>
  <c r="Y61" i="1" s="1"/>
  <c r="Z61" i="1" s="1"/>
  <c r="P61" i="1"/>
  <c r="M61" i="1"/>
  <c r="L61" i="1"/>
  <c r="H61" i="1"/>
  <c r="E61" i="1"/>
  <c r="D61" i="1"/>
  <c r="AB56" i="1"/>
  <c r="X56" i="1"/>
  <c r="Y56" i="1" s="1"/>
  <c r="Z56" i="1" s="1"/>
  <c r="U56" i="1"/>
  <c r="T56" i="1"/>
  <c r="P56" i="1"/>
  <c r="M56" i="1"/>
  <c r="L56" i="1"/>
  <c r="H56" i="1"/>
  <c r="E56" i="1"/>
  <c r="D56" i="1"/>
  <c r="AB52" i="1"/>
  <c r="X52" i="1"/>
  <c r="U52" i="1"/>
  <c r="V52" i="1" s="1"/>
  <c r="W52" i="1" s="1"/>
  <c r="T52" i="1"/>
  <c r="Y52" i="1" s="1"/>
  <c r="Z52" i="1" s="1"/>
  <c r="P52" i="1"/>
  <c r="M52" i="1"/>
  <c r="M127" i="1" s="1"/>
  <c r="L52" i="1"/>
  <c r="L50" i="1" s="1"/>
  <c r="H52" i="1"/>
  <c r="E52" i="1"/>
  <c r="D52" i="1"/>
  <c r="F52" i="1" s="1"/>
  <c r="G52" i="1" s="1"/>
  <c r="AB51" i="1"/>
  <c r="X51" i="1"/>
  <c r="U51" i="1"/>
  <c r="T51" i="1"/>
  <c r="T126" i="1" s="1"/>
  <c r="P51" i="1"/>
  <c r="M51" i="1"/>
  <c r="N51" i="1" s="1"/>
  <c r="O51" i="1" s="1"/>
  <c r="L51" i="1"/>
  <c r="H51" i="1"/>
  <c r="E51" i="1"/>
  <c r="D51" i="1"/>
  <c r="D50" i="1" s="1"/>
  <c r="D46" i="1" s="1"/>
  <c r="AB49" i="1"/>
  <c r="X49" i="1"/>
  <c r="U49" i="1"/>
  <c r="T49" i="1"/>
  <c r="P49" i="1"/>
  <c r="M49" i="1"/>
  <c r="L49" i="1"/>
  <c r="H49" i="1"/>
  <c r="E49" i="1"/>
  <c r="D49" i="1"/>
  <c r="I49" i="1" s="1"/>
  <c r="J49" i="1" s="1"/>
  <c r="AB48" i="1"/>
  <c r="X48" i="1"/>
  <c r="U48" i="1"/>
  <c r="T48" i="1"/>
  <c r="P48" i="1"/>
  <c r="M48" i="1"/>
  <c r="L48" i="1"/>
  <c r="H48" i="1"/>
  <c r="E48" i="1"/>
  <c r="D48" i="1"/>
  <c r="F48" i="1" s="1"/>
  <c r="G48" i="1" s="1"/>
  <c r="AB47" i="1"/>
  <c r="X47" i="1"/>
  <c r="U47" i="1"/>
  <c r="T47" i="1"/>
  <c r="P47" i="1"/>
  <c r="M47" i="1"/>
  <c r="L47" i="1"/>
  <c r="I47" i="1"/>
  <c r="J47" i="1" s="1"/>
  <c r="H47" i="1"/>
  <c r="E47" i="1"/>
  <c r="D47" i="1"/>
  <c r="Y45" i="1"/>
  <c r="Z45" i="1" s="1"/>
  <c r="V45" i="1"/>
  <c r="W45" i="1" s="1"/>
  <c r="R45" i="1"/>
  <c r="Q45" i="1"/>
  <c r="N45" i="1"/>
  <c r="O45" i="1" s="1"/>
  <c r="J45" i="1"/>
  <c r="I45" i="1"/>
  <c r="F45" i="1"/>
  <c r="G45" i="1" s="1"/>
  <c r="AB44" i="1"/>
  <c r="X44" i="1"/>
  <c r="U44" i="1"/>
  <c r="T44" i="1"/>
  <c r="P44" i="1"/>
  <c r="N44" i="1"/>
  <c r="O44" i="1" s="1"/>
  <c r="M44" i="1"/>
  <c r="L44" i="1"/>
  <c r="H44" i="1"/>
  <c r="E44" i="1"/>
  <c r="D44" i="1"/>
  <c r="I44" i="1" s="1"/>
  <c r="J44" i="1" s="1"/>
  <c r="AB43" i="1"/>
  <c r="Y43" i="1"/>
  <c r="Z43" i="1" s="1"/>
  <c r="X43" i="1"/>
  <c r="X42" i="1" s="1"/>
  <c r="U43" i="1"/>
  <c r="T43" i="1"/>
  <c r="P43" i="1"/>
  <c r="M43" i="1"/>
  <c r="L43" i="1"/>
  <c r="H43" i="1"/>
  <c r="E43" i="1"/>
  <c r="D43" i="1"/>
  <c r="E42" i="1"/>
  <c r="AB41" i="1"/>
  <c r="Y41" i="1"/>
  <c r="Z41" i="1" s="1"/>
  <c r="X41" i="1"/>
  <c r="U41" i="1"/>
  <c r="V41" i="1" s="1"/>
  <c r="W41" i="1" s="1"/>
  <c r="T41" i="1"/>
  <c r="P41" i="1"/>
  <c r="M41" i="1"/>
  <c r="L41" i="1"/>
  <c r="L39" i="1" s="1"/>
  <c r="H41" i="1"/>
  <c r="G41" i="1"/>
  <c r="E41" i="1"/>
  <c r="D41" i="1"/>
  <c r="F41" i="1" s="1"/>
  <c r="AB40" i="1"/>
  <c r="X40" i="1"/>
  <c r="X39" i="1" s="1"/>
  <c r="U40" i="1"/>
  <c r="T40" i="1"/>
  <c r="V40" i="1" s="1"/>
  <c r="W40" i="1" s="1"/>
  <c r="P40" i="1"/>
  <c r="N40" i="1"/>
  <c r="O40" i="1" s="1"/>
  <c r="M40" i="1"/>
  <c r="L40" i="1"/>
  <c r="H40" i="1"/>
  <c r="H39" i="1" s="1"/>
  <c r="E40" i="1"/>
  <c r="D40" i="1"/>
  <c r="U39" i="1"/>
  <c r="M39" i="1"/>
  <c r="AB38" i="1"/>
  <c r="X38" i="1"/>
  <c r="U38" i="1"/>
  <c r="T38" i="1"/>
  <c r="P38" i="1"/>
  <c r="M38" i="1"/>
  <c r="L38" i="1"/>
  <c r="N38" i="1" s="1"/>
  <c r="O38" i="1" s="1"/>
  <c r="H38" i="1"/>
  <c r="E38" i="1"/>
  <c r="D38" i="1"/>
  <c r="AB37" i="1"/>
  <c r="X37" i="1"/>
  <c r="U37" i="1"/>
  <c r="T37" i="1"/>
  <c r="Y37" i="1" s="1"/>
  <c r="Z37" i="1" s="1"/>
  <c r="P37" i="1"/>
  <c r="M37" i="1"/>
  <c r="L37" i="1"/>
  <c r="H37" i="1"/>
  <c r="E37" i="1"/>
  <c r="D37" i="1"/>
  <c r="AB32" i="1"/>
  <c r="X32" i="1"/>
  <c r="U32" i="1"/>
  <c r="T32" i="1"/>
  <c r="P32" i="1"/>
  <c r="M32" i="1"/>
  <c r="L32" i="1"/>
  <c r="H32" i="1"/>
  <c r="E32" i="1"/>
  <c r="D32" i="1"/>
  <c r="AB28" i="1"/>
  <c r="X28" i="1"/>
  <c r="U28" i="1"/>
  <c r="U26" i="1" s="1"/>
  <c r="T28" i="1"/>
  <c r="P28" i="1"/>
  <c r="M28" i="1"/>
  <c r="L28" i="1"/>
  <c r="H28" i="1"/>
  <c r="E28" i="1"/>
  <c r="E127" i="1" s="1"/>
  <c r="D28" i="1"/>
  <c r="AB27" i="1"/>
  <c r="X27" i="1"/>
  <c r="U27" i="1"/>
  <c r="T27" i="1"/>
  <c r="P27" i="1"/>
  <c r="M27" i="1"/>
  <c r="L27" i="1"/>
  <c r="H27" i="1"/>
  <c r="E27" i="1"/>
  <c r="D27" i="1"/>
  <c r="D126" i="1" s="1"/>
  <c r="H26" i="1"/>
  <c r="AB25" i="1"/>
  <c r="X25" i="1"/>
  <c r="X124" i="1" s="1"/>
  <c r="U25" i="1"/>
  <c r="U124" i="1" s="1"/>
  <c r="T25" i="1"/>
  <c r="P25" i="1"/>
  <c r="M25" i="1"/>
  <c r="M124" i="1" s="1"/>
  <c r="L25" i="1"/>
  <c r="H25" i="1"/>
  <c r="E25" i="1"/>
  <c r="D25" i="1"/>
  <c r="I25" i="1" s="1"/>
  <c r="J25" i="1" s="1"/>
  <c r="AB24" i="1"/>
  <c r="X24" i="1"/>
  <c r="X123" i="1" s="1"/>
  <c r="U24" i="1"/>
  <c r="T24" i="1"/>
  <c r="P24" i="1"/>
  <c r="M24" i="1"/>
  <c r="L24" i="1"/>
  <c r="H24" i="1"/>
  <c r="H123" i="1" s="1"/>
  <c r="E24" i="1"/>
  <c r="D24" i="1"/>
  <c r="D123" i="1" s="1"/>
  <c r="AB23" i="1"/>
  <c r="X23" i="1"/>
  <c r="U23" i="1"/>
  <c r="U122" i="1" s="1"/>
  <c r="T23" i="1"/>
  <c r="P23" i="1"/>
  <c r="M23" i="1"/>
  <c r="N23" i="1" s="1"/>
  <c r="O23" i="1" s="1"/>
  <c r="L23" i="1"/>
  <c r="I23" i="1"/>
  <c r="J23" i="1" s="1"/>
  <c r="H23" i="1"/>
  <c r="E23" i="1"/>
  <c r="D23" i="1"/>
  <c r="AB21" i="1"/>
  <c r="AB120" i="1" s="1"/>
  <c r="X21" i="1"/>
  <c r="X120" i="1" s="1"/>
  <c r="U21" i="1"/>
  <c r="U120" i="1" s="1"/>
  <c r="T21" i="1"/>
  <c r="T120" i="1" s="1"/>
  <c r="P21" i="1"/>
  <c r="P120" i="1" s="1"/>
  <c r="M21" i="1"/>
  <c r="M120" i="1" s="1"/>
  <c r="L21" i="1"/>
  <c r="I21" i="1"/>
  <c r="J21" i="1" s="1"/>
  <c r="H21" i="1"/>
  <c r="H120" i="1" s="1"/>
  <c r="E21" i="1"/>
  <c r="F21" i="1" s="1"/>
  <c r="G21" i="1" s="1"/>
  <c r="D21" i="1"/>
  <c r="D120" i="1" s="1"/>
  <c r="AB20" i="1"/>
  <c r="X20" i="1"/>
  <c r="U20" i="1"/>
  <c r="U119" i="1" s="1"/>
  <c r="T20" i="1"/>
  <c r="P20" i="1"/>
  <c r="M20" i="1"/>
  <c r="L20" i="1"/>
  <c r="H20" i="1"/>
  <c r="E20" i="1"/>
  <c r="D20" i="1"/>
  <c r="AB19" i="1"/>
  <c r="X19" i="1"/>
  <c r="U19" i="1"/>
  <c r="U18" i="1" s="1"/>
  <c r="T19" i="1"/>
  <c r="P19" i="1"/>
  <c r="M19" i="1"/>
  <c r="M118" i="1" s="1"/>
  <c r="L19" i="1"/>
  <c r="H19" i="1"/>
  <c r="E19" i="1"/>
  <c r="D19" i="1"/>
  <c r="AB17" i="1"/>
  <c r="AB116" i="1" s="1"/>
  <c r="X17" i="1"/>
  <c r="U17" i="1"/>
  <c r="T17" i="1"/>
  <c r="P17" i="1"/>
  <c r="M17" i="1"/>
  <c r="L17" i="1"/>
  <c r="Q17" i="1" s="1"/>
  <c r="R17" i="1" s="1"/>
  <c r="H17" i="1"/>
  <c r="E17" i="1"/>
  <c r="D17" i="1"/>
  <c r="AB16" i="1"/>
  <c r="AB15" i="1" s="1"/>
  <c r="X16" i="1"/>
  <c r="U16" i="1"/>
  <c r="T16" i="1"/>
  <c r="Y16" i="1" s="1"/>
  <c r="Z16" i="1" s="1"/>
  <c r="P16" i="1"/>
  <c r="M16" i="1"/>
  <c r="L16" i="1"/>
  <c r="H16" i="1"/>
  <c r="E16" i="1"/>
  <c r="D16" i="1"/>
  <c r="AB14" i="1"/>
  <c r="X14" i="1"/>
  <c r="X113" i="1" s="1"/>
  <c r="U14" i="1"/>
  <c r="T14" i="1"/>
  <c r="P14" i="1"/>
  <c r="M14" i="1"/>
  <c r="L14" i="1"/>
  <c r="H14" i="1"/>
  <c r="E14" i="1"/>
  <c r="D14" i="1"/>
  <c r="AB13" i="1"/>
  <c r="X13" i="1"/>
  <c r="U13" i="1"/>
  <c r="T13" i="1"/>
  <c r="P13" i="1"/>
  <c r="M13" i="1"/>
  <c r="L13" i="1"/>
  <c r="Q13" i="1" s="1"/>
  <c r="R13" i="1" s="1"/>
  <c r="H13" i="1"/>
  <c r="H112" i="1" s="1"/>
  <c r="E13" i="1"/>
  <c r="D13" i="1"/>
  <c r="B4" i="2"/>
  <c r="G9" i="2"/>
  <c r="B4" i="1"/>
  <c r="N9" i="2"/>
  <c r="D9" i="1"/>
  <c r="L9" i="1"/>
  <c r="M123" i="1" l="1"/>
  <c r="M70" i="1"/>
  <c r="S14" i="2"/>
  <c r="T14" i="2" s="1"/>
  <c r="S58" i="2"/>
  <c r="T58" i="2" s="1"/>
  <c r="S64" i="2"/>
  <c r="T64" i="2" s="1"/>
  <c r="Z77" i="2"/>
  <c r="AA77" i="2" s="1"/>
  <c r="S78" i="2"/>
  <c r="T78" i="2" s="1"/>
  <c r="Z80" i="2"/>
  <c r="AA80" i="2" s="1"/>
  <c r="L122" i="2"/>
  <c r="M122" i="2" s="1"/>
  <c r="S124" i="2"/>
  <c r="T124" i="2" s="1"/>
  <c r="O118" i="2"/>
  <c r="L129" i="2"/>
  <c r="M129" i="2" s="1"/>
  <c r="S134" i="2"/>
  <c r="T134" i="2" s="1"/>
  <c r="S164" i="2"/>
  <c r="T164" i="2" s="1"/>
  <c r="Z186" i="2"/>
  <c r="AA186" i="2" s="1"/>
  <c r="O224" i="2"/>
  <c r="S354" i="2"/>
  <c r="T354" i="2" s="1"/>
  <c r="Z22" i="2"/>
  <c r="AA22" i="2" s="1"/>
  <c r="L38" i="2"/>
  <c r="M38" i="2" s="1"/>
  <c r="Z42" i="2"/>
  <c r="AA42" i="2" s="1"/>
  <c r="M112" i="1"/>
  <c r="X118" i="1"/>
  <c r="D26" i="1"/>
  <c r="V27" i="1"/>
  <c r="W27" i="1" s="1"/>
  <c r="U50" i="1"/>
  <c r="P50" i="1"/>
  <c r="H63" i="1"/>
  <c r="F65" i="1"/>
  <c r="G65" i="1" s="1"/>
  <c r="M87" i="1"/>
  <c r="P87" i="1"/>
  <c r="H90" i="1"/>
  <c r="V96" i="1"/>
  <c r="W96" i="1" s="1"/>
  <c r="V99" i="1"/>
  <c r="W99" i="1" s="1"/>
  <c r="K13" i="2"/>
  <c r="L16" i="2"/>
  <c r="M16" i="2" s="1"/>
  <c r="W20" i="2"/>
  <c r="X20" i="2" s="1"/>
  <c r="W26" i="2"/>
  <c r="X26" i="2" s="1"/>
  <c r="S30" i="2"/>
  <c r="T30" i="2" s="1"/>
  <c r="L31" i="2"/>
  <c r="M31" i="2" s="1"/>
  <c r="L32" i="2"/>
  <c r="M32" i="2" s="1"/>
  <c r="Z32" i="2"/>
  <c r="AA32" i="2" s="1"/>
  <c r="I39" i="2"/>
  <c r="J39" i="2" s="1"/>
  <c r="Z39" i="2"/>
  <c r="AA39" i="2" s="1"/>
  <c r="P41" i="2"/>
  <c r="Q41" i="2" s="1"/>
  <c r="I46" i="2"/>
  <c r="J46" i="2" s="1"/>
  <c r="P56" i="2"/>
  <c r="Q56" i="2" s="1"/>
  <c r="I57" i="2"/>
  <c r="J57" i="2" s="1"/>
  <c r="Z57" i="2"/>
  <c r="AA57" i="2" s="1"/>
  <c r="I63" i="2"/>
  <c r="J63" i="2" s="1"/>
  <c r="Z63" i="2"/>
  <c r="AA63" i="2" s="1"/>
  <c r="I75" i="2"/>
  <c r="J75" i="2" s="1"/>
  <c r="W81" i="2"/>
  <c r="X81" i="2" s="1"/>
  <c r="I89" i="2"/>
  <c r="J89" i="2" s="1"/>
  <c r="L102" i="2"/>
  <c r="M102" i="2" s="1"/>
  <c r="I103" i="2"/>
  <c r="J103" i="2" s="1"/>
  <c r="L108" i="2"/>
  <c r="M108" i="2" s="1"/>
  <c r="I109" i="2"/>
  <c r="J109" i="2" s="1"/>
  <c r="Z109" i="2"/>
  <c r="AA109" i="2" s="1"/>
  <c r="W110" i="2"/>
  <c r="X110" i="2" s="1"/>
  <c r="I113" i="2"/>
  <c r="J113" i="2" s="1"/>
  <c r="Z113" i="2"/>
  <c r="AA113" i="2" s="1"/>
  <c r="W114" i="2"/>
  <c r="X114" i="2" s="1"/>
  <c r="I123" i="2"/>
  <c r="J123" i="2" s="1"/>
  <c r="Z123" i="2"/>
  <c r="AA123" i="2" s="1"/>
  <c r="W124" i="2"/>
  <c r="X124" i="2" s="1"/>
  <c r="L126" i="2"/>
  <c r="M126" i="2" s="1"/>
  <c r="I127" i="2"/>
  <c r="J127" i="2" s="1"/>
  <c r="Z127" i="2"/>
  <c r="AA127" i="2" s="1"/>
  <c r="S128" i="2"/>
  <c r="T128" i="2" s="1"/>
  <c r="I163" i="2"/>
  <c r="J163" i="2" s="1"/>
  <c r="S174" i="2"/>
  <c r="T174" i="2" s="1"/>
  <c r="I198" i="2"/>
  <c r="J198" i="2" s="1"/>
  <c r="L240" i="2"/>
  <c r="M240" i="2" s="1"/>
  <c r="S241" i="2"/>
  <c r="T241" i="2" s="1"/>
  <c r="F43" i="1"/>
  <c r="G43" i="1" s="1"/>
  <c r="Y48" i="1"/>
  <c r="Z48" i="1" s="1"/>
  <c r="X50" i="1"/>
  <c r="X46" i="1" s="1"/>
  <c r="Y85" i="1"/>
  <c r="Z85" i="1" s="1"/>
  <c r="I88" i="1"/>
  <c r="J88" i="1" s="1"/>
  <c r="I92" i="1"/>
  <c r="J92" i="1" s="1"/>
  <c r="P151" i="1"/>
  <c r="Z29" i="2"/>
  <c r="AA29" i="2" s="1"/>
  <c r="L42" i="2"/>
  <c r="M42" i="2" s="1"/>
  <c r="L46" i="2"/>
  <c r="M46" i="2" s="1"/>
  <c r="Z47" i="2"/>
  <c r="AA47" i="2" s="1"/>
  <c r="V55" i="2"/>
  <c r="S70" i="2"/>
  <c r="T70" i="2" s="1"/>
  <c r="S84" i="2"/>
  <c r="T84" i="2" s="1"/>
  <c r="Z86" i="2"/>
  <c r="AA86" i="2" s="1"/>
  <c r="S102" i="2"/>
  <c r="T102" i="2" s="1"/>
  <c r="S108" i="2"/>
  <c r="T108" i="2" s="1"/>
  <c r="S115" i="2"/>
  <c r="T115" i="2" s="1"/>
  <c r="S125" i="2"/>
  <c r="T125" i="2" s="1"/>
  <c r="S138" i="2"/>
  <c r="T138" i="2" s="1"/>
  <c r="S141" i="2"/>
  <c r="T141" i="2" s="1"/>
  <c r="L142" i="2"/>
  <c r="M142" i="2" s="1"/>
  <c r="K374" i="2"/>
  <c r="L156" i="2"/>
  <c r="M156" i="2" s="1"/>
  <c r="Z167" i="2"/>
  <c r="AA167" i="2" s="1"/>
  <c r="O267" i="2"/>
  <c r="Y321" i="2"/>
  <c r="Z324" i="2"/>
  <c r="AA324" i="2" s="1"/>
  <c r="S358" i="2"/>
  <c r="T358" i="2" s="1"/>
  <c r="E15" i="1"/>
  <c r="Q19" i="1"/>
  <c r="R19" i="1" s="1"/>
  <c r="AB50" i="1"/>
  <c r="AB46" i="1" s="1"/>
  <c r="P66" i="1"/>
  <c r="AB87" i="1"/>
  <c r="M90" i="1"/>
  <c r="S18" i="2"/>
  <c r="T18" i="2" s="1"/>
  <c r="P19" i="2"/>
  <c r="Q19" i="2" s="1"/>
  <c r="W30" i="2"/>
  <c r="X30" i="2" s="1"/>
  <c r="W34" i="2"/>
  <c r="X34" i="2" s="1"/>
  <c r="P46" i="2"/>
  <c r="Q46" i="2" s="1"/>
  <c r="V366" i="2"/>
  <c r="K62" i="2"/>
  <c r="L64" i="2"/>
  <c r="M64" i="2" s="1"/>
  <c r="K68" i="2"/>
  <c r="K369" i="2" s="1"/>
  <c r="W70" i="2"/>
  <c r="X70" i="2" s="1"/>
  <c r="S76" i="2"/>
  <c r="T76" i="2" s="1"/>
  <c r="I78" i="2"/>
  <c r="J78" i="2" s="1"/>
  <c r="P80" i="2"/>
  <c r="Q80" i="2" s="1"/>
  <c r="L83" i="2"/>
  <c r="M83" i="2" s="1"/>
  <c r="W84" i="2"/>
  <c r="X84" i="2" s="1"/>
  <c r="Z101" i="2"/>
  <c r="AA101" i="2" s="1"/>
  <c r="Z107" i="2"/>
  <c r="AA107" i="2" s="1"/>
  <c r="Z115" i="2"/>
  <c r="AA115" i="2" s="1"/>
  <c r="V153" i="2"/>
  <c r="N153" i="2"/>
  <c r="S153" i="2" s="1"/>
  <c r="T153" i="2" s="1"/>
  <c r="P166" i="2"/>
  <c r="Q166" i="2" s="1"/>
  <c r="U206" i="2"/>
  <c r="I236" i="2"/>
  <c r="J236" i="2" s="1"/>
  <c r="Z273" i="2"/>
  <c r="AA273" i="2" s="1"/>
  <c r="N278" i="2"/>
  <c r="I292" i="2"/>
  <c r="J292" i="2" s="1"/>
  <c r="Z322" i="2"/>
  <c r="AA322" i="2" s="1"/>
  <c r="Z185" i="2"/>
  <c r="AA185" i="2" s="1"/>
  <c r="U22" i="1"/>
  <c r="I38" i="1"/>
  <c r="J38" i="1" s="1"/>
  <c r="H50" i="1"/>
  <c r="H46" i="1" s="1"/>
  <c r="Y67" i="1"/>
  <c r="Z67" i="1" s="1"/>
  <c r="X74" i="1"/>
  <c r="X70" i="1" s="1"/>
  <c r="Y76" i="1"/>
  <c r="Z76" i="1" s="1"/>
  <c r="I86" i="1"/>
  <c r="J86" i="1" s="1"/>
  <c r="U151" i="1"/>
  <c r="L48" i="2"/>
  <c r="M48" i="2" s="1"/>
  <c r="Z121" i="2"/>
  <c r="AA121" i="2" s="1"/>
  <c r="P130" i="2"/>
  <c r="Q130" i="2" s="1"/>
  <c r="S139" i="2"/>
  <c r="T139" i="2" s="1"/>
  <c r="P140" i="2"/>
  <c r="Q140" i="2" s="1"/>
  <c r="O374" i="2"/>
  <c r="P163" i="2"/>
  <c r="Q163" i="2" s="1"/>
  <c r="Z171" i="2"/>
  <c r="AA171" i="2" s="1"/>
  <c r="Y224" i="2"/>
  <c r="Z264" i="2"/>
  <c r="AA264" i="2" s="1"/>
  <c r="L273" i="2"/>
  <c r="M273" i="2" s="1"/>
  <c r="S275" i="2"/>
  <c r="T275" i="2" s="1"/>
  <c r="P275" i="2"/>
  <c r="Q275" i="2" s="1"/>
  <c r="P281" i="2"/>
  <c r="Q281" i="2" s="1"/>
  <c r="O291" i="2"/>
  <c r="W336" i="2"/>
  <c r="X336" i="2" s="1"/>
  <c r="Z340" i="2"/>
  <c r="AA340" i="2" s="1"/>
  <c r="H22" i="1"/>
  <c r="H70" i="1"/>
  <c r="L115" i="1"/>
  <c r="N19" i="1"/>
  <c r="O19" i="1" s="1"/>
  <c r="H119" i="1"/>
  <c r="H117" i="1" s="1"/>
  <c r="AB123" i="1"/>
  <c r="X127" i="1"/>
  <c r="H42" i="1"/>
  <c r="AB42" i="1"/>
  <c r="V44" i="1"/>
  <c r="W44" i="1" s="1"/>
  <c r="V49" i="1"/>
  <c r="W49" i="1" s="1"/>
  <c r="AB74" i="1"/>
  <c r="Q88" i="1"/>
  <c r="R88" i="1" s="1"/>
  <c r="E116" i="1"/>
  <c r="F100" i="1"/>
  <c r="G100" i="1" s="1"/>
  <c r="Y100" i="1"/>
  <c r="Z100" i="1" s="1"/>
  <c r="Y104" i="1"/>
  <c r="Z104" i="1" s="1"/>
  <c r="D151" i="1"/>
  <c r="X151" i="1"/>
  <c r="I15" i="2"/>
  <c r="J15" i="2" s="1"/>
  <c r="Z15" i="2"/>
  <c r="AA15" i="2" s="1"/>
  <c r="W16" i="2"/>
  <c r="X16" i="2" s="1"/>
  <c r="I18" i="2"/>
  <c r="J18" i="2" s="1"/>
  <c r="L20" i="2"/>
  <c r="M20" i="2" s="1"/>
  <c r="I21" i="2"/>
  <c r="J21" i="2" s="1"/>
  <c r="Z21" i="2"/>
  <c r="AA21" i="2" s="1"/>
  <c r="S22" i="2"/>
  <c r="T22" i="2" s="1"/>
  <c r="I27" i="2"/>
  <c r="J27" i="2" s="1"/>
  <c r="I30" i="2"/>
  <c r="J30" i="2" s="1"/>
  <c r="Z34" i="2"/>
  <c r="AA34" i="2" s="1"/>
  <c r="Z35" i="2"/>
  <c r="AA35" i="2" s="1"/>
  <c r="S36" i="2"/>
  <c r="T36" i="2" s="1"/>
  <c r="W38" i="2"/>
  <c r="X38" i="2" s="1"/>
  <c r="W41" i="2"/>
  <c r="X41" i="2" s="1"/>
  <c r="P43" i="2"/>
  <c r="Q43" i="2" s="1"/>
  <c r="S46" i="2"/>
  <c r="T46" i="2" s="1"/>
  <c r="P47" i="2"/>
  <c r="Q47" i="2" s="1"/>
  <c r="Z48" i="2"/>
  <c r="AA48" i="2" s="1"/>
  <c r="W56" i="2"/>
  <c r="X56" i="2" s="1"/>
  <c r="O55" i="2"/>
  <c r="O62" i="2"/>
  <c r="O68" i="2"/>
  <c r="I79" i="2"/>
  <c r="J79" i="2" s="1"/>
  <c r="P81" i="2"/>
  <c r="Q81" i="2" s="1"/>
  <c r="I101" i="2"/>
  <c r="J101" i="2" s="1"/>
  <c r="W102" i="2"/>
  <c r="X102" i="2" s="1"/>
  <c r="I107" i="2"/>
  <c r="J107" i="2" s="1"/>
  <c r="I138" i="2"/>
  <c r="J138" i="2" s="1"/>
  <c r="W139" i="2"/>
  <c r="X139" i="2" s="1"/>
  <c r="W162" i="2"/>
  <c r="X162" i="2" s="1"/>
  <c r="I165" i="2"/>
  <c r="J165" i="2" s="1"/>
  <c r="Y159" i="2"/>
  <c r="I208" i="2"/>
  <c r="J208" i="2" s="1"/>
  <c r="W240" i="2"/>
  <c r="X240" i="2" s="1"/>
  <c r="H247" i="2"/>
  <c r="P273" i="2"/>
  <c r="Q273" i="2" s="1"/>
  <c r="P282" i="2"/>
  <c r="Q282" i="2" s="1"/>
  <c r="W329" i="2"/>
  <c r="X329" i="2" s="1"/>
  <c r="I336" i="2"/>
  <c r="J336" i="2" s="1"/>
  <c r="K339" i="2"/>
  <c r="L339" i="2" s="1"/>
  <c r="M339" i="2" s="1"/>
  <c r="L340" i="2"/>
  <c r="M340" i="2" s="1"/>
  <c r="I358" i="2"/>
  <c r="J358" i="2" s="1"/>
  <c r="U185" i="2"/>
  <c r="W186" i="2"/>
  <c r="X186" i="2" s="1"/>
  <c r="M18" i="1"/>
  <c r="N18" i="1" s="1"/>
  <c r="O18" i="1" s="1"/>
  <c r="M119" i="1"/>
  <c r="M117" i="1" s="1"/>
  <c r="M126" i="1"/>
  <c r="F56" i="1"/>
  <c r="G56" i="1" s="1"/>
  <c r="V68" i="1"/>
  <c r="W68" i="1" s="1"/>
  <c r="Q86" i="1"/>
  <c r="R86" i="1" s="1"/>
  <c r="D87" i="1"/>
  <c r="P14" i="2"/>
  <c r="Q14" i="2" s="1"/>
  <c r="W19" i="2"/>
  <c r="X19" i="2" s="1"/>
  <c r="I31" i="2"/>
  <c r="J31" i="2" s="1"/>
  <c r="I35" i="2"/>
  <c r="J35" i="2" s="1"/>
  <c r="I38" i="2"/>
  <c r="J38" i="2" s="1"/>
  <c r="P48" i="2"/>
  <c r="Q48" i="2" s="1"/>
  <c r="G366" i="2"/>
  <c r="P64" i="2"/>
  <c r="Q64" i="2" s="1"/>
  <c r="I71" i="2"/>
  <c r="J71" i="2" s="1"/>
  <c r="P78" i="2"/>
  <c r="Q78" i="2" s="1"/>
  <c r="I85" i="2"/>
  <c r="J85" i="2" s="1"/>
  <c r="I88" i="2"/>
  <c r="J88" i="2" s="1"/>
  <c r="G118" i="2"/>
  <c r="P121" i="2"/>
  <c r="Q121" i="2" s="1"/>
  <c r="W123" i="2"/>
  <c r="X123" i="2" s="1"/>
  <c r="P124" i="2"/>
  <c r="Q124" i="2" s="1"/>
  <c r="P131" i="2"/>
  <c r="Q131" i="2" s="1"/>
  <c r="I132" i="2"/>
  <c r="J132" i="2" s="1"/>
  <c r="W133" i="2"/>
  <c r="X133" i="2" s="1"/>
  <c r="P134" i="2"/>
  <c r="Q134" i="2" s="1"/>
  <c r="W136" i="2"/>
  <c r="X136" i="2" s="1"/>
  <c r="L144" i="2"/>
  <c r="M144" i="2" s="1"/>
  <c r="U159" i="2"/>
  <c r="I166" i="2"/>
  <c r="J166" i="2" s="1"/>
  <c r="I169" i="2"/>
  <c r="J169" i="2" s="1"/>
  <c r="Z172" i="2"/>
  <c r="AA172" i="2" s="1"/>
  <c r="W173" i="2"/>
  <c r="X173" i="2" s="1"/>
  <c r="P174" i="2"/>
  <c r="Q174" i="2" s="1"/>
  <c r="P193" i="2"/>
  <c r="Q193" i="2" s="1"/>
  <c r="I194" i="2"/>
  <c r="J194" i="2" s="1"/>
  <c r="R202" i="2"/>
  <c r="Y214" i="2"/>
  <c r="I250" i="2"/>
  <c r="J250" i="2" s="1"/>
  <c r="AB267" i="2"/>
  <c r="I297" i="2"/>
  <c r="J297" i="2" s="1"/>
  <c r="U374" i="2"/>
  <c r="S162" i="2"/>
  <c r="T162" i="2" s="1"/>
  <c r="I164" i="2"/>
  <c r="J164" i="2" s="1"/>
  <c r="L166" i="2"/>
  <c r="M166" i="2" s="1"/>
  <c r="W172" i="2"/>
  <c r="X172" i="2" s="1"/>
  <c r="L174" i="2"/>
  <c r="M174" i="2" s="1"/>
  <c r="W194" i="2"/>
  <c r="X194" i="2" s="1"/>
  <c r="P195" i="2"/>
  <c r="Q195" i="2" s="1"/>
  <c r="L198" i="2"/>
  <c r="M198" i="2" s="1"/>
  <c r="AB206" i="2"/>
  <c r="I210" i="2"/>
  <c r="J210" i="2" s="1"/>
  <c r="I226" i="2"/>
  <c r="J226" i="2" s="1"/>
  <c r="O247" i="2"/>
  <c r="O288" i="2" s="1"/>
  <c r="L249" i="2"/>
  <c r="M249" i="2" s="1"/>
  <c r="AB247" i="2"/>
  <c r="Z257" i="2"/>
  <c r="AA257" i="2" s="1"/>
  <c r="P271" i="2"/>
  <c r="Q271" i="2" s="1"/>
  <c r="I272" i="2"/>
  <c r="J272" i="2" s="1"/>
  <c r="P295" i="2"/>
  <c r="Q295" i="2" s="1"/>
  <c r="W297" i="2"/>
  <c r="X297" i="2" s="1"/>
  <c r="W307" i="2"/>
  <c r="X307" i="2" s="1"/>
  <c r="P308" i="2"/>
  <c r="Q308" i="2" s="1"/>
  <c r="W310" i="2"/>
  <c r="X310" i="2" s="1"/>
  <c r="P311" i="2"/>
  <c r="Q311" i="2" s="1"/>
  <c r="Z329" i="2"/>
  <c r="AA329" i="2" s="1"/>
  <c r="Z336" i="2"/>
  <c r="AA336" i="2" s="1"/>
  <c r="I340" i="2"/>
  <c r="J340" i="2" s="1"/>
  <c r="O343" i="2"/>
  <c r="S346" i="2"/>
  <c r="T346" i="2" s="1"/>
  <c r="L358" i="2"/>
  <c r="M358" i="2" s="1"/>
  <c r="Z358" i="2"/>
  <c r="AA358" i="2" s="1"/>
  <c r="Z124" i="2"/>
  <c r="AA124" i="2" s="1"/>
  <c r="P129" i="2"/>
  <c r="Q129" i="2" s="1"/>
  <c r="I130" i="2"/>
  <c r="J130" i="2" s="1"/>
  <c r="L132" i="2"/>
  <c r="M132" i="2" s="1"/>
  <c r="I133" i="2"/>
  <c r="J133" i="2" s="1"/>
  <c r="Z133" i="2"/>
  <c r="AA133" i="2" s="1"/>
  <c r="Z136" i="2"/>
  <c r="AA136" i="2" s="1"/>
  <c r="W137" i="2"/>
  <c r="X137" i="2" s="1"/>
  <c r="L139" i="2"/>
  <c r="M139" i="2" s="1"/>
  <c r="I140" i="2"/>
  <c r="J140" i="2" s="1"/>
  <c r="Z142" i="2"/>
  <c r="AA142" i="2" s="1"/>
  <c r="H374" i="2"/>
  <c r="I374" i="2" s="1"/>
  <c r="J374" i="2" s="1"/>
  <c r="AB374" i="2"/>
  <c r="S154" i="2"/>
  <c r="T154" i="2" s="1"/>
  <c r="L161" i="2"/>
  <c r="M161" i="2" s="1"/>
  <c r="S166" i="2"/>
  <c r="T166" i="2" s="1"/>
  <c r="I168" i="2"/>
  <c r="J168" i="2" s="1"/>
  <c r="I173" i="2"/>
  <c r="J173" i="2" s="1"/>
  <c r="Z177" i="2"/>
  <c r="AA177" i="2" s="1"/>
  <c r="I189" i="2"/>
  <c r="J189" i="2" s="1"/>
  <c r="Z189" i="2"/>
  <c r="AA189" i="2" s="1"/>
  <c r="W209" i="2"/>
  <c r="X209" i="2" s="1"/>
  <c r="S225" i="2"/>
  <c r="T225" i="2" s="1"/>
  <c r="L228" i="2"/>
  <c r="M228" i="2" s="1"/>
  <c r="P240" i="2"/>
  <c r="Q240" i="2" s="1"/>
  <c r="W241" i="2"/>
  <c r="X241" i="2" s="1"/>
  <c r="V247" i="2"/>
  <c r="I268" i="2"/>
  <c r="J268" i="2" s="1"/>
  <c r="W273" i="2"/>
  <c r="X273" i="2" s="1"/>
  <c r="L280" i="2"/>
  <c r="M280" i="2" s="1"/>
  <c r="P286" i="2"/>
  <c r="Q286" i="2" s="1"/>
  <c r="S293" i="2"/>
  <c r="T293" i="2" s="1"/>
  <c r="W295" i="2"/>
  <c r="X295" i="2" s="1"/>
  <c r="P299" i="2"/>
  <c r="Q299" i="2" s="1"/>
  <c r="Z305" i="2"/>
  <c r="AA305" i="2" s="1"/>
  <c r="L315" i="2"/>
  <c r="M315" i="2" s="1"/>
  <c r="S323" i="2"/>
  <c r="T323" i="2" s="1"/>
  <c r="L324" i="2"/>
  <c r="M324" i="2" s="1"/>
  <c r="Z325" i="2"/>
  <c r="AA325" i="2" s="1"/>
  <c r="O328" i="2"/>
  <c r="H339" i="2"/>
  <c r="I346" i="2"/>
  <c r="J346" i="2" s="1"/>
  <c r="P353" i="2"/>
  <c r="Q353" i="2" s="1"/>
  <c r="L208" i="2"/>
  <c r="M208" i="2" s="1"/>
  <c r="S215" i="2"/>
  <c r="T215" i="2" s="1"/>
  <c r="S230" i="2"/>
  <c r="T230" i="2" s="1"/>
  <c r="Y247" i="2"/>
  <c r="Z249" i="2"/>
  <c r="AA249" i="2" s="1"/>
  <c r="L305" i="2"/>
  <c r="M305" i="2" s="1"/>
  <c r="L310" i="2"/>
  <c r="M310" i="2" s="1"/>
  <c r="L330" i="2"/>
  <c r="M330" i="2" s="1"/>
  <c r="Y343" i="2"/>
  <c r="AB401" i="2"/>
  <c r="S120" i="2"/>
  <c r="T120" i="2" s="1"/>
  <c r="I125" i="2"/>
  <c r="J125" i="2" s="1"/>
  <c r="W126" i="2"/>
  <c r="X126" i="2" s="1"/>
  <c r="L130" i="2"/>
  <c r="M130" i="2" s="1"/>
  <c r="I137" i="2"/>
  <c r="J137" i="2" s="1"/>
  <c r="L140" i="2"/>
  <c r="M140" i="2" s="1"/>
  <c r="W141" i="2"/>
  <c r="X141" i="2" s="1"/>
  <c r="Z143" i="2"/>
  <c r="AA143" i="2" s="1"/>
  <c r="L162" i="2"/>
  <c r="M162" i="2" s="1"/>
  <c r="U192" i="2"/>
  <c r="N192" i="2"/>
  <c r="P197" i="2"/>
  <c r="Q197" i="2" s="1"/>
  <c r="W198" i="2"/>
  <c r="X198" i="2" s="1"/>
  <c r="P199" i="2"/>
  <c r="Q199" i="2" s="1"/>
  <c r="W207" i="2"/>
  <c r="X207" i="2" s="1"/>
  <c r="P208" i="2"/>
  <c r="Q208" i="2" s="1"/>
  <c r="P211" i="2"/>
  <c r="Q211" i="2" s="1"/>
  <c r="P219" i="2"/>
  <c r="Q219" i="2" s="1"/>
  <c r="H233" i="2"/>
  <c r="W235" i="2"/>
  <c r="X235" i="2" s="1"/>
  <c r="P238" i="2"/>
  <c r="Q238" i="2" s="1"/>
  <c r="Z241" i="2"/>
  <c r="AA241" i="2" s="1"/>
  <c r="I248" i="2"/>
  <c r="J248" i="2" s="1"/>
  <c r="S257" i="2"/>
  <c r="T257" i="2" s="1"/>
  <c r="K267" i="2"/>
  <c r="L267" i="2" s="1"/>
  <c r="M267" i="2" s="1"/>
  <c r="L275" i="2"/>
  <c r="M275" i="2" s="1"/>
  <c r="I282" i="2"/>
  <c r="J282" i="2" s="1"/>
  <c r="P305" i="2"/>
  <c r="Q305" i="2" s="1"/>
  <c r="Z308" i="2"/>
  <c r="AA308" i="2" s="1"/>
  <c r="L313" i="2"/>
  <c r="M313" i="2" s="1"/>
  <c r="Z313" i="2"/>
  <c r="AA313" i="2" s="1"/>
  <c r="P315" i="2"/>
  <c r="Q315" i="2" s="1"/>
  <c r="L325" i="2"/>
  <c r="M325" i="2" s="1"/>
  <c r="S329" i="2"/>
  <c r="T329" i="2" s="1"/>
  <c r="I352" i="2"/>
  <c r="J352" i="2" s="1"/>
  <c r="D118" i="1"/>
  <c r="I19" i="1"/>
  <c r="J19" i="1" s="1"/>
  <c r="Q68" i="1"/>
  <c r="R68" i="1" s="1"/>
  <c r="N68" i="1"/>
  <c r="O68" i="1" s="1"/>
  <c r="P249" i="2"/>
  <c r="Q249" i="2" s="1"/>
  <c r="S249" i="2"/>
  <c r="T249" i="2" s="1"/>
  <c r="L308" i="2"/>
  <c r="M308" i="2" s="1"/>
  <c r="K303" i="2"/>
  <c r="AB112" i="1"/>
  <c r="V14" i="1"/>
  <c r="W14" i="1" s="1"/>
  <c r="D119" i="1"/>
  <c r="I119" i="1" s="1"/>
  <c r="J119" i="1" s="1"/>
  <c r="X119" i="1"/>
  <c r="X117" i="1" s="1"/>
  <c r="N25" i="1"/>
  <c r="O25" i="1" s="1"/>
  <c r="Q71" i="1"/>
  <c r="R71" i="1" s="1"/>
  <c r="N71" i="1"/>
  <c r="O71" i="1" s="1"/>
  <c r="V76" i="1"/>
  <c r="W76" i="1" s="1"/>
  <c r="O13" i="2"/>
  <c r="W87" i="2"/>
  <c r="X87" i="2" s="1"/>
  <c r="H118" i="2"/>
  <c r="I118" i="2" s="1"/>
  <c r="J118" i="2" s="1"/>
  <c r="S122" i="2"/>
  <c r="T122" i="2" s="1"/>
  <c r="P122" i="2"/>
  <c r="Q122" i="2" s="1"/>
  <c r="Z154" i="2"/>
  <c r="AA154" i="2" s="1"/>
  <c r="Y153" i="2"/>
  <c r="U214" i="2"/>
  <c r="W215" i="2"/>
  <c r="X215" i="2" s="1"/>
  <c r="U224" i="2"/>
  <c r="W225" i="2"/>
  <c r="X225" i="2" s="1"/>
  <c r="Z225" i="2"/>
  <c r="AA225" i="2" s="1"/>
  <c r="Q49" i="1"/>
  <c r="R49" i="1" s="1"/>
  <c r="N49" i="1"/>
  <c r="O49" i="1" s="1"/>
  <c r="Q73" i="1"/>
  <c r="R73" i="1" s="1"/>
  <c r="N73" i="1"/>
  <c r="O73" i="1" s="1"/>
  <c r="P128" i="2"/>
  <c r="Q128" i="2" s="1"/>
  <c r="X112" i="1"/>
  <c r="T113" i="1"/>
  <c r="Y113" i="1" s="1"/>
  <c r="Z113" i="1" s="1"/>
  <c r="Y14" i="1"/>
  <c r="Z14" i="1" s="1"/>
  <c r="D116" i="1"/>
  <c r="I17" i="1"/>
  <c r="J17" i="1" s="1"/>
  <c r="AB118" i="1"/>
  <c r="M122" i="1"/>
  <c r="E123" i="1"/>
  <c r="V48" i="1"/>
  <c r="W48" i="1" s="1"/>
  <c r="U46" i="1"/>
  <c r="I71" i="1"/>
  <c r="J71" i="1" s="1"/>
  <c r="V72" i="1"/>
  <c r="W72" i="1" s="1"/>
  <c r="N13" i="2"/>
  <c r="O25" i="2"/>
  <c r="K25" i="2"/>
  <c r="I13" i="1"/>
  <c r="J13" i="1" s="1"/>
  <c r="Y24" i="1"/>
  <c r="Z24" i="1" s="1"/>
  <c r="M26" i="1"/>
  <c r="V89" i="1"/>
  <c r="W89" i="1" s="1"/>
  <c r="U87" i="1"/>
  <c r="N99" i="1"/>
  <c r="O99" i="1" s="1"/>
  <c r="Z28" i="2"/>
  <c r="AA28" i="2" s="1"/>
  <c r="D113" i="1"/>
  <c r="Y20" i="1"/>
  <c r="Z20" i="1" s="1"/>
  <c r="N21" i="1"/>
  <c r="O21" i="1" s="1"/>
  <c r="P122" i="1"/>
  <c r="P124" i="1"/>
  <c r="Q47" i="1"/>
  <c r="R47" i="1" s="1"/>
  <c r="N47" i="1"/>
  <c r="O47" i="1" s="1"/>
  <c r="I51" i="1"/>
  <c r="J51" i="1" s="1"/>
  <c r="I64" i="1"/>
  <c r="J64" i="1" s="1"/>
  <c r="F89" i="1"/>
  <c r="G89" i="1" s="1"/>
  <c r="P94" i="1"/>
  <c r="G13" i="2"/>
  <c r="G25" i="2"/>
  <c r="S34" i="2"/>
  <c r="T34" i="2" s="1"/>
  <c r="P34" i="2"/>
  <c r="Q34" i="2" s="1"/>
  <c r="W36" i="2"/>
  <c r="X36" i="2" s="1"/>
  <c r="L82" i="2"/>
  <c r="M82" i="2" s="1"/>
  <c r="Z87" i="2"/>
  <c r="AA87" i="2" s="1"/>
  <c r="S88" i="2"/>
  <c r="T88" i="2" s="1"/>
  <c r="W134" i="2"/>
  <c r="X134" i="2" s="1"/>
  <c r="P138" i="2"/>
  <c r="Q138" i="2" s="1"/>
  <c r="W140" i="2"/>
  <c r="X140" i="2" s="1"/>
  <c r="L181" i="2"/>
  <c r="M181" i="2" s="1"/>
  <c r="K180" i="2"/>
  <c r="L296" i="2"/>
  <c r="M296" i="2" s="1"/>
  <c r="K291" i="2"/>
  <c r="Q75" i="1"/>
  <c r="R75" i="1" s="1"/>
  <c r="N75" i="1"/>
  <c r="O75" i="1" s="1"/>
  <c r="S132" i="2"/>
  <c r="T132" i="2" s="1"/>
  <c r="P132" i="2"/>
  <c r="Q132" i="2" s="1"/>
  <c r="Z330" i="2"/>
  <c r="AA330" i="2" s="1"/>
  <c r="Y328" i="2"/>
  <c r="Y28" i="1"/>
  <c r="Z28" i="1" s="1"/>
  <c r="V92" i="1"/>
  <c r="W92" i="1" s="1"/>
  <c r="T90" i="1"/>
  <c r="D18" i="1"/>
  <c r="D39" i="1"/>
  <c r="I40" i="1"/>
  <c r="J40" i="1" s="1"/>
  <c r="N13" i="1"/>
  <c r="O13" i="1" s="1"/>
  <c r="H113" i="1"/>
  <c r="M116" i="1"/>
  <c r="H18" i="1"/>
  <c r="M94" i="1"/>
  <c r="M102" i="1" s="1"/>
  <c r="M106" i="1" s="1"/>
  <c r="I19" i="2"/>
  <c r="J19" i="2" s="1"/>
  <c r="Y25" i="2"/>
  <c r="S28" i="2"/>
  <c r="T28" i="2" s="1"/>
  <c r="P28" i="2"/>
  <c r="Q28" i="2" s="1"/>
  <c r="I59" i="2"/>
  <c r="J59" i="2" s="1"/>
  <c r="K74" i="2"/>
  <c r="I124" i="2"/>
  <c r="J124" i="2" s="1"/>
  <c r="L124" i="2"/>
  <c r="M124" i="2" s="1"/>
  <c r="O153" i="2"/>
  <c r="P154" i="2"/>
  <c r="Q154" i="2" s="1"/>
  <c r="O233" i="2"/>
  <c r="I254" i="2"/>
  <c r="J254" i="2" s="1"/>
  <c r="Y253" i="2"/>
  <c r="Z254" i="2"/>
  <c r="AA254" i="2" s="1"/>
  <c r="I271" i="2"/>
  <c r="J271" i="2" s="1"/>
  <c r="G267" i="2"/>
  <c r="L322" i="2"/>
  <c r="M322" i="2" s="1"/>
  <c r="K321" i="2"/>
  <c r="L321" i="2" s="1"/>
  <c r="M321" i="2" s="1"/>
  <c r="M125" i="1"/>
  <c r="P161" i="2"/>
  <c r="Q161" i="2" s="1"/>
  <c r="N159" i="2"/>
  <c r="T116" i="1"/>
  <c r="T15" i="1"/>
  <c r="N27" i="1"/>
  <c r="O27" i="1" s="1"/>
  <c r="T131" i="1"/>
  <c r="Y32" i="1"/>
  <c r="Z32" i="1" s="1"/>
  <c r="Q62" i="1"/>
  <c r="R62" i="1" s="1"/>
  <c r="N62" i="1"/>
  <c r="O62" i="1" s="1"/>
  <c r="T42" i="1"/>
  <c r="U100" i="2"/>
  <c r="S114" i="2"/>
  <c r="T114" i="2" s="1"/>
  <c r="P114" i="2"/>
  <c r="Q114" i="2" s="1"/>
  <c r="S144" i="2"/>
  <c r="T144" i="2" s="1"/>
  <c r="P144" i="2"/>
  <c r="Q144" i="2" s="1"/>
  <c r="I239" i="2"/>
  <c r="J239" i="2" s="1"/>
  <c r="L239" i="2"/>
  <c r="M239" i="2" s="1"/>
  <c r="D115" i="1"/>
  <c r="X115" i="1"/>
  <c r="X15" i="1"/>
  <c r="Y15" i="1" s="1"/>
  <c r="Z15" i="1" s="1"/>
  <c r="N17" i="1"/>
  <c r="O17" i="1" s="1"/>
  <c r="T118" i="1"/>
  <c r="L126" i="1"/>
  <c r="F28" i="1"/>
  <c r="G28" i="1" s="1"/>
  <c r="M131" i="1"/>
  <c r="L46" i="1"/>
  <c r="D70" i="1"/>
  <c r="I70" i="1" s="1"/>
  <c r="J70" i="1" s="1"/>
  <c r="I97" i="1"/>
  <c r="J97" i="1" s="1"/>
  <c r="I17" i="2"/>
  <c r="J17" i="2" s="1"/>
  <c r="P20" i="2"/>
  <c r="Q20" i="2" s="1"/>
  <c r="L21" i="2"/>
  <c r="M21" i="2" s="1"/>
  <c r="I33" i="2"/>
  <c r="J33" i="2" s="1"/>
  <c r="S42" i="2"/>
  <c r="T42" i="2" s="1"/>
  <c r="P42" i="2"/>
  <c r="Q42" i="2" s="1"/>
  <c r="W44" i="2"/>
  <c r="X44" i="2" s="1"/>
  <c r="I65" i="2"/>
  <c r="J65" i="2" s="1"/>
  <c r="Y68" i="2"/>
  <c r="Y369" i="2" s="1"/>
  <c r="Z369" i="2" s="1"/>
  <c r="AA369" i="2" s="1"/>
  <c r="U74" i="2"/>
  <c r="P103" i="2"/>
  <c r="Q103" i="2" s="1"/>
  <c r="U106" i="2"/>
  <c r="W125" i="2"/>
  <c r="X125" i="2" s="1"/>
  <c r="Z125" i="2"/>
  <c r="AA125" i="2" s="1"/>
  <c r="I131" i="2"/>
  <c r="J131" i="2" s="1"/>
  <c r="L235" i="2"/>
  <c r="M235" i="2" s="1"/>
  <c r="K233" i="2"/>
  <c r="L233" i="2" s="1"/>
  <c r="M233" i="2" s="1"/>
  <c r="W293" i="2"/>
  <c r="X293" i="2" s="1"/>
  <c r="Z293" i="2"/>
  <c r="AA293" i="2" s="1"/>
  <c r="I318" i="2"/>
  <c r="J318" i="2" s="1"/>
  <c r="L318" i="2"/>
  <c r="M318" i="2" s="1"/>
  <c r="I40" i="2"/>
  <c r="J40" i="2" s="1"/>
  <c r="Z44" i="2"/>
  <c r="AA44" i="2" s="1"/>
  <c r="I48" i="2"/>
  <c r="J48" i="2" s="1"/>
  <c r="L59" i="2"/>
  <c r="M59" i="2" s="1"/>
  <c r="S81" i="2"/>
  <c r="T81" i="2" s="1"/>
  <c r="S103" i="2"/>
  <c r="T103" i="2" s="1"/>
  <c r="Z108" i="2"/>
  <c r="AA108" i="2" s="1"/>
  <c r="I112" i="2"/>
  <c r="J112" i="2" s="1"/>
  <c r="Z137" i="2"/>
  <c r="AA137" i="2" s="1"/>
  <c r="K159" i="2"/>
  <c r="L160" i="2"/>
  <c r="M160" i="2" s="1"/>
  <c r="Z159" i="2"/>
  <c r="AA159" i="2" s="1"/>
  <c r="W193" i="2"/>
  <c r="X193" i="2" s="1"/>
  <c r="V192" i="2"/>
  <c r="R224" i="2"/>
  <c r="S227" i="2"/>
  <c r="T227" i="2" s="1"/>
  <c r="Z235" i="2"/>
  <c r="AA235" i="2" s="1"/>
  <c r="Z250" i="2"/>
  <c r="AA250" i="2" s="1"/>
  <c r="W261" i="2"/>
  <c r="X261" i="2" s="1"/>
  <c r="U260" i="2"/>
  <c r="Z260" i="2" s="1"/>
  <c r="AA260" i="2" s="1"/>
  <c r="O278" i="2"/>
  <c r="P278" i="2" s="1"/>
  <c r="Q278" i="2" s="1"/>
  <c r="P279" i="2"/>
  <c r="Q279" i="2" s="1"/>
  <c r="I32" i="2"/>
  <c r="J32" i="2" s="1"/>
  <c r="W35" i="2"/>
  <c r="X35" i="2" s="1"/>
  <c r="Z36" i="2"/>
  <c r="AA36" i="2" s="1"/>
  <c r="W43" i="2"/>
  <c r="X43" i="2" s="1"/>
  <c r="I58" i="2"/>
  <c r="J58" i="2" s="1"/>
  <c r="I64" i="2"/>
  <c r="J64" i="2" s="1"/>
  <c r="L77" i="2"/>
  <c r="M77" i="2" s="1"/>
  <c r="L85" i="2"/>
  <c r="M85" i="2" s="1"/>
  <c r="S89" i="2"/>
  <c r="T89" i="2" s="1"/>
  <c r="Z102" i="2"/>
  <c r="AA102" i="2" s="1"/>
  <c r="W115" i="2"/>
  <c r="X115" i="2" s="1"/>
  <c r="H115" i="1"/>
  <c r="AB115" i="1"/>
  <c r="AB114" i="1" s="1"/>
  <c r="L18" i="1"/>
  <c r="D122" i="1"/>
  <c r="T122" i="1"/>
  <c r="D124" i="1"/>
  <c r="V25" i="1"/>
  <c r="W25" i="1" s="1"/>
  <c r="P126" i="1"/>
  <c r="H127" i="1"/>
  <c r="AB127" i="1"/>
  <c r="F38" i="1"/>
  <c r="G38" i="1" s="1"/>
  <c r="M42" i="1"/>
  <c r="F44" i="1"/>
  <c r="G44" i="1" s="1"/>
  <c r="Q51" i="1"/>
  <c r="R51" i="1" s="1"/>
  <c r="Q64" i="1"/>
  <c r="R64" i="1" s="1"/>
  <c r="F72" i="1"/>
  <c r="G72" i="1" s="1"/>
  <c r="H102" i="1"/>
  <c r="H106" i="1" s="1"/>
  <c r="F92" i="1"/>
  <c r="G92" i="1" s="1"/>
  <c r="V95" i="1"/>
  <c r="W95" i="1" s="1"/>
  <c r="F97" i="1"/>
  <c r="G97" i="1" s="1"/>
  <c r="F104" i="1"/>
  <c r="G104" i="1" s="1"/>
  <c r="V104" i="1"/>
  <c r="W104" i="1" s="1"/>
  <c r="W14" i="2"/>
  <c r="X14" i="2" s="1"/>
  <c r="L15" i="2"/>
  <c r="M15" i="2" s="1"/>
  <c r="S16" i="2"/>
  <c r="T16" i="2" s="1"/>
  <c r="P17" i="2"/>
  <c r="Q17" i="2" s="1"/>
  <c r="W18" i="2"/>
  <c r="X18" i="2" s="1"/>
  <c r="L19" i="2"/>
  <c r="M19" i="2" s="1"/>
  <c r="P21" i="2"/>
  <c r="Q21" i="2" s="1"/>
  <c r="W29" i="2"/>
  <c r="X29" i="2" s="1"/>
  <c r="W32" i="2"/>
  <c r="X32" i="2" s="1"/>
  <c r="L33" i="2"/>
  <c r="M33" i="2" s="1"/>
  <c r="W37" i="2"/>
  <c r="X37" i="2" s="1"/>
  <c r="W40" i="2"/>
  <c r="X40" i="2" s="1"/>
  <c r="L41" i="2"/>
  <c r="M41" i="2" s="1"/>
  <c r="W45" i="2"/>
  <c r="X45" i="2" s="1"/>
  <c r="W48" i="2"/>
  <c r="X48" i="2" s="1"/>
  <c r="L56" i="2"/>
  <c r="M56" i="2" s="1"/>
  <c r="W58" i="2"/>
  <c r="X58" i="2" s="1"/>
  <c r="H62" i="2"/>
  <c r="W64" i="2"/>
  <c r="X64" i="2" s="1"/>
  <c r="L65" i="2"/>
  <c r="M65" i="2" s="1"/>
  <c r="O369" i="2"/>
  <c r="L71" i="2"/>
  <c r="M71" i="2" s="1"/>
  <c r="O74" i="2"/>
  <c r="I76" i="2"/>
  <c r="J76" i="2" s="1"/>
  <c r="P77" i="2"/>
  <c r="Q77" i="2" s="1"/>
  <c r="I84" i="2"/>
  <c r="J84" i="2" s="1"/>
  <c r="P85" i="2"/>
  <c r="Q85" i="2" s="1"/>
  <c r="AB100" i="2"/>
  <c r="AB371" i="2" s="1"/>
  <c r="AB106" i="2"/>
  <c r="W109" i="2"/>
  <c r="X109" i="2" s="1"/>
  <c r="W112" i="2"/>
  <c r="X112" i="2" s="1"/>
  <c r="L113" i="2"/>
  <c r="M113" i="2" s="1"/>
  <c r="V118" i="2"/>
  <c r="L121" i="2"/>
  <c r="M121" i="2" s="1"/>
  <c r="AB118" i="2"/>
  <c r="S123" i="2"/>
  <c r="T123" i="2" s="1"/>
  <c r="P127" i="2"/>
  <c r="Q127" i="2" s="1"/>
  <c r="I128" i="2"/>
  <c r="J128" i="2" s="1"/>
  <c r="W129" i="2"/>
  <c r="X129" i="2" s="1"/>
  <c r="L131" i="2"/>
  <c r="M131" i="2" s="1"/>
  <c r="Z134" i="2"/>
  <c r="AA134" i="2" s="1"/>
  <c r="I139" i="2"/>
  <c r="J139" i="2" s="1"/>
  <c r="Z140" i="2"/>
  <c r="AA140" i="2" s="1"/>
  <c r="W142" i="2"/>
  <c r="X142" i="2" s="1"/>
  <c r="S160" i="2"/>
  <c r="T160" i="2" s="1"/>
  <c r="P160" i="2"/>
  <c r="Q160" i="2" s="1"/>
  <c r="Z163" i="2"/>
  <c r="AA163" i="2" s="1"/>
  <c r="Z165" i="2"/>
  <c r="AA165" i="2" s="1"/>
  <c r="L171" i="2"/>
  <c r="M171" i="2" s="1"/>
  <c r="AB192" i="2"/>
  <c r="W196" i="2"/>
  <c r="X196" i="2" s="1"/>
  <c r="P203" i="2"/>
  <c r="Q203" i="2" s="1"/>
  <c r="W227" i="2"/>
  <c r="X227" i="2" s="1"/>
  <c r="G233" i="2"/>
  <c r="S237" i="2"/>
  <c r="T237" i="2" s="1"/>
  <c r="P237" i="2"/>
  <c r="Q237" i="2" s="1"/>
  <c r="K247" i="2"/>
  <c r="L254" i="2"/>
  <c r="M254" i="2" s="1"/>
  <c r="P264" i="2"/>
  <c r="Q264" i="2" s="1"/>
  <c r="P269" i="2"/>
  <c r="Q269" i="2" s="1"/>
  <c r="Z275" i="2"/>
  <c r="AA275" i="2" s="1"/>
  <c r="Y278" i="2"/>
  <c r="Z280" i="2"/>
  <c r="AA280" i="2" s="1"/>
  <c r="W298" i="2"/>
  <c r="X298" i="2" s="1"/>
  <c r="G303" i="2"/>
  <c r="I310" i="2"/>
  <c r="J310" i="2" s="1"/>
  <c r="G343" i="2"/>
  <c r="I343" i="2" s="1"/>
  <c r="J343" i="2" s="1"/>
  <c r="I344" i="2"/>
  <c r="J344" i="2" s="1"/>
  <c r="Z38" i="2"/>
  <c r="AA38" i="2" s="1"/>
  <c r="Z46" i="2"/>
  <c r="AA46" i="2" s="1"/>
  <c r="P52" i="2"/>
  <c r="Q52" i="2" s="1"/>
  <c r="U369" i="2"/>
  <c r="L79" i="2"/>
  <c r="M79" i="2" s="1"/>
  <c r="S83" i="2"/>
  <c r="T83" i="2" s="1"/>
  <c r="P102" i="2"/>
  <c r="Q102" i="2" s="1"/>
  <c r="P108" i="2"/>
  <c r="Q108" i="2" s="1"/>
  <c r="Z110" i="2"/>
  <c r="AA110" i="2" s="1"/>
  <c r="I119" i="2"/>
  <c r="J119" i="2" s="1"/>
  <c r="P126" i="2"/>
  <c r="Q126" i="2" s="1"/>
  <c r="Z126" i="2"/>
  <c r="AA126" i="2" s="1"/>
  <c r="L136" i="2"/>
  <c r="M136" i="2" s="1"/>
  <c r="L137" i="2"/>
  <c r="M137" i="2" s="1"/>
  <c r="P156" i="2"/>
  <c r="Q156" i="2" s="1"/>
  <c r="Z156" i="2"/>
  <c r="AA156" i="2" s="1"/>
  <c r="O159" i="2"/>
  <c r="N185" i="2"/>
  <c r="P186" i="2"/>
  <c r="Q186" i="2" s="1"/>
  <c r="L250" i="2"/>
  <c r="M250" i="2" s="1"/>
  <c r="V267" i="2"/>
  <c r="I286" i="2"/>
  <c r="J286" i="2" s="1"/>
  <c r="L286" i="2"/>
  <c r="M286" i="2" s="1"/>
  <c r="I126" i="1"/>
  <c r="J126" i="1" s="1"/>
  <c r="D131" i="1"/>
  <c r="P39" i="1"/>
  <c r="P90" i="1"/>
  <c r="S26" i="2"/>
  <c r="T26" i="2" s="1"/>
  <c r="P44" i="2"/>
  <c r="Q44" i="2" s="1"/>
  <c r="Y55" i="2"/>
  <c r="Z82" i="2"/>
  <c r="AA82" i="2" s="1"/>
  <c r="L87" i="2"/>
  <c r="M87" i="2" s="1"/>
  <c r="Y118" i="2"/>
  <c r="L113" i="1"/>
  <c r="M115" i="1"/>
  <c r="M114" i="1" s="1"/>
  <c r="F17" i="1"/>
  <c r="G17" i="1" s="1"/>
  <c r="U116" i="1"/>
  <c r="E118" i="1"/>
  <c r="H122" i="1"/>
  <c r="I122" i="1" s="1"/>
  <c r="J122" i="1" s="1"/>
  <c r="H124" i="1"/>
  <c r="U126" i="1"/>
  <c r="E131" i="1"/>
  <c r="AB39" i="1"/>
  <c r="V47" i="1"/>
  <c r="W47" i="1" s="1"/>
  <c r="M50" i="1"/>
  <c r="M46" i="1" s="1"/>
  <c r="M54" i="1" s="1"/>
  <c r="M58" i="1" s="1"/>
  <c r="M63" i="1"/>
  <c r="M78" i="1" s="1"/>
  <c r="M82" i="1" s="1"/>
  <c r="H66" i="1"/>
  <c r="H78" i="1" s="1"/>
  <c r="H82" i="1" s="1"/>
  <c r="V75" i="1"/>
  <c r="W75" i="1" s="1"/>
  <c r="F80" i="1"/>
  <c r="G80" i="1" s="1"/>
  <c r="V80" i="1"/>
  <c r="W80" i="1" s="1"/>
  <c r="F86" i="1"/>
  <c r="G86" i="1" s="1"/>
  <c r="AB90" i="1"/>
  <c r="I16" i="2"/>
  <c r="J16" i="2" s="1"/>
  <c r="I20" i="2"/>
  <c r="J20" i="2" s="1"/>
  <c r="W22" i="2"/>
  <c r="X22" i="2" s="1"/>
  <c r="L27" i="2"/>
  <c r="M27" i="2" s="1"/>
  <c r="W31" i="2"/>
  <c r="X31" i="2" s="1"/>
  <c r="I34" i="2"/>
  <c r="J34" i="2" s="1"/>
  <c r="L35" i="2"/>
  <c r="M35" i="2" s="1"/>
  <c r="W39" i="2"/>
  <c r="X39" i="2" s="1"/>
  <c r="I42" i="2"/>
  <c r="J42" i="2" s="1"/>
  <c r="L43" i="2"/>
  <c r="M43" i="2" s="1"/>
  <c r="W47" i="2"/>
  <c r="X47" i="2" s="1"/>
  <c r="AB55" i="2"/>
  <c r="W57" i="2"/>
  <c r="X57" i="2" s="1"/>
  <c r="Y62" i="2"/>
  <c r="Y368" i="2" s="1"/>
  <c r="W78" i="2"/>
  <c r="X78" i="2" s="1"/>
  <c r="P79" i="2"/>
  <c r="Q79" i="2" s="1"/>
  <c r="W86" i="2"/>
  <c r="X86" i="2" s="1"/>
  <c r="P87" i="2"/>
  <c r="Q87" i="2" s="1"/>
  <c r="K100" i="2"/>
  <c r="K371" i="2" s="1"/>
  <c r="K106" i="2"/>
  <c r="W111" i="2"/>
  <c r="X111" i="2" s="1"/>
  <c r="L115" i="2"/>
  <c r="M115" i="2" s="1"/>
  <c r="Z119" i="2"/>
  <c r="AA119" i="2" s="1"/>
  <c r="Z120" i="2"/>
  <c r="AA120" i="2" s="1"/>
  <c r="L125" i="2"/>
  <c r="M125" i="2" s="1"/>
  <c r="P137" i="2"/>
  <c r="Q137" i="2" s="1"/>
  <c r="Z139" i="2"/>
  <c r="AA139" i="2" s="1"/>
  <c r="P143" i="2"/>
  <c r="Q143" i="2" s="1"/>
  <c r="I144" i="2"/>
  <c r="J144" i="2" s="1"/>
  <c r="Y374" i="2"/>
  <c r="Z374" i="2" s="1"/>
  <c r="AA374" i="2" s="1"/>
  <c r="Z148" i="2"/>
  <c r="AA148" i="2" s="1"/>
  <c r="W154" i="2"/>
  <c r="X154" i="2" s="1"/>
  <c r="U153" i="2"/>
  <c r="W153" i="2" s="1"/>
  <c r="X153" i="2" s="1"/>
  <c r="L163" i="2"/>
  <c r="M163" i="2" s="1"/>
  <c r="P167" i="2"/>
  <c r="Q167" i="2" s="1"/>
  <c r="Z196" i="2"/>
  <c r="AA196" i="2" s="1"/>
  <c r="I219" i="2"/>
  <c r="J219" i="2" s="1"/>
  <c r="K224" i="2"/>
  <c r="W230" i="2"/>
  <c r="X230" i="2" s="1"/>
  <c r="Z230" i="2"/>
  <c r="AA230" i="2" s="1"/>
  <c r="W238" i="2"/>
  <c r="X238" i="2" s="1"/>
  <c r="K260" i="2"/>
  <c r="L261" i="2"/>
  <c r="M261" i="2" s="1"/>
  <c r="Z261" i="2"/>
  <c r="AA261" i="2" s="1"/>
  <c r="Y267" i="2"/>
  <c r="Z268" i="2"/>
  <c r="AA268" i="2" s="1"/>
  <c r="S269" i="2"/>
  <c r="T269" i="2" s="1"/>
  <c r="U278" i="2"/>
  <c r="L26" i="1"/>
  <c r="L22" i="1" s="1"/>
  <c r="P36" i="2"/>
  <c r="Q36" i="2" s="1"/>
  <c r="D112" i="1"/>
  <c r="M113" i="1"/>
  <c r="N113" i="1" s="1"/>
  <c r="O113" i="1" s="1"/>
  <c r="H116" i="1"/>
  <c r="H118" i="1"/>
  <c r="T123" i="1"/>
  <c r="Y123" i="1" s="1"/>
  <c r="Z123" i="1" s="1"/>
  <c r="X126" i="1"/>
  <c r="X125" i="1" s="1"/>
  <c r="H131" i="1"/>
  <c r="Q38" i="1"/>
  <c r="R38" i="1" s="1"/>
  <c r="Q44" i="1"/>
  <c r="R44" i="1" s="1"/>
  <c r="Q92" i="1"/>
  <c r="R92" i="1" s="1"/>
  <c r="Q97" i="1"/>
  <c r="R97" i="1" s="1"/>
  <c r="X98" i="1"/>
  <c r="X94" i="1" s="1"/>
  <c r="L151" i="1"/>
  <c r="Y13" i="2"/>
  <c r="S15" i="2"/>
  <c r="T15" i="2" s="1"/>
  <c r="Z16" i="2"/>
  <c r="AA16" i="2" s="1"/>
  <c r="S19" i="2"/>
  <c r="T19" i="2" s="1"/>
  <c r="Z20" i="2"/>
  <c r="AA20" i="2" s="1"/>
  <c r="L29" i="2"/>
  <c r="M29" i="2" s="1"/>
  <c r="S33" i="2"/>
  <c r="T33" i="2" s="1"/>
  <c r="L37" i="2"/>
  <c r="M37" i="2" s="1"/>
  <c r="S41" i="2"/>
  <c r="T41" i="2" s="1"/>
  <c r="L45" i="2"/>
  <c r="M45" i="2" s="1"/>
  <c r="S65" i="2"/>
  <c r="T65" i="2" s="1"/>
  <c r="Z70" i="2"/>
  <c r="AA70" i="2" s="1"/>
  <c r="S71" i="2"/>
  <c r="T71" i="2" s="1"/>
  <c r="Z76" i="2"/>
  <c r="AA76" i="2" s="1"/>
  <c r="Z84" i="2"/>
  <c r="AA84" i="2" s="1"/>
  <c r="L109" i="2"/>
  <c r="M109" i="2" s="1"/>
  <c r="S113" i="2"/>
  <c r="T113" i="2" s="1"/>
  <c r="L119" i="2"/>
  <c r="M119" i="2" s="1"/>
  <c r="S131" i="2"/>
  <c r="T131" i="2" s="1"/>
  <c r="L133" i="2"/>
  <c r="M133" i="2" s="1"/>
  <c r="I148" i="2"/>
  <c r="J148" i="2" s="1"/>
  <c r="K153" i="2"/>
  <c r="S156" i="2"/>
  <c r="T156" i="2" s="1"/>
  <c r="L168" i="2"/>
  <c r="M168" i="2" s="1"/>
  <c r="S186" i="2"/>
  <c r="T186" i="2" s="1"/>
  <c r="I249" i="2"/>
  <c r="J249" i="2" s="1"/>
  <c r="G247" i="2"/>
  <c r="I247" i="2" s="1"/>
  <c r="J247" i="2" s="1"/>
  <c r="I324" i="2"/>
  <c r="J324" i="2" s="1"/>
  <c r="S333" i="2"/>
  <c r="T333" i="2" s="1"/>
  <c r="P333" i="2"/>
  <c r="Q333" i="2" s="1"/>
  <c r="L344" i="2"/>
  <c r="M344" i="2" s="1"/>
  <c r="X131" i="1"/>
  <c r="P42" i="1"/>
  <c r="Z30" i="2"/>
  <c r="AA30" i="2" s="1"/>
  <c r="T112" i="1"/>
  <c r="X116" i="1"/>
  <c r="T119" i="1"/>
  <c r="H126" i="1"/>
  <c r="AB131" i="1"/>
  <c r="Q40" i="1"/>
  <c r="R40" i="1" s="1"/>
  <c r="F13" i="1"/>
  <c r="G13" i="1" s="1"/>
  <c r="P113" i="1"/>
  <c r="Q113" i="1" s="1"/>
  <c r="R113" i="1" s="1"/>
  <c r="T115" i="1"/>
  <c r="AB18" i="1"/>
  <c r="V20" i="1"/>
  <c r="W20" i="1" s="1"/>
  <c r="Q21" i="1"/>
  <c r="R21" i="1" s="1"/>
  <c r="Q23" i="1"/>
  <c r="R23" i="1" s="1"/>
  <c r="F24" i="1"/>
  <c r="G24" i="1" s="1"/>
  <c r="L124" i="1"/>
  <c r="I27" i="1"/>
  <c r="J27" i="1" s="1"/>
  <c r="T127" i="1"/>
  <c r="Y127" i="1" s="1"/>
  <c r="Z127" i="1" s="1"/>
  <c r="F49" i="1"/>
  <c r="G49" i="1" s="1"/>
  <c r="V51" i="1"/>
  <c r="W51" i="1" s="1"/>
  <c r="V56" i="1"/>
  <c r="W56" i="1" s="1"/>
  <c r="F62" i="1"/>
  <c r="G62" i="1" s="1"/>
  <c r="V64" i="1"/>
  <c r="W64" i="1" s="1"/>
  <c r="F73" i="1"/>
  <c r="G73" i="1" s="1"/>
  <c r="P74" i="1"/>
  <c r="P70" i="1" s="1"/>
  <c r="P78" i="1" s="1"/>
  <c r="P82" i="1" s="1"/>
  <c r="X87" i="1"/>
  <c r="F91" i="1"/>
  <c r="G91" i="1" s="1"/>
  <c r="Q95" i="1"/>
  <c r="R95" i="1" s="1"/>
  <c r="F96" i="1"/>
  <c r="G96" i="1" s="1"/>
  <c r="D98" i="1"/>
  <c r="D94" i="1" s="1"/>
  <c r="AB98" i="1"/>
  <c r="AB94" i="1" s="1"/>
  <c r="V100" i="1"/>
  <c r="W100" i="1" s="1"/>
  <c r="M151" i="1"/>
  <c r="W17" i="2"/>
  <c r="X17" i="2" s="1"/>
  <c r="W21" i="2"/>
  <c r="X21" i="2" s="1"/>
  <c r="I28" i="2"/>
  <c r="J28" i="2" s="1"/>
  <c r="P29" i="2"/>
  <c r="Q29" i="2" s="1"/>
  <c r="I36" i="2"/>
  <c r="J36" i="2" s="1"/>
  <c r="P37" i="2"/>
  <c r="Q37" i="2" s="1"/>
  <c r="I44" i="2"/>
  <c r="J44" i="2" s="1"/>
  <c r="P45" i="2"/>
  <c r="Q45" i="2" s="1"/>
  <c r="W59" i="2"/>
  <c r="X59" i="2" s="1"/>
  <c r="AB62" i="2"/>
  <c r="AB368" i="2" s="1"/>
  <c r="AB68" i="2"/>
  <c r="AB369" i="2" s="1"/>
  <c r="AB74" i="2"/>
  <c r="W77" i="2"/>
  <c r="X77" i="2" s="1"/>
  <c r="W80" i="2"/>
  <c r="X80" i="2" s="1"/>
  <c r="L81" i="2"/>
  <c r="M81" i="2" s="1"/>
  <c r="W85" i="2"/>
  <c r="X85" i="2" s="1"/>
  <c r="W88" i="2"/>
  <c r="X88" i="2" s="1"/>
  <c r="L89" i="2"/>
  <c r="M89" i="2" s="1"/>
  <c r="O100" i="2"/>
  <c r="O371" i="2" s="1"/>
  <c r="L103" i="2"/>
  <c r="M103" i="2" s="1"/>
  <c r="O106" i="2"/>
  <c r="O372" i="2" s="1"/>
  <c r="I108" i="2"/>
  <c r="J108" i="2" s="1"/>
  <c r="P109" i="2"/>
  <c r="Q109" i="2" s="1"/>
  <c r="K118" i="2"/>
  <c r="L118" i="2" s="1"/>
  <c r="M118" i="2" s="1"/>
  <c r="I120" i="2"/>
  <c r="J120" i="2" s="1"/>
  <c r="W121" i="2"/>
  <c r="X121" i="2" s="1"/>
  <c r="W131" i="2"/>
  <c r="X131" i="2" s="1"/>
  <c r="L138" i="2"/>
  <c r="M138" i="2" s="1"/>
  <c r="L154" i="2"/>
  <c r="M154" i="2" s="1"/>
  <c r="P155" i="2"/>
  <c r="Q155" i="2" s="1"/>
  <c r="Z166" i="2"/>
  <c r="AA166" i="2" s="1"/>
  <c r="W169" i="2"/>
  <c r="X169" i="2" s="1"/>
  <c r="G180" i="2"/>
  <c r="I181" i="2"/>
  <c r="J181" i="2" s="1"/>
  <c r="U202" i="2"/>
  <c r="W203" i="2"/>
  <c r="X203" i="2" s="1"/>
  <c r="R206" i="2"/>
  <c r="V224" i="2"/>
  <c r="W224" i="2" s="1"/>
  <c r="X224" i="2" s="1"/>
  <c r="L268" i="2"/>
  <c r="M268" i="2" s="1"/>
  <c r="Z281" i="2"/>
  <c r="AA281" i="2" s="1"/>
  <c r="V350" i="2"/>
  <c r="P133" i="2"/>
  <c r="Q133" i="2" s="1"/>
  <c r="Z138" i="2"/>
  <c r="AA138" i="2" s="1"/>
  <c r="L143" i="2"/>
  <c r="M143" i="2" s="1"/>
  <c r="L155" i="2"/>
  <c r="M155" i="2" s="1"/>
  <c r="Z162" i="2"/>
  <c r="AA162" i="2" s="1"/>
  <c r="L167" i="2"/>
  <c r="M167" i="2" s="1"/>
  <c r="S169" i="2"/>
  <c r="T169" i="2" s="1"/>
  <c r="P173" i="2"/>
  <c r="Q173" i="2" s="1"/>
  <c r="I174" i="2"/>
  <c r="J174" i="2" s="1"/>
  <c r="W177" i="2"/>
  <c r="X177" i="2" s="1"/>
  <c r="H180" i="2"/>
  <c r="L197" i="2"/>
  <c r="M197" i="2" s="1"/>
  <c r="Z199" i="2"/>
  <c r="AA199" i="2" s="1"/>
  <c r="H224" i="2"/>
  <c r="Z229" i="2"/>
  <c r="AA229" i="2" s="1"/>
  <c r="S238" i="2"/>
  <c r="T238" i="2" s="1"/>
  <c r="P244" i="2"/>
  <c r="Q244" i="2" s="1"/>
  <c r="Z248" i="2"/>
  <c r="AA248" i="2" s="1"/>
  <c r="P272" i="2"/>
  <c r="Q272" i="2" s="1"/>
  <c r="H267" i="2"/>
  <c r="S279" i="2"/>
  <c r="T279" i="2" s="1"/>
  <c r="R278" i="2"/>
  <c r="S278" i="2" s="1"/>
  <c r="T278" i="2" s="1"/>
  <c r="I280" i="2"/>
  <c r="J280" i="2" s="1"/>
  <c r="Z282" i="2"/>
  <c r="AA282" i="2" s="1"/>
  <c r="Z310" i="2"/>
  <c r="AA310" i="2" s="1"/>
  <c r="S311" i="2"/>
  <c r="T311" i="2" s="1"/>
  <c r="I330" i="2"/>
  <c r="J330" i="2" s="1"/>
  <c r="S345" i="2"/>
  <c r="T345" i="2" s="1"/>
  <c r="W346" i="2"/>
  <c r="X346" i="2" s="1"/>
  <c r="Z346" i="2"/>
  <c r="AA346" i="2" s="1"/>
  <c r="S351" i="2"/>
  <c r="T351" i="2" s="1"/>
  <c r="P351" i="2"/>
  <c r="Q351" i="2" s="1"/>
  <c r="Z160" i="2"/>
  <c r="AA160" i="2" s="1"/>
  <c r="V159" i="2"/>
  <c r="V180" i="2"/>
  <c r="H206" i="2"/>
  <c r="S214" i="2"/>
  <c r="T214" i="2" s="1"/>
  <c r="K278" i="2"/>
  <c r="K373" i="2" s="1"/>
  <c r="Z298" i="2"/>
  <c r="AA298" i="2" s="1"/>
  <c r="S299" i="2"/>
  <c r="T299" i="2" s="1"/>
  <c r="H303" i="2"/>
  <c r="O303" i="2"/>
  <c r="Z352" i="2"/>
  <c r="AA352" i="2" s="1"/>
  <c r="S353" i="2"/>
  <c r="T353" i="2" s="1"/>
  <c r="Z130" i="2"/>
  <c r="AA130" i="2" s="1"/>
  <c r="P141" i="2"/>
  <c r="Q141" i="2" s="1"/>
  <c r="I154" i="2"/>
  <c r="J154" i="2" s="1"/>
  <c r="W155" i="2"/>
  <c r="X155" i="2" s="1"/>
  <c r="S161" i="2"/>
  <c r="T161" i="2" s="1"/>
  <c r="Z170" i="2"/>
  <c r="AA170" i="2" s="1"/>
  <c r="L177" i="2"/>
  <c r="M177" i="2" s="1"/>
  <c r="S202" i="2"/>
  <c r="T202" i="2" s="1"/>
  <c r="L203" i="2"/>
  <c r="M203" i="2" s="1"/>
  <c r="K206" i="2"/>
  <c r="Z207" i="2"/>
  <c r="AA207" i="2" s="1"/>
  <c r="L210" i="2"/>
  <c r="M210" i="2" s="1"/>
  <c r="L236" i="2"/>
  <c r="M236" i="2" s="1"/>
  <c r="S261" i="2"/>
  <c r="T261" i="2" s="1"/>
  <c r="L264" i="2"/>
  <c r="M264" i="2" s="1"/>
  <c r="S270" i="2"/>
  <c r="T270" i="2" s="1"/>
  <c r="L271" i="2"/>
  <c r="M271" i="2" s="1"/>
  <c r="L279" i="2"/>
  <c r="M279" i="2" s="1"/>
  <c r="S281" i="2"/>
  <c r="T281" i="2" s="1"/>
  <c r="L297" i="2"/>
  <c r="M297" i="2" s="1"/>
  <c r="L298" i="2"/>
  <c r="M298" i="2" s="1"/>
  <c r="L314" i="2"/>
  <c r="M314" i="2" s="1"/>
  <c r="Z350" i="2"/>
  <c r="AA350" i="2" s="1"/>
  <c r="R401" i="2"/>
  <c r="W161" i="2"/>
  <c r="X161" i="2" s="1"/>
  <c r="Z164" i="2"/>
  <c r="AA164" i="2" s="1"/>
  <c r="L169" i="2"/>
  <c r="M169" i="2" s="1"/>
  <c r="P177" i="2"/>
  <c r="Q177" i="2" s="1"/>
  <c r="Z181" i="2"/>
  <c r="AA181" i="2" s="1"/>
  <c r="Z182" i="2"/>
  <c r="AA182" i="2" s="1"/>
  <c r="O192" i="2"/>
  <c r="P192" i="2" s="1"/>
  <c r="Q192" i="2" s="1"/>
  <c r="P196" i="2"/>
  <c r="Q196" i="2" s="1"/>
  <c r="S198" i="2"/>
  <c r="T198" i="2" s="1"/>
  <c r="L199" i="2"/>
  <c r="M199" i="2" s="1"/>
  <c r="Z203" i="2"/>
  <c r="AA203" i="2" s="1"/>
  <c r="Z209" i="2"/>
  <c r="AA209" i="2" s="1"/>
  <c r="P210" i="2"/>
  <c r="Q210" i="2" s="1"/>
  <c r="S226" i="2"/>
  <c r="T226" i="2" s="1"/>
  <c r="I234" i="2"/>
  <c r="J234" i="2" s="1"/>
  <c r="Y233" i="2"/>
  <c r="Y288" i="2" s="1"/>
  <c r="P236" i="2"/>
  <c r="Q236" i="2" s="1"/>
  <c r="I237" i="2"/>
  <c r="J237" i="2" s="1"/>
  <c r="AB233" i="2"/>
  <c r="S240" i="2"/>
  <c r="T240" i="2" s="1"/>
  <c r="W248" i="2"/>
  <c r="X248" i="2" s="1"/>
  <c r="I269" i="2"/>
  <c r="J269" i="2" s="1"/>
  <c r="I270" i="2"/>
  <c r="J270" i="2" s="1"/>
  <c r="Z272" i="2"/>
  <c r="AA272" i="2" s="1"/>
  <c r="P274" i="2"/>
  <c r="Q274" i="2" s="1"/>
  <c r="I275" i="2"/>
  <c r="J275" i="2" s="1"/>
  <c r="P280" i="2"/>
  <c r="Q280" i="2" s="1"/>
  <c r="G291" i="2"/>
  <c r="Z295" i="2"/>
  <c r="AA295" i="2" s="1"/>
  <c r="S296" i="2"/>
  <c r="T296" i="2" s="1"/>
  <c r="P297" i="2"/>
  <c r="Q297" i="2" s="1"/>
  <c r="Z297" i="2"/>
  <c r="AA297" i="2" s="1"/>
  <c r="S309" i="2"/>
  <c r="T309" i="2" s="1"/>
  <c r="P309" i="2"/>
  <c r="Q309" i="2" s="1"/>
  <c r="W313" i="2"/>
  <c r="X313" i="2" s="1"/>
  <c r="P318" i="2"/>
  <c r="Q318" i="2" s="1"/>
  <c r="O321" i="2"/>
  <c r="Z333" i="2"/>
  <c r="AA333" i="2" s="1"/>
  <c r="W347" i="2"/>
  <c r="X347" i="2" s="1"/>
  <c r="L352" i="2"/>
  <c r="M352" i="2" s="1"/>
  <c r="Z168" i="2"/>
  <c r="AA168" i="2" s="1"/>
  <c r="L173" i="2"/>
  <c r="M173" i="2" s="1"/>
  <c r="S177" i="2"/>
  <c r="T177" i="2" s="1"/>
  <c r="I182" i="2"/>
  <c r="J182" i="2" s="1"/>
  <c r="S193" i="2"/>
  <c r="T193" i="2" s="1"/>
  <c r="P209" i="2"/>
  <c r="Q209" i="2" s="1"/>
  <c r="W219" i="2"/>
  <c r="X219" i="2" s="1"/>
  <c r="P230" i="2"/>
  <c r="Q230" i="2" s="1"/>
  <c r="L234" i="2"/>
  <c r="M234" i="2" s="1"/>
  <c r="L244" i="2"/>
  <c r="M244" i="2" s="1"/>
  <c r="P250" i="2"/>
  <c r="Q250" i="2" s="1"/>
  <c r="W254" i="2"/>
  <c r="X254" i="2" s="1"/>
  <c r="W269" i="2"/>
  <c r="X269" i="2" s="1"/>
  <c r="Z271" i="2"/>
  <c r="AA271" i="2" s="1"/>
  <c r="L281" i="2"/>
  <c r="M281" i="2" s="1"/>
  <c r="V278" i="2"/>
  <c r="I296" i="2"/>
  <c r="J296" i="2" s="1"/>
  <c r="S325" i="2"/>
  <c r="T325" i="2" s="1"/>
  <c r="P325" i="2"/>
  <c r="Q325" i="2" s="1"/>
  <c r="V343" i="2"/>
  <c r="K350" i="2"/>
  <c r="L351" i="2"/>
  <c r="M351" i="2" s="1"/>
  <c r="Z351" i="2"/>
  <c r="AA351" i="2" s="1"/>
  <c r="P298" i="2"/>
  <c r="Q298" i="2" s="1"/>
  <c r="I304" i="2"/>
  <c r="J304" i="2" s="1"/>
  <c r="P310" i="2"/>
  <c r="Q310" i="2" s="1"/>
  <c r="H321" i="2"/>
  <c r="AB321" i="2"/>
  <c r="K328" i="2"/>
  <c r="K368" i="2" s="1"/>
  <c r="P336" i="2"/>
  <c r="Q336" i="2" s="1"/>
  <c r="I339" i="2"/>
  <c r="J339" i="2" s="1"/>
  <c r="W340" i="2"/>
  <c r="X340" i="2" s="1"/>
  <c r="I345" i="2"/>
  <c r="J345" i="2" s="1"/>
  <c r="H350" i="2"/>
  <c r="AB350" i="2"/>
  <c r="I353" i="2"/>
  <c r="J353" i="2" s="1"/>
  <c r="W270" i="2"/>
  <c r="X270" i="2" s="1"/>
  <c r="S272" i="2"/>
  <c r="T272" i="2" s="1"/>
  <c r="W274" i="2"/>
  <c r="X274" i="2" s="1"/>
  <c r="Y291" i="2"/>
  <c r="W296" i="2"/>
  <c r="X296" i="2" s="1"/>
  <c r="S298" i="2"/>
  <c r="T298" i="2" s="1"/>
  <c r="Y303" i="2"/>
  <c r="W308" i="2"/>
  <c r="X308" i="2" s="1"/>
  <c r="S310" i="2"/>
  <c r="T310" i="2" s="1"/>
  <c r="P314" i="2"/>
  <c r="Q314" i="2" s="1"/>
  <c r="I315" i="2"/>
  <c r="J315" i="2" s="1"/>
  <c r="V321" i="2"/>
  <c r="W324" i="2"/>
  <c r="X324" i="2" s="1"/>
  <c r="U328" i="2"/>
  <c r="W328" i="2" s="1"/>
  <c r="X328" i="2" s="1"/>
  <c r="S336" i="2"/>
  <c r="T336" i="2" s="1"/>
  <c r="H343" i="2"/>
  <c r="AB343" i="2"/>
  <c r="U401" i="2"/>
  <c r="O401" i="2"/>
  <c r="S318" i="2"/>
  <c r="T318" i="2" s="1"/>
  <c r="L274" i="2"/>
  <c r="M274" i="2" s="1"/>
  <c r="H291" i="2"/>
  <c r="AB291" i="2"/>
  <c r="P294" i="2"/>
  <c r="Q294" i="2" s="1"/>
  <c r="I295" i="2"/>
  <c r="J295" i="2" s="1"/>
  <c r="AB303" i="2"/>
  <c r="P306" i="2"/>
  <c r="Q306" i="2" s="1"/>
  <c r="I307" i="2"/>
  <c r="J307" i="2" s="1"/>
  <c r="W318" i="2"/>
  <c r="X318" i="2" s="1"/>
  <c r="I323" i="2"/>
  <c r="J323" i="2" s="1"/>
  <c r="K343" i="2"/>
  <c r="Z344" i="2"/>
  <c r="AA344" i="2" s="1"/>
  <c r="K401" i="2"/>
  <c r="G401" i="2"/>
  <c r="Y401" i="2"/>
  <c r="H328" i="2"/>
  <c r="Z354" i="2"/>
  <c r="AA354" i="2" s="1"/>
  <c r="N401" i="2"/>
  <c r="H401" i="2"/>
  <c r="I120" i="1"/>
  <c r="J120" i="1" s="1"/>
  <c r="F131" i="1"/>
  <c r="G131" i="1" s="1"/>
  <c r="I131" i="1"/>
  <c r="J131" i="1" s="1"/>
  <c r="F68" i="1"/>
  <c r="G68" i="1" s="1"/>
  <c r="E66" i="1"/>
  <c r="Q72" i="1"/>
  <c r="R72" i="1" s="1"/>
  <c r="N72" i="1"/>
  <c r="O72" i="1" s="1"/>
  <c r="U74" i="1"/>
  <c r="U70" i="1" s="1"/>
  <c r="Q89" i="1"/>
  <c r="R89" i="1" s="1"/>
  <c r="N89" i="1"/>
  <c r="O89" i="1" s="1"/>
  <c r="L87" i="1"/>
  <c r="H51" i="2"/>
  <c r="H366" i="2" s="1"/>
  <c r="I366" i="2" s="1"/>
  <c r="J366" i="2" s="1"/>
  <c r="I52" i="2"/>
  <c r="J52" i="2" s="1"/>
  <c r="P59" i="2"/>
  <c r="Q59" i="2" s="1"/>
  <c r="N55" i="2"/>
  <c r="I112" i="1"/>
  <c r="J112" i="1" s="1"/>
  <c r="P15" i="1"/>
  <c r="P115" i="1"/>
  <c r="P127" i="1"/>
  <c r="P125" i="1" s="1"/>
  <c r="P26" i="1"/>
  <c r="Q76" i="1"/>
  <c r="R76" i="1" s="1"/>
  <c r="N76" i="1"/>
  <c r="O76" i="1" s="1"/>
  <c r="L74" i="1"/>
  <c r="L70" i="1" s="1"/>
  <c r="F99" i="1"/>
  <c r="G99" i="1" s="1"/>
  <c r="E98" i="1"/>
  <c r="E94" i="1" s="1"/>
  <c r="S27" i="2"/>
  <c r="T27" i="2" s="1"/>
  <c r="R25" i="2"/>
  <c r="R74" i="2"/>
  <c r="S75" i="2"/>
  <c r="T75" i="2" s="1"/>
  <c r="P352" i="2"/>
  <c r="Q352" i="2" s="1"/>
  <c r="N350" i="2"/>
  <c r="P350" i="2" s="1"/>
  <c r="Q350" i="2" s="1"/>
  <c r="P18" i="1"/>
  <c r="Q18" i="1" s="1"/>
  <c r="R18" i="1" s="1"/>
  <c r="P119" i="1"/>
  <c r="Q39" i="1"/>
  <c r="R39" i="1" s="1"/>
  <c r="N39" i="1"/>
  <c r="O39" i="1" s="1"/>
  <c r="P46" i="1"/>
  <c r="Q50" i="1"/>
  <c r="R50" i="1" s="1"/>
  <c r="N50" i="1"/>
  <c r="O50" i="1" s="1"/>
  <c r="Q63" i="1"/>
  <c r="R63" i="1" s="1"/>
  <c r="N63" i="1"/>
  <c r="O63" i="1" s="1"/>
  <c r="Q91" i="1"/>
  <c r="R91" i="1" s="1"/>
  <c r="N91" i="1"/>
  <c r="O91" i="1" s="1"/>
  <c r="L90" i="1"/>
  <c r="V91" i="1"/>
  <c r="W91" i="1" s="1"/>
  <c r="U90" i="1"/>
  <c r="V90" i="1" s="1"/>
  <c r="W90" i="1" s="1"/>
  <c r="P13" i="2"/>
  <c r="Q13" i="2" s="1"/>
  <c r="I116" i="1"/>
  <c r="J116" i="1" s="1"/>
  <c r="F118" i="1"/>
  <c r="G118" i="1" s="1"/>
  <c r="P123" i="1"/>
  <c r="P22" i="1"/>
  <c r="Q26" i="1"/>
  <c r="R26" i="1" s="1"/>
  <c r="L131" i="1"/>
  <c r="Q32" i="1"/>
  <c r="R32" i="1" s="1"/>
  <c r="N32" i="1"/>
  <c r="O32" i="1" s="1"/>
  <c r="U131" i="1"/>
  <c r="V131" i="1" s="1"/>
  <c r="W131" i="1" s="1"/>
  <c r="V32" i="1"/>
  <c r="W32" i="1" s="1"/>
  <c r="P54" i="1"/>
  <c r="P58" i="1" s="1"/>
  <c r="Q46" i="1"/>
  <c r="R46" i="1" s="1"/>
  <c r="Q85" i="1"/>
  <c r="R85" i="1" s="1"/>
  <c r="N85" i="1"/>
  <c r="O85" i="1" s="1"/>
  <c r="V85" i="1"/>
  <c r="W85" i="1" s="1"/>
  <c r="AB102" i="1"/>
  <c r="AB106" i="1" s="1"/>
  <c r="F95" i="1"/>
  <c r="G95" i="1" s="1"/>
  <c r="Q115" i="1"/>
  <c r="R115" i="1" s="1"/>
  <c r="I114" i="2"/>
  <c r="J114" i="2" s="1"/>
  <c r="H106" i="2"/>
  <c r="H372" i="2" s="1"/>
  <c r="P112" i="1"/>
  <c r="E113" i="1"/>
  <c r="F113" i="1" s="1"/>
  <c r="G113" i="1" s="1"/>
  <c r="E115" i="1"/>
  <c r="X114" i="1"/>
  <c r="P118" i="1"/>
  <c r="E119" i="1"/>
  <c r="E117" i="1" s="1"/>
  <c r="V120" i="1"/>
  <c r="W120" i="1" s="1"/>
  <c r="Y120" i="1"/>
  <c r="Z120" i="1" s="1"/>
  <c r="E124" i="1"/>
  <c r="F25" i="1"/>
  <c r="G25" i="1" s="1"/>
  <c r="AB124" i="1"/>
  <c r="Q48" i="1"/>
  <c r="R48" i="1" s="1"/>
  <c r="N48" i="1"/>
  <c r="O48" i="1" s="1"/>
  <c r="Q52" i="1"/>
  <c r="R52" i="1" s="1"/>
  <c r="N52" i="1"/>
  <c r="O52" i="1" s="1"/>
  <c r="Q61" i="1"/>
  <c r="R61" i="1" s="1"/>
  <c r="N61" i="1"/>
  <c r="O61" i="1" s="1"/>
  <c r="V61" i="1"/>
  <c r="W61" i="1" s="1"/>
  <c r="X78" i="1"/>
  <c r="X82" i="1" s="1"/>
  <c r="Q65" i="1"/>
  <c r="R65" i="1" s="1"/>
  <c r="N65" i="1"/>
  <c r="O65" i="1" s="1"/>
  <c r="Q67" i="1"/>
  <c r="R67" i="1" s="1"/>
  <c r="N67" i="1"/>
  <c r="O67" i="1" s="1"/>
  <c r="L66" i="1"/>
  <c r="V67" i="1"/>
  <c r="W67" i="1" s="1"/>
  <c r="U66" i="1"/>
  <c r="F71" i="1"/>
  <c r="G71" i="1" s="1"/>
  <c r="AB70" i="1"/>
  <c r="AB78" i="1" s="1"/>
  <c r="AB82" i="1" s="1"/>
  <c r="F75" i="1"/>
  <c r="G75" i="1" s="1"/>
  <c r="E74" i="1"/>
  <c r="E70" i="1" s="1"/>
  <c r="F88" i="1"/>
  <c r="G88" i="1" s="1"/>
  <c r="E87" i="1"/>
  <c r="E102" i="1" s="1"/>
  <c r="E106" i="1" s="1"/>
  <c r="Q104" i="1"/>
  <c r="R104" i="1" s="1"/>
  <c r="N104" i="1"/>
  <c r="O104" i="1" s="1"/>
  <c r="U113" i="1"/>
  <c r="Y366" i="2"/>
  <c r="R106" i="2"/>
  <c r="S107" i="2"/>
  <c r="T107" i="2" s="1"/>
  <c r="P119" i="2"/>
  <c r="Q119" i="2" s="1"/>
  <c r="N118" i="2"/>
  <c r="V373" i="2"/>
  <c r="P181" i="2"/>
  <c r="Q181" i="2" s="1"/>
  <c r="N180" i="2"/>
  <c r="P180" i="2" s="1"/>
  <c r="Q180" i="2" s="1"/>
  <c r="W214" i="2"/>
  <c r="X214" i="2" s="1"/>
  <c r="Z214" i="2"/>
  <c r="AA214" i="2" s="1"/>
  <c r="P330" i="2"/>
  <c r="Q330" i="2" s="1"/>
  <c r="N328" i="2"/>
  <c r="P328" i="2" s="1"/>
  <c r="Q328" i="2" s="1"/>
  <c r="Y112" i="1"/>
  <c r="Z112" i="1" s="1"/>
  <c r="AB113" i="1"/>
  <c r="P116" i="1"/>
  <c r="F19" i="1"/>
  <c r="G19" i="1" s="1"/>
  <c r="E18" i="1"/>
  <c r="T117" i="1"/>
  <c r="Y118" i="1"/>
  <c r="Z118" i="1" s="1"/>
  <c r="V119" i="1"/>
  <c r="W119" i="1" s="1"/>
  <c r="AB119" i="1"/>
  <c r="AB117" i="1" s="1"/>
  <c r="F23" i="1"/>
  <c r="G23" i="1" s="1"/>
  <c r="V122" i="1"/>
  <c r="W122" i="1" s="1"/>
  <c r="AB122" i="1"/>
  <c r="E126" i="1"/>
  <c r="E125" i="1" s="1"/>
  <c r="F27" i="1"/>
  <c r="G27" i="1" s="1"/>
  <c r="E26" i="1"/>
  <c r="AB126" i="1"/>
  <c r="AB125" i="1" s="1"/>
  <c r="AB26" i="1"/>
  <c r="AB22" i="1" s="1"/>
  <c r="AB30" i="1" s="1"/>
  <c r="AB34" i="1" s="1"/>
  <c r="F40" i="1"/>
  <c r="G40" i="1" s="1"/>
  <c r="E39" i="1"/>
  <c r="F39" i="1" s="1"/>
  <c r="G39" i="1" s="1"/>
  <c r="Q56" i="1"/>
  <c r="R56" i="1" s="1"/>
  <c r="N56" i="1"/>
  <c r="O56" i="1" s="1"/>
  <c r="Q96" i="1"/>
  <c r="R96" i="1" s="1"/>
  <c r="N96" i="1"/>
  <c r="O96" i="1" s="1"/>
  <c r="Q100" i="1"/>
  <c r="R100" i="1" s="1"/>
  <c r="N100" i="1"/>
  <c r="O100" i="1" s="1"/>
  <c r="Y119" i="1"/>
  <c r="Z119" i="1" s="1"/>
  <c r="E122" i="1"/>
  <c r="F123" i="1"/>
  <c r="G123" i="1" s="1"/>
  <c r="I123" i="1"/>
  <c r="J123" i="1" s="1"/>
  <c r="V126" i="1"/>
  <c r="W126" i="1" s="1"/>
  <c r="T125" i="1"/>
  <c r="Y126" i="1"/>
  <c r="Z126" i="1" s="1"/>
  <c r="R366" i="2"/>
  <c r="S51" i="2"/>
  <c r="T51" i="2" s="1"/>
  <c r="I82" i="2"/>
  <c r="J82" i="2" s="1"/>
  <c r="H74" i="2"/>
  <c r="H370" i="2" s="1"/>
  <c r="I102" i="2"/>
  <c r="J102" i="2" s="1"/>
  <c r="H100" i="2"/>
  <c r="H371" i="2" s="1"/>
  <c r="P153" i="2"/>
  <c r="Q153" i="2" s="1"/>
  <c r="U112" i="1"/>
  <c r="I113" i="1"/>
  <c r="J113" i="1" s="1"/>
  <c r="Q14" i="1"/>
  <c r="R14" i="1" s="1"/>
  <c r="N14" i="1"/>
  <c r="O14" i="1" s="1"/>
  <c r="D114" i="1"/>
  <c r="Q16" i="1"/>
  <c r="R16" i="1" s="1"/>
  <c r="N16" i="1"/>
  <c r="O16" i="1" s="1"/>
  <c r="L15" i="1"/>
  <c r="V16" i="1"/>
  <c r="W16" i="1" s="1"/>
  <c r="U15" i="1"/>
  <c r="V15" i="1" s="1"/>
  <c r="W15" i="1" s="1"/>
  <c r="F116" i="1"/>
  <c r="G116" i="1" s="1"/>
  <c r="U118" i="1"/>
  <c r="U117" i="1" s="1"/>
  <c r="Q20" i="1"/>
  <c r="R20" i="1" s="1"/>
  <c r="N20" i="1"/>
  <c r="O20" i="1" s="1"/>
  <c r="L123" i="1"/>
  <c r="Q24" i="1"/>
  <c r="R24" i="1" s="1"/>
  <c r="N24" i="1"/>
  <c r="O24" i="1" s="1"/>
  <c r="U123" i="1"/>
  <c r="V123" i="1" s="1"/>
  <c r="W123" i="1" s="1"/>
  <c r="V24" i="1"/>
  <c r="W24" i="1" s="1"/>
  <c r="L127" i="1"/>
  <c r="L125" i="1" s="1"/>
  <c r="Q28" i="1"/>
  <c r="R28" i="1" s="1"/>
  <c r="N28" i="1"/>
  <c r="O28" i="1" s="1"/>
  <c r="U127" i="1"/>
  <c r="V28" i="1"/>
  <c r="W28" i="1" s="1"/>
  <c r="P131" i="1"/>
  <c r="Q37" i="1"/>
  <c r="R37" i="1" s="1"/>
  <c r="N37" i="1"/>
  <c r="O37" i="1" s="1"/>
  <c r="V37" i="1"/>
  <c r="W37" i="1" s="1"/>
  <c r="X54" i="1"/>
  <c r="X58" i="1" s="1"/>
  <c r="Q41" i="1"/>
  <c r="R41" i="1" s="1"/>
  <c r="N41" i="1"/>
  <c r="O41" i="1" s="1"/>
  <c r="Q43" i="1"/>
  <c r="R43" i="1" s="1"/>
  <c r="N43" i="1"/>
  <c r="O43" i="1" s="1"/>
  <c r="L42" i="1"/>
  <c r="V43" i="1"/>
  <c r="W43" i="1" s="1"/>
  <c r="U42" i="1"/>
  <c r="F47" i="1"/>
  <c r="G47" i="1" s="1"/>
  <c r="F51" i="1"/>
  <c r="G51" i="1" s="1"/>
  <c r="E50" i="1"/>
  <c r="F50" i="1" s="1"/>
  <c r="G50" i="1" s="1"/>
  <c r="F64" i="1"/>
  <c r="G64" i="1" s="1"/>
  <c r="E63" i="1"/>
  <c r="Q80" i="1"/>
  <c r="R80" i="1" s="1"/>
  <c r="N80" i="1"/>
  <c r="O80" i="1" s="1"/>
  <c r="L98" i="1"/>
  <c r="L94" i="1" s="1"/>
  <c r="E112" i="1"/>
  <c r="U115" i="1"/>
  <c r="U114" i="1" s="1"/>
  <c r="L119" i="1"/>
  <c r="E120" i="1"/>
  <c r="F120" i="1" s="1"/>
  <c r="G120" i="1" s="1"/>
  <c r="P63" i="2"/>
  <c r="Q63" i="2" s="1"/>
  <c r="N62" i="2"/>
  <c r="V62" i="2"/>
  <c r="V368" i="2" s="1"/>
  <c r="W63" i="2"/>
  <c r="X63" i="2" s="1"/>
  <c r="I70" i="2"/>
  <c r="J70" i="2" s="1"/>
  <c r="H68" i="2"/>
  <c r="H369" i="2" s="1"/>
  <c r="S167" i="2"/>
  <c r="T167" i="2" s="1"/>
  <c r="R159" i="2"/>
  <c r="S159" i="2" s="1"/>
  <c r="T159" i="2" s="1"/>
  <c r="Y192" i="2"/>
  <c r="Z194" i="2"/>
  <c r="AA194" i="2" s="1"/>
  <c r="Y13" i="1"/>
  <c r="Z13" i="1" s="1"/>
  <c r="I14" i="1"/>
  <c r="J14" i="1" s="1"/>
  <c r="I16" i="1"/>
  <c r="J16" i="1" s="1"/>
  <c r="Y17" i="1"/>
  <c r="Z17" i="1" s="1"/>
  <c r="Y19" i="1"/>
  <c r="Z19" i="1" s="1"/>
  <c r="I20" i="1"/>
  <c r="J20" i="1" s="1"/>
  <c r="Y21" i="1"/>
  <c r="Z21" i="1" s="1"/>
  <c r="Y23" i="1"/>
  <c r="Z23" i="1" s="1"/>
  <c r="I24" i="1"/>
  <c r="J24" i="1" s="1"/>
  <c r="Y25" i="1"/>
  <c r="Z25" i="1" s="1"/>
  <c r="N126" i="1"/>
  <c r="O126" i="1" s="1"/>
  <c r="Q126" i="1"/>
  <c r="R126" i="1" s="1"/>
  <c r="U125" i="1"/>
  <c r="Y27" i="1"/>
  <c r="Z27" i="1" s="1"/>
  <c r="I28" i="1"/>
  <c r="J28" i="1" s="1"/>
  <c r="I32" i="1"/>
  <c r="J32" i="1" s="1"/>
  <c r="I37" i="1"/>
  <c r="J37" i="1" s="1"/>
  <c r="Y38" i="1"/>
  <c r="Z38" i="1" s="1"/>
  <c r="I39" i="1"/>
  <c r="J39" i="1" s="1"/>
  <c r="Y40" i="1"/>
  <c r="Z40" i="1" s="1"/>
  <c r="I41" i="1"/>
  <c r="J41" i="1" s="1"/>
  <c r="Y42" i="1"/>
  <c r="Z42" i="1" s="1"/>
  <c r="I43" i="1"/>
  <c r="J43" i="1" s="1"/>
  <c r="Y44" i="1"/>
  <c r="Z44" i="1" s="1"/>
  <c r="Y47" i="1"/>
  <c r="Z47" i="1" s="1"/>
  <c r="I48" i="1"/>
  <c r="J48" i="1" s="1"/>
  <c r="Y49" i="1"/>
  <c r="Z49" i="1" s="1"/>
  <c r="I50" i="1"/>
  <c r="J50" i="1" s="1"/>
  <c r="Y51" i="1"/>
  <c r="Z51" i="1" s="1"/>
  <c r="I52" i="1"/>
  <c r="J52" i="1" s="1"/>
  <c r="I56" i="1"/>
  <c r="J56" i="1" s="1"/>
  <c r="I61" i="1"/>
  <c r="J61" i="1" s="1"/>
  <c r="Y62" i="1"/>
  <c r="Z62" i="1" s="1"/>
  <c r="I63" i="1"/>
  <c r="J63" i="1" s="1"/>
  <c r="Y64" i="1"/>
  <c r="Z64" i="1" s="1"/>
  <c r="I65" i="1"/>
  <c r="J65" i="1" s="1"/>
  <c r="Y66" i="1"/>
  <c r="Z66" i="1" s="1"/>
  <c r="I67" i="1"/>
  <c r="J67" i="1" s="1"/>
  <c r="Y68" i="1"/>
  <c r="Z68" i="1" s="1"/>
  <c r="Y71" i="1"/>
  <c r="Z71" i="1" s="1"/>
  <c r="I72" i="1"/>
  <c r="J72" i="1" s="1"/>
  <c r="Y73" i="1"/>
  <c r="Z73" i="1" s="1"/>
  <c r="I74" i="1"/>
  <c r="J74" i="1" s="1"/>
  <c r="Y75" i="1"/>
  <c r="Z75" i="1" s="1"/>
  <c r="I76" i="1"/>
  <c r="J76" i="1" s="1"/>
  <c r="I80" i="1"/>
  <c r="J80" i="1" s="1"/>
  <c r="I85" i="1"/>
  <c r="J85" i="1" s="1"/>
  <c r="Y86" i="1"/>
  <c r="Z86" i="1" s="1"/>
  <c r="I87" i="1"/>
  <c r="J87" i="1" s="1"/>
  <c r="Y88" i="1"/>
  <c r="Z88" i="1" s="1"/>
  <c r="I89" i="1"/>
  <c r="J89" i="1" s="1"/>
  <c r="Y90" i="1"/>
  <c r="Z90" i="1" s="1"/>
  <c r="I91" i="1"/>
  <c r="J91" i="1" s="1"/>
  <c r="Y92" i="1"/>
  <c r="Z92" i="1" s="1"/>
  <c r="Y95" i="1"/>
  <c r="Z95" i="1" s="1"/>
  <c r="I96" i="1"/>
  <c r="J96" i="1" s="1"/>
  <c r="Y97" i="1"/>
  <c r="Z97" i="1" s="1"/>
  <c r="I98" i="1"/>
  <c r="J98" i="1" s="1"/>
  <c r="Y99" i="1"/>
  <c r="Z99" i="1" s="1"/>
  <c r="I100" i="1"/>
  <c r="J100" i="1" s="1"/>
  <c r="I104" i="1"/>
  <c r="J104" i="1" s="1"/>
  <c r="L112" i="1"/>
  <c r="L116" i="1"/>
  <c r="L114" i="1" s="1"/>
  <c r="L118" i="1"/>
  <c r="L120" i="1"/>
  <c r="L122" i="1"/>
  <c r="X122" i="1"/>
  <c r="X121" i="1" s="1"/>
  <c r="T124" i="1"/>
  <c r="D125" i="1"/>
  <c r="D127" i="1"/>
  <c r="V127" i="1"/>
  <c r="W127" i="1" s="1"/>
  <c r="H151" i="1"/>
  <c r="T151" i="1"/>
  <c r="R13" i="2"/>
  <c r="H13" i="2"/>
  <c r="I14" i="2"/>
  <c r="J14" i="2" s="1"/>
  <c r="AB13" i="2"/>
  <c r="V25" i="2"/>
  <c r="S31" i="2"/>
  <c r="T31" i="2" s="1"/>
  <c r="S39" i="2"/>
  <c r="T39" i="2" s="1"/>
  <c r="S47" i="2"/>
  <c r="T47" i="2" s="1"/>
  <c r="N366" i="2"/>
  <c r="P366" i="2" s="1"/>
  <c r="Q366" i="2" s="1"/>
  <c r="P51" i="2"/>
  <c r="Q51" i="2" s="1"/>
  <c r="S59" i="2"/>
  <c r="T59" i="2" s="1"/>
  <c r="R62" i="2"/>
  <c r="S63" i="2"/>
  <c r="T63" i="2" s="1"/>
  <c r="P75" i="2"/>
  <c r="Q75" i="2" s="1"/>
  <c r="N74" i="2"/>
  <c r="V74" i="2"/>
  <c r="V370" i="2" s="1"/>
  <c r="W75" i="2"/>
  <c r="X75" i="2" s="1"/>
  <c r="S79" i="2"/>
  <c r="T79" i="2" s="1"/>
  <c r="S87" i="2"/>
  <c r="T87" i="2" s="1"/>
  <c r="P107" i="2"/>
  <c r="Q107" i="2" s="1"/>
  <c r="N106" i="2"/>
  <c r="V106" i="2"/>
  <c r="W106" i="2" s="1"/>
  <c r="X106" i="2" s="1"/>
  <c r="W107" i="2"/>
  <c r="X107" i="2" s="1"/>
  <c r="S111" i="2"/>
  <c r="T111" i="2" s="1"/>
  <c r="R118" i="2"/>
  <c r="S119" i="2"/>
  <c r="T119" i="2" s="1"/>
  <c r="S127" i="2"/>
  <c r="T127" i="2" s="1"/>
  <c r="S135" i="2"/>
  <c r="T135" i="2" s="1"/>
  <c r="S143" i="2"/>
  <c r="T143" i="2" s="1"/>
  <c r="W159" i="2"/>
  <c r="X159" i="2" s="1"/>
  <c r="S163" i="2"/>
  <c r="T163" i="2" s="1"/>
  <c r="S171" i="2"/>
  <c r="T171" i="2" s="1"/>
  <c r="I180" i="2"/>
  <c r="J180" i="2" s="1"/>
  <c r="R180" i="2"/>
  <c r="S181" i="2"/>
  <c r="T181" i="2" s="1"/>
  <c r="S185" i="2"/>
  <c r="T185" i="2" s="1"/>
  <c r="I209" i="2"/>
  <c r="J209" i="2" s="1"/>
  <c r="L209" i="2"/>
  <c r="M209" i="2" s="1"/>
  <c r="P228" i="2"/>
  <c r="Q228" i="2" s="1"/>
  <c r="N224" i="2"/>
  <c r="V13" i="1"/>
  <c r="W13" i="1" s="1"/>
  <c r="F14" i="1"/>
  <c r="G14" i="1" s="1"/>
  <c r="D15" i="1"/>
  <c r="H15" i="1"/>
  <c r="M15" i="1"/>
  <c r="F16" i="1"/>
  <c r="G16" i="1" s="1"/>
  <c r="V17" i="1"/>
  <c r="W17" i="1" s="1"/>
  <c r="T18" i="1"/>
  <c r="X18" i="1"/>
  <c r="V19" i="1"/>
  <c r="W19" i="1" s="1"/>
  <c r="F20" i="1"/>
  <c r="G20" i="1" s="1"/>
  <c r="V21" i="1"/>
  <c r="W21" i="1" s="1"/>
  <c r="V23" i="1"/>
  <c r="W23" i="1" s="1"/>
  <c r="Q25" i="1"/>
  <c r="R25" i="1" s="1"/>
  <c r="T26" i="1"/>
  <c r="T22" i="1" s="1"/>
  <c r="X26" i="1"/>
  <c r="X22" i="1" s="1"/>
  <c r="Q27" i="1"/>
  <c r="R27" i="1" s="1"/>
  <c r="F32" i="1"/>
  <c r="G32" i="1" s="1"/>
  <c r="F37" i="1"/>
  <c r="G37" i="1" s="1"/>
  <c r="V38" i="1"/>
  <c r="W38" i="1" s="1"/>
  <c r="T39" i="1"/>
  <c r="D42" i="1"/>
  <c r="T50" i="1"/>
  <c r="T46" i="1" s="1"/>
  <c r="F61" i="1"/>
  <c r="G61" i="1" s="1"/>
  <c r="V62" i="1"/>
  <c r="W62" i="1" s="1"/>
  <c r="T63" i="1"/>
  <c r="T78" i="1" s="1"/>
  <c r="D66" i="1"/>
  <c r="T74" i="1"/>
  <c r="T70" i="1" s="1"/>
  <c r="F85" i="1"/>
  <c r="G85" i="1" s="1"/>
  <c r="V86" i="1"/>
  <c r="W86" i="1" s="1"/>
  <c r="T87" i="1"/>
  <c r="D90" i="1"/>
  <c r="T94" i="1"/>
  <c r="T98" i="1"/>
  <c r="V13" i="2"/>
  <c r="S17" i="2"/>
  <c r="T17" i="2" s="1"/>
  <c r="S21" i="2"/>
  <c r="T21" i="2" s="1"/>
  <c r="N25" i="2"/>
  <c r="S29" i="2"/>
  <c r="T29" i="2" s="1"/>
  <c r="S37" i="2"/>
  <c r="T37" i="2" s="1"/>
  <c r="S45" i="2"/>
  <c r="T45" i="2" s="1"/>
  <c r="R55" i="2"/>
  <c r="H55" i="2"/>
  <c r="H367" i="2" s="1"/>
  <c r="I56" i="2"/>
  <c r="J56" i="2" s="1"/>
  <c r="S57" i="2"/>
  <c r="T57" i="2" s="1"/>
  <c r="P69" i="2"/>
  <c r="Q69" i="2" s="1"/>
  <c r="N68" i="2"/>
  <c r="V68" i="2"/>
  <c r="V369" i="2" s="1"/>
  <c r="W369" i="2" s="1"/>
  <c r="X369" i="2" s="1"/>
  <c r="W69" i="2"/>
  <c r="X69" i="2" s="1"/>
  <c r="S77" i="2"/>
  <c r="T77" i="2" s="1"/>
  <c r="S85" i="2"/>
  <c r="T85" i="2" s="1"/>
  <c r="P101" i="2"/>
  <c r="Q101" i="2" s="1"/>
  <c r="N100" i="2"/>
  <c r="V100" i="2"/>
  <c r="V371" i="2" s="1"/>
  <c r="W101" i="2"/>
  <c r="X101" i="2" s="1"/>
  <c r="S109" i="2"/>
  <c r="T109" i="2" s="1"/>
  <c r="W119" i="2"/>
  <c r="X119" i="2" s="1"/>
  <c r="S121" i="2"/>
  <c r="T121" i="2" s="1"/>
  <c r="I126" i="2"/>
  <c r="J126" i="2" s="1"/>
  <c r="W127" i="2"/>
  <c r="X127" i="2" s="1"/>
  <c r="S129" i="2"/>
  <c r="T129" i="2" s="1"/>
  <c r="I134" i="2"/>
  <c r="J134" i="2" s="1"/>
  <c r="W135" i="2"/>
  <c r="X135" i="2" s="1"/>
  <c r="S137" i="2"/>
  <c r="T137" i="2" s="1"/>
  <c r="I142" i="2"/>
  <c r="J142" i="2" s="1"/>
  <c r="W143" i="2"/>
  <c r="X143" i="2" s="1"/>
  <c r="R374" i="2"/>
  <c r="S148" i="2"/>
  <c r="T148" i="2" s="1"/>
  <c r="H153" i="2"/>
  <c r="I156" i="2"/>
  <c r="J156" i="2" s="1"/>
  <c r="H159" i="2"/>
  <c r="I162" i="2"/>
  <c r="J162" i="2" s="1"/>
  <c r="W163" i="2"/>
  <c r="X163" i="2" s="1"/>
  <c r="S165" i="2"/>
  <c r="T165" i="2" s="1"/>
  <c r="I170" i="2"/>
  <c r="J170" i="2" s="1"/>
  <c r="W171" i="2"/>
  <c r="X171" i="2" s="1"/>
  <c r="S173" i="2"/>
  <c r="T173" i="2" s="1"/>
  <c r="W181" i="2"/>
  <c r="X181" i="2" s="1"/>
  <c r="W185" i="2"/>
  <c r="X185" i="2" s="1"/>
  <c r="I186" i="2"/>
  <c r="J186" i="2" s="1"/>
  <c r="K192" i="2"/>
  <c r="L193" i="2"/>
  <c r="M193" i="2" s="1"/>
  <c r="R192" i="2"/>
  <c r="S192" i="2" s="1"/>
  <c r="T192" i="2" s="1"/>
  <c r="V206" i="2"/>
  <c r="W206" i="2" s="1"/>
  <c r="X206" i="2" s="1"/>
  <c r="I211" i="2"/>
  <c r="J211" i="2" s="1"/>
  <c r="L211" i="2"/>
  <c r="M211" i="2" s="1"/>
  <c r="I215" i="2"/>
  <c r="J215" i="2" s="1"/>
  <c r="G214" i="2"/>
  <c r="I214" i="2" s="1"/>
  <c r="J214" i="2" s="1"/>
  <c r="L215" i="2"/>
  <c r="M215" i="2" s="1"/>
  <c r="I225" i="2"/>
  <c r="J225" i="2" s="1"/>
  <c r="G224" i="2"/>
  <c r="L224" i="2" s="1"/>
  <c r="M224" i="2" s="1"/>
  <c r="L225" i="2"/>
  <c r="M225" i="2" s="1"/>
  <c r="F126" i="1"/>
  <c r="G126" i="1" s="1"/>
  <c r="Y364" i="2"/>
  <c r="H25" i="2"/>
  <c r="I26" i="2"/>
  <c r="J26" i="2" s="1"/>
  <c r="AB25" i="2"/>
  <c r="O368" i="2"/>
  <c r="R68" i="2"/>
  <c r="S69" i="2"/>
  <c r="T69" i="2" s="1"/>
  <c r="K370" i="2"/>
  <c r="R100" i="2"/>
  <c r="S101" i="2"/>
  <c r="T101" i="2" s="1"/>
  <c r="Y373" i="2"/>
  <c r="N374" i="2"/>
  <c r="P374" i="2" s="1"/>
  <c r="Q374" i="2" s="1"/>
  <c r="P148" i="2"/>
  <c r="Q148" i="2" s="1"/>
  <c r="AB159" i="2"/>
  <c r="AB221" i="2" s="1"/>
  <c r="P185" i="2"/>
  <c r="Q185" i="2" s="1"/>
  <c r="I207" i="2"/>
  <c r="J207" i="2" s="1"/>
  <c r="G206" i="2"/>
  <c r="I206" i="2" s="1"/>
  <c r="J206" i="2" s="1"/>
  <c r="L207" i="2"/>
  <c r="M207" i="2" s="1"/>
  <c r="Z224" i="2"/>
  <c r="AA224" i="2" s="1"/>
  <c r="S254" i="2"/>
  <c r="T254" i="2" s="1"/>
  <c r="R253" i="2"/>
  <c r="I267" i="2"/>
  <c r="J267" i="2" s="1"/>
  <c r="P268" i="2"/>
  <c r="Q268" i="2" s="1"/>
  <c r="N267" i="2"/>
  <c r="P267" i="2" s="1"/>
  <c r="Q267" i="2" s="1"/>
  <c r="O365" i="2"/>
  <c r="L366" i="2"/>
  <c r="M366" i="2" s="1"/>
  <c r="U118" i="2"/>
  <c r="Z118" i="2" s="1"/>
  <c r="AA118" i="2" s="1"/>
  <c r="L374" i="2"/>
  <c r="M374" i="2" s="1"/>
  <c r="W148" i="2"/>
  <c r="X148" i="2" s="1"/>
  <c r="G153" i="2"/>
  <c r="G159" i="2"/>
  <c r="I159" i="2" s="1"/>
  <c r="J159" i="2" s="1"/>
  <c r="U180" i="2"/>
  <c r="W180" i="2" s="1"/>
  <c r="X180" i="2" s="1"/>
  <c r="G185" i="2"/>
  <c r="I185" i="2" s="1"/>
  <c r="J185" i="2" s="1"/>
  <c r="P189" i="2"/>
  <c r="Q189" i="2" s="1"/>
  <c r="I193" i="2"/>
  <c r="J193" i="2" s="1"/>
  <c r="G192" i="2"/>
  <c r="I192" i="2" s="1"/>
  <c r="J192" i="2" s="1"/>
  <c r="P194" i="2"/>
  <c r="Q194" i="2" s="1"/>
  <c r="I203" i="2"/>
  <c r="J203" i="2" s="1"/>
  <c r="G202" i="2"/>
  <c r="N206" i="2"/>
  <c r="P206" i="2" s="1"/>
  <c r="Q206" i="2" s="1"/>
  <c r="AB224" i="2"/>
  <c r="I233" i="2"/>
  <c r="J233" i="2" s="1"/>
  <c r="S234" i="2"/>
  <c r="T234" i="2" s="1"/>
  <c r="R233" i="2"/>
  <c r="S244" i="2"/>
  <c r="T244" i="2" s="1"/>
  <c r="P248" i="2"/>
  <c r="Q248" i="2" s="1"/>
  <c r="N247" i="2"/>
  <c r="P260" i="2"/>
  <c r="Q260" i="2" s="1"/>
  <c r="S280" i="2"/>
  <c r="T280" i="2" s="1"/>
  <c r="S292" i="2"/>
  <c r="T292" i="2" s="1"/>
  <c r="R291" i="2"/>
  <c r="S300" i="2"/>
  <c r="T300" i="2" s="1"/>
  <c r="S304" i="2"/>
  <c r="T304" i="2" s="1"/>
  <c r="R303" i="2"/>
  <c r="S312" i="2"/>
  <c r="T312" i="2" s="1"/>
  <c r="I321" i="2"/>
  <c r="J321" i="2" s="1"/>
  <c r="P322" i="2"/>
  <c r="Q322" i="2" s="1"/>
  <c r="N321" i="2"/>
  <c r="P321" i="2" s="1"/>
  <c r="Q321" i="2" s="1"/>
  <c r="P340" i="2"/>
  <c r="Q340" i="2" s="1"/>
  <c r="N339" i="2"/>
  <c r="P339" i="2" s="1"/>
  <c r="Q339" i="2" s="1"/>
  <c r="P344" i="2"/>
  <c r="Q344" i="2" s="1"/>
  <c r="N343" i="2"/>
  <c r="P343" i="2" s="1"/>
  <c r="Q343" i="2" s="1"/>
  <c r="Z14" i="2"/>
  <c r="AA14" i="2" s="1"/>
  <c r="L25" i="2"/>
  <c r="M25" i="2" s="1"/>
  <c r="Z26" i="2"/>
  <c r="AA26" i="2" s="1"/>
  <c r="L51" i="2"/>
  <c r="M51" i="2" s="1"/>
  <c r="Z52" i="2"/>
  <c r="AA52" i="2" s="1"/>
  <c r="L55" i="2"/>
  <c r="M55" i="2" s="1"/>
  <c r="Z56" i="2"/>
  <c r="AA56" i="2" s="1"/>
  <c r="Z62" i="2"/>
  <c r="AA62" i="2" s="1"/>
  <c r="L63" i="2"/>
  <c r="M63" i="2" s="1"/>
  <c r="L69" i="2"/>
  <c r="M69" i="2" s="1"/>
  <c r="Z74" i="2"/>
  <c r="AA74" i="2" s="1"/>
  <c r="L75" i="2"/>
  <c r="M75" i="2" s="1"/>
  <c r="Z100" i="2"/>
  <c r="AA100" i="2" s="1"/>
  <c r="L101" i="2"/>
  <c r="M101" i="2" s="1"/>
  <c r="Z106" i="2"/>
  <c r="AA106" i="2" s="1"/>
  <c r="L107" i="2"/>
  <c r="M107" i="2" s="1"/>
  <c r="L148" i="2"/>
  <c r="M148" i="2" s="1"/>
  <c r="I197" i="2"/>
  <c r="J197" i="2" s="1"/>
  <c r="I199" i="2"/>
  <c r="J199" i="2" s="1"/>
  <c r="Y206" i="2"/>
  <c r="Z206" i="2" s="1"/>
  <c r="AA206" i="2" s="1"/>
  <c r="P207" i="2"/>
  <c r="Q207" i="2" s="1"/>
  <c r="S208" i="2"/>
  <c r="T208" i="2" s="1"/>
  <c r="S210" i="2"/>
  <c r="T210" i="2" s="1"/>
  <c r="P215" i="2"/>
  <c r="Q215" i="2" s="1"/>
  <c r="P225" i="2"/>
  <c r="Q225" i="2" s="1"/>
  <c r="S228" i="2"/>
  <c r="T228" i="2" s="1"/>
  <c r="W234" i="2"/>
  <c r="X234" i="2" s="1"/>
  <c r="S236" i="2"/>
  <c r="T236" i="2" s="1"/>
  <c r="I241" i="2"/>
  <c r="J241" i="2" s="1"/>
  <c r="W244" i="2"/>
  <c r="X244" i="2" s="1"/>
  <c r="I253" i="2"/>
  <c r="J253" i="2" s="1"/>
  <c r="P254" i="2"/>
  <c r="Q254" i="2" s="1"/>
  <c r="N253" i="2"/>
  <c r="P253" i="2" s="1"/>
  <c r="Q253" i="2" s="1"/>
  <c r="I257" i="2"/>
  <c r="J257" i="2" s="1"/>
  <c r="S260" i="2"/>
  <c r="T260" i="2" s="1"/>
  <c r="S264" i="2"/>
  <c r="T264" i="2" s="1"/>
  <c r="S268" i="2"/>
  <c r="T268" i="2" s="1"/>
  <c r="R267" i="2"/>
  <c r="S267" i="2" s="1"/>
  <c r="T267" i="2" s="1"/>
  <c r="I273" i="2"/>
  <c r="J273" i="2" s="1"/>
  <c r="W278" i="2"/>
  <c r="X278" i="2" s="1"/>
  <c r="I279" i="2"/>
  <c r="J279" i="2" s="1"/>
  <c r="W280" i="2"/>
  <c r="X280" i="2" s="1"/>
  <c r="S282" i="2"/>
  <c r="T282" i="2" s="1"/>
  <c r="W292" i="2"/>
  <c r="X292" i="2" s="1"/>
  <c r="S294" i="2"/>
  <c r="T294" i="2" s="1"/>
  <c r="I299" i="2"/>
  <c r="J299" i="2" s="1"/>
  <c r="W300" i="2"/>
  <c r="X300" i="2" s="1"/>
  <c r="W304" i="2"/>
  <c r="X304" i="2" s="1"/>
  <c r="S306" i="2"/>
  <c r="T306" i="2" s="1"/>
  <c r="I311" i="2"/>
  <c r="J311" i="2" s="1"/>
  <c r="W312" i="2"/>
  <c r="X312" i="2" s="1"/>
  <c r="S314" i="2"/>
  <c r="T314" i="2" s="1"/>
  <c r="I325" i="2"/>
  <c r="J325" i="2" s="1"/>
  <c r="S328" i="2"/>
  <c r="T328" i="2" s="1"/>
  <c r="S330" i="2"/>
  <c r="T330" i="2" s="1"/>
  <c r="I347" i="2"/>
  <c r="J347" i="2" s="1"/>
  <c r="R350" i="2"/>
  <c r="S350" i="2" s="1"/>
  <c r="T350" i="2" s="1"/>
  <c r="S352" i="2"/>
  <c r="T352" i="2" s="1"/>
  <c r="U13" i="2"/>
  <c r="I25" i="2"/>
  <c r="J25" i="2" s="1"/>
  <c r="U25" i="2"/>
  <c r="Z25" i="2" s="1"/>
  <c r="AA25" i="2" s="1"/>
  <c r="U51" i="2"/>
  <c r="I55" i="2"/>
  <c r="J55" i="2" s="1"/>
  <c r="U55" i="2"/>
  <c r="G62" i="2"/>
  <c r="W62" i="2"/>
  <c r="X62" i="2" s="1"/>
  <c r="G68" i="2"/>
  <c r="W68" i="2"/>
  <c r="X68" i="2" s="1"/>
  <c r="G74" i="2"/>
  <c r="W74" i="2"/>
  <c r="X74" i="2" s="1"/>
  <c r="G100" i="2"/>
  <c r="G106" i="2"/>
  <c r="O373" i="2"/>
  <c r="W374" i="2"/>
  <c r="X374" i="2" s="1"/>
  <c r="K150" i="2"/>
  <c r="U221" i="2"/>
  <c r="W192" i="2"/>
  <c r="X192" i="2" s="1"/>
  <c r="S194" i="2"/>
  <c r="T194" i="2" s="1"/>
  <c r="I195" i="2"/>
  <c r="J195" i="2" s="1"/>
  <c r="L195" i="2"/>
  <c r="M195" i="2" s="1"/>
  <c r="W208" i="2"/>
  <c r="X208" i="2" s="1"/>
  <c r="W210" i="2"/>
  <c r="X210" i="2" s="1"/>
  <c r="W228" i="2"/>
  <c r="X228" i="2" s="1"/>
  <c r="P234" i="2"/>
  <c r="Q234" i="2" s="1"/>
  <c r="N233" i="2"/>
  <c r="P233" i="2" s="1"/>
  <c r="Q233" i="2" s="1"/>
  <c r="V233" i="2"/>
  <c r="I235" i="2"/>
  <c r="J235" i="2" s="1"/>
  <c r="W236" i="2"/>
  <c r="X236" i="2" s="1"/>
  <c r="S248" i="2"/>
  <c r="T248" i="2" s="1"/>
  <c r="R247" i="2"/>
  <c r="W260" i="2"/>
  <c r="X260" i="2" s="1"/>
  <c r="I261" i="2"/>
  <c r="J261" i="2" s="1"/>
  <c r="W264" i="2"/>
  <c r="X264" i="2" s="1"/>
  <c r="W268" i="2"/>
  <c r="X268" i="2" s="1"/>
  <c r="H278" i="2"/>
  <c r="AB278" i="2"/>
  <c r="I281" i="2"/>
  <c r="J281" i="2" s="1"/>
  <c r="W282" i="2"/>
  <c r="X282" i="2" s="1"/>
  <c r="O360" i="2"/>
  <c r="P292" i="2"/>
  <c r="Q292" i="2" s="1"/>
  <c r="N291" i="2"/>
  <c r="V291" i="2"/>
  <c r="I293" i="2"/>
  <c r="J293" i="2" s="1"/>
  <c r="W294" i="2"/>
  <c r="X294" i="2" s="1"/>
  <c r="I303" i="2"/>
  <c r="J303" i="2" s="1"/>
  <c r="P304" i="2"/>
  <c r="Q304" i="2" s="1"/>
  <c r="N303" i="2"/>
  <c r="P303" i="2" s="1"/>
  <c r="Q303" i="2" s="1"/>
  <c r="V303" i="2"/>
  <c r="I305" i="2"/>
  <c r="J305" i="2" s="1"/>
  <c r="W306" i="2"/>
  <c r="X306" i="2" s="1"/>
  <c r="I313" i="2"/>
  <c r="J313" i="2" s="1"/>
  <c r="W314" i="2"/>
  <c r="X314" i="2" s="1"/>
  <c r="S322" i="2"/>
  <c r="T322" i="2" s="1"/>
  <c r="R321" i="2"/>
  <c r="I329" i="2"/>
  <c r="J329" i="2" s="1"/>
  <c r="W330" i="2"/>
  <c r="X330" i="2" s="1"/>
  <c r="S340" i="2"/>
  <c r="T340" i="2" s="1"/>
  <c r="R339" i="2"/>
  <c r="S339" i="2" s="1"/>
  <c r="T339" i="2" s="1"/>
  <c r="S344" i="2"/>
  <c r="T344" i="2" s="1"/>
  <c r="R343" i="2"/>
  <c r="W350" i="2"/>
  <c r="X350" i="2" s="1"/>
  <c r="I351" i="2"/>
  <c r="J351" i="2" s="1"/>
  <c r="W352" i="2"/>
  <c r="X352" i="2" s="1"/>
  <c r="U233" i="2"/>
  <c r="U247" i="2"/>
  <c r="W247" i="2" s="1"/>
  <c r="X247" i="2" s="1"/>
  <c r="U253" i="2"/>
  <c r="W253" i="2" s="1"/>
  <c r="X253" i="2" s="1"/>
  <c r="G260" i="2"/>
  <c r="I260" i="2" s="1"/>
  <c r="J260" i="2" s="1"/>
  <c r="U267" i="2"/>
  <c r="W267" i="2" s="1"/>
  <c r="X267" i="2" s="1"/>
  <c r="G278" i="2"/>
  <c r="I278" i="2" s="1"/>
  <c r="J278" i="2" s="1"/>
  <c r="I291" i="2"/>
  <c r="J291" i="2" s="1"/>
  <c r="U291" i="2"/>
  <c r="U303" i="2"/>
  <c r="U321" i="2"/>
  <c r="W321" i="2" s="1"/>
  <c r="X321" i="2" s="1"/>
  <c r="G328" i="2"/>
  <c r="U339" i="2"/>
  <c r="W339" i="2" s="1"/>
  <c r="X339" i="2" s="1"/>
  <c r="U343" i="2"/>
  <c r="W343" i="2" s="1"/>
  <c r="X343" i="2" s="1"/>
  <c r="G350" i="2"/>
  <c r="I350" i="2" s="1"/>
  <c r="J350" i="2" s="1"/>
  <c r="I46" i="1" l="1"/>
  <c r="J46" i="1" s="1"/>
  <c r="H54" i="1"/>
  <c r="H58" i="1" s="1"/>
  <c r="Z192" i="2"/>
  <c r="AA192" i="2" s="1"/>
  <c r="Y370" i="2"/>
  <c r="Z370" i="2" s="1"/>
  <c r="AA370" i="2" s="1"/>
  <c r="H114" i="1"/>
  <c r="I115" i="1"/>
  <c r="J115" i="1" s="1"/>
  <c r="D22" i="1"/>
  <c r="I22" i="1" s="1"/>
  <c r="J22" i="1" s="1"/>
  <c r="I26" i="1"/>
  <c r="J26" i="1" s="1"/>
  <c r="D30" i="1"/>
  <c r="E114" i="1"/>
  <c r="E129" i="1" s="1"/>
  <c r="E133" i="1" s="1"/>
  <c r="F115" i="1"/>
  <c r="G115" i="1" s="1"/>
  <c r="M156" i="1"/>
  <c r="N124" i="1"/>
  <c r="O124" i="1" s="1"/>
  <c r="Q124" i="1"/>
  <c r="R124" i="1" s="1"/>
  <c r="I202" i="2"/>
  <c r="J202" i="2" s="1"/>
  <c r="L202" i="2"/>
  <c r="M202" i="2" s="1"/>
  <c r="U54" i="1"/>
  <c r="U58" i="1" s="1"/>
  <c r="V42" i="1"/>
  <c r="W42" i="1" s="1"/>
  <c r="O221" i="2"/>
  <c r="O364" i="2"/>
  <c r="L13" i="2"/>
  <c r="M13" i="2" s="1"/>
  <c r="G364" i="2"/>
  <c r="I13" i="2"/>
  <c r="J13" i="2" s="1"/>
  <c r="M22" i="1"/>
  <c r="M30" i="1" s="1"/>
  <c r="M34" i="1" s="1"/>
  <c r="M109" i="1" s="1"/>
  <c r="M153" i="1" s="1"/>
  <c r="N26" i="1"/>
  <c r="O26" i="1" s="1"/>
  <c r="D117" i="1"/>
  <c r="AB373" i="2"/>
  <c r="S206" i="2"/>
  <c r="T206" i="2" s="1"/>
  <c r="S180" i="2"/>
  <c r="T180" i="2" s="1"/>
  <c r="F74" i="1"/>
  <c r="G74" i="1" s="1"/>
  <c r="F26" i="1"/>
  <c r="G26" i="1" s="1"/>
  <c r="U78" i="1"/>
  <c r="U82" i="1" s="1"/>
  <c r="Y367" i="2"/>
  <c r="Y376" i="2" s="1"/>
  <c r="H373" i="2"/>
  <c r="G150" i="2"/>
  <c r="F98" i="1"/>
  <c r="G98" i="1" s="1"/>
  <c r="V367" i="2"/>
  <c r="AB370" i="2"/>
  <c r="K367" i="2"/>
  <c r="L367" i="2" s="1"/>
  <c r="M367" i="2" s="1"/>
  <c r="T114" i="1"/>
  <c r="H30" i="1"/>
  <c r="H34" i="1" s="1"/>
  <c r="V288" i="2"/>
  <c r="O367" i="2"/>
  <c r="X102" i="1"/>
  <c r="X106" i="1" s="1"/>
  <c r="X156" i="1" s="1"/>
  <c r="I124" i="1"/>
  <c r="J124" i="1" s="1"/>
  <c r="AB365" i="2"/>
  <c r="E121" i="1"/>
  <c r="H360" i="2"/>
  <c r="L343" i="2"/>
  <c r="M343" i="2" s="1"/>
  <c r="AB360" i="2"/>
  <c r="P102" i="1"/>
  <c r="P106" i="1" s="1"/>
  <c r="P109" i="1" s="1"/>
  <c r="P153" i="1" s="1"/>
  <c r="O370" i="2"/>
  <c r="F70" i="1"/>
  <c r="G70" i="1" s="1"/>
  <c r="P121" i="1"/>
  <c r="G367" i="2"/>
  <c r="I367" i="2" s="1"/>
  <c r="J367" i="2" s="1"/>
  <c r="W303" i="2"/>
  <c r="X303" i="2" s="1"/>
  <c r="H365" i="2"/>
  <c r="F87" i="1"/>
  <c r="G87" i="1" s="1"/>
  <c r="P117" i="1"/>
  <c r="Y115" i="1"/>
  <c r="Z115" i="1" s="1"/>
  <c r="AB367" i="2"/>
  <c r="P247" i="2"/>
  <c r="Q247" i="2" s="1"/>
  <c r="D78" i="1"/>
  <c r="D82" i="1" s="1"/>
  <c r="P30" i="1"/>
  <c r="P34" i="1" s="1"/>
  <c r="Y360" i="2"/>
  <c r="H288" i="2"/>
  <c r="I94" i="1"/>
  <c r="J94" i="1" s="1"/>
  <c r="F94" i="1"/>
  <c r="G94" i="1" s="1"/>
  <c r="L30" i="1"/>
  <c r="H109" i="1"/>
  <c r="E78" i="1"/>
  <c r="E82" i="1" s="1"/>
  <c r="O150" i="2"/>
  <c r="W100" i="2"/>
  <c r="X100" i="2" s="1"/>
  <c r="I18" i="1"/>
  <c r="J18" i="1" s="1"/>
  <c r="V113" i="1"/>
  <c r="W113" i="1" s="1"/>
  <c r="U102" i="1"/>
  <c r="U106" i="1" s="1"/>
  <c r="U370" i="2"/>
  <c r="W370" i="2" s="1"/>
  <c r="X370" i="2" s="1"/>
  <c r="Z153" i="2"/>
  <c r="AA153" i="2" s="1"/>
  <c r="L303" i="2"/>
  <c r="M303" i="2" s="1"/>
  <c r="K372" i="2"/>
  <c r="R221" i="2"/>
  <c r="Y365" i="2"/>
  <c r="Z278" i="2"/>
  <c r="AA278" i="2" s="1"/>
  <c r="P159" i="2"/>
  <c r="Q159" i="2" s="1"/>
  <c r="N364" i="2"/>
  <c r="K360" i="2"/>
  <c r="L291" i="2"/>
  <c r="M291" i="2" s="1"/>
  <c r="I51" i="2"/>
  <c r="J51" i="2" s="1"/>
  <c r="Y116" i="1"/>
  <c r="Z116" i="1" s="1"/>
  <c r="N115" i="1"/>
  <c r="O115" i="1" s="1"/>
  <c r="AB372" i="2"/>
  <c r="Z328" i="2"/>
  <c r="AA328" i="2" s="1"/>
  <c r="L180" i="2"/>
  <c r="M180" i="2" s="1"/>
  <c r="S321" i="2"/>
  <c r="T321" i="2" s="1"/>
  <c r="K365" i="2"/>
  <c r="V116" i="1"/>
  <c r="W116" i="1" s="1"/>
  <c r="N46" i="1"/>
  <c r="O46" i="1" s="1"/>
  <c r="M121" i="1"/>
  <c r="M129" i="1" s="1"/>
  <c r="M133" i="1" s="1"/>
  <c r="I328" i="2"/>
  <c r="J328" i="2" s="1"/>
  <c r="S343" i="2"/>
  <c r="T343" i="2" s="1"/>
  <c r="S224" i="2"/>
  <c r="T224" i="2" s="1"/>
  <c r="H221" i="2"/>
  <c r="AB54" i="1"/>
  <c r="AB58" i="1" s="1"/>
  <c r="AB109" i="1" s="1"/>
  <c r="AB153" i="1" s="1"/>
  <c r="F119" i="1"/>
  <c r="G119" i="1" s="1"/>
  <c r="X129" i="1"/>
  <c r="X133" i="1" s="1"/>
  <c r="W202" i="2"/>
  <c r="X202" i="2" s="1"/>
  <c r="Z202" i="2"/>
  <c r="AA202" i="2" s="1"/>
  <c r="Y221" i="2"/>
  <c r="K288" i="2"/>
  <c r="K364" i="2"/>
  <c r="Z180" i="2"/>
  <c r="AA180" i="2" s="1"/>
  <c r="F124" i="1"/>
  <c r="G124" i="1" s="1"/>
  <c r="Q22" i="1"/>
  <c r="R22" i="1" s="1"/>
  <c r="H368" i="2"/>
  <c r="H125" i="1"/>
  <c r="H121" i="1" s="1"/>
  <c r="H129" i="1" s="1"/>
  <c r="H133" i="1" s="1"/>
  <c r="Y131" i="1"/>
  <c r="Z131" i="1" s="1"/>
  <c r="Z68" i="2"/>
  <c r="AA68" i="2" s="1"/>
  <c r="Y150" i="2"/>
  <c r="U30" i="1"/>
  <c r="U34" i="1" s="1"/>
  <c r="L247" i="2"/>
  <c r="M247" i="2" s="1"/>
  <c r="H156" i="1"/>
  <c r="I118" i="1"/>
  <c r="J118" i="1" s="1"/>
  <c r="Q70" i="1"/>
  <c r="R70" i="1" s="1"/>
  <c r="N70" i="1"/>
  <c r="O70" i="1" s="1"/>
  <c r="X30" i="1"/>
  <c r="X34" i="1" s="1"/>
  <c r="N125" i="1"/>
  <c r="O125" i="1" s="1"/>
  <c r="Q125" i="1"/>
  <c r="R125" i="1" s="1"/>
  <c r="F78" i="1"/>
  <c r="G78" i="1" s="1"/>
  <c r="N114" i="1"/>
  <c r="O114" i="1" s="1"/>
  <c r="Q94" i="1"/>
  <c r="R94" i="1" s="1"/>
  <c r="N94" i="1"/>
  <c r="O94" i="1" s="1"/>
  <c r="L102" i="1"/>
  <c r="T82" i="1"/>
  <c r="V78" i="1"/>
  <c r="W78" i="1" s="1"/>
  <c r="Y78" i="1"/>
  <c r="Z78" i="1" s="1"/>
  <c r="P364" i="2"/>
  <c r="Q364" i="2" s="1"/>
  <c r="W233" i="2"/>
  <c r="X233" i="2" s="1"/>
  <c r="S247" i="2"/>
  <c r="T247" i="2" s="1"/>
  <c r="O362" i="2"/>
  <c r="G372" i="2"/>
  <c r="I106" i="2"/>
  <c r="J106" i="2" s="1"/>
  <c r="G370" i="2"/>
  <c r="I370" i="2" s="1"/>
  <c r="J370" i="2" s="1"/>
  <c r="I74" i="2"/>
  <c r="J74" i="2" s="1"/>
  <c r="G368" i="2"/>
  <c r="I62" i="2"/>
  <c r="J62" i="2" s="1"/>
  <c r="L62" i="2"/>
  <c r="M62" i="2" s="1"/>
  <c r="Z339" i="2"/>
  <c r="AA339" i="2" s="1"/>
  <c r="Z321" i="2"/>
  <c r="AA321" i="2" s="1"/>
  <c r="S233" i="2"/>
  <c r="T233" i="2" s="1"/>
  <c r="R288" i="2"/>
  <c r="I153" i="2"/>
  <c r="J153" i="2" s="1"/>
  <c r="G221" i="2"/>
  <c r="Y372" i="2"/>
  <c r="U368" i="2"/>
  <c r="L364" i="2"/>
  <c r="M364" i="2" s="1"/>
  <c r="R371" i="2"/>
  <c r="S100" i="2"/>
  <c r="T100" i="2" s="1"/>
  <c r="Y362" i="2"/>
  <c r="L278" i="2"/>
  <c r="M278" i="2" s="1"/>
  <c r="L192" i="2"/>
  <c r="M192" i="2" s="1"/>
  <c r="S374" i="2"/>
  <c r="T374" i="2" s="1"/>
  <c r="L106" i="2"/>
  <c r="M106" i="2" s="1"/>
  <c r="R367" i="2"/>
  <c r="S55" i="2"/>
  <c r="T55" i="2" s="1"/>
  <c r="N365" i="2"/>
  <c r="P365" i="2" s="1"/>
  <c r="Q365" i="2" s="1"/>
  <c r="P25" i="2"/>
  <c r="Q25" i="2" s="1"/>
  <c r="F90" i="1"/>
  <c r="G90" i="1" s="1"/>
  <c r="I90" i="1"/>
  <c r="J90" i="1" s="1"/>
  <c r="V74" i="1"/>
  <c r="W74" i="1" s="1"/>
  <c r="Y74" i="1"/>
  <c r="Z74" i="1" s="1"/>
  <c r="F42" i="1"/>
  <c r="G42" i="1" s="1"/>
  <c r="I42" i="1"/>
  <c r="J42" i="1" s="1"/>
  <c r="Z233" i="2"/>
  <c r="AA233" i="2" s="1"/>
  <c r="V365" i="2"/>
  <c r="R150" i="2"/>
  <c r="S13" i="2"/>
  <c r="T13" i="2" s="1"/>
  <c r="R364" i="2"/>
  <c r="F127" i="1"/>
  <c r="G127" i="1" s="1"/>
  <c r="I127" i="1"/>
  <c r="J127" i="1" s="1"/>
  <c r="N122" i="1"/>
  <c r="O122" i="1" s="1"/>
  <c r="Q122" i="1"/>
  <c r="R122" i="1" s="1"/>
  <c r="L121" i="1"/>
  <c r="Q112" i="1"/>
  <c r="R112" i="1" s="1"/>
  <c r="N112" i="1"/>
  <c r="O112" i="1" s="1"/>
  <c r="Q30" i="1"/>
  <c r="R30" i="1" s="1"/>
  <c r="L34" i="1"/>
  <c r="N368" i="2"/>
  <c r="P368" i="2" s="1"/>
  <c r="Q368" i="2" s="1"/>
  <c r="P62" i="2"/>
  <c r="Q62" i="2" s="1"/>
  <c r="Q119" i="1"/>
  <c r="R119" i="1" s="1"/>
  <c r="N119" i="1"/>
  <c r="O119" i="1" s="1"/>
  <c r="E46" i="1"/>
  <c r="F46" i="1" s="1"/>
  <c r="G46" i="1" s="1"/>
  <c r="Q42" i="1"/>
  <c r="R42" i="1" s="1"/>
  <c r="N42" i="1"/>
  <c r="O42" i="1" s="1"/>
  <c r="D54" i="1"/>
  <c r="L74" i="2"/>
  <c r="M74" i="2" s="1"/>
  <c r="Y125" i="1"/>
  <c r="Z125" i="1" s="1"/>
  <c r="V125" i="1"/>
  <c r="W125" i="1" s="1"/>
  <c r="F63" i="1"/>
  <c r="G63" i="1" s="1"/>
  <c r="Y122" i="1"/>
  <c r="Z122" i="1" s="1"/>
  <c r="V118" i="1"/>
  <c r="W118" i="1" s="1"/>
  <c r="V114" i="1"/>
  <c r="W114" i="1" s="1"/>
  <c r="Y114" i="1"/>
  <c r="Z114" i="1" s="1"/>
  <c r="V66" i="1"/>
  <c r="W66" i="1" s="1"/>
  <c r="K221" i="2"/>
  <c r="L221" i="2" s="1"/>
  <c r="M221" i="2" s="1"/>
  <c r="F18" i="1"/>
  <c r="G18" i="1" s="1"/>
  <c r="N150" i="2"/>
  <c r="N367" i="2"/>
  <c r="P55" i="2"/>
  <c r="Q55" i="2" s="1"/>
  <c r="Q87" i="1"/>
  <c r="R87" i="1" s="1"/>
  <c r="N87" i="1"/>
  <c r="O87" i="1" s="1"/>
  <c r="U360" i="2"/>
  <c r="Z360" i="2" s="1"/>
  <c r="AA360" i="2" s="1"/>
  <c r="W291" i="2"/>
  <c r="X291" i="2" s="1"/>
  <c r="K362" i="2"/>
  <c r="L150" i="2"/>
  <c r="M150" i="2" s="1"/>
  <c r="U367" i="2"/>
  <c r="W55" i="2"/>
  <c r="X55" i="2" s="1"/>
  <c r="Z55" i="2"/>
  <c r="AA55" i="2" s="1"/>
  <c r="U365" i="2"/>
  <c r="W365" i="2" s="1"/>
  <c r="X365" i="2" s="1"/>
  <c r="W25" i="2"/>
  <c r="X25" i="2" s="1"/>
  <c r="L328" i="2"/>
  <c r="M328" i="2" s="1"/>
  <c r="S291" i="2"/>
  <c r="T291" i="2" s="1"/>
  <c r="R360" i="2"/>
  <c r="U372" i="2"/>
  <c r="N369" i="2"/>
  <c r="P369" i="2" s="1"/>
  <c r="Q369" i="2" s="1"/>
  <c r="P68" i="2"/>
  <c r="Q68" i="2" s="1"/>
  <c r="V87" i="1"/>
  <c r="W87" i="1" s="1"/>
  <c r="Y87" i="1"/>
  <c r="Z87" i="1" s="1"/>
  <c r="V70" i="1"/>
  <c r="W70" i="1" s="1"/>
  <c r="Y70" i="1"/>
  <c r="Z70" i="1" s="1"/>
  <c r="V39" i="1"/>
  <c r="W39" i="1" s="1"/>
  <c r="Y39" i="1"/>
  <c r="Z39" i="1" s="1"/>
  <c r="V22" i="1"/>
  <c r="W22" i="1" s="1"/>
  <c r="Y22" i="1"/>
  <c r="Z22" i="1" s="1"/>
  <c r="R373" i="2"/>
  <c r="S118" i="2"/>
  <c r="T118" i="2" s="1"/>
  <c r="V372" i="2"/>
  <c r="N370" i="2"/>
  <c r="P370" i="2" s="1"/>
  <c r="Q370" i="2" s="1"/>
  <c r="P74" i="2"/>
  <c r="Q74" i="2" s="1"/>
  <c r="S62" i="2"/>
  <c r="T62" i="2" s="1"/>
  <c r="R368" i="2"/>
  <c r="S368" i="2" s="1"/>
  <c r="T368" i="2" s="1"/>
  <c r="AB364" i="2"/>
  <c r="AB150" i="2"/>
  <c r="F125" i="1"/>
  <c r="G125" i="1" s="1"/>
  <c r="I125" i="1"/>
  <c r="J125" i="1" s="1"/>
  <c r="Q120" i="1"/>
  <c r="R120" i="1" s="1"/>
  <c r="N120" i="1"/>
  <c r="O120" i="1" s="1"/>
  <c r="L153" i="2"/>
  <c r="M153" i="2" s="1"/>
  <c r="V115" i="1"/>
  <c r="W115" i="1" s="1"/>
  <c r="Q66" i="1"/>
  <c r="R66" i="1" s="1"/>
  <c r="N66" i="1"/>
  <c r="O66" i="1" s="1"/>
  <c r="Q90" i="1"/>
  <c r="R90" i="1" s="1"/>
  <c r="N90" i="1"/>
  <c r="O90" i="1" s="1"/>
  <c r="S74" i="2"/>
  <c r="T74" i="2" s="1"/>
  <c r="R370" i="2"/>
  <c r="V360" i="2"/>
  <c r="G360" i="2"/>
  <c r="Z221" i="2"/>
  <c r="AA221" i="2" s="1"/>
  <c r="G373" i="2"/>
  <c r="I373" i="2" s="1"/>
  <c r="J373" i="2" s="1"/>
  <c r="G371" i="2"/>
  <c r="I100" i="2"/>
  <c r="J100" i="2" s="1"/>
  <c r="L100" i="2"/>
  <c r="M100" i="2" s="1"/>
  <c r="G369" i="2"/>
  <c r="I68" i="2"/>
  <c r="J68" i="2" s="1"/>
  <c r="L68" i="2"/>
  <c r="M68" i="2" s="1"/>
  <c r="L214" i="2"/>
  <c r="M214" i="2" s="1"/>
  <c r="L206" i="2"/>
  <c r="M206" i="2" s="1"/>
  <c r="S303" i="2"/>
  <c r="T303" i="2" s="1"/>
  <c r="Z267" i="2"/>
  <c r="AA267" i="2" s="1"/>
  <c r="G365" i="2"/>
  <c r="I365" i="2" s="1"/>
  <c r="J365" i="2" s="1"/>
  <c r="U288" i="2"/>
  <c r="W288" i="2" s="1"/>
  <c r="X288" i="2" s="1"/>
  <c r="G288" i="2"/>
  <c r="I224" i="2"/>
  <c r="J224" i="2" s="1"/>
  <c r="V221" i="2"/>
  <c r="V98" i="1"/>
  <c r="W98" i="1" s="1"/>
  <c r="Y98" i="1"/>
  <c r="Z98" i="1" s="1"/>
  <c r="F66" i="1"/>
  <c r="G66" i="1" s="1"/>
  <c r="I66" i="1"/>
  <c r="J66" i="1" s="1"/>
  <c r="V50" i="1"/>
  <c r="W50" i="1" s="1"/>
  <c r="Y50" i="1"/>
  <c r="Z50" i="1" s="1"/>
  <c r="V26" i="1"/>
  <c r="W26" i="1" s="1"/>
  <c r="Y26" i="1"/>
  <c r="Z26" i="1" s="1"/>
  <c r="V18" i="1"/>
  <c r="W18" i="1" s="1"/>
  <c r="Y18" i="1"/>
  <c r="Z18" i="1" s="1"/>
  <c r="P224" i="2"/>
  <c r="Q224" i="2" s="1"/>
  <c r="N288" i="2"/>
  <c r="P288" i="2" s="1"/>
  <c r="Q288" i="2" s="1"/>
  <c r="N372" i="2"/>
  <c r="P372" i="2" s="1"/>
  <c r="Q372" i="2" s="1"/>
  <c r="P106" i="2"/>
  <c r="Q106" i="2" s="1"/>
  <c r="H153" i="1"/>
  <c r="V124" i="1"/>
  <c r="W124" i="1" s="1"/>
  <c r="Y124" i="1"/>
  <c r="Z124" i="1" s="1"/>
  <c r="Q118" i="1"/>
  <c r="R118" i="1" s="1"/>
  <c r="N118" i="1"/>
  <c r="O118" i="1" s="1"/>
  <c r="L117" i="1"/>
  <c r="U109" i="1"/>
  <c r="U153" i="1" s="1"/>
  <c r="L54" i="1"/>
  <c r="N123" i="1"/>
  <c r="O123" i="1" s="1"/>
  <c r="Q123" i="1"/>
  <c r="R123" i="1" s="1"/>
  <c r="Q15" i="1"/>
  <c r="R15" i="1" s="1"/>
  <c r="N15" i="1"/>
  <c r="O15" i="1" s="1"/>
  <c r="I114" i="1"/>
  <c r="J114" i="1" s="1"/>
  <c r="S366" i="2"/>
  <c r="T366" i="2" s="1"/>
  <c r="AB121" i="1"/>
  <c r="AB129" i="1" s="1"/>
  <c r="AB133" i="1" s="1"/>
  <c r="E22" i="1"/>
  <c r="F22" i="1" s="1"/>
  <c r="G22" i="1" s="1"/>
  <c r="V112" i="1"/>
  <c r="W112" i="1" s="1"/>
  <c r="S106" i="2"/>
  <c r="T106" i="2" s="1"/>
  <c r="R372" i="2"/>
  <c r="S372" i="2" s="1"/>
  <c r="T372" i="2" s="1"/>
  <c r="E54" i="1"/>
  <c r="E58" i="1" s="1"/>
  <c r="F117" i="1"/>
  <c r="G117" i="1" s="1"/>
  <c r="I117" i="1"/>
  <c r="J117" i="1" s="1"/>
  <c r="U121" i="1"/>
  <c r="U129" i="1" s="1"/>
  <c r="U133" i="1" s="1"/>
  <c r="R365" i="2"/>
  <c r="S25" i="2"/>
  <c r="T25" i="2" s="1"/>
  <c r="D121" i="1"/>
  <c r="N360" i="2"/>
  <c r="P360" i="2" s="1"/>
  <c r="Q360" i="2" s="1"/>
  <c r="P291" i="2"/>
  <c r="Q291" i="2" s="1"/>
  <c r="Z253" i="2"/>
  <c r="AA253" i="2" s="1"/>
  <c r="W221" i="2"/>
  <c r="X221" i="2" s="1"/>
  <c r="U366" i="2"/>
  <c r="W366" i="2" s="1"/>
  <c r="X366" i="2" s="1"/>
  <c r="W51" i="2"/>
  <c r="X51" i="2" s="1"/>
  <c r="U364" i="2"/>
  <c r="U150" i="2"/>
  <c r="Z150" i="2" s="1"/>
  <c r="AA150" i="2" s="1"/>
  <c r="W13" i="2"/>
  <c r="X13" i="2" s="1"/>
  <c r="Z13" i="2"/>
  <c r="AA13" i="2" s="1"/>
  <c r="Z343" i="2"/>
  <c r="AA343" i="2" s="1"/>
  <c r="Z247" i="2"/>
  <c r="AA247" i="2" s="1"/>
  <c r="L350" i="2"/>
  <c r="M350" i="2" s="1"/>
  <c r="L260" i="2"/>
  <c r="M260" i="2" s="1"/>
  <c r="AB288" i="2"/>
  <c r="U373" i="2"/>
  <c r="W373" i="2" s="1"/>
  <c r="X373" i="2" s="1"/>
  <c r="W118" i="2"/>
  <c r="X118" i="2" s="1"/>
  <c r="U371" i="2"/>
  <c r="O376" i="2"/>
  <c r="O402" i="2" s="1"/>
  <c r="Z303" i="2"/>
  <c r="AA303" i="2" s="1"/>
  <c r="S253" i="2"/>
  <c r="T253" i="2" s="1"/>
  <c r="L185" i="2"/>
  <c r="M185" i="2" s="1"/>
  <c r="R369" i="2"/>
  <c r="S369" i="2" s="1"/>
  <c r="T369" i="2" s="1"/>
  <c r="S68" i="2"/>
  <c r="T68" i="2" s="1"/>
  <c r="T30" i="1"/>
  <c r="N371" i="2"/>
  <c r="P371" i="2" s="1"/>
  <c r="Q371" i="2" s="1"/>
  <c r="P100" i="2"/>
  <c r="Q100" i="2" s="1"/>
  <c r="V150" i="2"/>
  <c r="V362" i="2" s="1"/>
  <c r="V364" i="2"/>
  <c r="V376" i="2" s="1"/>
  <c r="V402" i="2" s="1"/>
  <c r="V94" i="1"/>
  <c r="W94" i="1" s="1"/>
  <c r="Y94" i="1"/>
  <c r="Z94" i="1" s="1"/>
  <c r="V63" i="1"/>
  <c r="W63" i="1" s="1"/>
  <c r="Y63" i="1"/>
  <c r="Z63" i="1" s="1"/>
  <c r="V46" i="1"/>
  <c r="W46" i="1" s="1"/>
  <c r="Y46" i="1"/>
  <c r="Z46" i="1" s="1"/>
  <c r="D34" i="1"/>
  <c r="I30" i="1"/>
  <c r="J30" i="1" s="1"/>
  <c r="F15" i="1"/>
  <c r="G15" i="1" s="1"/>
  <c r="I15" i="1"/>
  <c r="J15" i="1" s="1"/>
  <c r="H364" i="2"/>
  <c r="H150" i="2"/>
  <c r="Q116" i="1"/>
  <c r="R116" i="1" s="1"/>
  <c r="N116" i="1"/>
  <c r="O116" i="1" s="1"/>
  <c r="L159" i="2"/>
  <c r="M159" i="2" s="1"/>
  <c r="Q98" i="1"/>
  <c r="R98" i="1" s="1"/>
  <c r="N98" i="1"/>
  <c r="O98" i="1" s="1"/>
  <c r="AB156" i="1"/>
  <c r="U156" i="1"/>
  <c r="N127" i="1"/>
  <c r="O127" i="1" s="1"/>
  <c r="Q127" i="1"/>
  <c r="R127" i="1" s="1"/>
  <c r="Z291" i="2"/>
  <c r="AA291" i="2" s="1"/>
  <c r="N221" i="2"/>
  <c r="P221" i="2" s="1"/>
  <c r="Q221" i="2" s="1"/>
  <c r="T102" i="1"/>
  <c r="T121" i="1"/>
  <c r="V117" i="1"/>
  <c r="W117" i="1" s="1"/>
  <c r="Y117" i="1"/>
  <c r="Z117" i="1" s="1"/>
  <c r="N373" i="2"/>
  <c r="P373" i="2" s="1"/>
  <c r="Q373" i="2" s="1"/>
  <c r="P118" i="2"/>
  <c r="Q118" i="2" s="1"/>
  <c r="Z51" i="2"/>
  <c r="AA51" i="2" s="1"/>
  <c r="L78" i="1"/>
  <c r="T54" i="1"/>
  <c r="N131" i="1"/>
  <c r="O131" i="1" s="1"/>
  <c r="Q131" i="1"/>
  <c r="R131" i="1" s="1"/>
  <c r="Q74" i="1"/>
  <c r="R74" i="1" s="1"/>
  <c r="N74" i="1"/>
  <c r="O74" i="1" s="1"/>
  <c r="P114" i="1"/>
  <c r="P129" i="1" s="1"/>
  <c r="P133" i="1" s="1"/>
  <c r="F112" i="1"/>
  <c r="G112" i="1" s="1"/>
  <c r="D102" i="1"/>
  <c r="F122" i="1"/>
  <c r="G122" i="1" s="1"/>
  <c r="H362" i="2" l="1"/>
  <c r="S365" i="2"/>
  <c r="T365" i="2" s="1"/>
  <c r="AB376" i="2"/>
  <c r="AB402" i="2" s="1"/>
  <c r="I221" i="2"/>
  <c r="J221" i="2" s="1"/>
  <c r="H376" i="2"/>
  <c r="H402" i="2" s="1"/>
  <c r="L370" i="2"/>
  <c r="M370" i="2" s="1"/>
  <c r="X109" i="1"/>
  <c r="X153" i="1" s="1"/>
  <c r="N22" i="1"/>
  <c r="O22" i="1" s="1"/>
  <c r="N30" i="1"/>
  <c r="O30" i="1" s="1"/>
  <c r="I78" i="1"/>
  <c r="J78" i="1" s="1"/>
  <c r="F114" i="1"/>
  <c r="G114" i="1" s="1"/>
  <c r="I288" i="2"/>
  <c r="J288" i="2" s="1"/>
  <c r="L288" i="2"/>
  <c r="M288" i="2" s="1"/>
  <c r="P156" i="1"/>
  <c r="E156" i="1"/>
  <c r="P367" i="2"/>
  <c r="Q367" i="2" s="1"/>
  <c r="K376" i="2"/>
  <c r="Z365" i="2"/>
  <c r="AA365" i="2" s="1"/>
  <c r="V121" i="1"/>
  <c r="W121" i="1" s="1"/>
  <c r="Y121" i="1"/>
  <c r="Z121" i="1" s="1"/>
  <c r="U376" i="2"/>
  <c r="Z376" i="2" s="1"/>
  <c r="AA376" i="2" s="1"/>
  <c r="W364" i="2"/>
  <c r="X364" i="2" s="1"/>
  <c r="F121" i="1"/>
  <c r="G121" i="1" s="1"/>
  <c r="I121" i="1"/>
  <c r="J121" i="1" s="1"/>
  <c r="I150" i="2"/>
  <c r="J150" i="2" s="1"/>
  <c r="S370" i="2"/>
  <c r="T370" i="2" s="1"/>
  <c r="Y402" i="2"/>
  <c r="G376" i="2"/>
  <c r="L376" i="2" s="1"/>
  <c r="M376" i="2" s="1"/>
  <c r="S364" i="2"/>
  <c r="T364" i="2" s="1"/>
  <c r="R376" i="2"/>
  <c r="Z372" i="2"/>
  <c r="AA372" i="2" s="1"/>
  <c r="Z288" i="2"/>
  <c r="AA288" i="2" s="1"/>
  <c r="I368" i="2"/>
  <c r="J368" i="2" s="1"/>
  <c r="L368" i="2"/>
  <c r="M368" i="2" s="1"/>
  <c r="I372" i="2"/>
  <c r="J372" i="2" s="1"/>
  <c r="L372" i="2"/>
  <c r="M372" i="2" s="1"/>
  <c r="D129" i="1"/>
  <c r="Q102" i="1"/>
  <c r="R102" i="1" s="1"/>
  <c r="L106" i="1"/>
  <c r="N102" i="1"/>
  <c r="O102" i="1" s="1"/>
  <c r="Q114" i="1"/>
  <c r="R114" i="1" s="1"/>
  <c r="F102" i="1"/>
  <c r="G102" i="1" s="1"/>
  <c r="D106" i="1"/>
  <c r="I102" i="1"/>
  <c r="J102" i="1" s="1"/>
  <c r="T129" i="1"/>
  <c r="T106" i="1"/>
  <c r="V102" i="1"/>
  <c r="W102" i="1" s="1"/>
  <c r="Y102" i="1"/>
  <c r="Z102" i="1" s="1"/>
  <c r="T34" i="1"/>
  <c r="V30" i="1"/>
  <c r="W30" i="1" s="1"/>
  <c r="Y30" i="1"/>
  <c r="Z30" i="1" s="1"/>
  <c r="W371" i="2"/>
  <c r="X371" i="2" s="1"/>
  <c r="Z371" i="2"/>
  <c r="AA371" i="2" s="1"/>
  <c r="Q117" i="1"/>
  <c r="R117" i="1" s="1"/>
  <c r="N117" i="1"/>
  <c r="O117" i="1" s="1"/>
  <c r="G362" i="2"/>
  <c r="I362" i="2" s="1"/>
  <c r="J362" i="2" s="1"/>
  <c r="L365" i="2"/>
  <c r="M365" i="2" s="1"/>
  <c r="Z366" i="2"/>
  <c r="AA366" i="2" s="1"/>
  <c r="S367" i="2"/>
  <c r="T367" i="2" s="1"/>
  <c r="S371" i="2"/>
  <c r="T371" i="2" s="1"/>
  <c r="V82" i="1"/>
  <c r="W82" i="1" s="1"/>
  <c r="Y82" i="1"/>
  <c r="Z82" i="1" s="1"/>
  <c r="T58" i="1"/>
  <c r="V54" i="1"/>
  <c r="W54" i="1" s="1"/>
  <c r="Y54" i="1"/>
  <c r="Z54" i="1" s="1"/>
  <c r="I371" i="2"/>
  <c r="J371" i="2" s="1"/>
  <c r="L371" i="2"/>
  <c r="M371" i="2" s="1"/>
  <c r="AB362" i="2"/>
  <c r="S373" i="2"/>
  <c r="T373" i="2" s="1"/>
  <c r="Z373" i="2"/>
  <c r="AA373" i="2" s="1"/>
  <c r="W372" i="2"/>
  <c r="X372" i="2" s="1"/>
  <c r="W367" i="2"/>
  <c r="X367" i="2" s="1"/>
  <c r="Z367" i="2"/>
  <c r="AA367" i="2" s="1"/>
  <c r="F54" i="1"/>
  <c r="G54" i="1" s="1"/>
  <c r="D58" i="1"/>
  <c r="D109" i="1" s="1"/>
  <c r="I54" i="1"/>
  <c r="J54" i="1" s="1"/>
  <c r="Q34" i="1"/>
  <c r="R34" i="1" s="1"/>
  <c r="N34" i="1"/>
  <c r="O34" i="1" s="1"/>
  <c r="L129" i="1"/>
  <c r="R362" i="2"/>
  <c r="S362" i="2" s="1"/>
  <c r="T362" i="2" s="1"/>
  <c r="S150" i="2"/>
  <c r="T150" i="2" s="1"/>
  <c r="K402" i="2"/>
  <c r="N376" i="2"/>
  <c r="F82" i="1"/>
  <c r="G82" i="1" s="1"/>
  <c r="I82" i="1"/>
  <c r="J82" i="1" s="1"/>
  <c r="E30" i="1"/>
  <c r="Q78" i="1"/>
  <c r="R78" i="1" s="1"/>
  <c r="L82" i="1"/>
  <c r="N78" i="1"/>
  <c r="O78" i="1" s="1"/>
  <c r="I34" i="1"/>
  <c r="J34" i="1" s="1"/>
  <c r="U362" i="2"/>
  <c r="W362" i="2" s="1"/>
  <c r="X362" i="2" s="1"/>
  <c r="W150" i="2"/>
  <c r="X150" i="2" s="1"/>
  <c r="Q54" i="1"/>
  <c r="R54" i="1" s="1"/>
  <c r="L58" i="1"/>
  <c r="N54" i="1"/>
  <c r="O54" i="1" s="1"/>
  <c r="I369" i="2"/>
  <c r="J369" i="2" s="1"/>
  <c r="L369" i="2"/>
  <c r="M369" i="2" s="1"/>
  <c r="I360" i="2"/>
  <c r="J360" i="2" s="1"/>
  <c r="L360" i="2"/>
  <c r="M360" i="2" s="1"/>
  <c r="Z364" i="2"/>
  <c r="AA364" i="2" s="1"/>
  <c r="S221" i="2"/>
  <c r="T221" i="2" s="1"/>
  <c r="I364" i="2"/>
  <c r="J364" i="2" s="1"/>
  <c r="S360" i="2"/>
  <c r="T360" i="2" s="1"/>
  <c r="L373" i="2"/>
  <c r="M373" i="2" s="1"/>
  <c r="W360" i="2"/>
  <c r="X360" i="2" s="1"/>
  <c r="N362" i="2"/>
  <c r="P362" i="2" s="1"/>
  <c r="Q362" i="2" s="1"/>
  <c r="P150" i="2"/>
  <c r="Q150" i="2" s="1"/>
  <c r="Q121" i="1"/>
  <c r="R121" i="1" s="1"/>
  <c r="N121" i="1"/>
  <c r="O121" i="1" s="1"/>
  <c r="W368" i="2"/>
  <c r="X368" i="2" s="1"/>
  <c r="Z368" i="2"/>
  <c r="AA368" i="2" s="1"/>
  <c r="S288" i="2"/>
  <c r="T288" i="2" s="1"/>
  <c r="Z362" i="2" l="1"/>
  <c r="AA362" i="2" s="1"/>
  <c r="L362" i="2"/>
  <c r="M362" i="2" s="1"/>
  <c r="L156" i="1"/>
  <c r="Q58" i="1"/>
  <c r="R58" i="1" s="1"/>
  <c r="N58" i="1"/>
  <c r="O58" i="1" s="1"/>
  <c r="Q82" i="1"/>
  <c r="R82" i="1" s="1"/>
  <c r="N82" i="1"/>
  <c r="O82" i="1" s="1"/>
  <c r="L109" i="1"/>
  <c r="T156" i="1"/>
  <c r="V58" i="1"/>
  <c r="W58" i="1" s="1"/>
  <c r="Y58" i="1"/>
  <c r="Z58" i="1" s="1"/>
  <c r="T109" i="1"/>
  <c r="V34" i="1"/>
  <c r="W34" i="1" s="1"/>
  <c r="Y34" i="1"/>
  <c r="Z34" i="1" s="1"/>
  <c r="V129" i="1"/>
  <c r="W129" i="1" s="1"/>
  <c r="Y129" i="1"/>
  <c r="Z129" i="1" s="1"/>
  <c r="T133" i="1"/>
  <c r="I376" i="2"/>
  <c r="J376" i="2" s="1"/>
  <c r="G402" i="2"/>
  <c r="I129" i="1"/>
  <c r="J129" i="1" s="1"/>
  <c r="D133" i="1"/>
  <c r="F129" i="1"/>
  <c r="G129" i="1" s="1"/>
  <c r="W376" i="2"/>
  <c r="X376" i="2" s="1"/>
  <c r="U402" i="2"/>
  <c r="I109" i="1"/>
  <c r="J109" i="1" s="1"/>
  <c r="D153" i="1"/>
  <c r="E34" i="1"/>
  <c r="F30" i="1"/>
  <c r="G30" i="1" s="1"/>
  <c r="P376" i="2"/>
  <c r="Q376" i="2" s="1"/>
  <c r="N402" i="2"/>
  <c r="N129" i="1"/>
  <c r="O129" i="1" s="1"/>
  <c r="Q129" i="1"/>
  <c r="R129" i="1" s="1"/>
  <c r="L133" i="1"/>
  <c r="S376" i="2"/>
  <c r="T376" i="2" s="1"/>
  <c r="R402" i="2"/>
  <c r="D156" i="1"/>
  <c r="F58" i="1"/>
  <c r="G58" i="1" s="1"/>
  <c r="I58" i="1"/>
  <c r="J58" i="1" s="1"/>
  <c r="V106" i="1"/>
  <c r="W106" i="1" s="1"/>
  <c r="Y106" i="1"/>
  <c r="Z106" i="1" s="1"/>
  <c r="F106" i="1"/>
  <c r="G106" i="1" s="1"/>
  <c r="I106" i="1"/>
  <c r="J106" i="1" s="1"/>
  <c r="Q106" i="1"/>
  <c r="R106" i="1" s="1"/>
  <c r="N106" i="1"/>
  <c r="O106" i="1" s="1"/>
  <c r="N133" i="1" l="1"/>
  <c r="O133" i="1" s="1"/>
  <c r="Q133" i="1"/>
  <c r="R133" i="1" s="1"/>
  <c r="Q109" i="1"/>
  <c r="R109" i="1" s="1"/>
  <c r="N109" i="1"/>
  <c r="O109" i="1" s="1"/>
  <c r="L153" i="1"/>
  <c r="E109" i="1"/>
  <c r="F34" i="1"/>
  <c r="G34" i="1" s="1"/>
  <c r="V133" i="1"/>
  <c r="W133" i="1" s="1"/>
  <c r="Y133" i="1"/>
  <c r="Z133" i="1" s="1"/>
  <c r="I133" i="1"/>
  <c r="J133" i="1" s="1"/>
  <c r="F133" i="1"/>
  <c r="G133" i="1" s="1"/>
  <c r="V109" i="1"/>
  <c r="W109" i="1" s="1"/>
  <c r="Y109" i="1"/>
  <c r="Z109" i="1" s="1"/>
  <c r="T153" i="1"/>
  <c r="E153" i="1" l="1"/>
  <c r="F109" i="1"/>
  <c r="G109" i="1" s="1"/>
</calcChain>
</file>

<file path=xl/sharedStrings.xml><?xml version="1.0" encoding="utf-8"?>
<sst xmlns="http://schemas.openxmlformats.org/spreadsheetml/2006/main" count="890" uniqueCount="145">
  <si>
    <t>BLACKHAWK NETWORK HOLDINGS, INC</t>
  </si>
  <si>
    <t>PERIOD END REPORTING PACKAGE</t>
  </si>
  <si>
    <t>TABLE 7</t>
  </si>
  <si>
    <t>PROGRAM AND OTHER FEES</t>
  </si>
  <si>
    <t>YTD</t>
  </si>
  <si>
    <t>Annual</t>
  </si>
  <si>
    <t>Last Year</t>
  </si>
  <si>
    <t>$Inc</t>
  </si>
  <si>
    <t>%Inc</t>
  </si>
  <si>
    <t>$Fav</t>
  </si>
  <si>
    <t>%Fav</t>
  </si>
  <si>
    <t>(In '000s USD)</t>
  </si>
  <si>
    <t>Actual</t>
  </si>
  <si>
    <t>(Dec)</t>
  </si>
  <si>
    <t>Forecast</t>
  </si>
  <si>
    <t>(Unfav)</t>
  </si>
  <si>
    <t>Supplemental PMF - BHN Visa, net</t>
  </si>
  <si>
    <t>Interchange, net</t>
  </si>
  <si>
    <t>Account service fees</t>
  </si>
  <si>
    <t>GPR account maintenance</t>
  </si>
  <si>
    <t>Gift service fees, aka breakage</t>
  </si>
  <si>
    <t>Card Expiration fees (a)</t>
  </si>
  <si>
    <t>420004, prod 2xx</t>
  </si>
  <si>
    <t>420040, no B113</t>
  </si>
  <si>
    <t>Card expiration revenues (b)</t>
  </si>
  <si>
    <t>Other revenues</t>
  </si>
  <si>
    <t>Supplemental PMF - AMEX, net</t>
  </si>
  <si>
    <t>Interchange sharing</t>
  </si>
  <si>
    <t>Other Closed Gift breakage</t>
  </si>
  <si>
    <t>Other fees</t>
  </si>
  <si>
    <t xml:space="preserve">   Other 1</t>
  </si>
  <si>
    <t xml:space="preserve">   Other 2</t>
  </si>
  <si>
    <t>Total before marketing</t>
  </si>
  <si>
    <t>Marketing revenue</t>
  </si>
  <si>
    <t xml:space="preserve">     US</t>
  </si>
  <si>
    <t xml:space="preserve">     AMERICA'S OTHER</t>
  </si>
  <si>
    <t xml:space="preserve">     EMEA</t>
  </si>
  <si>
    <t xml:space="preserve">     ASIA PAC</t>
  </si>
  <si>
    <t xml:space="preserve">     TOTAL BLACKHAWK</t>
  </si>
  <si>
    <t>Balance Check</t>
  </si>
  <si>
    <t xml:space="preserve">     Prog, Interchange and other fee</t>
  </si>
  <si>
    <t xml:space="preserve">     TOTAL      Prog, Interchange and other fee</t>
  </si>
  <si>
    <t>Balance</t>
  </si>
  <si>
    <t>Int'l</t>
  </si>
  <si>
    <t>TABLE 17</t>
  </si>
  <si>
    <t>GENERAL AND ADMINISTRATIVE</t>
  </si>
  <si>
    <t>Affliate</t>
  </si>
  <si>
    <t>Dept</t>
  </si>
  <si>
    <t>Plan</t>
  </si>
  <si>
    <t>Legal</t>
  </si>
  <si>
    <t>legal</t>
  </si>
  <si>
    <t>B068</t>
  </si>
  <si>
    <t>B072</t>
  </si>
  <si>
    <t>B073</t>
  </si>
  <si>
    <t>B074</t>
  </si>
  <si>
    <t>B113</t>
  </si>
  <si>
    <t>B120</t>
  </si>
  <si>
    <t>B510</t>
  </si>
  <si>
    <t>Accounting and finance</t>
  </si>
  <si>
    <t>finance</t>
  </si>
  <si>
    <t>Risk management</t>
  </si>
  <si>
    <t>risk</t>
  </si>
  <si>
    <t>HR</t>
  </si>
  <si>
    <t>Technology internal support</t>
  </si>
  <si>
    <t>IT</t>
  </si>
  <si>
    <t>Cardpool</t>
  </si>
  <si>
    <t>BES</t>
  </si>
  <si>
    <t>exe</t>
  </si>
  <si>
    <t>B070</t>
  </si>
  <si>
    <t>B071</t>
  </si>
  <si>
    <t>Executive</t>
  </si>
  <si>
    <t>Ins &amp; other corp expense</t>
  </si>
  <si>
    <t>B109</t>
  </si>
  <si>
    <t>Stock expense and ESPP match</t>
  </si>
  <si>
    <t>Bad debt</t>
  </si>
  <si>
    <t>B105</t>
  </si>
  <si>
    <t>B110</t>
  </si>
  <si>
    <t>B200</t>
  </si>
  <si>
    <t>B079</t>
  </si>
  <si>
    <t>B108</t>
  </si>
  <si>
    <t>B114</t>
  </si>
  <si>
    <t>B116</t>
  </si>
  <si>
    <t>B314</t>
  </si>
  <si>
    <t>B600</t>
  </si>
  <si>
    <t>B700</t>
  </si>
  <si>
    <t>B076</t>
  </si>
  <si>
    <t>B704</t>
  </si>
  <si>
    <t>B115</t>
  </si>
  <si>
    <t>B517</t>
  </si>
  <si>
    <t>B518</t>
  </si>
  <si>
    <t>B706</t>
  </si>
  <si>
    <t>B111</t>
  </si>
  <si>
    <t>B118</t>
  </si>
  <si>
    <t>B400</t>
  </si>
  <si>
    <t>B412</t>
  </si>
  <si>
    <t>B420</t>
  </si>
  <si>
    <t>B430</t>
  </si>
  <si>
    <t>B560</t>
  </si>
  <si>
    <t>B561</t>
  </si>
  <si>
    <t>All Dept</t>
  </si>
  <si>
    <t>G&amp;A</t>
  </si>
  <si>
    <t>Stock</t>
  </si>
  <si>
    <t>Bad Debt</t>
  </si>
  <si>
    <t>Total</t>
  </si>
  <si>
    <t>QTD</t>
  </si>
  <si>
    <t>XCEL PROJECT ANALYSIS BY DEPT</t>
  </si>
  <si>
    <t>Sales</t>
  </si>
  <si>
    <t>Marketing</t>
  </si>
  <si>
    <t>Finance</t>
  </si>
  <si>
    <t>XCEL &amp; Other</t>
  </si>
  <si>
    <t>Sheet</t>
  </si>
  <si>
    <t>SubtotalGroup</t>
  </si>
  <si>
    <t>LogicalGroup</t>
  </si>
  <si>
    <t>XCEL</t>
  </si>
  <si>
    <t>Customer Care</t>
  </si>
  <si>
    <t>Ops &amp; Risk</t>
  </si>
  <si>
    <t>PB&amp;BD</t>
  </si>
  <si>
    <t>XCEL Check</t>
  </si>
  <si>
    <t>P6 2020 vs FCST-2020.F05</t>
  </si>
  <si>
    <t/>
  </si>
  <si>
    <t xml:space="preserve">Annual </t>
  </si>
  <si>
    <t xml:space="preserve">Salary </t>
  </si>
  <si>
    <t xml:space="preserve">Severance </t>
  </si>
  <si>
    <t xml:space="preserve">Prof Srv </t>
  </si>
  <si>
    <t xml:space="preserve">T&amp;E </t>
  </si>
  <si>
    <t xml:space="preserve">Other </t>
  </si>
  <si>
    <t xml:space="preserve">Retention &amp; Bonus </t>
  </si>
  <si>
    <t xml:space="preserve">Stock </t>
  </si>
  <si>
    <t xml:space="preserve">Current </t>
  </si>
  <si>
    <t xml:space="preserve">Last Year </t>
  </si>
  <si>
    <t xml:space="preserve">$Inc </t>
  </si>
  <si>
    <t xml:space="preserve">%Inc </t>
  </si>
  <si>
    <t xml:space="preserve">$Fav </t>
  </si>
  <si>
    <t xml:space="preserve">%Fav </t>
  </si>
  <si>
    <t xml:space="preserve">675100 </t>
  </si>
  <si>
    <t xml:space="preserve">675101 </t>
  </si>
  <si>
    <t xml:space="preserve">675102 </t>
  </si>
  <si>
    <t xml:space="preserve">675103 </t>
  </si>
  <si>
    <t xml:space="preserve">675104 </t>
  </si>
  <si>
    <t xml:space="preserve">675105 </t>
  </si>
  <si>
    <t xml:space="preserve">675106 </t>
  </si>
  <si>
    <t xml:space="preserve">Actual </t>
  </si>
  <si>
    <t xml:space="preserve">(Dec) </t>
  </si>
  <si>
    <t xml:space="preserve">Forecast </t>
  </si>
  <si>
    <t xml:space="preserve">(UnFav)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</si>
</sst>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_(* #,##0.0_);_(* \(#,##0.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</font>
    <font>
      <sz val="11"/>
      <color theme="1"/>
      <name val="Arial"/>
      <family val="2"/>
    </font>
    <font>
      <sz val="8"/>
      <name val="Arial"/>
      <family val="2"/>
    </font>
    <font>
      <sz val="8"/>
      <color theme="0" tint="-0.34998626667073579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theme="0" tint="-0.499984740745262"/>
      <name val="Arial"/>
      <family val="2"/>
    </font>
    <font>
      <sz val="11"/>
      <name val="Calibri"/>
      <family val="2"/>
      <scheme val="minor"/>
    </font>
    <font>
      <b/>
      <sz val="8"/>
      <color rgb="FF333333"/>
      <name val="Arial"/>
      <family val="2"/>
    </font>
    <font>
      <sz val="8"/>
      <color rgb="FF333333"/>
      <name val="Arial"/>
      <family val="2"/>
    </font>
    <font>
      <sz val="11"/>
      <color rgb="FF000000"/>
      <name val="Calibri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DB3E2"/>
        <bgColor indexed="64"/>
      </patternFill>
    </fill>
    <fill>
      <patternFill patternType="solid">
        <fgColor theme="4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43" fontId="5" fillId="0" borderId="0" applyFont="0" applyFill="0" applyBorder="0" applyAlignment="0" applyProtection="0"/>
  </cellStyleXfs>
  <cellXfs count="203">
    <xf numFmtId="0" fontId="0" fillId="0" borderId="0" xfId="0"/>
    <xf numFmtId="0" fontId="3" fillId="0" borderId="0" xfId="4" applyFont="1"/>
    <xf numFmtId="0" fontId="4" fillId="2" borderId="0" xfId="4" applyFont="1" applyFill="1"/>
    <xf numFmtId="0" fontId="3" fillId="2" borderId="0" xfId="4" applyFont="1" applyFill="1"/>
    <xf numFmtId="9" fontId="3" fillId="2" borderId="0" xfId="3" applyNumberFormat="1" applyFont="1" applyFill="1" applyAlignment="1">
      <alignment horizontal="center"/>
    </xf>
    <xf numFmtId="9" fontId="4" fillId="2" borderId="0" xfId="3" applyNumberFormat="1" applyFont="1" applyFill="1" applyAlignment="1">
      <alignment horizontal="center"/>
    </xf>
    <xf numFmtId="164" fontId="6" fillId="2" borderId="0" xfId="5" applyNumberFormat="1" applyFont="1" applyFill="1"/>
    <xf numFmtId="0" fontId="4" fillId="3" borderId="0" xfId="4" applyFont="1" applyFill="1" applyBorder="1"/>
    <xf numFmtId="0" fontId="3" fillId="3" borderId="0" xfId="4" applyFont="1" applyFill="1" applyBorder="1"/>
    <xf numFmtId="0" fontId="4" fillId="3" borderId="1" xfId="4" applyFont="1" applyFill="1" applyBorder="1" applyAlignment="1">
      <alignment horizontal="centerContinuous"/>
    </xf>
    <xf numFmtId="0" fontId="4" fillId="3" borderId="2" xfId="4" applyFont="1" applyFill="1" applyBorder="1" applyAlignment="1">
      <alignment horizontal="centerContinuous"/>
    </xf>
    <xf numFmtId="9" fontId="4" fillId="3" borderId="3" xfId="3" applyNumberFormat="1" applyFont="1" applyFill="1" applyBorder="1" applyAlignment="1">
      <alignment horizontal="centerContinuous"/>
    </xf>
    <xf numFmtId="0" fontId="4" fillId="3" borderId="3" xfId="4" applyFont="1" applyFill="1" applyBorder="1" applyAlignment="1">
      <alignment horizontal="centerContinuous"/>
    </xf>
    <xf numFmtId="0" fontId="3" fillId="3" borderId="4" xfId="4" applyFont="1" applyFill="1" applyBorder="1"/>
    <xf numFmtId="0" fontId="4" fillId="3" borderId="0" xfId="4" applyFont="1" applyFill="1" applyBorder="1" applyAlignment="1">
      <alignment horizontal="center"/>
    </xf>
    <xf numFmtId="9" fontId="4" fillId="3" borderId="5" xfId="3" applyNumberFormat="1" applyFont="1" applyFill="1" applyBorder="1" applyAlignment="1">
      <alignment horizontal="center"/>
    </xf>
    <xf numFmtId="0" fontId="3" fillId="3" borderId="5" xfId="4" applyFont="1" applyFill="1" applyBorder="1"/>
    <xf numFmtId="0" fontId="4" fillId="3" borderId="4" xfId="4" applyFont="1" applyFill="1" applyBorder="1" applyAlignment="1">
      <alignment horizontal="center"/>
    </xf>
    <xf numFmtId="0" fontId="4" fillId="3" borderId="5" xfId="4" applyFont="1" applyFill="1" applyBorder="1" applyAlignment="1">
      <alignment horizontal="center"/>
    </xf>
    <xf numFmtId="0" fontId="3" fillId="2" borderId="0" xfId="4" applyFont="1" applyFill="1" applyBorder="1"/>
    <xf numFmtId="0" fontId="4" fillId="2" borderId="6" xfId="4" applyFont="1" applyFill="1" applyBorder="1" applyAlignment="1">
      <alignment horizontal="center"/>
    </xf>
    <xf numFmtId="0" fontId="4" fillId="2" borderId="7" xfId="4" applyFont="1" applyFill="1" applyBorder="1" applyAlignment="1">
      <alignment horizontal="center"/>
    </xf>
    <xf numFmtId="9" fontId="4" fillId="2" borderId="8" xfId="3" applyNumberFormat="1" applyFont="1" applyFill="1" applyBorder="1" applyAlignment="1">
      <alignment horizontal="center"/>
    </xf>
    <xf numFmtId="0" fontId="4" fillId="2" borderId="8" xfId="4" applyFont="1" applyFill="1" applyBorder="1" applyAlignment="1">
      <alignment horizontal="center"/>
    </xf>
    <xf numFmtId="165" fontId="6" fillId="2" borderId="4" xfId="2" applyNumberFormat="1" applyFont="1" applyFill="1" applyBorder="1"/>
    <xf numFmtId="165" fontId="6" fillId="2" borderId="0" xfId="2" applyNumberFormat="1" applyFont="1" applyFill="1" applyBorder="1"/>
    <xf numFmtId="9" fontId="6" fillId="2" borderId="0" xfId="3" applyNumberFormat="1" applyFont="1" applyFill="1" applyBorder="1" applyAlignment="1">
      <alignment horizontal="center"/>
    </xf>
    <xf numFmtId="9" fontId="6" fillId="2" borderId="5" xfId="3" applyNumberFormat="1" applyFont="1" applyFill="1" applyBorder="1" applyAlignment="1">
      <alignment horizontal="center"/>
    </xf>
    <xf numFmtId="165" fontId="6" fillId="2" borderId="9" xfId="2" applyNumberFormat="1" applyFont="1" applyFill="1" applyBorder="1"/>
    <xf numFmtId="0" fontId="3" fillId="2" borderId="0" xfId="4" applyFont="1" applyFill="1" applyBorder="1" applyAlignment="1">
      <alignment horizontal="left"/>
    </xf>
    <xf numFmtId="164" fontId="6" fillId="2" borderId="4" xfId="1" applyNumberFormat="1" applyFont="1" applyFill="1" applyBorder="1"/>
    <xf numFmtId="164" fontId="6" fillId="2" borderId="0" xfId="1" applyNumberFormat="1" applyFont="1" applyFill="1" applyBorder="1"/>
    <xf numFmtId="164" fontId="6" fillId="2" borderId="9" xfId="1" applyNumberFormat="1" applyFont="1" applyFill="1" applyBorder="1"/>
    <xf numFmtId="0" fontId="3" fillId="2" borderId="0" xfId="4" applyFont="1" applyFill="1" applyBorder="1" applyAlignment="1">
      <alignment horizontal="right"/>
    </xf>
    <xf numFmtId="0" fontId="7" fillId="2" borderId="0" xfId="4" applyFont="1" applyFill="1" applyBorder="1" applyAlignment="1">
      <alignment horizontal="right"/>
    </xf>
    <xf numFmtId="0" fontId="3" fillId="0" borderId="0" xfId="4" applyFont="1" applyBorder="1"/>
    <xf numFmtId="164" fontId="6" fillId="2" borderId="10" xfId="1" applyNumberFormat="1" applyFont="1" applyFill="1" applyBorder="1"/>
    <xf numFmtId="164" fontId="6" fillId="2" borderId="11" xfId="1" applyNumberFormat="1" applyFont="1" applyFill="1" applyBorder="1"/>
    <xf numFmtId="9" fontId="6" fillId="2" borderId="11" xfId="3" applyNumberFormat="1" applyFont="1" applyFill="1" applyBorder="1" applyAlignment="1">
      <alignment horizontal="center"/>
    </xf>
    <xf numFmtId="9" fontId="6" fillId="2" borderId="12" xfId="3" applyNumberFormat="1" applyFont="1" applyFill="1" applyBorder="1" applyAlignment="1">
      <alignment horizontal="center"/>
    </xf>
    <xf numFmtId="164" fontId="6" fillId="2" borderId="13" xfId="1" applyNumberFormat="1" applyFont="1" applyFill="1" applyBorder="1"/>
    <xf numFmtId="0" fontId="4" fillId="2" borderId="0" xfId="4" applyFont="1" applyFill="1" applyBorder="1"/>
    <xf numFmtId="164" fontId="6" fillId="2" borderId="5" xfId="1" applyNumberFormat="1" applyFont="1" applyFill="1" applyBorder="1"/>
    <xf numFmtId="164" fontId="4" fillId="2" borderId="4" xfId="1" applyNumberFormat="1" applyFont="1" applyFill="1" applyBorder="1" applyAlignment="1">
      <alignment horizontal="center"/>
    </xf>
    <xf numFmtId="164" fontId="4" fillId="2" borderId="0" xfId="1" applyNumberFormat="1" applyFont="1" applyFill="1" applyBorder="1" applyAlignment="1">
      <alignment horizontal="center"/>
    </xf>
    <xf numFmtId="0" fontId="4" fillId="2" borderId="0" xfId="4" applyFont="1" applyFill="1" applyBorder="1" applyAlignment="1">
      <alignment horizontal="center"/>
    </xf>
    <xf numFmtId="9" fontId="4" fillId="2" borderId="5" xfId="3" applyNumberFormat="1" applyFont="1" applyFill="1" applyBorder="1" applyAlignment="1">
      <alignment horizontal="center"/>
    </xf>
    <xf numFmtId="164" fontId="4" fillId="2" borderId="5" xfId="1" applyNumberFormat="1" applyFont="1" applyFill="1" applyBorder="1" applyAlignment="1">
      <alignment horizontal="center"/>
    </xf>
    <xf numFmtId="165" fontId="6" fillId="2" borderId="14" xfId="2" applyNumberFormat="1" applyFont="1" applyFill="1" applyBorder="1"/>
    <xf numFmtId="165" fontId="6" fillId="2" borderId="15" xfId="2" applyNumberFormat="1" applyFont="1" applyFill="1" applyBorder="1"/>
    <xf numFmtId="9" fontId="6" fillId="2" borderId="15" xfId="3" applyNumberFormat="1" applyFont="1" applyFill="1" applyBorder="1" applyAlignment="1">
      <alignment horizontal="center"/>
    </xf>
    <xf numFmtId="9" fontId="6" fillId="2" borderId="16" xfId="3" applyNumberFormat="1" applyFont="1" applyFill="1" applyBorder="1" applyAlignment="1">
      <alignment horizontal="center"/>
    </xf>
    <xf numFmtId="165" fontId="6" fillId="2" borderId="16" xfId="2" applyNumberFormat="1" applyFont="1" applyFill="1" applyBorder="1"/>
    <xf numFmtId="0" fontId="0" fillId="0" borderId="0" xfId="0" applyBorder="1"/>
    <xf numFmtId="9" fontId="3" fillId="0" borderId="0" xfId="3" applyNumberFormat="1" applyFont="1" applyBorder="1" applyAlignment="1">
      <alignment horizontal="center"/>
    </xf>
    <xf numFmtId="0" fontId="4" fillId="0" borderId="0" xfId="4" applyFont="1" applyBorder="1"/>
    <xf numFmtId="165" fontId="6" fillId="0" borderId="0" xfId="2" applyNumberFormat="1" applyFont="1" applyBorder="1"/>
    <xf numFmtId="165" fontId="6" fillId="0" borderId="0" xfId="5" applyNumberFormat="1" applyFont="1" applyBorder="1"/>
    <xf numFmtId="9" fontId="6" fillId="0" borderId="0" xfId="3" applyNumberFormat="1" applyFont="1" applyBorder="1" applyAlignment="1">
      <alignment horizontal="center"/>
    </xf>
    <xf numFmtId="0" fontId="8" fillId="0" borderId="0" xfId="4" applyFont="1" applyBorder="1"/>
    <xf numFmtId="164" fontId="8" fillId="0" borderId="17" xfId="5" applyNumberFormat="1" applyFont="1" applyBorder="1"/>
    <xf numFmtId="164" fontId="8" fillId="0" borderId="18" xfId="5" applyNumberFormat="1" applyFont="1" applyBorder="1"/>
    <xf numFmtId="9" fontId="8" fillId="0" borderId="19" xfId="3" applyNumberFormat="1" applyFont="1" applyBorder="1" applyAlignment="1">
      <alignment horizontal="center"/>
    </xf>
    <xf numFmtId="0" fontId="8" fillId="0" borderId="0" xfId="4" applyFont="1"/>
    <xf numFmtId="164" fontId="8" fillId="0" borderId="20" xfId="5" applyNumberFormat="1" applyFont="1" applyBorder="1"/>
    <xf numFmtId="165" fontId="8" fillId="0" borderId="21" xfId="2" applyNumberFormat="1" applyFont="1" applyBorder="1"/>
    <xf numFmtId="165" fontId="8" fillId="0" borderId="0" xfId="2" applyNumberFormat="1" applyFont="1" applyBorder="1"/>
    <xf numFmtId="165" fontId="8" fillId="0" borderId="0" xfId="5" applyNumberFormat="1" applyFont="1" applyBorder="1"/>
    <xf numFmtId="9" fontId="8" fillId="0" borderId="22" xfId="3" applyNumberFormat="1" applyFont="1" applyBorder="1" applyAlignment="1">
      <alignment horizontal="center"/>
    </xf>
    <xf numFmtId="165" fontId="8" fillId="0" borderId="23" xfId="2" applyNumberFormat="1" applyFont="1" applyBorder="1"/>
    <xf numFmtId="164" fontId="8" fillId="0" borderId="4" xfId="1" applyNumberFormat="1" applyFont="1" applyBorder="1"/>
    <xf numFmtId="164" fontId="8" fillId="0" borderId="0" xfId="1" applyNumberFormat="1" applyFont="1" applyBorder="1"/>
    <xf numFmtId="9" fontId="8" fillId="0" borderId="5" xfId="3" applyNumberFormat="1" applyFont="1" applyBorder="1" applyAlignment="1">
      <alignment horizontal="center"/>
    </xf>
    <xf numFmtId="164" fontId="8" fillId="0" borderId="4" xfId="2" applyNumberFormat="1" applyFont="1" applyBorder="1"/>
    <xf numFmtId="164" fontId="8" fillId="0" borderId="0" xfId="2" applyNumberFormat="1" applyFont="1" applyBorder="1"/>
    <xf numFmtId="164" fontId="8" fillId="0" borderId="0" xfId="5" applyNumberFormat="1" applyFont="1" applyBorder="1"/>
    <xf numFmtId="164" fontId="8" fillId="0" borderId="9" xfId="2" applyNumberFormat="1" applyFont="1" applyBorder="1"/>
    <xf numFmtId="165" fontId="8" fillId="0" borderId="24" xfId="2" applyNumberFormat="1" applyFont="1" applyBorder="1"/>
    <xf numFmtId="165" fontId="8" fillId="0" borderId="25" xfId="2" applyNumberFormat="1" applyFont="1" applyBorder="1"/>
    <xf numFmtId="165" fontId="8" fillId="0" borderId="25" xfId="5" applyNumberFormat="1" applyFont="1" applyBorder="1"/>
    <xf numFmtId="9" fontId="8" fillId="0" borderId="26" xfId="3" applyNumberFormat="1" applyFont="1" applyBorder="1" applyAlignment="1">
      <alignment horizontal="center"/>
    </xf>
    <xf numFmtId="165" fontId="8" fillId="0" borderId="27" xfId="2" applyNumberFormat="1" applyFont="1" applyBorder="1"/>
    <xf numFmtId="165" fontId="8" fillId="0" borderId="21" xfId="5" applyNumberFormat="1" applyFont="1" applyBorder="1"/>
    <xf numFmtId="165" fontId="8" fillId="0" borderId="23" xfId="5" applyNumberFormat="1" applyFont="1" applyBorder="1"/>
    <xf numFmtId="165" fontId="8" fillId="0" borderId="26" xfId="2" applyNumberFormat="1" applyFont="1" applyBorder="1" applyAlignment="1">
      <alignment horizontal="center"/>
    </xf>
    <xf numFmtId="165" fontId="8" fillId="0" borderId="0" xfId="2" applyNumberFormat="1" applyFont="1"/>
    <xf numFmtId="165" fontId="8" fillId="0" borderId="0" xfId="2" applyNumberFormat="1" applyFont="1" applyBorder="1" applyAlignment="1">
      <alignment horizontal="center"/>
    </xf>
    <xf numFmtId="9" fontId="3" fillId="0" borderId="0" xfId="3" applyNumberFormat="1" applyFont="1" applyAlignment="1">
      <alignment horizontal="center"/>
    </xf>
    <xf numFmtId="9" fontId="4" fillId="2" borderId="0" xfId="3" applyNumberFormat="1" applyFont="1" applyFill="1" applyBorder="1" applyAlignment="1">
      <alignment horizontal="center"/>
    </xf>
    <xf numFmtId="164" fontId="6" fillId="2" borderId="0" xfId="5" applyNumberFormat="1" applyFont="1" applyFill="1" applyBorder="1"/>
    <xf numFmtId="0" fontId="4" fillId="3" borderId="0" xfId="4" applyFont="1" applyFill="1"/>
    <xf numFmtId="0" fontId="3" fillId="3" borderId="0" xfId="4" applyFont="1" applyFill="1"/>
    <xf numFmtId="0" fontId="4" fillId="3" borderId="28" xfId="4" applyFont="1" applyFill="1" applyBorder="1" applyAlignment="1">
      <alignment horizontal="centerContinuous"/>
    </xf>
    <xf numFmtId="0" fontId="3" fillId="3" borderId="9" xfId="4" applyFont="1" applyFill="1" applyBorder="1"/>
    <xf numFmtId="0" fontId="4" fillId="3" borderId="9" xfId="4" applyFont="1" applyFill="1" applyBorder="1" applyAlignment="1">
      <alignment horizontal="center"/>
    </xf>
    <xf numFmtId="0" fontId="4" fillId="2" borderId="4" xfId="4" applyFont="1" applyFill="1" applyBorder="1" applyAlignment="1">
      <alignment horizontal="center"/>
    </xf>
    <xf numFmtId="0" fontId="4" fillId="2" borderId="9" xfId="4" applyFont="1" applyFill="1" applyBorder="1" applyAlignment="1">
      <alignment horizontal="center"/>
    </xf>
    <xf numFmtId="165" fontId="3" fillId="2" borderId="4" xfId="2" applyNumberFormat="1" applyFont="1" applyFill="1" applyBorder="1" applyAlignment="1">
      <alignment horizontal="center"/>
    </xf>
    <xf numFmtId="165" fontId="3" fillId="2" borderId="0" xfId="2" applyNumberFormat="1" applyFont="1" applyFill="1" applyBorder="1" applyAlignment="1">
      <alignment horizontal="center"/>
    </xf>
    <xf numFmtId="165" fontId="6" fillId="2" borderId="0" xfId="5" applyNumberFormat="1" applyFont="1" applyFill="1" applyBorder="1"/>
    <xf numFmtId="165" fontId="3" fillId="0" borderId="0" xfId="2" applyNumberFormat="1" applyFont="1" applyFill="1" applyBorder="1" applyAlignment="1">
      <alignment horizontal="center"/>
    </xf>
    <xf numFmtId="165" fontId="3" fillId="2" borderId="9" xfId="2" applyNumberFormat="1" applyFont="1" applyFill="1" applyBorder="1" applyAlignment="1">
      <alignment horizontal="center"/>
    </xf>
    <xf numFmtId="164" fontId="3" fillId="2" borderId="4" xfId="4" applyNumberFormat="1" applyFont="1" applyFill="1" applyBorder="1" applyAlignment="1">
      <alignment horizontal="center"/>
    </xf>
    <xf numFmtId="164" fontId="3" fillId="2" borderId="0" xfId="4" applyNumberFormat="1" applyFont="1" applyFill="1" applyBorder="1" applyAlignment="1">
      <alignment horizontal="center"/>
    </xf>
    <xf numFmtId="164" fontId="3" fillId="2" borderId="9" xfId="4" applyNumberFormat="1" applyFont="1" applyFill="1" applyBorder="1" applyAlignment="1">
      <alignment horizontal="center"/>
    </xf>
    <xf numFmtId="164" fontId="6" fillId="2" borderId="4" xfId="2" applyNumberFormat="1" applyFont="1" applyFill="1" applyBorder="1"/>
    <xf numFmtId="164" fontId="6" fillId="2" borderId="0" xfId="2" applyNumberFormat="1" applyFont="1" applyFill="1" applyBorder="1"/>
    <xf numFmtId="164" fontId="6" fillId="2" borderId="9" xfId="2" applyNumberFormat="1" applyFont="1" applyFill="1" applyBorder="1"/>
    <xf numFmtId="164" fontId="3" fillId="0" borderId="0" xfId="4" applyNumberFormat="1" applyFont="1" applyFill="1" applyBorder="1" applyAlignment="1">
      <alignment horizontal="center"/>
    </xf>
    <xf numFmtId="164" fontId="6" fillId="2" borderId="10" xfId="2" applyNumberFormat="1" applyFont="1" applyFill="1" applyBorder="1"/>
    <xf numFmtId="164" fontId="6" fillId="2" borderId="11" xfId="2" applyNumberFormat="1" applyFont="1" applyFill="1" applyBorder="1"/>
    <xf numFmtId="164" fontId="6" fillId="2" borderId="11" xfId="5" applyNumberFormat="1" applyFont="1" applyFill="1" applyBorder="1"/>
    <xf numFmtId="164" fontId="6" fillId="2" borderId="13" xfId="2" applyNumberFormat="1" applyFont="1" applyFill="1" applyBorder="1"/>
    <xf numFmtId="165" fontId="3" fillId="2" borderId="14" xfId="2" applyNumberFormat="1" applyFont="1" applyFill="1" applyBorder="1" applyAlignment="1">
      <alignment horizontal="center"/>
    </xf>
    <xf numFmtId="165" fontId="3" fillId="2" borderId="15" xfId="2" applyNumberFormat="1" applyFont="1" applyFill="1" applyBorder="1" applyAlignment="1">
      <alignment horizontal="center"/>
    </xf>
    <xf numFmtId="165" fontId="6" fillId="2" borderId="15" xfId="5" applyNumberFormat="1" applyFont="1" applyFill="1" applyBorder="1"/>
    <xf numFmtId="165" fontId="3" fillId="0" borderId="15" xfId="2" applyNumberFormat="1" applyFont="1" applyFill="1" applyBorder="1" applyAlignment="1">
      <alignment horizontal="center"/>
    </xf>
    <xf numFmtId="165" fontId="3" fillId="2" borderId="29" xfId="2" applyNumberFormat="1" applyFont="1" applyFill="1" applyBorder="1" applyAlignment="1">
      <alignment horizontal="center"/>
    </xf>
    <xf numFmtId="0" fontId="9" fillId="0" borderId="0" xfId="0" applyFont="1"/>
    <xf numFmtId="0" fontId="10" fillId="0" borderId="0" xfId="4" applyFont="1"/>
    <xf numFmtId="0" fontId="10" fillId="0" borderId="0" xfId="4" applyFont="1" applyBorder="1"/>
    <xf numFmtId="9" fontId="10" fillId="0" borderId="0" xfId="3" applyNumberFormat="1" applyFont="1" applyAlignment="1">
      <alignment horizontal="center"/>
    </xf>
    <xf numFmtId="166" fontId="10" fillId="2" borderId="0" xfId="1" applyNumberFormat="1" applyFont="1" applyFill="1" applyBorder="1"/>
    <xf numFmtId="166" fontId="10" fillId="0" borderId="0" xfId="4" applyNumberFormat="1" applyFont="1" applyBorder="1"/>
    <xf numFmtId="166" fontId="10" fillId="0" borderId="0" xfId="3" applyNumberFormat="1" applyFont="1" applyBorder="1" applyAlignment="1">
      <alignment horizontal="center"/>
    </xf>
    <xf numFmtId="166" fontId="9" fillId="0" borderId="0" xfId="0" applyNumberFormat="1" applyFont="1" applyBorder="1"/>
    <xf numFmtId="164" fontId="10" fillId="0" borderId="0" xfId="1" applyNumberFormat="1" applyFont="1"/>
    <xf numFmtId="166" fontId="10" fillId="2" borderId="0" xfId="1" applyNumberFormat="1" applyFont="1" applyFill="1" applyBorder="1" applyAlignment="1">
      <alignment horizontal="right"/>
    </xf>
    <xf numFmtId="166" fontId="10" fillId="2" borderId="0" xfId="1" applyNumberFormat="1" applyFont="1" applyFill="1" applyBorder="1" applyAlignment="1">
      <alignment horizontal="center"/>
    </xf>
    <xf numFmtId="166" fontId="10" fillId="0" borderId="0" xfId="1" applyNumberFormat="1" applyFont="1" applyBorder="1"/>
    <xf numFmtId="0" fontId="10" fillId="2" borderId="0" xfId="1" applyNumberFormat="1" applyFont="1" applyFill="1" applyBorder="1"/>
    <xf numFmtId="164" fontId="9" fillId="0" borderId="0" xfId="1" applyNumberFormat="1" applyFont="1"/>
    <xf numFmtId="166" fontId="10" fillId="0" borderId="0" xfId="1" applyNumberFormat="1" applyFont="1" applyBorder="1" applyAlignment="1">
      <alignment horizontal="center"/>
    </xf>
    <xf numFmtId="166" fontId="9" fillId="0" borderId="0" xfId="1" applyNumberFormat="1" applyFont="1" applyBorder="1"/>
    <xf numFmtId="0" fontId="11" fillId="0" borderId="0" xfId="4" applyFont="1"/>
    <xf numFmtId="0" fontId="11" fillId="0" borderId="0" xfId="4" applyFont="1" applyBorder="1"/>
    <xf numFmtId="0" fontId="1" fillId="0" borderId="0" xfId="0" applyFont="1"/>
    <xf numFmtId="9" fontId="11" fillId="0" borderId="0" xfId="3" applyNumberFormat="1" applyFont="1" applyAlignment="1">
      <alignment horizontal="center"/>
    </xf>
    <xf numFmtId="0" fontId="14" fillId="0" borderId="0" xfId="0" applyFont="1"/>
    <xf numFmtId="0" fontId="15" fillId="0" borderId="0" xfId="0" applyFont="1"/>
    <xf numFmtId="49" fontId="15" fillId="4" borderId="33" xfId="0" quotePrefix="1" applyNumberFormat="1" applyFont="1" applyFill="1" applyBorder="1" applyAlignment="1">
      <alignment horizontal="left"/>
    </xf>
    <xf numFmtId="49" fontId="15" fillId="4" borderId="33" xfId="0" quotePrefix="1" applyNumberFormat="1" applyFont="1" applyFill="1" applyBorder="1" applyAlignment="1">
      <alignment horizontal="center"/>
    </xf>
    <xf numFmtId="49" fontId="16" fillId="5" borderId="35" xfId="0" quotePrefix="1" applyNumberFormat="1" applyFont="1" applyFill="1" applyBorder="1" applyAlignment="1">
      <alignment horizontal="center"/>
    </xf>
    <xf numFmtId="0" fontId="15" fillId="0" borderId="36" xfId="0" applyFont="1" applyBorder="1"/>
    <xf numFmtId="49" fontId="16" fillId="5" borderId="37" xfId="0" quotePrefix="1" applyNumberFormat="1" applyFont="1" applyFill="1" applyBorder="1" applyAlignment="1">
      <alignment horizontal="center" wrapText="1"/>
    </xf>
    <xf numFmtId="49" fontId="16" fillId="5" borderId="38" xfId="0" quotePrefix="1" applyNumberFormat="1" applyFont="1" applyFill="1" applyBorder="1" applyAlignment="1">
      <alignment horizontal="center"/>
    </xf>
    <xf numFmtId="49" fontId="16" fillId="5" borderId="39" xfId="0" quotePrefix="1" applyNumberFormat="1" applyFont="1" applyFill="1" applyBorder="1" applyAlignment="1">
      <alignment horizontal="center"/>
    </xf>
    <xf numFmtId="49" fontId="16" fillId="5" borderId="37" xfId="0" quotePrefix="1" applyNumberFormat="1" applyFont="1" applyFill="1" applyBorder="1" applyAlignment="1">
      <alignment horizontal="center"/>
    </xf>
    <xf numFmtId="0" fontId="15" fillId="4" borderId="40" xfId="0" applyFont="1" applyFill="1" applyBorder="1" applyAlignment="1">
      <alignment horizontal="left"/>
    </xf>
    <xf numFmtId="0" fontId="15" fillId="4" borderId="40" xfId="0" applyFont="1" applyFill="1" applyBorder="1" applyAlignment="1">
      <alignment horizontal="center"/>
    </xf>
    <xf numFmtId="49" fontId="15" fillId="5" borderId="0" xfId="0" quotePrefix="1" applyNumberFormat="1" applyFont="1" applyFill="1" applyBorder="1" applyAlignment="1">
      <alignment horizontal="center"/>
    </xf>
    <xf numFmtId="49" fontId="16" fillId="5" borderId="31" xfId="0" quotePrefix="1" applyNumberFormat="1" applyFont="1" applyFill="1" applyBorder="1" applyAlignment="1">
      <alignment horizontal="center"/>
    </xf>
    <xf numFmtId="0" fontId="11" fillId="0" borderId="6" xfId="4" applyFont="1" applyBorder="1"/>
    <xf numFmtId="0" fontId="11" fillId="0" borderId="7" xfId="4" applyFont="1" applyBorder="1"/>
    <xf numFmtId="0" fontId="11" fillId="0" borderId="8" xfId="4" applyFont="1" applyBorder="1"/>
    <xf numFmtId="0" fontId="11" fillId="0" borderId="4" xfId="4" applyFont="1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49" fontId="15" fillId="5" borderId="36" xfId="0" quotePrefix="1" applyNumberFormat="1" applyFont="1" applyFill="1" applyBorder="1" applyAlignment="1">
      <alignment horizontal="center"/>
    </xf>
    <xf numFmtId="49" fontId="16" fillId="5" borderId="36" xfId="0" quotePrefix="1" applyNumberFormat="1" applyFont="1" applyFill="1" applyBorder="1" applyAlignment="1">
      <alignment horizontal="center"/>
    </xf>
    <xf numFmtId="9" fontId="11" fillId="0" borderId="6" xfId="3" applyNumberFormat="1" applyFont="1" applyBorder="1" applyAlignment="1">
      <alignment horizontal="center"/>
    </xf>
    <xf numFmtId="0" fontId="1" fillId="0" borderId="7" xfId="0" applyFont="1" applyBorder="1"/>
    <xf numFmtId="9" fontId="11" fillId="0" borderId="4" xfId="3" applyNumberFormat="1" applyFont="1" applyBorder="1" applyAlignment="1">
      <alignment horizontal="center"/>
    </xf>
    <xf numFmtId="0" fontId="1" fillId="0" borderId="0" xfId="0" applyFont="1" applyBorder="1"/>
    <xf numFmtId="9" fontId="11" fillId="0" borderId="10" xfId="3" applyNumberFormat="1" applyFont="1" applyBorder="1" applyAlignment="1">
      <alignment horizontal="center"/>
    </xf>
    <xf numFmtId="0" fontId="1" fillId="0" borderId="11" xfId="0" applyFont="1" applyBorder="1"/>
    <xf numFmtId="49" fontId="16" fillId="5" borderId="0" xfId="0" quotePrefix="1" applyNumberFormat="1" applyFont="1" applyFill="1" applyBorder="1" applyAlignment="1">
      <alignment horizontal="center"/>
    </xf>
    <xf numFmtId="9" fontId="11" fillId="0" borderId="7" xfId="3" applyNumberFormat="1" applyFont="1" applyBorder="1" applyAlignment="1">
      <alignment horizontal="center"/>
    </xf>
    <xf numFmtId="9" fontId="11" fillId="0" borderId="0" xfId="3" applyNumberFormat="1" applyFont="1" applyBorder="1" applyAlignment="1">
      <alignment horizontal="center"/>
    </xf>
    <xf numFmtId="9" fontId="11" fillId="0" borderId="11" xfId="3" applyNumberFormat="1" applyFont="1" applyBorder="1" applyAlignment="1">
      <alignment horizontal="center"/>
    </xf>
    <xf numFmtId="0" fontId="1" fillId="0" borderId="4" xfId="0" applyFont="1" applyBorder="1"/>
    <xf numFmtId="0" fontId="1" fillId="0" borderId="10" xfId="0" applyFont="1" applyBorder="1"/>
    <xf numFmtId="0" fontId="17" fillId="3" borderId="6" xfId="4" applyFont="1" applyFill="1" applyBorder="1"/>
    <xf numFmtId="0" fontId="11" fillId="3" borderId="7" xfId="4" applyFont="1" applyFill="1" applyBorder="1"/>
    <xf numFmtId="0" fontId="11" fillId="3" borderId="8" xfId="4" applyFont="1" applyFill="1" applyBorder="1"/>
    <xf numFmtId="0" fontId="1" fillId="0" borderId="6" xfId="0" applyFont="1" applyBorder="1"/>
    <xf numFmtId="49" fontId="15" fillId="4" borderId="38" xfId="0" quotePrefix="1" applyNumberFormat="1" applyFont="1" applyFill="1" applyBorder="1" applyAlignment="1">
      <alignment horizontal="left"/>
    </xf>
    <xf numFmtId="49" fontId="16" fillId="5" borderId="0" xfId="0" quotePrefix="1" applyNumberFormat="1" applyFont="1" applyFill="1" applyBorder="1" applyAlignment="1">
      <alignment horizontal="center" wrapText="1"/>
    </xf>
    <xf numFmtId="0" fontId="11" fillId="3" borderId="4" xfId="4" applyFont="1" applyFill="1" applyBorder="1"/>
    <xf numFmtId="0" fontId="11" fillId="3" borderId="5" xfId="4" applyFont="1" applyFill="1" applyBorder="1"/>
    <xf numFmtId="0" fontId="11" fillId="3" borderId="0" xfId="4" applyFont="1" applyFill="1" applyBorder="1"/>
    <xf numFmtId="49" fontId="12" fillId="4" borderId="0" xfId="0" quotePrefix="1" applyNumberFormat="1" applyFont="1" applyFill="1" applyAlignment="1">
      <alignment horizontal="left" wrapText="1"/>
    </xf>
    <xf numFmtId="49" fontId="12" fillId="4" borderId="0" xfId="0" applyNumberFormat="1" applyFont="1" applyFill="1" applyAlignment="1">
      <alignment horizontal="left" wrapText="1"/>
    </xf>
    <xf numFmtId="49" fontId="13" fillId="4" borderId="0" xfId="0" applyNumberFormat="1" applyFont="1" applyFill="1" applyAlignment="1">
      <alignment horizontal="center" wrapText="1"/>
    </xf>
    <xf numFmtId="49" fontId="13" fillId="4" borderId="0" xfId="0" applyNumberFormat="1" applyFont="1" applyFill="1" applyAlignment="1">
      <alignment horizontal="right" wrapText="1"/>
    </xf>
    <xf numFmtId="0" fontId="16" fillId="5" borderId="41" xfId="0" quotePrefix="1" applyNumberFormat="1" applyFont="1" applyFill="1" applyBorder="1" applyAlignment="1">
      <alignment horizontal="center"/>
    </xf>
    <xf numFmtId="0" fontId="16" fillId="5" borderId="42" xfId="0" applyNumberFormat="1" applyFont="1" applyFill="1" applyBorder="1" applyAlignment="1">
      <alignment horizontal="center"/>
    </xf>
    <xf numFmtId="0" fontId="16" fillId="5" borderId="43" xfId="0" applyNumberFormat="1" applyFont="1" applyFill="1" applyBorder="1" applyAlignment="1">
      <alignment horizontal="center"/>
    </xf>
    <xf numFmtId="49" fontId="16" fillId="5" borderId="32" xfId="0" quotePrefix="1" applyNumberFormat="1" applyFont="1" applyFill="1" applyBorder="1" applyAlignment="1">
      <alignment horizontal="center"/>
    </xf>
    <xf numFmtId="49" fontId="16" fillId="5" borderId="32" xfId="0" applyNumberFormat="1" applyFont="1" applyFill="1" applyBorder="1" applyAlignment="1">
      <alignment horizontal="center"/>
    </xf>
    <xf numFmtId="0" fontId="15" fillId="5" borderId="32" xfId="0" applyFont="1" applyFill="1" applyBorder="1" applyAlignment="1">
      <alignment horizontal="center"/>
    </xf>
    <xf numFmtId="0" fontId="15" fillId="5" borderId="34" xfId="0" applyFont="1" applyFill="1" applyBorder="1" applyAlignment="1">
      <alignment horizontal="center"/>
    </xf>
    <xf numFmtId="49" fontId="13" fillId="4" borderId="0" xfId="0" quotePrefix="1" applyNumberFormat="1" applyFont="1" applyFill="1" applyAlignment="1">
      <alignment horizontal="left" wrapText="1"/>
    </xf>
    <xf numFmtId="49" fontId="13" fillId="4" borderId="0" xfId="0" applyNumberFormat="1" applyFont="1" applyFill="1" applyAlignment="1">
      <alignment horizontal="left" wrapText="1"/>
    </xf>
    <xf numFmtId="49" fontId="13" fillId="4" borderId="0" xfId="0" applyNumberFormat="1" applyFont="1" applyFill="1" applyBorder="1" applyAlignment="1">
      <alignment horizontal="left" wrapText="1"/>
    </xf>
    <xf numFmtId="49" fontId="13" fillId="4" borderId="0" xfId="0" applyNumberFormat="1" applyFont="1" applyFill="1" applyBorder="1" applyAlignment="1">
      <alignment horizontal="center" wrapText="1"/>
    </xf>
    <xf numFmtId="49" fontId="13" fillId="4" borderId="30" xfId="0" applyNumberFormat="1" applyFont="1" applyFill="1" applyBorder="1" applyAlignment="1">
      <alignment horizontal="center" wrapText="1"/>
    </xf>
    <xf numFmtId="49" fontId="13" fillId="4" borderId="30" xfId="0" applyNumberFormat="1" applyFont="1" applyFill="1" applyBorder="1" applyAlignment="1">
      <alignment horizontal="right" wrapText="1"/>
    </xf>
    <xf numFmtId="0" fontId="11" fillId="6" borderId="8" xfId="4" applyFont="1" applyFill="1" applyBorder="1"/>
    <xf numFmtId="0" fontId="11" fillId="6" borderId="5" xfId="4" applyFont="1" applyFill="1" applyBorder="1"/>
    <xf numFmtId="0" fontId="11" fillId="6" borderId="12" xfId="4" applyFont="1" applyFill="1" applyBorder="1"/>
  </cellXfs>
  <cellStyles count="6">
    <cellStyle name="Comma" xfId="1" builtinId="3"/>
    <cellStyle name="Comma 11" xfId="5" xr:uid="{00000000-0005-0000-0000-000001000000}"/>
    <cellStyle name="Currency" xfId="2" builtinId="4"/>
    <cellStyle name="Normal" xfId="0" builtinId="0"/>
    <cellStyle name="Normal 10" xfId="4" xr:uid="{00000000-0005-0000-0000-000004000000}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26" Type="http://schemas.openxmlformats.org/officeDocument/2006/relationships/externalLink" Target="externalLinks/externalLink2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7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0" Type="http://schemas.openxmlformats.org/officeDocument/2006/relationships/externalLink" Target="externalLinks/externalLink16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styles" Target="styles.xml"/><Relationship Id="rId10" Type="http://schemas.openxmlformats.org/officeDocument/2006/relationships/externalLink" Target="externalLinks/externalLink6.xml"/><Relationship Id="rId19" Type="http://schemas.openxmlformats.org/officeDocument/2006/relationships/externalLink" Target="externalLinks/externalLink1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BHN%20168999%20new\Accounts%20payable%20transaction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nts%20and%20Settings\ddehn00\Local%20Settings\Temporary%20Internet%20Files\OLK1B1\Summary%20trial%20balances%20(UK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~1\kradh00\LOCALS~1\Temp\Temporary%20Directory%201%20for%20Weekly%20Flash%20Report%20Wk%2024%202009.zip\Weekly%20Flash%20Report%20Wk%2024%202009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C5110%20Cash%20&amp;%20Short%20Term%20InvestmentsLeadsheet%20-%202008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HARED\FINANCE\2012%20Plan\2012%20Plan%20Summary\2012%20Plan%20Summary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A\Reconciliations\FATS\2006\Period%2013\FATS%2013-2006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upporting%20schedule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2008%20Plan\Assumptions\2008%20SG&amp;A%20Assumption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Audits\Chart%20of%20Accounts\Dimensions(DRAFT_v07-26-10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GL\Division\Dominick\Period\JE%20381%20LAWSON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DELITAX\PUBLIC\Mandanten\P\Planschmiede\2000\Excel\027-Kontolauf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RP\zReport%20Development\Developers\Jenny%20Fu\2013%20Report%20Package\P03%202013%20Batch%20Report\Mandanten\R\Riverside\2005\Excel\051-Fibu-Mappe-05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~1\kradh00\LOCALS~1\Temp\Temporary%20Directory%201%20for%20Weekly%20Flash%20Report%20Wk%2012%202009.zip\Weekly%20Flash%20Report%20Wk%2012%202009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nts%20and%20Settings\ddehn00\Local%20Settings\Temporary%20Internet%20Files\OLK1B1\BHN%20International%20Financial%20Report%20011207%20Francev2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8100A%20MNC%20P%20L%20Analysi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SWY%20IR%20Reporting\2011\2011%20Q2%20SWY%20Reporting%20Package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portal.safeway.com/Documents%20and%20Settings/gmitc00/Local%20Settings/Temporary%20Internet%20Files/OLK35/Master%20COA%20V2007_06_06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56%20%20%20PY%20-%20F%20A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C8310%20Operating%20&amp;%20Administrative%20Expenses%20Leadsheet%20-%202008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8310%20Operating%20&amp;%20Administrative%20Expenses%20Leadsheet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10%20Property%20-%20Combined%20Leadsheet%20-%20Matson%20FOR%20DEPR%20EXP%20TAB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kradh00\Local%20Settings\Temporary%20Internet%20Files\Content.Outlook\D2EV14T2\2011%20Q1%20SWY%20Reporting%20Package%20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usersheet"/>
      <sheetName val="Sheet2"/>
      <sheetName val="Sheet1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lance sheet"/>
      <sheetName val="Profit &amp; Loss"/>
      <sheetName val="TB"/>
      <sheetName val="Sheet2"/>
      <sheetName val="Lookup Tab"/>
    </sheetNames>
    <sheetDataSet>
      <sheetData sheetId="0" refreshError="1"/>
      <sheetData sheetId="1" refreshError="1"/>
      <sheetData sheetId="2" refreshError="1">
        <row r="1">
          <cell r="A1" t="str">
            <v>P1</v>
          </cell>
          <cell r="F1" t="str">
            <v>P2</v>
          </cell>
          <cell r="K1" t="str">
            <v>P3</v>
          </cell>
          <cell r="P1" t="str">
            <v>P4</v>
          </cell>
          <cell r="U1" t="str">
            <v>P5</v>
          </cell>
          <cell r="Z1" t="str">
            <v>P6</v>
          </cell>
          <cell r="AE1" t="str">
            <v>P7</v>
          </cell>
          <cell r="AJ1" t="str">
            <v>P8</v>
          </cell>
          <cell r="AO1" t="str">
            <v>P9</v>
          </cell>
          <cell r="AT1" t="str">
            <v>P10</v>
          </cell>
          <cell r="AY1" t="str">
            <v>P11</v>
          </cell>
          <cell r="BD1" t="str">
            <v>P12</v>
          </cell>
          <cell r="BI1" t="str">
            <v>P13</v>
          </cell>
        </row>
        <row r="2">
          <cell r="A2" t="str">
            <v>N/C</v>
          </cell>
          <cell r="B2" t="str">
            <v>Name</v>
          </cell>
          <cell r="C2" t="str">
            <v>Debit</v>
          </cell>
          <cell r="D2" t="str">
            <v>Credit</v>
          </cell>
          <cell r="F2" t="str">
            <v>N/C</v>
          </cell>
          <cell r="G2" t="str">
            <v>Name</v>
          </cell>
          <cell r="H2" t="str">
            <v>Debit</v>
          </cell>
          <cell r="I2" t="str">
            <v>Credit</v>
          </cell>
          <cell r="K2" t="str">
            <v>N/C</v>
          </cell>
          <cell r="L2" t="str">
            <v>Name</v>
          </cell>
          <cell r="M2" t="str">
            <v>Debit</v>
          </cell>
          <cell r="N2" t="str">
            <v>Credit</v>
          </cell>
          <cell r="P2" t="str">
            <v>N/C</v>
          </cell>
          <cell r="Q2" t="str">
            <v>Name</v>
          </cell>
          <cell r="R2" t="str">
            <v>Debit</v>
          </cell>
          <cell r="S2" t="str">
            <v>Credit</v>
          </cell>
          <cell r="U2" t="str">
            <v>N/C</v>
          </cell>
          <cell r="V2" t="str">
            <v>Name</v>
          </cell>
          <cell r="W2" t="str">
            <v>Debit</v>
          </cell>
          <cell r="X2" t="str">
            <v>Credit</v>
          </cell>
          <cell r="Z2" t="str">
            <v>N/C</v>
          </cell>
          <cell r="AA2" t="str">
            <v>Name</v>
          </cell>
          <cell r="AB2" t="str">
            <v>Debit</v>
          </cell>
          <cell r="AC2" t="str">
            <v>Credit</v>
          </cell>
          <cell r="AE2" t="str">
            <v>N/C</v>
          </cell>
          <cell r="AF2" t="str">
            <v>Name</v>
          </cell>
          <cell r="AG2" t="str">
            <v>Debit</v>
          </cell>
          <cell r="AH2" t="str">
            <v>Credit</v>
          </cell>
          <cell r="AJ2" t="str">
            <v>N/C</v>
          </cell>
          <cell r="AK2" t="str">
            <v>Name</v>
          </cell>
          <cell r="AL2" t="str">
            <v>Debit</v>
          </cell>
          <cell r="AM2" t="str">
            <v>Credit</v>
          </cell>
        </row>
        <row r="3">
          <cell r="A3">
            <v>11</v>
          </cell>
          <cell r="B3" t="str">
            <v>Leasehold Property</v>
          </cell>
          <cell r="F3">
            <v>11</v>
          </cell>
          <cell r="G3" t="str">
            <v>Leasehold Property</v>
          </cell>
          <cell r="K3">
            <v>11</v>
          </cell>
          <cell r="L3" t="str">
            <v>Leasehold Property</v>
          </cell>
          <cell r="P3">
            <v>11</v>
          </cell>
          <cell r="Q3" t="str">
            <v>Leasehold Property</v>
          </cell>
          <cell r="U3">
            <v>11</v>
          </cell>
          <cell r="V3" t="str">
            <v>Leasehold Property</v>
          </cell>
          <cell r="Z3">
            <v>11</v>
          </cell>
          <cell r="AA3" t="str">
            <v>Leasehold Property</v>
          </cell>
          <cell r="AE3">
            <v>11</v>
          </cell>
          <cell r="AF3" t="str">
            <v>Leasehold Property</v>
          </cell>
          <cell r="AJ3">
            <v>11</v>
          </cell>
          <cell r="AK3" t="str">
            <v>Leasehold Property</v>
          </cell>
          <cell r="AO3">
            <v>11</v>
          </cell>
          <cell r="AP3" t="str">
            <v>Leasehold Property</v>
          </cell>
          <cell r="AT3">
            <v>11</v>
          </cell>
          <cell r="AU3" t="str">
            <v>Leasehold Property</v>
          </cell>
          <cell r="AY3">
            <v>11</v>
          </cell>
          <cell r="AZ3" t="str">
            <v>Leasehold Property</v>
          </cell>
          <cell r="BD3">
            <v>11</v>
          </cell>
          <cell r="BE3" t="str">
            <v>Leasehold Property</v>
          </cell>
          <cell r="BI3">
            <v>11</v>
          </cell>
          <cell r="BJ3" t="str">
            <v>Leasehold Property</v>
          </cell>
        </row>
        <row r="4">
          <cell r="A4">
            <v>12</v>
          </cell>
          <cell r="B4" t="str">
            <v>Leasehold Property Depreciation</v>
          </cell>
          <cell r="D4">
            <v>8.07</v>
          </cell>
          <cell r="F4">
            <v>12</v>
          </cell>
          <cell r="G4" t="str">
            <v>Leasehold Property Depreciation</v>
          </cell>
          <cell r="I4">
            <v>16.14</v>
          </cell>
          <cell r="K4">
            <v>12</v>
          </cell>
          <cell r="L4" t="str">
            <v>Leasehold Property Depreciation</v>
          </cell>
          <cell r="N4">
            <v>16.14</v>
          </cell>
          <cell r="P4">
            <v>12</v>
          </cell>
          <cell r="Q4" t="str">
            <v>Leasehold Property Depreciation</v>
          </cell>
          <cell r="S4">
            <v>67.17</v>
          </cell>
          <cell r="U4">
            <v>12</v>
          </cell>
          <cell r="V4" t="str">
            <v>Leasehold Property Depreciation</v>
          </cell>
          <cell r="X4">
            <v>75.239999999999995</v>
          </cell>
          <cell r="Z4">
            <v>12</v>
          </cell>
          <cell r="AA4" t="str">
            <v>Leasehold Property Depreciation</v>
          </cell>
          <cell r="AC4">
            <v>83.31</v>
          </cell>
          <cell r="AE4">
            <v>12</v>
          </cell>
          <cell r="AF4" t="str">
            <v>Leasehold Property Depreciation</v>
          </cell>
          <cell r="AH4">
            <v>91.38</v>
          </cell>
          <cell r="AJ4">
            <v>12</v>
          </cell>
          <cell r="AK4" t="str">
            <v>Leasehold Property Depreciation</v>
          </cell>
          <cell r="AO4">
            <v>12</v>
          </cell>
          <cell r="AP4" t="str">
            <v>Leasehold Property Depreciation</v>
          </cell>
          <cell r="AT4">
            <v>12</v>
          </cell>
          <cell r="AU4" t="str">
            <v>Leasehold Property Depreciation</v>
          </cell>
          <cell r="AY4">
            <v>12</v>
          </cell>
          <cell r="AZ4" t="str">
            <v>Leasehold Property Depreciation</v>
          </cell>
          <cell r="BD4">
            <v>12</v>
          </cell>
          <cell r="BE4" t="str">
            <v>Leasehold Property Depreciation</v>
          </cell>
          <cell r="BI4">
            <v>12</v>
          </cell>
          <cell r="BJ4" t="str">
            <v>Leasehold Property Depreciation</v>
          </cell>
        </row>
        <row r="5">
          <cell r="A5">
            <v>20</v>
          </cell>
          <cell r="B5" t="str">
            <v>Plant and Machinery</v>
          </cell>
          <cell r="F5">
            <v>20</v>
          </cell>
          <cell r="G5" t="str">
            <v>Plant and Machinery</v>
          </cell>
          <cell r="K5">
            <v>20</v>
          </cell>
          <cell r="L5" t="str">
            <v>Plant and Machinery</v>
          </cell>
          <cell r="P5">
            <v>20</v>
          </cell>
          <cell r="Q5" t="str">
            <v>Plant and Machinery</v>
          </cell>
          <cell r="U5">
            <v>20</v>
          </cell>
          <cell r="V5" t="str">
            <v>Plant and Machinery</v>
          </cell>
          <cell r="Z5">
            <v>20</v>
          </cell>
          <cell r="AA5" t="str">
            <v>Plant and Machinery</v>
          </cell>
          <cell r="AE5">
            <v>20</v>
          </cell>
          <cell r="AF5" t="str">
            <v>Plant and Machinery</v>
          </cell>
          <cell r="AJ5">
            <v>20</v>
          </cell>
          <cell r="AK5" t="str">
            <v>Plant and Machinery</v>
          </cell>
          <cell r="AO5">
            <v>20</v>
          </cell>
          <cell r="AP5" t="str">
            <v>Plant and Machinery</v>
          </cell>
          <cell r="AT5">
            <v>20</v>
          </cell>
          <cell r="AU5" t="str">
            <v>Plant and Machinery</v>
          </cell>
          <cell r="AY5">
            <v>20</v>
          </cell>
          <cell r="AZ5" t="str">
            <v>Plant and Machinery</v>
          </cell>
          <cell r="BD5">
            <v>20</v>
          </cell>
          <cell r="BE5" t="str">
            <v>Plant and Machinery</v>
          </cell>
          <cell r="BF5">
            <v>0</v>
          </cell>
          <cell r="BI5">
            <v>20</v>
          </cell>
          <cell r="BJ5" t="str">
            <v>Plant and Machinery</v>
          </cell>
        </row>
        <row r="6">
          <cell r="A6">
            <v>21</v>
          </cell>
          <cell r="B6" t="str">
            <v>Plant/Machinery Depreciation</v>
          </cell>
          <cell r="D6">
            <v>57.93</v>
          </cell>
          <cell r="F6">
            <v>21</v>
          </cell>
          <cell r="G6" t="str">
            <v>Plant/Machinery Depreciation</v>
          </cell>
          <cell r="I6">
            <v>115.86</v>
          </cell>
          <cell r="K6">
            <v>21</v>
          </cell>
          <cell r="L6" t="str">
            <v>Plant/Machinery Depreciation</v>
          </cell>
          <cell r="N6">
            <v>115.86</v>
          </cell>
          <cell r="P6">
            <v>21</v>
          </cell>
          <cell r="Q6" t="str">
            <v>Plant/Machinery Depreciation</v>
          </cell>
          <cell r="S6">
            <v>6.57</v>
          </cell>
          <cell r="U6">
            <v>21</v>
          </cell>
          <cell r="V6" t="str">
            <v>Plant/Machinery Depreciation</v>
          </cell>
          <cell r="X6">
            <v>60.17</v>
          </cell>
          <cell r="Z6">
            <v>21</v>
          </cell>
          <cell r="AA6" t="str">
            <v>Plant/Machinery Depreciation</v>
          </cell>
          <cell r="AC6">
            <v>112.74</v>
          </cell>
          <cell r="AE6">
            <v>21</v>
          </cell>
          <cell r="AF6" t="str">
            <v>Plant/Machinery Depreciation</v>
          </cell>
          <cell r="AH6">
            <v>164.3</v>
          </cell>
          <cell r="AJ6">
            <v>21</v>
          </cell>
          <cell r="AK6" t="str">
            <v>Plant/Machinery Depreciation</v>
          </cell>
          <cell r="AO6">
            <v>21</v>
          </cell>
          <cell r="AP6" t="str">
            <v>Plant/Machinery Depreciation</v>
          </cell>
          <cell r="AT6">
            <v>21</v>
          </cell>
          <cell r="AU6" t="str">
            <v>Plant/Machinery Depreciation</v>
          </cell>
          <cell r="AY6">
            <v>21</v>
          </cell>
          <cell r="AZ6" t="str">
            <v>Plant/Machinery Depreciation</v>
          </cell>
          <cell r="BD6">
            <v>21</v>
          </cell>
          <cell r="BE6" t="str">
            <v>Plant/Machinery Depreciation</v>
          </cell>
          <cell r="BF6">
            <v>0</v>
          </cell>
          <cell r="BI6">
            <v>21</v>
          </cell>
          <cell r="BJ6" t="str">
            <v>Plant/Machinery Depreciation</v>
          </cell>
        </row>
        <row r="7">
          <cell r="A7">
            <v>30</v>
          </cell>
          <cell r="B7" t="str">
            <v>Office Equipment</v>
          </cell>
          <cell r="C7">
            <v>1432.5</v>
          </cell>
          <cell r="F7">
            <v>30</v>
          </cell>
          <cell r="G7" t="str">
            <v>Office Equipment</v>
          </cell>
          <cell r="H7">
            <v>1432.5</v>
          </cell>
          <cell r="K7">
            <v>30</v>
          </cell>
          <cell r="L7" t="str">
            <v>Office Equipment</v>
          </cell>
          <cell r="M7">
            <v>1432.5</v>
          </cell>
          <cell r="P7">
            <v>30</v>
          </cell>
          <cell r="Q7" t="str">
            <v>Office Equipment</v>
          </cell>
          <cell r="R7">
            <v>1432.5</v>
          </cell>
          <cell r="U7">
            <v>30</v>
          </cell>
          <cell r="V7" t="str">
            <v>Office Equipment</v>
          </cell>
          <cell r="W7">
            <v>1432.5</v>
          </cell>
          <cell r="Z7">
            <v>30</v>
          </cell>
          <cell r="AA7" t="str">
            <v>Office Equipment</v>
          </cell>
          <cell r="AB7">
            <v>1432.5</v>
          </cell>
          <cell r="AE7">
            <v>30</v>
          </cell>
          <cell r="AF7" t="str">
            <v>Office Equipment</v>
          </cell>
          <cell r="AG7">
            <v>1432.5</v>
          </cell>
          <cell r="AJ7">
            <v>30</v>
          </cell>
          <cell r="AK7" t="str">
            <v>Office Equipment</v>
          </cell>
          <cell r="AO7">
            <v>30</v>
          </cell>
          <cell r="AP7" t="str">
            <v>Office Equipment</v>
          </cell>
          <cell r="AT7">
            <v>30</v>
          </cell>
          <cell r="AU7" t="str">
            <v>Office Equipment</v>
          </cell>
          <cell r="AY7">
            <v>30</v>
          </cell>
          <cell r="AZ7" t="str">
            <v>Office Equipment</v>
          </cell>
          <cell r="BD7">
            <v>30</v>
          </cell>
          <cell r="BE7" t="str">
            <v>Office Equipment</v>
          </cell>
          <cell r="BG7">
            <v>0</v>
          </cell>
          <cell r="BI7">
            <v>30</v>
          </cell>
          <cell r="BJ7" t="str">
            <v>Office Equipment</v>
          </cell>
        </row>
        <row r="8">
          <cell r="A8">
            <v>31</v>
          </cell>
          <cell r="B8" t="str">
            <v>Office Equipment Depreciation</v>
          </cell>
          <cell r="D8">
            <v>12.13</v>
          </cell>
          <cell r="F8">
            <v>31</v>
          </cell>
          <cell r="G8" t="str">
            <v>Office Equipment Depreciation</v>
          </cell>
          <cell r="I8">
            <v>24.26</v>
          </cell>
          <cell r="K8">
            <v>31</v>
          </cell>
          <cell r="L8" t="str">
            <v>Office Equipment Depreciation</v>
          </cell>
          <cell r="N8">
            <v>24.26</v>
          </cell>
          <cell r="P8">
            <v>31</v>
          </cell>
          <cell r="Q8" t="str">
            <v>Office Equipment Depreciation</v>
          </cell>
          <cell r="S8">
            <v>101.69</v>
          </cell>
          <cell r="U8">
            <v>31</v>
          </cell>
          <cell r="V8" t="str">
            <v>Office Equipment Depreciation</v>
          </cell>
          <cell r="X8">
            <v>139.41</v>
          </cell>
          <cell r="Z8">
            <v>31</v>
          </cell>
          <cell r="AA8" t="str">
            <v>Office Equipment Depreciation</v>
          </cell>
          <cell r="AC8">
            <v>176.4</v>
          </cell>
          <cell r="AE8">
            <v>31</v>
          </cell>
          <cell r="AF8" t="str">
            <v>Office Equipment Depreciation</v>
          </cell>
          <cell r="AH8">
            <v>212.68</v>
          </cell>
          <cell r="AJ8">
            <v>31</v>
          </cell>
          <cell r="AK8" t="str">
            <v>Office Equipment Depreciation</v>
          </cell>
          <cell r="AO8">
            <v>31</v>
          </cell>
          <cell r="AP8" t="str">
            <v>Office Equipment Depreciation</v>
          </cell>
          <cell r="AT8">
            <v>31</v>
          </cell>
          <cell r="AU8" t="str">
            <v>Office Equipment Depreciation</v>
          </cell>
          <cell r="AY8">
            <v>31</v>
          </cell>
          <cell r="AZ8" t="str">
            <v>Office Equipment Depreciation</v>
          </cell>
          <cell r="BD8">
            <v>31</v>
          </cell>
          <cell r="BE8" t="str">
            <v>Office Equipment Depreciation</v>
          </cell>
          <cell r="BF8">
            <v>0</v>
          </cell>
          <cell r="BI8">
            <v>31</v>
          </cell>
          <cell r="BJ8" t="str">
            <v>Office Equipment Depreciation</v>
          </cell>
        </row>
        <row r="9">
          <cell r="A9">
            <v>40</v>
          </cell>
          <cell r="B9" t="str">
            <v>Computer Equipment</v>
          </cell>
          <cell r="C9">
            <v>340</v>
          </cell>
          <cell r="F9">
            <v>40</v>
          </cell>
          <cell r="G9" t="str">
            <v>Computer Equipment</v>
          </cell>
          <cell r="H9">
            <v>340</v>
          </cell>
          <cell r="K9">
            <v>40</v>
          </cell>
          <cell r="L9" t="str">
            <v>Computer Equipment</v>
          </cell>
          <cell r="M9">
            <v>340</v>
          </cell>
          <cell r="P9">
            <v>40</v>
          </cell>
          <cell r="Q9" t="str">
            <v>Computer Equipment</v>
          </cell>
          <cell r="R9">
            <v>340</v>
          </cell>
          <cell r="U9">
            <v>40</v>
          </cell>
          <cell r="V9" t="str">
            <v>Computer Equipment</v>
          </cell>
          <cell r="W9">
            <v>340</v>
          </cell>
          <cell r="Z9">
            <v>40</v>
          </cell>
          <cell r="AA9" t="str">
            <v>Computer Equipment</v>
          </cell>
          <cell r="AB9">
            <v>340</v>
          </cell>
          <cell r="AE9">
            <v>40</v>
          </cell>
          <cell r="AF9" t="str">
            <v>Computer Equipment</v>
          </cell>
          <cell r="AG9">
            <v>340</v>
          </cell>
          <cell r="AJ9">
            <v>40</v>
          </cell>
          <cell r="AK9" t="str">
            <v>Computer Equipment</v>
          </cell>
          <cell r="AO9">
            <v>40</v>
          </cell>
          <cell r="AP9" t="str">
            <v>Computer Equipment</v>
          </cell>
          <cell r="AT9">
            <v>40</v>
          </cell>
          <cell r="AU9" t="str">
            <v>Computer Equipment</v>
          </cell>
          <cell r="AY9">
            <v>40</v>
          </cell>
          <cell r="AZ9" t="str">
            <v>Computer Equipment</v>
          </cell>
          <cell r="BD9">
            <v>40</v>
          </cell>
          <cell r="BE9" t="str">
            <v>Computer Equipment</v>
          </cell>
          <cell r="BG9">
            <v>0</v>
          </cell>
          <cell r="BI9">
            <v>40</v>
          </cell>
          <cell r="BJ9" t="str">
            <v>Computer Equipment</v>
          </cell>
        </row>
        <row r="10">
          <cell r="A10">
            <v>41</v>
          </cell>
          <cell r="B10" t="str">
            <v>Computer Equipment Depreciation</v>
          </cell>
          <cell r="D10">
            <v>64.010000000000005</v>
          </cell>
          <cell r="F10">
            <v>41</v>
          </cell>
          <cell r="G10" t="str">
            <v>Computer Equipment Depreciation</v>
          </cell>
          <cell r="I10">
            <v>128.02000000000001</v>
          </cell>
          <cell r="K10">
            <v>41</v>
          </cell>
          <cell r="L10" t="str">
            <v>Computer Equipment Depreciation</v>
          </cell>
          <cell r="N10">
            <v>128.02000000000001</v>
          </cell>
          <cell r="P10">
            <v>41</v>
          </cell>
          <cell r="Q10" t="str">
            <v>Computer Equipment Depreciation</v>
          </cell>
          <cell r="S10">
            <v>474.58</v>
          </cell>
          <cell r="U10">
            <v>41</v>
          </cell>
          <cell r="V10" t="str">
            <v>Computer Equipment Depreciation</v>
          </cell>
          <cell r="X10">
            <v>538.59</v>
          </cell>
          <cell r="Z10">
            <v>41</v>
          </cell>
          <cell r="AA10" t="str">
            <v>Computer Equipment Depreciation</v>
          </cell>
          <cell r="AC10">
            <v>602.6</v>
          </cell>
          <cell r="AE10">
            <v>41</v>
          </cell>
          <cell r="AF10" t="str">
            <v>Computer Equipment Depreciation</v>
          </cell>
          <cell r="AH10">
            <v>666.61</v>
          </cell>
          <cell r="AJ10">
            <v>41</v>
          </cell>
          <cell r="AK10" t="str">
            <v>Computer Equipment Depreciation</v>
          </cell>
          <cell r="AO10">
            <v>41</v>
          </cell>
          <cell r="AP10" t="str">
            <v>Computer Equipment Depreciation</v>
          </cell>
          <cell r="AT10">
            <v>41</v>
          </cell>
          <cell r="AU10" t="str">
            <v>Computer Equipment Depreciation</v>
          </cell>
          <cell r="AY10">
            <v>41</v>
          </cell>
          <cell r="AZ10" t="str">
            <v>Computer Equipment Depreciation</v>
          </cell>
          <cell r="BD10">
            <v>41</v>
          </cell>
          <cell r="BE10" t="str">
            <v>Computer Equipment Depreciation</v>
          </cell>
          <cell r="BI10">
            <v>41</v>
          </cell>
          <cell r="BJ10" t="str">
            <v>Computer Equipment Depreciation</v>
          </cell>
        </row>
        <row r="11">
          <cell r="A11">
            <v>1001</v>
          </cell>
          <cell r="B11" t="str">
            <v>Stock</v>
          </cell>
          <cell r="C11">
            <v>53258.07</v>
          </cell>
          <cell r="F11">
            <v>1001</v>
          </cell>
          <cell r="G11" t="str">
            <v>Stock</v>
          </cell>
          <cell r="H11">
            <v>53258.07</v>
          </cell>
          <cell r="K11">
            <v>1001</v>
          </cell>
          <cell r="L11" t="str">
            <v>Stock</v>
          </cell>
          <cell r="M11">
            <v>53258.07</v>
          </cell>
          <cell r="P11">
            <v>1001</v>
          </cell>
          <cell r="Q11" t="str">
            <v>Stock</v>
          </cell>
          <cell r="R11">
            <v>362978.15</v>
          </cell>
          <cell r="U11">
            <v>1001</v>
          </cell>
          <cell r="V11" t="str">
            <v>Stock</v>
          </cell>
          <cell r="W11">
            <v>362978.15</v>
          </cell>
          <cell r="Z11">
            <v>1001</v>
          </cell>
          <cell r="AA11" t="str">
            <v>Stock</v>
          </cell>
          <cell r="AB11">
            <v>311430.96000000002</v>
          </cell>
          <cell r="AE11">
            <v>1001</v>
          </cell>
          <cell r="AF11" t="str">
            <v>Stock</v>
          </cell>
          <cell r="AG11">
            <v>311430.96000000002</v>
          </cell>
          <cell r="AJ11">
            <v>1001</v>
          </cell>
          <cell r="AK11" t="str">
            <v>Stock</v>
          </cell>
          <cell r="AL11">
            <v>280985.93</v>
          </cell>
          <cell r="AO11">
            <v>1001</v>
          </cell>
          <cell r="AP11" t="str">
            <v>Stock</v>
          </cell>
          <cell r="AQ11">
            <v>173739.37</v>
          </cell>
          <cell r="AT11">
            <v>1001</v>
          </cell>
          <cell r="AU11" t="str">
            <v>Stock</v>
          </cell>
          <cell r="AV11">
            <v>155236.76999999999</v>
          </cell>
          <cell r="AY11">
            <v>1001</v>
          </cell>
          <cell r="AZ11" t="str">
            <v>Stock</v>
          </cell>
          <cell r="BA11">
            <v>135776</v>
          </cell>
          <cell r="BD11">
            <v>1001</v>
          </cell>
          <cell r="BE11" t="str">
            <v>Stock</v>
          </cell>
          <cell r="BF11">
            <v>149990</v>
          </cell>
          <cell r="BI11">
            <v>1001</v>
          </cell>
          <cell r="BJ11" t="str">
            <v>Stock</v>
          </cell>
          <cell r="BK11">
            <v>204518</v>
          </cell>
        </row>
        <row r="12">
          <cell r="A12">
            <v>1102</v>
          </cell>
          <cell r="B12" t="str">
            <v>Other Debtors</v>
          </cell>
          <cell r="F12">
            <v>1102</v>
          </cell>
          <cell r="G12" t="str">
            <v>Other Debtors</v>
          </cell>
          <cell r="K12">
            <v>1102</v>
          </cell>
          <cell r="L12" t="str">
            <v>Other Debtors</v>
          </cell>
          <cell r="P12">
            <v>1102</v>
          </cell>
          <cell r="Q12" t="str">
            <v>Other Debtors</v>
          </cell>
          <cell r="U12">
            <v>1102</v>
          </cell>
          <cell r="V12" t="str">
            <v>Other Debtors</v>
          </cell>
          <cell r="Z12">
            <v>1102</v>
          </cell>
          <cell r="AA12" t="str">
            <v>Other Debtors</v>
          </cell>
          <cell r="AB12">
            <v>6460</v>
          </cell>
          <cell r="AE12">
            <v>1102</v>
          </cell>
          <cell r="AF12" t="str">
            <v>Other Debtors</v>
          </cell>
          <cell r="AG12">
            <v>6460</v>
          </cell>
          <cell r="AJ12">
            <v>1102</v>
          </cell>
          <cell r="AK12" t="str">
            <v>Other Debtors</v>
          </cell>
          <cell r="AL12">
            <v>6460</v>
          </cell>
          <cell r="AO12">
            <v>1102</v>
          </cell>
          <cell r="AP12" t="str">
            <v>Other Debtors</v>
          </cell>
          <cell r="AQ12">
            <v>6460</v>
          </cell>
          <cell r="AT12">
            <v>1102</v>
          </cell>
          <cell r="AU12" t="str">
            <v>Other Debtors</v>
          </cell>
          <cell r="AV12">
            <v>6460</v>
          </cell>
          <cell r="AY12">
            <v>1102</v>
          </cell>
          <cell r="AZ12" t="str">
            <v>Other Debtors</v>
          </cell>
          <cell r="BA12">
            <v>6460</v>
          </cell>
          <cell r="BD12">
            <v>1102</v>
          </cell>
          <cell r="BE12" t="str">
            <v>Other Debtors</v>
          </cell>
          <cell r="BF12">
            <v>6460</v>
          </cell>
          <cell r="BI12">
            <v>1102</v>
          </cell>
          <cell r="BJ12" t="str">
            <v>Other Debtors</v>
          </cell>
          <cell r="BK12">
            <v>16424.37</v>
          </cell>
        </row>
        <row r="13">
          <cell r="A13">
            <v>1103</v>
          </cell>
          <cell r="B13" t="str">
            <v>Prepayments</v>
          </cell>
          <cell r="C13">
            <v>12293.15</v>
          </cell>
          <cell r="F13">
            <v>1103</v>
          </cell>
          <cell r="G13" t="str">
            <v>Prepayments</v>
          </cell>
          <cell r="H13">
            <v>9521.99</v>
          </cell>
          <cell r="K13">
            <v>1103</v>
          </cell>
          <cell r="L13" t="str">
            <v>Prepayments</v>
          </cell>
          <cell r="M13">
            <v>12041.72</v>
          </cell>
          <cell r="P13">
            <v>1103</v>
          </cell>
          <cell r="Q13" t="str">
            <v>Prepayments</v>
          </cell>
          <cell r="R13">
            <v>10525.98</v>
          </cell>
          <cell r="U13">
            <v>1103</v>
          </cell>
          <cell r="V13" t="str">
            <v>Prepayments</v>
          </cell>
          <cell r="W13">
            <v>11037.28</v>
          </cell>
          <cell r="Z13">
            <v>1103</v>
          </cell>
          <cell r="AA13" t="str">
            <v>Prepayments</v>
          </cell>
          <cell r="AB13">
            <v>27872.1</v>
          </cell>
          <cell r="AE13">
            <v>1103</v>
          </cell>
          <cell r="AF13" t="str">
            <v>Prepayments</v>
          </cell>
          <cell r="AG13">
            <v>39727.83</v>
          </cell>
          <cell r="AJ13">
            <v>1103</v>
          </cell>
          <cell r="AK13" t="str">
            <v>Prepayments</v>
          </cell>
          <cell r="AL13">
            <v>23834.93</v>
          </cell>
          <cell r="AO13">
            <v>1103</v>
          </cell>
          <cell r="AP13" t="str">
            <v>Prepayments</v>
          </cell>
          <cell r="AQ13">
            <v>1314.02</v>
          </cell>
          <cell r="AT13">
            <v>1103</v>
          </cell>
          <cell r="AU13" t="str">
            <v>Prepayments</v>
          </cell>
          <cell r="AV13">
            <v>2850.68</v>
          </cell>
          <cell r="AY13">
            <v>1103</v>
          </cell>
          <cell r="AZ13" t="str">
            <v>Prepayments</v>
          </cell>
          <cell r="BA13">
            <v>9320.58</v>
          </cell>
          <cell r="BD13">
            <v>1103</v>
          </cell>
          <cell r="BE13" t="str">
            <v>Prepayments</v>
          </cell>
          <cell r="BF13">
            <v>6723.23</v>
          </cell>
          <cell r="BI13">
            <v>1103</v>
          </cell>
          <cell r="BJ13" t="str">
            <v>Prepayments</v>
          </cell>
          <cell r="BK13">
            <v>13079.01</v>
          </cell>
        </row>
        <row r="14">
          <cell r="A14">
            <v>1104</v>
          </cell>
          <cell r="B14" t="str">
            <v>Debtors - Morrisions</v>
          </cell>
          <cell r="F14">
            <v>1104</v>
          </cell>
          <cell r="G14" t="str">
            <v>Debtors - Morrisions</v>
          </cell>
          <cell r="K14">
            <v>1104</v>
          </cell>
          <cell r="L14" t="str">
            <v>Debtors - Morrisions</v>
          </cell>
          <cell r="P14">
            <v>1104</v>
          </cell>
          <cell r="Q14" t="str">
            <v>Debtors - Morrisions</v>
          </cell>
          <cell r="U14">
            <v>1104</v>
          </cell>
          <cell r="V14" t="str">
            <v>Debtors - Morrisions</v>
          </cell>
          <cell r="Z14">
            <v>1104</v>
          </cell>
          <cell r="AA14" t="str">
            <v>Debtors - Morrisions</v>
          </cell>
          <cell r="AE14">
            <v>1104</v>
          </cell>
          <cell r="AF14" t="str">
            <v>Debtors - Morrisions</v>
          </cell>
          <cell r="AJ14">
            <v>1104</v>
          </cell>
          <cell r="AK14" t="str">
            <v>Debtors - Morrisions</v>
          </cell>
          <cell r="AO14">
            <v>1104</v>
          </cell>
          <cell r="AP14" t="str">
            <v>Debtors - Morrisions</v>
          </cell>
          <cell r="AT14">
            <v>1104</v>
          </cell>
          <cell r="AU14" t="str">
            <v>Prepayment - Morrisions</v>
          </cell>
          <cell r="AY14">
            <v>1104</v>
          </cell>
          <cell r="AZ14" t="str">
            <v>Prepayment - Morrisions</v>
          </cell>
          <cell r="BA14">
            <v>517647.06</v>
          </cell>
          <cell r="BD14">
            <v>1104</v>
          </cell>
          <cell r="BE14" t="str">
            <v>Prepayment - Morrisions</v>
          </cell>
          <cell r="BF14">
            <v>513333.34</v>
          </cell>
          <cell r="BI14">
            <v>1104</v>
          </cell>
          <cell r="BJ14" t="str">
            <v>Prepayment - Morrisions</v>
          </cell>
        </row>
        <row r="15">
          <cell r="A15">
            <v>1105</v>
          </cell>
          <cell r="B15" t="str">
            <v>Property deposit - Brooks</v>
          </cell>
          <cell r="C15">
            <v>19030.04</v>
          </cell>
          <cell r="F15">
            <v>1105</v>
          </cell>
          <cell r="G15" t="str">
            <v>Property deposit - Brooks</v>
          </cell>
          <cell r="H15">
            <v>19030.04</v>
          </cell>
          <cell r="K15">
            <v>1105</v>
          </cell>
          <cell r="L15" t="str">
            <v>Property deposit - Brooks</v>
          </cell>
          <cell r="M15">
            <v>19030.04</v>
          </cell>
          <cell r="P15">
            <v>1105</v>
          </cell>
          <cell r="Q15" t="str">
            <v>Property deposit - Brooks</v>
          </cell>
          <cell r="R15">
            <v>38060.080000000002</v>
          </cell>
          <cell r="U15">
            <v>1105</v>
          </cell>
          <cell r="V15" t="str">
            <v>Property deposit - Brooks</v>
          </cell>
          <cell r="W15">
            <v>38060.080000000002</v>
          </cell>
          <cell r="Z15">
            <v>1105</v>
          </cell>
          <cell r="AA15" t="str">
            <v>Property deposit - Brooks</v>
          </cell>
          <cell r="AB15">
            <v>38060.080000000002</v>
          </cell>
          <cell r="AE15">
            <v>1105</v>
          </cell>
          <cell r="AF15" t="str">
            <v>Property deposit - Brooks</v>
          </cell>
          <cell r="AG15">
            <v>38060.080000000002</v>
          </cell>
          <cell r="AJ15">
            <v>1105</v>
          </cell>
          <cell r="AK15" t="str">
            <v>Property deposit - Brooks</v>
          </cell>
          <cell r="AL15">
            <v>19029.64</v>
          </cell>
          <cell r="AO15">
            <v>1105</v>
          </cell>
          <cell r="AP15" t="str">
            <v>Property deposit - Brooks</v>
          </cell>
          <cell r="AQ15">
            <v>19029.64</v>
          </cell>
          <cell r="AT15">
            <v>1105</v>
          </cell>
          <cell r="AU15" t="str">
            <v>Property deposit - Brooks</v>
          </cell>
          <cell r="AV15">
            <v>19029.64</v>
          </cell>
          <cell r="AY15">
            <v>1105</v>
          </cell>
          <cell r="AZ15" t="str">
            <v>Property deposit - Brooks</v>
          </cell>
          <cell r="BA15">
            <v>19029.64</v>
          </cell>
          <cell r="BD15">
            <v>1105</v>
          </cell>
          <cell r="BE15" t="str">
            <v>Property deposit - Brooks</v>
          </cell>
          <cell r="BF15">
            <v>19029.64</v>
          </cell>
          <cell r="BI15">
            <v>1105</v>
          </cell>
          <cell r="BJ15" t="str">
            <v>Property deposit - Brooks</v>
          </cell>
          <cell r="BK15">
            <v>19029.64</v>
          </cell>
        </row>
        <row r="16">
          <cell r="A16">
            <v>1200</v>
          </cell>
          <cell r="B16" t="str">
            <v>Deutsche Bank (operating account)</v>
          </cell>
          <cell r="C16">
            <v>10576.6</v>
          </cell>
          <cell r="F16">
            <v>1200</v>
          </cell>
          <cell r="G16" t="str">
            <v>Deutsche Bank (operating account)</v>
          </cell>
          <cell r="I16">
            <v>5869.56</v>
          </cell>
          <cell r="K16">
            <v>1200</v>
          </cell>
          <cell r="L16" t="str">
            <v>Deutsche Bank (operating account)</v>
          </cell>
          <cell r="M16">
            <v>10116.69</v>
          </cell>
          <cell r="P16">
            <v>1200</v>
          </cell>
          <cell r="Q16" t="str">
            <v>Deutsche Bank (operating account)</v>
          </cell>
          <cell r="R16">
            <v>8179.69</v>
          </cell>
          <cell r="U16">
            <v>1200</v>
          </cell>
          <cell r="V16" t="str">
            <v>Deutsche Bank (operating account)</v>
          </cell>
          <cell r="W16">
            <v>48324.959999999999</v>
          </cell>
          <cell r="Z16">
            <v>1200</v>
          </cell>
          <cell r="AA16" t="str">
            <v>Deutsche Bank (operating account)</v>
          </cell>
          <cell r="AB16">
            <v>792377.78</v>
          </cell>
          <cell r="AE16">
            <v>1200</v>
          </cell>
          <cell r="AF16" t="str">
            <v>Deutsche Bank (operating account)</v>
          </cell>
          <cell r="AG16">
            <v>41461.1</v>
          </cell>
          <cell r="AJ16">
            <v>1110</v>
          </cell>
          <cell r="AK16" t="str">
            <v>Intercompany - Blackhawk Australia</v>
          </cell>
          <cell r="AL16">
            <v>63075.82</v>
          </cell>
          <cell r="AO16">
            <v>1110</v>
          </cell>
          <cell r="AP16" t="str">
            <v>Intercompany - Blackhawk Australia</v>
          </cell>
          <cell r="AQ16">
            <v>63075.82</v>
          </cell>
          <cell r="AT16">
            <v>1110</v>
          </cell>
          <cell r="AU16" t="str">
            <v>Intercompany - Blackhawk Australia</v>
          </cell>
          <cell r="AV16">
            <v>63075.82</v>
          </cell>
          <cell r="AY16">
            <v>1110</v>
          </cell>
          <cell r="AZ16" t="str">
            <v>Intercompany - Blackhawk Australia</v>
          </cell>
          <cell r="BA16">
            <v>63075.82</v>
          </cell>
          <cell r="BD16">
            <v>1106</v>
          </cell>
          <cell r="BE16" t="str">
            <v>Prepayment - Martin McColl</v>
          </cell>
          <cell r="BF16">
            <v>67692.3</v>
          </cell>
          <cell r="BI16">
            <v>1106</v>
          </cell>
          <cell r="BJ16" t="str">
            <v>Prepayment - Martin McColl</v>
          </cell>
        </row>
        <row r="17">
          <cell r="A17">
            <v>1230</v>
          </cell>
          <cell r="B17" t="str">
            <v>Petty Cash</v>
          </cell>
          <cell r="F17">
            <v>1230</v>
          </cell>
          <cell r="G17" t="str">
            <v>Petty Cash</v>
          </cell>
          <cell r="K17">
            <v>1230</v>
          </cell>
          <cell r="L17" t="str">
            <v>Petty Cash</v>
          </cell>
          <cell r="P17">
            <v>1230</v>
          </cell>
          <cell r="Q17" t="str">
            <v>Petty Cash</v>
          </cell>
          <cell r="R17">
            <v>84.1</v>
          </cell>
          <cell r="U17">
            <v>1230</v>
          </cell>
          <cell r="V17" t="str">
            <v>Petty Cash</v>
          </cell>
          <cell r="X17">
            <v>31.12</v>
          </cell>
          <cell r="Z17">
            <v>1230</v>
          </cell>
          <cell r="AA17" t="str">
            <v>Petty Cash</v>
          </cell>
          <cell r="AB17">
            <v>55.61</v>
          </cell>
          <cell r="AE17">
            <v>1220</v>
          </cell>
          <cell r="AF17" t="str">
            <v>Deutsche Bank (investment)</v>
          </cell>
          <cell r="AG17">
            <v>748000</v>
          </cell>
          <cell r="AJ17">
            <v>1200</v>
          </cell>
          <cell r="AK17" t="str">
            <v>Deutsche Bank (operating account)</v>
          </cell>
          <cell r="AL17">
            <v>124520.32000000001</v>
          </cell>
          <cell r="AO17">
            <v>1200</v>
          </cell>
          <cell r="AP17" t="str">
            <v>Deutsche Bank (operating account)</v>
          </cell>
          <cell r="AQ17">
            <v>120987.47</v>
          </cell>
          <cell r="AT17">
            <v>1200</v>
          </cell>
          <cell r="AU17" t="str">
            <v>Deutsche Bank (operating account)</v>
          </cell>
          <cell r="AV17">
            <v>115113.74</v>
          </cell>
          <cell r="AY17">
            <v>1200</v>
          </cell>
          <cell r="AZ17" t="str">
            <v>Deutsche Bank (operating account)</v>
          </cell>
          <cell r="BA17">
            <v>111958.03</v>
          </cell>
          <cell r="BD17">
            <v>1110</v>
          </cell>
          <cell r="BE17" t="str">
            <v>Intercompany - Blackhawk Australia</v>
          </cell>
          <cell r="BF17">
            <v>63075.82</v>
          </cell>
          <cell r="BI17">
            <v>1110</v>
          </cell>
          <cell r="BJ17" t="str">
            <v>Intercompany - Blackhawk Australia</v>
          </cell>
          <cell r="BK17">
            <v>63075.82</v>
          </cell>
        </row>
        <row r="18">
          <cell r="A18">
            <v>1240</v>
          </cell>
          <cell r="B18" t="str">
            <v>Inter-company account - Blackhawk Network (US)</v>
          </cell>
          <cell r="D18">
            <v>762512.52</v>
          </cell>
          <cell r="F18">
            <v>1240</v>
          </cell>
          <cell r="G18" t="str">
            <v>Inter-company account - Blackhawk Network (US)</v>
          </cell>
          <cell r="I18">
            <v>874522.71</v>
          </cell>
          <cell r="K18">
            <v>1240</v>
          </cell>
          <cell r="L18" t="str">
            <v>Inter-company account - Blackhawk Network (US)</v>
          </cell>
          <cell r="N18">
            <v>827765.19</v>
          </cell>
          <cell r="P18">
            <v>1240</v>
          </cell>
          <cell r="Q18" t="str">
            <v>Inter-company account - Blackhawk Network (US)</v>
          </cell>
          <cell r="S18">
            <v>1774847.3</v>
          </cell>
          <cell r="U18">
            <v>1240</v>
          </cell>
          <cell r="V18" t="str">
            <v>Inter-company account - Blackhawk Network (US)</v>
          </cell>
          <cell r="X18">
            <v>1776635.97</v>
          </cell>
          <cell r="Z18">
            <v>1240</v>
          </cell>
          <cell r="AA18" t="str">
            <v>Inter-company account - Blackhawk Network (US)</v>
          </cell>
          <cell r="AC18">
            <v>2966374.6</v>
          </cell>
          <cell r="AE18">
            <v>1230</v>
          </cell>
          <cell r="AF18" t="str">
            <v>Petty Cash</v>
          </cell>
          <cell r="AG18">
            <v>47.73</v>
          </cell>
          <cell r="AJ18">
            <v>1220</v>
          </cell>
          <cell r="AK18" t="str">
            <v>Deutsche Bank (investment)</v>
          </cell>
          <cell r="AL18">
            <v>748000</v>
          </cell>
          <cell r="AO18">
            <v>1220</v>
          </cell>
          <cell r="AP18" t="str">
            <v>Deutsche Bank (investment)</v>
          </cell>
          <cell r="AQ18">
            <v>748000</v>
          </cell>
          <cell r="AT18">
            <v>1220</v>
          </cell>
          <cell r="AU18" t="str">
            <v>Deutsche Bank (investment)</v>
          </cell>
          <cell r="AV18">
            <v>748000</v>
          </cell>
          <cell r="AY18">
            <v>1220</v>
          </cell>
          <cell r="AZ18" t="str">
            <v>Deutsche Bank (investment)</v>
          </cell>
          <cell r="BA18">
            <v>748000</v>
          </cell>
          <cell r="BD18">
            <v>1200</v>
          </cell>
          <cell r="BE18" t="str">
            <v>Deutsche Bank (operating account)</v>
          </cell>
          <cell r="BF18">
            <v>254218.12</v>
          </cell>
          <cell r="BI18">
            <v>1200</v>
          </cell>
          <cell r="BJ18" t="str">
            <v>Deutsche Bank (operating account)</v>
          </cell>
          <cell r="BK18">
            <v>472511.05</v>
          </cell>
        </row>
        <row r="19">
          <cell r="A19">
            <v>1241</v>
          </cell>
          <cell r="B19" t="str">
            <v>Blackhawk US - card partner payments</v>
          </cell>
          <cell r="C19">
            <v>22608.46</v>
          </cell>
          <cell r="F19">
            <v>1241</v>
          </cell>
          <cell r="G19" t="str">
            <v>Blackhawk US - card partner payments</v>
          </cell>
          <cell r="H19">
            <v>26920.81</v>
          </cell>
          <cell r="K19">
            <v>1241</v>
          </cell>
          <cell r="L19" t="str">
            <v>Blackhawk US - card partner payments</v>
          </cell>
          <cell r="M19">
            <v>26920.81</v>
          </cell>
          <cell r="P19">
            <v>1241</v>
          </cell>
          <cell r="Q19" t="str">
            <v>Blackhawk US - card partner payments</v>
          </cell>
          <cell r="R19">
            <v>35440.639999999999</v>
          </cell>
          <cell r="U19">
            <v>1241</v>
          </cell>
          <cell r="V19" t="str">
            <v>Blackhawk US - card partner payments</v>
          </cell>
          <cell r="W19">
            <v>83018.89</v>
          </cell>
          <cell r="Z19">
            <v>1241</v>
          </cell>
          <cell r="AA19" t="str">
            <v>Blackhawk US - card partner payments</v>
          </cell>
          <cell r="AB19">
            <v>83018.89</v>
          </cell>
          <cell r="AE19">
            <v>1240</v>
          </cell>
          <cell r="AF19" t="str">
            <v>Inter-company account - Blackhawk Network (US)</v>
          </cell>
          <cell r="AH19">
            <v>3030618.55</v>
          </cell>
          <cell r="AJ19">
            <v>1230</v>
          </cell>
          <cell r="AK19" t="str">
            <v>Petty Cash</v>
          </cell>
          <cell r="AL19">
            <v>25.11</v>
          </cell>
          <cell r="AO19">
            <v>1230</v>
          </cell>
          <cell r="AP19" t="str">
            <v>Petty Cash</v>
          </cell>
          <cell r="AR19">
            <v>88.32</v>
          </cell>
          <cell r="AT19">
            <v>1230</v>
          </cell>
          <cell r="AU19" t="str">
            <v>Petty Cash</v>
          </cell>
          <cell r="AV19">
            <v>150</v>
          </cell>
          <cell r="AY19">
            <v>1230</v>
          </cell>
          <cell r="AZ19" t="str">
            <v>Petty Cash</v>
          </cell>
          <cell r="BA19">
            <v>150</v>
          </cell>
          <cell r="BD19">
            <v>1220</v>
          </cell>
          <cell r="BE19" t="str">
            <v>Deutsche Bank (investment)</v>
          </cell>
          <cell r="BF19">
            <v>748000</v>
          </cell>
          <cell r="BI19">
            <v>1210</v>
          </cell>
          <cell r="BJ19" t="str">
            <v>Deutsche Bank (EMLI settlement)</v>
          </cell>
          <cell r="BK19">
            <v>40000</v>
          </cell>
        </row>
        <row r="20">
          <cell r="A20">
            <v>1250</v>
          </cell>
          <cell r="B20" t="str">
            <v>Thomas Westcott client account</v>
          </cell>
          <cell r="F20">
            <v>1250</v>
          </cell>
          <cell r="G20" t="str">
            <v>Thomas Westcott client account</v>
          </cell>
          <cell r="H20">
            <v>19027.11</v>
          </cell>
          <cell r="K20">
            <v>1250</v>
          </cell>
          <cell r="L20" t="str">
            <v>Thomas Westcott client account</v>
          </cell>
          <cell r="M20">
            <v>6</v>
          </cell>
          <cell r="P20">
            <v>1250</v>
          </cell>
          <cell r="Q20" t="str">
            <v>Thomas Westcott client account</v>
          </cell>
          <cell r="R20">
            <v>234919.86</v>
          </cell>
          <cell r="U20">
            <v>1250</v>
          </cell>
          <cell r="V20" t="str">
            <v>Thomas Westcott client account</v>
          </cell>
          <cell r="W20">
            <v>29259.77</v>
          </cell>
          <cell r="Z20">
            <v>1250</v>
          </cell>
          <cell r="AA20" t="str">
            <v>Thomas Westcott client account</v>
          </cell>
          <cell r="AB20">
            <v>312283.74</v>
          </cell>
          <cell r="AE20">
            <v>1241</v>
          </cell>
          <cell r="AF20" t="str">
            <v>Blackhawk US - card partner payments</v>
          </cell>
          <cell r="AJ20">
            <v>1240</v>
          </cell>
          <cell r="AK20" t="str">
            <v>Inter-company account - Blackhawk Network (US)</v>
          </cell>
          <cell r="AM20">
            <v>3507078.88</v>
          </cell>
          <cell r="AO20">
            <v>1240</v>
          </cell>
          <cell r="AP20" t="str">
            <v>Inter-company account - Blackhawk Network (US)</v>
          </cell>
          <cell r="AR20">
            <v>2844073.01</v>
          </cell>
          <cell r="AT20">
            <v>1240</v>
          </cell>
          <cell r="AU20" t="str">
            <v>Inter-company account - Blackhawk Network (US)</v>
          </cell>
          <cell r="AW20">
            <v>3295538.37</v>
          </cell>
          <cell r="AY20">
            <v>1240</v>
          </cell>
          <cell r="AZ20" t="str">
            <v>Inter-company account - Blackhawk Network (US)</v>
          </cell>
          <cell r="BB20">
            <v>3486402.16</v>
          </cell>
          <cell r="BD20">
            <v>1230</v>
          </cell>
          <cell r="BE20" t="str">
            <v>Petty Cash</v>
          </cell>
          <cell r="BF20">
            <v>150</v>
          </cell>
          <cell r="BI20">
            <v>1220</v>
          </cell>
          <cell r="BJ20" t="str">
            <v>Deutsche Bank (investment)</v>
          </cell>
          <cell r="BK20">
            <v>748000</v>
          </cell>
        </row>
        <row r="21">
          <cell r="A21">
            <v>1260</v>
          </cell>
          <cell r="B21" t="str">
            <v>Building society account (R Atkinson)</v>
          </cell>
          <cell r="D21">
            <v>2058.27</v>
          </cell>
          <cell r="F21">
            <v>1260</v>
          </cell>
          <cell r="G21" t="str">
            <v>Building society account (R Atkinson)</v>
          </cell>
          <cell r="I21">
            <v>2058.27</v>
          </cell>
          <cell r="K21">
            <v>1260</v>
          </cell>
          <cell r="L21" t="str">
            <v>Building society account (R Atkinson)</v>
          </cell>
          <cell r="N21">
            <v>2058.27</v>
          </cell>
          <cell r="P21">
            <v>1260</v>
          </cell>
          <cell r="Q21" t="str">
            <v>Building society account (R Atkinson)</v>
          </cell>
          <cell r="S21">
            <v>2058.27</v>
          </cell>
          <cell r="U21">
            <v>1260</v>
          </cell>
          <cell r="V21" t="str">
            <v>Building society account (R Atkinson)</v>
          </cell>
          <cell r="X21">
            <v>2058.27</v>
          </cell>
          <cell r="Z21">
            <v>1260</v>
          </cell>
          <cell r="AA21" t="str">
            <v>Building society account (R Atkinson)</v>
          </cell>
          <cell r="AC21">
            <v>2058.27</v>
          </cell>
          <cell r="AE21">
            <v>1250</v>
          </cell>
          <cell r="AF21" t="str">
            <v>Thomas Westcott client account</v>
          </cell>
          <cell r="AG21">
            <v>235255.39</v>
          </cell>
          <cell r="AJ21">
            <v>1241</v>
          </cell>
          <cell r="AK21" t="str">
            <v>Blackhawk US - card partner payments</v>
          </cell>
          <cell r="AO21">
            <v>1241</v>
          </cell>
          <cell r="AP21" t="str">
            <v>Blackhawk US - card partner payments</v>
          </cell>
          <cell r="AT21">
            <v>1241</v>
          </cell>
          <cell r="AU21" t="str">
            <v>Blackhawk US - card partner payments</v>
          </cell>
          <cell r="AY21">
            <v>1241</v>
          </cell>
          <cell r="AZ21" t="str">
            <v>Blackhawk US - card partner payments</v>
          </cell>
          <cell r="BD21">
            <v>1240</v>
          </cell>
          <cell r="BE21" t="str">
            <v>Inter-company account - Blackhawk Network (US)</v>
          </cell>
          <cell r="BG21">
            <v>3088727.66</v>
          </cell>
          <cell r="BI21">
            <v>1230</v>
          </cell>
          <cell r="BJ21" t="str">
            <v>Petty Cash</v>
          </cell>
          <cell r="BK21">
            <v>150</v>
          </cell>
        </row>
        <row r="22">
          <cell r="A22">
            <v>1280</v>
          </cell>
          <cell r="B22" t="str">
            <v>Not in use</v>
          </cell>
          <cell r="F22">
            <v>1270</v>
          </cell>
          <cell r="G22" t="str">
            <v>Not in use</v>
          </cell>
          <cell r="K22">
            <v>1270</v>
          </cell>
          <cell r="L22" t="str">
            <v>Not in use</v>
          </cell>
          <cell r="P22">
            <v>1270</v>
          </cell>
          <cell r="Q22" t="str">
            <v>Not in use</v>
          </cell>
          <cell r="U22">
            <v>1270</v>
          </cell>
          <cell r="V22" t="str">
            <v>Not in use</v>
          </cell>
          <cell r="Z22">
            <v>1270</v>
          </cell>
          <cell r="AA22" t="str">
            <v>Not in use</v>
          </cell>
          <cell r="AE22">
            <v>1260</v>
          </cell>
          <cell r="AF22" t="str">
            <v>Building society account (R Atkinson)</v>
          </cell>
          <cell r="AH22">
            <v>2058.27</v>
          </cell>
          <cell r="AJ22">
            <v>1250</v>
          </cell>
          <cell r="AK22" t="str">
            <v>Thomas Westcott client account</v>
          </cell>
          <cell r="AL22">
            <v>354842.86</v>
          </cell>
          <cell r="AO22">
            <v>1250</v>
          </cell>
          <cell r="AP22" t="str">
            <v>Thomas Westcott client account</v>
          </cell>
          <cell r="AQ22">
            <v>539331.56999999995</v>
          </cell>
          <cell r="AT22">
            <v>1250</v>
          </cell>
          <cell r="AU22" t="str">
            <v>Thomas Westcott client account</v>
          </cell>
          <cell r="AV22">
            <v>624521.86</v>
          </cell>
          <cell r="AY22">
            <v>1250</v>
          </cell>
          <cell r="AZ22" t="str">
            <v>Thomas Westcott client account</v>
          </cell>
          <cell r="BA22">
            <v>675767.44</v>
          </cell>
          <cell r="BD22">
            <v>1241</v>
          </cell>
          <cell r="BE22" t="str">
            <v>Blackhawk US - card partner payments</v>
          </cell>
          <cell r="BI22">
            <v>1240</v>
          </cell>
          <cell r="BJ22" t="str">
            <v>Inter-company account - Blackhawk Network Inc</v>
          </cell>
          <cell r="BL22">
            <v>3461590.95</v>
          </cell>
        </row>
        <row r="23">
          <cell r="A23">
            <v>2100</v>
          </cell>
          <cell r="B23" t="str">
            <v>Creditors Control Account (AP ledger)</v>
          </cell>
          <cell r="D23">
            <v>24549.040000000001</v>
          </cell>
          <cell r="F23">
            <v>1280</v>
          </cell>
          <cell r="G23" t="str">
            <v>Not in use</v>
          </cell>
          <cell r="K23">
            <v>1280</v>
          </cell>
          <cell r="L23" t="str">
            <v>Not in use</v>
          </cell>
          <cell r="P23">
            <v>1280</v>
          </cell>
          <cell r="Q23" t="str">
            <v>Not in use</v>
          </cell>
          <cell r="U23">
            <v>1280</v>
          </cell>
          <cell r="V23" t="str">
            <v>Not in use</v>
          </cell>
          <cell r="Z23">
            <v>1280</v>
          </cell>
          <cell r="AA23" t="str">
            <v>Not in use</v>
          </cell>
          <cell r="AE23">
            <v>1270</v>
          </cell>
          <cell r="AF23" t="str">
            <v>Not in use</v>
          </cell>
          <cell r="AJ23">
            <v>1260</v>
          </cell>
          <cell r="AK23" t="str">
            <v>Building society account (R Atkinson)</v>
          </cell>
          <cell r="AM23">
            <v>2058.27</v>
          </cell>
          <cell r="AO23">
            <v>1260</v>
          </cell>
          <cell r="AP23" t="str">
            <v>Building society account (R Atkinson)</v>
          </cell>
          <cell r="AR23">
            <v>2058.27</v>
          </cell>
          <cell r="AT23">
            <v>1260</v>
          </cell>
          <cell r="AU23" t="str">
            <v>Building society account (R Atkinson)</v>
          </cell>
          <cell r="AW23">
            <v>2058.27</v>
          </cell>
          <cell r="AY23">
            <v>1260</v>
          </cell>
          <cell r="AZ23" t="str">
            <v>Building society account (R Atkinson)</v>
          </cell>
          <cell r="BB23">
            <v>2058.27</v>
          </cell>
          <cell r="BD23">
            <v>1250</v>
          </cell>
          <cell r="BE23" t="str">
            <v>Thomas Westcott client account</v>
          </cell>
          <cell r="BF23">
            <v>0</v>
          </cell>
          <cell r="BI23">
            <v>1241</v>
          </cell>
          <cell r="BJ23" t="str">
            <v>Blackhawk US - card partner payments</v>
          </cell>
        </row>
        <row r="24">
          <cell r="A24">
            <v>2103</v>
          </cell>
          <cell r="B24" t="str">
            <v>Creditors - Debenhams</v>
          </cell>
          <cell r="F24">
            <v>2100</v>
          </cell>
          <cell r="G24" t="str">
            <v>Creditors Control Account (AP ledger)</v>
          </cell>
          <cell r="I24">
            <v>54725.94</v>
          </cell>
          <cell r="K24">
            <v>2100</v>
          </cell>
          <cell r="L24" t="str">
            <v>Creditors Control Account (AP ledger)</v>
          </cell>
          <cell r="N24">
            <v>54813.86</v>
          </cell>
          <cell r="P24">
            <v>2100</v>
          </cell>
          <cell r="Q24" t="str">
            <v>Creditors Control Account (AP ledger)</v>
          </cell>
          <cell r="S24">
            <v>123481.8</v>
          </cell>
          <cell r="U24">
            <v>2100</v>
          </cell>
          <cell r="V24" t="str">
            <v>Creditors Control Account (AP ledger)</v>
          </cell>
          <cell r="X24">
            <v>181086.83</v>
          </cell>
          <cell r="Z24">
            <v>2100</v>
          </cell>
          <cell r="AA24" t="str">
            <v>Creditors Control Account (AP ledger)</v>
          </cell>
          <cell r="AC24">
            <v>120101.69</v>
          </cell>
          <cell r="AE24">
            <v>1280</v>
          </cell>
          <cell r="AF24" t="str">
            <v>Not in use</v>
          </cell>
          <cell r="AJ24">
            <v>1270</v>
          </cell>
          <cell r="AK24" t="str">
            <v>Not in use</v>
          </cell>
          <cell r="AO24">
            <v>1270</v>
          </cell>
          <cell r="AP24" t="str">
            <v>Not in use</v>
          </cell>
          <cell r="AT24">
            <v>1270</v>
          </cell>
          <cell r="AU24" t="str">
            <v>Not in use</v>
          </cell>
          <cell r="AY24">
            <v>1270</v>
          </cell>
          <cell r="AZ24" t="str">
            <v>Not in use</v>
          </cell>
          <cell r="BD24">
            <v>1260</v>
          </cell>
          <cell r="BE24" t="str">
            <v>Building society account (R Atkinson)</v>
          </cell>
          <cell r="BG24">
            <v>2058.27</v>
          </cell>
          <cell r="BI24">
            <v>1250</v>
          </cell>
          <cell r="BJ24" t="str">
            <v>Thomas Westcott client account</v>
          </cell>
        </row>
        <row r="25">
          <cell r="A25">
            <v>2104</v>
          </cell>
          <cell r="B25" t="str">
            <v>Creditors - Arcadia</v>
          </cell>
          <cell r="F25">
            <v>2103</v>
          </cell>
          <cell r="G25" t="str">
            <v>Creditors - Debenhams</v>
          </cell>
          <cell r="K25">
            <v>2103</v>
          </cell>
          <cell r="L25" t="str">
            <v>Creditors - Debenhams</v>
          </cell>
          <cell r="P25">
            <v>2103</v>
          </cell>
          <cell r="Q25" t="str">
            <v>Creditors - Debenhams</v>
          </cell>
          <cell r="U25">
            <v>2103</v>
          </cell>
          <cell r="V25" t="str">
            <v>Creditors - Debenhams</v>
          </cell>
          <cell r="Z25">
            <v>2103</v>
          </cell>
          <cell r="AA25" t="str">
            <v>Creditors - Debenhams</v>
          </cell>
          <cell r="AE25">
            <v>2100</v>
          </cell>
          <cell r="AF25" t="str">
            <v>Creditors Control Account (AP ledger)</v>
          </cell>
          <cell r="AH25">
            <v>54788.45</v>
          </cell>
          <cell r="AJ25">
            <v>1280</v>
          </cell>
          <cell r="AK25" t="str">
            <v>Not in use</v>
          </cell>
          <cell r="AO25">
            <v>1280</v>
          </cell>
          <cell r="AP25" t="str">
            <v>Not in use</v>
          </cell>
          <cell r="AT25">
            <v>1280</v>
          </cell>
          <cell r="AU25" t="str">
            <v>Not in use</v>
          </cell>
          <cell r="AY25">
            <v>1280</v>
          </cell>
          <cell r="AZ25" t="str">
            <v>Not in use</v>
          </cell>
          <cell r="BD25">
            <v>1270</v>
          </cell>
          <cell r="BE25" t="str">
            <v>Not in use</v>
          </cell>
          <cell r="BG25">
            <v>0</v>
          </cell>
          <cell r="BI25">
            <v>1260</v>
          </cell>
          <cell r="BJ25" t="str">
            <v>Building society account (R Atkinson)</v>
          </cell>
          <cell r="BL25">
            <v>2058.27</v>
          </cell>
        </row>
        <row r="26">
          <cell r="A26">
            <v>2105</v>
          </cell>
          <cell r="B26" t="str">
            <v>Creditors - Virgin Megastore</v>
          </cell>
          <cell r="F26">
            <v>2104</v>
          </cell>
          <cell r="G26" t="str">
            <v>Creditors - Arcadia</v>
          </cell>
          <cell r="K26">
            <v>2104</v>
          </cell>
          <cell r="L26" t="str">
            <v>Creditors - Arcadia</v>
          </cell>
          <cell r="P26">
            <v>2104</v>
          </cell>
          <cell r="Q26" t="str">
            <v>Creditors - Arcadia</v>
          </cell>
          <cell r="U26">
            <v>2104</v>
          </cell>
          <cell r="V26" t="str">
            <v>Creditors - Arcadia</v>
          </cell>
          <cell r="Z26">
            <v>2104</v>
          </cell>
          <cell r="AA26" t="str">
            <v>Creditors - Arcadia</v>
          </cell>
          <cell r="AE26">
            <v>2103</v>
          </cell>
          <cell r="AF26" t="str">
            <v>Creditors - Debenhams</v>
          </cell>
          <cell r="AJ26">
            <v>2100</v>
          </cell>
          <cell r="AK26" t="str">
            <v>Creditors Control Account (AP ledger)</v>
          </cell>
          <cell r="AM26">
            <v>63255.12</v>
          </cell>
          <cell r="AO26">
            <v>2100</v>
          </cell>
          <cell r="AP26" t="str">
            <v>Creditors Control Account (AP ledger)</v>
          </cell>
          <cell r="AR26">
            <v>55177.07</v>
          </cell>
          <cell r="AT26">
            <v>148310</v>
          </cell>
          <cell r="AU26" t="str">
            <v>Deposits - corporate</v>
          </cell>
          <cell r="AV26">
            <v>250000</v>
          </cell>
          <cell r="AY26">
            <v>148310</v>
          </cell>
          <cell r="AZ26" t="str">
            <v>Deposits - corporate</v>
          </cell>
          <cell r="BA26">
            <v>250000</v>
          </cell>
          <cell r="BD26">
            <v>1280</v>
          </cell>
          <cell r="BE26" t="str">
            <v>Not in use</v>
          </cell>
          <cell r="BG26">
            <v>0</v>
          </cell>
          <cell r="BI26">
            <v>1270</v>
          </cell>
          <cell r="BJ26" t="str">
            <v>Not in use</v>
          </cell>
        </row>
        <row r="27">
          <cell r="A27">
            <v>2106</v>
          </cell>
          <cell r="B27" t="str">
            <v>Creditors - Prepay Tech</v>
          </cell>
          <cell r="F27">
            <v>2105</v>
          </cell>
          <cell r="G27" t="str">
            <v>Creditors - Virgin Megastore</v>
          </cell>
          <cell r="K27">
            <v>2105</v>
          </cell>
          <cell r="L27" t="str">
            <v>Creditors - Virgin Megastore</v>
          </cell>
          <cell r="P27">
            <v>2105</v>
          </cell>
          <cell r="Q27" t="str">
            <v>Creditors - Virgin Megastore</v>
          </cell>
          <cell r="U27">
            <v>2105</v>
          </cell>
          <cell r="V27" t="str">
            <v>Creditors - Virgin Megastore</v>
          </cell>
          <cell r="Z27">
            <v>2105</v>
          </cell>
          <cell r="AA27" t="str">
            <v>Creditors - Virgin Megastore</v>
          </cell>
          <cell r="AE27">
            <v>2104</v>
          </cell>
          <cell r="AF27" t="str">
            <v>Creditors - Arcadia</v>
          </cell>
          <cell r="AJ27">
            <v>2103</v>
          </cell>
          <cell r="AK27" t="str">
            <v>Creditors - Debenhams</v>
          </cell>
          <cell r="AO27">
            <v>2103</v>
          </cell>
          <cell r="AP27" t="str">
            <v>Creditors - Debenhams</v>
          </cell>
          <cell r="AT27">
            <v>2100</v>
          </cell>
          <cell r="AU27" t="str">
            <v>Creditors Control Account (AP ledger)</v>
          </cell>
          <cell r="AW27">
            <v>54911.67</v>
          </cell>
          <cell r="AY27">
            <v>2100</v>
          </cell>
          <cell r="AZ27" t="str">
            <v>Creditors Control Account (AP ledger)</v>
          </cell>
          <cell r="BB27">
            <v>758771.5</v>
          </cell>
          <cell r="BD27">
            <v>148310</v>
          </cell>
          <cell r="BE27" t="str">
            <v>Deposits - corporate</v>
          </cell>
          <cell r="BF27">
            <v>250000</v>
          </cell>
          <cell r="BI27">
            <v>1280</v>
          </cell>
          <cell r="BJ27" t="str">
            <v>Not in use</v>
          </cell>
        </row>
        <row r="28">
          <cell r="A28">
            <v>2107</v>
          </cell>
          <cell r="B28" t="str">
            <v>Creditor - Virgin Experiences</v>
          </cell>
          <cell r="F28">
            <v>2106</v>
          </cell>
          <cell r="G28" t="str">
            <v>Creditors - Prepay Tech</v>
          </cell>
          <cell r="K28">
            <v>2106</v>
          </cell>
          <cell r="L28" t="str">
            <v>Creditors - Prepay Tech</v>
          </cell>
          <cell r="P28">
            <v>2106</v>
          </cell>
          <cell r="Q28" t="str">
            <v>Creditors - Prepay Tech</v>
          </cell>
          <cell r="U28">
            <v>2106</v>
          </cell>
          <cell r="V28" t="str">
            <v>Creditors - Prepay Tech</v>
          </cell>
          <cell r="Z28">
            <v>2106</v>
          </cell>
          <cell r="AA28" t="str">
            <v>Creditors - Prepay Tech</v>
          </cell>
          <cell r="AE28">
            <v>2105</v>
          </cell>
          <cell r="AF28" t="str">
            <v>Creditors - Virgin Megastore</v>
          </cell>
          <cell r="AJ28">
            <v>2104</v>
          </cell>
          <cell r="AK28" t="str">
            <v>Creditors - Arcadia</v>
          </cell>
          <cell r="AO28">
            <v>2104</v>
          </cell>
          <cell r="AP28" t="str">
            <v>Creditors - Arcadia</v>
          </cell>
          <cell r="AT28">
            <v>2103</v>
          </cell>
          <cell r="AU28" t="str">
            <v>Creditors - Debenhams</v>
          </cell>
          <cell r="AY28">
            <v>2101</v>
          </cell>
          <cell r="AZ28" t="str">
            <v>Sundry Creditors</v>
          </cell>
          <cell r="BD28">
            <v>2100</v>
          </cell>
          <cell r="BE28" t="str">
            <v>Creditors Control Account (AP ledger)</v>
          </cell>
          <cell r="BG28">
            <v>805819</v>
          </cell>
          <cell r="BI28">
            <v>148310</v>
          </cell>
          <cell r="BJ28" t="str">
            <v>Deposits - corporate</v>
          </cell>
          <cell r="BK28">
            <v>250000</v>
          </cell>
        </row>
        <row r="29">
          <cell r="A29">
            <v>2109</v>
          </cell>
          <cell r="B29" t="str">
            <v>Accruals</v>
          </cell>
          <cell r="D29">
            <v>48660.639999999999</v>
          </cell>
          <cell r="F29">
            <v>2107</v>
          </cell>
          <cell r="G29" t="str">
            <v>Creditor - Virgin Experiences</v>
          </cell>
          <cell r="K29">
            <v>2107</v>
          </cell>
          <cell r="L29" t="str">
            <v>Creditor - Virgin Experiences</v>
          </cell>
          <cell r="P29">
            <v>2107</v>
          </cell>
          <cell r="Q29" t="str">
            <v>Creditor - Virgin Experiences</v>
          </cell>
          <cell r="U29">
            <v>2107</v>
          </cell>
          <cell r="V29" t="str">
            <v>Creditor - Virgin Experiences</v>
          </cell>
          <cell r="Z29">
            <v>2107</v>
          </cell>
          <cell r="AA29" t="str">
            <v>Creditor - Virgin Experiences</v>
          </cell>
          <cell r="AE29">
            <v>2106</v>
          </cell>
          <cell r="AF29" t="str">
            <v>Creditors - Prepay Tech</v>
          </cell>
          <cell r="AJ29">
            <v>2105</v>
          </cell>
          <cell r="AK29" t="str">
            <v>Creditors - Virgin Megastore</v>
          </cell>
          <cell r="AO29">
            <v>2105</v>
          </cell>
          <cell r="AP29" t="str">
            <v>Creditors - Virgin Megastore</v>
          </cell>
          <cell r="AT29">
            <v>2104</v>
          </cell>
          <cell r="AU29" t="str">
            <v>Creditors - Arcadia</v>
          </cell>
          <cell r="AY29">
            <v>2103</v>
          </cell>
          <cell r="AZ29" t="str">
            <v>Creditors - Debenhams</v>
          </cell>
          <cell r="BD29">
            <v>2101</v>
          </cell>
          <cell r="BE29" t="str">
            <v>Sundry Creditors</v>
          </cell>
          <cell r="BI29">
            <v>2100</v>
          </cell>
          <cell r="BJ29" t="str">
            <v>Creditors Control Account (AP ledger)</v>
          </cell>
          <cell r="BL29">
            <v>108120.56</v>
          </cell>
        </row>
        <row r="30">
          <cell r="A30">
            <v>2200</v>
          </cell>
          <cell r="B30" t="str">
            <v>Sales Tax Control Account</v>
          </cell>
          <cell r="C30">
            <v>341.06</v>
          </cell>
          <cell r="F30">
            <v>2109</v>
          </cell>
          <cell r="G30" t="str">
            <v>Accruals</v>
          </cell>
          <cell r="I30">
            <v>43031</v>
          </cell>
          <cell r="K30">
            <v>2109</v>
          </cell>
          <cell r="L30" t="str">
            <v>Accruals</v>
          </cell>
          <cell r="N30">
            <v>50849.91</v>
          </cell>
          <cell r="P30">
            <v>2109</v>
          </cell>
          <cell r="Q30" t="str">
            <v>Accruals</v>
          </cell>
          <cell r="S30">
            <v>86682.25</v>
          </cell>
          <cell r="U30">
            <v>2109</v>
          </cell>
          <cell r="V30" t="str">
            <v>Accruals</v>
          </cell>
          <cell r="X30">
            <v>96418.82</v>
          </cell>
          <cell r="Z30">
            <v>2109</v>
          </cell>
          <cell r="AA30" t="str">
            <v>Accruals</v>
          </cell>
          <cell r="AC30">
            <v>126475.98</v>
          </cell>
          <cell r="AE30">
            <v>2107</v>
          </cell>
          <cell r="AF30" t="str">
            <v>Creditor - Virgin Experiences</v>
          </cell>
          <cell r="AJ30">
            <v>2106</v>
          </cell>
          <cell r="AK30" t="str">
            <v>Creditors - Prepay Tech</v>
          </cell>
          <cell r="AO30">
            <v>2106</v>
          </cell>
          <cell r="AP30" t="str">
            <v>Creditors - Prepay Tech</v>
          </cell>
          <cell r="AT30">
            <v>2105</v>
          </cell>
          <cell r="AU30" t="str">
            <v>Creditors - Virgin Megastore</v>
          </cell>
          <cell r="AY30">
            <v>2104</v>
          </cell>
          <cell r="AZ30" t="str">
            <v>Creditors - Arcadia</v>
          </cell>
          <cell r="BD30">
            <v>2103</v>
          </cell>
          <cell r="BE30" t="str">
            <v>Creditors - Debenhams</v>
          </cell>
          <cell r="BG30">
            <v>0</v>
          </cell>
          <cell r="BI30">
            <v>2101</v>
          </cell>
          <cell r="BJ30" t="str">
            <v>Sundry Creditors</v>
          </cell>
        </row>
        <row r="31">
          <cell r="A31">
            <v>2201</v>
          </cell>
          <cell r="B31" t="str">
            <v>Purchase Tax Control Account</v>
          </cell>
          <cell r="C31">
            <v>1917.94</v>
          </cell>
          <cell r="F31">
            <v>2200</v>
          </cell>
          <cell r="G31" t="str">
            <v>Sales Tax Control Account</v>
          </cell>
          <cell r="H31">
            <v>341.06</v>
          </cell>
          <cell r="K31">
            <v>2200</v>
          </cell>
          <cell r="L31" t="str">
            <v>Sales Tax Control Account</v>
          </cell>
          <cell r="M31">
            <v>341.06</v>
          </cell>
          <cell r="P31">
            <v>2200</v>
          </cell>
          <cell r="Q31" t="str">
            <v>Sales Tax Control Account</v>
          </cell>
          <cell r="R31">
            <v>705.73</v>
          </cell>
          <cell r="U31">
            <v>2200</v>
          </cell>
          <cell r="V31" t="str">
            <v>Sales Tax Control Account</v>
          </cell>
          <cell r="W31">
            <v>705.73</v>
          </cell>
          <cell r="Z31">
            <v>2200</v>
          </cell>
          <cell r="AA31" t="str">
            <v>Sales Tax Control Account</v>
          </cell>
          <cell r="AB31">
            <v>705.73</v>
          </cell>
          <cell r="AE31">
            <v>2109</v>
          </cell>
          <cell r="AF31" t="str">
            <v>Accruals</v>
          </cell>
          <cell r="AH31">
            <v>153519.84</v>
          </cell>
          <cell r="AJ31">
            <v>2107</v>
          </cell>
          <cell r="AK31" t="str">
            <v>Creditor - Virgin Experiences</v>
          </cell>
          <cell r="AO31">
            <v>2107</v>
          </cell>
          <cell r="AP31" t="str">
            <v>Creditor - Virgin Experiences</v>
          </cell>
          <cell r="AT31">
            <v>2106</v>
          </cell>
          <cell r="AU31" t="str">
            <v>Creditors - Prepay Tech</v>
          </cell>
          <cell r="AY31">
            <v>2105</v>
          </cell>
          <cell r="AZ31" t="str">
            <v>Creditors - Virgin Megastore</v>
          </cell>
          <cell r="BD31">
            <v>2104</v>
          </cell>
          <cell r="BE31" t="str">
            <v>Creditors - Arcadia</v>
          </cell>
          <cell r="BF31">
            <v>0</v>
          </cell>
          <cell r="BI31">
            <v>2103</v>
          </cell>
          <cell r="BJ31" t="str">
            <v>Creditors - Debenhams</v>
          </cell>
        </row>
        <row r="32">
          <cell r="A32">
            <v>2202</v>
          </cell>
          <cell r="B32" t="str">
            <v>VAT Liability</v>
          </cell>
          <cell r="C32">
            <v>9406.8799999999992</v>
          </cell>
          <cell r="F32">
            <v>2201</v>
          </cell>
          <cell r="G32" t="str">
            <v>Purchase Tax Control Account</v>
          </cell>
          <cell r="H32">
            <v>7057.97</v>
          </cell>
          <cell r="K32">
            <v>2201</v>
          </cell>
          <cell r="L32" t="str">
            <v>Purchase Tax Control Account</v>
          </cell>
          <cell r="M32">
            <v>6143.62</v>
          </cell>
          <cell r="P32">
            <v>2201</v>
          </cell>
          <cell r="Q32" t="str">
            <v>Purchase Tax Control Account</v>
          </cell>
          <cell r="R32">
            <v>38611.39</v>
          </cell>
          <cell r="U32">
            <v>2201</v>
          </cell>
          <cell r="V32" t="str">
            <v>Purchase Tax Control Account</v>
          </cell>
          <cell r="W32">
            <v>59503.72</v>
          </cell>
          <cell r="Z32">
            <v>2201</v>
          </cell>
          <cell r="AA32" t="str">
            <v>Purchase Tax Control Account</v>
          </cell>
          <cell r="AB32">
            <v>61792.13</v>
          </cell>
          <cell r="AE32">
            <v>2200</v>
          </cell>
          <cell r="AF32" t="str">
            <v>Sales Tax Control Account</v>
          </cell>
          <cell r="AG32">
            <v>705.73</v>
          </cell>
          <cell r="AJ32">
            <v>2109</v>
          </cell>
          <cell r="AK32" t="str">
            <v>Accruals</v>
          </cell>
          <cell r="AM32">
            <v>71162.16</v>
          </cell>
          <cell r="AO32">
            <v>2109</v>
          </cell>
          <cell r="AP32" t="str">
            <v>Accruals</v>
          </cell>
          <cell r="AR32">
            <v>53668.22</v>
          </cell>
          <cell r="AT32">
            <v>2107</v>
          </cell>
          <cell r="AU32" t="str">
            <v>Creditor - Virgin Experiences</v>
          </cell>
          <cell r="AY32">
            <v>2106</v>
          </cell>
          <cell r="AZ32" t="str">
            <v>Creditors - Prepay Tech</v>
          </cell>
          <cell r="BD32">
            <v>2105</v>
          </cell>
          <cell r="BE32" t="str">
            <v>Creditors - Virgin Megastore</v>
          </cell>
          <cell r="BF32">
            <v>0</v>
          </cell>
          <cell r="BI32">
            <v>2104</v>
          </cell>
          <cell r="BJ32" t="str">
            <v>Creditors - Arcadia</v>
          </cell>
        </row>
        <row r="33">
          <cell r="A33">
            <v>2220</v>
          </cell>
          <cell r="B33" t="str">
            <v>Salaries adjustment</v>
          </cell>
          <cell r="D33">
            <v>41864.400000000001</v>
          </cell>
          <cell r="F33">
            <v>2202</v>
          </cell>
          <cell r="G33" t="str">
            <v>VAT Liability</v>
          </cell>
          <cell r="H33">
            <v>9406.8799999999992</v>
          </cell>
          <cell r="K33">
            <v>2202</v>
          </cell>
          <cell r="L33" t="str">
            <v>VAT Liability</v>
          </cell>
          <cell r="M33">
            <v>9406.8799999999992</v>
          </cell>
          <cell r="P33">
            <v>2202</v>
          </cell>
          <cell r="Q33" t="str">
            <v>VAT Liability</v>
          </cell>
          <cell r="R33">
            <v>44879.24</v>
          </cell>
          <cell r="U33">
            <v>2202</v>
          </cell>
          <cell r="V33" t="str">
            <v>VAT Liability</v>
          </cell>
          <cell r="W33">
            <v>4.97</v>
          </cell>
          <cell r="Z33">
            <v>2202</v>
          </cell>
          <cell r="AA33" t="str">
            <v>VAT Liability</v>
          </cell>
          <cell r="AB33">
            <v>4.97</v>
          </cell>
          <cell r="AE33">
            <v>2201</v>
          </cell>
          <cell r="AF33" t="str">
            <v>Purchase Tax Control Account</v>
          </cell>
          <cell r="AG33">
            <v>68195.59</v>
          </cell>
          <cell r="AJ33">
            <v>2200</v>
          </cell>
          <cell r="AK33" t="str">
            <v>Sales Tax Control Account</v>
          </cell>
          <cell r="AL33">
            <v>1174.8399999999999</v>
          </cell>
          <cell r="AO33">
            <v>2200</v>
          </cell>
          <cell r="AP33" t="str">
            <v>Sales Tax Control Account</v>
          </cell>
          <cell r="AQ33">
            <v>1174.8399999999999</v>
          </cell>
          <cell r="AT33">
            <v>2109</v>
          </cell>
          <cell r="AU33" t="str">
            <v>Accruals</v>
          </cell>
          <cell r="AW33">
            <v>18006.72</v>
          </cell>
          <cell r="AY33">
            <v>2107</v>
          </cell>
          <cell r="AZ33" t="str">
            <v>Creditor - Virgin Experiences</v>
          </cell>
          <cell r="BD33">
            <v>2106</v>
          </cell>
          <cell r="BE33" t="str">
            <v>Creditors - Prepay Tech</v>
          </cell>
          <cell r="BF33">
            <v>0</v>
          </cell>
          <cell r="BI33">
            <v>2105</v>
          </cell>
          <cell r="BJ33" t="str">
            <v>Creditors - Virgin Megastore</v>
          </cell>
        </row>
        <row r="34">
          <cell r="A34">
            <v>2310</v>
          </cell>
          <cell r="B34" t="str">
            <v>Exchange differences</v>
          </cell>
          <cell r="D34">
            <v>4782.21</v>
          </cell>
          <cell r="F34">
            <v>2210</v>
          </cell>
          <cell r="G34" t="str">
            <v>Wages control</v>
          </cell>
          <cell r="I34">
            <v>18784.11</v>
          </cell>
          <cell r="K34">
            <v>2210</v>
          </cell>
          <cell r="L34" t="str">
            <v>Wages control</v>
          </cell>
          <cell r="M34">
            <v>89.95</v>
          </cell>
          <cell r="P34">
            <v>2210</v>
          </cell>
          <cell r="Q34" t="str">
            <v>Wages control</v>
          </cell>
          <cell r="R34">
            <v>729</v>
          </cell>
          <cell r="U34">
            <v>2210</v>
          </cell>
          <cell r="V34" t="str">
            <v>Wages control</v>
          </cell>
          <cell r="W34">
            <v>690</v>
          </cell>
          <cell r="Z34">
            <v>2210</v>
          </cell>
          <cell r="AA34" t="str">
            <v>Wages control</v>
          </cell>
          <cell r="AB34">
            <v>651</v>
          </cell>
          <cell r="AE34">
            <v>2202</v>
          </cell>
          <cell r="AF34" t="str">
            <v>VAT Liability</v>
          </cell>
          <cell r="AG34">
            <v>4.97</v>
          </cell>
          <cell r="AJ34">
            <v>2201</v>
          </cell>
          <cell r="AK34" t="str">
            <v>Purchase Tax Control Account</v>
          </cell>
          <cell r="AL34">
            <v>23822.89</v>
          </cell>
          <cell r="AO34">
            <v>2201</v>
          </cell>
          <cell r="AP34" t="str">
            <v>Purchase Tax Control Account</v>
          </cell>
          <cell r="AQ34">
            <v>35151.629999999997</v>
          </cell>
          <cell r="AT34">
            <v>2200</v>
          </cell>
          <cell r="AU34" t="str">
            <v>Sales Tax Control Account</v>
          </cell>
          <cell r="AV34">
            <v>1174.8399999999999</v>
          </cell>
          <cell r="AY34">
            <v>2109</v>
          </cell>
          <cell r="AZ34" t="str">
            <v>Accruals</v>
          </cell>
          <cell r="BB34">
            <v>43362.31</v>
          </cell>
          <cell r="BD34">
            <v>2107</v>
          </cell>
          <cell r="BE34" t="str">
            <v>Creditor - Virgin Experiences</v>
          </cell>
          <cell r="BF34">
            <v>0</v>
          </cell>
          <cell r="BI34">
            <v>2106</v>
          </cell>
          <cell r="BJ34" t="str">
            <v>Creditors - Prepay Tech</v>
          </cell>
        </row>
        <row r="35">
          <cell r="A35">
            <v>2800</v>
          </cell>
          <cell r="B35" t="str">
            <v>Inter-company - Blackhawk Network USA</v>
          </cell>
          <cell r="F35">
            <v>2220</v>
          </cell>
          <cell r="G35" t="str">
            <v>Salaries adjustment</v>
          </cell>
          <cell r="I35">
            <v>38335.06</v>
          </cell>
          <cell r="K35">
            <v>2220</v>
          </cell>
          <cell r="L35" t="str">
            <v>Salaries adjustment</v>
          </cell>
          <cell r="N35">
            <v>38335.06</v>
          </cell>
          <cell r="P35">
            <v>2220</v>
          </cell>
          <cell r="Q35" t="str">
            <v>Salaries adjustment</v>
          </cell>
          <cell r="S35">
            <v>31963.27</v>
          </cell>
          <cell r="U35">
            <v>2220</v>
          </cell>
          <cell r="V35" t="str">
            <v>Salaries adjustment</v>
          </cell>
          <cell r="X35">
            <v>20929.52</v>
          </cell>
          <cell r="Z35">
            <v>2220</v>
          </cell>
          <cell r="AA35" t="str">
            <v>Salaries adjustment</v>
          </cell>
          <cell r="AC35">
            <v>14546.85</v>
          </cell>
          <cell r="AE35">
            <v>2210</v>
          </cell>
          <cell r="AF35" t="str">
            <v>Wages control</v>
          </cell>
          <cell r="AG35">
            <v>456</v>
          </cell>
          <cell r="AJ35">
            <v>2202</v>
          </cell>
          <cell r="AK35" t="str">
            <v>VAT Liability</v>
          </cell>
          <cell r="AL35">
            <v>4.97</v>
          </cell>
          <cell r="AO35">
            <v>2202</v>
          </cell>
          <cell r="AP35" t="str">
            <v>VAT Liability</v>
          </cell>
          <cell r="AQ35">
            <v>4.97</v>
          </cell>
          <cell r="AT35">
            <v>2201</v>
          </cell>
          <cell r="AU35" t="str">
            <v>Purchase Tax Control Account</v>
          </cell>
          <cell r="AV35">
            <v>38746.769999999997</v>
          </cell>
          <cell r="AY35">
            <v>2200</v>
          </cell>
          <cell r="AZ35" t="str">
            <v>Sales Tax Control Account</v>
          </cell>
          <cell r="BA35">
            <v>1174.8399999999999</v>
          </cell>
          <cell r="BD35">
            <v>2109</v>
          </cell>
          <cell r="BE35" t="str">
            <v>Accruals</v>
          </cell>
          <cell r="BG35">
            <v>146954.95000000001</v>
          </cell>
          <cell r="BI35">
            <v>2107</v>
          </cell>
          <cell r="BJ35" t="str">
            <v>Creditor - Virgin Experiences</v>
          </cell>
        </row>
        <row r="36">
          <cell r="A36">
            <v>3000</v>
          </cell>
          <cell r="B36" t="str">
            <v>Ordinary Shares</v>
          </cell>
          <cell r="D36">
            <v>1000</v>
          </cell>
          <cell r="F36">
            <v>2310</v>
          </cell>
          <cell r="G36" t="str">
            <v>Exchange differences</v>
          </cell>
          <cell r="I36">
            <v>4782.21</v>
          </cell>
          <cell r="K36">
            <v>2310</v>
          </cell>
          <cell r="L36" t="str">
            <v>Exchange differences</v>
          </cell>
          <cell r="N36">
            <v>4782.21</v>
          </cell>
          <cell r="P36">
            <v>2310</v>
          </cell>
          <cell r="Q36" t="str">
            <v>Exchange differences</v>
          </cell>
          <cell r="S36">
            <v>4782.21</v>
          </cell>
          <cell r="U36">
            <v>2310</v>
          </cell>
          <cell r="V36" t="str">
            <v>Exchange differences</v>
          </cell>
          <cell r="X36">
            <v>4782.21</v>
          </cell>
          <cell r="Z36">
            <v>2310</v>
          </cell>
          <cell r="AA36" t="str">
            <v>Exchange differences</v>
          </cell>
          <cell r="AC36">
            <v>4782.21</v>
          </cell>
          <cell r="AE36">
            <v>2220</v>
          </cell>
          <cell r="AF36" t="str">
            <v>Salaries adjustment</v>
          </cell>
          <cell r="AH36">
            <v>14546.85</v>
          </cell>
          <cell r="AJ36">
            <v>2210</v>
          </cell>
          <cell r="AK36" t="str">
            <v>Wages control</v>
          </cell>
          <cell r="AL36">
            <v>8111.31</v>
          </cell>
          <cell r="AO36">
            <v>2210</v>
          </cell>
          <cell r="AP36" t="str">
            <v>Wages control</v>
          </cell>
          <cell r="AR36">
            <v>14140.25</v>
          </cell>
          <cell r="AT36">
            <v>2202</v>
          </cell>
          <cell r="AU36" t="str">
            <v>VAT Liability</v>
          </cell>
          <cell r="AV36">
            <v>4.97</v>
          </cell>
          <cell r="AY36">
            <v>2201</v>
          </cell>
          <cell r="AZ36" t="str">
            <v>Purchase Tax Control Account</v>
          </cell>
          <cell r="BA36">
            <v>155406.25</v>
          </cell>
          <cell r="BD36">
            <v>2200</v>
          </cell>
          <cell r="BE36" t="str">
            <v>Sales Tax Control Account</v>
          </cell>
          <cell r="BF36">
            <v>1160.8800000000001</v>
          </cell>
          <cell r="BI36">
            <v>2109</v>
          </cell>
          <cell r="BJ36" t="str">
            <v>Accruals</v>
          </cell>
          <cell r="BL36">
            <v>233080.18</v>
          </cell>
        </row>
        <row r="37">
          <cell r="A37">
            <v>310802</v>
          </cell>
          <cell r="B37" t="str">
            <v>Card transactions</v>
          </cell>
          <cell r="F37">
            <v>2800</v>
          </cell>
          <cell r="G37" t="str">
            <v>Inter-company - Blackhawk Network USA</v>
          </cell>
          <cell r="K37">
            <v>2800</v>
          </cell>
          <cell r="L37" t="str">
            <v>Inter-company - Blackhawk Network USA</v>
          </cell>
          <cell r="P37">
            <v>2800</v>
          </cell>
          <cell r="Q37" t="str">
            <v>Inter-company - Blackhawk Network USA</v>
          </cell>
          <cell r="U37">
            <v>2800</v>
          </cell>
          <cell r="V37" t="str">
            <v>Inter-company - Blackhawk Network USA</v>
          </cell>
          <cell r="Z37">
            <v>2800</v>
          </cell>
          <cell r="AA37" t="str">
            <v>Inter-company - Blackhawk Network USA</v>
          </cell>
          <cell r="AE37">
            <v>2310</v>
          </cell>
          <cell r="AF37" t="str">
            <v>Hire Purchase</v>
          </cell>
          <cell r="AH37">
            <v>4782.21</v>
          </cell>
          <cell r="AJ37">
            <v>2220</v>
          </cell>
          <cell r="AK37" t="str">
            <v>Salaries adjustment</v>
          </cell>
          <cell r="AM37">
            <v>31913.93</v>
          </cell>
          <cell r="AO37">
            <v>2220</v>
          </cell>
          <cell r="AP37" t="str">
            <v>Salaries adjustment</v>
          </cell>
          <cell r="AR37">
            <v>28514.87</v>
          </cell>
          <cell r="AT37">
            <v>2210</v>
          </cell>
          <cell r="AU37" t="str">
            <v>Wages control</v>
          </cell>
          <cell r="AW37">
            <v>14447.19</v>
          </cell>
          <cell r="AY37">
            <v>2202</v>
          </cell>
          <cell r="AZ37" t="str">
            <v>VAT Liability</v>
          </cell>
          <cell r="BA37">
            <v>4.97</v>
          </cell>
          <cell r="BD37">
            <v>2201</v>
          </cell>
          <cell r="BE37" t="str">
            <v>Purchase Tax Control Account</v>
          </cell>
          <cell r="BF37">
            <v>178547.22</v>
          </cell>
          <cell r="BI37">
            <v>2200</v>
          </cell>
          <cell r="BJ37" t="str">
            <v>Sales Tax Control Account</v>
          </cell>
        </row>
        <row r="38">
          <cell r="A38">
            <v>312102</v>
          </cell>
          <cell r="B38" t="str">
            <v>Purchase - goods</v>
          </cell>
          <cell r="D38">
            <v>166905.60000000001</v>
          </cell>
          <cell r="F38">
            <v>3000</v>
          </cell>
          <cell r="G38" t="str">
            <v>Ordinary Shares</v>
          </cell>
          <cell r="I38">
            <v>1000</v>
          </cell>
          <cell r="K38">
            <v>3000</v>
          </cell>
          <cell r="L38" t="str">
            <v>Ordinary Shares</v>
          </cell>
          <cell r="N38">
            <v>1000</v>
          </cell>
          <cell r="P38">
            <v>3000</v>
          </cell>
          <cell r="Q38" t="str">
            <v>Ordinary Shares</v>
          </cell>
          <cell r="S38">
            <v>1000</v>
          </cell>
          <cell r="U38">
            <v>3000</v>
          </cell>
          <cell r="V38" t="str">
            <v>Ordinary Shares</v>
          </cell>
          <cell r="X38">
            <v>1000</v>
          </cell>
          <cell r="Z38">
            <v>3000</v>
          </cell>
          <cell r="AA38" t="str">
            <v>Ordinary Shares</v>
          </cell>
          <cell r="AC38">
            <v>1000</v>
          </cell>
          <cell r="AE38">
            <v>2800</v>
          </cell>
          <cell r="AF38" t="str">
            <v>Inter-company - Blackhawk Network USA</v>
          </cell>
          <cell r="AJ38">
            <v>2310</v>
          </cell>
          <cell r="AK38" t="str">
            <v>Exchange differences</v>
          </cell>
          <cell r="AM38">
            <v>4782.21</v>
          </cell>
          <cell r="AO38">
            <v>2310</v>
          </cell>
          <cell r="AP38" t="str">
            <v>Exchange differences</v>
          </cell>
          <cell r="AT38">
            <v>2220</v>
          </cell>
          <cell r="AU38" t="str">
            <v>Salaries adjustment</v>
          </cell>
          <cell r="AW38">
            <v>24525.69</v>
          </cell>
          <cell r="AY38">
            <v>2210</v>
          </cell>
          <cell r="AZ38" t="str">
            <v>Wages control</v>
          </cell>
          <cell r="BB38">
            <v>14224.07</v>
          </cell>
          <cell r="BD38">
            <v>2202</v>
          </cell>
          <cell r="BE38" t="str">
            <v>VAT Liability</v>
          </cell>
          <cell r="BG38">
            <v>35199.56</v>
          </cell>
          <cell r="BI38">
            <v>2201</v>
          </cell>
          <cell r="BJ38" t="str">
            <v>Purchase Tax Control Account</v>
          </cell>
          <cell r="BK38">
            <v>44845.33</v>
          </cell>
        </row>
        <row r="39">
          <cell r="A39">
            <v>312124</v>
          </cell>
          <cell r="B39" t="str">
            <v>Purchases - freight</v>
          </cell>
          <cell r="D39">
            <v>4152.45</v>
          </cell>
          <cell r="F39">
            <v>310802</v>
          </cell>
          <cell r="G39" t="str">
            <v>Card transactions</v>
          </cell>
          <cell r="K39">
            <v>310802</v>
          </cell>
          <cell r="L39" t="str">
            <v>Card transactions</v>
          </cell>
          <cell r="P39">
            <v>310802</v>
          </cell>
          <cell r="Q39" t="str">
            <v>Card transactions</v>
          </cell>
          <cell r="U39">
            <v>310802</v>
          </cell>
          <cell r="V39" t="str">
            <v>Card transactions</v>
          </cell>
          <cell r="Z39">
            <v>310802</v>
          </cell>
          <cell r="AA39" t="str">
            <v>Card transactions</v>
          </cell>
          <cell r="AE39">
            <v>3000</v>
          </cell>
          <cell r="AF39" t="str">
            <v>Ordinary Shares</v>
          </cell>
          <cell r="AH39">
            <v>1000</v>
          </cell>
          <cell r="AJ39">
            <v>2800</v>
          </cell>
          <cell r="AK39" t="str">
            <v>Inter-company - Blackhawk Network USA</v>
          </cell>
          <cell r="AO39">
            <v>2800</v>
          </cell>
          <cell r="AP39" t="str">
            <v>Inter-company - Blackhawk Network USA</v>
          </cell>
          <cell r="AT39">
            <v>2310</v>
          </cell>
          <cell r="AU39" t="str">
            <v>Exchange differences</v>
          </cell>
          <cell r="AY39">
            <v>2220</v>
          </cell>
          <cell r="AZ39" t="str">
            <v>Salaries adjustment</v>
          </cell>
          <cell r="BB39">
            <v>20537.11</v>
          </cell>
          <cell r="BD39">
            <v>2210</v>
          </cell>
          <cell r="BE39" t="str">
            <v>Wages control</v>
          </cell>
          <cell r="BG39">
            <v>14618.33</v>
          </cell>
          <cell r="BI39">
            <v>2202</v>
          </cell>
          <cell r="BJ39" t="str">
            <v>VAT Liability</v>
          </cell>
        </row>
        <row r="40">
          <cell r="A40">
            <v>312171</v>
          </cell>
          <cell r="B40" t="str">
            <v>Warehousing costs</v>
          </cell>
          <cell r="D40">
            <v>26960.32</v>
          </cell>
          <cell r="F40">
            <v>312102</v>
          </cell>
          <cell r="G40" t="str">
            <v>Purchase - goods</v>
          </cell>
          <cell r="I40">
            <v>159027.85</v>
          </cell>
          <cell r="K40">
            <v>312102</v>
          </cell>
          <cell r="L40" t="str">
            <v>Purchase - goods</v>
          </cell>
          <cell r="N40">
            <v>159405.6</v>
          </cell>
          <cell r="P40">
            <v>312102</v>
          </cell>
          <cell r="Q40" t="str">
            <v>Purchase - goods</v>
          </cell>
          <cell r="R40">
            <v>67142.259999999995</v>
          </cell>
          <cell r="U40">
            <v>312102</v>
          </cell>
          <cell r="V40" t="str">
            <v>Purchase - goods</v>
          </cell>
          <cell r="W40">
            <v>69186.009999999995</v>
          </cell>
          <cell r="Z40">
            <v>312102</v>
          </cell>
          <cell r="AA40" t="str">
            <v>Purchase - goods</v>
          </cell>
          <cell r="AB40">
            <v>69630.009999999995</v>
          </cell>
          <cell r="AE40">
            <v>310802</v>
          </cell>
          <cell r="AF40" t="str">
            <v>Card transactions</v>
          </cell>
          <cell r="AJ40">
            <v>3000</v>
          </cell>
          <cell r="AK40" t="str">
            <v>Ordinary Shares</v>
          </cell>
          <cell r="AM40">
            <v>1000</v>
          </cell>
          <cell r="AO40">
            <v>3000</v>
          </cell>
          <cell r="AP40" t="str">
            <v>Ordinary Shares</v>
          </cell>
          <cell r="AR40">
            <v>1000</v>
          </cell>
          <cell r="AT40">
            <v>2320</v>
          </cell>
          <cell r="AU40" t="str">
            <v>Corporation Tax</v>
          </cell>
          <cell r="AV40">
            <v>19840.37</v>
          </cell>
          <cell r="AY40">
            <v>2310</v>
          </cell>
          <cell r="AZ40" t="str">
            <v>Exchange differences</v>
          </cell>
          <cell r="BD40">
            <v>2220</v>
          </cell>
          <cell r="BE40" t="str">
            <v>Salaries adjustment</v>
          </cell>
          <cell r="BG40">
            <v>16548.02</v>
          </cell>
          <cell r="BI40">
            <v>2210</v>
          </cell>
          <cell r="BJ40" t="str">
            <v>Wages control</v>
          </cell>
          <cell r="BK40">
            <v>22889.13</v>
          </cell>
        </row>
        <row r="41">
          <cell r="A41">
            <v>3200</v>
          </cell>
          <cell r="B41" t="str">
            <v>Profit and Loss Account</v>
          </cell>
          <cell r="C41">
            <v>795640.2</v>
          </cell>
          <cell r="F41">
            <v>312124</v>
          </cell>
          <cell r="G41" t="str">
            <v>Purchases - freight</v>
          </cell>
          <cell r="H41">
            <v>9733.1</v>
          </cell>
          <cell r="K41">
            <v>312124</v>
          </cell>
          <cell r="L41" t="str">
            <v>Purchases - freight</v>
          </cell>
          <cell r="M41">
            <v>9733.1</v>
          </cell>
          <cell r="P41">
            <v>312124</v>
          </cell>
          <cell r="Q41" t="str">
            <v>Purchases - freight</v>
          </cell>
          <cell r="R41">
            <v>87194.97</v>
          </cell>
          <cell r="U41">
            <v>312124</v>
          </cell>
          <cell r="V41" t="str">
            <v>Purchases - freight</v>
          </cell>
          <cell r="W41">
            <v>115700.94</v>
          </cell>
          <cell r="Z41">
            <v>312124</v>
          </cell>
          <cell r="AA41" t="str">
            <v>Purchases - freight</v>
          </cell>
          <cell r="AB41">
            <v>116898.21</v>
          </cell>
          <cell r="AE41">
            <v>312102</v>
          </cell>
          <cell r="AF41" t="str">
            <v>Purchase - goods</v>
          </cell>
          <cell r="AG41">
            <v>79823.360000000001</v>
          </cell>
          <cell r="AJ41">
            <v>310802</v>
          </cell>
          <cell r="AK41" t="str">
            <v>Card transactions</v>
          </cell>
          <cell r="AO41">
            <v>310802</v>
          </cell>
          <cell r="AP41" t="str">
            <v>Card transactions</v>
          </cell>
          <cell r="AT41">
            <v>2800</v>
          </cell>
          <cell r="AU41" t="str">
            <v>Inter-company - Blackhawk Network USA</v>
          </cell>
          <cell r="AY41">
            <v>2320</v>
          </cell>
          <cell r="AZ41" t="str">
            <v>Corporation Tax</v>
          </cell>
          <cell r="BA41">
            <v>29615.85</v>
          </cell>
          <cell r="BD41">
            <v>2310</v>
          </cell>
          <cell r="BE41" t="str">
            <v>Exchange differences</v>
          </cell>
          <cell r="BI41">
            <v>2220</v>
          </cell>
          <cell r="BJ41" t="str">
            <v>Salaries adjustment</v>
          </cell>
          <cell r="BL41">
            <v>15291.72</v>
          </cell>
        </row>
        <row r="42">
          <cell r="A42">
            <v>331555</v>
          </cell>
          <cell r="B42" t="str">
            <v>Stationery</v>
          </cell>
          <cell r="C42">
            <v>173.47</v>
          </cell>
          <cell r="F42">
            <v>312171</v>
          </cell>
          <cell r="G42" t="str">
            <v>Warehousing costs</v>
          </cell>
          <cell r="I42">
            <v>19800.48</v>
          </cell>
          <cell r="K42">
            <v>312171</v>
          </cell>
          <cell r="L42" t="str">
            <v>Warehousing costs</v>
          </cell>
          <cell r="N42">
            <v>21610.32</v>
          </cell>
          <cell r="P42">
            <v>312171</v>
          </cell>
          <cell r="Q42" t="str">
            <v>Warehousing costs</v>
          </cell>
          <cell r="R42">
            <v>96618.79</v>
          </cell>
          <cell r="U42">
            <v>312171</v>
          </cell>
          <cell r="V42" t="str">
            <v>Warehousing costs</v>
          </cell>
          <cell r="W42">
            <v>134008.89000000001</v>
          </cell>
          <cell r="Z42">
            <v>312171</v>
          </cell>
          <cell r="AA42" t="str">
            <v>Warehousing costs</v>
          </cell>
          <cell r="AB42">
            <v>144243.29999999999</v>
          </cell>
          <cell r="AE42">
            <v>312124</v>
          </cell>
          <cell r="AF42" t="str">
            <v>Purchases - freight</v>
          </cell>
          <cell r="AG42">
            <v>132757.56</v>
          </cell>
          <cell r="AJ42">
            <v>312102</v>
          </cell>
          <cell r="AK42" t="str">
            <v>Purchase - goods</v>
          </cell>
          <cell r="AL42">
            <v>80737.36</v>
          </cell>
          <cell r="AO42">
            <v>312102</v>
          </cell>
          <cell r="AP42" t="str">
            <v>Purchase - goods</v>
          </cell>
          <cell r="AQ42">
            <v>104475.26</v>
          </cell>
          <cell r="AT42">
            <v>3000</v>
          </cell>
          <cell r="AU42" t="str">
            <v>Ordinary Shares</v>
          </cell>
          <cell r="AW42">
            <v>1000</v>
          </cell>
          <cell r="AY42">
            <v>2800</v>
          </cell>
          <cell r="AZ42" t="str">
            <v>Inter-company - Blackhawk Network USA</v>
          </cell>
          <cell r="BD42">
            <v>2320</v>
          </cell>
          <cell r="BE42" t="str">
            <v>Corporation Tax</v>
          </cell>
          <cell r="BF42">
            <v>29664.3</v>
          </cell>
          <cell r="BI42">
            <v>2310</v>
          </cell>
          <cell r="BJ42" t="str">
            <v>Exchange differences</v>
          </cell>
        </row>
        <row r="43">
          <cell r="A43">
            <v>331574</v>
          </cell>
          <cell r="B43" t="str">
            <v>Repairs - equipment</v>
          </cell>
          <cell r="C43">
            <v>159.99</v>
          </cell>
          <cell r="F43">
            <v>3200</v>
          </cell>
          <cell r="G43" t="str">
            <v>Profit and Loss Account</v>
          </cell>
          <cell r="H43">
            <v>795640.2</v>
          </cell>
          <cell r="K43">
            <v>3200</v>
          </cell>
          <cell r="L43" t="str">
            <v>Profit and Loss Account</v>
          </cell>
          <cell r="M43">
            <v>795640.2</v>
          </cell>
          <cell r="P43">
            <v>3200</v>
          </cell>
          <cell r="Q43" t="str">
            <v>Profit and Loss Account</v>
          </cell>
          <cell r="R43">
            <v>795640.2</v>
          </cell>
          <cell r="U43">
            <v>3200</v>
          </cell>
          <cell r="V43" t="str">
            <v>Profit and Loss Account</v>
          </cell>
          <cell r="W43">
            <v>795640.2</v>
          </cell>
          <cell r="Z43">
            <v>3200</v>
          </cell>
          <cell r="AA43" t="str">
            <v>Profit and Loss Account</v>
          </cell>
          <cell r="AB43">
            <v>795640.2</v>
          </cell>
          <cell r="AE43">
            <v>312171</v>
          </cell>
          <cell r="AF43" t="str">
            <v>Warehousing costs</v>
          </cell>
          <cell r="AG43">
            <v>144243.29999999999</v>
          </cell>
          <cell r="AJ43">
            <v>312124</v>
          </cell>
          <cell r="AK43" t="str">
            <v>Purchases - freight</v>
          </cell>
          <cell r="AL43">
            <v>67532.72</v>
          </cell>
          <cell r="AO43">
            <v>312124</v>
          </cell>
          <cell r="AP43" t="str">
            <v>Purchases - freight</v>
          </cell>
          <cell r="AQ43">
            <v>79265.679999999993</v>
          </cell>
          <cell r="AT43">
            <v>310802</v>
          </cell>
          <cell r="AU43" t="str">
            <v>Card transactions</v>
          </cell>
          <cell r="AY43">
            <v>3000</v>
          </cell>
          <cell r="AZ43" t="str">
            <v>Ordinary Shares</v>
          </cell>
          <cell r="BB43">
            <v>1000</v>
          </cell>
          <cell r="BD43">
            <v>2800</v>
          </cell>
          <cell r="BE43" t="str">
            <v>Inter-company - Blackhawk Network USA</v>
          </cell>
          <cell r="BG43">
            <v>0</v>
          </cell>
          <cell r="BI43">
            <v>2320</v>
          </cell>
          <cell r="BJ43" t="str">
            <v>Corporation Tax</v>
          </cell>
          <cell r="BK43">
            <v>29664.3</v>
          </cell>
        </row>
        <row r="44">
          <cell r="A44">
            <v>331575</v>
          </cell>
          <cell r="B44" t="str">
            <v>Repairs - furniture</v>
          </cell>
          <cell r="F44">
            <v>331555</v>
          </cell>
          <cell r="G44" t="str">
            <v>Stationery</v>
          </cell>
          <cell r="H44">
            <v>819.62</v>
          </cell>
          <cell r="K44">
            <v>331555</v>
          </cell>
          <cell r="L44" t="str">
            <v>Stationery</v>
          </cell>
          <cell r="M44">
            <v>774.46</v>
          </cell>
          <cell r="P44">
            <v>331555</v>
          </cell>
          <cell r="Q44" t="str">
            <v>Stationery</v>
          </cell>
          <cell r="R44">
            <v>1304.24</v>
          </cell>
          <cell r="U44">
            <v>331555</v>
          </cell>
          <cell r="V44" t="str">
            <v>Stationery</v>
          </cell>
          <cell r="W44">
            <v>1487.56</v>
          </cell>
          <cell r="Z44">
            <v>331555</v>
          </cell>
          <cell r="AA44" t="str">
            <v>Stationery</v>
          </cell>
          <cell r="AB44">
            <v>1542.83</v>
          </cell>
          <cell r="AE44">
            <v>3200</v>
          </cell>
          <cell r="AF44" t="str">
            <v>Profit and Loss Account</v>
          </cell>
          <cell r="AG44">
            <v>795640.2</v>
          </cell>
          <cell r="AJ44">
            <v>312171</v>
          </cell>
          <cell r="AK44" t="str">
            <v>Warehousing costs</v>
          </cell>
          <cell r="AL44">
            <v>165012.07</v>
          </cell>
          <cell r="AO44">
            <v>312171</v>
          </cell>
          <cell r="AP44" t="str">
            <v>Warehousing costs</v>
          </cell>
          <cell r="AQ44">
            <v>180974.87</v>
          </cell>
          <cell r="AT44">
            <v>312102</v>
          </cell>
          <cell r="AU44" t="str">
            <v>Purchase - goods</v>
          </cell>
          <cell r="AV44">
            <v>107762.46</v>
          </cell>
          <cell r="AY44">
            <v>310802</v>
          </cell>
          <cell r="AZ44" t="str">
            <v>Card transactions</v>
          </cell>
          <cell r="BD44">
            <v>3000</v>
          </cell>
          <cell r="BE44" t="str">
            <v>Ordinary Shares</v>
          </cell>
          <cell r="BG44">
            <v>1000</v>
          </cell>
          <cell r="BI44">
            <v>2800</v>
          </cell>
          <cell r="BJ44" t="str">
            <v>Inter-company - Blackhawk Network USA</v>
          </cell>
        </row>
        <row r="45">
          <cell r="A45">
            <v>331990</v>
          </cell>
          <cell r="B45" t="str">
            <v>General office supplies</v>
          </cell>
          <cell r="C45">
            <v>7.79</v>
          </cell>
          <cell r="F45">
            <v>331574</v>
          </cell>
          <cell r="G45" t="str">
            <v>Repairs - equipment</v>
          </cell>
          <cell r="H45">
            <v>194</v>
          </cell>
          <cell r="K45">
            <v>331574</v>
          </cell>
          <cell r="L45" t="str">
            <v>Repairs - equipment</v>
          </cell>
          <cell r="M45">
            <v>194</v>
          </cell>
          <cell r="P45">
            <v>331574</v>
          </cell>
          <cell r="Q45" t="str">
            <v>Repairs - equipment</v>
          </cell>
          <cell r="R45">
            <v>194</v>
          </cell>
          <cell r="U45">
            <v>331574</v>
          </cell>
          <cell r="V45" t="str">
            <v>Repairs - equipment</v>
          </cell>
          <cell r="W45">
            <v>194</v>
          </cell>
          <cell r="Z45">
            <v>331574</v>
          </cell>
          <cell r="AA45" t="str">
            <v>Repairs - equipment</v>
          </cell>
          <cell r="AB45">
            <v>369</v>
          </cell>
          <cell r="AE45">
            <v>331555</v>
          </cell>
          <cell r="AF45" t="str">
            <v>Stationery</v>
          </cell>
          <cell r="AG45">
            <v>1647.68</v>
          </cell>
          <cell r="AJ45">
            <v>3200</v>
          </cell>
          <cell r="AK45" t="str">
            <v>Profit and Loss Account</v>
          </cell>
          <cell r="AL45">
            <v>932443.18</v>
          </cell>
          <cell r="AO45">
            <v>3200</v>
          </cell>
          <cell r="AP45" t="str">
            <v>Profit and Loss Account</v>
          </cell>
          <cell r="AQ45">
            <v>927660.97</v>
          </cell>
          <cell r="AT45">
            <v>312124</v>
          </cell>
          <cell r="AU45" t="str">
            <v>Purchases - freight</v>
          </cell>
          <cell r="AV45">
            <v>67532.72</v>
          </cell>
          <cell r="AY45">
            <v>312102</v>
          </cell>
          <cell r="AZ45" t="str">
            <v>Purchase - goods</v>
          </cell>
          <cell r="BA45">
            <v>110244.96</v>
          </cell>
          <cell r="BD45">
            <v>310802</v>
          </cell>
          <cell r="BE45" t="str">
            <v>Card transactions</v>
          </cell>
          <cell r="BF45">
            <v>0</v>
          </cell>
          <cell r="BI45">
            <v>3000</v>
          </cell>
          <cell r="BJ45" t="str">
            <v>Ordinary Shares</v>
          </cell>
          <cell r="BL45">
            <v>1000</v>
          </cell>
        </row>
        <row r="46">
          <cell r="A46">
            <v>341676</v>
          </cell>
          <cell r="B46" t="str">
            <v>Fax and data transmission</v>
          </cell>
          <cell r="F46">
            <v>331575</v>
          </cell>
          <cell r="G46" t="str">
            <v>Repairs - furniture</v>
          </cell>
          <cell r="K46">
            <v>331575</v>
          </cell>
          <cell r="L46" t="str">
            <v>Repairs - furniture</v>
          </cell>
          <cell r="P46">
            <v>331575</v>
          </cell>
          <cell r="Q46" t="str">
            <v>Repairs - furniture</v>
          </cell>
          <cell r="U46">
            <v>331575</v>
          </cell>
          <cell r="V46" t="str">
            <v>Repairs - furniture</v>
          </cell>
          <cell r="W46">
            <v>2698.75</v>
          </cell>
          <cell r="Z46">
            <v>331575</v>
          </cell>
          <cell r="AA46" t="str">
            <v>Repairs - furniture</v>
          </cell>
          <cell r="AB46">
            <v>2698.75</v>
          </cell>
          <cell r="AE46">
            <v>331574</v>
          </cell>
          <cell r="AF46" t="str">
            <v>Repairs - equipment</v>
          </cell>
          <cell r="AG46">
            <v>406.87</v>
          </cell>
          <cell r="AJ46">
            <v>331555</v>
          </cell>
          <cell r="AK46" t="str">
            <v>Stationery</v>
          </cell>
          <cell r="AL46">
            <v>1969.54</v>
          </cell>
          <cell r="AO46">
            <v>331555</v>
          </cell>
          <cell r="AP46" t="str">
            <v>Stationery</v>
          </cell>
          <cell r="AQ46">
            <v>2084.2399999999998</v>
          </cell>
          <cell r="AT46">
            <v>312171</v>
          </cell>
          <cell r="AU46" t="str">
            <v>Warehousing costs</v>
          </cell>
          <cell r="AV46">
            <v>180774.88</v>
          </cell>
          <cell r="AY46">
            <v>312124</v>
          </cell>
          <cell r="AZ46" t="str">
            <v>Purchases - freight</v>
          </cell>
          <cell r="BA46">
            <v>67532.72</v>
          </cell>
          <cell r="BD46">
            <v>312102</v>
          </cell>
          <cell r="BE46" t="str">
            <v>Purchase - goods</v>
          </cell>
          <cell r="BF46">
            <v>171252.11</v>
          </cell>
          <cell r="BI46">
            <v>310802</v>
          </cell>
          <cell r="BJ46" t="str">
            <v>Card transactions</v>
          </cell>
        </row>
        <row r="47">
          <cell r="A47">
            <v>341772</v>
          </cell>
          <cell r="B47" t="str">
            <v>Telephone - landline</v>
          </cell>
          <cell r="C47">
            <v>189.59</v>
          </cell>
          <cell r="F47">
            <v>331990</v>
          </cell>
          <cell r="G47" t="str">
            <v>General office supplies</v>
          </cell>
          <cell r="H47">
            <v>139.19</v>
          </cell>
          <cell r="K47">
            <v>331990</v>
          </cell>
          <cell r="L47" t="str">
            <v>General office supplies</v>
          </cell>
          <cell r="M47">
            <v>100.25</v>
          </cell>
          <cell r="P47">
            <v>331990</v>
          </cell>
          <cell r="Q47" t="str">
            <v>General office supplies</v>
          </cell>
          <cell r="R47">
            <v>252.08</v>
          </cell>
          <cell r="U47">
            <v>331990</v>
          </cell>
          <cell r="V47" t="str">
            <v>General office supplies</v>
          </cell>
          <cell r="W47">
            <v>990.49</v>
          </cell>
          <cell r="Z47">
            <v>331990</v>
          </cell>
          <cell r="AA47" t="str">
            <v>General office supplies</v>
          </cell>
          <cell r="AB47">
            <v>1260.1099999999999</v>
          </cell>
          <cell r="AE47">
            <v>331575</v>
          </cell>
          <cell r="AF47" t="str">
            <v>Repairs - furniture</v>
          </cell>
          <cell r="AG47">
            <v>2698.75</v>
          </cell>
          <cell r="AJ47">
            <v>331574</v>
          </cell>
          <cell r="AK47" t="str">
            <v>Repairs - equipment</v>
          </cell>
          <cell r="AL47">
            <v>406.87</v>
          </cell>
          <cell r="AO47">
            <v>331574</v>
          </cell>
          <cell r="AP47" t="str">
            <v>Repairs - equipment</v>
          </cell>
          <cell r="AQ47">
            <v>406.87</v>
          </cell>
          <cell r="AT47">
            <v>3200</v>
          </cell>
          <cell r="AU47" t="str">
            <v>Profit and Loss Account</v>
          </cell>
          <cell r="AV47">
            <v>927660.97</v>
          </cell>
          <cell r="AY47">
            <v>312171</v>
          </cell>
          <cell r="AZ47" t="str">
            <v>Warehousing costs</v>
          </cell>
          <cell r="BA47">
            <v>239754.27</v>
          </cell>
          <cell r="BD47">
            <v>312124</v>
          </cell>
          <cell r="BE47" t="str">
            <v>Purchases - freight</v>
          </cell>
          <cell r="BF47">
            <v>80869.100000000006</v>
          </cell>
          <cell r="BI47">
            <v>312102</v>
          </cell>
          <cell r="BJ47" t="str">
            <v>Purchase - goods</v>
          </cell>
          <cell r="BK47">
            <v>172327.47</v>
          </cell>
        </row>
        <row r="48">
          <cell r="A48">
            <v>341773</v>
          </cell>
          <cell r="B48" t="str">
            <v>Telephone - mobile</v>
          </cell>
          <cell r="F48">
            <v>341676</v>
          </cell>
          <cell r="G48" t="str">
            <v>Fax and data transmission</v>
          </cell>
          <cell r="K48">
            <v>341676</v>
          </cell>
          <cell r="L48" t="str">
            <v>Fax and data transmission</v>
          </cell>
          <cell r="P48">
            <v>341676</v>
          </cell>
          <cell r="Q48" t="str">
            <v>Fax and data transmission</v>
          </cell>
          <cell r="R48">
            <v>195</v>
          </cell>
          <cell r="U48">
            <v>341676</v>
          </cell>
          <cell r="V48" t="str">
            <v>Fax and data transmission</v>
          </cell>
          <cell r="W48">
            <v>195</v>
          </cell>
          <cell r="Z48">
            <v>341676</v>
          </cell>
          <cell r="AA48" t="str">
            <v>Fax and data transmission</v>
          </cell>
          <cell r="AB48">
            <v>659.58</v>
          </cell>
          <cell r="AE48">
            <v>331990</v>
          </cell>
          <cell r="AF48" t="str">
            <v>General office supplies</v>
          </cell>
          <cell r="AG48">
            <v>1430.81</v>
          </cell>
          <cell r="AJ48">
            <v>331575</v>
          </cell>
          <cell r="AK48" t="str">
            <v>Repairs - furniture</v>
          </cell>
          <cell r="AL48">
            <v>4131.25</v>
          </cell>
          <cell r="AO48">
            <v>331575</v>
          </cell>
          <cell r="AP48" t="str">
            <v>Repairs - furniture</v>
          </cell>
          <cell r="AQ48">
            <v>4131.25</v>
          </cell>
          <cell r="AT48">
            <v>331555</v>
          </cell>
          <cell r="AU48" t="str">
            <v>Stationery</v>
          </cell>
          <cell r="AV48">
            <v>2318.15</v>
          </cell>
          <cell r="AY48">
            <v>3200</v>
          </cell>
          <cell r="AZ48" t="str">
            <v>Profit and Loss Account</v>
          </cell>
          <cell r="BA48">
            <v>927660.97</v>
          </cell>
          <cell r="BD48">
            <v>312171</v>
          </cell>
          <cell r="BE48" t="str">
            <v>Warehousing costs</v>
          </cell>
          <cell r="BF48">
            <v>248599.48</v>
          </cell>
          <cell r="BI48">
            <v>312124</v>
          </cell>
          <cell r="BJ48" t="str">
            <v>Purchases - freight</v>
          </cell>
          <cell r="BK48">
            <v>73652.38</v>
          </cell>
        </row>
        <row r="49">
          <cell r="A49">
            <v>342049</v>
          </cell>
          <cell r="B49" t="str">
            <v>Subscriptions - periodicals</v>
          </cell>
          <cell r="F49">
            <v>341772</v>
          </cell>
          <cell r="G49" t="str">
            <v>Telephone - landline</v>
          </cell>
          <cell r="H49">
            <v>290.85000000000002</v>
          </cell>
          <cell r="K49">
            <v>341772</v>
          </cell>
          <cell r="L49" t="str">
            <v>Telephone - landline</v>
          </cell>
          <cell r="M49">
            <v>497.48</v>
          </cell>
          <cell r="P49">
            <v>341772</v>
          </cell>
          <cell r="Q49" t="str">
            <v>Telephone - landline</v>
          </cell>
          <cell r="R49">
            <v>1468.52</v>
          </cell>
          <cell r="U49">
            <v>341772</v>
          </cell>
          <cell r="V49" t="str">
            <v>Telephone - landline</v>
          </cell>
          <cell r="W49">
            <v>1987.89</v>
          </cell>
          <cell r="Z49">
            <v>341772</v>
          </cell>
          <cell r="AA49" t="str">
            <v>Telephone - landline</v>
          </cell>
          <cell r="AB49">
            <v>2956.02</v>
          </cell>
          <cell r="AE49">
            <v>341676</v>
          </cell>
          <cell r="AF49" t="str">
            <v>Fax and data transmission</v>
          </cell>
          <cell r="AG49">
            <v>400</v>
          </cell>
          <cell r="AJ49">
            <v>331990</v>
          </cell>
          <cell r="AK49" t="str">
            <v>General office supplies</v>
          </cell>
          <cell r="AL49">
            <v>2339.9899999999998</v>
          </cell>
          <cell r="AO49">
            <v>331990</v>
          </cell>
          <cell r="AP49" t="str">
            <v>General office supplies</v>
          </cell>
          <cell r="AQ49">
            <v>2420.13</v>
          </cell>
          <cell r="AT49">
            <v>331574</v>
          </cell>
          <cell r="AU49" t="str">
            <v>Repairs - equipment</v>
          </cell>
          <cell r="AV49">
            <v>406.87</v>
          </cell>
          <cell r="AY49">
            <v>331555</v>
          </cell>
          <cell r="AZ49" t="str">
            <v>Stationery</v>
          </cell>
          <cell r="BA49">
            <v>2493.52</v>
          </cell>
          <cell r="BD49">
            <v>3200</v>
          </cell>
          <cell r="BE49" t="str">
            <v>Profit and Loss Account</v>
          </cell>
          <cell r="BF49">
            <v>927660.97</v>
          </cell>
          <cell r="BI49">
            <v>312171</v>
          </cell>
          <cell r="BJ49" t="str">
            <v>Warehousing costs</v>
          </cell>
          <cell r="BK49">
            <v>291995.46000000002</v>
          </cell>
        </row>
        <row r="50">
          <cell r="A50">
            <v>342291</v>
          </cell>
          <cell r="B50" t="str">
            <v>Computer software</v>
          </cell>
          <cell r="F50">
            <v>341773</v>
          </cell>
          <cell r="G50" t="str">
            <v>Telephone - mobile</v>
          </cell>
          <cell r="H50">
            <v>1534.14</v>
          </cell>
          <cell r="K50">
            <v>341773</v>
          </cell>
          <cell r="L50" t="str">
            <v>Telephone - mobile</v>
          </cell>
          <cell r="M50">
            <v>1057.72</v>
          </cell>
          <cell r="P50">
            <v>341773</v>
          </cell>
          <cell r="Q50" t="str">
            <v>Telephone - mobile</v>
          </cell>
          <cell r="R50">
            <v>2468.1</v>
          </cell>
          <cell r="U50">
            <v>341773</v>
          </cell>
          <cell r="V50" t="str">
            <v>Telephone - mobile</v>
          </cell>
          <cell r="W50">
            <v>2989.37</v>
          </cell>
          <cell r="Z50">
            <v>341773</v>
          </cell>
          <cell r="AA50" t="str">
            <v>Telephone - mobile</v>
          </cell>
          <cell r="AB50">
            <v>3389.66</v>
          </cell>
          <cell r="AE50">
            <v>341772</v>
          </cell>
          <cell r="AF50" t="str">
            <v>Telephone - landline</v>
          </cell>
          <cell r="AG50">
            <v>3615.49</v>
          </cell>
          <cell r="AJ50">
            <v>341676</v>
          </cell>
          <cell r="AK50" t="str">
            <v>Fax and data transmission</v>
          </cell>
          <cell r="AL50">
            <v>538.71</v>
          </cell>
          <cell r="AO50">
            <v>341676</v>
          </cell>
          <cell r="AP50" t="str">
            <v>Fax and data transmission</v>
          </cell>
          <cell r="AQ50">
            <v>1051.04</v>
          </cell>
          <cell r="AT50">
            <v>331575</v>
          </cell>
          <cell r="AU50" t="str">
            <v>Repairs - furniture</v>
          </cell>
          <cell r="AV50">
            <v>4131.25</v>
          </cell>
          <cell r="AY50">
            <v>331574</v>
          </cell>
          <cell r="AZ50" t="str">
            <v>Repairs - equipment</v>
          </cell>
          <cell r="BA50">
            <v>406.87</v>
          </cell>
          <cell r="BD50">
            <v>331555</v>
          </cell>
          <cell r="BE50" t="str">
            <v>Stationery</v>
          </cell>
          <cell r="BF50">
            <v>2599.41</v>
          </cell>
          <cell r="BI50">
            <v>3200</v>
          </cell>
          <cell r="BJ50" t="str">
            <v>Profit and Loss Account</v>
          </cell>
          <cell r="BK50">
            <v>927660.97</v>
          </cell>
        </row>
        <row r="51">
          <cell r="A51">
            <v>342631</v>
          </cell>
          <cell r="B51" t="str">
            <v>Advisory and consultants</v>
          </cell>
          <cell r="F51">
            <v>342049</v>
          </cell>
          <cell r="G51" t="str">
            <v>Subscriptions - periodicals</v>
          </cell>
          <cell r="K51">
            <v>342049</v>
          </cell>
          <cell r="L51" t="str">
            <v>Subscriptions - periodicals</v>
          </cell>
          <cell r="P51">
            <v>342049</v>
          </cell>
          <cell r="Q51" t="str">
            <v>Subscriptions - periodicals</v>
          </cell>
          <cell r="U51">
            <v>342049</v>
          </cell>
          <cell r="V51" t="str">
            <v>Subscriptions - periodicals</v>
          </cell>
          <cell r="Z51">
            <v>342049</v>
          </cell>
          <cell r="AA51" t="str">
            <v>Subscriptions - periodicals</v>
          </cell>
          <cell r="AE51">
            <v>341773</v>
          </cell>
          <cell r="AF51" t="str">
            <v>Telephone - mobile</v>
          </cell>
          <cell r="AG51">
            <v>4415.18</v>
          </cell>
          <cell r="AJ51">
            <v>341772</v>
          </cell>
          <cell r="AK51" t="str">
            <v>Telephone - landline</v>
          </cell>
          <cell r="AL51">
            <v>3840.7</v>
          </cell>
          <cell r="AO51">
            <v>341772</v>
          </cell>
          <cell r="AP51" t="str">
            <v>Telephone - landline</v>
          </cell>
          <cell r="AQ51">
            <v>4828.7700000000004</v>
          </cell>
          <cell r="AT51">
            <v>331990</v>
          </cell>
          <cell r="AU51" t="str">
            <v>General office supplies</v>
          </cell>
          <cell r="AV51">
            <v>2422.83</v>
          </cell>
          <cell r="AY51">
            <v>331575</v>
          </cell>
          <cell r="AZ51" t="str">
            <v>Repairs - furniture</v>
          </cell>
          <cell r="BA51">
            <v>4131.25</v>
          </cell>
          <cell r="BD51">
            <v>331574</v>
          </cell>
          <cell r="BE51" t="str">
            <v>Repairs - equipment</v>
          </cell>
          <cell r="BF51">
            <v>406.87</v>
          </cell>
          <cell r="BI51">
            <v>331555</v>
          </cell>
          <cell r="BJ51" t="str">
            <v>Stationery</v>
          </cell>
          <cell r="BK51">
            <v>2667.7</v>
          </cell>
        </row>
        <row r="52">
          <cell r="A52">
            <v>342632</v>
          </cell>
          <cell r="B52" t="str">
            <v>Printing</v>
          </cell>
          <cell r="F52">
            <v>342291</v>
          </cell>
          <cell r="G52" t="str">
            <v>Computer software</v>
          </cell>
          <cell r="K52">
            <v>342291</v>
          </cell>
          <cell r="L52" t="str">
            <v>Computer software</v>
          </cell>
          <cell r="P52">
            <v>342291</v>
          </cell>
          <cell r="Q52" t="str">
            <v>Computer software</v>
          </cell>
          <cell r="U52">
            <v>342291</v>
          </cell>
          <cell r="V52" t="str">
            <v>Computer software</v>
          </cell>
          <cell r="Z52">
            <v>342291</v>
          </cell>
          <cell r="AA52" t="str">
            <v>Computer software</v>
          </cell>
          <cell r="AE52">
            <v>342049</v>
          </cell>
          <cell r="AF52" t="str">
            <v>Subscriptions - periodicals</v>
          </cell>
          <cell r="AJ52">
            <v>341773</v>
          </cell>
          <cell r="AK52" t="str">
            <v>Telephone - mobile</v>
          </cell>
          <cell r="AL52">
            <v>5070.8599999999997</v>
          </cell>
          <cell r="AO52">
            <v>341773</v>
          </cell>
          <cell r="AP52" t="str">
            <v>Telephone - mobile</v>
          </cell>
          <cell r="AQ52">
            <v>5730.01</v>
          </cell>
          <cell r="AT52">
            <v>341676</v>
          </cell>
          <cell r="AU52" t="str">
            <v>Fax and data transmission</v>
          </cell>
          <cell r="AV52">
            <v>1719.19</v>
          </cell>
          <cell r="AY52">
            <v>331990</v>
          </cell>
          <cell r="AZ52" t="str">
            <v>General office supplies</v>
          </cell>
          <cell r="BA52">
            <v>2442.39</v>
          </cell>
          <cell r="BD52">
            <v>331575</v>
          </cell>
          <cell r="BE52" t="str">
            <v>Repairs - furniture</v>
          </cell>
          <cell r="BF52">
            <v>4131.25</v>
          </cell>
          <cell r="BI52">
            <v>331574</v>
          </cell>
          <cell r="BJ52" t="str">
            <v>Repairs - equipment</v>
          </cell>
          <cell r="BK52">
            <v>406.87</v>
          </cell>
        </row>
        <row r="53">
          <cell r="A53">
            <v>342634</v>
          </cell>
          <cell r="B53" t="str">
            <v>Professional services</v>
          </cell>
          <cell r="D53">
            <v>25725.53</v>
          </cell>
          <cell r="F53">
            <v>342631</v>
          </cell>
          <cell r="G53" t="str">
            <v>Advisory and consultants</v>
          </cell>
          <cell r="K53">
            <v>342631</v>
          </cell>
          <cell r="L53" t="str">
            <v>Advisory and consultants</v>
          </cell>
          <cell r="P53">
            <v>342631</v>
          </cell>
          <cell r="Q53" t="str">
            <v>Advisory and consultants</v>
          </cell>
          <cell r="U53">
            <v>342631</v>
          </cell>
          <cell r="V53" t="str">
            <v>Advisory and consultants</v>
          </cell>
          <cell r="W53">
            <v>9200</v>
          </cell>
          <cell r="Z53">
            <v>342631</v>
          </cell>
          <cell r="AA53" t="str">
            <v>Advisory and consultants</v>
          </cell>
          <cell r="AB53">
            <v>10200</v>
          </cell>
          <cell r="AE53">
            <v>342291</v>
          </cell>
          <cell r="AF53" t="str">
            <v>Computer software</v>
          </cell>
          <cell r="AJ53">
            <v>342049</v>
          </cell>
          <cell r="AK53" t="str">
            <v>Subscriptions - periodicals</v>
          </cell>
          <cell r="AO53">
            <v>342049</v>
          </cell>
          <cell r="AP53" t="str">
            <v>Subscriptions - periodicals</v>
          </cell>
          <cell r="AT53">
            <v>341772</v>
          </cell>
          <cell r="AU53" t="str">
            <v>Telephone - landline</v>
          </cell>
          <cell r="AV53">
            <v>4828.7700000000004</v>
          </cell>
          <cell r="AY53">
            <v>341676</v>
          </cell>
          <cell r="AZ53" t="str">
            <v>Fax and data transmission</v>
          </cell>
          <cell r="BA53">
            <v>2124.21</v>
          </cell>
          <cell r="BD53">
            <v>331990</v>
          </cell>
          <cell r="BE53" t="str">
            <v>General office supplies</v>
          </cell>
          <cell r="BF53">
            <v>2605.0300000000002</v>
          </cell>
          <cell r="BI53">
            <v>331575</v>
          </cell>
          <cell r="BJ53" t="str">
            <v>Repairs - furniture</v>
          </cell>
          <cell r="BK53">
            <v>4131.25</v>
          </cell>
        </row>
        <row r="54">
          <cell r="A54">
            <v>342637</v>
          </cell>
          <cell r="B54" t="str">
            <v>Recruitment expenses</v>
          </cell>
          <cell r="D54">
            <v>22230</v>
          </cell>
          <cell r="F54">
            <v>342632</v>
          </cell>
          <cell r="G54" t="str">
            <v>Printing</v>
          </cell>
          <cell r="H54">
            <v>161.1</v>
          </cell>
          <cell r="K54">
            <v>342632</v>
          </cell>
          <cell r="L54" t="str">
            <v>Printing</v>
          </cell>
          <cell r="M54">
            <v>75.959999999999994</v>
          </cell>
          <cell r="P54">
            <v>342632</v>
          </cell>
          <cell r="Q54" t="str">
            <v>Printing</v>
          </cell>
          <cell r="R54">
            <v>256.54000000000002</v>
          </cell>
          <cell r="U54">
            <v>342632</v>
          </cell>
          <cell r="V54" t="str">
            <v>Printing</v>
          </cell>
          <cell r="W54">
            <v>1923.41</v>
          </cell>
          <cell r="Z54">
            <v>342632</v>
          </cell>
          <cell r="AA54" t="str">
            <v>Printing</v>
          </cell>
          <cell r="AB54">
            <v>1923.41</v>
          </cell>
          <cell r="AE54">
            <v>342631</v>
          </cell>
          <cell r="AF54" t="str">
            <v>Advisory and consultants</v>
          </cell>
          <cell r="AG54">
            <v>9200</v>
          </cell>
          <cell r="AJ54">
            <v>342291</v>
          </cell>
          <cell r="AK54" t="str">
            <v>Computer software</v>
          </cell>
          <cell r="AL54">
            <v>31.47</v>
          </cell>
          <cell r="AO54">
            <v>342291</v>
          </cell>
          <cell r="AP54" t="str">
            <v>Computer software</v>
          </cell>
          <cell r="AQ54">
            <v>31.47</v>
          </cell>
          <cell r="AT54">
            <v>341773</v>
          </cell>
          <cell r="AU54" t="str">
            <v>Telephone - mobile</v>
          </cell>
          <cell r="AV54">
            <v>5975.09</v>
          </cell>
          <cell r="AY54">
            <v>341772</v>
          </cell>
          <cell r="AZ54" t="str">
            <v>Telephone - landline</v>
          </cell>
          <cell r="BA54">
            <v>4838.7700000000004</v>
          </cell>
          <cell r="BD54">
            <v>341676</v>
          </cell>
          <cell r="BE54" t="str">
            <v>Fax and data transmission</v>
          </cell>
          <cell r="BF54">
            <v>2417.11</v>
          </cell>
          <cell r="BI54">
            <v>331990</v>
          </cell>
          <cell r="BJ54" t="str">
            <v>General office supplies</v>
          </cell>
          <cell r="BK54">
            <v>2729.02</v>
          </cell>
        </row>
        <row r="55">
          <cell r="A55">
            <v>342646</v>
          </cell>
          <cell r="B55" t="str">
            <v>Design services</v>
          </cell>
          <cell r="F55">
            <v>342634</v>
          </cell>
          <cell r="G55" t="str">
            <v>Professional services</v>
          </cell>
          <cell r="I55">
            <v>23280.33</v>
          </cell>
          <cell r="K55">
            <v>342634</v>
          </cell>
          <cell r="L55" t="str">
            <v>Professional services</v>
          </cell>
          <cell r="N55">
            <v>25073.5</v>
          </cell>
          <cell r="P55">
            <v>342634</v>
          </cell>
          <cell r="Q55" t="str">
            <v>Professional services</v>
          </cell>
          <cell r="R55">
            <v>27971.47</v>
          </cell>
          <cell r="U55">
            <v>342634</v>
          </cell>
          <cell r="V55" t="str">
            <v>Professional services</v>
          </cell>
          <cell r="W55">
            <v>66051.61</v>
          </cell>
          <cell r="Z55">
            <v>342634</v>
          </cell>
          <cell r="AA55" t="str">
            <v>Professional services</v>
          </cell>
          <cell r="AB55">
            <v>91661.38</v>
          </cell>
          <cell r="AE55">
            <v>342632</v>
          </cell>
          <cell r="AF55" t="str">
            <v>Printing</v>
          </cell>
          <cell r="AG55">
            <v>2146.4</v>
          </cell>
          <cell r="AJ55">
            <v>342438</v>
          </cell>
          <cell r="AK55" t="str">
            <v>Legal fees</v>
          </cell>
          <cell r="AL55">
            <v>50847.28</v>
          </cell>
          <cell r="AO55">
            <v>342438</v>
          </cell>
          <cell r="AP55" t="str">
            <v>Legal fees</v>
          </cell>
          <cell r="AQ55">
            <v>50847.28</v>
          </cell>
          <cell r="AT55">
            <v>342049</v>
          </cell>
          <cell r="AU55" t="str">
            <v>Subscriptions - periodicals</v>
          </cell>
          <cell r="AV55">
            <v>222.5</v>
          </cell>
          <cell r="AY55">
            <v>341773</v>
          </cell>
          <cell r="AZ55" t="str">
            <v>Telephone - mobile</v>
          </cell>
          <cell r="BA55">
            <v>6565.54</v>
          </cell>
          <cell r="BD55">
            <v>341772</v>
          </cell>
          <cell r="BE55" t="str">
            <v>Telephone - landline</v>
          </cell>
          <cell r="BF55">
            <v>5096.3999999999996</v>
          </cell>
          <cell r="BI55">
            <v>341676</v>
          </cell>
          <cell r="BJ55" t="str">
            <v>Fax and data transmission</v>
          </cell>
          <cell r="BK55">
            <v>2999.1</v>
          </cell>
        </row>
        <row r="56">
          <cell r="A56">
            <v>342647</v>
          </cell>
          <cell r="B56" t="str">
            <v>Market research</v>
          </cell>
          <cell r="F56">
            <v>342637</v>
          </cell>
          <cell r="G56" t="str">
            <v>Recruitment expenses</v>
          </cell>
          <cell r="I56">
            <v>22230</v>
          </cell>
          <cell r="K56">
            <v>342637</v>
          </cell>
          <cell r="L56" t="str">
            <v>Recruitment expenses</v>
          </cell>
          <cell r="N56">
            <v>22230</v>
          </cell>
          <cell r="P56">
            <v>342637</v>
          </cell>
          <cell r="Q56" t="str">
            <v>Recruitment expenses</v>
          </cell>
          <cell r="R56">
            <v>8820</v>
          </cell>
          <cell r="U56">
            <v>342637</v>
          </cell>
          <cell r="V56" t="str">
            <v>Recruitment expenses</v>
          </cell>
          <cell r="W56">
            <v>8820</v>
          </cell>
          <cell r="Z56">
            <v>342637</v>
          </cell>
          <cell r="AA56" t="str">
            <v>Recruitment expenses</v>
          </cell>
          <cell r="AB56">
            <v>8838.4</v>
          </cell>
          <cell r="AE56">
            <v>342634</v>
          </cell>
          <cell r="AF56" t="str">
            <v>Professional services</v>
          </cell>
          <cell r="AG56">
            <v>125792.38</v>
          </cell>
          <cell r="AJ56">
            <v>342631</v>
          </cell>
          <cell r="AK56" t="str">
            <v>Advisory and consultants</v>
          </cell>
          <cell r="AL56">
            <v>9050.19</v>
          </cell>
          <cell r="AO56">
            <v>342631</v>
          </cell>
          <cell r="AP56" t="str">
            <v>Advisory and consultants</v>
          </cell>
          <cell r="AQ56">
            <v>13050.19</v>
          </cell>
          <cell r="AT56">
            <v>342291</v>
          </cell>
          <cell r="AU56" t="str">
            <v>Computer software</v>
          </cell>
          <cell r="AV56">
            <v>31.47</v>
          </cell>
          <cell r="AY56">
            <v>342049</v>
          </cell>
          <cell r="AZ56" t="str">
            <v>Subscriptions - periodicals</v>
          </cell>
          <cell r="BA56">
            <v>222.5</v>
          </cell>
          <cell r="BD56">
            <v>341773</v>
          </cell>
          <cell r="BE56" t="str">
            <v>Telephone - mobile</v>
          </cell>
          <cell r="BF56">
            <v>7384.76</v>
          </cell>
          <cell r="BI56">
            <v>341772</v>
          </cell>
          <cell r="BJ56" t="str">
            <v>Telephone - landline</v>
          </cell>
          <cell r="BK56">
            <v>5096.3999999999996</v>
          </cell>
        </row>
        <row r="57">
          <cell r="A57">
            <v>342674</v>
          </cell>
          <cell r="B57" t="str">
            <v>Payroll bureau</v>
          </cell>
          <cell r="F57">
            <v>342646</v>
          </cell>
          <cell r="G57" t="str">
            <v>Design services</v>
          </cell>
          <cell r="H57">
            <v>1937.5</v>
          </cell>
          <cell r="K57">
            <v>342646</v>
          </cell>
          <cell r="L57" t="str">
            <v>Design services</v>
          </cell>
          <cell r="M57">
            <v>1937.5</v>
          </cell>
          <cell r="P57">
            <v>342646</v>
          </cell>
          <cell r="Q57" t="str">
            <v>Design services</v>
          </cell>
          <cell r="R57">
            <v>22594.080000000002</v>
          </cell>
          <cell r="U57">
            <v>342646</v>
          </cell>
          <cell r="V57" t="str">
            <v>Design services</v>
          </cell>
          <cell r="W57">
            <v>23794.080000000002</v>
          </cell>
          <cell r="Z57">
            <v>342646</v>
          </cell>
          <cell r="AA57" t="str">
            <v>Design services</v>
          </cell>
          <cell r="AB57">
            <v>23994.080000000002</v>
          </cell>
          <cell r="AE57">
            <v>342637</v>
          </cell>
          <cell r="AF57" t="str">
            <v>Recruitment expenses</v>
          </cell>
          <cell r="AG57">
            <v>8838.4</v>
          </cell>
          <cell r="AJ57">
            <v>342632</v>
          </cell>
          <cell r="AK57" t="str">
            <v>Printing</v>
          </cell>
          <cell r="AL57">
            <v>7355.57</v>
          </cell>
          <cell r="AO57">
            <v>342632</v>
          </cell>
          <cell r="AP57" t="str">
            <v>Printing</v>
          </cell>
          <cell r="AQ57">
            <v>7551.46</v>
          </cell>
          <cell r="AT57">
            <v>342438</v>
          </cell>
          <cell r="AU57" t="str">
            <v>Legal fees</v>
          </cell>
          <cell r="AV57">
            <v>55673.279999999999</v>
          </cell>
          <cell r="AY57">
            <v>342291</v>
          </cell>
          <cell r="AZ57" t="str">
            <v>Computer software</v>
          </cell>
          <cell r="BA57">
            <v>31.47</v>
          </cell>
          <cell r="BD57">
            <v>342049</v>
          </cell>
          <cell r="BE57" t="str">
            <v>Subscriptions - periodicals</v>
          </cell>
          <cell r="BF57">
            <v>397.5</v>
          </cell>
          <cell r="BI57">
            <v>341773</v>
          </cell>
          <cell r="BJ57" t="str">
            <v>Telephone - mobile</v>
          </cell>
          <cell r="BK57">
            <v>8145.41</v>
          </cell>
        </row>
        <row r="58">
          <cell r="A58">
            <v>342695</v>
          </cell>
          <cell r="B58" t="str">
            <v>Waste disposal</v>
          </cell>
          <cell r="F58">
            <v>342647</v>
          </cell>
          <cell r="G58" t="str">
            <v>Market research</v>
          </cell>
          <cell r="H58">
            <v>1800</v>
          </cell>
          <cell r="K58">
            <v>342647</v>
          </cell>
          <cell r="L58" t="str">
            <v>Market research</v>
          </cell>
          <cell r="M58">
            <v>1800</v>
          </cell>
          <cell r="P58">
            <v>342647</v>
          </cell>
          <cell r="Q58" t="str">
            <v>Market research</v>
          </cell>
          <cell r="R58">
            <v>1800</v>
          </cell>
          <cell r="U58">
            <v>342647</v>
          </cell>
          <cell r="V58" t="str">
            <v>Market research</v>
          </cell>
          <cell r="W58">
            <v>4700</v>
          </cell>
          <cell r="Z58">
            <v>342647</v>
          </cell>
          <cell r="AA58" t="str">
            <v>Market research</v>
          </cell>
          <cell r="AB58">
            <v>4700</v>
          </cell>
          <cell r="AE58">
            <v>342646</v>
          </cell>
          <cell r="AF58" t="str">
            <v>Design services</v>
          </cell>
          <cell r="AG58">
            <v>23994.080000000002</v>
          </cell>
          <cell r="AJ58">
            <v>342634</v>
          </cell>
          <cell r="AK58" t="str">
            <v>Professional services</v>
          </cell>
          <cell r="AL58">
            <v>155397.6</v>
          </cell>
          <cell r="AO58">
            <v>342634</v>
          </cell>
          <cell r="AP58" t="str">
            <v>Professional services</v>
          </cell>
          <cell r="AQ58">
            <v>185904.01</v>
          </cell>
          <cell r="AT58">
            <v>342631</v>
          </cell>
          <cell r="AU58" t="str">
            <v>Advisory and consultants</v>
          </cell>
          <cell r="AV58">
            <v>13050.19</v>
          </cell>
          <cell r="AY58">
            <v>342438</v>
          </cell>
          <cell r="AZ58" t="str">
            <v>Legal fees</v>
          </cell>
          <cell r="BA58">
            <v>55673.279999999999</v>
          </cell>
          <cell r="BD58">
            <v>342291</v>
          </cell>
          <cell r="BE58" t="str">
            <v>Computer software</v>
          </cell>
          <cell r="BF58">
            <v>3091.81</v>
          </cell>
          <cell r="BI58">
            <v>342049</v>
          </cell>
          <cell r="BJ58" t="str">
            <v>Subscriptions - periodicals</v>
          </cell>
          <cell r="BK58">
            <v>397.5</v>
          </cell>
        </row>
        <row r="59">
          <cell r="A59">
            <v>342699</v>
          </cell>
          <cell r="B59" t="str">
            <v>Cleaning and caretaker</v>
          </cell>
          <cell r="C59">
            <v>811</v>
          </cell>
          <cell r="F59">
            <v>342674</v>
          </cell>
          <cell r="G59" t="str">
            <v>Payroll bureau</v>
          </cell>
          <cell r="K59">
            <v>342674</v>
          </cell>
          <cell r="L59" t="str">
            <v>Payroll bureau</v>
          </cell>
          <cell r="P59">
            <v>342674</v>
          </cell>
          <cell r="Q59" t="str">
            <v>Payroll bureau</v>
          </cell>
          <cell r="U59">
            <v>342674</v>
          </cell>
          <cell r="V59" t="str">
            <v>Payroll bureau</v>
          </cell>
          <cell r="Z59">
            <v>342674</v>
          </cell>
          <cell r="AA59" t="str">
            <v>Payroll bureau</v>
          </cell>
          <cell r="AE59">
            <v>342647</v>
          </cell>
          <cell r="AF59" t="str">
            <v>Market research</v>
          </cell>
          <cell r="AG59">
            <v>4700</v>
          </cell>
          <cell r="AJ59">
            <v>342637</v>
          </cell>
          <cell r="AK59" t="str">
            <v>Recruitment expenses</v>
          </cell>
          <cell r="AM59">
            <v>17281.849999999999</v>
          </cell>
          <cell r="AO59">
            <v>342637</v>
          </cell>
          <cell r="AP59" t="str">
            <v>Recruitment expenses</v>
          </cell>
          <cell r="AR59">
            <v>17281.849999999999</v>
          </cell>
          <cell r="AT59">
            <v>342632</v>
          </cell>
          <cell r="AU59" t="str">
            <v>Printing</v>
          </cell>
          <cell r="AV59">
            <v>7958.42</v>
          </cell>
          <cell r="AY59">
            <v>342631</v>
          </cell>
          <cell r="AZ59" t="str">
            <v>Advisory and consultants</v>
          </cell>
          <cell r="BA59">
            <v>13050.19</v>
          </cell>
          <cell r="BD59">
            <v>342438</v>
          </cell>
          <cell r="BE59" t="str">
            <v>Legal fees</v>
          </cell>
          <cell r="BF59">
            <v>57469.67</v>
          </cell>
          <cell r="BI59">
            <v>342291</v>
          </cell>
          <cell r="BJ59" t="str">
            <v>Computer software</v>
          </cell>
          <cell r="BK59">
            <v>3091.81</v>
          </cell>
        </row>
        <row r="60">
          <cell r="A60">
            <v>342887</v>
          </cell>
          <cell r="B60" t="str">
            <v>Postages</v>
          </cell>
          <cell r="F60">
            <v>342695</v>
          </cell>
          <cell r="G60" t="str">
            <v>Waste disposal</v>
          </cell>
          <cell r="K60">
            <v>342695</v>
          </cell>
          <cell r="L60" t="str">
            <v>Waste disposal</v>
          </cell>
          <cell r="P60">
            <v>342695</v>
          </cell>
          <cell r="Q60" t="str">
            <v>Waste disposal</v>
          </cell>
          <cell r="R60">
            <v>325</v>
          </cell>
          <cell r="U60">
            <v>342695</v>
          </cell>
          <cell r="V60" t="str">
            <v>Waste disposal</v>
          </cell>
          <cell r="W60">
            <v>325</v>
          </cell>
          <cell r="Z60">
            <v>342695</v>
          </cell>
          <cell r="AA60" t="str">
            <v>Waste disposal</v>
          </cell>
          <cell r="AB60">
            <v>325</v>
          </cell>
          <cell r="AE60">
            <v>342674</v>
          </cell>
          <cell r="AF60" t="str">
            <v>Payroll bureau</v>
          </cell>
          <cell r="AJ60">
            <v>342646</v>
          </cell>
          <cell r="AK60" t="str">
            <v>Design services</v>
          </cell>
          <cell r="AL60">
            <v>26799.08</v>
          </cell>
          <cell r="AO60">
            <v>342646</v>
          </cell>
          <cell r="AP60" t="str">
            <v>Design services</v>
          </cell>
          <cell r="AQ60">
            <v>31864.080000000002</v>
          </cell>
          <cell r="AT60">
            <v>342634</v>
          </cell>
          <cell r="AU60" t="str">
            <v>Professional services</v>
          </cell>
          <cell r="AV60">
            <v>201711.01</v>
          </cell>
          <cell r="AY60">
            <v>342632</v>
          </cell>
          <cell r="AZ60" t="str">
            <v>Printing</v>
          </cell>
          <cell r="BA60">
            <v>8434.42</v>
          </cell>
          <cell r="BD60">
            <v>342631</v>
          </cell>
          <cell r="BE60" t="str">
            <v>Advisory and consultants</v>
          </cell>
          <cell r="BF60">
            <v>13050.19</v>
          </cell>
          <cell r="BI60">
            <v>342438</v>
          </cell>
          <cell r="BJ60" t="str">
            <v>Legal fees</v>
          </cell>
          <cell r="BK60">
            <v>62240.78</v>
          </cell>
        </row>
        <row r="61">
          <cell r="A61">
            <v>342890</v>
          </cell>
          <cell r="B61" t="str">
            <v>Courier charges</v>
          </cell>
          <cell r="C61">
            <v>182</v>
          </cell>
          <cell r="F61">
            <v>342699</v>
          </cell>
          <cell r="G61" t="str">
            <v>Cleaning and caretaker</v>
          </cell>
          <cell r="H61">
            <v>2195.9499999999998</v>
          </cell>
          <cell r="K61">
            <v>342699</v>
          </cell>
          <cell r="L61" t="str">
            <v>Cleaning and caretaker</v>
          </cell>
          <cell r="M61">
            <v>1542</v>
          </cell>
          <cell r="P61">
            <v>342699</v>
          </cell>
          <cell r="Q61" t="str">
            <v>Cleaning and caretaker</v>
          </cell>
          <cell r="R61">
            <v>2977.95</v>
          </cell>
          <cell r="U61">
            <v>342699</v>
          </cell>
          <cell r="V61" t="str">
            <v>Cleaning and caretaker</v>
          </cell>
          <cell r="W61">
            <v>4261.95</v>
          </cell>
          <cell r="Z61">
            <v>342699</v>
          </cell>
          <cell r="AA61" t="str">
            <v>Cleaning and caretaker</v>
          </cell>
          <cell r="AB61">
            <v>4309.43</v>
          </cell>
          <cell r="AE61">
            <v>342695</v>
          </cell>
          <cell r="AF61" t="str">
            <v>Waste disposal</v>
          </cell>
          <cell r="AG61">
            <v>325</v>
          </cell>
          <cell r="AJ61">
            <v>342647</v>
          </cell>
          <cell r="AK61" t="str">
            <v>Market research</v>
          </cell>
          <cell r="AL61">
            <v>10547.12</v>
          </cell>
          <cell r="AO61">
            <v>342647</v>
          </cell>
          <cell r="AP61" t="str">
            <v>Market research</v>
          </cell>
          <cell r="AQ61">
            <v>19622.12</v>
          </cell>
          <cell r="AT61">
            <v>342637</v>
          </cell>
          <cell r="AU61" t="str">
            <v>Recruitment expenses</v>
          </cell>
          <cell r="AW61">
            <v>17281.849999999999</v>
          </cell>
          <cell r="AY61">
            <v>342634</v>
          </cell>
          <cell r="AZ61" t="str">
            <v>Professional services</v>
          </cell>
          <cell r="BA61">
            <v>263756.19</v>
          </cell>
          <cell r="BD61">
            <v>342632</v>
          </cell>
          <cell r="BE61" t="str">
            <v>Printing</v>
          </cell>
          <cell r="BF61">
            <v>10296.06</v>
          </cell>
          <cell r="BI61">
            <v>342631</v>
          </cell>
          <cell r="BJ61" t="str">
            <v>Advisory and consultants</v>
          </cell>
          <cell r="BK61">
            <v>13050.19</v>
          </cell>
        </row>
        <row r="62">
          <cell r="A62">
            <v>352603</v>
          </cell>
          <cell r="B62" t="str">
            <v>Subscriptions - professional</v>
          </cell>
          <cell r="F62">
            <v>342887</v>
          </cell>
          <cell r="G62" t="str">
            <v>Postages</v>
          </cell>
          <cell r="H62">
            <v>116.64</v>
          </cell>
          <cell r="K62">
            <v>342887</v>
          </cell>
          <cell r="L62" t="str">
            <v>Postages</v>
          </cell>
          <cell r="M62">
            <v>52.12</v>
          </cell>
          <cell r="P62">
            <v>342887</v>
          </cell>
          <cell r="Q62" t="str">
            <v>Postages</v>
          </cell>
          <cell r="R62">
            <v>233.52</v>
          </cell>
          <cell r="U62">
            <v>342887</v>
          </cell>
          <cell r="V62" t="str">
            <v>Postages</v>
          </cell>
          <cell r="W62">
            <v>300.04000000000002</v>
          </cell>
          <cell r="Z62">
            <v>342887</v>
          </cell>
          <cell r="AA62" t="str">
            <v>Postages</v>
          </cell>
          <cell r="AB62">
            <v>315.24</v>
          </cell>
          <cell r="AE62">
            <v>342699</v>
          </cell>
          <cell r="AF62" t="str">
            <v>Cleaning and caretaker</v>
          </cell>
          <cell r="AG62">
            <v>5033.2</v>
          </cell>
          <cell r="AJ62">
            <v>342674</v>
          </cell>
          <cell r="AK62" t="str">
            <v>Payroll bureau</v>
          </cell>
          <cell r="AO62">
            <v>342674</v>
          </cell>
          <cell r="AP62" t="str">
            <v>Payroll bureau</v>
          </cell>
          <cell r="AT62">
            <v>342646</v>
          </cell>
          <cell r="AU62" t="str">
            <v>Design services</v>
          </cell>
          <cell r="AV62">
            <v>31864.080000000002</v>
          </cell>
          <cell r="AY62">
            <v>342637</v>
          </cell>
          <cell r="AZ62" t="str">
            <v>Recruitment expenses</v>
          </cell>
          <cell r="BB62">
            <v>2881.85</v>
          </cell>
          <cell r="BD62">
            <v>342634</v>
          </cell>
          <cell r="BE62" t="str">
            <v>Professional services</v>
          </cell>
          <cell r="BF62">
            <v>311530.49</v>
          </cell>
          <cell r="BI62">
            <v>342632</v>
          </cell>
          <cell r="BJ62" t="str">
            <v>Printing</v>
          </cell>
          <cell r="BK62">
            <v>10383.870000000001</v>
          </cell>
        </row>
        <row r="63">
          <cell r="A63">
            <v>354490</v>
          </cell>
          <cell r="B63" t="str">
            <v>Insurance</v>
          </cell>
          <cell r="C63">
            <v>187.09</v>
          </cell>
          <cell r="F63">
            <v>342890</v>
          </cell>
          <cell r="G63" t="str">
            <v>Courier charges</v>
          </cell>
          <cell r="H63">
            <v>182</v>
          </cell>
          <cell r="K63">
            <v>342890</v>
          </cell>
          <cell r="L63" t="str">
            <v>Courier charges</v>
          </cell>
          <cell r="M63">
            <v>182</v>
          </cell>
          <cell r="P63">
            <v>342890</v>
          </cell>
          <cell r="Q63" t="str">
            <v>Courier charges</v>
          </cell>
          <cell r="R63">
            <v>604.45000000000005</v>
          </cell>
          <cell r="U63">
            <v>342890</v>
          </cell>
          <cell r="V63" t="str">
            <v>Courier charges</v>
          </cell>
          <cell r="W63">
            <v>892.49</v>
          </cell>
          <cell r="Z63">
            <v>342890</v>
          </cell>
          <cell r="AA63" t="str">
            <v>Courier charges</v>
          </cell>
          <cell r="AB63">
            <v>919.47</v>
          </cell>
          <cell r="AE63">
            <v>342887</v>
          </cell>
          <cell r="AF63" t="str">
            <v>Postages</v>
          </cell>
          <cell r="AG63">
            <v>352.32</v>
          </cell>
          <cell r="AJ63">
            <v>342695</v>
          </cell>
          <cell r="AK63" t="str">
            <v>Waste disposal</v>
          </cell>
          <cell r="AL63">
            <v>325</v>
          </cell>
          <cell r="AO63">
            <v>342695</v>
          </cell>
          <cell r="AP63" t="str">
            <v>Waste disposal</v>
          </cell>
          <cell r="AQ63">
            <v>325</v>
          </cell>
          <cell r="AT63">
            <v>342647</v>
          </cell>
          <cell r="AU63" t="str">
            <v>Market research</v>
          </cell>
          <cell r="AV63">
            <v>23109.62</v>
          </cell>
          <cell r="AY63">
            <v>342646</v>
          </cell>
          <cell r="AZ63" t="str">
            <v>Design services</v>
          </cell>
          <cell r="BA63">
            <v>32739.75</v>
          </cell>
          <cell r="BD63">
            <v>342637</v>
          </cell>
          <cell r="BE63" t="str">
            <v>Recruitment expenses</v>
          </cell>
          <cell r="BG63">
            <v>2881.85</v>
          </cell>
          <cell r="BI63">
            <v>342634</v>
          </cell>
          <cell r="BJ63" t="str">
            <v>Professional services</v>
          </cell>
          <cell r="BK63">
            <v>373194.92</v>
          </cell>
        </row>
        <row r="64">
          <cell r="A64">
            <v>361108</v>
          </cell>
          <cell r="B64" t="str">
            <v>Rent</v>
          </cell>
          <cell r="C64">
            <v>11561.93</v>
          </cell>
          <cell r="F64">
            <v>352603</v>
          </cell>
          <cell r="G64" t="str">
            <v>Subscriptions - professional</v>
          </cell>
          <cell r="H64">
            <v>667.06</v>
          </cell>
          <cell r="K64">
            <v>352603</v>
          </cell>
          <cell r="L64" t="str">
            <v>Subscriptions - professional</v>
          </cell>
          <cell r="M64">
            <v>167.06</v>
          </cell>
          <cell r="P64">
            <v>352603</v>
          </cell>
          <cell r="Q64" t="str">
            <v>Subscriptions - professional</v>
          </cell>
          <cell r="R64">
            <v>278.17</v>
          </cell>
          <cell r="U64">
            <v>352603</v>
          </cell>
          <cell r="V64" t="str">
            <v>Subscriptions - professional</v>
          </cell>
          <cell r="W64">
            <v>667.06</v>
          </cell>
          <cell r="Z64">
            <v>352603</v>
          </cell>
          <cell r="AA64" t="str">
            <v>Subscriptions - professional</v>
          </cell>
          <cell r="AB64">
            <v>389.28</v>
          </cell>
          <cell r="AE64">
            <v>342890</v>
          </cell>
          <cell r="AF64" t="str">
            <v>Courier charges</v>
          </cell>
          <cell r="AG64">
            <v>1061.47</v>
          </cell>
          <cell r="AJ64">
            <v>342699</v>
          </cell>
          <cell r="AK64" t="str">
            <v>Cleaning and caretaker</v>
          </cell>
          <cell r="AL64">
            <v>5720.2</v>
          </cell>
          <cell r="AO64">
            <v>342699</v>
          </cell>
          <cell r="AP64" t="str">
            <v>Cleaning and caretaker</v>
          </cell>
          <cell r="AQ64">
            <v>6364.05</v>
          </cell>
          <cell r="AT64">
            <v>342674</v>
          </cell>
          <cell r="AU64" t="str">
            <v>Payroll bureau</v>
          </cell>
          <cell r="AY64">
            <v>342647</v>
          </cell>
          <cell r="AZ64" t="str">
            <v>Market research</v>
          </cell>
          <cell r="BA64">
            <v>26597.119999999999</v>
          </cell>
          <cell r="BD64">
            <v>342646</v>
          </cell>
          <cell r="BE64" t="str">
            <v>Design services</v>
          </cell>
          <cell r="BF64">
            <v>45460.59</v>
          </cell>
          <cell r="BI64">
            <v>342637</v>
          </cell>
          <cell r="BJ64" t="str">
            <v>Recruitment expenses</v>
          </cell>
          <cell r="BL64">
            <v>2881.85</v>
          </cell>
        </row>
        <row r="65">
          <cell r="A65">
            <v>362841</v>
          </cell>
          <cell r="B65" t="str">
            <v>Equipment rental</v>
          </cell>
          <cell r="C65">
            <v>186.04</v>
          </cell>
          <cell r="F65">
            <v>354490</v>
          </cell>
          <cell r="G65" t="str">
            <v>Insurance</v>
          </cell>
          <cell r="H65">
            <v>413.58</v>
          </cell>
          <cell r="K65">
            <v>354490</v>
          </cell>
          <cell r="L65" t="str">
            <v>Insurance</v>
          </cell>
          <cell r="M65">
            <v>220.91</v>
          </cell>
          <cell r="P65">
            <v>354490</v>
          </cell>
          <cell r="Q65" t="str">
            <v>Insurance</v>
          </cell>
          <cell r="R65">
            <v>745.69</v>
          </cell>
          <cell r="U65">
            <v>354490</v>
          </cell>
          <cell r="V65" t="str">
            <v>Insurance</v>
          </cell>
          <cell r="X65">
            <v>307.39999999999998</v>
          </cell>
          <cell r="Z65">
            <v>354490</v>
          </cell>
          <cell r="AA65" t="str">
            <v>Insurance</v>
          </cell>
          <cell r="AB65">
            <v>745.69</v>
          </cell>
          <cell r="AE65">
            <v>352603</v>
          </cell>
          <cell r="AF65" t="str">
            <v>Subscriptions - professional</v>
          </cell>
          <cell r="AG65">
            <v>2667.06</v>
          </cell>
          <cell r="AJ65">
            <v>342887</v>
          </cell>
          <cell r="AK65" t="str">
            <v>Postages</v>
          </cell>
          <cell r="AL65">
            <v>385.74</v>
          </cell>
          <cell r="AO65">
            <v>342887</v>
          </cell>
          <cell r="AP65" t="str">
            <v>Postages</v>
          </cell>
          <cell r="AQ65">
            <v>440.26</v>
          </cell>
          <cell r="AT65">
            <v>342695</v>
          </cell>
          <cell r="AU65" t="str">
            <v>Waste disposal</v>
          </cell>
          <cell r="AV65">
            <v>484.6</v>
          </cell>
          <cell r="AY65">
            <v>342674</v>
          </cell>
          <cell r="AZ65" t="str">
            <v>Payroll bureau</v>
          </cell>
          <cell r="BD65">
            <v>342647</v>
          </cell>
          <cell r="BE65" t="str">
            <v>Market research</v>
          </cell>
          <cell r="BF65">
            <v>26597.119999999999</v>
          </cell>
          <cell r="BI65">
            <v>342646</v>
          </cell>
          <cell r="BJ65" t="str">
            <v>Design services</v>
          </cell>
          <cell r="BK65">
            <v>52335.19</v>
          </cell>
        </row>
        <row r="66">
          <cell r="A66">
            <v>363793</v>
          </cell>
          <cell r="B66" t="str">
            <v>Repairs - property</v>
          </cell>
          <cell r="C66">
            <v>144.68</v>
          </cell>
          <cell r="F66">
            <v>361108</v>
          </cell>
          <cell r="G66" t="str">
            <v>Rent</v>
          </cell>
          <cell r="H66">
            <v>8724.0499999999993</v>
          </cell>
          <cell r="K66">
            <v>361108</v>
          </cell>
          <cell r="L66" t="str">
            <v>Rent</v>
          </cell>
          <cell r="M66">
            <v>12791.92</v>
          </cell>
          <cell r="P66">
            <v>361108</v>
          </cell>
          <cell r="Q66" t="str">
            <v>Rent</v>
          </cell>
          <cell r="R66">
            <v>20241.18</v>
          </cell>
          <cell r="U66">
            <v>361108</v>
          </cell>
          <cell r="V66" t="str">
            <v>Rent</v>
          </cell>
          <cell r="W66">
            <v>20241.18</v>
          </cell>
          <cell r="Z66">
            <v>361108</v>
          </cell>
          <cell r="AA66" t="str">
            <v>Rent</v>
          </cell>
          <cell r="AB66">
            <v>23890.18</v>
          </cell>
          <cell r="AE66">
            <v>354490</v>
          </cell>
          <cell r="AF66" t="str">
            <v>Insurance</v>
          </cell>
          <cell r="AG66">
            <v>779.5</v>
          </cell>
          <cell r="AJ66">
            <v>342890</v>
          </cell>
          <cell r="AK66" t="str">
            <v>Courier charges</v>
          </cell>
          <cell r="AL66">
            <v>1158.5</v>
          </cell>
          <cell r="AO66">
            <v>342890</v>
          </cell>
          <cell r="AP66" t="str">
            <v>Courier charges</v>
          </cell>
          <cell r="AQ66">
            <v>1240.03</v>
          </cell>
          <cell r="AT66">
            <v>342699</v>
          </cell>
          <cell r="AU66" t="str">
            <v>Cleaning and caretaker</v>
          </cell>
          <cell r="AV66">
            <v>7159.05</v>
          </cell>
          <cell r="AY66">
            <v>342695</v>
          </cell>
          <cell r="AZ66" t="str">
            <v>Waste disposal</v>
          </cell>
          <cell r="BA66">
            <v>484.6</v>
          </cell>
          <cell r="BD66">
            <v>342674</v>
          </cell>
          <cell r="BE66" t="str">
            <v>Payroll bureau</v>
          </cell>
          <cell r="BI66">
            <v>342647</v>
          </cell>
          <cell r="BJ66" t="str">
            <v>Market research</v>
          </cell>
          <cell r="BK66">
            <v>26597.119999999999</v>
          </cell>
        </row>
        <row r="67">
          <cell r="A67">
            <v>364804</v>
          </cell>
          <cell r="B67" t="str">
            <v>Repairs - fixtures</v>
          </cell>
          <cell r="F67">
            <v>362841</v>
          </cell>
          <cell r="G67" t="str">
            <v>Equipment rental</v>
          </cell>
          <cell r="H67">
            <v>1111.17</v>
          </cell>
          <cell r="K67">
            <v>362841</v>
          </cell>
          <cell r="L67" t="str">
            <v>Equipment rental</v>
          </cell>
          <cell r="M67">
            <v>368.75</v>
          </cell>
          <cell r="P67">
            <v>362841</v>
          </cell>
          <cell r="Q67" t="str">
            <v>Equipment rental</v>
          </cell>
          <cell r="R67">
            <v>1225.0899999999999</v>
          </cell>
          <cell r="U67">
            <v>362841</v>
          </cell>
          <cell r="V67" t="str">
            <v>Equipment rental</v>
          </cell>
          <cell r="W67">
            <v>1428.14</v>
          </cell>
          <cell r="Z67">
            <v>362841</v>
          </cell>
          <cell r="AA67" t="str">
            <v>Equipment rental</v>
          </cell>
          <cell r="AB67">
            <v>1868.26</v>
          </cell>
          <cell r="AE67">
            <v>361108</v>
          </cell>
          <cell r="AF67" t="str">
            <v>Rent</v>
          </cell>
          <cell r="AG67">
            <v>23124.18</v>
          </cell>
          <cell r="AJ67">
            <v>352603</v>
          </cell>
          <cell r="AK67" t="str">
            <v>Subscriptions - professional</v>
          </cell>
          <cell r="AL67">
            <v>5285.39</v>
          </cell>
          <cell r="AO67">
            <v>352603</v>
          </cell>
          <cell r="AP67" t="str">
            <v>Subscriptions - professional</v>
          </cell>
          <cell r="AQ67">
            <v>5340.95</v>
          </cell>
          <cell r="AT67">
            <v>342887</v>
          </cell>
          <cell r="AU67" t="str">
            <v>Postages</v>
          </cell>
          <cell r="AV67">
            <v>440.26</v>
          </cell>
          <cell r="AY67">
            <v>342699</v>
          </cell>
          <cell r="AZ67" t="str">
            <v>Cleaning and caretaker</v>
          </cell>
          <cell r="BA67">
            <v>8393.0499999999993</v>
          </cell>
          <cell r="BD67">
            <v>342695</v>
          </cell>
          <cell r="BE67" t="str">
            <v>Waste disposal</v>
          </cell>
          <cell r="BF67">
            <v>404.8</v>
          </cell>
          <cell r="BI67">
            <v>342674</v>
          </cell>
          <cell r="BJ67" t="str">
            <v>Payroll bureau</v>
          </cell>
        </row>
        <row r="68">
          <cell r="A68">
            <v>368820</v>
          </cell>
          <cell r="B68" t="str">
            <v>Light &amp; heat</v>
          </cell>
          <cell r="C68">
            <v>635.70000000000005</v>
          </cell>
          <cell r="F68">
            <v>363793</v>
          </cell>
          <cell r="G68" t="str">
            <v>Repairs - property</v>
          </cell>
          <cell r="H68">
            <v>144.68</v>
          </cell>
          <cell r="K68">
            <v>363793</v>
          </cell>
          <cell r="L68" t="str">
            <v>Repairs - property</v>
          </cell>
          <cell r="M68">
            <v>144.68</v>
          </cell>
          <cell r="P68">
            <v>363793</v>
          </cell>
          <cell r="Q68" t="str">
            <v>Repairs - property</v>
          </cell>
          <cell r="R68">
            <v>300.68</v>
          </cell>
          <cell r="U68">
            <v>363793</v>
          </cell>
          <cell r="V68" t="str">
            <v>Repairs - property</v>
          </cell>
          <cell r="W68">
            <v>785.53</v>
          </cell>
          <cell r="Z68">
            <v>363793</v>
          </cell>
          <cell r="AA68" t="str">
            <v>Repairs - property</v>
          </cell>
          <cell r="AB68">
            <v>965.53</v>
          </cell>
          <cell r="AE68">
            <v>362841</v>
          </cell>
          <cell r="AF68" t="str">
            <v>Equipment rental</v>
          </cell>
          <cell r="AG68">
            <v>1868.26</v>
          </cell>
          <cell r="AJ68">
            <v>354490</v>
          </cell>
          <cell r="AK68" t="str">
            <v>Insurance</v>
          </cell>
          <cell r="AL68">
            <v>1417.12</v>
          </cell>
          <cell r="AO68">
            <v>354490</v>
          </cell>
          <cell r="AP68" t="str">
            <v>Insurance</v>
          </cell>
          <cell r="AQ68">
            <v>1450.93</v>
          </cell>
          <cell r="AT68">
            <v>342890</v>
          </cell>
          <cell r="AU68" t="str">
            <v>Courier charges</v>
          </cell>
          <cell r="AV68">
            <v>1462.08</v>
          </cell>
          <cell r="AY68">
            <v>342887</v>
          </cell>
          <cell r="AZ68" t="str">
            <v>Postages</v>
          </cell>
          <cell r="BA68">
            <v>465.92</v>
          </cell>
          <cell r="BD68">
            <v>342699</v>
          </cell>
          <cell r="BE68" t="str">
            <v>Cleaning and caretaker</v>
          </cell>
          <cell r="BF68">
            <v>8393.0499999999993</v>
          </cell>
          <cell r="BI68">
            <v>342695</v>
          </cell>
          <cell r="BJ68" t="str">
            <v>Waste disposal</v>
          </cell>
          <cell r="BK68">
            <v>404.8</v>
          </cell>
        </row>
        <row r="69">
          <cell r="A69">
            <v>368822</v>
          </cell>
          <cell r="B69" t="str">
            <v>Water rates</v>
          </cell>
          <cell r="F69">
            <v>364804</v>
          </cell>
          <cell r="G69" t="str">
            <v>Repairs - fixtures</v>
          </cell>
          <cell r="H69">
            <v>29.5</v>
          </cell>
          <cell r="K69">
            <v>364804</v>
          </cell>
          <cell r="L69" t="str">
            <v>Repairs - fixtures</v>
          </cell>
          <cell r="M69">
            <v>29.5</v>
          </cell>
          <cell r="P69">
            <v>364804</v>
          </cell>
          <cell r="Q69" t="str">
            <v>Repairs - fixtures</v>
          </cell>
          <cell r="R69">
            <v>162.9</v>
          </cell>
          <cell r="U69">
            <v>364804</v>
          </cell>
          <cell r="V69" t="str">
            <v>Repairs - fixtures</v>
          </cell>
          <cell r="W69">
            <v>636.5</v>
          </cell>
          <cell r="Z69">
            <v>364804</v>
          </cell>
          <cell r="AA69" t="str">
            <v>Repairs - fixtures</v>
          </cell>
          <cell r="AB69">
            <v>666</v>
          </cell>
          <cell r="AE69">
            <v>363793</v>
          </cell>
          <cell r="AF69" t="str">
            <v>Repairs - property</v>
          </cell>
          <cell r="AG69">
            <v>1122.8800000000001</v>
          </cell>
          <cell r="AJ69">
            <v>361108</v>
          </cell>
          <cell r="AK69" t="str">
            <v>Rent</v>
          </cell>
          <cell r="AL69">
            <v>29584.18</v>
          </cell>
          <cell r="AO69">
            <v>361108</v>
          </cell>
          <cell r="AP69" t="str">
            <v>Rent</v>
          </cell>
          <cell r="AQ69">
            <v>52195.08</v>
          </cell>
          <cell r="AT69">
            <v>352603</v>
          </cell>
          <cell r="AU69" t="str">
            <v>Subscriptions - professional</v>
          </cell>
          <cell r="AV69">
            <v>5396.5</v>
          </cell>
          <cell r="AY69">
            <v>342890</v>
          </cell>
          <cell r="AZ69" t="str">
            <v>Courier charges</v>
          </cell>
          <cell r="BA69">
            <v>1632.08</v>
          </cell>
          <cell r="BD69">
            <v>342887</v>
          </cell>
          <cell r="BE69" t="str">
            <v>Postages</v>
          </cell>
          <cell r="BF69">
            <v>503.28</v>
          </cell>
          <cell r="BI69">
            <v>342699</v>
          </cell>
          <cell r="BJ69" t="str">
            <v>Cleaning and caretaker</v>
          </cell>
          <cell r="BK69">
            <v>9071.0499999999993</v>
          </cell>
        </row>
        <row r="70">
          <cell r="A70">
            <v>370499</v>
          </cell>
          <cell r="B70" t="str">
            <v>Travel - meals &amp; entertaining</v>
          </cell>
          <cell r="F70">
            <v>368820</v>
          </cell>
          <cell r="G70" t="str">
            <v>Light &amp; heat</v>
          </cell>
          <cell r="H70">
            <v>461.11</v>
          </cell>
          <cell r="K70">
            <v>368820</v>
          </cell>
          <cell r="L70" t="str">
            <v>Light &amp; heat</v>
          </cell>
          <cell r="M70">
            <v>1136.1099999999999</v>
          </cell>
          <cell r="P70">
            <v>368820</v>
          </cell>
          <cell r="Q70" t="str">
            <v>Light &amp; heat</v>
          </cell>
          <cell r="R70">
            <v>1811.11</v>
          </cell>
          <cell r="U70">
            <v>368820</v>
          </cell>
          <cell r="V70" t="str">
            <v>Light &amp; heat</v>
          </cell>
          <cell r="W70">
            <v>461.11</v>
          </cell>
          <cell r="Z70">
            <v>368820</v>
          </cell>
          <cell r="AA70" t="str">
            <v>Light &amp; heat</v>
          </cell>
          <cell r="AB70">
            <v>1759.39</v>
          </cell>
          <cell r="AE70">
            <v>364804</v>
          </cell>
          <cell r="AF70" t="str">
            <v>Repairs - fixtures</v>
          </cell>
          <cell r="AG70">
            <v>695.5</v>
          </cell>
          <cell r="AJ70">
            <v>362841</v>
          </cell>
          <cell r="AK70" t="str">
            <v>Equipment rental</v>
          </cell>
          <cell r="AL70">
            <v>1868.26</v>
          </cell>
          <cell r="AO70">
            <v>362841</v>
          </cell>
          <cell r="AP70" t="str">
            <v>Equipment rental</v>
          </cell>
          <cell r="AQ70">
            <v>2308.38</v>
          </cell>
          <cell r="AT70">
            <v>354490</v>
          </cell>
          <cell r="AU70" t="str">
            <v>Insurance</v>
          </cell>
          <cell r="AV70">
            <v>1458.18</v>
          </cell>
          <cell r="AY70">
            <v>352603</v>
          </cell>
          <cell r="AZ70" t="str">
            <v>Subscriptions - professional</v>
          </cell>
          <cell r="BA70">
            <v>5650.06</v>
          </cell>
          <cell r="BD70">
            <v>342890</v>
          </cell>
          <cell r="BE70" t="str">
            <v>Courier charges</v>
          </cell>
          <cell r="BF70">
            <v>5231.38</v>
          </cell>
          <cell r="BI70">
            <v>342887</v>
          </cell>
          <cell r="BJ70" t="str">
            <v>Postages</v>
          </cell>
          <cell r="BK70">
            <v>633.69000000000005</v>
          </cell>
        </row>
        <row r="71">
          <cell r="A71">
            <v>370500</v>
          </cell>
          <cell r="B71" t="str">
            <v>Travel - hotels &amp; rental cars</v>
          </cell>
          <cell r="F71">
            <v>368822</v>
          </cell>
          <cell r="G71" t="str">
            <v>Water rates</v>
          </cell>
          <cell r="K71">
            <v>368822</v>
          </cell>
          <cell r="L71" t="str">
            <v>Water rates</v>
          </cell>
          <cell r="P71">
            <v>368822</v>
          </cell>
          <cell r="Q71" t="str">
            <v>Water rates</v>
          </cell>
          <cell r="R71">
            <v>395.27</v>
          </cell>
          <cell r="U71">
            <v>368822</v>
          </cell>
          <cell r="V71" t="str">
            <v>Water rates</v>
          </cell>
          <cell r="W71">
            <v>395.27</v>
          </cell>
          <cell r="Z71">
            <v>368822</v>
          </cell>
          <cell r="AA71" t="str">
            <v>Water rates</v>
          </cell>
          <cell r="AB71">
            <v>395.27</v>
          </cell>
          <cell r="AE71">
            <v>368820</v>
          </cell>
          <cell r="AF71" t="str">
            <v>Light &amp; heat</v>
          </cell>
          <cell r="AG71">
            <v>1808.08</v>
          </cell>
          <cell r="AJ71">
            <v>363793</v>
          </cell>
          <cell r="AK71" t="str">
            <v>Repairs - property</v>
          </cell>
          <cell r="AL71">
            <v>1712.88</v>
          </cell>
          <cell r="AO71">
            <v>363793</v>
          </cell>
          <cell r="AP71" t="str">
            <v>Repairs - property</v>
          </cell>
          <cell r="AQ71">
            <v>1892.88</v>
          </cell>
          <cell r="AT71">
            <v>361108</v>
          </cell>
          <cell r="AU71" t="str">
            <v>Rent</v>
          </cell>
          <cell r="AV71">
            <v>52195.08</v>
          </cell>
          <cell r="AY71">
            <v>354490</v>
          </cell>
          <cell r="AZ71" t="str">
            <v>Insurance</v>
          </cell>
          <cell r="BA71">
            <v>2878.18</v>
          </cell>
          <cell r="BD71">
            <v>352603</v>
          </cell>
          <cell r="BE71" t="str">
            <v>Subscriptions - professional</v>
          </cell>
          <cell r="BF71">
            <v>5650.06</v>
          </cell>
          <cell r="BI71">
            <v>342890</v>
          </cell>
          <cell r="BJ71" t="str">
            <v>Courier charges</v>
          </cell>
          <cell r="BK71">
            <v>5231.38</v>
          </cell>
        </row>
        <row r="72">
          <cell r="A72">
            <v>370514</v>
          </cell>
          <cell r="B72" t="str">
            <v>Meeting expenses</v>
          </cell>
          <cell r="C72">
            <v>54.8</v>
          </cell>
          <cell r="F72">
            <v>370499</v>
          </cell>
          <cell r="G72" t="str">
            <v>Travel - meals &amp; entertaining</v>
          </cell>
          <cell r="H72">
            <v>264.99</v>
          </cell>
          <cell r="K72">
            <v>370499</v>
          </cell>
          <cell r="L72" t="str">
            <v>Travel - meals &amp; entertaining</v>
          </cell>
          <cell r="M72">
            <v>79.5</v>
          </cell>
          <cell r="P72">
            <v>370499</v>
          </cell>
          <cell r="Q72" t="str">
            <v>Travel - meals &amp; entertaining</v>
          </cell>
          <cell r="R72">
            <v>7273.95</v>
          </cell>
          <cell r="U72">
            <v>370499</v>
          </cell>
          <cell r="V72" t="str">
            <v>Travel - meals &amp; entertaining</v>
          </cell>
          <cell r="W72">
            <v>8100.86</v>
          </cell>
          <cell r="Z72">
            <v>370499</v>
          </cell>
          <cell r="AA72" t="str">
            <v>Travel - meals &amp; entertaining</v>
          </cell>
          <cell r="AB72">
            <v>8824.0400000000009</v>
          </cell>
          <cell r="AE72">
            <v>368822</v>
          </cell>
          <cell r="AF72" t="str">
            <v>Water rates</v>
          </cell>
          <cell r="AG72">
            <v>395.27</v>
          </cell>
          <cell r="AJ72">
            <v>364804</v>
          </cell>
          <cell r="AK72" t="str">
            <v>Repairs - fixtures</v>
          </cell>
          <cell r="AL72">
            <v>822.89</v>
          </cell>
          <cell r="AO72">
            <v>364804</v>
          </cell>
          <cell r="AP72" t="str">
            <v>Repairs - fixtures</v>
          </cell>
          <cell r="AQ72">
            <v>862.39</v>
          </cell>
          <cell r="AT72">
            <v>362841</v>
          </cell>
          <cell r="AU72" t="str">
            <v>Equipment rental</v>
          </cell>
          <cell r="AV72">
            <v>2308.38</v>
          </cell>
          <cell r="AY72">
            <v>361108</v>
          </cell>
          <cell r="AZ72" t="str">
            <v>Rent</v>
          </cell>
          <cell r="BA72">
            <v>55369.08</v>
          </cell>
          <cell r="BD72">
            <v>354490</v>
          </cell>
          <cell r="BE72" t="str">
            <v>Insurance</v>
          </cell>
          <cell r="BF72">
            <v>1458.18</v>
          </cell>
          <cell r="BI72">
            <v>352603</v>
          </cell>
          <cell r="BJ72" t="str">
            <v>Subscriptions - professional</v>
          </cell>
          <cell r="BK72">
            <v>8150.06</v>
          </cell>
        </row>
        <row r="73">
          <cell r="A73">
            <v>4000</v>
          </cell>
          <cell r="B73" t="str">
            <v>Commissions - sales</v>
          </cell>
          <cell r="F73">
            <v>370500</v>
          </cell>
          <cell r="G73" t="str">
            <v>Travel - hotels &amp; rental cars</v>
          </cell>
          <cell r="H73">
            <v>3939.13</v>
          </cell>
          <cell r="K73">
            <v>370500</v>
          </cell>
          <cell r="L73" t="str">
            <v>Travel - hotels &amp; rental cars</v>
          </cell>
          <cell r="M73">
            <v>1804.93</v>
          </cell>
          <cell r="P73">
            <v>370500</v>
          </cell>
          <cell r="Q73" t="str">
            <v>Travel - hotels &amp; rental cars</v>
          </cell>
          <cell r="R73">
            <v>12432.47</v>
          </cell>
          <cell r="U73">
            <v>370500</v>
          </cell>
          <cell r="V73" t="str">
            <v>Travel - hotels &amp; rental cars</v>
          </cell>
          <cell r="W73">
            <v>17140.02</v>
          </cell>
          <cell r="Z73">
            <v>370500</v>
          </cell>
          <cell r="AA73" t="str">
            <v>Travel - hotels &amp; rental cars</v>
          </cell>
          <cell r="AB73">
            <v>20788.98</v>
          </cell>
          <cell r="AE73">
            <v>369981</v>
          </cell>
          <cell r="AF73" t="str">
            <v>Public relations</v>
          </cell>
          <cell r="AG73">
            <v>735.75</v>
          </cell>
          <cell r="AJ73">
            <v>368820</v>
          </cell>
          <cell r="AK73" t="str">
            <v>Light &amp; heat</v>
          </cell>
          <cell r="AL73">
            <v>1367.49</v>
          </cell>
          <cell r="AO73">
            <v>368820</v>
          </cell>
          <cell r="AP73" t="str">
            <v>Light &amp; heat</v>
          </cell>
          <cell r="AQ73">
            <v>1476.52</v>
          </cell>
          <cell r="AT73">
            <v>363793</v>
          </cell>
          <cell r="AU73" t="str">
            <v>Repairs - property</v>
          </cell>
          <cell r="AV73">
            <v>2252.88</v>
          </cell>
          <cell r="AY73">
            <v>362841</v>
          </cell>
          <cell r="AZ73" t="str">
            <v>Equipment rental</v>
          </cell>
          <cell r="BA73">
            <v>2308.38</v>
          </cell>
          <cell r="BD73">
            <v>361108</v>
          </cell>
          <cell r="BE73" t="str">
            <v>Rent</v>
          </cell>
          <cell r="BF73">
            <v>58543.08</v>
          </cell>
          <cell r="BI73">
            <v>354490</v>
          </cell>
          <cell r="BJ73" t="str">
            <v>Insurance</v>
          </cell>
          <cell r="BK73">
            <v>1460.26</v>
          </cell>
        </row>
        <row r="74">
          <cell r="A74">
            <v>4100</v>
          </cell>
          <cell r="B74" t="str">
            <v>Commissions - purchases</v>
          </cell>
          <cell r="F74">
            <v>370501</v>
          </cell>
          <cell r="G74" t="str">
            <v>Travel - air fares</v>
          </cell>
          <cell r="H74">
            <v>5012.42</v>
          </cell>
          <cell r="K74">
            <v>370501</v>
          </cell>
          <cell r="L74" t="str">
            <v>Travel - air fares</v>
          </cell>
          <cell r="M74">
            <v>288.62</v>
          </cell>
          <cell r="P74">
            <v>370501</v>
          </cell>
          <cell r="Q74" t="str">
            <v>Travel - air fares</v>
          </cell>
          <cell r="R74">
            <v>499.05</v>
          </cell>
          <cell r="U74">
            <v>370501</v>
          </cell>
          <cell r="V74" t="str">
            <v>Travel - air fares</v>
          </cell>
          <cell r="W74">
            <v>3986.04</v>
          </cell>
          <cell r="Z74">
            <v>370501</v>
          </cell>
          <cell r="AA74" t="str">
            <v>Travel - air fares</v>
          </cell>
          <cell r="AB74">
            <v>4240.88</v>
          </cell>
          <cell r="AE74">
            <v>370499</v>
          </cell>
          <cell r="AF74" t="str">
            <v>Travel - meals &amp; entertaining</v>
          </cell>
          <cell r="AG74">
            <v>9028.93</v>
          </cell>
          <cell r="AJ74">
            <v>368822</v>
          </cell>
          <cell r="AK74" t="str">
            <v>Water rates</v>
          </cell>
          <cell r="AL74">
            <v>395.27</v>
          </cell>
          <cell r="AO74">
            <v>368822</v>
          </cell>
          <cell r="AP74" t="str">
            <v>Water rates</v>
          </cell>
          <cell r="AQ74">
            <v>167.15</v>
          </cell>
          <cell r="AT74">
            <v>364804</v>
          </cell>
          <cell r="AU74" t="str">
            <v>Repairs - fixtures</v>
          </cell>
          <cell r="AV74">
            <v>941.39</v>
          </cell>
          <cell r="AY74">
            <v>363793</v>
          </cell>
          <cell r="AZ74" t="str">
            <v>Repairs - property</v>
          </cell>
          <cell r="BA74">
            <v>2610.42</v>
          </cell>
          <cell r="BD74">
            <v>362841</v>
          </cell>
          <cell r="BE74" t="str">
            <v>Equipment rental</v>
          </cell>
          <cell r="BF74">
            <v>2748.5</v>
          </cell>
          <cell r="BI74">
            <v>361108</v>
          </cell>
          <cell r="BJ74" t="str">
            <v>Rent</v>
          </cell>
          <cell r="BK74">
            <v>62433.79</v>
          </cell>
        </row>
        <row r="75">
          <cell r="A75">
            <v>5005</v>
          </cell>
          <cell r="B75" t="str">
            <v>Merchandising</v>
          </cell>
          <cell r="D75">
            <v>2250</v>
          </cell>
          <cell r="F75">
            <v>370514</v>
          </cell>
          <cell r="G75" t="str">
            <v>Meeting expenses</v>
          </cell>
          <cell r="H75">
            <v>54.8</v>
          </cell>
          <cell r="K75">
            <v>370514</v>
          </cell>
          <cell r="L75" t="str">
            <v>Meeting expenses</v>
          </cell>
          <cell r="M75">
            <v>54.8</v>
          </cell>
          <cell r="P75">
            <v>370514</v>
          </cell>
          <cell r="Q75" t="str">
            <v>Meeting expenses</v>
          </cell>
          <cell r="R75">
            <v>1054.8</v>
          </cell>
          <cell r="U75">
            <v>370514</v>
          </cell>
          <cell r="V75" t="str">
            <v>Meeting expenses</v>
          </cell>
          <cell r="W75">
            <v>1054.8</v>
          </cell>
          <cell r="Z75">
            <v>370514</v>
          </cell>
          <cell r="AA75" t="str">
            <v>Meeting expenses</v>
          </cell>
          <cell r="AB75">
            <v>1054.8</v>
          </cell>
          <cell r="AE75">
            <v>370500</v>
          </cell>
          <cell r="AF75" t="str">
            <v>Travel - hotels &amp; rental cars</v>
          </cell>
          <cell r="AG75">
            <v>25613.22</v>
          </cell>
          <cell r="AJ75">
            <v>369981</v>
          </cell>
          <cell r="AK75" t="str">
            <v>Public relations</v>
          </cell>
          <cell r="AL75">
            <v>735.75</v>
          </cell>
          <cell r="AO75">
            <v>369981</v>
          </cell>
          <cell r="AP75" t="str">
            <v>Public relations</v>
          </cell>
          <cell r="AQ75">
            <v>735.75</v>
          </cell>
          <cell r="AT75">
            <v>368820</v>
          </cell>
          <cell r="AU75" t="str">
            <v>Light &amp; heat</v>
          </cell>
          <cell r="AV75">
            <v>1499.8</v>
          </cell>
          <cell r="AY75">
            <v>364804</v>
          </cell>
          <cell r="AZ75" t="str">
            <v>Repairs - fixtures</v>
          </cell>
          <cell r="BA75">
            <v>970.89</v>
          </cell>
          <cell r="BD75">
            <v>363793</v>
          </cell>
          <cell r="BE75" t="str">
            <v>Repairs - property</v>
          </cell>
          <cell r="BF75">
            <v>2610.42</v>
          </cell>
          <cell r="BI75">
            <v>362841</v>
          </cell>
          <cell r="BJ75" t="str">
            <v>Equipment rental</v>
          </cell>
          <cell r="BK75">
            <v>2748.5</v>
          </cell>
        </row>
        <row r="76">
          <cell r="A76">
            <v>5200</v>
          </cell>
          <cell r="B76" t="str">
            <v>Opening Stock</v>
          </cell>
          <cell r="C76">
            <v>163987.15</v>
          </cell>
          <cell r="F76">
            <v>4000</v>
          </cell>
          <cell r="G76" t="str">
            <v>Commissions - sales</v>
          </cell>
          <cell r="K76">
            <v>4000</v>
          </cell>
          <cell r="L76" t="str">
            <v>Commissions - sales</v>
          </cell>
          <cell r="P76">
            <v>4000</v>
          </cell>
          <cell r="Q76" t="str">
            <v>Commissions - sales</v>
          </cell>
          <cell r="U76">
            <v>4000</v>
          </cell>
          <cell r="V76" t="str">
            <v>Commissions - sales</v>
          </cell>
          <cell r="Z76">
            <v>4000</v>
          </cell>
          <cell r="AA76" t="str">
            <v>Commissions - sales</v>
          </cell>
          <cell r="AE76">
            <v>370501</v>
          </cell>
          <cell r="AF76" t="str">
            <v>Travel - air fares</v>
          </cell>
          <cell r="AG76">
            <v>5153.3900000000003</v>
          </cell>
          <cell r="AJ76">
            <v>370499</v>
          </cell>
          <cell r="AK76" t="str">
            <v>Travel - meals &amp; entertaining</v>
          </cell>
          <cell r="AL76">
            <v>9607</v>
          </cell>
          <cell r="AO76">
            <v>370499</v>
          </cell>
          <cell r="AP76" t="str">
            <v>Travel - meals &amp; entertaining</v>
          </cell>
          <cell r="AQ76">
            <v>9881.39</v>
          </cell>
          <cell r="AT76">
            <v>368822</v>
          </cell>
          <cell r="AU76" t="str">
            <v>Water rates</v>
          </cell>
          <cell r="AV76">
            <v>167.15</v>
          </cell>
          <cell r="AY76">
            <v>368820</v>
          </cell>
          <cell r="AZ76" t="str">
            <v>Light &amp; heat</v>
          </cell>
          <cell r="BA76">
            <v>1511.53</v>
          </cell>
          <cell r="BD76">
            <v>364804</v>
          </cell>
          <cell r="BE76" t="str">
            <v>Repairs - fixtures</v>
          </cell>
          <cell r="BF76">
            <v>1000.39</v>
          </cell>
          <cell r="BI76">
            <v>363793</v>
          </cell>
          <cell r="BJ76" t="str">
            <v>Repairs - property</v>
          </cell>
          <cell r="BK76">
            <v>2610.42</v>
          </cell>
        </row>
        <row r="77">
          <cell r="A77">
            <v>7002</v>
          </cell>
          <cell r="B77" t="str">
            <v>Directors Remuneration</v>
          </cell>
          <cell r="C77">
            <v>11195.72</v>
          </cell>
          <cell r="F77">
            <v>4100</v>
          </cell>
          <cell r="G77" t="str">
            <v>Commissions - purchases</v>
          </cell>
          <cell r="K77">
            <v>4100</v>
          </cell>
          <cell r="L77" t="str">
            <v>Commissions - purchases</v>
          </cell>
          <cell r="P77">
            <v>4100</v>
          </cell>
          <cell r="Q77" t="str">
            <v>Commissions - purchases</v>
          </cell>
          <cell r="U77">
            <v>4100</v>
          </cell>
          <cell r="V77" t="str">
            <v>Commissions - purchases</v>
          </cell>
          <cell r="Z77">
            <v>4100</v>
          </cell>
          <cell r="AA77" t="str">
            <v>Commissions - purchases</v>
          </cell>
          <cell r="AE77">
            <v>370514</v>
          </cell>
          <cell r="AF77" t="str">
            <v>Meeting expenses</v>
          </cell>
          <cell r="AG77">
            <v>2365.4299999999998</v>
          </cell>
          <cell r="AJ77">
            <v>370500</v>
          </cell>
          <cell r="AK77" t="str">
            <v>Travel - hotels &amp; rental cars</v>
          </cell>
          <cell r="AL77">
            <v>28181.77</v>
          </cell>
          <cell r="AO77">
            <v>370500</v>
          </cell>
          <cell r="AP77" t="str">
            <v>Travel - hotels &amp; rental cars</v>
          </cell>
          <cell r="AQ77">
            <v>30852.09</v>
          </cell>
          <cell r="AT77">
            <v>369981</v>
          </cell>
          <cell r="AU77" t="str">
            <v>Public relations</v>
          </cell>
          <cell r="AV77">
            <v>735.75</v>
          </cell>
          <cell r="AY77">
            <v>368822</v>
          </cell>
          <cell r="AZ77" t="str">
            <v>Water rates</v>
          </cell>
          <cell r="BA77">
            <v>273.04000000000002</v>
          </cell>
          <cell r="BD77">
            <v>368820</v>
          </cell>
          <cell r="BE77" t="str">
            <v>Light &amp; heat</v>
          </cell>
          <cell r="BF77">
            <v>1769.07</v>
          </cell>
          <cell r="BI77">
            <v>364804</v>
          </cell>
          <cell r="BJ77" t="str">
            <v>Repairs - fixtures</v>
          </cell>
          <cell r="BK77">
            <v>1000.39</v>
          </cell>
        </row>
        <row r="78">
          <cell r="A78">
            <v>7003</v>
          </cell>
          <cell r="B78" t="str">
            <v>Staff Salaries</v>
          </cell>
          <cell r="C78">
            <v>30668.68</v>
          </cell>
          <cell r="F78">
            <v>5005</v>
          </cell>
          <cell r="G78" t="str">
            <v>Merchandising</v>
          </cell>
          <cell r="I78">
            <v>2250</v>
          </cell>
          <cell r="K78">
            <v>5005</v>
          </cell>
          <cell r="L78" t="str">
            <v>Merchandising</v>
          </cell>
          <cell r="N78">
            <v>2250</v>
          </cell>
          <cell r="P78">
            <v>5004</v>
          </cell>
          <cell r="Q78" t="str">
            <v>New store setup</v>
          </cell>
          <cell r="R78">
            <v>4404</v>
          </cell>
          <cell r="U78">
            <v>5004</v>
          </cell>
          <cell r="V78" t="str">
            <v>New store setup</v>
          </cell>
          <cell r="W78">
            <v>7154</v>
          </cell>
          <cell r="Z78">
            <v>5004</v>
          </cell>
          <cell r="AA78" t="str">
            <v>New store setup</v>
          </cell>
          <cell r="AB78">
            <v>7154</v>
          </cell>
          <cell r="AE78">
            <v>4000</v>
          </cell>
          <cell r="AF78" t="str">
            <v>Commissions - sales</v>
          </cell>
          <cell r="AJ78">
            <v>370501</v>
          </cell>
          <cell r="AK78" t="str">
            <v>Travel - air fares</v>
          </cell>
          <cell r="AL78">
            <v>6504.96</v>
          </cell>
          <cell r="AO78">
            <v>370501</v>
          </cell>
          <cell r="AP78" t="str">
            <v>Travel - air fares</v>
          </cell>
          <cell r="AQ78">
            <v>6811.42</v>
          </cell>
          <cell r="AT78">
            <v>370499</v>
          </cell>
          <cell r="AU78" t="str">
            <v>Travel - meals &amp; entertaining</v>
          </cell>
          <cell r="AV78">
            <v>10052.73</v>
          </cell>
          <cell r="AY78">
            <v>369981</v>
          </cell>
          <cell r="AZ78" t="str">
            <v>Public relations</v>
          </cell>
          <cell r="BA78">
            <v>735.75</v>
          </cell>
          <cell r="BD78">
            <v>368822</v>
          </cell>
          <cell r="BE78" t="str">
            <v>Water rates</v>
          </cell>
          <cell r="BF78">
            <v>273.04000000000002</v>
          </cell>
          <cell r="BI78">
            <v>368820</v>
          </cell>
          <cell r="BJ78" t="str">
            <v>Light &amp; heat</v>
          </cell>
          <cell r="BK78">
            <v>1993.01</v>
          </cell>
        </row>
        <row r="79">
          <cell r="A79">
            <v>7007</v>
          </cell>
          <cell r="B79" t="str">
            <v>Pension scheme</v>
          </cell>
          <cell r="D79">
            <v>13630.44</v>
          </cell>
          <cell r="F79">
            <v>5200</v>
          </cell>
          <cell r="G79" t="str">
            <v>Opening Stock</v>
          </cell>
          <cell r="H79">
            <v>163987.15</v>
          </cell>
          <cell r="K79">
            <v>5200</v>
          </cell>
          <cell r="L79" t="str">
            <v>Opening Stock</v>
          </cell>
          <cell r="M79">
            <v>163987.15</v>
          </cell>
          <cell r="P79">
            <v>5005</v>
          </cell>
          <cell r="Q79" t="str">
            <v>Merchandising</v>
          </cell>
          <cell r="U79">
            <v>5005</v>
          </cell>
          <cell r="V79" t="str">
            <v>Merchandising</v>
          </cell>
          <cell r="Z79">
            <v>5005</v>
          </cell>
          <cell r="AA79" t="str">
            <v>Merchandising</v>
          </cell>
          <cell r="AE79">
            <v>4100</v>
          </cell>
          <cell r="AF79" t="str">
            <v>Commissions - purchases</v>
          </cell>
          <cell r="AJ79">
            <v>370514</v>
          </cell>
          <cell r="AK79" t="str">
            <v>Meeting expenses</v>
          </cell>
          <cell r="AL79">
            <v>3365.43</v>
          </cell>
          <cell r="AO79">
            <v>370514</v>
          </cell>
          <cell r="AP79" t="str">
            <v>Meeting expenses</v>
          </cell>
          <cell r="AQ79">
            <v>7475.63</v>
          </cell>
          <cell r="AT79">
            <v>370500</v>
          </cell>
          <cell r="AU79" t="str">
            <v>Travel - hotels &amp; rental cars</v>
          </cell>
          <cell r="AV79">
            <v>32741.25</v>
          </cell>
          <cell r="AY79">
            <v>370499</v>
          </cell>
          <cell r="AZ79" t="str">
            <v>Travel - meals &amp; entertaining</v>
          </cell>
          <cell r="BA79">
            <v>10188.049999999999</v>
          </cell>
          <cell r="BD79">
            <v>369981</v>
          </cell>
          <cell r="BE79" t="str">
            <v>Public relations</v>
          </cell>
          <cell r="BF79">
            <v>735.75</v>
          </cell>
          <cell r="BI79">
            <v>368822</v>
          </cell>
          <cell r="BJ79" t="str">
            <v>Water rates</v>
          </cell>
          <cell r="BK79">
            <v>273.04000000000002</v>
          </cell>
        </row>
        <row r="80">
          <cell r="A80">
            <v>7008</v>
          </cell>
          <cell r="B80" t="str">
            <v>Staff health scheme</v>
          </cell>
          <cell r="C80">
            <v>1120.52</v>
          </cell>
          <cell r="F80">
            <v>6900</v>
          </cell>
          <cell r="G80" t="str">
            <v>Miscellaneous Expenses</v>
          </cell>
          <cell r="H80">
            <v>1200</v>
          </cell>
          <cell r="K80">
            <v>6900</v>
          </cell>
          <cell r="L80" t="str">
            <v>Miscellaneous Expenses</v>
          </cell>
          <cell r="M80">
            <v>1200</v>
          </cell>
          <cell r="P80">
            <v>5200</v>
          </cell>
          <cell r="Q80" t="str">
            <v>Opening Stock</v>
          </cell>
          <cell r="R80">
            <v>163987.15</v>
          </cell>
          <cell r="U80">
            <v>5200</v>
          </cell>
          <cell r="V80" t="str">
            <v>Opening Stock</v>
          </cell>
          <cell r="W80">
            <v>163987.15</v>
          </cell>
          <cell r="Z80">
            <v>5200</v>
          </cell>
          <cell r="AA80" t="str">
            <v>Opening Stock</v>
          </cell>
          <cell r="AB80">
            <v>163987.15</v>
          </cell>
          <cell r="AE80">
            <v>5004</v>
          </cell>
          <cell r="AF80" t="str">
            <v>New store setup</v>
          </cell>
          <cell r="AG80">
            <v>7154</v>
          </cell>
          <cell r="AJ80">
            <v>4000</v>
          </cell>
          <cell r="AK80" t="str">
            <v>Commissions - sales</v>
          </cell>
          <cell r="AO80">
            <v>391980</v>
          </cell>
          <cell r="AP80" t="str">
            <v>I/C charges corp.</v>
          </cell>
          <cell r="AR80">
            <v>1014341.02</v>
          </cell>
          <cell r="AT80">
            <v>370501</v>
          </cell>
          <cell r="AU80" t="str">
            <v>Travel - air fares</v>
          </cell>
          <cell r="AV80">
            <v>6811.42</v>
          </cell>
          <cell r="AY80">
            <v>370500</v>
          </cell>
          <cell r="AZ80" t="str">
            <v>Travel - hotels &amp; rental cars</v>
          </cell>
          <cell r="BA80">
            <v>34458</v>
          </cell>
          <cell r="BD80">
            <v>370499</v>
          </cell>
          <cell r="BE80" t="str">
            <v>Travel - meals &amp; entertaining</v>
          </cell>
          <cell r="BF80">
            <v>10692.48</v>
          </cell>
          <cell r="BI80">
            <v>369981</v>
          </cell>
          <cell r="BJ80" t="str">
            <v>Public relations</v>
          </cell>
          <cell r="BK80">
            <v>735.75</v>
          </cell>
        </row>
        <row r="81">
          <cell r="A81">
            <v>7103</v>
          </cell>
          <cell r="B81" t="str">
            <v>General Rates</v>
          </cell>
          <cell r="C81">
            <v>664.37</v>
          </cell>
          <cell r="F81">
            <v>7002</v>
          </cell>
          <cell r="G81" t="str">
            <v>Directors Remuneration</v>
          </cell>
          <cell r="H81">
            <v>34573.83</v>
          </cell>
          <cell r="K81">
            <v>7002</v>
          </cell>
          <cell r="L81" t="str">
            <v>Directors Remuneration</v>
          </cell>
          <cell r="M81">
            <v>22391.43</v>
          </cell>
          <cell r="P81">
            <v>5201</v>
          </cell>
          <cell r="Q81" t="str">
            <v>Closing Stock</v>
          </cell>
          <cell r="S81">
            <v>309720.08</v>
          </cell>
          <cell r="U81">
            <v>5201</v>
          </cell>
          <cell r="V81" t="str">
            <v>Closing Stock</v>
          </cell>
          <cell r="X81">
            <v>309720.08</v>
          </cell>
          <cell r="Z81">
            <v>5201</v>
          </cell>
          <cell r="AA81" t="str">
            <v>Closing Stock</v>
          </cell>
          <cell r="AC81">
            <v>258172.89</v>
          </cell>
          <cell r="AE81">
            <v>5005</v>
          </cell>
          <cell r="AF81" t="str">
            <v>Merchandising</v>
          </cell>
          <cell r="AJ81">
            <v>4100</v>
          </cell>
          <cell r="AK81" t="str">
            <v>Commissions - purchases</v>
          </cell>
          <cell r="AO81">
            <v>4000</v>
          </cell>
          <cell r="AP81" t="str">
            <v>Commissions - sales</v>
          </cell>
          <cell r="AT81">
            <v>370514</v>
          </cell>
          <cell r="AU81" t="str">
            <v>Meeting expenses</v>
          </cell>
          <cell r="AV81">
            <v>8372.6299999999992</v>
          </cell>
          <cell r="AY81">
            <v>370501</v>
          </cell>
          <cell r="AZ81" t="str">
            <v>Travel - air fares</v>
          </cell>
          <cell r="BA81">
            <v>6811.42</v>
          </cell>
          <cell r="BD81">
            <v>370500</v>
          </cell>
          <cell r="BE81" t="str">
            <v>Travel - hotels &amp; rental cars</v>
          </cell>
          <cell r="BF81">
            <v>41435.11</v>
          </cell>
          <cell r="BI81">
            <v>370499</v>
          </cell>
          <cell r="BJ81" t="str">
            <v>Travel - meals &amp; entertaining</v>
          </cell>
          <cell r="BK81">
            <v>10683.22</v>
          </cell>
        </row>
        <row r="82">
          <cell r="A82">
            <v>7601</v>
          </cell>
          <cell r="B82" t="str">
            <v>Audit and Accountancy Fees</v>
          </cell>
          <cell r="D82">
            <v>1500</v>
          </cell>
          <cell r="F82">
            <v>7003</v>
          </cell>
          <cell r="G82" t="str">
            <v>Staff Salaries</v>
          </cell>
          <cell r="H82">
            <v>95768.08</v>
          </cell>
          <cell r="K82">
            <v>7003</v>
          </cell>
          <cell r="L82" t="str">
            <v>Staff Salaries</v>
          </cell>
          <cell r="M82">
            <v>61358.01</v>
          </cell>
          <cell r="P82">
            <v>6900</v>
          </cell>
          <cell r="Q82" t="str">
            <v>Miscellaneous Expenses</v>
          </cell>
          <cell r="U82">
            <v>6900</v>
          </cell>
          <cell r="V82" t="str">
            <v>Miscellaneous Expenses</v>
          </cell>
          <cell r="Z82">
            <v>6900</v>
          </cell>
          <cell r="AA82" t="str">
            <v>Miscellaneous Expenses</v>
          </cell>
          <cell r="AE82">
            <v>5200</v>
          </cell>
          <cell r="AF82" t="str">
            <v>Opening Stock</v>
          </cell>
          <cell r="AG82">
            <v>163987.15</v>
          </cell>
          <cell r="AJ82">
            <v>4901</v>
          </cell>
          <cell r="AK82" t="str">
            <v>Interest Received</v>
          </cell>
          <cell r="AO82">
            <v>4100</v>
          </cell>
          <cell r="AP82" t="str">
            <v>Commissions - purchases</v>
          </cell>
          <cell r="AT82">
            <v>391980</v>
          </cell>
          <cell r="AU82" t="str">
            <v>I/C charges corp.</v>
          </cell>
          <cell r="AW82">
            <v>1014341.02</v>
          </cell>
          <cell r="AY82">
            <v>370514</v>
          </cell>
          <cell r="AZ82" t="str">
            <v>Meeting expenses</v>
          </cell>
          <cell r="BA82">
            <v>8372.6299999999992</v>
          </cell>
          <cell r="BD82">
            <v>370501</v>
          </cell>
          <cell r="BE82" t="str">
            <v>Travel - air fares</v>
          </cell>
          <cell r="BF82">
            <v>9765.27</v>
          </cell>
          <cell r="BI82">
            <v>370500</v>
          </cell>
          <cell r="BJ82" t="str">
            <v>Travel - hotels &amp; rental cars</v>
          </cell>
          <cell r="BK82">
            <v>53532.74</v>
          </cell>
        </row>
        <row r="83">
          <cell r="A83">
            <v>7901</v>
          </cell>
          <cell r="B83" t="str">
            <v>Bank Charges</v>
          </cell>
          <cell r="C83">
            <v>6</v>
          </cell>
          <cell r="F83">
            <v>7007</v>
          </cell>
          <cell r="G83" t="str">
            <v>Pension scheme</v>
          </cell>
          <cell r="I83">
            <v>12130</v>
          </cell>
          <cell r="K83">
            <v>7007</v>
          </cell>
          <cell r="L83" t="str">
            <v>Pension scheme</v>
          </cell>
          <cell r="N83">
            <v>12350.88</v>
          </cell>
          <cell r="P83">
            <v>7001</v>
          </cell>
          <cell r="Q83" t="str">
            <v>Directors bonuses</v>
          </cell>
          <cell r="R83">
            <v>4313.42</v>
          </cell>
          <cell r="U83">
            <v>7001</v>
          </cell>
          <cell r="V83" t="str">
            <v>Directors bonuses</v>
          </cell>
          <cell r="W83">
            <v>4313.42</v>
          </cell>
          <cell r="Z83">
            <v>7001</v>
          </cell>
          <cell r="AA83" t="str">
            <v>Directors bonuses</v>
          </cell>
          <cell r="AB83">
            <v>4313.42</v>
          </cell>
          <cell r="AE83">
            <v>5201</v>
          </cell>
          <cell r="AF83" t="str">
            <v>Closing Stock</v>
          </cell>
          <cell r="AH83">
            <v>258172.89</v>
          </cell>
          <cell r="AJ83">
            <v>5004</v>
          </cell>
          <cell r="AK83" t="str">
            <v>New store setup</v>
          </cell>
          <cell r="AL83">
            <v>7154</v>
          </cell>
          <cell r="AO83">
            <v>4901</v>
          </cell>
          <cell r="AP83" t="str">
            <v>Interest Received</v>
          </cell>
          <cell r="AT83">
            <v>4000</v>
          </cell>
          <cell r="AU83" t="str">
            <v>Commissions - sales</v>
          </cell>
          <cell r="AY83">
            <v>391980</v>
          </cell>
          <cell r="AZ83" t="str">
            <v>I/C charges corp.</v>
          </cell>
          <cell r="BB83">
            <v>1014341.02</v>
          </cell>
          <cell r="BD83">
            <v>370514</v>
          </cell>
          <cell r="BE83" t="str">
            <v>Meeting expenses</v>
          </cell>
          <cell r="BF83">
            <v>10195.44</v>
          </cell>
          <cell r="BI83">
            <v>370501</v>
          </cell>
          <cell r="BJ83" t="str">
            <v>Travel - air fares</v>
          </cell>
          <cell r="BK83">
            <v>12554.15</v>
          </cell>
        </row>
        <row r="84">
          <cell r="A84">
            <v>8000</v>
          </cell>
          <cell r="B84" t="str">
            <v>Depreciation</v>
          </cell>
          <cell r="C84">
            <v>8.07</v>
          </cell>
          <cell r="F84">
            <v>7008</v>
          </cell>
          <cell r="G84" t="str">
            <v>Staff health scheme</v>
          </cell>
          <cell r="H84">
            <v>1469.24</v>
          </cell>
          <cell r="K84">
            <v>7008</v>
          </cell>
          <cell r="L84" t="str">
            <v>Staff health scheme</v>
          </cell>
          <cell r="M84">
            <v>1581.66</v>
          </cell>
          <cell r="P84">
            <v>7002</v>
          </cell>
          <cell r="Q84" t="str">
            <v>Directors Remuneration</v>
          </cell>
          <cell r="R84">
            <v>44782.87</v>
          </cell>
          <cell r="U84">
            <v>7002</v>
          </cell>
          <cell r="V84" t="str">
            <v>Directors Remuneration</v>
          </cell>
          <cell r="W84">
            <v>55978.58</v>
          </cell>
          <cell r="Z84">
            <v>7002</v>
          </cell>
          <cell r="AA84" t="str">
            <v>Directors Remuneration</v>
          </cell>
          <cell r="AB84">
            <v>66174.3</v>
          </cell>
          <cell r="AE84">
            <v>6900</v>
          </cell>
          <cell r="AF84" t="str">
            <v>Miscellaneous Expenses</v>
          </cell>
          <cell r="AJ84">
            <v>5005</v>
          </cell>
          <cell r="AK84" t="str">
            <v>Merchandising</v>
          </cell>
          <cell r="AO84">
            <v>5000</v>
          </cell>
          <cell r="AP84" t="str">
            <v>Materials Purchased</v>
          </cell>
          <cell r="AT84">
            <v>4100</v>
          </cell>
          <cell r="AU84" t="str">
            <v>Commissions - purchases</v>
          </cell>
          <cell r="AY84">
            <v>4000</v>
          </cell>
          <cell r="AZ84" t="str">
            <v>Commissions - sales</v>
          </cell>
          <cell r="BD84">
            <v>391980</v>
          </cell>
          <cell r="BE84" t="str">
            <v>I/C charges corp.</v>
          </cell>
          <cell r="BG84">
            <v>1014341.02</v>
          </cell>
          <cell r="BI84">
            <v>370514</v>
          </cell>
          <cell r="BJ84" t="str">
            <v>Meeting expenses</v>
          </cell>
          <cell r="BK84">
            <v>10518.33</v>
          </cell>
        </row>
        <row r="85">
          <cell r="A85">
            <v>8001</v>
          </cell>
          <cell r="B85" t="str">
            <v>Plant/Machinery Depreciation</v>
          </cell>
          <cell r="C85">
            <v>57.93</v>
          </cell>
          <cell r="F85">
            <v>7012</v>
          </cell>
          <cell r="G85" t="str">
            <v>Permanent Health insurance</v>
          </cell>
          <cell r="H85">
            <v>941.28</v>
          </cell>
          <cell r="K85">
            <v>7012</v>
          </cell>
          <cell r="L85" t="str">
            <v>Permanent Health insurance</v>
          </cell>
          <cell r="M85">
            <v>941.28</v>
          </cell>
          <cell r="P85">
            <v>7003</v>
          </cell>
          <cell r="Q85" t="str">
            <v>Staff Salaries</v>
          </cell>
          <cell r="R85">
            <v>122674.7</v>
          </cell>
          <cell r="U85">
            <v>7003</v>
          </cell>
          <cell r="V85" t="str">
            <v>Staff Salaries</v>
          </cell>
          <cell r="W85">
            <v>153343.38</v>
          </cell>
          <cell r="Z85">
            <v>7003</v>
          </cell>
          <cell r="AA85" t="str">
            <v>Staff Salaries</v>
          </cell>
          <cell r="AB85">
            <v>184012.05</v>
          </cell>
          <cell r="AE85">
            <v>7001</v>
          </cell>
          <cell r="AF85" t="str">
            <v>Directors bonuses</v>
          </cell>
          <cell r="AG85">
            <v>4313.42</v>
          </cell>
          <cell r="AJ85">
            <v>5200</v>
          </cell>
          <cell r="AK85" t="str">
            <v>Opening Stock</v>
          </cell>
          <cell r="AL85">
            <v>163987.15</v>
          </cell>
          <cell r="AO85">
            <v>5004</v>
          </cell>
          <cell r="AP85" t="str">
            <v>New store setup</v>
          </cell>
          <cell r="AQ85">
            <v>7154</v>
          </cell>
          <cell r="AT85">
            <v>4901</v>
          </cell>
          <cell r="AU85" t="str">
            <v>Interest Received</v>
          </cell>
          <cell r="AY85">
            <v>4100</v>
          </cell>
          <cell r="AZ85" t="str">
            <v>Commissions - purchases</v>
          </cell>
          <cell r="BD85">
            <v>4000</v>
          </cell>
          <cell r="BE85" t="str">
            <v>Commissions - sales</v>
          </cell>
          <cell r="BF85">
            <v>0</v>
          </cell>
          <cell r="BI85">
            <v>391980</v>
          </cell>
          <cell r="BJ85" t="str">
            <v>I/C charges corp.</v>
          </cell>
          <cell r="BL85">
            <v>1014341.02</v>
          </cell>
        </row>
        <row r="86">
          <cell r="A86">
            <v>8002</v>
          </cell>
          <cell r="B86" t="str">
            <v>Furniture/Fitting Depreciation</v>
          </cell>
          <cell r="C86">
            <v>64.010000000000005</v>
          </cell>
          <cell r="F86">
            <v>7103</v>
          </cell>
          <cell r="G86" t="str">
            <v>General Rates</v>
          </cell>
          <cell r="H86">
            <v>1841.73</v>
          </cell>
          <cell r="K86">
            <v>7103</v>
          </cell>
          <cell r="L86" t="str">
            <v>General Rates</v>
          </cell>
          <cell r="M86">
            <v>1237.3599999999999</v>
          </cell>
          <cell r="P86">
            <v>7004</v>
          </cell>
          <cell r="Q86" t="str">
            <v>Redundancy payments</v>
          </cell>
          <cell r="R86">
            <v>3167</v>
          </cell>
          <cell r="U86">
            <v>7004</v>
          </cell>
          <cell r="V86" t="str">
            <v>Redundancy payments</v>
          </cell>
          <cell r="W86">
            <v>3167</v>
          </cell>
          <cell r="Z86">
            <v>7004</v>
          </cell>
          <cell r="AA86" t="str">
            <v>Redundancy payments</v>
          </cell>
          <cell r="AB86">
            <v>3167</v>
          </cell>
          <cell r="AE86">
            <v>7002</v>
          </cell>
          <cell r="AF86" t="str">
            <v>Directors Remuneration</v>
          </cell>
          <cell r="AG86">
            <v>78356.7</v>
          </cell>
          <cell r="AJ86">
            <v>5201</v>
          </cell>
          <cell r="AK86" t="str">
            <v>Closing Stock</v>
          </cell>
          <cell r="AM86">
            <v>258172.89</v>
          </cell>
          <cell r="AO86">
            <v>5005</v>
          </cell>
          <cell r="AP86" t="str">
            <v>Merchandising</v>
          </cell>
          <cell r="AT86">
            <v>5000</v>
          </cell>
          <cell r="AU86" t="str">
            <v>Materials Purchased</v>
          </cell>
          <cell r="AY86">
            <v>4901</v>
          </cell>
          <cell r="AZ86" t="str">
            <v>Interest Received</v>
          </cell>
          <cell r="BD86">
            <v>4100</v>
          </cell>
          <cell r="BE86" t="str">
            <v>Commissions - purchases</v>
          </cell>
          <cell r="BG86">
            <v>0</v>
          </cell>
          <cell r="BI86">
            <v>4000</v>
          </cell>
          <cell r="BJ86" t="str">
            <v>Commissions - sales</v>
          </cell>
        </row>
        <row r="87">
          <cell r="A87">
            <v>8004</v>
          </cell>
          <cell r="B87" t="str">
            <v>Office Equipment Depreciation</v>
          </cell>
          <cell r="C87">
            <v>12.13</v>
          </cell>
          <cell r="F87">
            <v>7601</v>
          </cell>
          <cell r="G87" t="str">
            <v>Audit and Accountancy Fees</v>
          </cell>
          <cell r="K87">
            <v>7601</v>
          </cell>
          <cell r="L87" t="str">
            <v>Audit and Accountancy Fees</v>
          </cell>
          <cell r="P87">
            <v>7005</v>
          </cell>
          <cell r="Q87" t="str">
            <v>Wages - Bonuses</v>
          </cell>
          <cell r="R87">
            <v>16728.93</v>
          </cell>
          <cell r="U87">
            <v>7005</v>
          </cell>
          <cell r="V87" t="str">
            <v>Wages - Bonuses</v>
          </cell>
          <cell r="W87">
            <v>22409.35</v>
          </cell>
          <cell r="Z87">
            <v>7005</v>
          </cell>
          <cell r="AA87" t="str">
            <v>Wages - Bonuses</v>
          </cell>
          <cell r="AB87">
            <v>29945.65</v>
          </cell>
          <cell r="AE87">
            <v>7003</v>
          </cell>
          <cell r="AF87" t="str">
            <v>Staff Salaries</v>
          </cell>
          <cell r="AG87">
            <v>220601.97</v>
          </cell>
          <cell r="AJ87">
            <v>6900</v>
          </cell>
          <cell r="AK87" t="str">
            <v>Miscellaneous Expenses</v>
          </cell>
          <cell r="AO87">
            <v>5200</v>
          </cell>
          <cell r="AP87" t="str">
            <v>Opening Stock</v>
          </cell>
          <cell r="AQ87">
            <v>217245.22</v>
          </cell>
          <cell r="AT87">
            <v>5004</v>
          </cell>
          <cell r="AU87" t="str">
            <v>New store setup</v>
          </cell>
          <cell r="AV87">
            <v>7154</v>
          </cell>
          <cell r="AY87">
            <v>5000</v>
          </cell>
          <cell r="AZ87" t="str">
            <v>Materials Purchased</v>
          </cell>
          <cell r="BD87">
            <v>4901</v>
          </cell>
          <cell r="BE87" t="str">
            <v>Interest Received</v>
          </cell>
          <cell r="BI87">
            <v>4100</v>
          </cell>
          <cell r="BJ87" t="str">
            <v>Commissions - purchases</v>
          </cell>
        </row>
        <row r="88">
          <cell r="A88">
            <v>8202</v>
          </cell>
          <cell r="B88" t="str">
            <v>Purchase of test cards</v>
          </cell>
          <cell r="F88">
            <v>7901</v>
          </cell>
          <cell r="G88" t="str">
            <v>Bank Charges</v>
          </cell>
          <cell r="H88">
            <v>30</v>
          </cell>
          <cell r="K88">
            <v>7901</v>
          </cell>
          <cell r="L88" t="str">
            <v>Bank Charges</v>
          </cell>
          <cell r="M88">
            <v>12</v>
          </cell>
          <cell r="P88">
            <v>7007</v>
          </cell>
          <cell r="Q88" t="str">
            <v>Pension scheme</v>
          </cell>
          <cell r="R88">
            <v>14056.67</v>
          </cell>
          <cell r="U88">
            <v>7007</v>
          </cell>
          <cell r="V88" t="str">
            <v>Pension scheme</v>
          </cell>
          <cell r="W88">
            <v>21452.82</v>
          </cell>
          <cell r="Z88">
            <v>7007</v>
          </cell>
          <cell r="AA88" t="str">
            <v>Pension scheme</v>
          </cell>
          <cell r="AB88">
            <v>16018.21</v>
          </cell>
          <cell r="AE88">
            <v>7004</v>
          </cell>
          <cell r="AF88" t="str">
            <v>Redundancy payments</v>
          </cell>
          <cell r="AG88">
            <v>36348.550000000003</v>
          </cell>
          <cell r="AJ88">
            <v>7001</v>
          </cell>
          <cell r="AK88" t="str">
            <v>Directors bonuses</v>
          </cell>
          <cell r="AL88">
            <v>4313.42</v>
          </cell>
          <cell r="AO88">
            <v>5201</v>
          </cell>
          <cell r="AP88" t="str">
            <v>Closing Stock</v>
          </cell>
          <cell r="AR88">
            <v>173739.37</v>
          </cell>
          <cell r="AT88">
            <v>5005</v>
          </cell>
          <cell r="AU88" t="str">
            <v>Merchandising</v>
          </cell>
          <cell r="AY88">
            <v>5001</v>
          </cell>
          <cell r="AZ88" t="str">
            <v>Morrisons - development support</v>
          </cell>
          <cell r="BA88">
            <v>32352.94</v>
          </cell>
          <cell r="BD88">
            <v>5000</v>
          </cell>
          <cell r="BE88" t="str">
            <v>Materials Purchased</v>
          </cell>
          <cell r="BI88">
            <v>4901</v>
          </cell>
          <cell r="BJ88" t="str">
            <v>Interest Received</v>
          </cell>
        </row>
        <row r="89">
          <cell r="A89">
            <v>9998</v>
          </cell>
          <cell r="B89" t="str">
            <v>Suspense Account</v>
          </cell>
          <cell r="F89">
            <v>8000</v>
          </cell>
          <cell r="G89" t="str">
            <v>Depreciation</v>
          </cell>
          <cell r="H89">
            <v>16.14</v>
          </cell>
          <cell r="K89">
            <v>8000</v>
          </cell>
          <cell r="L89" t="str">
            <v>Depreciation</v>
          </cell>
          <cell r="M89">
            <v>16.14</v>
          </cell>
          <cell r="P89">
            <v>7008</v>
          </cell>
          <cell r="Q89" t="str">
            <v>Staff health scheme</v>
          </cell>
          <cell r="R89">
            <v>2160.63</v>
          </cell>
          <cell r="U89">
            <v>7008</v>
          </cell>
          <cell r="V89" t="str">
            <v>Staff health scheme</v>
          </cell>
          <cell r="W89">
            <v>2941.3</v>
          </cell>
          <cell r="Z89">
            <v>7008</v>
          </cell>
          <cell r="AA89" t="str">
            <v>Staff health scheme</v>
          </cell>
          <cell r="AB89">
            <v>2941.3</v>
          </cell>
          <cell r="AE89">
            <v>7005</v>
          </cell>
          <cell r="AF89" t="str">
            <v>Wages - Bonuses</v>
          </cell>
          <cell r="AG89">
            <v>29945.65</v>
          </cell>
          <cell r="AJ89">
            <v>7002</v>
          </cell>
          <cell r="AK89" t="str">
            <v>Directors Remuneration</v>
          </cell>
          <cell r="AL89">
            <v>89579.06</v>
          </cell>
          <cell r="AO89">
            <v>6201</v>
          </cell>
          <cell r="AP89" t="str">
            <v>Advertising</v>
          </cell>
          <cell r="AQ89">
            <v>6045</v>
          </cell>
          <cell r="AT89">
            <v>5200</v>
          </cell>
          <cell r="AU89" t="str">
            <v>Opening Stock</v>
          </cell>
          <cell r="AV89">
            <v>217245.22</v>
          </cell>
          <cell r="AY89">
            <v>5002</v>
          </cell>
          <cell r="AZ89" t="str">
            <v>Sundry purchases</v>
          </cell>
          <cell r="BD89">
            <v>5001</v>
          </cell>
          <cell r="BE89" t="str">
            <v>Morrisons - development support</v>
          </cell>
          <cell r="BF89">
            <v>36666.660000000003</v>
          </cell>
          <cell r="BI89">
            <v>5000</v>
          </cell>
          <cell r="BJ89" t="str">
            <v>Materials Purchased</v>
          </cell>
        </row>
        <row r="90">
          <cell r="A90">
            <v>2210</v>
          </cell>
          <cell r="F90">
            <v>8001</v>
          </cell>
          <cell r="G90" t="str">
            <v>Plant/Machinery Depreciation</v>
          </cell>
          <cell r="H90">
            <v>115.86</v>
          </cell>
          <cell r="K90">
            <v>8001</v>
          </cell>
          <cell r="L90" t="str">
            <v>Plant/Machinery Depreciation</v>
          </cell>
          <cell r="M90">
            <v>115.86</v>
          </cell>
          <cell r="P90">
            <v>7009</v>
          </cell>
          <cell r="Q90" t="str">
            <v>Canada Life Death in Service</v>
          </cell>
          <cell r="R90">
            <v>1747</v>
          </cell>
          <cell r="U90">
            <v>7009</v>
          </cell>
          <cell r="V90" t="str">
            <v>Canada Life Death in Service</v>
          </cell>
          <cell r="W90">
            <v>1747</v>
          </cell>
          <cell r="Z90">
            <v>7009</v>
          </cell>
          <cell r="AA90" t="str">
            <v>Canada Life Death in Service</v>
          </cell>
          <cell r="AB90">
            <v>1747</v>
          </cell>
          <cell r="AE90">
            <v>7007</v>
          </cell>
          <cell r="AF90" t="str">
            <v>Pension scheme</v>
          </cell>
          <cell r="AG90">
            <v>28682.05</v>
          </cell>
          <cell r="AJ90">
            <v>7003</v>
          </cell>
          <cell r="AK90" t="str">
            <v>Staff Salaries</v>
          </cell>
          <cell r="AL90">
            <v>265067.53000000003</v>
          </cell>
          <cell r="AO90">
            <v>6900</v>
          </cell>
          <cell r="AP90" t="str">
            <v>Miscellaneous Expenses</v>
          </cell>
          <cell r="AT90">
            <v>5201</v>
          </cell>
          <cell r="AU90" t="str">
            <v>Closing Stock</v>
          </cell>
          <cell r="AW90">
            <v>155236.76999999999</v>
          </cell>
          <cell r="AY90">
            <v>5004</v>
          </cell>
          <cell r="AZ90" t="str">
            <v>New store setup</v>
          </cell>
          <cell r="BA90">
            <v>7154</v>
          </cell>
          <cell r="BD90">
            <v>5002</v>
          </cell>
          <cell r="BE90" t="str">
            <v>Martin McColl - support</v>
          </cell>
          <cell r="BF90">
            <v>12307.7</v>
          </cell>
          <cell r="BI90">
            <v>5001</v>
          </cell>
          <cell r="BJ90" t="str">
            <v>Morrisons - development support</v>
          </cell>
        </row>
        <row r="91">
          <cell r="A91">
            <v>369981</v>
          </cell>
          <cell r="F91">
            <v>8002</v>
          </cell>
          <cell r="G91" t="str">
            <v>Furniture/Fitting Depreciation</v>
          </cell>
          <cell r="H91">
            <v>128.02000000000001</v>
          </cell>
          <cell r="K91">
            <v>8002</v>
          </cell>
          <cell r="L91" t="str">
            <v>Furniture/Fitting Depreciation</v>
          </cell>
          <cell r="M91">
            <v>128.02000000000001</v>
          </cell>
          <cell r="P91">
            <v>7012</v>
          </cell>
          <cell r="Q91" t="str">
            <v>Permanent Health insurance</v>
          </cell>
          <cell r="R91">
            <v>1255.04</v>
          </cell>
          <cell r="U91">
            <v>7012</v>
          </cell>
          <cell r="V91" t="str">
            <v>Permanent Health insurance</v>
          </cell>
          <cell r="W91">
            <v>1882.56</v>
          </cell>
          <cell r="Z91">
            <v>7012</v>
          </cell>
          <cell r="AA91" t="str">
            <v>Permanent Health insurance</v>
          </cell>
          <cell r="AB91">
            <v>2971.58</v>
          </cell>
          <cell r="AE91">
            <v>7008</v>
          </cell>
          <cell r="AF91" t="str">
            <v>Staff health scheme</v>
          </cell>
          <cell r="AG91">
            <v>3373.35</v>
          </cell>
          <cell r="AJ91">
            <v>7004</v>
          </cell>
          <cell r="AK91" t="str">
            <v>Redundancy payments</v>
          </cell>
          <cell r="AL91">
            <v>36348.550000000003</v>
          </cell>
          <cell r="AO91">
            <v>7001</v>
          </cell>
          <cell r="AP91" t="str">
            <v>Directors bonuses</v>
          </cell>
          <cell r="AQ91">
            <v>4313.42</v>
          </cell>
          <cell r="AT91">
            <v>6201</v>
          </cell>
          <cell r="AU91" t="str">
            <v>Advertising</v>
          </cell>
          <cell r="AV91">
            <v>6045</v>
          </cell>
          <cell r="AY91">
            <v>5005</v>
          </cell>
          <cell r="AZ91" t="str">
            <v>Merchandising</v>
          </cell>
          <cell r="BD91">
            <v>5004</v>
          </cell>
          <cell r="BE91" t="str">
            <v>New store setup</v>
          </cell>
          <cell r="BF91">
            <v>7154</v>
          </cell>
          <cell r="BI91">
            <v>5002</v>
          </cell>
          <cell r="BJ91" t="str">
            <v>Martin McColl - support</v>
          </cell>
        </row>
        <row r="92">
          <cell r="A92">
            <v>370501</v>
          </cell>
          <cell r="F92">
            <v>8004</v>
          </cell>
          <cell r="G92" t="str">
            <v>Office Equipment Depreciation</v>
          </cell>
          <cell r="H92">
            <v>24.26</v>
          </cell>
          <cell r="K92">
            <v>8004</v>
          </cell>
          <cell r="L92" t="str">
            <v>Office Equipment Depreciation</v>
          </cell>
          <cell r="M92">
            <v>24.26</v>
          </cell>
          <cell r="P92">
            <v>7103</v>
          </cell>
          <cell r="Q92" t="str">
            <v>General Rates</v>
          </cell>
          <cell r="R92">
            <v>2303.37</v>
          </cell>
          <cell r="U92">
            <v>7013</v>
          </cell>
          <cell r="V92" t="str">
            <v>Staff Pension</v>
          </cell>
          <cell r="W92">
            <v>1437</v>
          </cell>
          <cell r="Z92">
            <v>7013</v>
          </cell>
          <cell r="AA92" t="str">
            <v>Staff Pension</v>
          </cell>
          <cell r="AB92">
            <v>1874</v>
          </cell>
          <cell r="AE92">
            <v>7009</v>
          </cell>
          <cell r="AF92" t="str">
            <v>Canada Life Death in Service</v>
          </cell>
          <cell r="AG92">
            <v>1747</v>
          </cell>
          <cell r="AJ92">
            <v>7005</v>
          </cell>
          <cell r="AK92" t="str">
            <v>Wages - Bonuses</v>
          </cell>
          <cell r="AL92">
            <v>41370.6</v>
          </cell>
          <cell r="AO92">
            <v>7002</v>
          </cell>
          <cell r="AP92" t="str">
            <v>Directors Remuneration</v>
          </cell>
          <cell r="AQ92">
            <v>100761.45</v>
          </cell>
          <cell r="AT92">
            <v>6900</v>
          </cell>
          <cell r="AU92" t="str">
            <v>Miscellaneous Expenses</v>
          </cell>
          <cell r="AY92">
            <v>5200</v>
          </cell>
          <cell r="AZ92" t="str">
            <v>Opening Stock</v>
          </cell>
          <cell r="BA92">
            <v>217245.22</v>
          </cell>
          <cell r="BD92">
            <v>5005</v>
          </cell>
          <cell r="BE92" t="str">
            <v>Merchandising</v>
          </cell>
          <cell r="BI92">
            <v>5004</v>
          </cell>
          <cell r="BJ92" t="str">
            <v>New store setup</v>
          </cell>
          <cell r="BK92">
            <v>7154</v>
          </cell>
        </row>
        <row r="93">
          <cell r="A93">
            <v>371123</v>
          </cell>
          <cell r="F93">
            <v>8202</v>
          </cell>
          <cell r="G93" t="str">
            <v>Purchase of test cards</v>
          </cell>
          <cell r="H93">
            <v>113</v>
          </cell>
          <cell r="K93">
            <v>8202</v>
          </cell>
          <cell r="L93" t="str">
            <v>Purchase of test cards</v>
          </cell>
          <cell r="M93">
            <v>15</v>
          </cell>
          <cell r="P93">
            <v>7601</v>
          </cell>
          <cell r="Q93" t="str">
            <v>Audit and Accountancy Fees</v>
          </cell>
          <cell r="R93">
            <v>5100</v>
          </cell>
          <cell r="U93">
            <v>7103</v>
          </cell>
          <cell r="V93" t="str">
            <v>General Rates</v>
          </cell>
          <cell r="W93">
            <v>3352.55</v>
          </cell>
          <cell r="Z93">
            <v>7100</v>
          </cell>
          <cell r="AA93" t="str">
            <v>Rent</v>
          </cell>
          <cell r="AE93">
            <v>7012</v>
          </cell>
          <cell r="AF93" t="str">
            <v>Permanent Health insurance</v>
          </cell>
          <cell r="AG93">
            <v>2971.58</v>
          </cell>
          <cell r="AJ93">
            <v>7007</v>
          </cell>
          <cell r="AK93" t="str">
            <v>Pension scheme</v>
          </cell>
          <cell r="AL93">
            <v>32145.9</v>
          </cell>
          <cell r="AO93">
            <v>7003</v>
          </cell>
          <cell r="AP93" t="str">
            <v>Staff Salaries</v>
          </cell>
          <cell r="AQ93">
            <v>288422.8</v>
          </cell>
          <cell r="AT93">
            <v>7001</v>
          </cell>
          <cell r="AU93" t="str">
            <v>Directors bonuses</v>
          </cell>
          <cell r="AV93">
            <v>4313.42</v>
          </cell>
          <cell r="AY93">
            <v>5201</v>
          </cell>
          <cell r="AZ93" t="str">
            <v>Closing Stock</v>
          </cell>
          <cell r="BB93">
            <v>135776</v>
          </cell>
          <cell r="BD93">
            <v>5200</v>
          </cell>
          <cell r="BE93" t="str">
            <v>Opening Stock</v>
          </cell>
          <cell r="BF93">
            <v>217245.22</v>
          </cell>
          <cell r="BI93">
            <v>5005</v>
          </cell>
          <cell r="BJ93" t="str">
            <v>Merchandising</v>
          </cell>
        </row>
        <row r="94">
          <cell r="A94">
            <v>5004</v>
          </cell>
          <cell r="F94">
            <v>9998</v>
          </cell>
          <cell r="G94" t="str">
            <v>Suspense Account</v>
          </cell>
          <cell r="K94">
            <v>9998</v>
          </cell>
          <cell r="L94" t="str">
            <v>Suspense Account</v>
          </cell>
          <cell r="P94">
            <v>7602</v>
          </cell>
          <cell r="Q94" t="str">
            <v>Consultancy Fees</v>
          </cell>
          <cell r="R94">
            <v>5000</v>
          </cell>
          <cell r="U94">
            <v>7601</v>
          </cell>
          <cell r="V94" t="str">
            <v>Audit and Accountancy Fees</v>
          </cell>
          <cell r="W94">
            <v>7600</v>
          </cell>
          <cell r="Z94">
            <v>7103</v>
          </cell>
          <cell r="AA94" t="str">
            <v>General Rates</v>
          </cell>
          <cell r="AB94">
            <v>3940.09</v>
          </cell>
          <cell r="AE94">
            <v>7013</v>
          </cell>
          <cell r="AF94" t="str">
            <v>Staff Pension</v>
          </cell>
          <cell r="AG94">
            <v>2321</v>
          </cell>
          <cell r="AJ94">
            <v>7008</v>
          </cell>
          <cell r="AK94" t="str">
            <v>Staff health scheme</v>
          </cell>
          <cell r="AL94">
            <v>4020.71</v>
          </cell>
          <cell r="AO94">
            <v>7004</v>
          </cell>
          <cell r="AP94" t="str">
            <v>Redundancy payments</v>
          </cell>
          <cell r="AQ94">
            <v>36348.550000000003</v>
          </cell>
          <cell r="AT94">
            <v>7002</v>
          </cell>
          <cell r="AU94" t="str">
            <v>Directors Remuneration</v>
          </cell>
          <cell r="AV94">
            <v>111957.17</v>
          </cell>
          <cell r="AY94">
            <v>6201</v>
          </cell>
          <cell r="AZ94" t="str">
            <v>Advertising</v>
          </cell>
          <cell r="BA94">
            <v>6045</v>
          </cell>
          <cell r="BD94">
            <v>5201</v>
          </cell>
          <cell r="BE94" t="str">
            <v>Closing Stock</v>
          </cell>
          <cell r="BG94">
            <v>149990</v>
          </cell>
          <cell r="BI94">
            <v>5200</v>
          </cell>
          <cell r="BJ94" t="str">
            <v>Opening Stock</v>
          </cell>
          <cell r="BK94">
            <v>217245.22</v>
          </cell>
        </row>
        <row r="95">
          <cell r="A95">
            <v>5201</v>
          </cell>
          <cell r="F95">
            <v>369981</v>
          </cell>
          <cell r="K95">
            <v>8002</v>
          </cell>
          <cell r="L95" t="str">
            <v>Furniture/Fitting Depreciation</v>
          </cell>
          <cell r="M95">
            <v>410.57</v>
          </cell>
          <cell r="P95">
            <v>7900</v>
          </cell>
          <cell r="Q95" t="str">
            <v>Bank Interest Paid</v>
          </cell>
          <cell r="R95">
            <v>18.2</v>
          </cell>
          <cell r="U95">
            <v>7602</v>
          </cell>
          <cell r="V95" t="str">
            <v>Consultancy Fees</v>
          </cell>
          <cell r="W95">
            <v>5000</v>
          </cell>
          <cell r="Z95">
            <v>7600</v>
          </cell>
          <cell r="AA95" t="str">
            <v>Legal Fees</v>
          </cell>
          <cell r="AE95">
            <v>7100</v>
          </cell>
          <cell r="AF95" t="str">
            <v>Rent</v>
          </cell>
          <cell r="AJ95">
            <v>7009</v>
          </cell>
          <cell r="AK95" t="str">
            <v>Canada Life Death in Service</v>
          </cell>
          <cell r="AL95">
            <v>1747</v>
          </cell>
          <cell r="AO95">
            <v>7005</v>
          </cell>
          <cell r="AP95" t="str">
            <v>Wages - Bonuses</v>
          </cell>
          <cell r="AQ95">
            <v>1824.35</v>
          </cell>
          <cell r="AT95">
            <v>7003</v>
          </cell>
          <cell r="AU95" t="str">
            <v>Staff Salaries</v>
          </cell>
          <cell r="AV95">
            <v>311215.93</v>
          </cell>
          <cell r="AY95">
            <v>6900</v>
          </cell>
          <cell r="AZ95" t="str">
            <v>Miscellaneous Expenses</v>
          </cell>
          <cell r="BD95">
            <v>6201</v>
          </cell>
          <cell r="BE95" t="str">
            <v>Advertising</v>
          </cell>
          <cell r="BF95">
            <v>6045</v>
          </cell>
          <cell r="BI95">
            <v>5201</v>
          </cell>
          <cell r="BJ95" t="str">
            <v>Closing Stock</v>
          </cell>
          <cell r="BL95">
            <v>204518</v>
          </cell>
        </row>
        <row r="96">
          <cell r="A96">
            <v>6900</v>
          </cell>
          <cell r="F96">
            <v>371123</v>
          </cell>
          <cell r="K96">
            <v>8004</v>
          </cell>
          <cell r="L96" t="str">
            <v>Office Equipment Depreciation</v>
          </cell>
          <cell r="M96">
            <v>63.23</v>
          </cell>
          <cell r="P96">
            <v>7901</v>
          </cell>
          <cell r="Q96" t="str">
            <v>Bank Charges</v>
          </cell>
          <cell r="R96">
            <v>168.31</v>
          </cell>
          <cell r="U96">
            <v>7900</v>
          </cell>
          <cell r="V96" t="str">
            <v>Bank Interest Paid</v>
          </cell>
          <cell r="W96">
            <v>41.38</v>
          </cell>
          <cell r="Z96">
            <v>7601</v>
          </cell>
          <cell r="AA96" t="str">
            <v>Audit and Accountancy Fees</v>
          </cell>
          <cell r="AB96">
            <v>9600</v>
          </cell>
          <cell r="AE96">
            <v>7103</v>
          </cell>
          <cell r="AF96" t="str">
            <v>General Rates</v>
          </cell>
          <cell r="AG96">
            <v>4065.99</v>
          </cell>
          <cell r="AJ96">
            <v>7012</v>
          </cell>
          <cell r="AK96" t="str">
            <v>Permanent Health insurance</v>
          </cell>
          <cell r="AL96">
            <v>3285.34</v>
          </cell>
          <cell r="AO96">
            <v>7007</v>
          </cell>
          <cell r="AP96" t="str">
            <v>Pension scheme</v>
          </cell>
          <cell r="AQ96">
            <v>35609.75</v>
          </cell>
          <cell r="AT96">
            <v>7004</v>
          </cell>
          <cell r="AU96" t="str">
            <v>Redundancy payments</v>
          </cell>
          <cell r="AV96">
            <v>36348.550000000003</v>
          </cell>
          <cell r="AY96">
            <v>7001</v>
          </cell>
          <cell r="AZ96" t="str">
            <v>Directors bonuses</v>
          </cell>
          <cell r="BA96">
            <v>4313.42</v>
          </cell>
          <cell r="BD96">
            <v>6900</v>
          </cell>
          <cell r="BE96" t="str">
            <v>Miscellaneous Expenses</v>
          </cell>
          <cell r="BI96">
            <v>6201</v>
          </cell>
          <cell r="BJ96" t="str">
            <v>Advertising</v>
          </cell>
          <cell r="BK96">
            <v>6045</v>
          </cell>
        </row>
        <row r="97">
          <cell r="A97">
            <v>7001</v>
          </cell>
          <cell r="F97">
            <v>5004</v>
          </cell>
          <cell r="K97">
            <v>8202</v>
          </cell>
          <cell r="L97" t="str">
            <v>Purchase of test cards</v>
          </cell>
          <cell r="M97">
            <v>118</v>
          </cell>
          <cell r="P97">
            <v>8000</v>
          </cell>
          <cell r="Q97" t="str">
            <v>Depreciation</v>
          </cell>
          <cell r="R97">
            <v>67.17</v>
          </cell>
          <cell r="U97">
            <v>7901</v>
          </cell>
          <cell r="V97" t="str">
            <v>Bank Charges</v>
          </cell>
          <cell r="W97">
            <v>218.31</v>
          </cell>
          <cell r="Z97">
            <v>7602</v>
          </cell>
          <cell r="AA97" t="str">
            <v>Consultancy Fees</v>
          </cell>
          <cell r="AB97">
            <v>5000</v>
          </cell>
          <cell r="AE97">
            <v>7600</v>
          </cell>
          <cell r="AF97" t="str">
            <v>Legal Fees</v>
          </cell>
          <cell r="AJ97">
            <v>7013</v>
          </cell>
          <cell r="AK97" t="str">
            <v>Staff Pension</v>
          </cell>
          <cell r="AL97">
            <v>3058</v>
          </cell>
          <cell r="AO97">
            <v>7008</v>
          </cell>
          <cell r="AP97" t="str">
            <v>Staff health scheme</v>
          </cell>
          <cell r="AQ97">
            <v>4020.71</v>
          </cell>
          <cell r="AT97">
            <v>7005</v>
          </cell>
          <cell r="AU97" t="str">
            <v>Wages - Bonuses</v>
          </cell>
          <cell r="AV97">
            <v>1824.35</v>
          </cell>
          <cell r="AY97">
            <v>7002</v>
          </cell>
          <cell r="AZ97" t="str">
            <v>Directors Remuneration</v>
          </cell>
          <cell r="BA97">
            <v>123152.89</v>
          </cell>
          <cell r="BD97">
            <v>7001</v>
          </cell>
          <cell r="BE97" t="str">
            <v>Directors bonuses</v>
          </cell>
          <cell r="BF97">
            <v>4313.42</v>
          </cell>
          <cell r="BI97">
            <v>6900</v>
          </cell>
          <cell r="BJ97" t="str">
            <v>Miscellaneous Expenses</v>
          </cell>
        </row>
        <row r="98">
          <cell r="A98">
            <v>7004</v>
          </cell>
          <cell r="F98">
            <v>5201</v>
          </cell>
          <cell r="K98">
            <v>9998</v>
          </cell>
          <cell r="L98" t="str">
            <v>Suspense Account</v>
          </cell>
          <cell r="M98">
            <v>0</v>
          </cell>
          <cell r="P98">
            <v>8001</v>
          </cell>
          <cell r="Q98" t="str">
            <v>Plant/Machinery Depreciation</v>
          </cell>
          <cell r="R98">
            <v>6.57</v>
          </cell>
          <cell r="U98">
            <v>8000</v>
          </cell>
          <cell r="V98" t="str">
            <v>Depreciation</v>
          </cell>
          <cell r="W98">
            <v>75.239999999999995</v>
          </cell>
          <cell r="Z98">
            <v>7900</v>
          </cell>
          <cell r="AA98" t="str">
            <v>Bank Interest Paid</v>
          </cell>
          <cell r="AB98">
            <v>41.38</v>
          </cell>
          <cell r="AE98">
            <v>7601</v>
          </cell>
          <cell r="AF98" t="str">
            <v>Audit and Accountancy Fees</v>
          </cell>
          <cell r="AG98">
            <v>12100</v>
          </cell>
          <cell r="AJ98">
            <v>7014</v>
          </cell>
          <cell r="AK98" t="str">
            <v>Wages - Agency</v>
          </cell>
          <cell r="AL98">
            <v>703.74</v>
          </cell>
          <cell r="AO98">
            <v>7009</v>
          </cell>
          <cell r="AP98" t="str">
            <v>Canada Life Death in Service</v>
          </cell>
          <cell r="AQ98">
            <v>1747</v>
          </cell>
          <cell r="AT98">
            <v>7007</v>
          </cell>
          <cell r="AU98" t="str">
            <v>Pension scheme</v>
          </cell>
          <cell r="AV98">
            <v>29938.71</v>
          </cell>
          <cell r="AY98">
            <v>7003</v>
          </cell>
          <cell r="AZ98" t="str">
            <v>Staff Salaries</v>
          </cell>
          <cell r="BA98">
            <v>334009.65999999997</v>
          </cell>
          <cell r="BD98">
            <v>7002</v>
          </cell>
          <cell r="BE98" t="str">
            <v>Directors Remuneration</v>
          </cell>
          <cell r="BF98">
            <v>134348.1</v>
          </cell>
          <cell r="BI98">
            <v>7001</v>
          </cell>
          <cell r="BJ98" t="str">
            <v>Directors bonuses</v>
          </cell>
          <cell r="BK98">
            <v>4313.42</v>
          </cell>
        </row>
        <row r="99">
          <cell r="A99">
            <v>7005</v>
          </cell>
          <cell r="F99">
            <v>7001</v>
          </cell>
          <cell r="K99">
            <v>1220</v>
          </cell>
          <cell r="P99">
            <v>8002</v>
          </cell>
          <cell r="Q99" t="str">
            <v>Furniture/Fitting Depreciation</v>
          </cell>
          <cell r="R99">
            <v>474.58</v>
          </cell>
          <cell r="U99">
            <v>8001</v>
          </cell>
          <cell r="V99" t="str">
            <v>Plant/Machinery Depreciation</v>
          </cell>
          <cell r="W99">
            <v>60.17</v>
          </cell>
          <cell r="Z99">
            <v>7901</v>
          </cell>
          <cell r="AA99" t="str">
            <v>Bank Charges</v>
          </cell>
          <cell r="AB99">
            <v>274.31</v>
          </cell>
          <cell r="AE99">
            <v>7602</v>
          </cell>
          <cell r="AF99" t="str">
            <v>Consultancy Fees</v>
          </cell>
          <cell r="AG99">
            <v>5930</v>
          </cell>
          <cell r="AJ99">
            <v>7100</v>
          </cell>
          <cell r="AK99" t="str">
            <v>Rent</v>
          </cell>
          <cell r="AO99">
            <v>7012</v>
          </cell>
          <cell r="AP99" t="str">
            <v>Permanent Health insurance</v>
          </cell>
          <cell r="AQ99">
            <v>3599.1</v>
          </cell>
          <cell r="AT99">
            <v>7008</v>
          </cell>
          <cell r="AU99" t="str">
            <v>Staff health scheme</v>
          </cell>
          <cell r="AV99">
            <v>4541.45</v>
          </cell>
          <cell r="AY99">
            <v>7004</v>
          </cell>
          <cell r="AZ99" t="str">
            <v>Redundancy payments</v>
          </cell>
          <cell r="BA99">
            <v>36348.550000000003</v>
          </cell>
          <cell r="BD99">
            <v>7003</v>
          </cell>
          <cell r="BE99" t="str">
            <v>Staff Salaries</v>
          </cell>
          <cell r="BF99">
            <v>356803.39</v>
          </cell>
          <cell r="BI99">
            <v>7002</v>
          </cell>
          <cell r="BJ99" t="str">
            <v>Directors Remuneration</v>
          </cell>
          <cell r="BK99">
            <v>149288.01</v>
          </cell>
        </row>
        <row r="100">
          <cell r="A100">
            <v>7009</v>
          </cell>
          <cell r="F100">
            <v>7004</v>
          </cell>
          <cell r="K100">
            <v>369981</v>
          </cell>
          <cell r="P100">
            <v>8004</v>
          </cell>
          <cell r="Q100" t="str">
            <v>Office Equipment Depreciation</v>
          </cell>
          <cell r="R100">
            <v>101.69</v>
          </cell>
          <cell r="U100">
            <v>8002</v>
          </cell>
          <cell r="V100" t="str">
            <v>Furniture/Fitting Depreciation</v>
          </cell>
          <cell r="W100">
            <v>538.59</v>
          </cell>
          <cell r="Z100">
            <v>8000</v>
          </cell>
          <cell r="AA100" t="str">
            <v>Depreciation</v>
          </cell>
          <cell r="AB100">
            <v>83.31</v>
          </cell>
          <cell r="AE100">
            <v>7900</v>
          </cell>
          <cell r="AF100" t="str">
            <v>Bank Interest Paid</v>
          </cell>
          <cell r="AG100">
            <v>41.38</v>
          </cell>
          <cell r="AJ100">
            <v>7103</v>
          </cell>
          <cell r="AK100" t="str">
            <v>General Rates</v>
          </cell>
          <cell r="AL100">
            <v>4653.53</v>
          </cell>
          <cell r="AO100">
            <v>7013</v>
          </cell>
          <cell r="AP100" t="str">
            <v>Staff Pension</v>
          </cell>
          <cell r="AQ100">
            <v>3795</v>
          </cell>
          <cell r="AT100">
            <v>7009</v>
          </cell>
          <cell r="AU100" t="str">
            <v>Canada Life Death in Service</v>
          </cell>
          <cell r="AV100">
            <v>1747</v>
          </cell>
          <cell r="AY100">
            <v>7005</v>
          </cell>
          <cell r="AZ100" t="str">
            <v>Wages - Bonuses</v>
          </cell>
          <cell r="BA100">
            <v>1824.35</v>
          </cell>
          <cell r="BD100">
            <v>7004</v>
          </cell>
          <cell r="BE100" t="str">
            <v>Redundancy payments</v>
          </cell>
          <cell r="BF100">
            <v>36348.550000000003</v>
          </cell>
          <cell r="BI100">
            <v>7003</v>
          </cell>
          <cell r="BJ100" t="str">
            <v>Staff Salaries</v>
          </cell>
          <cell r="BK100">
            <v>377745.12</v>
          </cell>
        </row>
        <row r="101">
          <cell r="A101">
            <v>7012</v>
          </cell>
          <cell r="F101">
            <v>7005</v>
          </cell>
          <cell r="K101">
            <v>371123</v>
          </cell>
          <cell r="P101">
            <v>8202</v>
          </cell>
          <cell r="Q101" t="str">
            <v>Purchase of test cards</v>
          </cell>
          <cell r="R101">
            <v>550</v>
          </cell>
          <cell r="U101">
            <v>8004</v>
          </cell>
          <cell r="V101" t="str">
            <v>Office Equipment Depreciation</v>
          </cell>
          <cell r="W101">
            <v>139.41</v>
          </cell>
          <cell r="Z101">
            <v>8001</v>
          </cell>
          <cell r="AA101" t="str">
            <v>Plant/Machinery Depreciation</v>
          </cell>
          <cell r="AB101">
            <v>112.74</v>
          </cell>
          <cell r="AE101">
            <v>7901</v>
          </cell>
          <cell r="AF101" t="str">
            <v>Bank Charges</v>
          </cell>
          <cell r="AG101">
            <v>286.31</v>
          </cell>
          <cell r="AJ101">
            <v>7600</v>
          </cell>
          <cell r="AK101" t="str">
            <v>Legal Fees</v>
          </cell>
          <cell r="AO101">
            <v>7014</v>
          </cell>
          <cell r="AP101" t="str">
            <v>Wages - Agency</v>
          </cell>
          <cell r="AQ101">
            <v>2111.2199999999998</v>
          </cell>
          <cell r="AT101">
            <v>7012</v>
          </cell>
          <cell r="AU101" t="str">
            <v>Permanent Health insurance</v>
          </cell>
          <cell r="AV101">
            <v>3912.86</v>
          </cell>
          <cell r="AY101">
            <v>7007</v>
          </cell>
          <cell r="AZ101" t="str">
            <v>Pension scheme</v>
          </cell>
          <cell r="BA101">
            <v>22092.3</v>
          </cell>
          <cell r="BD101">
            <v>7005</v>
          </cell>
          <cell r="BE101" t="str">
            <v>Wages - Bonuses</v>
          </cell>
          <cell r="BF101">
            <v>1824.35</v>
          </cell>
          <cell r="BI101">
            <v>7004</v>
          </cell>
          <cell r="BJ101" t="str">
            <v>Redundancy payments</v>
          </cell>
          <cell r="BK101">
            <v>36348.550000000003</v>
          </cell>
        </row>
        <row r="102">
          <cell r="A102">
            <v>7013</v>
          </cell>
          <cell r="F102">
            <v>7009</v>
          </cell>
          <cell r="K102">
            <v>7004</v>
          </cell>
          <cell r="P102">
            <v>8203</v>
          </cell>
          <cell r="Q102" t="str">
            <v>Training Costs</v>
          </cell>
          <cell r="R102">
            <v>750</v>
          </cell>
          <cell r="U102">
            <v>8202</v>
          </cell>
          <cell r="V102" t="str">
            <v>Purchase of test cards</v>
          </cell>
          <cell r="W102">
            <v>594.17999999999995</v>
          </cell>
          <cell r="Z102">
            <v>8002</v>
          </cell>
          <cell r="AA102" t="str">
            <v>Furniture/Fitting Depreciation</v>
          </cell>
          <cell r="AB102">
            <v>602.6</v>
          </cell>
          <cell r="AE102">
            <v>8000</v>
          </cell>
          <cell r="AF102" t="str">
            <v>Depreciation</v>
          </cell>
          <cell r="AG102">
            <v>91.38</v>
          </cell>
          <cell r="AJ102">
            <v>7601</v>
          </cell>
          <cell r="AK102" t="str">
            <v>Audit and Accountancy Fees</v>
          </cell>
          <cell r="AL102">
            <v>14420</v>
          </cell>
          <cell r="AO102">
            <v>7100</v>
          </cell>
          <cell r="AP102" t="str">
            <v>Rent</v>
          </cell>
          <cell r="AT102">
            <v>7013</v>
          </cell>
          <cell r="AU102" t="str">
            <v>Staff Pension</v>
          </cell>
          <cell r="AV102">
            <v>6622</v>
          </cell>
          <cell r="AY102">
            <v>7008</v>
          </cell>
          <cell r="AZ102" t="str">
            <v>Staff health scheme</v>
          </cell>
          <cell r="BA102">
            <v>5406.8</v>
          </cell>
          <cell r="BD102">
            <v>7007</v>
          </cell>
          <cell r="BE102" t="str">
            <v>Pension scheme</v>
          </cell>
          <cell r="BF102">
            <v>23587.43</v>
          </cell>
          <cell r="BI102">
            <v>7005</v>
          </cell>
          <cell r="BJ102" t="str">
            <v>Wages - Bonuses</v>
          </cell>
          <cell r="BK102">
            <v>1824.35</v>
          </cell>
        </row>
        <row r="103">
          <cell r="A103">
            <v>7602</v>
          </cell>
          <cell r="F103">
            <v>7013</v>
          </cell>
          <cell r="K103">
            <v>7009</v>
          </cell>
          <cell r="P103">
            <v>1220</v>
          </cell>
          <cell r="U103">
            <v>8203</v>
          </cell>
          <cell r="V103" t="str">
            <v>Training Costs</v>
          </cell>
          <cell r="W103">
            <v>750</v>
          </cell>
          <cell r="Z103">
            <v>8004</v>
          </cell>
          <cell r="AA103" t="str">
            <v>Office Equipment Depreciation</v>
          </cell>
          <cell r="AB103">
            <v>176.4</v>
          </cell>
          <cell r="AE103">
            <v>8001</v>
          </cell>
          <cell r="AF103" t="str">
            <v>Plant/Machinery Depreciation</v>
          </cell>
          <cell r="AG103">
            <v>164.3</v>
          </cell>
          <cell r="AJ103">
            <v>7602</v>
          </cell>
          <cell r="AK103" t="str">
            <v>Consultancy Fees</v>
          </cell>
          <cell r="AL103">
            <v>5930</v>
          </cell>
          <cell r="AO103">
            <v>7103</v>
          </cell>
          <cell r="AP103" t="str">
            <v>General Rates</v>
          </cell>
          <cell r="AQ103">
            <v>5241.07</v>
          </cell>
          <cell r="AT103">
            <v>7014</v>
          </cell>
          <cell r="AU103" t="str">
            <v>Wages - Agency</v>
          </cell>
          <cell r="AV103">
            <v>3100.26</v>
          </cell>
          <cell r="AY103">
            <v>7009</v>
          </cell>
          <cell r="AZ103" t="str">
            <v>Canada Life Death in Service</v>
          </cell>
          <cell r="BA103">
            <v>327</v>
          </cell>
          <cell r="BD103">
            <v>7008</v>
          </cell>
          <cell r="BE103" t="str">
            <v>Staff health scheme</v>
          </cell>
          <cell r="BF103">
            <v>5877.01</v>
          </cell>
          <cell r="BI103">
            <v>7007</v>
          </cell>
          <cell r="BJ103" t="str">
            <v>Pension scheme</v>
          </cell>
          <cell r="BK103">
            <v>24156.400000000001</v>
          </cell>
        </row>
        <row r="104">
          <cell r="A104">
            <v>7900</v>
          </cell>
          <cell r="F104">
            <v>7602</v>
          </cell>
          <cell r="K104">
            <v>7013</v>
          </cell>
          <cell r="P104">
            <v>369981</v>
          </cell>
          <cell r="U104">
            <v>9998</v>
          </cell>
          <cell r="V104" t="str">
            <v>Suspense Account</v>
          </cell>
          <cell r="Z104">
            <v>8202</v>
          </cell>
          <cell r="AA104" t="str">
            <v>Purchase of test cards</v>
          </cell>
          <cell r="AB104">
            <v>1053.18</v>
          </cell>
          <cell r="AE104">
            <v>8002</v>
          </cell>
          <cell r="AF104" t="str">
            <v>Furniture/Fitting Depreciation</v>
          </cell>
          <cell r="AG104">
            <v>666.61</v>
          </cell>
          <cell r="AJ104">
            <v>7900</v>
          </cell>
          <cell r="AK104" t="str">
            <v>Bank Interest Paid</v>
          </cell>
          <cell r="AL104">
            <v>41.38</v>
          </cell>
          <cell r="AO104">
            <v>7600</v>
          </cell>
          <cell r="AP104" t="str">
            <v>Legal Fees</v>
          </cell>
          <cell r="AQ104">
            <v>618.16</v>
          </cell>
          <cell r="AT104">
            <v>7100</v>
          </cell>
          <cell r="AU104" t="str">
            <v>Rent</v>
          </cell>
          <cell r="AY104">
            <v>7012</v>
          </cell>
          <cell r="AZ104" t="str">
            <v>Permanent Health insurance</v>
          </cell>
          <cell r="BA104">
            <v>4226.62</v>
          </cell>
          <cell r="BD104">
            <v>7009</v>
          </cell>
          <cell r="BE104" t="str">
            <v>Canada Life Death in Service</v>
          </cell>
          <cell r="BF104">
            <v>1747</v>
          </cell>
          <cell r="BI104">
            <v>7008</v>
          </cell>
          <cell r="BJ104" t="str">
            <v>Staff health scheme</v>
          </cell>
          <cell r="BK104">
            <v>6164.31</v>
          </cell>
        </row>
        <row r="105">
          <cell r="A105">
            <v>8203</v>
          </cell>
          <cell r="F105">
            <v>7900</v>
          </cell>
          <cell r="K105">
            <v>7900</v>
          </cell>
          <cell r="P105">
            <v>371123</v>
          </cell>
          <cell r="U105">
            <v>369981</v>
          </cell>
          <cell r="Z105">
            <v>8203</v>
          </cell>
          <cell r="AA105" t="str">
            <v>Training Costs</v>
          </cell>
          <cell r="AB105">
            <v>750</v>
          </cell>
          <cell r="AE105">
            <v>8004</v>
          </cell>
          <cell r="AF105" t="str">
            <v>Office Equipment Depreciation</v>
          </cell>
          <cell r="AG105">
            <v>212.68</v>
          </cell>
          <cell r="AJ105">
            <v>7901</v>
          </cell>
          <cell r="AK105" t="str">
            <v>Bank Charges</v>
          </cell>
          <cell r="AL105">
            <v>298.31</v>
          </cell>
          <cell r="AO105">
            <v>7601</v>
          </cell>
          <cell r="AP105" t="str">
            <v>Audit and Accountancy Fees</v>
          </cell>
          <cell r="AQ105">
            <v>16240</v>
          </cell>
          <cell r="AT105">
            <v>7103</v>
          </cell>
          <cell r="AU105" t="str">
            <v>General Rates</v>
          </cell>
          <cell r="AV105">
            <v>5827.61</v>
          </cell>
          <cell r="AY105">
            <v>7013</v>
          </cell>
          <cell r="AZ105" t="str">
            <v>Staff Pension</v>
          </cell>
          <cell r="BA105">
            <v>7469</v>
          </cell>
          <cell r="BD105">
            <v>7012</v>
          </cell>
          <cell r="BE105" t="str">
            <v>Permanent Health insurance</v>
          </cell>
          <cell r="BF105">
            <v>4540.38</v>
          </cell>
          <cell r="BI105">
            <v>7009</v>
          </cell>
          <cell r="BJ105" t="str">
            <v>Canada Life Death in Service</v>
          </cell>
          <cell r="BK105">
            <v>1863.39</v>
          </cell>
        </row>
        <row r="106">
          <cell r="A106">
            <v>1110</v>
          </cell>
          <cell r="F106">
            <v>8203</v>
          </cell>
          <cell r="K106">
            <v>8203</v>
          </cell>
          <cell r="P106">
            <v>7013</v>
          </cell>
          <cell r="U106">
            <v>371123</v>
          </cell>
          <cell r="Z106">
            <v>9998</v>
          </cell>
          <cell r="AA106" t="str">
            <v>Suspense Account</v>
          </cell>
          <cell r="AE106">
            <v>8202</v>
          </cell>
          <cell r="AF106" t="str">
            <v>Purchase of test cards</v>
          </cell>
          <cell r="AG106">
            <v>1053.18</v>
          </cell>
          <cell r="AJ106">
            <v>8000</v>
          </cell>
          <cell r="AK106" t="str">
            <v>Depreciation</v>
          </cell>
          <cell r="AO106">
            <v>7602</v>
          </cell>
          <cell r="AP106" t="str">
            <v>Consultancy Fees</v>
          </cell>
          <cell r="AQ106">
            <v>5930</v>
          </cell>
          <cell r="AT106">
            <v>7600</v>
          </cell>
          <cell r="AU106" t="str">
            <v>Legal Fees</v>
          </cell>
          <cell r="AV106">
            <v>618.16</v>
          </cell>
          <cell r="AY106">
            <v>7014</v>
          </cell>
          <cell r="AZ106" t="str">
            <v>Wages - Agency</v>
          </cell>
          <cell r="BA106">
            <v>3100.26</v>
          </cell>
          <cell r="BD106">
            <v>7013</v>
          </cell>
          <cell r="BE106" t="str">
            <v>Staff Pension</v>
          </cell>
          <cell r="BF106">
            <v>9076</v>
          </cell>
          <cell r="BI106">
            <v>7012</v>
          </cell>
          <cell r="BJ106" t="str">
            <v>Permanent Health insurance</v>
          </cell>
          <cell r="BK106">
            <v>4814.72</v>
          </cell>
        </row>
        <row r="107">
          <cell r="A107">
            <v>2310</v>
          </cell>
          <cell r="C107">
            <v>739452.58</v>
          </cell>
          <cell r="D107">
            <v>739452.58</v>
          </cell>
          <cell r="F107">
            <v>1110</v>
          </cell>
          <cell r="H107">
            <v>813338.1</v>
          </cell>
          <cell r="I107">
            <v>813338.1</v>
          </cell>
          <cell r="K107">
            <v>1110</v>
          </cell>
          <cell r="M107">
            <v>1593952.48</v>
          </cell>
          <cell r="N107">
            <v>1593952.48</v>
          </cell>
          <cell r="P107">
            <v>1110</v>
          </cell>
          <cell r="R107">
            <v>1925714.21</v>
          </cell>
          <cell r="S107">
            <v>1925714.21</v>
          </cell>
          <cell r="U107">
            <v>1110</v>
          </cell>
          <cell r="W107">
            <v>1984312.65</v>
          </cell>
          <cell r="X107">
            <v>1984312.65</v>
          </cell>
          <cell r="Z107">
            <v>369981</v>
          </cell>
          <cell r="AB107">
            <v>3085016.56</v>
          </cell>
          <cell r="AC107">
            <v>3085016.56</v>
          </cell>
          <cell r="AE107">
            <v>8203</v>
          </cell>
          <cell r="AF107" t="str">
            <v>Training Costs</v>
          </cell>
          <cell r="AG107">
            <v>750</v>
          </cell>
          <cell r="AJ107">
            <v>8001</v>
          </cell>
          <cell r="AK107" t="str">
            <v>Plant/Machinery Depreciation</v>
          </cell>
          <cell r="AO107">
            <v>7900</v>
          </cell>
          <cell r="AP107" t="str">
            <v>Bank Interest Paid</v>
          </cell>
          <cell r="AQ107">
            <v>41.38</v>
          </cell>
          <cell r="AT107">
            <v>7601</v>
          </cell>
          <cell r="AU107" t="str">
            <v>Audit and Accountancy Fees</v>
          </cell>
          <cell r="AV107">
            <v>17930</v>
          </cell>
          <cell r="AY107">
            <v>7100</v>
          </cell>
          <cell r="AZ107" t="str">
            <v>Rent</v>
          </cell>
          <cell r="BD107">
            <v>7014</v>
          </cell>
          <cell r="BE107" t="str">
            <v>Wages - Agency</v>
          </cell>
          <cell r="BF107">
            <v>3100.26</v>
          </cell>
          <cell r="BI107">
            <v>7013</v>
          </cell>
          <cell r="BJ107" t="str">
            <v>Staff Pension</v>
          </cell>
          <cell r="BK107">
            <v>9866</v>
          </cell>
        </row>
        <row r="108">
          <cell r="A108">
            <v>342438</v>
          </cell>
          <cell r="F108">
            <v>2310</v>
          </cell>
          <cell r="K108">
            <v>2310</v>
          </cell>
          <cell r="P108">
            <v>2310</v>
          </cell>
          <cell r="U108">
            <v>2310</v>
          </cell>
          <cell r="Z108">
            <v>371123</v>
          </cell>
          <cell r="AE108">
            <v>9998</v>
          </cell>
          <cell r="AF108" t="str">
            <v>Suspense Account</v>
          </cell>
          <cell r="AJ108">
            <v>8002</v>
          </cell>
          <cell r="AK108" t="str">
            <v>Furniture/Fitting Depreciation</v>
          </cell>
          <cell r="AO108">
            <v>7901</v>
          </cell>
          <cell r="AP108" t="str">
            <v>Bank Charges</v>
          </cell>
          <cell r="AQ108">
            <v>310.31</v>
          </cell>
          <cell r="AT108">
            <v>7602</v>
          </cell>
          <cell r="AU108" t="str">
            <v>Consultancy Fees</v>
          </cell>
          <cell r="AV108">
            <v>5930</v>
          </cell>
          <cell r="AY108">
            <v>7103</v>
          </cell>
          <cell r="AZ108" t="str">
            <v>General Rates</v>
          </cell>
          <cell r="BA108">
            <v>6416.15</v>
          </cell>
          <cell r="BD108">
            <v>7100</v>
          </cell>
          <cell r="BE108" t="str">
            <v>Rent</v>
          </cell>
          <cell r="BI108">
            <v>7014</v>
          </cell>
          <cell r="BJ108" t="str">
            <v>Wages - Agency</v>
          </cell>
          <cell r="BK108">
            <v>3100.26</v>
          </cell>
        </row>
        <row r="109">
          <cell r="A109">
            <v>7014</v>
          </cell>
          <cell r="F109">
            <v>342438</v>
          </cell>
          <cell r="K109">
            <v>342438</v>
          </cell>
          <cell r="P109">
            <v>342438</v>
          </cell>
          <cell r="U109">
            <v>342438</v>
          </cell>
          <cell r="Z109">
            <v>1110</v>
          </cell>
          <cell r="AE109">
            <v>1110</v>
          </cell>
          <cell r="AJ109">
            <v>8004</v>
          </cell>
          <cell r="AK109" t="str">
            <v>Office Equipment Depreciation</v>
          </cell>
          <cell r="AO109">
            <v>8000</v>
          </cell>
          <cell r="AP109" t="str">
            <v>Depreciation</v>
          </cell>
          <cell r="AT109">
            <v>7900</v>
          </cell>
          <cell r="AU109" t="str">
            <v>Bank Interest Paid</v>
          </cell>
          <cell r="AV109">
            <v>41.38</v>
          </cell>
          <cell r="AY109">
            <v>7600</v>
          </cell>
          <cell r="AZ109" t="str">
            <v>Legal Fees</v>
          </cell>
          <cell r="BA109">
            <v>618.16</v>
          </cell>
          <cell r="BD109">
            <v>7103</v>
          </cell>
          <cell r="BE109" t="str">
            <v>General Rates</v>
          </cell>
          <cell r="BF109">
            <v>7003.69</v>
          </cell>
          <cell r="BI109">
            <v>7100</v>
          </cell>
          <cell r="BJ109" t="str">
            <v>Rent</v>
          </cell>
        </row>
        <row r="110">
          <cell r="A110">
            <v>1220</v>
          </cell>
          <cell r="F110">
            <v>7014</v>
          </cell>
          <cell r="K110">
            <v>7014</v>
          </cell>
          <cell r="P110">
            <v>7014</v>
          </cell>
          <cell r="U110">
            <v>7014</v>
          </cell>
          <cell r="Z110">
            <v>2310</v>
          </cell>
          <cell r="AE110">
            <v>342438</v>
          </cell>
          <cell r="AJ110">
            <v>8202</v>
          </cell>
          <cell r="AK110" t="str">
            <v>Purchase of test cards</v>
          </cell>
          <cell r="AL110">
            <v>1453.08</v>
          </cell>
          <cell r="AO110">
            <v>8001</v>
          </cell>
          <cell r="AP110" t="str">
            <v>Plant/Machinery Depreciation</v>
          </cell>
          <cell r="AT110">
            <v>7901</v>
          </cell>
          <cell r="AU110" t="str">
            <v>Bank Charges</v>
          </cell>
          <cell r="AV110">
            <v>322.31</v>
          </cell>
          <cell r="AY110">
            <v>7601</v>
          </cell>
          <cell r="AZ110" t="str">
            <v>Audit and Accountancy Fees</v>
          </cell>
          <cell r="BA110">
            <v>21280</v>
          </cell>
          <cell r="BD110">
            <v>7600</v>
          </cell>
          <cell r="BE110" t="str">
            <v>Legal Fees</v>
          </cell>
          <cell r="BF110">
            <v>618.16</v>
          </cell>
          <cell r="BI110">
            <v>7103</v>
          </cell>
          <cell r="BJ110" t="str">
            <v>General Rates</v>
          </cell>
          <cell r="BK110">
            <v>7591.23</v>
          </cell>
        </row>
        <row r="111">
          <cell r="F111">
            <v>1220</v>
          </cell>
          <cell r="K111">
            <v>5004</v>
          </cell>
          <cell r="U111">
            <v>1220</v>
          </cell>
          <cell r="Z111">
            <v>342438</v>
          </cell>
          <cell r="AE111">
            <v>371123</v>
          </cell>
          <cell r="AJ111">
            <v>8203</v>
          </cell>
          <cell r="AK111" t="str">
            <v>Training Costs</v>
          </cell>
          <cell r="AL111">
            <v>750</v>
          </cell>
          <cell r="AO111">
            <v>8002</v>
          </cell>
          <cell r="AP111" t="str">
            <v>Furniture/Fitting Depreciation</v>
          </cell>
          <cell r="AT111">
            <v>8000</v>
          </cell>
          <cell r="AU111" t="str">
            <v>Depreciation</v>
          </cell>
          <cell r="AY111">
            <v>7602</v>
          </cell>
          <cell r="AZ111" t="str">
            <v>Consultancy Fees</v>
          </cell>
          <cell r="BA111">
            <v>5930</v>
          </cell>
          <cell r="BD111">
            <v>7601</v>
          </cell>
          <cell r="BE111" t="str">
            <v>Audit and Accountancy Fees</v>
          </cell>
          <cell r="BF111">
            <v>27920</v>
          </cell>
          <cell r="BI111">
            <v>7600</v>
          </cell>
          <cell r="BJ111" t="str">
            <v>Legal Fees</v>
          </cell>
          <cell r="BK111">
            <v>618.16</v>
          </cell>
        </row>
        <row r="112">
          <cell r="K112">
            <v>5201</v>
          </cell>
          <cell r="Z112">
            <v>7014</v>
          </cell>
          <cell r="AE112">
            <v>7014</v>
          </cell>
          <cell r="AJ112">
            <v>9998</v>
          </cell>
          <cell r="AK112" t="str">
            <v>Suspense Account</v>
          </cell>
          <cell r="AO112">
            <v>8004</v>
          </cell>
          <cell r="AP112" t="str">
            <v>Office Equipment Depreciation</v>
          </cell>
          <cell r="AT112">
            <v>8001</v>
          </cell>
          <cell r="AU112" t="str">
            <v>Plant/Machinery Depreciation</v>
          </cell>
          <cell r="AY112">
            <v>7900</v>
          </cell>
          <cell r="AZ112" t="str">
            <v>Bank Interest Paid</v>
          </cell>
          <cell r="BA112">
            <v>41.38</v>
          </cell>
          <cell r="BD112">
            <v>7602</v>
          </cell>
          <cell r="BE112" t="str">
            <v>Consultancy Fees</v>
          </cell>
          <cell r="BF112">
            <v>5930</v>
          </cell>
          <cell r="BI112">
            <v>7601</v>
          </cell>
          <cell r="BJ112" t="str">
            <v>Audit and Accountancy Fees</v>
          </cell>
          <cell r="BK112">
            <v>30360</v>
          </cell>
        </row>
        <row r="113">
          <cell r="K113">
            <v>7001</v>
          </cell>
          <cell r="Z113">
            <v>1220</v>
          </cell>
          <cell r="AL113">
            <v>3834747.79</v>
          </cell>
          <cell r="AM113">
            <v>3834747.79</v>
          </cell>
          <cell r="AO113">
            <v>8202</v>
          </cell>
          <cell r="AP113" t="str">
            <v>Purchase of test cards</v>
          </cell>
          <cell r="AQ113">
            <v>1964.83</v>
          </cell>
          <cell r="AT113">
            <v>8002</v>
          </cell>
          <cell r="AU113" t="str">
            <v>Furniture/Fitting Depreciation</v>
          </cell>
          <cell r="AY113">
            <v>7901</v>
          </cell>
          <cell r="AZ113" t="str">
            <v>Bank Charges</v>
          </cell>
          <cell r="BA113">
            <v>334.31</v>
          </cell>
          <cell r="BD113">
            <v>7900</v>
          </cell>
          <cell r="BE113" t="str">
            <v>Bank Interest Paid</v>
          </cell>
          <cell r="BF113">
            <v>41.38</v>
          </cell>
          <cell r="BI113">
            <v>7602</v>
          </cell>
          <cell r="BJ113" t="str">
            <v>Consultancy Fees</v>
          </cell>
          <cell r="BK113">
            <v>5930</v>
          </cell>
        </row>
        <row r="114">
          <cell r="K114">
            <v>7005</v>
          </cell>
          <cell r="AO114">
            <v>8203</v>
          </cell>
          <cell r="AP114" t="str">
            <v>Training Costs</v>
          </cell>
          <cell r="AQ114">
            <v>750</v>
          </cell>
          <cell r="AT114">
            <v>8004</v>
          </cell>
          <cell r="AU114" t="str">
            <v>Office Equipment Depreciation</v>
          </cell>
          <cell r="AY114">
            <v>8000</v>
          </cell>
          <cell r="AZ114" t="str">
            <v>Depreciation</v>
          </cell>
          <cell r="BD114">
            <v>7901</v>
          </cell>
          <cell r="BE114" t="str">
            <v>Bank Charges</v>
          </cell>
          <cell r="BF114">
            <v>346.31</v>
          </cell>
          <cell r="BI114">
            <v>7900</v>
          </cell>
          <cell r="BJ114" t="str">
            <v>Bank Interest Paid</v>
          </cell>
          <cell r="BK114">
            <v>41.38</v>
          </cell>
        </row>
        <row r="115">
          <cell r="K115">
            <v>7602</v>
          </cell>
          <cell r="AO115">
            <v>9998</v>
          </cell>
          <cell r="AP115" t="str">
            <v>Suspense Account</v>
          </cell>
          <cell r="AT115">
            <v>8202</v>
          </cell>
          <cell r="AU115" t="str">
            <v>Purchase of test cards</v>
          </cell>
          <cell r="AV115">
            <v>2123.83</v>
          </cell>
          <cell r="AY115">
            <v>8001</v>
          </cell>
          <cell r="AZ115" t="str">
            <v>Plant/Machinery Depreciation</v>
          </cell>
          <cell r="BD115">
            <v>8000</v>
          </cell>
          <cell r="BE115" t="str">
            <v>Depreciation</v>
          </cell>
          <cell r="BI115">
            <v>7901</v>
          </cell>
          <cell r="BJ115" t="str">
            <v>Bank Charges</v>
          </cell>
          <cell r="BK115">
            <v>358.31</v>
          </cell>
        </row>
        <row r="116">
          <cell r="AQ116">
            <v>4204082.25</v>
          </cell>
          <cell r="AR116">
            <v>4204082.25</v>
          </cell>
          <cell r="AT116">
            <v>8203</v>
          </cell>
          <cell r="AU116" t="str">
            <v>Training Costs</v>
          </cell>
          <cell r="AV116">
            <v>750</v>
          </cell>
          <cell r="AY116">
            <v>8002</v>
          </cell>
          <cell r="AZ116" t="str">
            <v>Furniture/Fitting Depreciation</v>
          </cell>
          <cell r="BD116">
            <v>8001</v>
          </cell>
          <cell r="BE116" t="str">
            <v>Plant/Machinery Depreciation</v>
          </cell>
          <cell r="BF116">
            <v>0</v>
          </cell>
          <cell r="BI116">
            <v>8000</v>
          </cell>
          <cell r="BJ116" t="str">
            <v>Depreciation</v>
          </cell>
        </row>
        <row r="117">
          <cell r="AT117">
            <v>9998</v>
          </cell>
          <cell r="AU117" t="str">
            <v>Suspense Account</v>
          </cell>
          <cell r="AY117">
            <v>8004</v>
          </cell>
          <cell r="AZ117" t="str">
            <v>Office Equipment Depreciation</v>
          </cell>
          <cell r="BD117">
            <v>8002</v>
          </cell>
          <cell r="BE117" t="str">
            <v>Furniture/Fitting Depreciation</v>
          </cell>
          <cell r="BI117">
            <v>8001</v>
          </cell>
          <cell r="BJ117" t="str">
            <v>Plant/Machinery Depreciation</v>
          </cell>
        </row>
        <row r="118">
          <cell r="AV118">
            <v>4597347.55</v>
          </cell>
          <cell r="AW118">
            <v>4597347.55</v>
          </cell>
          <cell r="AY118">
            <v>8202</v>
          </cell>
          <cell r="AZ118" t="str">
            <v>Purchase of test cards</v>
          </cell>
          <cell r="BA118">
            <v>3716.33</v>
          </cell>
          <cell r="BD118">
            <v>8004</v>
          </cell>
          <cell r="BE118" t="str">
            <v>Office Equipment Depreciation</v>
          </cell>
          <cell r="BG118">
            <v>0</v>
          </cell>
          <cell r="BI118">
            <v>8002</v>
          </cell>
          <cell r="BJ118" t="str">
            <v>Furniture/Fitting Depreciation</v>
          </cell>
        </row>
        <row r="119">
          <cell r="AY119">
            <v>8203</v>
          </cell>
          <cell r="AZ119" t="str">
            <v>Training Costs</v>
          </cell>
          <cell r="BA119">
            <v>750</v>
          </cell>
          <cell r="BD119">
            <v>8202</v>
          </cell>
          <cell r="BE119" t="str">
            <v>Purchase of test cards</v>
          </cell>
          <cell r="BF119">
            <v>4174.58</v>
          </cell>
          <cell r="BI119">
            <v>8004</v>
          </cell>
          <cell r="BJ119" t="str">
            <v>Office Equipment Depreciation</v>
          </cell>
        </row>
        <row r="120">
          <cell r="AY120">
            <v>9998</v>
          </cell>
          <cell r="AZ120" t="str">
            <v>Suspense Account</v>
          </cell>
          <cell r="BD120">
            <v>8203</v>
          </cell>
          <cell r="BE120" t="str">
            <v>Training Costs</v>
          </cell>
          <cell r="BF120">
            <v>750</v>
          </cell>
          <cell r="BI120">
            <v>8202</v>
          </cell>
          <cell r="BJ120" t="str">
            <v>Purchase of test cards</v>
          </cell>
          <cell r="BK120">
            <v>5980.08</v>
          </cell>
        </row>
        <row r="121">
          <cell r="BA121">
            <v>5479354.29</v>
          </cell>
          <cell r="BB121">
            <v>5479354.29</v>
          </cell>
          <cell r="BD121">
            <v>9998</v>
          </cell>
          <cell r="BE121" t="str">
            <v>Suspense Account</v>
          </cell>
          <cell r="BI121">
            <v>8203</v>
          </cell>
          <cell r="BJ121" t="str">
            <v>Training Costs</v>
          </cell>
          <cell r="BK121">
            <v>750</v>
          </cell>
        </row>
        <row r="122">
          <cell r="BI122">
            <v>9998</v>
          </cell>
          <cell r="BJ122" t="str">
            <v>Suspense Account</v>
          </cell>
        </row>
        <row r="123">
          <cell r="BI123">
            <v>9999</v>
          </cell>
          <cell r="BJ123" t="str">
            <v>Mispostings Account</v>
          </cell>
        </row>
      </sheetData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Backup"/>
      <sheetName val="Weekly Flash Report Wk 24 2009"/>
      <sheetName val="Client info"/>
      <sheetName val="Time Accum."/>
      <sheetName val="Hour Budg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149556</v>
          </cell>
          <cell r="C3">
            <v>149556</v>
          </cell>
          <cell r="D3">
            <v>135974</v>
          </cell>
          <cell r="E3">
            <v>124097</v>
          </cell>
          <cell r="F3">
            <v>138874</v>
          </cell>
          <cell r="G3">
            <v>259554</v>
          </cell>
          <cell r="H3">
            <v>164202</v>
          </cell>
          <cell r="I3">
            <v>132157</v>
          </cell>
          <cell r="J3">
            <v>137421</v>
          </cell>
          <cell r="K3">
            <v>128664</v>
          </cell>
          <cell r="L3">
            <v>150145</v>
          </cell>
          <cell r="M3">
            <v>143989</v>
          </cell>
          <cell r="N3">
            <v>134817</v>
          </cell>
          <cell r="O3">
            <v>224459</v>
          </cell>
          <cell r="P3">
            <v>139775</v>
          </cell>
          <cell r="Q3">
            <v>151214</v>
          </cell>
          <cell r="R3">
            <v>205392</v>
          </cell>
          <cell r="S3">
            <v>312990</v>
          </cell>
          <cell r="T3">
            <v>250894</v>
          </cell>
          <cell r="U3">
            <v>191272</v>
          </cell>
          <cell r="V3">
            <v>246347</v>
          </cell>
          <cell r="W3">
            <v>219011</v>
          </cell>
          <cell r="X3">
            <v>279446</v>
          </cell>
          <cell r="Y3">
            <v>519378</v>
          </cell>
          <cell r="Z3">
            <v>335013</v>
          </cell>
          <cell r="AA3">
            <v>198993</v>
          </cell>
          <cell r="AB3">
            <v>216828</v>
          </cell>
          <cell r="AC3">
            <v>200337</v>
          </cell>
          <cell r="AD3">
            <v>261601</v>
          </cell>
          <cell r="AE3">
            <v>251422</v>
          </cell>
          <cell r="AF3">
            <v>287030</v>
          </cell>
          <cell r="AG3">
            <v>234115</v>
          </cell>
          <cell r="AH3">
            <v>222741</v>
          </cell>
          <cell r="AI3">
            <v>208619</v>
          </cell>
          <cell r="AJ3">
            <v>185907</v>
          </cell>
          <cell r="AK3">
            <v>177963</v>
          </cell>
          <cell r="AL3">
            <v>181820</v>
          </cell>
          <cell r="AM3">
            <v>172209</v>
          </cell>
          <cell r="AN3">
            <v>176783</v>
          </cell>
          <cell r="AO3">
            <v>184369</v>
          </cell>
          <cell r="AP3">
            <v>179300</v>
          </cell>
          <cell r="AQ3">
            <v>228705</v>
          </cell>
          <cell r="AR3">
            <v>246199</v>
          </cell>
          <cell r="AS3">
            <v>225810</v>
          </cell>
          <cell r="AT3">
            <v>276667</v>
          </cell>
          <cell r="AU3">
            <v>307889</v>
          </cell>
          <cell r="AV3">
            <v>353710</v>
          </cell>
          <cell r="AW3">
            <v>703401</v>
          </cell>
          <cell r="AX3">
            <v>1313217</v>
          </cell>
          <cell r="AY3">
            <v>3039948</v>
          </cell>
          <cell r="AZ3">
            <v>3800909</v>
          </cell>
          <cell r="BA3">
            <v>432646</v>
          </cell>
          <cell r="BB3">
            <v>0</v>
          </cell>
        </row>
        <row r="4">
          <cell r="A4" t="str">
            <v>ptd</v>
          </cell>
          <cell r="B4">
            <v>149556</v>
          </cell>
          <cell r="C4">
            <v>299112</v>
          </cell>
          <cell r="D4">
            <v>435086</v>
          </cell>
          <cell r="E4">
            <v>559183</v>
          </cell>
          <cell r="F4">
            <v>138874</v>
          </cell>
          <cell r="G4">
            <v>398428</v>
          </cell>
          <cell r="H4">
            <v>562630</v>
          </cell>
          <cell r="I4">
            <v>694787</v>
          </cell>
          <cell r="J4">
            <v>137421</v>
          </cell>
          <cell r="K4">
            <v>266085</v>
          </cell>
          <cell r="L4">
            <v>416230</v>
          </cell>
          <cell r="M4">
            <v>560219</v>
          </cell>
          <cell r="N4">
            <v>134817</v>
          </cell>
          <cell r="O4">
            <v>359276</v>
          </cell>
          <cell r="P4">
            <v>499051</v>
          </cell>
          <cell r="Q4">
            <v>650265</v>
          </cell>
          <cell r="R4">
            <v>205392</v>
          </cell>
          <cell r="S4">
            <v>518382</v>
          </cell>
          <cell r="T4">
            <v>769276</v>
          </cell>
          <cell r="U4">
            <v>960548</v>
          </cell>
          <cell r="V4">
            <v>246347</v>
          </cell>
          <cell r="W4">
            <v>465358</v>
          </cell>
          <cell r="X4">
            <v>744804</v>
          </cell>
          <cell r="Y4">
            <v>1264182</v>
          </cell>
          <cell r="Z4">
            <v>335013</v>
          </cell>
          <cell r="AA4">
            <v>534006</v>
          </cell>
          <cell r="AB4">
            <v>750834</v>
          </cell>
          <cell r="AC4">
            <v>951171</v>
          </cell>
          <cell r="AD4">
            <v>261601</v>
          </cell>
          <cell r="AE4">
            <v>513023</v>
          </cell>
          <cell r="AF4">
            <v>800053</v>
          </cell>
          <cell r="AG4">
            <v>1034168</v>
          </cell>
          <cell r="AH4">
            <v>222741</v>
          </cell>
          <cell r="AI4">
            <v>431360</v>
          </cell>
          <cell r="AJ4">
            <v>617267</v>
          </cell>
          <cell r="AK4">
            <v>795230</v>
          </cell>
          <cell r="AL4">
            <v>181820</v>
          </cell>
          <cell r="AM4">
            <v>354029</v>
          </cell>
          <cell r="AN4">
            <v>530812</v>
          </cell>
          <cell r="AO4">
            <v>715181</v>
          </cell>
          <cell r="AP4">
            <v>179300</v>
          </cell>
          <cell r="AQ4">
            <v>408005</v>
          </cell>
          <cell r="AR4">
            <v>654204</v>
          </cell>
          <cell r="AS4">
            <v>880014</v>
          </cell>
          <cell r="AT4">
            <v>276667</v>
          </cell>
          <cell r="AU4">
            <v>584556</v>
          </cell>
          <cell r="AV4">
            <v>938266</v>
          </cell>
          <cell r="AW4">
            <v>1641667</v>
          </cell>
          <cell r="AX4">
            <v>1313217</v>
          </cell>
          <cell r="AY4">
            <v>4353165</v>
          </cell>
          <cell r="AZ4">
            <v>8154074</v>
          </cell>
          <cell r="BA4">
            <v>8586720</v>
          </cell>
          <cell r="BB4">
            <v>8586720</v>
          </cell>
        </row>
        <row r="5">
          <cell r="A5" t="str">
            <v>qtd</v>
          </cell>
          <cell r="B5">
            <v>149556</v>
          </cell>
          <cell r="C5">
            <v>299112</v>
          </cell>
          <cell r="D5">
            <v>435086</v>
          </cell>
          <cell r="E5">
            <v>559183</v>
          </cell>
          <cell r="F5">
            <v>698057</v>
          </cell>
          <cell r="G5">
            <v>957611</v>
          </cell>
          <cell r="H5">
            <v>1121813</v>
          </cell>
          <cell r="I5">
            <v>1253970</v>
          </cell>
          <cell r="J5">
            <v>1391391</v>
          </cell>
          <cell r="K5">
            <v>1520055</v>
          </cell>
          <cell r="L5">
            <v>1670200</v>
          </cell>
          <cell r="M5">
            <v>1814189</v>
          </cell>
          <cell r="N5">
            <v>134817</v>
          </cell>
          <cell r="O5">
            <v>359276</v>
          </cell>
          <cell r="P5">
            <v>499051</v>
          </cell>
          <cell r="Q5">
            <v>650265</v>
          </cell>
          <cell r="R5">
            <v>855657</v>
          </cell>
          <cell r="S5">
            <v>1168647</v>
          </cell>
          <cell r="T5">
            <v>1419541</v>
          </cell>
          <cell r="U5">
            <v>1610813</v>
          </cell>
          <cell r="V5">
            <v>1857160</v>
          </cell>
          <cell r="W5">
            <v>2076171</v>
          </cell>
          <cell r="X5">
            <v>2355617</v>
          </cell>
          <cell r="Y5">
            <v>2874995</v>
          </cell>
          <cell r="Z5">
            <v>335013</v>
          </cell>
          <cell r="AA5">
            <v>534006</v>
          </cell>
          <cell r="AB5">
            <v>750834</v>
          </cell>
          <cell r="AC5">
            <v>951171</v>
          </cell>
          <cell r="AD5">
            <v>1212772</v>
          </cell>
          <cell r="AE5">
            <v>1464194</v>
          </cell>
          <cell r="AF5">
            <v>1751224</v>
          </cell>
          <cell r="AG5">
            <v>1985339</v>
          </cell>
          <cell r="AH5">
            <v>2208080</v>
          </cell>
          <cell r="AI5">
            <v>2416699</v>
          </cell>
          <cell r="AJ5">
            <v>2602606</v>
          </cell>
          <cell r="AK5">
            <v>2780569</v>
          </cell>
          <cell r="AL5">
            <v>181820</v>
          </cell>
          <cell r="AM5">
            <v>354029</v>
          </cell>
          <cell r="AN5">
            <v>530812</v>
          </cell>
          <cell r="AO5">
            <v>715181</v>
          </cell>
          <cell r="AP5">
            <v>894481</v>
          </cell>
          <cell r="AQ5">
            <v>1123186</v>
          </cell>
          <cell r="AR5">
            <v>1369385</v>
          </cell>
          <cell r="AS5">
            <v>1595195</v>
          </cell>
          <cell r="AT5">
            <v>1871862</v>
          </cell>
          <cell r="AU5">
            <v>2179751</v>
          </cell>
          <cell r="AV5">
            <v>2533461</v>
          </cell>
          <cell r="AW5">
            <v>3236862</v>
          </cell>
          <cell r="AX5">
            <v>4550079</v>
          </cell>
          <cell r="AY5">
            <v>7590027</v>
          </cell>
          <cell r="AZ5">
            <v>11390936</v>
          </cell>
          <cell r="BA5">
            <v>11823582</v>
          </cell>
          <cell r="BB5">
            <v>11823582</v>
          </cell>
        </row>
        <row r="6">
          <cell r="A6" t="str">
            <v>ytd</v>
          </cell>
          <cell r="B6">
            <v>149556</v>
          </cell>
          <cell r="C6">
            <v>299112</v>
          </cell>
          <cell r="D6">
            <v>435086</v>
          </cell>
          <cell r="E6">
            <v>559183</v>
          </cell>
          <cell r="F6">
            <v>698057</v>
          </cell>
          <cell r="G6">
            <v>957611</v>
          </cell>
          <cell r="H6">
            <v>1121813</v>
          </cell>
          <cell r="I6">
            <v>1253970</v>
          </cell>
          <cell r="J6">
            <v>1391391</v>
          </cell>
          <cell r="K6">
            <v>1520055</v>
          </cell>
          <cell r="L6">
            <v>1670200</v>
          </cell>
          <cell r="M6">
            <v>1814189</v>
          </cell>
          <cell r="N6">
            <v>1949006</v>
          </cell>
          <cell r="O6">
            <v>2173465</v>
          </cell>
          <cell r="P6">
            <v>2313240</v>
          </cell>
          <cell r="Q6">
            <v>2464454</v>
          </cell>
          <cell r="R6">
            <v>2669846</v>
          </cell>
          <cell r="S6">
            <v>2982836</v>
          </cell>
          <cell r="T6">
            <v>3233730</v>
          </cell>
          <cell r="U6">
            <v>3425002</v>
          </cell>
          <cell r="V6">
            <v>3671349</v>
          </cell>
          <cell r="W6">
            <v>3890360</v>
          </cell>
          <cell r="X6">
            <v>4169806</v>
          </cell>
          <cell r="Y6">
            <v>4689184</v>
          </cell>
          <cell r="Z6">
            <v>5024197</v>
          </cell>
          <cell r="AA6">
            <v>5223190</v>
          </cell>
          <cell r="AB6">
            <v>5440018</v>
          </cell>
          <cell r="AC6">
            <v>5640355</v>
          </cell>
          <cell r="AD6">
            <v>5901956</v>
          </cell>
          <cell r="AE6">
            <v>6153378</v>
          </cell>
          <cell r="AF6">
            <v>6440408</v>
          </cell>
          <cell r="AG6">
            <v>6674523</v>
          </cell>
          <cell r="AH6">
            <v>6897264</v>
          </cell>
          <cell r="AI6">
            <v>7105883</v>
          </cell>
          <cell r="AJ6">
            <v>7291790</v>
          </cell>
          <cell r="AK6">
            <v>7469753</v>
          </cell>
          <cell r="AL6">
            <v>7651573</v>
          </cell>
          <cell r="AM6">
            <v>7823782</v>
          </cell>
          <cell r="AN6">
            <v>8000565</v>
          </cell>
          <cell r="AO6">
            <v>8184934</v>
          </cell>
          <cell r="AP6">
            <v>8364234</v>
          </cell>
          <cell r="AQ6">
            <v>8592939</v>
          </cell>
          <cell r="AR6">
            <v>8839138</v>
          </cell>
          <cell r="AS6">
            <v>9064948</v>
          </cell>
          <cell r="AT6">
            <v>9341615</v>
          </cell>
          <cell r="AU6">
            <v>9649504</v>
          </cell>
          <cell r="AV6">
            <v>10003214</v>
          </cell>
          <cell r="AW6">
            <v>10706615</v>
          </cell>
          <cell r="AX6">
            <v>12019832</v>
          </cell>
          <cell r="AY6">
            <v>15059780</v>
          </cell>
          <cell r="AZ6">
            <v>18860689</v>
          </cell>
          <cell r="BA6">
            <v>19293335</v>
          </cell>
          <cell r="BB6">
            <v>19293335</v>
          </cell>
        </row>
        <row r="7">
          <cell r="A7" t="str">
            <v>PART</v>
          </cell>
          <cell r="B7">
            <v>3893663</v>
          </cell>
          <cell r="C7">
            <v>3893663</v>
          </cell>
          <cell r="D7">
            <v>3370872</v>
          </cell>
          <cell r="E7">
            <v>3303987</v>
          </cell>
          <cell r="F7">
            <v>3492782</v>
          </cell>
          <cell r="G7">
            <v>6180392</v>
          </cell>
          <cell r="H7">
            <v>3959185</v>
          </cell>
          <cell r="I7">
            <v>3518980</v>
          </cell>
          <cell r="J7">
            <v>3665355</v>
          </cell>
          <cell r="K7">
            <v>3658072</v>
          </cell>
          <cell r="L7">
            <v>4060440</v>
          </cell>
          <cell r="M7">
            <v>3837870</v>
          </cell>
          <cell r="N7">
            <v>3688175</v>
          </cell>
          <cell r="O7">
            <v>5805650</v>
          </cell>
          <cell r="P7">
            <v>3784347</v>
          </cell>
          <cell r="Q7">
            <v>4002095</v>
          </cell>
          <cell r="R7">
            <v>4687077</v>
          </cell>
          <cell r="S7">
            <v>9767802</v>
          </cell>
          <cell r="T7">
            <v>7099977</v>
          </cell>
          <cell r="U7">
            <v>4817825</v>
          </cell>
          <cell r="V7">
            <v>5941103</v>
          </cell>
          <cell r="W7">
            <v>6179940</v>
          </cell>
          <cell r="X7">
            <v>6612548</v>
          </cell>
          <cell r="Y7">
            <v>11282559</v>
          </cell>
          <cell r="Z7">
            <v>7490093</v>
          </cell>
          <cell r="AA7">
            <v>4592703</v>
          </cell>
          <cell r="AB7">
            <v>4253995</v>
          </cell>
          <cell r="AC7">
            <v>4272400</v>
          </cell>
          <cell r="AD7">
            <v>4332913</v>
          </cell>
          <cell r="AE7">
            <v>4202135</v>
          </cell>
          <cell r="AF7">
            <v>4535833</v>
          </cell>
          <cell r="AG7">
            <v>4265023</v>
          </cell>
          <cell r="AH7">
            <v>4288858</v>
          </cell>
          <cell r="AI7">
            <v>4335305</v>
          </cell>
          <cell r="AJ7">
            <v>4118653</v>
          </cell>
          <cell r="AK7">
            <v>4080080</v>
          </cell>
          <cell r="AL7">
            <v>4072940</v>
          </cell>
          <cell r="AM7">
            <v>4006745</v>
          </cell>
          <cell r="AN7">
            <v>4024573</v>
          </cell>
          <cell r="AO7">
            <v>4162543</v>
          </cell>
          <cell r="AP7">
            <v>4177475</v>
          </cell>
          <cell r="AQ7">
            <v>4826675</v>
          </cell>
          <cell r="AR7">
            <v>4903655</v>
          </cell>
          <cell r="AS7">
            <v>4527680</v>
          </cell>
          <cell r="AT7">
            <v>5300195</v>
          </cell>
          <cell r="AU7">
            <v>5984570</v>
          </cell>
          <cell r="AV7">
            <v>7413080</v>
          </cell>
          <cell r="AW7">
            <v>15516522</v>
          </cell>
          <cell r="AX7">
            <v>28808113</v>
          </cell>
          <cell r="AY7">
            <v>63389444</v>
          </cell>
          <cell r="AZ7">
            <v>77972555</v>
          </cell>
          <cell r="BA7">
            <v>9980617</v>
          </cell>
          <cell r="BB7">
            <v>0</v>
          </cell>
        </row>
        <row r="8">
          <cell r="A8" t="str">
            <v>ptd</v>
          </cell>
          <cell r="B8">
            <v>3893663</v>
          </cell>
          <cell r="C8">
            <v>7787326</v>
          </cell>
          <cell r="D8">
            <v>11158198</v>
          </cell>
          <cell r="E8">
            <v>14462185</v>
          </cell>
          <cell r="F8">
            <v>3492782</v>
          </cell>
          <cell r="G8">
            <v>9673174</v>
          </cell>
          <cell r="H8">
            <v>13632359</v>
          </cell>
          <cell r="I8">
            <v>17151339</v>
          </cell>
          <cell r="J8">
            <v>3665355</v>
          </cell>
          <cell r="K8">
            <v>7323427</v>
          </cell>
          <cell r="L8">
            <v>11383867</v>
          </cell>
          <cell r="M8">
            <v>15221737</v>
          </cell>
          <cell r="N8">
            <v>3688175</v>
          </cell>
          <cell r="O8">
            <v>9493825</v>
          </cell>
          <cell r="P8">
            <v>13278172</v>
          </cell>
          <cell r="Q8">
            <v>17280267</v>
          </cell>
          <cell r="R8">
            <v>4687077</v>
          </cell>
          <cell r="S8">
            <v>14454879</v>
          </cell>
          <cell r="T8">
            <v>21554856</v>
          </cell>
          <cell r="U8">
            <v>26372681</v>
          </cell>
          <cell r="V8">
            <v>5941103</v>
          </cell>
          <cell r="W8">
            <v>12121043</v>
          </cell>
          <cell r="X8">
            <v>18733591</v>
          </cell>
          <cell r="Y8">
            <v>30016150</v>
          </cell>
          <cell r="Z8">
            <v>7490093</v>
          </cell>
          <cell r="AA8">
            <v>12082796</v>
          </cell>
          <cell r="AB8">
            <v>16336791</v>
          </cell>
          <cell r="AC8">
            <v>20609191</v>
          </cell>
          <cell r="AD8">
            <v>4332913</v>
          </cell>
          <cell r="AE8">
            <v>8535048</v>
          </cell>
          <cell r="AF8">
            <v>13070881</v>
          </cell>
          <cell r="AG8">
            <v>17335904</v>
          </cell>
          <cell r="AH8">
            <v>4288858</v>
          </cell>
          <cell r="AI8">
            <v>8624163</v>
          </cell>
          <cell r="AJ8">
            <v>12742816</v>
          </cell>
          <cell r="AK8">
            <v>16822896</v>
          </cell>
          <cell r="AL8">
            <v>4072940</v>
          </cell>
          <cell r="AM8">
            <v>8079685</v>
          </cell>
          <cell r="AN8">
            <v>12104258</v>
          </cell>
          <cell r="AO8">
            <v>16266801</v>
          </cell>
          <cell r="AP8">
            <v>4177475</v>
          </cell>
          <cell r="AQ8">
            <v>9004150</v>
          </cell>
          <cell r="AR8">
            <v>13907805</v>
          </cell>
          <cell r="AS8">
            <v>18435485</v>
          </cell>
          <cell r="AT8">
            <v>5300195</v>
          </cell>
          <cell r="AU8">
            <v>11284765</v>
          </cell>
          <cell r="AV8">
            <v>18697845</v>
          </cell>
          <cell r="AW8">
            <v>34214367</v>
          </cell>
          <cell r="AX8">
            <v>28808113</v>
          </cell>
          <cell r="AY8">
            <v>92197557</v>
          </cell>
          <cell r="AZ8">
            <v>170170112</v>
          </cell>
          <cell r="BA8">
            <v>180150729</v>
          </cell>
          <cell r="BB8">
            <v>180150729</v>
          </cell>
        </row>
        <row r="9">
          <cell r="A9" t="str">
            <v>qtd</v>
          </cell>
          <cell r="B9">
            <v>3893663</v>
          </cell>
          <cell r="C9">
            <v>7787326</v>
          </cell>
          <cell r="D9">
            <v>11158198</v>
          </cell>
          <cell r="E9">
            <v>14462185</v>
          </cell>
          <cell r="F9">
            <v>17954967</v>
          </cell>
          <cell r="G9">
            <v>24135359</v>
          </cell>
          <cell r="H9">
            <v>28094544</v>
          </cell>
          <cell r="I9">
            <v>31613524</v>
          </cell>
          <cell r="J9">
            <v>35278879</v>
          </cell>
          <cell r="K9">
            <v>38936951</v>
          </cell>
          <cell r="L9">
            <v>42997391</v>
          </cell>
          <cell r="M9">
            <v>46835261</v>
          </cell>
          <cell r="N9">
            <v>3688175</v>
          </cell>
          <cell r="O9">
            <v>9493825</v>
          </cell>
          <cell r="P9">
            <v>13278172</v>
          </cell>
          <cell r="Q9">
            <v>17280267</v>
          </cell>
          <cell r="R9">
            <v>21967344</v>
          </cell>
          <cell r="S9">
            <v>31735146</v>
          </cell>
          <cell r="T9">
            <v>38835123</v>
          </cell>
          <cell r="U9">
            <v>43652948</v>
          </cell>
          <cell r="V9">
            <v>49594051</v>
          </cell>
          <cell r="W9">
            <v>55773991</v>
          </cell>
          <cell r="X9">
            <v>62386539</v>
          </cell>
          <cell r="Y9">
            <v>73669098</v>
          </cell>
          <cell r="Z9">
            <v>7490093</v>
          </cell>
          <cell r="AA9">
            <v>12082796</v>
          </cell>
          <cell r="AB9">
            <v>16336791</v>
          </cell>
          <cell r="AC9">
            <v>20609191</v>
          </cell>
          <cell r="AD9">
            <v>24942104</v>
          </cell>
          <cell r="AE9">
            <v>29144239</v>
          </cell>
          <cell r="AF9">
            <v>33680072</v>
          </cell>
          <cell r="AG9">
            <v>37945095</v>
          </cell>
          <cell r="AH9">
            <v>42233953</v>
          </cell>
          <cell r="AI9">
            <v>46569258</v>
          </cell>
          <cell r="AJ9">
            <v>50687911</v>
          </cell>
          <cell r="AK9">
            <v>54767991</v>
          </cell>
          <cell r="AL9">
            <v>4072940</v>
          </cell>
          <cell r="AM9">
            <v>8079685</v>
          </cell>
          <cell r="AN9">
            <v>12104258</v>
          </cell>
          <cell r="AO9">
            <v>16266801</v>
          </cell>
          <cell r="AP9">
            <v>20444276</v>
          </cell>
          <cell r="AQ9">
            <v>25270951</v>
          </cell>
          <cell r="AR9">
            <v>30174606</v>
          </cell>
          <cell r="AS9">
            <v>34702286</v>
          </cell>
          <cell r="AT9">
            <v>40002481</v>
          </cell>
          <cell r="AU9">
            <v>45987051</v>
          </cell>
          <cell r="AV9">
            <v>53400131</v>
          </cell>
          <cell r="AW9">
            <v>68916653</v>
          </cell>
          <cell r="AX9">
            <v>97724766</v>
          </cell>
          <cell r="AY9">
            <v>161114210</v>
          </cell>
          <cell r="AZ9">
            <v>239086765</v>
          </cell>
          <cell r="BA9">
            <v>249067382</v>
          </cell>
          <cell r="BB9">
            <v>249067382</v>
          </cell>
        </row>
        <row r="10">
          <cell r="A10" t="str">
            <v>ytd</v>
          </cell>
          <cell r="B10">
            <v>3893663</v>
          </cell>
          <cell r="C10">
            <v>7787326</v>
          </cell>
          <cell r="D10">
            <v>11158198</v>
          </cell>
          <cell r="E10">
            <v>14462185</v>
          </cell>
          <cell r="F10">
            <v>17954967</v>
          </cell>
          <cell r="G10">
            <v>24135359</v>
          </cell>
          <cell r="H10">
            <v>28094544</v>
          </cell>
          <cell r="I10">
            <v>31613524</v>
          </cell>
          <cell r="J10">
            <v>35278879</v>
          </cell>
          <cell r="K10">
            <v>38936951</v>
          </cell>
          <cell r="L10">
            <v>42997391</v>
          </cell>
          <cell r="M10">
            <v>46835261</v>
          </cell>
          <cell r="N10">
            <v>50523436</v>
          </cell>
          <cell r="O10">
            <v>56329086</v>
          </cell>
          <cell r="P10">
            <v>60113433</v>
          </cell>
          <cell r="Q10">
            <v>64115528</v>
          </cell>
          <cell r="R10">
            <v>68802605</v>
          </cell>
          <cell r="S10">
            <v>78570407</v>
          </cell>
          <cell r="T10">
            <v>85670384</v>
          </cell>
          <cell r="U10">
            <v>90488209</v>
          </cell>
          <cell r="V10">
            <v>96429312</v>
          </cell>
          <cell r="W10">
            <v>102609252</v>
          </cell>
          <cell r="X10">
            <v>109221800</v>
          </cell>
          <cell r="Y10">
            <v>120504359</v>
          </cell>
          <cell r="Z10">
            <v>127994452</v>
          </cell>
          <cell r="AA10">
            <v>132587155</v>
          </cell>
          <cell r="AB10">
            <v>136841150</v>
          </cell>
          <cell r="AC10">
            <v>141113550</v>
          </cell>
          <cell r="AD10">
            <v>145446463</v>
          </cell>
          <cell r="AE10">
            <v>149648598</v>
          </cell>
          <cell r="AF10">
            <v>154184431</v>
          </cell>
          <cell r="AG10">
            <v>158449454</v>
          </cell>
          <cell r="AH10">
            <v>162738312</v>
          </cell>
          <cell r="AI10">
            <v>167073617</v>
          </cell>
          <cell r="AJ10">
            <v>171192270</v>
          </cell>
          <cell r="AK10">
            <v>175272350</v>
          </cell>
          <cell r="AL10">
            <v>179345290</v>
          </cell>
          <cell r="AM10">
            <v>183352035</v>
          </cell>
          <cell r="AN10">
            <v>187376608</v>
          </cell>
          <cell r="AO10">
            <v>191539151</v>
          </cell>
          <cell r="AP10">
            <v>195716626</v>
          </cell>
          <cell r="AQ10">
            <v>200543301</v>
          </cell>
          <cell r="AR10">
            <v>205446956</v>
          </cell>
          <cell r="AS10">
            <v>209974636</v>
          </cell>
          <cell r="AT10">
            <v>215274831</v>
          </cell>
          <cell r="AU10">
            <v>221259401</v>
          </cell>
          <cell r="AV10">
            <v>228672481</v>
          </cell>
          <cell r="AW10">
            <v>244189003</v>
          </cell>
          <cell r="AX10">
            <v>272997116</v>
          </cell>
          <cell r="AY10">
            <v>336386560</v>
          </cell>
          <cell r="AZ10">
            <v>414359115</v>
          </cell>
          <cell r="BA10">
            <v>424339732</v>
          </cell>
          <cell r="BB10">
            <v>424339732</v>
          </cell>
        </row>
        <row r="11">
          <cell r="A11" t="str">
            <v>PRED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885844</v>
          </cell>
          <cell r="C15">
            <v>853703</v>
          </cell>
          <cell r="D15">
            <v>829199</v>
          </cell>
          <cell r="E15">
            <v>836002</v>
          </cell>
          <cell r="F15">
            <v>902504</v>
          </cell>
          <cell r="G15">
            <v>1080978</v>
          </cell>
          <cell r="H15">
            <v>840444</v>
          </cell>
          <cell r="I15">
            <v>886052</v>
          </cell>
          <cell r="J15">
            <v>896395</v>
          </cell>
          <cell r="K15">
            <v>932423</v>
          </cell>
          <cell r="L15">
            <v>916388</v>
          </cell>
          <cell r="M15">
            <v>880915</v>
          </cell>
          <cell r="N15">
            <v>950680</v>
          </cell>
          <cell r="O15">
            <v>1155741</v>
          </cell>
          <cell r="P15">
            <v>985181</v>
          </cell>
          <cell r="Q15">
            <v>1093057</v>
          </cell>
          <cell r="R15">
            <v>1093890</v>
          </cell>
          <cell r="S15">
            <v>1632018</v>
          </cell>
          <cell r="T15">
            <v>1366841</v>
          </cell>
          <cell r="U15">
            <v>1392804</v>
          </cell>
          <cell r="V15">
            <v>1365106</v>
          </cell>
          <cell r="W15">
            <v>1560379</v>
          </cell>
          <cell r="X15">
            <v>1917882</v>
          </cell>
          <cell r="Y15">
            <v>1567390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</row>
        <row r="16">
          <cell r="A16" t="str">
            <v>ptd</v>
          </cell>
          <cell r="B16">
            <v>885844</v>
          </cell>
          <cell r="C16">
            <v>1739547</v>
          </cell>
          <cell r="D16">
            <v>2568746</v>
          </cell>
          <cell r="E16">
            <v>3404748</v>
          </cell>
          <cell r="F16">
            <v>902504</v>
          </cell>
          <cell r="G16">
            <v>1983482</v>
          </cell>
          <cell r="H16">
            <v>2823926</v>
          </cell>
          <cell r="I16">
            <v>3709978</v>
          </cell>
          <cell r="J16">
            <v>896395</v>
          </cell>
          <cell r="K16">
            <v>1828818</v>
          </cell>
          <cell r="L16">
            <v>2745206</v>
          </cell>
          <cell r="M16">
            <v>3626121</v>
          </cell>
          <cell r="N16">
            <v>950680</v>
          </cell>
          <cell r="O16">
            <v>2106421</v>
          </cell>
          <cell r="P16">
            <v>3091602</v>
          </cell>
          <cell r="Q16">
            <v>4184659</v>
          </cell>
          <cell r="R16">
            <v>1093890</v>
          </cell>
          <cell r="S16">
            <v>2725908</v>
          </cell>
          <cell r="T16">
            <v>4092749</v>
          </cell>
          <cell r="U16">
            <v>5485553</v>
          </cell>
          <cell r="V16">
            <v>1365106</v>
          </cell>
          <cell r="W16">
            <v>2925485</v>
          </cell>
          <cell r="X16">
            <v>4843367</v>
          </cell>
          <cell r="Y16">
            <v>6410757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885844</v>
          </cell>
          <cell r="C17">
            <v>1739547</v>
          </cell>
          <cell r="D17">
            <v>2568746</v>
          </cell>
          <cell r="E17">
            <v>3404748</v>
          </cell>
          <cell r="F17">
            <v>4307252</v>
          </cell>
          <cell r="G17">
            <v>5388230</v>
          </cell>
          <cell r="H17">
            <v>6228674</v>
          </cell>
          <cell r="I17">
            <v>7114726</v>
          </cell>
          <cell r="J17">
            <v>8011121</v>
          </cell>
          <cell r="K17">
            <v>8943544</v>
          </cell>
          <cell r="L17">
            <v>9859932</v>
          </cell>
          <cell r="M17">
            <v>10740847</v>
          </cell>
          <cell r="N17">
            <v>950680</v>
          </cell>
          <cell r="O17">
            <v>2106421</v>
          </cell>
          <cell r="P17">
            <v>3091602</v>
          </cell>
          <cell r="Q17">
            <v>4184659</v>
          </cell>
          <cell r="R17">
            <v>5278549</v>
          </cell>
          <cell r="S17">
            <v>6910567</v>
          </cell>
          <cell r="T17">
            <v>8277408</v>
          </cell>
          <cell r="U17">
            <v>9670212</v>
          </cell>
          <cell r="V17">
            <v>11035318</v>
          </cell>
          <cell r="W17">
            <v>12595697</v>
          </cell>
          <cell r="X17">
            <v>14513579</v>
          </cell>
          <cell r="Y17">
            <v>16080969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885844</v>
          </cell>
          <cell r="C18">
            <v>1739547</v>
          </cell>
          <cell r="D18">
            <v>2568746</v>
          </cell>
          <cell r="E18">
            <v>3404748</v>
          </cell>
          <cell r="F18">
            <v>4307252</v>
          </cell>
          <cell r="G18">
            <v>5388230</v>
          </cell>
          <cell r="H18">
            <v>6228674</v>
          </cell>
          <cell r="I18">
            <v>7114726</v>
          </cell>
          <cell r="J18">
            <v>8011121</v>
          </cell>
          <cell r="K18">
            <v>8943544</v>
          </cell>
          <cell r="L18">
            <v>9859932</v>
          </cell>
          <cell r="M18">
            <v>10740847</v>
          </cell>
          <cell r="N18">
            <v>11691527</v>
          </cell>
          <cell r="O18">
            <v>12847268</v>
          </cell>
          <cell r="P18">
            <v>13832449</v>
          </cell>
          <cell r="Q18">
            <v>14925506</v>
          </cell>
          <cell r="R18">
            <v>16019396</v>
          </cell>
          <cell r="S18">
            <v>17651414</v>
          </cell>
          <cell r="T18">
            <v>19018255</v>
          </cell>
          <cell r="U18">
            <v>20411059</v>
          </cell>
          <cell r="V18">
            <v>21776165</v>
          </cell>
          <cell r="W18">
            <v>23336544</v>
          </cell>
          <cell r="X18">
            <v>25254426</v>
          </cell>
          <cell r="Y18">
            <v>26821816</v>
          </cell>
          <cell r="Z18">
            <v>26821816</v>
          </cell>
          <cell r="AA18">
            <v>26821816</v>
          </cell>
          <cell r="AB18">
            <v>26821816</v>
          </cell>
          <cell r="AC18">
            <v>26821816</v>
          </cell>
          <cell r="AD18">
            <v>26821816</v>
          </cell>
          <cell r="AE18">
            <v>26821816</v>
          </cell>
          <cell r="AF18">
            <v>26821816</v>
          </cell>
          <cell r="AG18">
            <v>26821816</v>
          </cell>
          <cell r="AH18">
            <v>26821816</v>
          </cell>
          <cell r="AI18">
            <v>26821816</v>
          </cell>
          <cell r="AJ18">
            <v>26821816</v>
          </cell>
          <cell r="AK18">
            <v>26821816</v>
          </cell>
          <cell r="AL18">
            <v>26821816</v>
          </cell>
          <cell r="AM18">
            <v>26821816</v>
          </cell>
          <cell r="AN18">
            <v>26821816</v>
          </cell>
          <cell r="AO18">
            <v>26821816</v>
          </cell>
          <cell r="AP18">
            <v>26821816</v>
          </cell>
          <cell r="AQ18">
            <v>26821816</v>
          </cell>
          <cell r="AR18">
            <v>26821816</v>
          </cell>
          <cell r="AS18">
            <v>26821816</v>
          </cell>
          <cell r="AT18">
            <v>26821816</v>
          </cell>
          <cell r="AU18">
            <v>26821816</v>
          </cell>
          <cell r="AV18">
            <v>26821816</v>
          </cell>
          <cell r="AW18">
            <v>26821816</v>
          </cell>
          <cell r="AX18">
            <v>26821816</v>
          </cell>
          <cell r="AY18">
            <v>26821816</v>
          </cell>
          <cell r="AZ18">
            <v>26821816</v>
          </cell>
          <cell r="BA18">
            <v>26821816</v>
          </cell>
          <cell r="BB18">
            <v>26821816</v>
          </cell>
        </row>
        <row r="19">
          <cell r="A19" t="str">
            <v>SPRT</v>
          </cell>
          <cell r="B19">
            <v>21336</v>
          </cell>
          <cell r="C19">
            <v>21336</v>
          </cell>
          <cell r="D19">
            <v>20623</v>
          </cell>
          <cell r="E19">
            <v>17423</v>
          </cell>
          <cell r="F19">
            <v>16649</v>
          </cell>
          <cell r="G19">
            <v>34749</v>
          </cell>
          <cell r="H19">
            <v>18299</v>
          </cell>
          <cell r="I19">
            <v>16824</v>
          </cell>
          <cell r="J19">
            <v>16108</v>
          </cell>
          <cell r="K19">
            <v>17208</v>
          </cell>
          <cell r="L19">
            <v>18408</v>
          </cell>
          <cell r="M19">
            <v>16683</v>
          </cell>
          <cell r="N19">
            <v>15491</v>
          </cell>
          <cell r="O19">
            <v>30316</v>
          </cell>
          <cell r="P19">
            <v>17591</v>
          </cell>
          <cell r="Q19">
            <v>17716</v>
          </cell>
          <cell r="R19">
            <v>18255</v>
          </cell>
          <cell r="S19">
            <v>29280</v>
          </cell>
          <cell r="T19">
            <v>26830</v>
          </cell>
          <cell r="U19">
            <v>19255</v>
          </cell>
          <cell r="V19">
            <v>32650</v>
          </cell>
          <cell r="W19">
            <v>28250</v>
          </cell>
          <cell r="X19">
            <v>31450</v>
          </cell>
          <cell r="Y19">
            <v>70275</v>
          </cell>
          <cell r="Z19">
            <v>44045</v>
          </cell>
          <cell r="AA19">
            <v>16495</v>
          </cell>
          <cell r="AB19">
            <v>15370</v>
          </cell>
          <cell r="AC19">
            <v>17320</v>
          </cell>
          <cell r="AD19">
            <v>19689</v>
          </cell>
          <cell r="AE19">
            <v>17164</v>
          </cell>
          <cell r="AF19">
            <v>20514</v>
          </cell>
          <cell r="AG19">
            <v>21414</v>
          </cell>
          <cell r="AH19">
            <v>20303</v>
          </cell>
          <cell r="AI19">
            <v>19053</v>
          </cell>
          <cell r="AJ19">
            <v>19228</v>
          </cell>
          <cell r="AK19">
            <v>19153</v>
          </cell>
          <cell r="AL19">
            <v>21267</v>
          </cell>
          <cell r="AM19">
            <v>20892</v>
          </cell>
          <cell r="AN19">
            <v>19617</v>
          </cell>
          <cell r="AO19">
            <v>17792</v>
          </cell>
          <cell r="AP19">
            <v>17967</v>
          </cell>
          <cell r="AQ19">
            <v>22092</v>
          </cell>
          <cell r="AR19">
            <v>18867</v>
          </cell>
          <cell r="AS19">
            <v>17367</v>
          </cell>
          <cell r="AT19">
            <v>21642</v>
          </cell>
          <cell r="AU19">
            <v>23767</v>
          </cell>
          <cell r="AV19">
            <v>24667</v>
          </cell>
          <cell r="AW19">
            <v>53242</v>
          </cell>
          <cell r="AX19">
            <v>101784</v>
          </cell>
          <cell r="AY19">
            <v>240459</v>
          </cell>
          <cell r="AZ19">
            <v>366042</v>
          </cell>
          <cell r="BA19">
            <v>33475</v>
          </cell>
          <cell r="BB19">
            <v>0</v>
          </cell>
        </row>
        <row r="20">
          <cell r="A20" t="str">
            <v>ptd</v>
          </cell>
          <cell r="B20">
            <v>21336</v>
          </cell>
          <cell r="C20">
            <v>42672</v>
          </cell>
          <cell r="D20">
            <v>63295</v>
          </cell>
          <cell r="E20">
            <v>80718</v>
          </cell>
          <cell r="F20">
            <v>16649</v>
          </cell>
          <cell r="G20">
            <v>51398</v>
          </cell>
          <cell r="H20">
            <v>69697</v>
          </cell>
          <cell r="I20">
            <v>86521</v>
          </cell>
          <cell r="J20">
            <v>16108</v>
          </cell>
          <cell r="K20">
            <v>33316</v>
          </cell>
          <cell r="L20">
            <v>51724</v>
          </cell>
          <cell r="M20">
            <v>68407</v>
          </cell>
          <cell r="N20">
            <v>15491</v>
          </cell>
          <cell r="O20">
            <v>45807</v>
          </cell>
          <cell r="P20">
            <v>63398</v>
          </cell>
          <cell r="Q20">
            <v>81114</v>
          </cell>
          <cell r="R20">
            <v>18255</v>
          </cell>
          <cell r="S20">
            <v>47535</v>
          </cell>
          <cell r="T20">
            <v>74365</v>
          </cell>
          <cell r="U20">
            <v>93620</v>
          </cell>
          <cell r="V20">
            <v>32650</v>
          </cell>
          <cell r="W20">
            <v>60900</v>
          </cell>
          <cell r="X20">
            <v>92350</v>
          </cell>
          <cell r="Y20">
            <v>162625</v>
          </cell>
          <cell r="Z20">
            <v>44045</v>
          </cell>
          <cell r="AA20">
            <v>60540</v>
          </cell>
          <cell r="AB20">
            <v>75910</v>
          </cell>
          <cell r="AC20">
            <v>93230</v>
          </cell>
          <cell r="AD20">
            <v>19689</v>
          </cell>
          <cell r="AE20">
            <v>36853</v>
          </cell>
          <cell r="AF20">
            <v>57367</v>
          </cell>
          <cell r="AG20">
            <v>78781</v>
          </cell>
          <cell r="AH20">
            <v>20303</v>
          </cell>
          <cell r="AI20">
            <v>39356</v>
          </cell>
          <cell r="AJ20">
            <v>58584</v>
          </cell>
          <cell r="AK20">
            <v>77737</v>
          </cell>
          <cell r="AL20">
            <v>21267</v>
          </cell>
          <cell r="AM20">
            <v>42159</v>
          </cell>
          <cell r="AN20">
            <v>61776</v>
          </cell>
          <cell r="AO20">
            <v>79568</v>
          </cell>
          <cell r="AP20">
            <v>17967</v>
          </cell>
          <cell r="AQ20">
            <v>40059</v>
          </cell>
          <cell r="AR20">
            <v>58926</v>
          </cell>
          <cell r="AS20">
            <v>76293</v>
          </cell>
          <cell r="AT20">
            <v>21642</v>
          </cell>
          <cell r="AU20">
            <v>45409</v>
          </cell>
          <cell r="AV20">
            <v>70076</v>
          </cell>
          <cell r="AW20">
            <v>123318</v>
          </cell>
          <cell r="AX20">
            <v>101784</v>
          </cell>
          <cell r="AY20">
            <v>342243</v>
          </cell>
          <cell r="AZ20">
            <v>708285</v>
          </cell>
          <cell r="BA20">
            <v>741760</v>
          </cell>
          <cell r="BB20">
            <v>741760</v>
          </cell>
        </row>
        <row r="21">
          <cell r="A21" t="str">
            <v>qtd</v>
          </cell>
          <cell r="B21">
            <v>21336</v>
          </cell>
          <cell r="C21">
            <v>42672</v>
          </cell>
          <cell r="D21">
            <v>63295</v>
          </cell>
          <cell r="E21">
            <v>80718</v>
          </cell>
          <cell r="F21">
            <v>97367</v>
          </cell>
          <cell r="G21">
            <v>132116</v>
          </cell>
          <cell r="H21">
            <v>150415</v>
          </cell>
          <cell r="I21">
            <v>167239</v>
          </cell>
          <cell r="J21">
            <v>183347</v>
          </cell>
          <cell r="K21">
            <v>200555</v>
          </cell>
          <cell r="L21">
            <v>218963</v>
          </cell>
          <cell r="M21">
            <v>235646</v>
          </cell>
          <cell r="N21">
            <v>15491</v>
          </cell>
          <cell r="O21">
            <v>45807</v>
          </cell>
          <cell r="P21">
            <v>63398</v>
          </cell>
          <cell r="Q21">
            <v>81114</v>
          </cell>
          <cell r="R21">
            <v>99369</v>
          </cell>
          <cell r="S21">
            <v>128649</v>
          </cell>
          <cell r="T21">
            <v>155479</v>
          </cell>
          <cell r="U21">
            <v>174734</v>
          </cell>
          <cell r="V21">
            <v>207384</v>
          </cell>
          <cell r="W21">
            <v>235634</v>
          </cell>
          <cell r="X21">
            <v>267084</v>
          </cell>
          <cell r="Y21">
            <v>337359</v>
          </cell>
          <cell r="Z21">
            <v>44045</v>
          </cell>
          <cell r="AA21">
            <v>60540</v>
          </cell>
          <cell r="AB21">
            <v>75910</v>
          </cell>
          <cell r="AC21">
            <v>93230</v>
          </cell>
          <cell r="AD21">
            <v>112919</v>
          </cell>
          <cell r="AE21">
            <v>130083</v>
          </cell>
          <cell r="AF21">
            <v>150597</v>
          </cell>
          <cell r="AG21">
            <v>172011</v>
          </cell>
          <cell r="AH21">
            <v>192314</v>
          </cell>
          <cell r="AI21">
            <v>211367</v>
          </cell>
          <cell r="AJ21">
            <v>230595</v>
          </cell>
          <cell r="AK21">
            <v>249748</v>
          </cell>
          <cell r="AL21">
            <v>21267</v>
          </cell>
          <cell r="AM21">
            <v>42159</v>
          </cell>
          <cell r="AN21">
            <v>61776</v>
          </cell>
          <cell r="AO21">
            <v>79568</v>
          </cell>
          <cell r="AP21">
            <v>97535</v>
          </cell>
          <cell r="AQ21">
            <v>119627</v>
          </cell>
          <cell r="AR21">
            <v>138494</v>
          </cell>
          <cell r="AS21">
            <v>155861</v>
          </cell>
          <cell r="AT21">
            <v>177503</v>
          </cell>
          <cell r="AU21">
            <v>201270</v>
          </cell>
          <cell r="AV21">
            <v>225937</v>
          </cell>
          <cell r="AW21">
            <v>279179</v>
          </cell>
          <cell r="AX21">
            <v>380963</v>
          </cell>
          <cell r="AY21">
            <v>621422</v>
          </cell>
          <cell r="AZ21">
            <v>987464</v>
          </cell>
          <cell r="BA21">
            <v>1020939</v>
          </cell>
          <cell r="BB21">
            <v>1020939</v>
          </cell>
        </row>
        <row r="22">
          <cell r="A22" t="str">
            <v>ytd</v>
          </cell>
          <cell r="B22">
            <v>21336</v>
          </cell>
          <cell r="C22">
            <v>42672</v>
          </cell>
          <cell r="D22">
            <v>63295</v>
          </cell>
          <cell r="E22">
            <v>80718</v>
          </cell>
          <cell r="F22">
            <v>97367</v>
          </cell>
          <cell r="G22">
            <v>132116</v>
          </cell>
          <cell r="H22">
            <v>150415</v>
          </cell>
          <cell r="I22">
            <v>167239</v>
          </cell>
          <cell r="J22">
            <v>183347</v>
          </cell>
          <cell r="K22">
            <v>200555</v>
          </cell>
          <cell r="L22">
            <v>218963</v>
          </cell>
          <cell r="M22">
            <v>235646</v>
          </cell>
          <cell r="N22">
            <v>251137</v>
          </cell>
          <cell r="O22">
            <v>281453</v>
          </cell>
          <cell r="P22">
            <v>299044</v>
          </cell>
          <cell r="Q22">
            <v>316760</v>
          </cell>
          <cell r="R22">
            <v>335015</v>
          </cell>
          <cell r="S22">
            <v>364295</v>
          </cell>
          <cell r="T22">
            <v>391125</v>
          </cell>
          <cell r="U22">
            <v>410380</v>
          </cell>
          <cell r="V22">
            <v>443030</v>
          </cell>
          <cell r="W22">
            <v>471280</v>
          </cell>
          <cell r="X22">
            <v>502730</v>
          </cell>
          <cell r="Y22">
            <v>573005</v>
          </cell>
          <cell r="Z22">
            <v>617050</v>
          </cell>
          <cell r="AA22">
            <v>633545</v>
          </cell>
          <cell r="AB22">
            <v>648915</v>
          </cell>
          <cell r="AC22">
            <v>666235</v>
          </cell>
          <cell r="AD22">
            <v>685924</v>
          </cell>
          <cell r="AE22">
            <v>703088</v>
          </cell>
          <cell r="AF22">
            <v>723602</v>
          </cell>
          <cell r="AG22">
            <v>745016</v>
          </cell>
          <cell r="AH22">
            <v>765319</v>
          </cell>
          <cell r="AI22">
            <v>784372</v>
          </cell>
          <cell r="AJ22">
            <v>803600</v>
          </cell>
          <cell r="AK22">
            <v>822753</v>
          </cell>
          <cell r="AL22">
            <v>844020</v>
          </cell>
          <cell r="AM22">
            <v>864912</v>
          </cell>
          <cell r="AN22">
            <v>884529</v>
          </cell>
          <cell r="AO22">
            <v>902321</v>
          </cell>
          <cell r="AP22">
            <v>920288</v>
          </cell>
          <cell r="AQ22">
            <v>942380</v>
          </cell>
          <cell r="AR22">
            <v>961247</v>
          </cell>
          <cell r="AS22">
            <v>978614</v>
          </cell>
          <cell r="AT22">
            <v>1000256</v>
          </cell>
          <cell r="AU22">
            <v>1024023</v>
          </cell>
          <cell r="AV22">
            <v>1048690</v>
          </cell>
          <cell r="AW22">
            <v>1101932</v>
          </cell>
          <cell r="AX22">
            <v>1203716</v>
          </cell>
          <cell r="AY22">
            <v>1444175</v>
          </cell>
          <cell r="AZ22">
            <v>1810217</v>
          </cell>
          <cell r="BA22">
            <v>1843692</v>
          </cell>
          <cell r="BB22">
            <v>1843692</v>
          </cell>
        </row>
        <row r="23">
          <cell r="A23" t="str">
            <v>TELE</v>
          </cell>
          <cell r="B23">
            <v>1223874</v>
          </cell>
          <cell r="C23">
            <v>1140976</v>
          </cell>
          <cell r="D23">
            <v>1140295</v>
          </cell>
          <cell r="E23">
            <v>1102272</v>
          </cell>
          <cell r="F23">
            <v>1218695</v>
          </cell>
          <cell r="G23">
            <v>1184218</v>
          </cell>
          <cell r="H23">
            <v>1204456</v>
          </cell>
          <cell r="I23">
            <v>1133122</v>
          </cell>
          <cell r="J23">
            <v>1176820</v>
          </cell>
          <cell r="K23">
            <v>1189306</v>
          </cell>
          <cell r="L23">
            <v>1119121</v>
          </cell>
          <cell r="M23">
            <v>1272152</v>
          </cell>
          <cell r="N23">
            <v>1142463</v>
          </cell>
          <cell r="O23">
            <v>1167978</v>
          </cell>
          <cell r="P23">
            <v>1155619</v>
          </cell>
          <cell r="Q23">
            <v>1150245</v>
          </cell>
          <cell r="R23">
            <v>1120541</v>
          </cell>
          <cell r="S23">
            <v>1240034</v>
          </cell>
          <cell r="T23">
            <v>1249526</v>
          </cell>
          <cell r="U23">
            <v>1198457</v>
          </cell>
          <cell r="V23">
            <v>1176476</v>
          </cell>
          <cell r="W23">
            <v>1166895</v>
          </cell>
          <cell r="X23">
            <v>1288509</v>
          </cell>
          <cell r="Y23">
            <v>1213557</v>
          </cell>
          <cell r="Z23">
            <v>1207690</v>
          </cell>
          <cell r="AA23">
            <v>1141233</v>
          </cell>
          <cell r="AB23">
            <v>1282363</v>
          </cell>
          <cell r="AC23">
            <v>1189701</v>
          </cell>
          <cell r="AD23">
            <v>1165201</v>
          </cell>
          <cell r="AE23">
            <v>1141802</v>
          </cell>
          <cell r="AF23">
            <v>1207963</v>
          </cell>
          <cell r="AG23">
            <v>1187701</v>
          </cell>
          <cell r="AH23">
            <v>1120210</v>
          </cell>
          <cell r="AI23">
            <v>1104702</v>
          </cell>
          <cell r="AJ23">
            <v>1123638</v>
          </cell>
          <cell r="AK23">
            <v>1138872</v>
          </cell>
          <cell r="AL23">
            <v>1043671</v>
          </cell>
          <cell r="AM23">
            <v>1054142</v>
          </cell>
          <cell r="AN23">
            <v>970970</v>
          </cell>
          <cell r="AO23">
            <v>1090138</v>
          </cell>
          <cell r="AP23">
            <v>1010426</v>
          </cell>
          <cell r="AQ23">
            <v>966247</v>
          </cell>
          <cell r="AR23">
            <v>954745</v>
          </cell>
          <cell r="AS23">
            <v>971791</v>
          </cell>
          <cell r="AT23">
            <v>1095806</v>
          </cell>
          <cell r="AU23">
            <v>1021380</v>
          </cell>
          <cell r="AV23">
            <v>1040368</v>
          </cell>
          <cell r="AW23">
            <v>1180916</v>
          </cell>
          <cell r="AX23">
            <v>1099284</v>
          </cell>
          <cell r="AY23">
            <v>1238682</v>
          </cell>
          <cell r="AZ23">
            <v>1286737</v>
          </cell>
          <cell r="BA23">
            <v>1176440</v>
          </cell>
          <cell r="BB23">
            <v>0</v>
          </cell>
        </row>
        <row r="24">
          <cell r="A24" t="str">
            <v>ptd</v>
          </cell>
          <cell r="B24">
            <v>1223874</v>
          </cell>
          <cell r="C24">
            <v>2364850</v>
          </cell>
          <cell r="D24">
            <v>3505145</v>
          </cell>
          <cell r="E24">
            <v>4607417</v>
          </cell>
          <cell r="F24">
            <v>1218695</v>
          </cell>
          <cell r="G24">
            <v>2402913</v>
          </cell>
          <cell r="H24">
            <v>3607369</v>
          </cell>
          <cell r="I24">
            <v>4740491</v>
          </cell>
          <cell r="J24">
            <v>1176820</v>
          </cell>
          <cell r="K24">
            <v>2366126</v>
          </cell>
          <cell r="L24">
            <v>3485247</v>
          </cell>
          <cell r="M24">
            <v>4757399</v>
          </cell>
          <cell r="N24">
            <v>1142463</v>
          </cell>
          <cell r="O24">
            <v>2310441</v>
          </cell>
          <cell r="P24">
            <v>3466060</v>
          </cell>
          <cell r="Q24">
            <v>4616305</v>
          </cell>
          <cell r="R24">
            <v>1120541</v>
          </cell>
          <cell r="S24">
            <v>2360575</v>
          </cell>
          <cell r="T24">
            <v>3610101</v>
          </cell>
          <cell r="U24">
            <v>4808558</v>
          </cell>
          <cell r="V24">
            <v>1176476</v>
          </cell>
          <cell r="W24">
            <v>2343371</v>
          </cell>
          <cell r="X24">
            <v>3631880</v>
          </cell>
          <cell r="Y24">
            <v>4845437</v>
          </cell>
          <cell r="Z24">
            <v>1207690</v>
          </cell>
          <cell r="AA24">
            <v>2348923</v>
          </cell>
          <cell r="AB24">
            <v>3631286</v>
          </cell>
          <cell r="AC24">
            <v>4820987</v>
          </cell>
          <cell r="AD24">
            <v>1165201</v>
          </cell>
          <cell r="AE24">
            <v>2307003</v>
          </cell>
          <cell r="AF24">
            <v>3514966</v>
          </cell>
          <cell r="AG24">
            <v>4702667</v>
          </cell>
          <cell r="AH24">
            <v>1120210</v>
          </cell>
          <cell r="AI24">
            <v>2224912</v>
          </cell>
          <cell r="AJ24">
            <v>3348550</v>
          </cell>
          <cell r="AK24">
            <v>4487422</v>
          </cell>
          <cell r="AL24">
            <v>1043671</v>
          </cell>
          <cell r="AM24">
            <v>2097813</v>
          </cell>
          <cell r="AN24">
            <v>3068783</v>
          </cell>
          <cell r="AO24">
            <v>4158921</v>
          </cell>
          <cell r="AP24">
            <v>1010426</v>
          </cell>
          <cell r="AQ24">
            <v>1976673</v>
          </cell>
          <cell r="AR24">
            <v>2931418</v>
          </cell>
          <cell r="AS24">
            <v>3903209</v>
          </cell>
          <cell r="AT24">
            <v>1095806</v>
          </cell>
          <cell r="AU24">
            <v>2117186</v>
          </cell>
          <cell r="AV24">
            <v>3157554</v>
          </cell>
          <cell r="AW24">
            <v>4338470</v>
          </cell>
          <cell r="AX24">
            <v>1099284</v>
          </cell>
          <cell r="AY24">
            <v>2337966</v>
          </cell>
          <cell r="AZ24">
            <v>3624703</v>
          </cell>
          <cell r="BA24">
            <v>4801143</v>
          </cell>
          <cell r="BB24">
            <v>4801143</v>
          </cell>
        </row>
        <row r="25">
          <cell r="A25" t="str">
            <v>qtd</v>
          </cell>
          <cell r="B25">
            <v>1223874</v>
          </cell>
          <cell r="C25">
            <v>2364850</v>
          </cell>
          <cell r="D25">
            <v>3505145</v>
          </cell>
          <cell r="E25">
            <v>4607417</v>
          </cell>
          <cell r="F25">
            <v>5826112</v>
          </cell>
          <cell r="G25">
            <v>7010330</v>
          </cell>
          <cell r="H25">
            <v>8214786</v>
          </cell>
          <cell r="I25">
            <v>9347908</v>
          </cell>
          <cell r="J25">
            <v>10524728</v>
          </cell>
          <cell r="K25">
            <v>11714034</v>
          </cell>
          <cell r="L25">
            <v>12833155</v>
          </cell>
          <cell r="M25">
            <v>14105307</v>
          </cell>
          <cell r="N25">
            <v>1142463</v>
          </cell>
          <cell r="O25">
            <v>2310441</v>
          </cell>
          <cell r="P25">
            <v>3466060</v>
          </cell>
          <cell r="Q25">
            <v>4616305</v>
          </cell>
          <cell r="R25">
            <v>5736846</v>
          </cell>
          <cell r="S25">
            <v>6976880</v>
          </cell>
          <cell r="T25">
            <v>8226406</v>
          </cell>
          <cell r="U25">
            <v>9424863</v>
          </cell>
          <cell r="V25">
            <v>10601339</v>
          </cell>
          <cell r="W25">
            <v>11768234</v>
          </cell>
          <cell r="X25">
            <v>13056743</v>
          </cell>
          <cell r="Y25">
            <v>14270300</v>
          </cell>
          <cell r="Z25">
            <v>1207690</v>
          </cell>
          <cell r="AA25">
            <v>2348923</v>
          </cell>
          <cell r="AB25">
            <v>3631286</v>
          </cell>
          <cell r="AC25">
            <v>4820987</v>
          </cell>
          <cell r="AD25">
            <v>5986188</v>
          </cell>
          <cell r="AE25">
            <v>7127990</v>
          </cell>
          <cell r="AF25">
            <v>8335953</v>
          </cell>
          <cell r="AG25">
            <v>9523654</v>
          </cell>
          <cell r="AH25">
            <v>10643864</v>
          </cell>
          <cell r="AI25">
            <v>11748566</v>
          </cell>
          <cell r="AJ25">
            <v>12872204</v>
          </cell>
          <cell r="AK25">
            <v>14011076</v>
          </cell>
          <cell r="AL25">
            <v>1043671</v>
          </cell>
          <cell r="AM25">
            <v>2097813</v>
          </cell>
          <cell r="AN25">
            <v>3068783</v>
          </cell>
          <cell r="AO25">
            <v>4158921</v>
          </cell>
          <cell r="AP25">
            <v>5169347</v>
          </cell>
          <cell r="AQ25">
            <v>6135594</v>
          </cell>
          <cell r="AR25">
            <v>7090339</v>
          </cell>
          <cell r="AS25">
            <v>8062130</v>
          </cell>
          <cell r="AT25">
            <v>9157936</v>
          </cell>
          <cell r="AU25">
            <v>10179316</v>
          </cell>
          <cell r="AV25">
            <v>11219684</v>
          </cell>
          <cell r="AW25">
            <v>12400600</v>
          </cell>
          <cell r="AX25">
            <v>13499884</v>
          </cell>
          <cell r="AY25">
            <v>14738566</v>
          </cell>
          <cell r="AZ25">
            <v>16025303</v>
          </cell>
          <cell r="BA25">
            <v>17201743</v>
          </cell>
          <cell r="BB25">
            <v>17201743</v>
          </cell>
        </row>
        <row r="26">
          <cell r="A26" t="str">
            <v>ytd</v>
          </cell>
          <cell r="B26">
            <v>1223874</v>
          </cell>
          <cell r="C26">
            <v>2364850</v>
          </cell>
          <cell r="D26">
            <v>3505145</v>
          </cell>
          <cell r="E26">
            <v>4607417</v>
          </cell>
          <cell r="F26">
            <v>5826112</v>
          </cell>
          <cell r="G26">
            <v>7010330</v>
          </cell>
          <cell r="H26">
            <v>8214786</v>
          </cell>
          <cell r="I26">
            <v>9347908</v>
          </cell>
          <cell r="J26">
            <v>10524728</v>
          </cell>
          <cell r="K26">
            <v>11714034</v>
          </cell>
          <cell r="L26">
            <v>12833155</v>
          </cell>
          <cell r="M26">
            <v>14105307</v>
          </cell>
          <cell r="N26">
            <v>15247770</v>
          </cell>
          <cell r="O26">
            <v>16415748</v>
          </cell>
          <cell r="P26">
            <v>17571367</v>
          </cell>
          <cell r="Q26">
            <v>18721612</v>
          </cell>
          <cell r="R26">
            <v>19842153</v>
          </cell>
          <cell r="S26">
            <v>21082187</v>
          </cell>
          <cell r="T26">
            <v>22331713</v>
          </cell>
          <cell r="U26">
            <v>23530170</v>
          </cell>
          <cell r="V26">
            <v>24706646</v>
          </cell>
          <cell r="W26">
            <v>25873541</v>
          </cell>
          <cell r="X26">
            <v>27162050</v>
          </cell>
          <cell r="Y26">
            <v>28375607</v>
          </cell>
          <cell r="Z26">
            <v>29583297</v>
          </cell>
          <cell r="AA26">
            <v>30724530</v>
          </cell>
          <cell r="AB26">
            <v>32006893</v>
          </cell>
          <cell r="AC26">
            <v>33196594</v>
          </cell>
          <cell r="AD26">
            <v>34361795</v>
          </cell>
          <cell r="AE26">
            <v>35503597</v>
          </cell>
          <cell r="AF26">
            <v>36711560</v>
          </cell>
          <cell r="AG26">
            <v>37899261</v>
          </cell>
          <cell r="AH26">
            <v>39019471</v>
          </cell>
          <cell r="AI26">
            <v>40124173</v>
          </cell>
          <cell r="AJ26">
            <v>41247811</v>
          </cell>
          <cell r="AK26">
            <v>42386683</v>
          </cell>
          <cell r="AL26">
            <v>43430354</v>
          </cell>
          <cell r="AM26">
            <v>44484496</v>
          </cell>
          <cell r="AN26">
            <v>45455466</v>
          </cell>
          <cell r="AO26">
            <v>46545604</v>
          </cell>
          <cell r="AP26">
            <v>47556030</v>
          </cell>
          <cell r="AQ26">
            <v>48522277</v>
          </cell>
          <cell r="AR26">
            <v>49477022</v>
          </cell>
          <cell r="AS26">
            <v>50448813</v>
          </cell>
          <cell r="AT26">
            <v>51544619</v>
          </cell>
          <cell r="AU26">
            <v>52565999</v>
          </cell>
          <cell r="AV26">
            <v>53606367</v>
          </cell>
          <cell r="AW26">
            <v>54787283</v>
          </cell>
          <cell r="AX26">
            <v>55886567</v>
          </cell>
          <cell r="AY26">
            <v>57125249</v>
          </cell>
          <cell r="AZ26">
            <v>58411986</v>
          </cell>
          <cell r="BA26">
            <v>59588426</v>
          </cell>
          <cell r="BB26">
            <v>59588426</v>
          </cell>
        </row>
        <row r="27">
          <cell r="A27" t="str">
            <v>TICK</v>
          </cell>
          <cell r="B27">
            <v>35025</v>
          </cell>
          <cell r="C27">
            <v>35025</v>
          </cell>
          <cell r="D27">
            <v>29032</v>
          </cell>
          <cell r="E27">
            <v>30357</v>
          </cell>
          <cell r="F27">
            <v>22058</v>
          </cell>
          <cell r="G27">
            <v>34876</v>
          </cell>
          <cell r="H27">
            <v>27796</v>
          </cell>
          <cell r="I27">
            <v>27092</v>
          </cell>
          <cell r="J27">
            <v>22137</v>
          </cell>
          <cell r="K27">
            <v>26473</v>
          </cell>
          <cell r="L27">
            <v>28759</v>
          </cell>
          <cell r="M27">
            <v>47384</v>
          </cell>
          <cell r="N27">
            <v>50347</v>
          </cell>
          <cell r="O27">
            <v>28287</v>
          </cell>
          <cell r="P27">
            <v>20432</v>
          </cell>
          <cell r="Q27">
            <v>103429</v>
          </cell>
          <cell r="R27">
            <v>180763</v>
          </cell>
          <cell r="S27">
            <v>418032</v>
          </cell>
          <cell r="T27">
            <v>349881</v>
          </cell>
          <cell r="U27">
            <v>212987</v>
          </cell>
          <cell r="V27">
            <v>1119554</v>
          </cell>
          <cell r="W27">
            <v>675651</v>
          </cell>
          <cell r="X27">
            <v>958588</v>
          </cell>
          <cell r="Y27">
            <v>1421954</v>
          </cell>
          <cell r="Z27">
            <v>1044328</v>
          </cell>
          <cell r="AA27">
            <v>1045411</v>
          </cell>
          <cell r="AB27">
            <v>1344166</v>
          </cell>
          <cell r="AC27">
            <v>1355361</v>
          </cell>
          <cell r="AD27">
            <v>1436765</v>
          </cell>
          <cell r="AE27">
            <v>1338934</v>
          </cell>
          <cell r="AF27">
            <v>1372389</v>
          </cell>
          <cell r="AG27">
            <v>1280771</v>
          </cell>
          <cell r="AH27">
            <v>988493</v>
          </cell>
          <cell r="AI27">
            <v>698903</v>
          </cell>
          <cell r="AJ27">
            <v>416810</v>
          </cell>
          <cell r="AK27">
            <v>142862</v>
          </cell>
          <cell r="AL27">
            <v>28883</v>
          </cell>
          <cell r="AM27">
            <v>78431</v>
          </cell>
          <cell r="AN27">
            <v>95801</v>
          </cell>
          <cell r="AO27">
            <v>367497</v>
          </cell>
          <cell r="AP27">
            <v>686152</v>
          </cell>
          <cell r="AQ27">
            <v>1139908</v>
          </cell>
          <cell r="AR27">
            <v>566008</v>
          </cell>
          <cell r="AS27">
            <v>1392943</v>
          </cell>
          <cell r="AT27">
            <v>27841</v>
          </cell>
          <cell r="AU27">
            <v>25125</v>
          </cell>
          <cell r="AV27">
            <v>32813</v>
          </cell>
          <cell r="AW27">
            <v>64662</v>
          </cell>
          <cell r="AX27">
            <v>105959</v>
          </cell>
          <cell r="AY27">
            <v>192928</v>
          </cell>
          <cell r="AZ27">
            <v>271534</v>
          </cell>
          <cell r="BA27">
            <v>58942</v>
          </cell>
          <cell r="BB27">
            <v>0</v>
          </cell>
        </row>
        <row r="28">
          <cell r="A28" t="str">
            <v>ptd</v>
          </cell>
          <cell r="B28">
            <v>35025</v>
          </cell>
          <cell r="C28">
            <v>70050</v>
          </cell>
          <cell r="D28">
            <v>99082</v>
          </cell>
          <cell r="E28">
            <v>129439</v>
          </cell>
          <cell r="F28">
            <v>22058</v>
          </cell>
          <cell r="G28">
            <v>56934</v>
          </cell>
          <cell r="H28">
            <v>84730</v>
          </cell>
          <cell r="I28">
            <v>111822</v>
          </cell>
          <cell r="J28">
            <v>22137</v>
          </cell>
          <cell r="K28">
            <v>48610</v>
          </cell>
          <cell r="L28">
            <v>77369</v>
          </cell>
          <cell r="M28">
            <v>124753</v>
          </cell>
          <cell r="N28">
            <v>50347</v>
          </cell>
          <cell r="O28">
            <v>78634</v>
          </cell>
          <cell r="P28">
            <v>99066</v>
          </cell>
          <cell r="Q28">
            <v>202495</v>
          </cell>
          <cell r="R28">
            <v>180763</v>
          </cell>
          <cell r="S28">
            <v>598795</v>
          </cell>
          <cell r="T28">
            <v>948676</v>
          </cell>
          <cell r="U28">
            <v>1161663</v>
          </cell>
          <cell r="V28">
            <v>1119554</v>
          </cell>
          <cell r="W28">
            <v>1795205</v>
          </cell>
          <cell r="X28">
            <v>2753793</v>
          </cell>
          <cell r="Y28">
            <v>4175747</v>
          </cell>
          <cell r="Z28">
            <v>1044328</v>
          </cell>
          <cell r="AA28">
            <v>2089739</v>
          </cell>
          <cell r="AB28">
            <v>3433905</v>
          </cell>
          <cell r="AC28">
            <v>4789266</v>
          </cell>
          <cell r="AD28">
            <v>1436765</v>
          </cell>
          <cell r="AE28">
            <v>2775699</v>
          </cell>
          <cell r="AF28">
            <v>4148088</v>
          </cell>
          <cell r="AG28">
            <v>5428859</v>
          </cell>
          <cell r="AH28">
            <v>988493</v>
          </cell>
          <cell r="AI28">
            <v>1687396</v>
          </cell>
          <cell r="AJ28">
            <v>2104206</v>
          </cell>
          <cell r="AK28">
            <v>2247068</v>
          </cell>
          <cell r="AL28">
            <v>28883</v>
          </cell>
          <cell r="AM28">
            <v>107314</v>
          </cell>
          <cell r="AN28">
            <v>203115</v>
          </cell>
          <cell r="AO28">
            <v>570612</v>
          </cell>
          <cell r="AP28">
            <v>686152</v>
          </cell>
          <cell r="AQ28">
            <v>1826060</v>
          </cell>
          <cell r="AR28">
            <v>2392068</v>
          </cell>
          <cell r="AS28">
            <v>3785011</v>
          </cell>
          <cell r="AT28">
            <v>27841</v>
          </cell>
          <cell r="AU28">
            <v>52966</v>
          </cell>
          <cell r="AV28">
            <v>85779</v>
          </cell>
          <cell r="AW28">
            <v>150441</v>
          </cell>
          <cell r="AX28">
            <v>105959</v>
          </cell>
          <cell r="AY28">
            <v>298887</v>
          </cell>
          <cell r="AZ28">
            <v>570421</v>
          </cell>
          <cell r="BA28">
            <v>629363</v>
          </cell>
          <cell r="BB28">
            <v>629363</v>
          </cell>
        </row>
        <row r="29">
          <cell r="A29" t="str">
            <v>qtd</v>
          </cell>
          <cell r="B29">
            <v>35025</v>
          </cell>
          <cell r="C29">
            <v>70050</v>
          </cell>
          <cell r="D29">
            <v>99082</v>
          </cell>
          <cell r="E29">
            <v>129439</v>
          </cell>
          <cell r="F29">
            <v>151497</v>
          </cell>
          <cell r="G29">
            <v>186373</v>
          </cell>
          <cell r="H29">
            <v>214169</v>
          </cell>
          <cell r="I29">
            <v>241261</v>
          </cell>
          <cell r="J29">
            <v>263398</v>
          </cell>
          <cell r="K29">
            <v>289871</v>
          </cell>
          <cell r="L29">
            <v>318630</v>
          </cell>
          <cell r="M29">
            <v>366014</v>
          </cell>
          <cell r="N29">
            <v>50347</v>
          </cell>
          <cell r="O29">
            <v>78634</v>
          </cell>
          <cell r="P29">
            <v>99066</v>
          </cell>
          <cell r="Q29">
            <v>202495</v>
          </cell>
          <cell r="R29">
            <v>383258</v>
          </cell>
          <cell r="S29">
            <v>801290</v>
          </cell>
          <cell r="T29">
            <v>1151171</v>
          </cell>
          <cell r="U29">
            <v>1364158</v>
          </cell>
          <cell r="V29">
            <v>2483712</v>
          </cell>
          <cell r="W29">
            <v>3159363</v>
          </cell>
          <cell r="X29">
            <v>4117951</v>
          </cell>
          <cell r="Y29">
            <v>5539905</v>
          </cell>
          <cell r="Z29">
            <v>1044328</v>
          </cell>
          <cell r="AA29">
            <v>2089739</v>
          </cell>
          <cell r="AB29">
            <v>3433905</v>
          </cell>
          <cell r="AC29">
            <v>4789266</v>
          </cell>
          <cell r="AD29">
            <v>6226031</v>
          </cell>
          <cell r="AE29">
            <v>7564965</v>
          </cell>
          <cell r="AF29">
            <v>8937354</v>
          </cell>
          <cell r="AG29">
            <v>10218125</v>
          </cell>
          <cell r="AH29">
            <v>11206618</v>
          </cell>
          <cell r="AI29">
            <v>11905521</v>
          </cell>
          <cell r="AJ29">
            <v>12322331</v>
          </cell>
          <cell r="AK29">
            <v>12465193</v>
          </cell>
          <cell r="AL29">
            <v>28883</v>
          </cell>
          <cell r="AM29">
            <v>107314</v>
          </cell>
          <cell r="AN29">
            <v>203115</v>
          </cell>
          <cell r="AO29">
            <v>570612</v>
          </cell>
          <cell r="AP29">
            <v>1256764</v>
          </cell>
          <cell r="AQ29">
            <v>2396672</v>
          </cell>
          <cell r="AR29">
            <v>2962680</v>
          </cell>
          <cell r="AS29">
            <v>4355623</v>
          </cell>
          <cell r="AT29">
            <v>4383464</v>
          </cell>
          <cell r="AU29">
            <v>4408589</v>
          </cell>
          <cell r="AV29">
            <v>4441402</v>
          </cell>
          <cell r="AW29">
            <v>4506064</v>
          </cell>
          <cell r="AX29">
            <v>4612023</v>
          </cell>
          <cell r="AY29">
            <v>4804951</v>
          </cell>
          <cell r="AZ29">
            <v>5076485</v>
          </cell>
          <cell r="BA29">
            <v>5135427</v>
          </cell>
          <cell r="BB29">
            <v>5135427</v>
          </cell>
        </row>
        <row r="30">
          <cell r="A30" t="str">
            <v>ytd</v>
          </cell>
          <cell r="B30">
            <v>35025</v>
          </cell>
          <cell r="C30">
            <v>70050</v>
          </cell>
          <cell r="D30">
            <v>99082</v>
          </cell>
          <cell r="E30">
            <v>129439</v>
          </cell>
          <cell r="F30">
            <v>151497</v>
          </cell>
          <cell r="G30">
            <v>186373</v>
          </cell>
          <cell r="H30">
            <v>214169</v>
          </cell>
          <cell r="I30">
            <v>241261</v>
          </cell>
          <cell r="J30">
            <v>263398</v>
          </cell>
          <cell r="K30">
            <v>289871</v>
          </cell>
          <cell r="L30">
            <v>318630</v>
          </cell>
          <cell r="M30">
            <v>366014</v>
          </cell>
          <cell r="N30">
            <v>416361</v>
          </cell>
          <cell r="O30">
            <v>444648</v>
          </cell>
          <cell r="P30">
            <v>465080</v>
          </cell>
          <cell r="Q30">
            <v>568509</v>
          </cell>
          <cell r="R30">
            <v>749272</v>
          </cell>
          <cell r="S30">
            <v>1167304</v>
          </cell>
          <cell r="T30">
            <v>1517185</v>
          </cell>
          <cell r="U30">
            <v>1730172</v>
          </cell>
          <cell r="V30">
            <v>2849726</v>
          </cell>
          <cell r="W30">
            <v>3525377</v>
          </cell>
          <cell r="X30">
            <v>4483965</v>
          </cell>
          <cell r="Y30">
            <v>5905919</v>
          </cell>
          <cell r="Z30">
            <v>6950247</v>
          </cell>
          <cell r="AA30">
            <v>7995658</v>
          </cell>
          <cell r="AB30">
            <v>9339824</v>
          </cell>
          <cell r="AC30">
            <v>10695185</v>
          </cell>
          <cell r="AD30">
            <v>12131950</v>
          </cell>
          <cell r="AE30">
            <v>13470884</v>
          </cell>
          <cell r="AF30">
            <v>14843273</v>
          </cell>
          <cell r="AG30">
            <v>16124044</v>
          </cell>
          <cell r="AH30">
            <v>17112537</v>
          </cell>
          <cell r="AI30">
            <v>17811440</v>
          </cell>
          <cell r="AJ30">
            <v>18228250</v>
          </cell>
          <cell r="AK30">
            <v>18371112</v>
          </cell>
          <cell r="AL30">
            <v>18399995</v>
          </cell>
          <cell r="AM30">
            <v>18478426</v>
          </cell>
          <cell r="AN30">
            <v>18574227</v>
          </cell>
          <cell r="AO30">
            <v>18941724</v>
          </cell>
          <cell r="AP30">
            <v>19627876</v>
          </cell>
          <cell r="AQ30">
            <v>20767784</v>
          </cell>
          <cell r="AR30">
            <v>21333792</v>
          </cell>
          <cell r="AS30">
            <v>22726735</v>
          </cell>
          <cell r="AT30">
            <v>22754576</v>
          </cell>
          <cell r="AU30">
            <v>22779701</v>
          </cell>
          <cell r="AV30">
            <v>22812514</v>
          </cell>
          <cell r="AW30">
            <v>22877176</v>
          </cell>
          <cell r="AX30">
            <v>22983135</v>
          </cell>
          <cell r="AY30">
            <v>23176063</v>
          </cell>
          <cell r="AZ30">
            <v>23447597</v>
          </cell>
          <cell r="BA30">
            <v>23506539</v>
          </cell>
          <cell r="BB30">
            <v>23506539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6209298</v>
          </cell>
          <cell r="C35">
            <v>6094259</v>
          </cell>
          <cell r="D35">
            <v>5525995</v>
          </cell>
          <cell r="E35">
            <v>5414138</v>
          </cell>
          <cell r="F35">
            <v>5791562</v>
          </cell>
          <cell r="G35">
            <v>8774767</v>
          </cell>
          <cell r="H35">
            <v>6214382</v>
          </cell>
          <cell r="I35">
            <v>5714227</v>
          </cell>
          <cell r="J35">
            <v>5914236</v>
          </cell>
          <cell r="K35">
            <v>5952146</v>
          </cell>
          <cell r="L35">
            <v>6293261</v>
          </cell>
          <cell r="M35">
            <v>6198993</v>
          </cell>
          <cell r="N35">
            <v>5981973</v>
          </cell>
          <cell r="O35">
            <v>8412431</v>
          </cell>
          <cell r="P35">
            <v>6102945</v>
          </cell>
          <cell r="Q35">
            <v>6517756</v>
          </cell>
          <cell r="R35">
            <v>7305918</v>
          </cell>
          <cell r="S35">
            <v>13400156</v>
          </cell>
          <cell r="T35">
            <v>10343949</v>
          </cell>
          <cell r="U35">
            <v>7832600</v>
          </cell>
          <cell r="V35">
            <v>9881236</v>
          </cell>
          <cell r="W35">
            <v>9830126</v>
          </cell>
          <cell r="X35">
            <v>11088423</v>
          </cell>
          <cell r="Y35">
            <v>16075113</v>
          </cell>
          <cell r="Z35">
            <v>10121169</v>
          </cell>
          <cell r="AA35">
            <v>6994835</v>
          </cell>
          <cell r="AB35">
            <v>7112722</v>
          </cell>
          <cell r="AC35">
            <v>7035119</v>
          </cell>
          <cell r="AD35">
            <v>7216169</v>
          </cell>
          <cell r="AE35">
            <v>6951457</v>
          </cell>
          <cell r="AF35">
            <v>7423729</v>
          </cell>
          <cell r="AG35">
            <v>6989024</v>
          </cell>
          <cell r="AH35">
            <v>6640605</v>
          </cell>
          <cell r="AI35">
            <v>6366582</v>
          </cell>
          <cell r="AJ35">
            <v>5864236</v>
          </cell>
          <cell r="AK35">
            <v>5558930</v>
          </cell>
          <cell r="AL35">
            <v>5348581</v>
          </cell>
          <cell r="AM35">
            <v>5332419</v>
          </cell>
          <cell r="AN35">
            <v>5287744</v>
          </cell>
          <cell r="AO35">
            <v>5822339</v>
          </cell>
          <cell r="AP35">
            <v>6071320</v>
          </cell>
          <cell r="AQ35">
            <v>7183627</v>
          </cell>
          <cell r="AR35">
            <v>6689474</v>
          </cell>
          <cell r="AS35">
            <v>7135591</v>
          </cell>
          <cell r="AT35">
            <v>6722151</v>
          </cell>
          <cell r="AU35">
            <v>7362731</v>
          </cell>
          <cell r="AV35">
            <v>8864638</v>
          </cell>
          <cell r="AW35">
            <v>17518743</v>
          </cell>
          <cell r="AX35">
            <v>31428357</v>
          </cell>
          <cell r="AY35">
            <v>68101461</v>
          </cell>
          <cell r="AZ35">
            <v>83697777</v>
          </cell>
          <cell r="BA35">
            <v>11682120</v>
          </cell>
          <cell r="BB35">
            <v>0</v>
          </cell>
        </row>
        <row r="36">
          <cell r="A36" t="str">
            <v>ptd</v>
          </cell>
          <cell r="B36">
            <v>6209298</v>
          </cell>
          <cell r="C36">
            <v>12303557</v>
          </cell>
          <cell r="D36">
            <v>17829552</v>
          </cell>
          <cell r="E36">
            <v>23243690</v>
          </cell>
          <cell r="F36">
            <v>5791562</v>
          </cell>
          <cell r="G36">
            <v>14566329</v>
          </cell>
          <cell r="H36">
            <v>20780711</v>
          </cell>
          <cell r="I36">
            <v>26494938</v>
          </cell>
          <cell r="J36">
            <v>5914236</v>
          </cell>
          <cell r="K36">
            <v>11866382</v>
          </cell>
          <cell r="L36">
            <v>18159643</v>
          </cell>
          <cell r="M36">
            <v>24358636</v>
          </cell>
          <cell r="N36">
            <v>5981973</v>
          </cell>
          <cell r="O36">
            <v>14394404</v>
          </cell>
          <cell r="P36">
            <v>20497349</v>
          </cell>
          <cell r="Q36">
            <v>27015105</v>
          </cell>
          <cell r="R36">
            <v>7305918</v>
          </cell>
          <cell r="S36">
            <v>20706074</v>
          </cell>
          <cell r="T36">
            <v>31050023</v>
          </cell>
          <cell r="U36">
            <v>38882623</v>
          </cell>
          <cell r="V36">
            <v>9881236</v>
          </cell>
          <cell r="W36">
            <v>19711362</v>
          </cell>
          <cell r="X36">
            <v>30799785</v>
          </cell>
          <cell r="Y36">
            <v>46874898</v>
          </cell>
          <cell r="Z36">
            <v>10121169</v>
          </cell>
          <cell r="AA36">
            <v>17116004</v>
          </cell>
          <cell r="AB36">
            <v>24228726</v>
          </cell>
          <cell r="AC36">
            <v>31263845</v>
          </cell>
          <cell r="AD36">
            <v>7216169</v>
          </cell>
          <cell r="AE36">
            <v>14167626</v>
          </cell>
          <cell r="AF36">
            <v>21591355</v>
          </cell>
          <cell r="AG36">
            <v>28580379</v>
          </cell>
          <cell r="AH36">
            <v>6640605</v>
          </cell>
          <cell r="AI36">
            <v>13007187</v>
          </cell>
          <cell r="AJ36">
            <v>18871423</v>
          </cell>
          <cell r="AK36">
            <v>24430353</v>
          </cell>
          <cell r="AL36">
            <v>5348581</v>
          </cell>
          <cell r="AM36">
            <v>10681000</v>
          </cell>
          <cell r="AN36">
            <v>15968744</v>
          </cell>
          <cell r="AO36">
            <v>21791083</v>
          </cell>
          <cell r="AP36">
            <v>6071320</v>
          </cell>
          <cell r="AQ36">
            <v>13254947</v>
          </cell>
          <cell r="AR36">
            <v>19944421</v>
          </cell>
          <cell r="AS36">
            <v>27080012</v>
          </cell>
          <cell r="AT36">
            <v>6722151</v>
          </cell>
          <cell r="AU36">
            <v>14084882</v>
          </cell>
          <cell r="AV36">
            <v>22949520</v>
          </cell>
          <cell r="AW36">
            <v>40468263</v>
          </cell>
          <cell r="AX36">
            <v>31428357</v>
          </cell>
          <cell r="AY36">
            <v>99529818</v>
          </cell>
          <cell r="AZ36">
            <v>183227595</v>
          </cell>
          <cell r="BA36">
            <v>194909715</v>
          </cell>
          <cell r="BB36">
            <v>194909715</v>
          </cell>
        </row>
        <row r="37">
          <cell r="A37" t="str">
            <v>qtd</v>
          </cell>
          <cell r="B37">
            <v>6209298</v>
          </cell>
          <cell r="C37">
            <v>12303557</v>
          </cell>
          <cell r="D37">
            <v>17829552</v>
          </cell>
          <cell r="E37">
            <v>23243690</v>
          </cell>
          <cell r="F37">
            <v>29035252</v>
          </cell>
          <cell r="G37">
            <v>37810019</v>
          </cell>
          <cell r="H37">
            <v>44024401</v>
          </cell>
          <cell r="I37">
            <v>49738628</v>
          </cell>
          <cell r="J37">
            <v>55652864</v>
          </cell>
          <cell r="K37">
            <v>61605010</v>
          </cell>
          <cell r="L37">
            <v>67898271</v>
          </cell>
          <cell r="M37">
            <v>74097264</v>
          </cell>
          <cell r="N37">
            <v>5981973</v>
          </cell>
          <cell r="O37">
            <v>14394404</v>
          </cell>
          <cell r="P37">
            <v>20497349</v>
          </cell>
          <cell r="Q37">
            <v>27015105</v>
          </cell>
          <cell r="R37">
            <v>34321023</v>
          </cell>
          <cell r="S37">
            <v>47721179</v>
          </cell>
          <cell r="T37">
            <v>58065128</v>
          </cell>
          <cell r="U37">
            <v>65897728</v>
          </cell>
          <cell r="V37">
            <v>75778964</v>
          </cell>
          <cell r="W37">
            <v>85609090</v>
          </cell>
          <cell r="X37">
            <v>96697513</v>
          </cell>
          <cell r="Y37">
            <v>112772626</v>
          </cell>
          <cell r="Z37">
            <v>10121169</v>
          </cell>
          <cell r="AA37">
            <v>17116004</v>
          </cell>
          <cell r="AB37">
            <v>24228726</v>
          </cell>
          <cell r="AC37">
            <v>31263845</v>
          </cell>
          <cell r="AD37">
            <v>38480014</v>
          </cell>
          <cell r="AE37">
            <v>45431471</v>
          </cell>
          <cell r="AF37">
            <v>52855200</v>
          </cell>
          <cell r="AG37">
            <v>59844224</v>
          </cell>
          <cell r="AH37">
            <v>66484829</v>
          </cell>
          <cell r="AI37">
            <v>72851411</v>
          </cell>
          <cell r="AJ37">
            <v>78715647</v>
          </cell>
          <cell r="AK37">
            <v>84274577</v>
          </cell>
          <cell r="AL37">
            <v>5348581</v>
          </cell>
          <cell r="AM37">
            <v>10681000</v>
          </cell>
          <cell r="AN37">
            <v>15968744</v>
          </cell>
          <cell r="AO37">
            <v>21791083</v>
          </cell>
          <cell r="AP37">
            <v>27862403</v>
          </cell>
          <cell r="AQ37">
            <v>35046030</v>
          </cell>
          <cell r="AR37">
            <v>41735504</v>
          </cell>
          <cell r="AS37">
            <v>48871095</v>
          </cell>
          <cell r="AT37">
            <v>55593246</v>
          </cell>
          <cell r="AU37">
            <v>62955977</v>
          </cell>
          <cell r="AV37">
            <v>71820615</v>
          </cell>
          <cell r="AW37">
            <v>89339358</v>
          </cell>
          <cell r="AX37">
            <v>120767715</v>
          </cell>
          <cell r="AY37">
            <v>188869176</v>
          </cell>
          <cell r="AZ37">
            <v>272566953</v>
          </cell>
          <cell r="BA37">
            <v>284249073</v>
          </cell>
          <cell r="BB37">
            <v>284249073</v>
          </cell>
        </row>
        <row r="38">
          <cell r="A38" t="str">
            <v>ytd</v>
          </cell>
          <cell r="B38">
            <v>6209298</v>
          </cell>
          <cell r="C38">
            <v>12303557</v>
          </cell>
          <cell r="D38">
            <v>17829552</v>
          </cell>
          <cell r="E38">
            <v>23243690</v>
          </cell>
          <cell r="F38">
            <v>29035252</v>
          </cell>
          <cell r="G38">
            <v>37810019</v>
          </cell>
          <cell r="H38">
            <v>44024401</v>
          </cell>
          <cell r="I38">
            <v>49738628</v>
          </cell>
          <cell r="J38">
            <v>55652864</v>
          </cell>
          <cell r="K38">
            <v>61605010</v>
          </cell>
          <cell r="L38">
            <v>67898271</v>
          </cell>
          <cell r="M38">
            <v>74097264</v>
          </cell>
          <cell r="N38">
            <v>80079237</v>
          </cell>
          <cell r="O38">
            <v>88491668</v>
          </cell>
          <cell r="P38">
            <v>94594613</v>
          </cell>
          <cell r="Q38">
            <v>101112369</v>
          </cell>
          <cell r="R38">
            <v>108418287</v>
          </cell>
          <cell r="S38">
            <v>121818443</v>
          </cell>
          <cell r="T38">
            <v>132162392</v>
          </cell>
          <cell r="U38">
            <v>139994992</v>
          </cell>
          <cell r="V38">
            <v>149876228</v>
          </cell>
          <cell r="W38">
            <v>159706354</v>
          </cell>
          <cell r="X38">
            <v>170794777</v>
          </cell>
          <cell r="Y38">
            <v>186869890</v>
          </cell>
          <cell r="Z38">
            <v>196991059</v>
          </cell>
          <cell r="AA38">
            <v>203985894</v>
          </cell>
          <cell r="AB38">
            <v>211098616</v>
          </cell>
          <cell r="AC38">
            <v>218133735</v>
          </cell>
          <cell r="AD38">
            <v>225349904</v>
          </cell>
          <cell r="AE38">
            <v>232301361</v>
          </cell>
          <cell r="AF38">
            <v>239725090</v>
          </cell>
          <cell r="AG38">
            <v>246714114</v>
          </cell>
          <cell r="AH38">
            <v>253354719</v>
          </cell>
          <cell r="AI38">
            <v>259721301</v>
          </cell>
          <cell r="AJ38">
            <v>265585537</v>
          </cell>
          <cell r="AK38">
            <v>271144467</v>
          </cell>
          <cell r="AL38">
            <v>276493048</v>
          </cell>
          <cell r="AM38">
            <v>281825467</v>
          </cell>
          <cell r="AN38">
            <v>287113211</v>
          </cell>
          <cell r="AO38">
            <v>292935550</v>
          </cell>
          <cell r="AP38">
            <v>299006870</v>
          </cell>
          <cell r="AQ38">
            <v>306190497</v>
          </cell>
          <cell r="AR38">
            <v>312879971</v>
          </cell>
          <cell r="AS38">
            <v>320015562</v>
          </cell>
          <cell r="AT38">
            <v>326737713</v>
          </cell>
          <cell r="AU38">
            <v>334100444</v>
          </cell>
          <cell r="AV38">
            <v>342965082</v>
          </cell>
          <cell r="AW38">
            <v>360483825</v>
          </cell>
          <cell r="AX38">
            <v>391912182</v>
          </cell>
          <cell r="AY38">
            <v>460013643</v>
          </cell>
          <cell r="AZ38">
            <v>543711420</v>
          </cell>
          <cell r="BA38">
            <v>555393540</v>
          </cell>
          <cell r="BB38">
            <v>555393540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255130.1126562501</v>
          </cell>
          <cell r="C41">
            <v>255130.1126562501</v>
          </cell>
          <cell r="D41">
            <v>346215.86265625025</v>
          </cell>
          <cell r="E41">
            <v>424197.36265625025</v>
          </cell>
          <cell r="F41">
            <v>477434</v>
          </cell>
          <cell r="G41">
            <v>378488</v>
          </cell>
          <cell r="H41">
            <v>485006.75</v>
          </cell>
          <cell r="I41">
            <v>309407.5</v>
          </cell>
          <cell r="J41">
            <v>335426.25</v>
          </cell>
          <cell r="K41">
            <v>307797.5</v>
          </cell>
          <cell r="L41">
            <v>401114.25</v>
          </cell>
          <cell r="M41">
            <v>371271.75</v>
          </cell>
          <cell r="N41">
            <v>387331.5</v>
          </cell>
          <cell r="O41">
            <v>530581.25</v>
          </cell>
          <cell r="P41">
            <v>332459.25</v>
          </cell>
          <cell r="Q41">
            <v>410130.25</v>
          </cell>
          <cell r="R41">
            <v>475116.75</v>
          </cell>
          <cell r="S41">
            <v>801544.25</v>
          </cell>
          <cell r="T41">
            <v>640360.25</v>
          </cell>
          <cell r="U41">
            <v>519570</v>
          </cell>
          <cell r="V41">
            <v>600938.25</v>
          </cell>
          <cell r="W41">
            <v>589875.25</v>
          </cell>
          <cell r="X41">
            <v>703092.75</v>
          </cell>
          <cell r="Y41">
            <v>940855.25</v>
          </cell>
          <cell r="Z41">
            <v>686032.5</v>
          </cell>
          <cell r="AA41">
            <v>588564.25</v>
          </cell>
          <cell r="AB41">
            <v>556646</v>
          </cell>
          <cell r="AC41">
            <v>570365.5</v>
          </cell>
          <cell r="AD41">
            <v>575009.82746875018</v>
          </cell>
          <cell r="AE41">
            <v>563256.8274687503</v>
          </cell>
          <cell r="AF41">
            <v>537485.32746875018</v>
          </cell>
          <cell r="AG41">
            <v>692430.57746875042</v>
          </cell>
          <cell r="AH41">
            <v>695253.8274687503</v>
          </cell>
          <cell r="AI41">
            <v>624436.82746875018</v>
          </cell>
          <cell r="AJ41">
            <v>689785.57746875042</v>
          </cell>
          <cell r="AK41">
            <v>404988.07746875018</v>
          </cell>
          <cell r="AL41">
            <v>414015.57746875018</v>
          </cell>
          <cell r="AM41">
            <v>388686.82746875018</v>
          </cell>
          <cell r="AN41">
            <v>402601.82746875018</v>
          </cell>
          <cell r="AO41">
            <v>407201.82746875013</v>
          </cell>
          <cell r="AP41">
            <v>385754.32746875018</v>
          </cell>
          <cell r="AQ41">
            <v>487874.32746875018</v>
          </cell>
          <cell r="AR41">
            <v>534276.8274687503</v>
          </cell>
          <cell r="AS41">
            <v>496269.32746875024</v>
          </cell>
          <cell r="AT41">
            <v>607445.5774687503</v>
          </cell>
          <cell r="AU41">
            <v>724573.07746875042</v>
          </cell>
          <cell r="AV41">
            <v>858691.82746875042</v>
          </cell>
          <cell r="AW41">
            <v>1236035.5774687505</v>
          </cell>
          <cell r="AX41">
            <v>2165018.75</v>
          </cell>
          <cell r="AY41">
            <v>3028007.5</v>
          </cell>
          <cell r="AZ41">
            <v>3275056.25</v>
          </cell>
          <cell r="BA41">
            <v>961141.25</v>
          </cell>
          <cell r="BB41">
            <v>0</v>
          </cell>
        </row>
        <row r="42">
          <cell r="A42" t="str">
            <v>ptd</v>
          </cell>
          <cell r="B42">
            <v>255130.1126562501</v>
          </cell>
          <cell r="C42">
            <v>510260.2253125002</v>
          </cell>
          <cell r="D42">
            <v>856476.08796875039</v>
          </cell>
          <cell r="E42">
            <v>1280673.4506250005</v>
          </cell>
          <cell r="F42">
            <v>477434</v>
          </cell>
          <cell r="G42">
            <v>855922</v>
          </cell>
          <cell r="H42">
            <v>1340928.75</v>
          </cell>
          <cell r="I42">
            <v>1650336.25</v>
          </cell>
          <cell r="J42">
            <v>335426.25</v>
          </cell>
          <cell r="K42">
            <v>643223.75</v>
          </cell>
          <cell r="L42">
            <v>1044338</v>
          </cell>
          <cell r="M42">
            <v>1415609.75</v>
          </cell>
          <cell r="N42">
            <v>387331.5</v>
          </cell>
          <cell r="O42">
            <v>917912.75</v>
          </cell>
          <cell r="P42">
            <v>1250372</v>
          </cell>
          <cell r="Q42">
            <v>1660502.25</v>
          </cell>
          <cell r="R42">
            <v>475116.75</v>
          </cell>
          <cell r="S42">
            <v>1276661</v>
          </cell>
          <cell r="T42">
            <v>1917021.25</v>
          </cell>
          <cell r="U42">
            <v>2436591.25</v>
          </cell>
          <cell r="V42">
            <v>600938.25</v>
          </cell>
          <cell r="W42">
            <v>1190813.5</v>
          </cell>
          <cell r="X42">
            <v>1893906.25</v>
          </cell>
          <cell r="Y42">
            <v>2834761.5</v>
          </cell>
          <cell r="Z42">
            <v>686032.5</v>
          </cell>
          <cell r="AA42">
            <v>1274596.75</v>
          </cell>
          <cell r="AB42">
            <v>1831242.75</v>
          </cell>
          <cell r="AC42">
            <v>2401608.25</v>
          </cell>
          <cell r="AD42">
            <v>575009.82746875018</v>
          </cell>
          <cell r="AE42">
            <v>1138266.6549375006</v>
          </cell>
          <cell r="AF42">
            <v>1675751.9824062507</v>
          </cell>
          <cell r="AG42">
            <v>2368182.5598750012</v>
          </cell>
          <cell r="AH42">
            <v>695253.8274687503</v>
          </cell>
          <cell r="AI42">
            <v>1319690.6549375006</v>
          </cell>
          <cell r="AJ42">
            <v>2009476.2324062511</v>
          </cell>
          <cell r="AK42">
            <v>2414464.3098750012</v>
          </cell>
          <cell r="AL42">
            <v>414015.57746875018</v>
          </cell>
          <cell r="AM42">
            <v>802702.40493750037</v>
          </cell>
          <cell r="AN42">
            <v>1205304.2324062507</v>
          </cell>
          <cell r="AO42">
            <v>1612506.0598750007</v>
          </cell>
          <cell r="AP42">
            <v>385754.32746875018</v>
          </cell>
          <cell r="AQ42">
            <v>873628.65493750037</v>
          </cell>
          <cell r="AR42">
            <v>1407905.4824062507</v>
          </cell>
          <cell r="AS42">
            <v>1904174.809875001</v>
          </cell>
          <cell r="AT42">
            <v>607445.5774687503</v>
          </cell>
          <cell r="AU42">
            <v>1332018.6549375006</v>
          </cell>
          <cell r="AV42">
            <v>2190710.4824062511</v>
          </cell>
          <cell r="AW42">
            <v>3426746.0598750017</v>
          </cell>
          <cell r="AX42">
            <v>2165018.75</v>
          </cell>
          <cell r="AY42">
            <v>5193026.25</v>
          </cell>
          <cell r="AZ42">
            <v>8468082.5</v>
          </cell>
          <cell r="BA42">
            <v>9429223.75</v>
          </cell>
          <cell r="BB42">
            <v>9429223.75</v>
          </cell>
        </row>
        <row r="43">
          <cell r="A43" t="str">
            <v>qtd</v>
          </cell>
          <cell r="B43">
            <v>255130.1126562501</v>
          </cell>
          <cell r="C43">
            <v>510260.2253125002</v>
          </cell>
          <cell r="D43">
            <v>856476.08796875039</v>
          </cell>
          <cell r="E43">
            <v>1280673.4506250005</v>
          </cell>
          <cell r="F43">
            <v>1758107.4506250005</v>
          </cell>
          <cell r="G43">
            <v>2136595.4506250005</v>
          </cell>
          <cell r="H43">
            <v>2621602.2006250005</v>
          </cell>
          <cell r="I43">
            <v>2931009.7006250005</v>
          </cell>
          <cell r="J43">
            <v>3266435.9506250005</v>
          </cell>
          <cell r="K43">
            <v>3574233.4506250005</v>
          </cell>
          <cell r="L43">
            <v>3975347.7006250005</v>
          </cell>
          <cell r="M43">
            <v>4346619.4506250005</v>
          </cell>
          <cell r="N43">
            <v>387331.5</v>
          </cell>
          <cell r="O43">
            <v>917912.75</v>
          </cell>
          <cell r="P43">
            <v>1250372</v>
          </cell>
          <cell r="Q43">
            <v>1660502.25</v>
          </cell>
          <cell r="R43">
            <v>2135619</v>
          </cell>
          <cell r="S43">
            <v>2937163.25</v>
          </cell>
          <cell r="T43">
            <v>3577523.5</v>
          </cell>
          <cell r="U43">
            <v>4097093.5</v>
          </cell>
          <cell r="V43">
            <v>4698031.75</v>
          </cell>
          <cell r="W43">
            <v>5287907</v>
          </cell>
          <cell r="X43">
            <v>5990999.75</v>
          </cell>
          <cell r="Y43">
            <v>6931855</v>
          </cell>
          <cell r="Z43">
            <v>686032.5</v>
          </cell>
          <cell r="AA43">
            <v>1274596.75</v>
          </cell>
          <cell r="AB43">
            <v>1831242.75</v>
          </cell>
          <cell r="AC43">
            <v>2401608.25</v>
          </cell>
          <cell r="AD43">
            <v>2976618.0774687501</v>
          </cell>
          <cell r="AE43">
            <v>3539874.9049375001</v>
          </cell>
          <cell r="AF43">
            <v>4077360.2324062502</v>
          </cell>
          <cell r="AG43">
            <v>4769790.8098750003</v>
          </cell>
          <cell r="AH43">
            <v>5465044.6373437503</v>
          </cell>
          <cell r="AI43">
            <v>6089481.4648125004</v>
          </cell>
          <cell r="AJ43">
            <v>6779267.0422812505</v>
          </cell>
          <cell r="AK43">
            <v>7184255.1197500005</v>
          </cell>
          <cell r="AL43">
            <v>414015.57746875018</v>
          </cell>
          <cell r="AM43">
            <v>802702.40493750037</v>
          </cell>
          <cell r="AN43">
            <v>1205304.2324062507</v>
          </cell>
          <cell r="AO43">
            <v>1612506.0598750007</v>
          </cell>
          <cell r="AP43">
            <v>1998260.3873437508</v>
          </cell>
          <cell r="AQ43">
            <v>2486134.7148125009</v>
          </cell>
          <cell r="AR43">
            <v>3020411.5422812514</v>
          </cell>
          <cell r="AS43">
            <v>3516680.8697500015</v>
          </cell>
          <cell r="AT43">
            <v>4124126.4472187515</v>
          </cell>
          <cell r="AU43">
            <v>4848699.5246875016</v>
          </cell>
          <cell r="AV43">
            <v>5707391.3521562517</v>
          </cell>
          <cell r="AW43">
            <v>6943426.9296250027</v>
          </cell>
          <cell r="AX43">
            <v>9108445.6796250027</v>
          </cell>
          <cell r="AY43">
            <v>12136453.179625003</v>
          </cell>
          <cell r="AZ43">
            <v>15411509.429625003</v>
          </cell>
          <cell r="BA43">
            <v>16372650.679625003</v>
          </cell>
          <cell r="BB43">
            <v>16372650.679625003</v>
          </cell>
        </row>
        <row r="44">
          <cell r="A44" t="str">
            <v>ytd</v>
          </cell>
          <cell r="B44">
            <v>255130.1126562501</v>
          </cell>
          <cell r="C44">
            <v>510260.2253125002</v>
          </cell>
          <cell r="D44">
            <v>856476.08796875039</v>
          </cell>
          <cell r="E44">
            <v>1280673.4506250005</v>
          </cell>
          <cell r="F44">
            <v>1758107.4506250005</v>
          </cell>
          <cell r="G44">
            <v>2136595.4506250005</v>
          </cell>
          <cell r="H44">
            <v>2621602.2006250005</v>
          </cell>
          <cell r="I44">
            <v>2931009.7006250005</v>
          </cell>
          <cell r="J44">
            <v>3266435.9506250005</v>
          </cell>
          <cell r="K44">
            <v>3574233.4506250005</v>
          </cell>
          <cell r="L44">
            <v>3975347.7006250005</v>
          </cell>
          <cell r="M44">
            <v>4346619.4506250005</v>
          </cell>
          <cell r="N44">
            <v>4733950.9506250005</v>
          </cell>
          <cell r="O44">
            <v>5264532.2006250005</v>
          </cell>
          <cell r="P44">
            <v>5596991.4506250005</v>
          </cell>
          <cell r="Q44">
            <v>6007121.7006250005</v>
          </cell>
          <cell r="R44">
            <v>6482238.4506250005</v>
          </cell>
          <cell r="S44">
            <v>7283782.7006250005</v>
          </cell>
          <cell r="T44">
            <v>7924142.9506250005</v>
          </cell>
          <cell r="U44">
            <v>8443712.9506250005</v>
          </cell>
          <cell r="V44">
            <v>9044651.2006250005</v>
          </cell>
          <cell r="W44">
            <v>9634526.4506250005</v>
          </cell>
          <cell r="X44">
            <v>10337619.200625001</v>
          </cell>
          <cell r="Y44">
            <v>11278474.450625001</v>
          </cell>
          <cell r="Z44">
            <v>11964506.950625001</v>
          </cell>
          <cell r="AA44">
            <v>12553071.200625001</v>
          </cell>
          <cell r="AB44">
            <v>13109717.200625001</v>
          </cell>
          <cell r="AC44">
            <v>13680082.700625001</v>
          </cell>
          <cell r="AD44">
            <v>14255092.528093752</v>
          </cell>
          <cell r="AE44">
            <v>14818349.355562503</v>
          </cell>
          <cell r="AF44">
            <v>15355834.683031254</v>
          </cell>
          <cell r="AG44">
            <v>16048265.260500005</v>
          </cell>
          <cell r="AH44">
            <v>16743519.087968756</v>
          </cell>
          <cell r="AI44">
            <v>17367955.915437505</v>
          </cell>
          <cell r="AJ44">
            <v>18057741.492906254</v>
          </cell>
          <cell r="AK44">
            <v>18462729.570375003</v>
          </cell>
          <cell r="AL44">
            <v>18876745.147843752</v>
          </cell>
          <cell r="AM44">
            <v>19265431.975312501</v>
          </cell>
          <cell r="AN44">
            <v>19668033.80278125</v>
          </cell>
          <cell r="AO44">
            <v>20075235.630249999</v>
          </cell>
          <cell r="AP44">
            <v>20460989.957718749</v>
          </cell>
          <cell r="AQ44">
            <v>20948864.285187498</v>
          </cell>
          <cell r="AR44">
            <v>21483141.112656247</v>
          </cell>
          <cell r="AS44">
            <v>21979410.440124996</v>
          </cell>
          <cell r="AT44">
            <v>22586856.017593745</v>
          </cell>
          <cell r="AU44">
            <v>23311429.095062494</v>
          </cell>
          <cell r="AV44">
            <v>24170120.922531243</v>
          </cell>
          <cell r="AW44">
            <v>25406156.499999993</v>
          </cell>
          <cell r="AX44">
            <v>27571175.249999993</v>
          </cell>
          <cell r="AY44">
            <v>30599182.749999993</v>
          </cell>
          <cell r="AZ44">
            <v>33874238.999999993</v>
          </cell>
          <cell r="BA44">
            <v>34835380.249999993</v>
          </cell>
          <cell r="BB44">
            <v>34835380.249999993</v>
          </cell>
        </row>
        <row r="45">
          <cell r="A45" t="str">
            <v>PART</v>
          </cell>
          <cell r="B45">
            <v>5821323.6884000003</v>
          </cell>
          <cell r="C45">
            <v>5821323.6884000003</v>
          </cell>
          <cell r="D45">
            <v>6531977.3651999999</v>
          </cell>
          <cell r="E45">
            <v>6734159.5536000002</v>
          </cell>
          <cell r="F45">
            <v>6729293.3768000007</v>
          </cell>
          <cell r="G45">
            <v>7158470.0492000002</v>
          </cell>
          <cell r="H45">
            <v>6951787.0607999992</v>
          </cell>
          <cell r="I45">
            <v>6650349.5767999999</v>
          </cell>
          <cell r="J45">
            <v>6261790.1535999998</v>
          </cell>
          <cell r="K45">
            <v>6053686.1883999994</v>
          </cell>
          <cell r="L45">
            <v>7862340.7884</v>
          </cell>
          <cell r="M45">
            <v>8715665.7999999989</v>
          </cell>
          <cell r="N45">
            <v>9051323.3999999985</v>
          </cell>
          <cell r="O45">
            <v>9320617.3883999996</v>
          </cell>
          <cell r="P45">
            <v>7130218.3999999994</v>
          </cell>
          <cell r="Q45">
            <v>9871495.5883999988</v>
          </cell>
          <cell r="R45">
            <v>11476170</v>
          </cell>
          <cell r="S45">
            <v>14677195.7884</v>
          </cell>
          <cell r="T45">
            <v>12811376.4</v>
          </cell>
          <cell r="U45">
            <v>11522645.399999999</v>
          </cell>
          <cell r="V45">
            <v>13211657.599999998</v>
          </cell>
          <cell r="W45">
            <v>13512747.1884</v>
          </cell>
          <cell r="X45">
            <v>14082336.199999999</v>
          </cell>
          <cell r="Y45">
            <v>16600313.4</v>
          </cell>
          <cell r="Z45">
            <v>13410325</v>
          </cell>
          <cell r="AA45">
            <v>13261676.800000001</v>
          </cell>
          <cell r="AB45">
            <v>12367647.399999999</v>
          </cell>
          <cell r="AC45">
            <v>13064296.999999998</v>
          </cell>
          <cell r="AD45">
            <v>12580884.399999999</v>
          </cell>
          <cell r="AE45">
            <v>12106386.4</v>
          </cell>
          <cell r="AF45">
            <v>11890371.199999999</v>
          </cell>
          <cell r="AG45">
            <v>14157196.799999999</v>
          </cell>
          <cell r="AH45">
            <v>15652970.991599998</v>
          </cell>
          <cell r="AI45">
            <v>16539053.799999997</v>
          </cell>
          <cell r="AJ45">
            <v>17272939.399999999</v>
          </cell>
          <cell r="AK45">
            <v>10841800.800000001</v>
          </cell>
          <cell r="AL45">
            <v>10565268.399999999</v>
          </cell>
          <cell r="AM45">
            <v>10422275.199999999</v>
          </cell>
          <cell r="AN45">
            <v>10684064</v>
          </cell>
          <cell r="AO45">
            <v>10824499.399999999</v>
          </cell>
          <cell r="AP45">
            <v>10243136.376799999</v>
          </cell>
          <cell r="AQ45">
            <v>11802831.800000001</v>
          </cell>
          <cell r="AR45">
            <v>12522919.199999999</v>
          </cell>
          <cell r="AS45">
            <v>12189268.4</v>
          </cell>
          <cell r="AT45">
            <v>12514851.353600001</v>
          </cell>
          <cell r="AU45">
            <v>14871507.284</v>
          </cell>
          <cell r="AV45">
            <v>16641910.814399999</v>
          </cell>
          <cell r="AW45">
            <v>22060421.625999998</v>
          </cell>
          <cell r="AX45">
            <v>34605206.744800001</v>
          </cell>
          <cell r="AY45">
            <v>43565487.405599989</v>
          </cell>
          <cell r="AZ45">
            <v>40756820.052000001</v>
          </cell>
          <cell r="BA45">
            <v>21054800.202799998</v>
          </cell>
          <cell r="BB45">
            <v>0</v>
          </cell>
        </row>
        <row r="46">
          <cell r="A46" t="str">
            <v>ptd</v>
          </cell>
          <cell r="B46">
            <v>5821323.6884000003</v>
          </cell>
          <cell r="C46">
            <v>11642647.376800001</v>
          </cell>
          <cell r="D46">
            <v>18174624.741999999</v>
          </cell>
          <cell r="E46">
            <v>24908784.295599997</v>
          </cell>
          <cell r="F46">
            <v>6729293.3768000007</v>
          </cell>
          <cell r="G46">
            <v>13887763.426000001</v>
          </cell>
          <cell r="H46">
            <v>20839550.4868</v>
          </cell>
          <cell r="I46">
            <v>27489900.0636</v>
          </cell>
          <cell r="J46">
            <v>6261790.1535999998</v>
          </cell>
          <cell r="K46">
            <v>12315476.342</v>
          </cell>
          <cell r="L46">
            <v>20177817.130400002</v>
          </cell>
          <cell r="M46">
            <v>28893482.930399999</v>
          </cell>
          <cell r="N46">
            <v>9051323.3999999985</v>
          </cell>
          <cell r="O46">
            <v>18371940.788399998</v>
          </cell>
          <cell r="P46">
            <v>25502159.188399997</v>
          </cell>
          <cell r="Q46">
            <v>35373654.776799992</v>
          </cell>
          <cell r="R46">
            <v>11476170</v>
          </cell>
          <cell r="S46">
            <v>26153365.788400002</v>
          </cell>
          <cell r="T46">
            <v>38964742.1884</v>
          </cell>
          <cell r="U46">
            <v>50487387.588399999</v>
          </cell>
          <cell r="V46">
            <v>13211657.599999998</v>
          </cell>
          <cell r="W46">
            <v>26724404.788399998</v>
          </cell>
          <cell r="X46">
            <v>40806740.988399997</v>
          </cell>
          <cell r="Y46">
            <v>57407054.388399996</v>
          </cell>
          <cell r="Z46">
            <v>13410325</v>
          </cell>
          <cell r="AA46">
            <v>26672001.800000001</v>
          </cell>
          <cell r="AB46">
            <v>39039649.200000003</v>
          </cell>
          <cell r="AC46">
            <v>52103946.200000003</v>
          </cell>
          <cell r="AD46">
            <v>12580884.399999999</v>
          </cell>
          <cell r="AE46">
            <v>24687270.799999997</v>
          </cell>
          <cell r="AF46">
            <v>36577642</v>
          </cell>
          <cell r="AG46">
            <v>50734838.799999997</v>
          </cell>
          <cell r="AH46">
            <v>15652970.991599998</v>
          </cell>
          <cell r="AI46">
            <v>32192024.791599996</v>
          </cell>
          <cell r="AJ46">
            <v>49464964.191599995</v>
          </cell>
          <cell r="AK46">
            <v>60306764.991599992</v>
          </cell>
          <cell r="AL46">
            <v>10565268.399999999</v>
          </cell>
          <cell r="AM46">
            <v>20987543.599999998</v>
          </cell>
          <cell r="AN46">
            <v>31671607.599999998</v>
          </cell>
          <cell r="AO46">
            <v>42496107</v>
          </cell>
          <cell r="AP46">
            <v>10243136.376799999</v>
          </cell>
          <cell r="AQ46">
            <v>22045968.176799998</v>
          </cell>
          <cell r="AR46">
            <v>34568887.376800001</v>
          </cell>
          <cell r="AS46">
            <v>46758155.776799999</v>
          </cell>
          <cell r="AT46">
            <v>12514851.353600001</v>
          </cell>
          <cell r="AU46">
            <v>27386358.637600001</v>
          </cell>
          <cell r="AV46">
            <v>44028269.452</v>
          </cell>
          <cell r="AW46">
            <v>66088691.077999994</v>
          </cell>
          <cell r="AX46">
            <v>34605206.744800001</v>
          </cell>
          <cell r="AY46">
            <v>78170694.150399983</v>
          </cell>
          <cell r="AZ46">
            <v>118927514.20239998</v>
          </cell>
          <cell r="BA46">
            <v>139982314.40519997</v>
          </cell>
          <cell r="BB46">
            <v>139982314.40519997</v>
          </cell>
        </row>
        <row r="47">
          <cell r="A47" t="str">
            <v>qtd</v>
          </cell>
          <cell r="B47">
            <v>5821323.6884000003</v>
          </cell>
          <cell r="C47">
            <v>11642647.376800001</v>
          </cell>
          <cell r="D47">
            <v>18174624.741999999</v>
          </cell>
          <cell r="E47">
            <v>24908784.295599997</v>
          </cell>
          <cell r="F47">
            <v>31638077.672399998</v>
          </cell>
          <cell r="G47">
            <v>38796547.721599996</v>
          </cell>
          <cell r="H47">
            <v>45748334.782399997</v>
          </cell>
          <cell r="I47">
            <v>52398684.359200001</v>
          </cell>
          <cell r="J47">
            <v>58660474.512800001</v>
          </cell>
          <cell r="K47">
            <v>64714160.701200001</v>
          </cell>
          <cell r="L47">
            <v>72576501.489600003</v>
          </cell>
          <cell r="M47">
            <v>81292167.2896</v>
          </cell>
          <cell r="N47">
            <v>9051323.3999999985</v>
          </cell>
          <cell r="O47">
            <v>18371940.788399998</v>
          </cell>
          <cell r="P47">
            <v>25502159.188399997</v>
          </cell>
          <cell r="Q47">
            <v>35373654.776799992</v>
          </cell>
          <cell r="R47">
            <v>46849824.776799992</v>
          </cell>
          <cell r="S47">
            <v>61527020.565199994</v>
          </cell>
          <cell r="T47">
            <v>74338396.965199992</v>
          </cell>
          <cell r="U47">
            <v>85861042.365199983</v>
          </cell>
          <cell r="V47">
            <v>99072699.965199977</v>
          </cell>
          <cell r="W47">
            <v>112585447.15359998</v>
          </cell>
          <cell r="X47">
            <v>126667783.35359998</v>
          </cell>
          <cell r="Y47">
            <v>143268096.75359997</v>
          </cell>
          <cell r="Z47">
            <v>13410325</v>
          </cell>
          <cell r="AA47">
            <v>26672001.800000001</v>
          </cell>
          <cell r="AB47">
            <v>39039649.200000003</v>
          </cell>
          <cell r="AC47">
            <v>52103946.200000003</v>
          </cell>
          <cell r="AD47">
            <v>64684830.600000001</v>
          </cell>
          <cell r="AE47">
            <v>76791217</v>
          </cell>
          <cell r="AF47">
            <v>88681588.200000003</v>
          </cell>
          <cell r="AG47">
            <v>102838785</v>
          </cell>
          <cell r="AH47">
            <v>118491755.99159999</v>
          </cell>
          <cell r="AI47">
            <v>135030809.79159999</v>
          </cell>
          <cell r="AJ47">
            <v>152303749.19159999</v>
          </cell>
          <cell r="AK47">
            <v>163145549.99160001</v>
          </cell>
          <cell r="AL47">
            <v>10565268.399999999</v>
          </cell>
          <cell r="AM47">
            <v>20987543.599999998</v>
          </cell>
          <cell r="AN47">
            <v>31671607.599999998</v>
          </cell>
          <cell r="AO47">
            <v>42496107</v>
          </cell>
          <cell r="AP47">
            <v>52739243.376800001</v>
          </cell>
          <cell r="AQ47">
            <v>64542075.176799998</v>
          </cell>
          <cell r="AR47">
            <v>77064994.376800001</v>
          </cell>
          <cell r="AS47">
            <v>89254262.776800007</v>
          </cell>
          <cell r="AT47">
            <v>101769114.1304</v>
          </cell>
          <cell r="AU47">
            <v>116640621.4144</v>
          </cell>
          <cell r="AV47">
            <v>133282532.2288</v>
          </cell>
          <cell r="AW47">
            <v>155342953.85479999</v>
          </cell>
          <cell r="AX47">
            <v>189948160.59959999</v>
          </cell>
          <cell r="AY47">
            <v>233513648.00519997</v>
          </cell>
          <cell r="AZ47">
            <v>274270468.05719995</v>
          </cell>
          <cell r="BA47">
            <v>295325268.25999993</v>
          </cell>
          <cell r="BB47">
            <v>295325268.25999993</v>
          </cell>
        </row>
        <row r="48">
          <cell r="A48" t="str">
            <v>ytd</v>
          </cell>
          <cell r="B48">
            <v>5821323.6884000003</v>
          </cell>
          <cell r="C48">
            <v>11642647.376800001</v>
          </cell>
          <cell r="D48">
            <v>18174624.741999999</v>
          </cell>
          <cell r="E48">
            <v>24908784.295599997</v>
          </cell>
          <cell r="F48">
            <v>31638077.672399998</v>
          </cell>
          <cell r="G48">
            <v>38796547.721599996</v>
          </cell>
          <cell r="H48">
            <v>45748334.782399997</v>
          </cell>
          <cell r="I48">
            <v>52398684.359200001</v>
          </cell>
          <cell r="J48">
            <v>58660474.512800001</v>
          </cell>
          <cell r="K48">
            <v>64714160.701200001</v>
          </cell>
          <cell r="L48">
            <v>72576501.489600003</v>
          </cell>
          <cell r="M48">
            <v>81292167.2896</v>
          </cell>
          <cell r="N48">
            <v>90343490.689599991</v>
          </cell>
          <cell r="O48">
            <v>99664108.077999994</v>
          </cell>
          <cell r="P48">
            <v>106794326.478</v>
          </cell>
          <cell r="Q48">
            <v>116665822.06639999</v>
          </cell>
          <cell r="R48">
            <v>128141992.06639999</v>
          </cell>
          <cell r="S48">
            <v>142819187.85479999</v>
          </cell>
          <cell r="T48">
            <v>155630564.25479999</v>
          </cell>
          <cell r="U48">
            <v>167153209.6548</v>
          </cell>
          <cell r="V48">
            <v>180364867.25479999</v>
          </cell>
          <cell r="W48">
            <v>193877614.44319999</v>
          </cell>
          <cell r="X48">
            <v>207959950.64319998</v>
          </cell>
          <cell r="Y48">
            <v>224560264.04319999</v>
          </cell>
          <cell r="Z48">
            <v>237970589.04319999</v>
          </cell>
          <cell r="AA48">
            <v>251232265.8432</v>
          </cell>
          <cell r="AB48">
            <v>263599913.2432</v>
          </cell>
          <cell r="AC48">
            <v>276664210.2432</v>
          </cell>
          <cell r="AD48">
            <v>289245094.64319998</v>
          </cell>
          <cell r="AE48">
            <v>301351481.04319996</v>
          </cell>
          <cell r="AF48">
            <v>313241852.24319994</v>
          </cell>
          <cell r="AG48">
            <v>327399049.04319996</v>
          </cell>
          <cell r="AH48">
            <v>343052020.03479993</v>
          </cell>
          <cell r="AI48">
            <v>359591073.83479995</v>
          </cell>
          <cell r="AJ48">
            <v>376864013.23479992</v>
          </cell>
          <cell r="AK48">
            <v>387705814.03479993</v>
          </cell>
          <cell r="AL48">
            <v>398271082.43479991</v>
          </cell>
          <cell r="AM48">
            <v>408693357.6347999</v>
          </cell>
          <cell r="AN48">
            <v>419377421.6347999</v>
          </cell>
          <cell r="AO48">
            <v>430201921.03479987</v>
          </cell>
          <cell r="AP48">
            <v>440445057.41159987</v>
          </cell>
          <cell r="AQ48">
            <v>452247889.21159989</v>
          </cell>
          <cell r="AR48">
            <v>464770808.41159987</v>
          </cell>
          <cell r="AS48">
            <v>476960076.81159985</v>
          </cell>
          <cell r="AT48">
            <v>489474928.16519988</v>
          </cell>
          <cell r="AU48">
            <v>504346435.44919986</v>
          </cell>
          <cell r="AV48">
            <v>520988346.26359987</v>
          </cell>
          <cell r="AW48">
            <v>543048767.88959992</v>
          </cell>
          <cell r="AX48">
            <v>577653974.63439989</v>
          </cell>
          <cell r="AY48">
            <v>621219462.03999984</v>
          </cell>
          <cell r="AZ48">
            <v>661976282.09199989</v>
          </cell>
          <cell r="BA48">
            <v>683031082.29479992</v>
          </cell>
          <cell r="BB48">
            <v>683031082.29479992</v>
          </cell>
        </row>
        <row r="49">
          <cell r="A49" t="str">
            <v>PRED</v>
          </cell>
          <cell r="B49">
            <v>583671</v>
          </cell>
          <cell r="C49">
            <v>605279</v>
          </cell>
          <cell r="D49">
            <v>610893</v>
          </cell>
          <cell r="E49">
            <v>649197</v>
          </cell>
          <cell r="F49">
            <v>873720</v>
          </cell>
          <cell r="G49">
            <v>852932</v>
          </cell>
          <cell r="H49">
            <v>848649</v>
          </cell>
          <cell r="I49">
            <v>832066</v>
          </cell>
          <cell r="J49">
            <v>147870</v>
          </cell>
          <cell r="K49">
            <v>143130</v>
          </cell>
          <cell r="L49">
            <v>140584</v>
          </cell>
          <cell r="M49">
            <v>145523</v>
          </cell>
          <cell r="N49">
            <v>163262</v>
          </cell>
          <cell r="O49">
            <v>162634</v>
          </cell>
          <cell r="P49">
            <v>156160</v>
          </cell>
          <cell r="Q49">
            <v>153026</v>
          </cell>
          <cell r="R49">
            <v>184866</v>
          </cell>
          <cell r="S49">
            <v>176330</v>
          </cell>
          <cell r="T49">
            <v>177337</v>
          </cell>
          <cell r="U49">
            <v>176733</v>
          </cell>
          <cell r="V49">
            <v>197838</v>
          </cell>
          <cell r="W49">
            <v>203967</v>
          </cell>
          <cell r="X49">
            <v>203066</v>
          </cell>
          <cell r="Y49">
            <v>205033</v>
          </cell>
          <cell r="Z49">
            <v>225998</v>
          </cell>
          <cell r="AA49">
            <v>224807</v>
          </cell>
          <cell r="AB49">
            <v>221631</v>
          </cell>
          <cell r="AC49">
            <v>225608</v>
          </cell>
          <cell r="AD49">
            <v>238993</v>
          </cell>
          <cell r="AE49">
            <v>244803</v>
          </cell>
          <cell r="AF49">
            <v>241929</v>
          </cell>
          <cell r="AG49">
            <v>238892</v>
          </cell>
          <cell r="AH49">
            <v>259086</v>
          </cell>
          <cell r="AI49">
            <v>261582</v>
          </cell>
          <cell r="AJ49">
            <v>260039</v>
          </cell>
          <cell r="AK49">
            <v>260401</v>
          </cell>
          <cell r="AL49">
            <v>277169</v>
          </cell>
          <cell r="AM49">
            <v>274173</v>
          </cell>
          <cell r="AN49">
            <v>284019</v>
          </cell>
          <cell r="AO49">
            <v>275712</v>
          </cell>
          <cell r="AP49">
            <v>300517</v>
          </cell>
          <cell r="AQ49">
            <v>294894</v>
          </cell>
          <cell r="AR49">
            <v>300395</v>
          </cell>
          <cell r="AS49">
            <v>298975</v>
          </cell>
          <cell r="AT49">
            <v>318171</v>
          </cell>
          <cell r="AU49">
            <v>311896</v>
          </cell>
          <cell r="AV49">
            <v>326424</v>
          </cell>
          <cell r="AW49">
            <v>328883</v>
          </cell>
          <cell r="AX49">
            <v>367096</v>
          </cell>
          <cell r="AY49">
            <v>362882</v>
          </cell>
          <cell r="AZ49">
            <v>377705</v>
          </cell>
          <cell r="BA49">
            <v>345376</v>
          </cell>
          <cell r="BB49">
            <v>0</v>
          </cell>
        </row>
        <row r="50">
          <cell r="A50" t="str">
            <v>ptd</v>
          </cell>
          <cell r="B50">
            <v>583671</v>
          </cell>
          <cell r="C50">
            <v>1188950</v>
          </cell>
          <cell r="D50">
            <v>1799843</v>
          </cell>
          <cell r="E50">
            <v>2449040</v>
          </cell>
          <cell r="F50">
            <v>873720</v>
          </cell>
          <cell r="G50">
            <v>1726652</v>
          </cell>
          <cell r="H50">
            <v>2575301</v>
          </cell>
          <cell r="I50">
            <v>3407367</v>
          </cell>
          <cell r="J50">
            <v>147870</v>
          </cell>
          <cell r="K50">
            <v>291000</v>
          </cell>
          <cell r="L50">
            <v>431584</v>
          </cell>
          <cell r="M50">
            <v>577107</v>
          </cell>
          <cell r="N50">
            <v>163262</v>
          </cell>
          <cell r="O50">
            <v>325896</v>
          </cell>
          <cell r="P50">
            <v>482056</v>
          </cell>
          <cell r="Q50">
            <v>635082</v>
          </cell>
          <cell r="R50">
            <v>184866</v>
          </cell>
          <cell r="S50">
            <v>361196</v>
          </cell>
          <cell r="T50">
            <v>538533</v>
          </cell>
          <cell r="U50">
            <v>715266</v>
          </cell>
          <cell r="V50">
            <v>197838</v>
          </cell>
          <cell r="W50">
            <v>401805</v>
          </cell>
          <cell r="X50">
            <v>604871</v>
          </cell>
          <cell r="Y50">
            <v>809904</v>
          </cell>
          <cell r="Z50">
            <v>225998</v>
          </cell>
          <cell r="AA50">
            <v>450805</v>
          </cell>
          <cell r="AB50">
            <v>672436</v>
          </cell>
          <cell r="AC50">
            <v>898044</v>
          </cell>
          <cell r="AD50">
            <v>238993</v>
          </cell>
          <cell r="AE50">
            <v>483796</v>
          </cell>
          <cell r="AF50">
            <v>725725</v>
          </cell>
          <cell r="AG50">
            <v>964617</v>
          </cell>
          <cell r="AH50">
            <v>259086</v>
          </cell>
          <cell r="AI50">
            <v>520668</v>
          </cell>
          <cell r="AJ50">
            <v>780707</v>
          </cell>
          <cell r="AK50">
            <v>1041108</v>
          </cell>
          <cell r="AL50">
            <v>277169</v>
          </cell>
          <cell r="AM50">
            <v>551342</v>
          </cell>
          <cell r="AN50">
            <v>835361</v>
          </cell>
          <cell r="AO50">
            <v>1111073</v>
          </cell>
          <cell r="AP50">
            <v>300517</v>
          </cell>
          <cell r="AQ50">
            <v>595411</v>
          </cell>
          <cell r="AR50">
            <v>895806</v>
          </cell>
          <cell r="AS50">
            <v>1194781</v>
          </cell>
          <cell r="AT50">
            <v>318171</v>
          </cell>
          <cell r="AU50">
            <v>630067</v>
          </cell>
          <cell r="AV50">
            <v>956491</v>
          </cell>
          <cell r="AW50">
            <v>1285374</v>
          </cell>
          <cell r="AX50">
            <v>367096</v>
          </cell>
          <cell r="AY50">
            <v>729978</v>
          </cell>
          <cell r="AZ50">
            <v>1107683</v>
          </cell>
          <cell r="BA50">
            <v>1453059</v>
          </cell>
          <cell r="BB50">
            <v>1453059</v>
          </cell>
        </row>
        <row r="51">
          <cell r="A51" t="str">
            <v>qtd</v>
          </cell>
          <cell r="B51">
            <v>583671</v>
          </cell>
          <cell r="C51">
            <v>1188950</v>
          </cell>
          <cell r="D51">
            <v>1799843</v>
          </cell>
          <cell r="E51">
            <v>2449040</v>
          </cell>
          <cell r="F51">
            <v>3322760</v>
          </cell>
          <cell r="G51">
            <v>4175692</v>
          </cell>
          <cell r="H51">
            <v>5024341</v>
          </cell>
          <cell r="I51">
            <v>5856407</v>
          </cell>
          <cell r="J51">
            <v>6004277</v>
          </cell>
          <cell r="K51">
            <v>6147407</v>
          </cell>
          <cell r="L51">
            <v>6287991</v>
          </cell>
          <cell r="M51">
            <v>6433514</v>
          </cell>
          <cell r="N51">
            <v>163262</v>
          </cell>
          <cell r="O51">
            <v>325896</v>
          </cell>
          <cell r="P51">
            <v>482056</v>
          </cell>
          <cell r="Q51">
            <v>635082</v>
          </cell>
          <cell r="R51">
            <v>819948</v>
          </cell>
          <cell r="S51">
            <v>996278</v>
          </cell>
          <cell r="T51">
            <v>1173615</v>
          </cell>
          <cell r="U51">
            <v>1350348</v>
          </cell>
          <cell r="V51">
            <v>1548186</v>
          </cell>
          <cell r="W51">
            <v>1752153</v>
          </cell>
          <cell r="X51">
            <v>1955219</v>
          </cell>
          <cell r="Y51">
            <v>2160252</v>
          </cell>
          <cell r="Z51">
            <v>225998</v>
          </cell>
          <cell r="AA51">
            <v>450805</v>
          </cell>
          <cell r="AB51">
            <v>672436</v>
          </cell>
          <cell r="AC51">
            <v>898044</v>
          </cell>
          <cell r="AD51">
            <v>1137037</v>
          </cell>
          <cell r="AE51">
            <v>1381840</v>
          </cell>
          <cell r="AF51">
            <v>1623769</v>
          </cell>
          <cell r="AG51">
            <v>1862661</v>
          </cell>
          <cell r="AH51">
            <v>2121747</v>
          </cell>
          <cell r="AI51">
            <v>2383329</v>
          </cell>
          <cell r="AJ51">
            <v>2643368</v>
          </cell>
          <cell r="AK51">
            <v>2903769</v>
          </cell>
          <cell r="AL51">
            <v>277169</v>
          </cell>
          <cell r="AM51">
            <v>551342</v>
          </cell>
          <cell r="AN51">
            <v>835361</v>
          </cell>
          <cell r="AO51">
            <v>1111073</v>
          </cell>
          <cell r="AP51">
            <v>1411590</v>
          </cell>
          <cell r="AQ51">
            <v>1706484</v>
          </cell>
          <cell r="AR51">
            <v>2006879</v>
          </cell>
          <cell r="AS51">
            <v>2305854</v>
          </cell>
          <cell r="AT51">
            <v>2624025</v>
          </cell>
          <cell r="AU51">
            <v>2935921</v>
          </cell>
          <cell r="AV51">
            <v>3262345</v>
          </cell>
          <cell r="AW51">
            <v>3591228</v>
          </cell>
          <cell r="AX51">
            <v>3958324</v>
          </cell>
          <cell r="AY51">
            <v>4321206</v>
          </cell>
          <cell r="AZ51">
            <v>4698911</v>
          </cell>
          <cell r="BA51">
            <v>5044287</v>
          </cell>
          <cell r="BB51">
            <v>5044287</v>
          </cell>
        </row>
        <row r="52">
          <cell r="A52" t="str">
            <v>ytd</v>
          </cell>
          <cell r="B52">
            <v>583671</v>
          </cell>
          <cell r="C52">
            <v>1188950</v>
          </cell>
          <cell r="D52">
            <v>1799843</v>
          </cell>
          <cell r="E52">
            <v>2449040</v>
          </cell>
          <cell r="F52">
            <v>3322760</v>
          </cell>
          <cell r="G52">
            <v>4175692</v>
          </cell>
          <cell r="H52">
            <v>5024341</v>
          </cell>
          <cell r="I52">
            <v>5856407</v>
          </cell>
          <cell r="J52">
            <v>6004277</v>
          </cell>
          <cell r="K52">
            <v>6147407</v>
          </cell>
          <cell r="L52">
            <v>6287991</v>
          </cell>
          <cell r="M52">
            <v>6433514</v>
          </cell>
          <cell r="N52">
            <v>6596776</v>
          </cell>
          <cell r="O52">
            <v>6759410</v>
          </cell>
          <cell r="P52">
            <v>6915570</v>
          </cell>
          <cell r="Q52">
            <v>7068596</v>
          </cell>
          <cell r="R52">
            <v>7253462</v>
          </cell>
          <cell r="S52">
            <v>7429792</v>
          </cell>
          <cell r="T52">
            <v>7607129</v>
          </cell>
          <cell r="U52">
            <v>7783862</v>
          </cell>
          <cell r="V52">
            <v>7981700</v>
          </cell>
          <cell r="W52">
            <v>8185667</v>
          </cell>
          <cell r="X52">
            <v>8388733</v>
          </cell>
          <cell r="Y52">
            <v>8593766</v>
          </cell>
          <cell r="Z52">
            <v>8819764</v>
          </cell>
          <cell r="AA52">
            <v>9044571</v>
          </cell>
          <cell r="AB52">
            <v>9266202</v>
          </cell>
          <cell r="AC52">
            <v>9491810</v>
          </cell>
          <cell r="AD52">
            <v>9730803</v>
          </cell>
          <cell r="AE52">
            <v>9975606</v>
          </cell>
          <cell r="AF52">
            <v>10217535</v>
          </cell>
          <cell r="AG52">
            <v>10456427</v>
          </cell>
          <cell r="AH52">
            <v>10715513</v>
          </cell>
          <cell r="AI52">
            <v>10977095</v>
          </cell>
          <cell r="AJ52">
            <v>11237134</v>
          </cell>
          <cell r="AK52">
            <v>11497535</v>
          </cell>
          <cell r="AL52">
            <v>11774704</v>
          </cell>
          <cell r="AM52">
            <v>12048877</v>
          </cell>
          <cell r="AN52">
            <v>12332896</v>
          </cell>
          <cell r="AO52">
            <v>12608608</v>
          </cell>
          <cell r="AP52">
            <v>12909125</v>
          </cell>
          <cell r="AQ52">
            <v>13204019</v>
          </cell>
          <cell r="AR52">
            <v>13504414</v>
          </cell>
          <cell r="AS52">
            <v>13803389</v>
          </cell>
          <cell r="AT52">
            <v>14121560</v>
          </cell>
          <cell r="AU52">
            <v>14433456</v>
          </cell>
          <cell r="AV52">
            <v>14759880</v>
          </cell>
          <cell r="AW52">
            <v>15088763</v>
          </cell>
          <cell r="AX52">
            <v>15455859</v>
          </cell>
          <cell r="AY52">
            <v>15818741</v>
          </cell>
          <cell r="AZ52">
            <v>16196446</v>
          </cell>
          <cell r="BA52">
            <v>16541822</v>
          </cell>
          <cell r="BB52">
            <v>16541822</v>
          </cell>
        </row>
        <row r="53">
          <cell r="A53" t="str">
            <v>PREG</v>
          </cell>
          <cell r="B53">
            <v>408373</v>
          </cell>
          <cell r="C53">
            <v>434010</v>
          </cell>
          <cell r="D53">
            <v>380728</v>
          </cell>
          <cell r="E53">
            <v>414607</v>
          </cell>
          <cell r="F53">
            <v>399825</v>
          </cell>
          <cell r="G53">
            <v>456062</v>
          </cell>
          <cell r="H53">
            <v>388050</v>
          </cell>
          <cell r="I53">
            <v>424272</v>
          </cell>
          <cell r="J53">
            <v>387466</v>
          </cell>
          <cell r="K53">
            <v>476329</v>
          </cell>
          <cell r="L53">
            <v>427390</v>
          </cell>
          <cell r="M53">
            <v>372901</v>
          </cell>
          <cell r="N53">
            <v>442647</v>
          </cell>
          <cell r="O53">
            <v>614583</v>
          </cell>
          <cell r="P53">
            <v>451342</v>
          </cell>
          <cell r="Q53">
            <v>534203</v>
          </cell>
          <cell r="R53">
            <v>534048</v>
          </cell>
          <cell r="S53">
            <v>724454</v>
          </cell>
          <cell r="T53">
            <v>649716</v>
          </cell>
          <cell r="U53">
            <v>611610</v>
          </cell>
          <cell r="V53">
            <v>651739</v>
          </cell>
          <cell r="W53">
            <v>769453</v>
          </cell>
          <cell r="X53">
            <v>800248</v>
          </cell>
          <cell r="Y53">
            <v>626843</v>
          </cell>
          <cell r="Z53">
            <v>527649</v>
          </cell>
          <cell r="AA53">
            <v>509883</v>
          </cell>
          <cell r="AB53">
            <v>508748</v>
          </cell>
          <cell r="AC53">
            <v>500367</v>
          </cell>
          <cell r="AD53">
            <v>492161</v>
          </cell>
          <cell r="AE53">
            <v>499451</v>
          </cell>
          <cell r="AF53">
            <v>502288</v>
          </cell>
          <cell r="AG53">
            <v>502113</v>
          </cell>
          <cell r="AH53">
            <v>541224</v>
          </cell>
          <cell r="AI53">
            <v>514466</v>
          </cell>
          <cell r="AJ53">
            <v>440348</v>
          </cell>
          <cell r="AK53">
            <v>495042</v>
          </cell>
          <cell r="AL53">
            <v>441744</v>
          </cell>
          <cell r="AM53">
            <v>449252</v>
          </cell>
          <cell r="AN53">
            <v>431748</v>
          </cell>
          <cell r="AO53">
            <v>451129</v>
          </cell>
          <cell r="AP53">
            <v>456367</v>
          </cell>
          <cell r="AQ53">
            <v>469768</v>
          </cell>
          <cell r="AR53">
            <v>430177</v>
          </cell>
          <cell r="AS53">
            <v>423848</v>
          </cell>
          <cell r="AT53">
            <v>456324</v>
          </cell>
          <cell r="AU53">
            <v>580379</v>
          </cell>
          <cell r="AV53">
            <v>668815</v>
          </cell>
          <cell r="AW53">
            <v>1037925</v>
          </cell>
          <cell r="AX53">
            <v>1780728</v>
          </cell>
          <cell r="AY53">
            <v>3447091</v>
          </cell>
          <cell r="AZ53">
            <v>3423232</v>
          </cell>
          <cell r="BA53">
            <v>573857</v>
          </cell>
          <cell r="BB53">
            <v>0</v>
          </cell>
        </row>
        <row r="54">
          <cell r="A54" t="str">
            <v>ptd</v>
          </cell>
          <cell r="B54">
            <v>408373</v>
          </cell>
          <cell r="C54">
            <v>842383</v>
          </cell>
          <cell r="D54">
            <v>1223111</v>
          </cell>
          <cell r="E54">
            <v>1637718</v>
          </cell>
          <cell r="F54">
            <v>399825</v>
          </cell>
          <cell r="G54">
            <v>855887</v>
          </cell>
          <cell r="H54">
            <v>1243937</v>
          </cell>
          <cell r="I54">
            <v>1668209</v>
          </cell>
          <cell r="J54">
            <v>387466</v>
          </cell>
          <cell r="K54">
            <v>863795</v>
          </cell>
          <cell r="L54">
            <v>1291185</v>
          </cell>
          <cell r="M54">
            <v>1664086</v>
          </cell>
          <cell r="N54">
            <v>442647</v>
          </cell>
          <cell r="O54">
            <v>1057230</v>
          </cell>
          <cell r="P54">
            <v>1508572</v>
          </cell>
          <cell r="Q54">
            <v>2042775</v>
          </cell>
          <cell r="R54">
            <v>534048</v>
          </cell>
          <cell r="S54">
            <v>1258502</v>
          </cell>
          <cell r="T54">
            <v>1908218</v>
          </cell>
          <cell r="U54">
            <v>2519828</v>
          </cell>
          <cell r="V54">
            <v>651739</v>
          </cell>
          <cell r="W54">
            <v>1421192</v>
          </cell>
          <cell r="X54">
            <v>2221440</v>
          </cell>
          <cell r="Y54">
            <v>2848283</v>
          </cell>
          <cell r="Z54">
            <v>527649</v>
          </cell>
          <cell r="AA54">
            <v>1037532</v>
          </cell>
          <cell r="AB54">
            <v>1546280</v>
          </cell>
          <cell r="AC54">
            <v>2046647</v>
          </cell>
          <cell r="AD54">
            <v>492161</v>
          </cell>
          <cell r="AE54">
            <v>991612</v>
          </cell>
          <cell r="AF54">
            <v>1493900</v>
          </cell>
          <cell r="AG54">
            <v>1996013</v>
          </cell>
          <cell r="AH54">
            <v>541224</v>
          </cell>
          <cell r="AI54">
            <v>1055690</v>
          </cell>
          <cell r="AJ54">
            <v>1496038</v>
          </cell>
          <cell r="AK54">
            <v>1991080</v>
          </cell>
          <cell r="AL54">
            <v>441744</v>
          </cell>
          <cell r="AM54">
            <v>890996</v>
          </cell>
          <cell r="AN54">
            <v>1322744</v>
          </cell>
          <cell r="AO54">
            <v>1773873</v>
          </cell>
          <cell r="AP54">
            <v>456367</v>
          </cell>
          <cell r="AQ54">
            <v>926135</v>
          </cell>
          <cell r="AR54">
            <v>1356312</v>
          </cell>
          <cell r="AS54">
            <v>1780160</v>
          </cell>
          <cell r="AT54">
            <v>456324</v>
          </cell>
          <cell r="AU54">
            <v>1036703</v>
          </cell>
          <cell r="AV54">
            <v>1705518</v>
          </cell>
          <cell r="AW54">
            <v>2743443</v>
          </cell>
          <cell r="AX54">
            <v>1780728</v>
          </cell>
          <cell r="AY54">
            <v>5227819</v>
          </cell>
          <cell r="AZ54">
            <v>8651051</v>
          </cell>
          <cell r="BA54">
            <v>9224908</v>
          </cell>
          <cell r="BB54">
            <v>9224908</v>
          </cell>
        </row>
        <row r="55">
          <cell r="A55" t="str">
            <v>qtd</v>
          </cell>
          <cell r="B55">
            <v>408373</v>
          </cell>
          <cell r="C55">
            <v>842383</v>
          </cell>
          <cell r="D55">
            <v>1223111</v>
          </cell>
          <cell r="E55">
            <v>1637718</v>
          </cell>
          <cell r="F55">
            <v>2037543</v>
          </cell>
          <cell r="G55">
            <v>2493605</v>
          </cell>
          <cell r="H55">
            <v>2881655</v>
          </cell>
          <cell r="I55">
            <v>3305927</v>
          </cell>
          <cell r="J55">
            <v>3693393</v>
          </cell>
          <cell r="K55">
            <v>4169722</v>
          </cell>
          <cell r="L55">
            <v>4597112</v>
          </cell>
          <cell r="M55">
            <v>4970013</v>
          </cell>
          <cell r="N55">
            <v>442647</v>
          </cell>
          <cell r="O55">
            <v>1057230</v>
          </cell>
          <cell r="P55">
            <v>1508572</v>
          </cell>
          <cell r="Q55">
            <v>2042775</v>
          </cell>
          <cell r="R55">
            <v>2576823</v>
          </cell>
          <cell r="S55">
            <v>3301277</v>
          </cell>
          <cell r="T55">
            <v>3950993</v>
          </cell>
          <cell r="U55">
            <v>4562603</v>
          </cell>
          <cell r="V55">
            <v>5214342</v>
          </cell>
          <cell r="W55">
            <v>5983795</v>
          </cell>
          <cell r="X55">
            <v>6784043</v>
          </cell>
          <cell r="Y55">
            <v>7410886</v>
          </cell>
          <cell r="Z55">
            <v>527649</v>
          </cell>
          <cell r="AA55">
            <v>1037532</v>
          </cell>
          <cell r="AB55">
            <v>1546280</v>
          </cell>
          <cell r="AC55">
            <v>2046647</v>
          </cell>
          <cell r="AD55">
            <v>2538808</v>
          </cell>
          <cell r="AE55">
            <v>3038259</v>
          </cell>
          <cell r="AF55">
            <v>3540547</v>
          </cell>
          <cell r="AG55">
            <v>4042660</v>
          </cell>
          <cell r="AH55">
            <v>4583884</v>
          </cell>
          <cell r="AI55">
            <v>5098350</v>
          </cell>
          <cell r="AJ55">
            <v>5538698</v>
          </cell>
          <cell r="AK55">
            <v>6033740</v>
          </cell>
          <cell r="AL55">
            <v>441744</v>
          </cell>
          <cell r="AM55">
            <v>890996</v>
          </cell>
          <cell r="AN55">
            <v>1322744</v>
          </cell>
          <cell r="AO55">
            <v>1773873</v>
          </cell>
          <cell r="AP55">
            <v>2230240</v>
          </cell>
          <cell r="AQ55">
            <v>2700008</v>
          </cell>
          <cell r="AR55">
            <v>3130185</v>
          </cell>
          <cell r="AS55">
            <v>3554033</v>
          </cell>
          <cell r="AT55">
            <v>4010357</v>
          </cell>
          <cell r="AU55">
            <v>4590736</v>
          </cell>
          <cell r="AV55">
            <v>5259551</v>
          </cell>
          <cell r="AW55">
            <v>6297476</v>
          </cell>
          <cell r="AX55">
            <v>8078204</v>
          </cell>
          <cell r="AY55">
            <v>11525295</v>
          </cell>
          <cell r="AZ55">
            <v>14948527</v>
          </cell>
          <cell r="BA55">
            <v>15522384</v>
          </cell>
          <cell r="BB55">
            <v>15522384</v>
          </cell>
        </row>
        <row r="56">
          <cell r="A56" t="str">
            <v>ytd</v>
          </cell>
          <cell r="B56">
            <v>408373</v>
          </cell>
          <cell r="C56">
            <v>842383</v>
          </cell>
          <cell r="D56">
            <v>1223111</v>
          </cell>
          <cell r="E56">
            <v>1637718</v>
          </cell>
          <cell r="F56">
            <v>2037543</v>
          </cell>
          <cell r="G56">
            <v>2493605</v>
          </cell>
          <cell r="H56">
            <v>2881655</v>
          </cell>
          <cell r="I56">
            <v>3305927</v>
          </cell>
          <cell r="J56">
            <v>3693393</v>
          </cell>
          <cell r="K56">
            <v>4169722</v>
          </cell>
          <cell r="L56">
            <v>4597112</v>
          </cell>
          <cell r="M56">
            <v>4970013</v>
          </cell>
          <cell r="N56">
            <v>5412660</v>
          </cell>
          <cell r="O56">
            <v>6027243</v>
          </cell>
          <cell r="P56">
            <v>6478585</v>
          </cell>
          <cell r="Q56">
            <v>7012788</v>
          </cell>
          <cell r="R56">
            <v>7546836</v>
          </cell>
          <cell r="S56">
            <v>8271290</v>
          </cell>
          <cell r="T56">
            <v>8921006</v>
          </cell>
          <cell r="U56">
            <v>9532616</v>
          </cell>
          <cell r="V56">
            <v>10184355</v>
          </cell>
          <cell r="W56">
            <v>10953808</v>
          </cell>
          <cell r="X56">
            <v>11754056</v>
          </cell>
          <cell r="Y56">
            <v>12380899</v>
          </cell>
          <cell r="Z56">
            <v>12908548</v>
          </cell>
          <cell r="AA56">
            <v>13418431</v>
          </cell>
          <cell r="AB56">
            <v>13927179</v>
          </cell>
          <cell r="AC56">
            <v>14427546</v>
          </cell>
          <cell r="AD56">
            <v>14919707</v>
          </cell>
          <cell r="AE56">
            <v>15419158</v>
          </cell>
          <cell r="AF56">
            <v>15921446</v>
          </cell>
          <cell r="AG56">
            <v>16423559</v>
          </cell>
          <cell r="AH56">
            <v>16964783</v>
          </cell>
          <cell r="AI56">
            <v>17479249</v>
          </cell>
          <cell r="AJ56">
            <v>17919597</v>
          </cell>
          <cell r="AK56">
            <v>18414639</v>
          </cell>
          <cell r="AL56">
            <v>18856383</v>
          </cell>
          <cell r="AM56">
            <v>19305635</v>
          </cell>
          <cell r="AN56">
            <v>19737383</v>
          </cell>
          <cell r="AO56">
            <v>20188512</v>
          </cell>
          <cell r="AP56">
            <v>20644879</v>
          </cell>
          <cell r="AQ56">
            <v>21114647</v>
          </cell>
          <cell r="AR56">
            <v>21544824</v>
          </cell>
          <cell r="AS56">
            <v>21968672</v>
          </cell>
          <cell r="AT56">
            <v>22424996</v>
          </cell>
          <cell r="AU56">
            <v>23005375</v>
          </cell>
          <cell r="AV56">
            <v>23674190</v>
          </cell>
          <cell r="AW56">
            <v>24712115</v>
          </cell>
          <cell r="AX56">
            <v>26492843</v>
          </cell>
          <cell r="AY56">
            <v>29939934</v>
          </cell>
          <cell r="AZ56">
            <v>33363166</v>
          </cell>
          <cell r="BA56">
            <v>33937023</v>
          </cell>
          <cell r="BB56">
            <v>33937023</v>
          </cell>
        </row>
        <row r="57">
          <cell r="A57" t="str">
            <v>SPRT</v>
          </cell>
          <cell r="B57">
            <v>43110</v>
          </cell>
          <cell r="C57">
            <v>43110</v>
          </cell>
          <cell r="D57">
            <v>34772</v>
          </cell>
          <cell r="E57">
            <v>40120</v>
          </cell>
          <cell r="F57">
            <v>43023</v>
          </cell>
          <cell r="G57">
            <v>55328</v>
          </cell>
          <cell r="H57">
            <v>60589</v>
          </cell>
          <cell r="I57">
            <v>47134</v>
          </cell>
          <cell r="J57">
            <v>46970</v>
          </cell>
          <cell r="K57">
            <v>46395</v>
          </cell>
          <cell r="L57">
            <v>56773</v>
          </cell>
          <cell r="M57">
            <v>70947</v>
          </cell>
          <cell r="N57">
            <v>56925</v>
          </cell>
          <cell r="O57">
            <v>69173</v>
          </cell>
          <cell r="P57">
            <v>55804</v>
          </cell>
          <cell r="Q57">
            <v>56781</v>
          </cell>
          <cell r="R57">
            <v>64137</v>
          </cell>
          <cell r="S57">
            <v>99471</v>
          </cell>
          <cell r="T57">
            <v>76183</v>
          </cell>
          <cell r="U57">
            <v>69053</v>
          </cell>
          <cell r="V57">
            <v>72618</v>
          </cell>
          <cell r="W57">
            <v>77017</v>
          </cell>
          <cell r="X57">
            <v>100304</v>
          </cell>
          <cell r="Y57">
            <v>125748</v>
          </cell>
          <cell r="Z57">
            <v>82508</v>
          </cell>
          <cell r="AA57">
            <v>64194</v>
          </cell>
          <cell r="AB57">
            <v>69772</v>
          </cell>
          <cell r="AC57">
            <v>60773</v>
          </cell>
          <cell r="AD57">
            <v>56029</v>
          </cell>
          <cell r="AE57">
            <v>70922</v>
          </cell>
          <cell r="AF57">
            <v>65373</v>
          </cell>
          <cell r="AG57">
            <v>84089</v>
          </cell>
          <cell r="AH57">
            <v>84521</v>
          </cell>
          <cell r="AI57">
            <v>72647</v>
          </cell>
          <cell r="AJ57">
            <v>82652</v>
          </cell>
          <cell r="AK57">
            <v>46628</v>
          </cell>
          <cell r="AL57">
            <v>66835</v>
          </cell>
          <cell r="AM57">
            <v>58440</v>
          </cell>
          <cell r="AN57">
            <v>40615</v>
          </cell>
          <cell r="AO57">
            <v>42311</v>
          </cell>
          <cell r="AP57">
            <v>43749</v>
          </cell>
          <cell r="AQ57">
            <v>46768</v>
          </cell>
          <cell r="AR57">
            <v>46221</v>
          </cell>
          <cell r="AS57">
            <v>45100</v>
          </cell>
          <cell r="AT57">
            <v>44123</v>
          </cell>
          <cell r="AU57">
            <v>69308</v>
          </cell>
          <cell r="AV57">
            <v>81124</v>
          </cell>
          <cell r="AW57">
            <v>170421</v>
          </cell>
          <cell r="AX57">
            <v>240954</v>
          </cell>
          <cell r="AY57">
            <v>391460</v>
          </cell>
          <cell r="AZ57">
            <v>431365</v>
          </cell>
          <cell r="BA57">
            <v>101746</v>
          </cell>
          <cell r="BB57">
            <v>0</v>
          </cell>
        </row>
        <row r="58">
          <cell r="A58" t="str">
            <v>ptd</v>
          </cell>
          <cell r="B58">
            <v>43110</v>
          </cell>
          <cell r="C58">
            <v>86220</v>
          </cell>
          <cell r="D58">
            <v>120992</v>
          </cell>
          <cell r="E58">
            <v>161112</v>
          </cell>
          <cell r="F58">
            <v>43023</v>
          </cell>
          <cell r="G58">
            <v>98351</v>
          </cell>
          <cell r="H58">
            <v>158940</v>
          </cell>
          <cell r="I58">
            <v>206074</v>
          </cell>
          <cell r="J58">
            <v>46970</v>
          </cell>
          <cell r="K58">
            <v>93365</v>
          </cell>
          <cell r="L58">
            <v>150138</v>
          </cell>
          <cell r="M58">
            <v>221085</v>
          </cell>
          <cell r="N58">
            <v>56925</v>
          </cell>
          <cell r="O58">
            <v>126098</v>
          </cell>
          <cell r="P58">
            <v>181902</v>
          </cell>
          <cell r="Q58">
            <v>238683</v>
          </cell>
          <cell r="R58">
            <v>64137</v>
          </cell>
          <cell r="S58">
            <v>163608</v>
          </cell>
          <cell r="T58">
            <v>239791</v>
          </cell>
          <cell r="U58">
            <v>308844</v>
          </cell>
          <cell r="V58">
            <v>72618</v>
          </cell>
          <cell r="W58">
            <v>149635</v>
          </cell>
          <cell r="X58">
            <v>249939</v>
          </cell>
          <cell r="Y58">
            <v>375687</v>
          </cell>
          <cell r="Z58">
            <v>82508</v>
          </cell>
          <cell r="AA58">
            <v>146702</v>
          </cell>
          <cell r="AB58">
            <v>216474</v>
          </cell>
          <cell r="AC58">
            <v>277247</v>
          </cell>
          <cell r="AD58">
            <v>56029</v>
          </cell>
          <cell r="AE58">
            <v>126951</v>
          </cell>
          <cell r="AF58">
            <v>192324</v>
          </cell>
          <cell r="AG58">
            <v>276413</v>
          </cell>
          <cell r="AH58">
            <v>84521</v>
          </cell>
          <cell r="AI58">
            <v>157168</v>
          </cell>
          <cell r="AJ58">
            <v>239820</v>
          </cell>
          <cell r="AK58">
            <v>286448</v>
          </cell>
          <cell r="AL58">
            <v>66835</v>
          </cell>
          <cell r="AM58">
            <v>125275</v>
          </cell>
          <cell r="AN58">
            <v>165890</v>
          </cell>
          <cell r="AO58">
            <v>208201</v>
          </cell>
          <cell r="AP58">
            <v>43749</v>
          </cell>
          <cell r="AQ58">
            <v>90517</v>
          </cell>
          <cell r="AR58">
            <v>136738</v>
          </cell>
          <cell r="AS58">
            <v>181838</v>
          </cell>
          <cell r="AT58">
            <v>44123</v>
          </cell>
          <cell r="AU58">
            <v>113431</v>
          </cell>
          <cell r="AV58">
            <v>194555</v>
          </cell>
          <cell r="AW58">
            <v>364976</v>
          </cell>
          <cell r="AX58">
            <v>240954</v>
          </cell>
          <cell r="AY58">
            <v>632414</v>
          </cell>
          <cell r="AZ58">
            <v>1063779</v>
          </cell>
          <cell r="BA58">
            <v>1165525</v>
          </cell>
          <cell r="BB58">
            <v>1165525</v>
          </cell>
        </row>
        <row r="59">
          <cell r="A59" t="str">
            <v>qtd</v>
          </cell>
          <cell r="B59">
            <v>43110</v>
          </cell>
          <cell r="C59">
            <v>86220</v>
          </cell>
          <cell r="D59">
            <v>120992</v>
          </cell>
          <cell r="E59">
            <v>161112</v>
          </cell>
          <cell r="F59">
            <v>204135</v>
          </cell>
          <cell r="G59">
            <v>259463</v>
          </cell>
          <cell r="H59">
            <v>320052</v>
          </cell>
          <cell r="I59">
            <v>367186</v>
          </cell>
          <cell r="J59">
            <v>414156</v>
          </cell>
          <cell r="K59">
            <v>460551</v>
          </cell>
          <cell r="L59">
            <v>517324</v>
          </cell>
          <cell r="M59">
            <v>588271</v>
          </cell>
          <cell r="N59">
            <v>56925</v>
          </cell>
          <cell r="O59">
            <v>126098</v>
          </cell>
          <cell r="P59">
            <v>181902</v>
          </cell>
          <cell r="Q59">
            <v>238683</v>
          </cell>
          <cell r="R59">
            <v>302820</v>
          </cell>
          <cell r="S59">
            <v>402291</v>
          </cell>
          <cell r="T59">
            <v>478474</v>
          </cell>
          <cell r="U59">
            <v>547527</v>
          </cell>
          <cell r="V59">
            <v>620145</v>
          </cell>
          <cell r="W59">
            <v>697162</v>
          </cell>
          <cell r="X59">
            <v>797466</v>
          </cell>
          <cell r="Y59">
            <v>923214</v>
          </cell>
          <cell r="Z59">
            <v>82508</v>
          </cell>
          <cell r="AA59">
            <v>146702</v>
          </cell>
          <cell r="AB59">
            <v>216474</v>
          </cell>
          <cell r="AC59">
            <v>277247</v>
          </cell>
          <cell r="AD59">
            <v>333276</v>
          </cell>
          <cell r="AE59">
            <v>404198</v>
          </cell>
          <cell r="AF59">
            <v>469571</v>
          </cell>
          <cell r="AG59">
            <v>553660</v>
          </cell>
          <cell r="AH59">
            <v>638181</v>
          </cell>
          <cell r="AI59">
            <v>710828</v>
          </cell>
          <cell r="AJ59">
            <v>793480</v>
          </cell>
          <cell r="AK59">
            <v>840108</v>
          </cell>
          <cell r="AL59">
            <v>66835</v>
          </cell>
          <cell r="AM59">
            <v>125275</v>
          </cell>
          <cell r="AN59">
            <v>165890</v>
          </cell>
          <cell r="AO59">
            <v>208201</v>
          </cell>
          <cell r="AP59">
            <v>251950</v>
          </cell>
          <cell r="AQ59">
            <v>298718</v>
          </cell>
          <cell r="AR59">
            <v>344939</v>
          </cell>
          <cell r="AS59">
            <v>390039</v>
          </cell>
          <cell r="AT59">
            <v>434162</v>
          </cell>
          <cell r="AU59">
            <v>503470</v>
          </cell>
          <cell r="AV59">
            <v>584594</v>
          </cell>
          <cell r="AW59">
            <v>755015</v>
          </cell>
          <cell r="AX59">
            <v>995969</v>
          </cell>
          <cell r="AY59">
            <v>1387429</v>
          </cell>
          <cell r="AZ59">
            <v>1818794</v>
          </cell>
          <cell r="BA59">
            <v>1920540</v>
          </cell>
          <cell r="BB59">
            <v>1920540</v>
          </cell>
        </row>
        <row r="60">
          <cell r="A60" t="str">
            <v>ytd</v>
          </cell>
          <cell r="B60">
            <v>43110</v>
          </cell>
          <cell r="C60">
            <v>86220</v>
          </cell>
          <cell r="D60">
            <v>120992</v>
          </cell>
          <cell r="E60">
            <v>161112</v>
          </cell>
          <cell r="F60">
            <v>204135</v>
          </cell>
          <cell r="G60">
            <v>259463</v>
          </cell>
          <cell r="H60">
            <v>320052</v>
          </cell>
          <cell r="I60">
            <v>367186</v>
          </cell>
          <cell r="J60">
            <v>414156</v>
          </cell>
          <cell r="K60">
            <v>460551</v>
          </cell>
          <cell r="L60">
            <v>517324</v>
          </cell>
          <cell r="M60">
            <v>588271</v>
          </cell>
          <cell r="N60">
            <v>645196</v>
          </cell>
          <cell r="O60">
            <v>714369</v>
          </cell>
          <cell r="P60">
            <v>770173</v>
          </cell>
          <cell r="Q60">
            <v>826954</v>
          </cell>
          <cell r="R60">
            <v>891091</v>
          </cell>
          <cell r="S60">
            <v>990562</v>
          </cell>
          <cell r="T60">
            <v>1066745</v>
          </cell>
          <cell r="U60">
            <v>1135798</v>
          </cell>
          <cell r="V60">
            <v>1208416</v>
          </cell>
          <cell r="W60">
            <v>1285433</v>
          </cell>
          <cell r="X60">
            <v>1385737</v>
          </cell>
          <cell r="Y60">
            <v>1511485</v>
          </cell>
          <cell r="Z60">
            <v>1593993</v>
          </cell>
          <cell r="AA60">
            <v>1658187</v>
          </cell>
          <cell r="AB60">
            <v>1727959</v>
          </cell>
          <cell r="AC60">
            <v>1788732</v>
          </cell>
          <cell r="AD60">
            <v>1844761</v>
          </cell>
          <cell r="AE60">
            <v>1915683</v>
          </cell>
          <cell r="AF60">
            <v>1981056</v>
          </cell>
          <cell r="AG60">
            <v>2065145</v>
          </cell>
          <cell r="AH60">
            <v>2149666</v>
          </cell>
          <cell r="AI60">
            <v>2222313</v>
          </cell>
          <cell r="AJ60">
            <v>2304965</v>
          </cell>
          <cell r="AK60">
            <v>2351593</v>
          </cell>
          <cell r="AL60">
            <v>2418428</v>
          </cell>
          <cell r="AM60">
            <v>2476868</v>
          </cell>
          <cell r="AN60">
            <v>2517483</v>
          </cell>
          <cell r="AO60">
            <v>2559794</v>
          </cell>
          <cell r="AP60">
            <v>2603543</v>
          </cell>
          <cell r="AQ60">
            <v>2650311</v>
          </cell>
          <cell r="AR60">
            <v>2696532</v>
          </cell>
          <cell r="AS60">
            <v>2741632</v>
          </cell>
          <cell r="AT60">
            <v>2785755</v>
          </cell>
          <cell r="AU60">
            <v>2855063</v>
          </cell>
          <cell r="AV60">
            <v>2936187</v>
          </cell>
          <cell r="AW60">
            <v>3106608</v>
          </cell>
          <cell r="AX60">
            <v>3347562</v>
          </cell>
          <cell r="AY60">
            <v>3739022</v>
          </cell>
          <cell r="AZ60">
            <v>4170387</v>
          </cell>
          <cell r="BA60">
            <v>4272133</v>
          </cell>
          <cell r="BB60">
            <v>4272133</v>
          </cell>
        </row>
        <row r="61">
          <cell r="A61" t="str">
            <v>TELE</v>
          </cell>
          <cell r="B61">
            <v>183224</v>
          </cell>
          <cell r="C61">
            <v>183224</v>
          </cell>
          <cell r="D61">
            <v>184031</v>
          </cell>
          <cell r="E61">
            <v>180965</v>
          </cell>
          <cell r="F61">
            <v>210406</v>
          </cell>
          <cell r="G61">
            <v>204850</v>
          </cell>
          <cell r="H61">
            <v>210454</v>
          </cell>
          <cell r="I61">
            <v>199637</v>
          </cell>
          <cell r="J61">
            <v>215821</v>
          </cell>
          <cell r="K61">
            <v>221743</v>
          </cell>
          <cell r="L61">
            <v>231053</v>
          </cell>
          <cell r="M61">
            <v>231413</v>
          </cell>
          <cell r="N61">
            <v>216570</v>
          </cell>
          <cell r="O61">
            <v>236291</v>
          </cell>
          <cell r="P61">
            <v>193878</v>
          </cell>
          <cell r="Q61">
            <v>215882</v>
          </cell>
          <cell r="R61">
            <v>220622</v>
          </cell>
          <cell r="S61">
            <v>248080</v>
          </cell>
          <cell r="T61">
            <v>250941</v>
          </cell>
          <cell r="U61">
            <v>246100</v>
          </cell>
          <cell r="V61">
            <v>246165</v>
          </cell>
          <cell r="W61">
            <v>244606</v>
          </cell>
          <cell r="X61">
            <v>256407</v>
          </cell>
          <cell r="Y61">
            <v>261805</v>
          </cell>
          <cell r="Z61">
            <v>244841</v>
          </cell>
          <cell r="AA61">
            <v>251773</v>
          </cell>
          <cell r="AB61">
            <v>253414</v>
          </cell>
          <cell r="AC61">
            <v>268698</v>
          </cell>
          <cell r="AD61">
            <v>241403</v>
          </cell>
          <cell r="AE61">
            <v>240034</v>
          </cell>
          <cell r="AF61">
            <v>258500</v>
          </cell>
          <cell r="AG61">
            <v>262790</v>
          </cell>
          <cell r="AH61">
            <v>251983</v>
          </cell>
          <cell r="AI61">
            <v>265254</v>
          </cell>
          <cell r="AJ61">
            <v>270958</v>
          </cell>
          <cell r="AK61">
            <v>243513</v>
          </cell>
          <cell r="AL61">
            <v>235144</v>
          </cell>
          <cell r="AM61">
            <v>259422</v>
          </cell>
          <cell r="AN61">
            <v>235966</v>
          </cell>
          <cell r="AO61">
            <v>263736</v>
          </cell>
          <cell r="AP61">
            <v>237977</v>
          </cell>
          <cell r="AQ61">
            <v>252625</v>
          </cell>
          <cell r="AR61">
            <v>240329</v>
          </cell>
          <cell r="AS61">
            <v>238258</v>
          </cell>
          <cell r="AT61">
            <v>253874</v>
          </cell>
          <cell r="AU61">
            <v>239727</v>
          </cell>
          <cell r="AV61">
            <v>246800</v>
          </cell>
          <cell r="AW61">
            <v>285988</v>
          </cell>
          <cell r="AX61">
            <v>295033</v>
          </cell>
          <cell r="AY61">
            <v>323347</v>
          </cell>
          <cell r="AZ61">
            <v>314582</v>
          </cell>
          <cell r="BA61">
            <v>256667</v>
          </cell>
          <cell r="BB61">
            <v>0</v>
          </cell>
        </row>
        <row r="62">
          <cell r="A62" t="str">
            <v>ptd</v>
          </cell>
          <cell r="B62">
            <v>183224</v>
          </cell>
          <cell r="C62">
            <v>366448</v>
          </cell>
          <cell r="D62">
            <v>550479</v>
          </cell>
          <cell r="E62">
            <v>731444</v>
          </cell>
          <cell r="F62">
            <v>210406</v>
          </cell>
          <cell r="G62">
            <v>415256</v>
          </cell>
          <cell r="H62">
            <v>625710</v>
          </cell>
          <cell r="I62">
            <v>825347</v>
          </cell>
          <cell r="J62">
            <v>215821</v>
          </cell>
          <cell r="K62">
            <v>437564</v>
          </cell>
          <cell r="L62">
            <v>668617</v>
          </cell>
          <cell r="M62">
            <v>900030</v>
          </cell>
          <cell r="N62">
            <v>216570</v>
          </cell>
          <cell r="O62">
            <v>452861</v>
          </cell>
          <cell r="P62">
            <v>646739</v>
          </cell>
          <cell r="Q62">
            <v>862621</v>
          </cell>
          <cell r="R62">
            <v>220622</v>
          </cell>
          <cell r="S62">
            <v>468702</v>
          </cell>
          <cell r="T62">
            <v>719643</v>
          </cell>
          <cell r="U62">
            <v>965743</v>
          </cell>
          <cell r="V62">
            <v>246165</v>
          </cell>
          <cell r="W62">
            <v>490771</v>
          </cell>
          <cell r="X62">
            <v>747178</v>
          </cell>
          <cell r="Y62">
            <v>1008983</v>
          </cell>
          <cell r="Z62">
            <v>244841</v>
          </cell>
          <cell r="AA62">
            <v>496614</v>
          </cell>
          <cell r="AB62">
            <v>750028</v>
          </cell>
          <cell r="AC62">
            <v>1018726</v>
          </cell>
          <cell r="AD62">
            <v>241403</v>
          </cell>
          <cell r="AE62">
            <v>481437</v>
          </cell>
          <cell r="AF62">
            <v>739937</v>
          </cell>
          <cell r="AG62">
            <v>1002727</v>
          </cell>
          <cell r="AH62">
            <v>251983</v>
          </cell>
          <cell r="AI62">
            <v>517237</v>
          </cell>
          <cell r="AJ62">
            <v>788195</v>
          </cell>
          <cell r="AK62">
            <v>1031708</v>
          </cell>
          <cell r="AL62">
            <v>235144</v>
          </cell>
          <cell r="AM62">
            <v>494566</v>
          </cell>
          <cell r="AN62">
            <v>730532</v>
          </cell>
          <cell r="AO62">
            <v>994268</v>
          </cell>
          <cell r="AP62">
            <v>237977</v>
          </cell>
          <cell r="AQ62">
            <v>490602</v>
          </cell>
          <cell r="AR62">
            <v>730931</v>
          </cell>
          <cell r="AS62">
            <v>969189</v>
          </cell>
          <cell r="AT62">
            <v>253874</v>
          </cell>
          <cell r="AU62">
            <v>493601</v>
          </cell>
          <cell r="AV62">
            <v>740401</v>
          </cell>
          <cell r="AW62">
            <v>1026389</v>
          </cell>
          <cell r="AX62">
            <v>295033</v>
          </cell>
          <cell r="AY62">
            <v>618380</v>
          </cell>
          <cell r="AZ62">
            <v>932962</v>
          </cell>
          <cell r="BA62">
            <v>1189629</v>
          </cell>
          <cell r="BB62">
            <v>1189629</v>
          </cell>
        </row>
        <row r="63">
          <cell r="A63" t="str">
            <v>qtd</v>
          </cell>
          <cell r="B63">
            <v>183224</v>
          </cell>
          <cell r="C63">
            <v>366448</v>
          </cell>
          <cell r="D63">
            <v>550479</v>
          </cell>
          <cell r="E63">
            <v>731444</v>
          </cell>
          <cell r="F63">
            <v>941850</v>
          </cell>
          <cell r="G63">
            <v>1146700</v>
          </cell>
          <cell r="H63">
            <v>1357154</v>
          </cell>
          <cell r="I63">
            <v>1556791</v>
          </cell>
          <cell r="J63">
            <v>1772612</v>
          </cell>
          <cell r="K63">
            <v>1994355</v>
          </cell>
          <cell r="L63">
            <v>2225408</v>
          </cell>
          <cell r="M63">
            <v>2456821</v>
          </cell>
          <cell r="N63">
            <v>216570</v>
          </cell>
          <cell r="O63">
            <v>452861</v>
          </cell>
          <cell r="P63">
            <v>646739</v>
          </cell>
          <cell r="Q63">
            <v>862621</v>
          </cell>
          <cell r="R63">
            <v>1083243</v>
          </cell>
          <cell r="S63">
            <v>1331323</v>
          </cell>
          <cell r="T63">
            <v>1582264</v>
          </cell>
          <cell r="U63">
            <v>1828364</v>
          </cell>
          <cell r="V63">
            <v>2074529</v>
          </cell>
          <cell r="W63">
            <v>2319135</v>
          </cell>
          <cell r="X63">
            <v>2575542</v>
          </cell>
          <cell r="Y63">
            <v>2837347</v>
          </cell>
          <cell r="Z63">
            <v>244841</v>
          </cell>
          <cell r="AA63">
            <v>496614</v>
          </cell>
          <cell r="AB63">
            <v>750028</v>
          </cell>
          <cell r="AC63">
            <v>1018726</v>
          </cell>
          <cell r="AD63">
            <v>1260129</v>
          </cell>
          <cell r="AE63">
            <v>1500163</v>
          </cell>
          <cell r="AF63">
            <v>1758663</v>
          </cell>
          <cell r="AG63">
            <v>2021453</v>
          </cell>
          <cell r="AH63">
            <v>2273436</v>
          </cell>
          <cell r="AI63">
            <v>2538690</v>
          </cell>
          <cell r="AJ63">
            <v>2809648</v>
          </cell>
          <cell r="AK63">
            <v>3053161</v>
          </cell>
          <cell r="AL63">
            <v>235144</v>
          </cell>
          <cell r="AM63">
            <v>494566</v>
          </cell>
          <cell r="AN63">
            <v>730532</v>
          </cell>
          <cell r="AO63">
            <v>994268</v>
          </cell>
          <cell r="AP63">
            <v>1232245</v>
          </cell>
          <cell r="AQ63">
            <v>1484870</v>
          </cell>
          <cell r="AR63">
            <v>1725199</v>
          </cell>
          <cell r="AS63">
            <v>1963457</v>
          </cell>
          <cell r="AT63">
            <v>2217331</v>
          </cell>
          <cell r="AU63">
            <v>2457058</v>
          </cell>
          <cell r="AV63">
            <v>2703858</v>
          </cell>
          <cell r="AW63">
            <v>2989846</v>
          </cell>
          <cell r="AX63">
            <v>3284879</v>
          </cell>
          <cell r="AY63">
            <v>3608226</v>
          </cell>
          <cell r="AZ63">
            <v>3922808</v>
          </cell>
          <cell r="BA63">
            <v>4179475</v>
          </cell>
          <cell r="BB63">
            <v>4179475</v>
          </cell>
        </row>
        <row r="64">
          <cell r="A64" t="str">
            <v>ytd</v>
          </cell>
          <cell r="B64">
            <v>183224</v>
          </cell>
          <cell r="C64">
            <v>366448</v>
          </cell>
          <cell r="D64">
            <v>550479</v>
          </cell>
          <cell r="E64">
            <v>731444</v>
          </cell>
          <cell r="F64">
            <v>941850</v>
          </cell>
          <cell r="G64">
            <v>1146700</v>
          </cell>
          <cell r="H64">
            <v>1357154</v>
          </cell>
          <cell r="I64">
            <v>1556791</v>
          </cell>
          <cell r="J64">
            <v>1772612</v>
          </cell>
          <cell r="K64">
            <v>1994355</v>
          </cell>
          <cell r="L64">
            <v>2225408</v>
          </cell>
          <cell r="M64">
            <v>2456821</v>
          </cell>
          <cell r="N64">
            <v>2673391</v>
          </cell>
          <cell r="O64">
            <v>2909682</v>
          </cell>
          <cell r="P64">
            <v>3103560</v>
          </cell>
          <cell r="Q64">
            <v>3319442</v>
          </cell>
          <cell r="R64">
            <v>3540064</v>
          </cell>
          <cell r="S64">
            <v>3788144</v>
          </cell>
          <cell r="T64">
            <v>4039085</v>
          </cell>
          <cell r="U64">
            <v>4285185</v>
          </cell>
          <cell r="V64">
            <v>4531350</v>
          </cell>
          <cell r="W64">
            <v>4775956</v>
          </cell>
          <cell r="X64">
            <v>5032363</v>
          </cell>
          <cell r="Y64">
            <v>5294168</v>
          </cell>
          <cell r="Z64">
            <v>5539009</v>
          </cell>
          <cell r="AA64">
            <v>5790782</v>
          </cell>
          <cell r="AB64">
            <v>6044196</v>
          </cell>
          <cell r="AC64">
            <v>6312894</v>
          </cell>
          <cell r="AD64">
            <v>6554297</v>
          </cell>
          <cell r="AE64">
            <v>6794331</v>
          </cell>
          <cell r="AF64">
            <v>7052831</v>
          </cell>
          <cell r="AG64">
            <v>7315621</v>
          </cell>
          <cell r="AH64">
            <v>7567604</v>
          </cell>
          <cell r="AI64">
            <v>7832858</v>
          </cell>
          <cell r="AJ64">
            <v>8103816</v>
          </cell>
          <cell r="AK64">
            <v>8347329</v>
          </cell>
          <cell r="AL64">
            <v>8582473</v>
          </cell>
          <cell r="AM64">
            <v>8841895</v>
          </cell>
          <cell r="AN64">
            <v>9077861</v>
          </cell>
          <cell r="AO64">
            <v>9341597</v>
          </cell>
          <cell r="AP64">
            <v>9579574</v>
          </cell>
          <cell r="AQ64">
            <v>9832199</v>
          </cell>
          <cell r="AR64">
            <v>10072528</v>
          </cell>
          <cell r="AS64">
            <v>10310786</v>
          </cell>
          <cell r="AT64">
            <v>10564660</v>
          </cell>
          <cell r="AU64">
            <v>10804387</v>
          </cell>
          <cell r="AV64">
            <v>11051187</v>
          </cell>
          <cell r="AW64">
            <v>11337175</v>
          </cell>
          <cell r="AX64">
            <v>11632208</v>
          </cell>
          <cell r="AY64">
            <v>11955555</v>
          </cell>
          <cell r="AZ64">
            <v>12270137</v>
          </cell>
          <cell r="BA64">
            <v>12526804</v>
          </cell>
          <cell r="BB64">
            <v>12526804</v>
          </cell>
        </row>
        <row r="65">
          <cell r="A65" t="str">
            <v>TICK</v>
          </cell>
          <cell r="B65">
            <v>741</v>
          </cell>
          <cell r="C65">
            <v>741</v>
          </cell>
          <cell r="D65">
            <v>1607</v>
          </cell>
          <cell r="E65">
            <v>1313</v>
          </cell>
          <cell r="F65">
            <v>1664</v>
          </cell>
          <cell r="G65">
            <v>3511</v>
          </cell>
          <cell r="H65">
            <v>2101</v>
          </cell>
          <cell r="I65">
            <v>2414</v>
          </cell>
          <cell r="J65">
            <v>2458</v>
          </cell>
          <cell r="K65">
            <v>2852</v>
          </cell>
          <cell r="L65">
            <v>2898</v>
          </cell>
          <cell r="M65">
            <v>2742</v>
          </cell>
          <cell r="N65">
            <v>3040</v>
          </cell>
          <cell r="O65">
            <v>3748</v>
          </cell>
          <cell r="P65">
            <v>3912</v>
          </cell>
          <cell r="Q65">
            <v>2335</v>
          </cell>
          <cell r="R65">
            <v>2054</v>
          </cell>
          <cell r="S65">
            <v>1993</v>
          </cell>
          <cell r="T65">
            <v>2113</v>
          </cell>
          <cell r="U65">
            <v>1939</v>
          </cell>
          <cell r="V65">
            <v>2181</v>
          </cell>
          <cell r="W65">
            <v>1776</v>
          </cell>
          <cell r="X65">
            <v>1042</v>
          </cell>
          <cell r="Y65">
            <v>1365</v>
          </cell>
          <cell r="Z65">
            <v>1759</v>
          </cell>
          <cell r="AA65">
            <v>1986</v>
          </cell>
          <cell r="AB65">
            <v>2426</v>
          </cell>
          <cell r="AC65">
            <v>2538</v>
          </cell>
          <cell r="AD65">
            <v>2925</v>
          </cell>
          <cell r="AE65">
            <v>3182</v>
          </cell>
          <cell r="AF65">
            <v>2778</v>
          </cell>
          <cell r="AG65">
            <v>2799</v>
          </cell>
          <cell r="AH65">
            <v>2467</v>
          </cell>
          <cell r="AI65">
            <v>2139</v>
          </cell>
          <cell r="AJ65">
            <v>1339</v>
          </cell>
          <cell r="AK65">
            <v>521</v>
          </cell>
          <cell r="AL65">
            <v>409</v>
          </cell>
          <cell r="AM65">
            <v>364</v>
          </cell>
          <cell r="AN65">
            <v>380</v>
          </cell>
          <cell r="AO65">
            <v>516</v>
          </cell>
          <cell r="AP65">
            <v>648</v>
          </cell>
          <cell r="AQ65">
            <v>535</v>
          </cell>
          <cell r="AR65">
            <v>466</v>
          </cell>
          <cell r="AS65">
            <v>454</v>
          </cell>
          <cell r="AT65">
            <v>470</v>
          </cell>
          <cell r="AU65">
            <v>400</v>
          </cell>
          <cell r="AV65">
            <v>547</v>
          </cell>
          <cell r="AW65">
            <v>580</v>
          </cell>
          <cell r="AX65">
            <v>949</v>
          </cell>
          <cell r="AY65">
            <v>1482</v>
          </cell>
          <cell r="AZ65">
            <v>2261</v>
          </cell>
          <cell r="BA65">
            <v>592</v>
          </cell>
          <cell r="BB65">
            <v>0</v>
          </cell>
        </row>
        <row r="66">
          <cell r="A66" t="str">
            <v>ptd</v>
          </cell>
          <cell r="B66">
            <v>741</v>
          </cell>
          <cell r="C66">
            <v>1482</v>
          </cell>
          <cell r="D66">
            <v>3089</v>
          </cell>
          <cell r="E66">
            <v>4402</v>
          </cell>
          <cell r="F66">
            <v>1664</v>
          </cell>
          <cell r="G66">
            <v>5175</v>
          </cell>
          <cell r="H66">
            <v>7276</v>
          </cell>
          <cell r="I66">
            <v>9690</v>
          </cell>
          <cell r="J66">
            <v>2458</v>
          </cell>
          <cell r="K66">
            <v>5310</v>
          </cell>
          <cell r="L66">
            <v>8208</v>
          </cell>
          <cell r="M66">
            <v>10950</v>
          </cell>
          <cell r="N66">
            <v>3040</v>
          </cell>
          <cell r="O66">
            <v>6788</v>
          </cell>
          <cell r="P66">
            <v>10700</v>
          </cell>
          <cell r="Q66">
            <v>13035</v>
          </cell>
          <cell r="R66">
            <v>2054</v>
          </cell>
          <cell r="S66">
            <v>4047</v>
          </cell>
          <cell r="T66">
            <v>6160</v>
          </cell>
          <cell r="U66">
            <v>8099</v>
          </cell>
          <cell r="V66">
            <v>2181</v>
          </cell>
          <cell r="W66">
            <v>3957</v>
          </cell>
          <cell r="X66">
            <v>4999</v>
          </cell>
          <cell r="Y66">
            <v>6364</v>
          </cell>
          <cell r="Z66">
            <v>1759</v>
          </cell>
          <cell r="AA66">
            <v>3745</v>
          </cell>
          <cell r="AB66">
            <v>6171</v>
          </cell>
          <cell r="AC66">
            <v>8709</v>
          </cell>
          <cell r="AD66">
            <v>2925</v>
          </cell>
          <cell r="AE66">
            <v>6107</v>
          </cell>
          <cell r="AF66">
            <v>8885</v>
          </cell>
          <cell r="AG66">
            <v>11684</v>
          </cell>
          <cell r="AH66">
            <v>2467</v>
          </cell>
          <cell r="AI66">
            <v>4606</v>
          </cell>
          <cell r="AJ66">
            <v>5945</v>
          </cell>
          <cell r="AK66">
            <v>6466</v>
          </cell>
          <cell r="AL66">
            <v>409</v>
          </cell>
          <cell r="AM66">
            <v>773</v>
          </cell>
          <cell r="AN66">
            <v>1153</v>
          </cell>
          <cell r="AO66">
            <v>1669</v>
          </cell>
          <cell r="AP66">
            <v>648</v>
          </cell>
          <cell r="AQ66">
            <v>1183</v>
          </cell>
          <cell r="AR66">
            <v>1649</v>
          </cell>
          <cell r="AS66">
            <v>2103</v>
          </cell>
          <cell r="AT66">
            <v>470</v>
          </cell>
          <cell r="AU66">
            <v>870</v>
          </cell>
          <cell r="AV66">
            <v>1417</v>
          </cell>
          <cell r="AW66">
            <v>1997</v>
          </cell>
          <cell r="AX66">
            <v>949</v>
          </cell>
          <cell r="AY66">
            <v>2431</v>
          </cell>
          <cell r="AZ66">
            <v>4692</v>
          </cell>
          <cell r="BA66">
            <v>5284</v>
          </cell>
          <cell r="BB66">
            <v>5284</v>
          </cell>
        </row>
        <row r="67">
          <cell r="A67" t="str">
            <v>qtd</v>
          </cell>
          <cell r="B67">
            <v>741</v>
          </cell>
          <cell r="C67">
            <v>1482</v>
          </cell>
          <cell r="D67">
            <v>3089</v>
          </cell>
          <cell r="E67">
            <v>4402</v>
          </cell>
          <cell r="F67">
            <v>6066</v>
          </cell>
          <cell r="G67">
            <v>9577</v>
          </cell>
          <cell r="H67">
            <v>11678</v>
          </cell>
          <cell r="I67">
            <v>14092</v>
          </cell>
          <cell r="J67">
            <v>16550</v>
          </cell>
          <cell r="K67">
            <v>19402</v>
          </cell>
          <cell r="L67">
            <v>22300</v>
          </cell>
          <cell r="M67">
            <v>25042</v>
          </cell>
          <cell r="N67">
            <v>3040</v>
          </cell>
          <cell r="O67">
            <v>6788</v>
          </cell>
          <cell r="P67">
            <v>10700</v>
          </cell>
          <cell r="Q67">
            <v>13035</v>
          </cell>
          <cell r="R67">
            <v>15089</v>
          </cell>
          <cell r="S67">
            <v>17082</v>
          </cell>
          <cell r="T67">
            <v>19195</v>
          </cell>
          <cell r="U67">
            <v>21134</v>
          </cell>
          <cell r="V67">
            <v>23315</v>
          </cell>
          <cell r="W67">
            <v>25091</v>
          </cell>
          <cell r="X67">
            <v>26133</v>
          </cell>
          <cell r="Y67">
            <v>27498</v>
          </cell>
          <cell r="Z67">
            <v>1759</v>
          </cell>
          <cell r="AA67">
            <v>3745</v>
          </cell>
          <cell r="AB67">
            <v>6171</v>
          </cell>
          <cell r="AC67">
            <v>8709</v>
          </cell>
          <cell r="AD67">
            <v>11634</v>
          </cell>
          <cell r="AE67">
            <v>14816</v>
          </cell>
          <cell r="AF67">
            <v>17594</v>
          </cell>
          <cell r="AG67">
            <v>20393</v>
          </cell>
          <cell r="AH67">
            <v>22860</v>
          </cell>
          <cell r="AI67">
            <v>24999</v>
          </cell>
          <cell r="AJ67">
            <v>26338</v>
          </cell>
          <cell r="AK67">
            <v>26859</v>
          </cell>
          <cell r="AL67">
            <v>409</v>
          </cell>
          <cell r="AM67">
            <v>773</v>
          </cell>
          <cell r="AN67">
            <v>1153</v>
          </cell>
          <cell r="AO67">
            <v>1669</v>
          </cell>
          <cell r="AP67">
            <v>2317</v>
          </cell>
          <cell r="AQ67">
            <v>2852</v>
          </cell>
          <cell r="AR67">
            <v>3318</v>
          </cell>
          <cell r="AS67">
            <v>3772</v>
          </cell>
          <cell r="AT67">
            <v>4242</v>
          </cell>
          <cell r="AU67">
            <v>4642</v>
          </cell>
          <cell r="AV67">
            <v>5189</v>
          </cell>
          <cell r="AW67">
            <v>5769</v>
          </cell>
          <cell r="AX67">
            <v>6718</v>
          </cell>
          <cell r="AY67">
            <v>8200</v>
          </cell>
          <cell r="AZ67">
            <v>10461</v>
          </cell>
          <cell r="BA67">
            <v>11053</v>
          </cell>
          <cell r="BB67">
            <v>11053</v>
          </cell>
        </row>
        <row r="68">
          <cell r="A68" t="str">
            <v>ytd</v>
          </cell>
          <cell r="B68">
            <v>741</v>
          </cell>
          <cell r="C68">
            <v>1482</v>
          </cell>
          <cell r="D68">
            <v>3089</v>
          </cell>
          <cell r="E68">
            <v>4402</v>
          </cell>
          <cell r="F68">
            <v>6066</v>
          </cell>
          <cell r="G68">
            <v>9577</v>
          </cell>
          <cell r="H68">
            <v>11678</v>
          </cell>
          <cell r="I68">
            <v>14092</v>
          </cell>
          <cell r="J68">
            <v>16550</v>
          </cell>
          <cell r="K68">
            <v>19402</v>
          </cell>
          <cell r="L68">
            <v>22300</v>
          </cell>
          <cell r="M68">
            <v>25042</v>
          </cell>
          <cell r="N68">
            <v>28082</v>
          </cell>
          <cell r="O68">
            <v>31830</v>
          </cell>
          <cell r="P68">
            <v>35742</v>
          </cell>
          <cell r="Q68">
            <v>38077</v>
          </cell>
          <cell r="R68">
            <v>40131</v>
          </cell>
          <cell r="S68">
            <v>42124</v>
          </cell>
          <cell r="T68">
            <v>44237</v>
          </cell>
          <cell r="U68">
            <v>46176</v>
          </cell>
          <cell r="V68">
            <v>48357</v>
          </cell>
          <cell r="W68">
            <v>50133</v>
          </cell>
          <cell r="X68">
            <v>51175</v>
          </cell>
          <cell r="Y68">
            <v>52540</v>
          </cell>
          <cell r="Z68">
            <v>54299</v>
          </cell>
          <cell r="AA68">
            <v>56285</v>
          </cell>
          <cell r="AB68">
            <v>58711</v>
          </cell>
          <cell r="AC68">
            <v>61249</v>
          </cell>
          <cell r="AD68">
            <v>64174</v>
          </cell>
          <cell r="AE68">
            <v>67356</v>
          </cell>
          <cell r="AF68">
            <v>70134</v>
          </cell>
          <cell r="AG68">
            <v>72933</v>
          </cell>
          <cell r="AH68">
            <v>75400</v>
          </cell>
          <cell r="AI68">
            <v>77539</v>
          </cell>
          <cell r="AJ68">
            <v>78878</v>
          </cell>
          <cell r="AK68">
            <v>79399</v>
          </cell>
          <cell r="AL68">
            <v>79808</v>
          </cell>
          <cell r="AM68">
            <v>80172</v>
          </cell>
          <cell r="AN68">
            <v>80552</v>
          </cell>
          <cell r="AO68">
            <v>81068</v>
          </cell>
          <cell r="AP68">
            <v>81716</v>
          </cell>
          <cell r="AQ68">
            <v>82251</v>
          </cell>
          <cell r="AR68">
            <v>82717</v>
          </cell>
          <cell r="AS68">
            <v>83171</v>
          </cell>
          <cell r="AT68">
            <v>83641</v>
          </cell>
          <cell r="AU68">
            <v>84041</v>
          </cell>
          <cell r="AV68">
            <v>84588</v>
          </cell>
          <cell r="AW68">
            <v>85168</v>
          </cell>
          <cell r="AX68">
            <v>86117</v>
          </cell>
          <cell r="AY68">
            <v>87599</v>
          </cell>
          <cell r="AZ68">
            <v>89860</v>
          </cell>
          <cell r="BA68">
            <v>90452</v>
          </cell>
          <cell r="BB68">
            <v>90452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7295572.80105625</v>
          </cell>
          <cell r="C73">
            <v>7342817.80105625</v>
          </cell>
          <cell r="D73">
            <v>8090224.2278562505</v>
          </cell>
          <cell r="E73">
            <v>8444558.9162562508</v>
          </cell>
          <cell r="F73">
            <v>8735365.3768000007</v>
          </cell>
          <cell r="G73">
            <v>9109641.0492000002</v>
          </cell>
          <cell r="H73">
            <v>8946636.8107999992</v>
          </cell>
          <cell r="I73">
            <v>8465280.0767999999</v>
          </cell>
          <cell r="J73">
            <v>7397801.4035999998</v>
          </cell>
          <cell r="K73">
            <v>7251932.6883999994</v>
          </cell>
          <cell r="L73">
            <v>9122153.0384</v>
          </cell>
          <cell r="M73">
            <v>9910463.5499999989</v>
          </cell>
          <cell r="N73">
            <v>10321098.899999999</v>
          </cell>
          <cell r="O73">
            <v>10937627.6384</v>
          </cell>
          <cell r="P73">
            <v>8323773.6499999994</v>
          </cell>
          <cell r="Q73">
            <v>11243852.838399999</v>
          </cell>
          <cell r="R73">
            <v>12957013.75</v>
          </cell>
          <cell r="S73">
            <v>16729068.0384</v>
          </cell>
          <cell r="T73">
            <v>14608026.65</v>
          </cell>
          <cell r="U73">
            <v>13147650.399999999</v>
          </cell>
          <cell r="V73">
            <v>14983136.849999998</v>
          </cell>
          <cell r="W73">
            <v>15399441.4384</v>
          </cell>
          <cell r="X73">
            <v>16146495.949999999</v>
          </cell>
          <cell r="Y73">
            <v>18761962.649999999</v>
          </cell>
          <cell r="Z73">
            <v>15179112.5</v>
          </cell>
          <cell r="AA73">
            <v>14902884.050000001</v>
          </cell>
          <cell r="AB73">
            <v>13980284.399999999</v>
          </cell>
          <cell r="AC73">
            <v>14692646.499999998</v>
          </cell>
          <cell r="AD73">
            <v>14187405.22746875</v>
          </cell>
          <cell r="AE73">
            <v>13728035.227468751</v>
          </cell>
          <cell r="AF73">
            <v>13498724.52746875</v>
          </cell>
          <cell r="AG73">
            <v>15940310.37746875</v>
          </cell>
          <cell r="AH73">
            <v>17487505.819068749</v>
          </cell>
          <cell r="AI73">
            <v>18279578.627468746</v>
          </cell>
          <cell r="AJ73">
            <v>19018060.977468748</v>
          </cell>
          <cell r="AK73">
            <v>12292893.877468752</v>
          </cell>
          <cell r="AL73">
            <v>12000584.97746875</v>
          </cell>
          <cell r="AM73">
            <v>11852613.02746875</v>
          </cell>
          <cell r="AN73">
            <v>12079393.827468751</v>
          </cell>
          <cell r="AO73">
            <v>12265105.22746875</v>
          </cell>
          <cell r="AP73">
            <v>11668148.70426875</v>
          </cell>
          <cell r="AQ73">
            <v>13355296.127468752</v>
          </cell>
          <cell r="AR73">
            <v>14074784.02746875</v>
          </cell>
          <cell r="AS73">
            <v>13692172.727468751</v>
          </cell>
          <cell r="AT73">
            <v>14195258.931068752</v>
          </cell>
          <cell r="AU73">
            <v>16797790.361468751</v>
          </cell>
          <cell r="AV73">
            <v>18824312.641868748</v>
          </cell>
          <cell r="AW73">
            <v>25120254.203468747</v>
          </cell>
          <cell r="AX73">
            <v>39454985.494800001</v>
          </cell>
          <cell r="AY73">
            <v>51119756.905599989</v>
          </cell>
          <cell r="AZ73">
            <v>48581021.302000001</v>
          </cell>
          <cell r="BA73">
            <v>23294179.452799998</v>
          </cell>
          <cell r="BB73">
            <v>0</v>
          </cell>
        </row>
        <row r="74">
          <cell r="A74" t="str">
            <v>ptd</v>
          </cell>
          <cell r="B74">
            <v>7295572.80105625</v>
          </cell>
          <cell r="C74">
            <v>14638390.6021125</v>
          </cell>
          <cell r="D74">
            <v>22728614.82996875</v>
          </cell>
          <cell r="E74">
            <v>31173173.746224999</v>
          </cell>
          <cell r="F74">
            <v>8735365.3768000007</v>
          </cell>
          <cell r="G74">
            <v>17845006.425999999</v>
          </cell>
          <cell r="H74">
            <v>26791643.2368</v>
          </cell>
          <cell r="I74">
            <v>35256923.313600004</v>
          </cell>
          <cell r="J74">
            <v>7397801.4035999998</v>
          </cell>
          <cell r="K74">
            <v>14649734.092</v>
          </cell>
          <cell r="L74">
            <v>23771887.130400002</v>
          </cell>
          <cell r="M74">
            <v>33682350.680399999</v>
          </cell>
          <cell r="N74">
            <v>10321098.899999999</v>
          </cell>
          <cell r="O74">
            <v>21258726.538399998</v>
          </cell>
          <cell r="P74">
            <v>29582500.188399997</v>
          </cell>
          <cell r="Q74">
            <v>40826353.026799992</v>
          </cell>
          <cell r="R74">
            <v>12957013.75</v>
          </cell>
          <cell r="S74">
            <v>29686081.788400002</v>
          </cell>
          <cell r="T74">
            <v>44294108.4384</v>
          </cell>
          <cell r="U74">
            <v>57441758.838399999</v>
          </cell>
          <cell r="V74">
            <v>14983136.849999998</v>
          </cell>
          <cell r="W74">
            <v>30382578.288399998</v>
          </cell>
          <cell r="X74">
            <v>46529074.238399997</v>
          </cell>
          <cell r="Y74">
            <v>65291036.888399996</v>
          </cell>
          <cell r="Z74">
            <v>15179112.5</v>
          </cell>
          <cell r="AA74">
            <v>30081996.550000001</v>
          </cell>
          <cell r="AB74">
            <v>44062280.950000003</v>
          </cell>
          <cell r="AC74">
            <v>58754927.450000003</v>
          </cell>
          <cell r="AD74">
            <v>14187405.22746875</v>
          </cell>
          <cell r="AE74">
            <v>27915440.454937503</v>
          </cell>
          <cell r="AF74">
            <v>41414164.982406251</v>
          </cell>
          <cell r="AG74">
            <v>57354475.359875001</v>
          </cell>
          <cell r="AH74">
            <v>17487505.819068749</v>
          </cell>
          <cell r="AI74">
            <v>35767084.446537495</v>
          </cell>
          <cell r="AJ74">
            <v>54785145.424006239</v>
          </cell>
          <cell r="AK74">
            <v>67078039.301474988</v>
          </cell>
          <cell r="AL74">
            <v>12000584.97746875</v>
          </cell>
          <cell r="AM74">
            <v>23853198.0049375</v>
          </cell>
          <cell r="AN74">
            <v>35932591.832406253</v>
          </cell>
          <cell r="AO74">
            <v>48197697.059875004</v>
          </cell>
          <cell r="AP74">
            <v>11668148.70426875</v>
          </cell>
          <cell r="AQ74">
            <v>25023444.831737503</v>
          </cell>
          <cell r="AR74">
            <v>39098228.859206252</v>
          </cell>
          <cell r="AS74">
            <v>52790401.586675003</v>
          </cell>
          <cell r="AT74">
            <v>14195258.931068752</v>
          </cell>
          <cell r="AU74">
            <v>30993049.292537503</v>
          </cell>
          <cell r="AV74">
            <v>49817361.934406251</v>
          </cell>
          <cell r="AW74">
            <v>74937616.137874991</v>
          </cell>
          <cell r="AX74">
            <v>39454985.494800001</v>
          </cell>
          <cell r="AY74">
            <v>90574742.400399983</v>
          </cell>
          <cell r="AZ74">
            <v>139155763.70239997</v>
          </cell>
          <cell r="BA74">
            <v>162449943.15519997</v>
          </cell>
          <cell r="BB74">
            <v>162449943.15519997</v>
          </cell>
        </row>
        <row r="75">
          <cell r="A75" t="str">
            <v>qtd</v>
          </cell>
          <cell r="B75">
            <v>7295572.80105625</v>
          </cell>
          <cell r="C75">
            <v>14638390.6021125</v>
          </cell>
          <cell r="D75">
            <v>22728614.82996875</v>
          </cell>
          <cell r="E75">
            <v>31173173.746224999</v>
          </cell>
          <cell r="F75">
            <v>39908539.123025</v>
          </cell>
          <cell r="G75">
            <v>49018180.172224998</v>
          </cell>
          <cell r="H75">
            <v>57964816.983024999</v>
          </cell>
          <cell r="I75">
            <v>66430097.059825003</v>
          </cell>
          <cell r="J75">
            <v>73827898.46342501</v>
          </cell>
          <cell r="K75">
            <v>81079831.151825011</v>
          </cell>
          <cell r="L75">
            <v>90201984.190225005</v>
          </cell>
          <cell r="M75">
            <v>100112447.740225</v>
          </cell>
          <cell r="N75">
            <v>10321098.899999999</v>
          </cell>
          <cell r="O75">
            <v>21258726.538399998</v>
          </cell>
          <cell r="P75">
            <v>29582500.188399997</v>
          </cell>
          <cell r="Q75">
            <v>40826353.026799992</v>
          </cell>
          <cell r="R75">
            <v>53783366.776799992</v>
          </cell>
          <cell r="S75">
            <v>70512434.815199986</v>
          </cell>
          <cell r="T75">
            <v>85120461.465199992</v>
          </cell>
          <cell r="U75">
            <v>98268111.865199983</v>
          </cell>
          <cell r="V75">
            <v>113251248.71519998</v>
          </cell>
          <cell r="W75">
            <v>128650690.15359998</v>
          </cell>
          <cell r="X75">
            <v>144797186.10359997</v>
          </cell>
          <cell r="Y75">
            <v>163559148.75359997</v>
          </cell>
          <cell r="Z75">
            <v>15179112.5</v>
          </cell>
          <cell r="AA75">
            <v>30081996.550000001</v>
          </cell>
          <cell r="AB75">
            <v>44062280.950000003</v>
          </cell>
          <cell r="AC75">
            <v>58754927.450000003</v>
          </cell>
          <cell r="AD75">
            <v>72942332.677468747</v>
          </cell>
          <cell r="AE75">
            <v>86670367.904937506</v>
          </cell>
          <cell r="AF75">
            <v>100169092.43240626</v>
          </cell>
          <cell r="AG75">
            <v>116109402.80987501</v>
          </cell>
          <cell r="AH75">
            <v>133596908.62894376</v>
          </cell>
          <cell r="AI75">
            <v>151876487.25641251</v>
          </cell>
          <cell r="AJ75">
            <v>170894548.23388126</v>
          </cell>
          <cell r="AK75">
            <v>183187442.11135003</v>
          </cell>
          <cell r="AL75">
            <v>12000584.97746875</v>
          </cell>
          <cell r="AM75">
            <v>23853198.0049375</v>
          </cell>
          <cell r="AN75">
            <v>35932591.832406253</v>
          </cell>
          <cell r="AO75">
            <v>48197697.059875004</v>
          </cell>
          <cell r="AP75">
            <v>59865845.76414375</v>
          </cell>
          <cell r="AQ75">
            <v>73221141.8916125</v>
          </cell>
          <cell r="AR75">
            <v>87295925.919081256</v>
          </cell>
          <cell r="AS75">
            <v>100988098.64655</v>
          </cell>
          <cell r="AT75">
            <v>115183357.57761875</v>
          </cell>
          <cell r="AU75">
            <v>131981147.9390875</v>
          </cell>
          <cell r="AV75">
            <v>150805460.58095625</v>
          </cell>
          <cell r="AW75">
            <v>175925714.78442499</v>
          </cell>
          <cell r="AX75">
            <v>215380700.27922499</v>
          </cell>
          <cell r="AY75">
            <v>266500457.18482497</v>
          </cell>
          <cell r="AZ75">
            <v>315081478.48682499</v>
          </cell>
          <cell r="BA75">
            <v>338375657.93962497</v>
          </cell>
          <cell r="BB75">
            <v>338375657.93962497</v>
          </cell>
        </row>
        <row r="76">
          <cell r="A76" t="str">
            <v>ytd</v>
          </cell>
          <cell r="B76">
            <v>7295572.80105625</v>
          </cell>
          <cell r="C76">
            <v>14638390.6021125</v>
          </cell>
          <cell r="D76">
            <v>22728614.82996875</v>
          </cell>
          <cell r="E76">
            <v>31173173.746224999</v>
          </cell>
          <cell r="F76">
            <v>39908539.123025</v>
          </cell>
          <cell r="G76">
            <v>49018180.172224998</v>
          </cell>
          <cell r="H76">
            <v>57964816.983024999</v>
          </cell>
          <cell r="I76">
            <v>66430097.059825003</v>
          </cell>
          <cell r="J76">
            <v>73827898.46342501</v>
          </cell>
          <cell r="K76">
            <v>81079831.151825011</v>
          </cell>
          <cell r="L76">
            <v>90201984.190225005</v>
          </cell>
          <cell r="M76">
            <v>100112447.740225</v>
          </cell>
          <cell r="N76">
            <v>110433546.64022499</v>
          </cell>
          <cell r="O76">
            <v>121371174.278625</v>
          </cell>
          <cell r="P76">
            <v>129694947.928625</v>
          </cell>
          <cell r="Q76">
            <v>140938800.76702499</v>
          </cell>
          <cell r="R76">
            <v>153895814.51702499</v>
          </cell>
          <cell r="S76">
            <v>170624882.55542499</v>
          </cell>
          <cell r="T76">
            <v>185232909.20542499</v>
          </cell>
          <cell r="U76">
            <v>198380559.605425</v>
          </cell>
          <cell r="V76">
            <v>213363696.45542499</v>
          </cell>
          <cell r="W76">
            <v>228763137.89382499</v>
          </cell>
          <cell r="X76">
            <v>244909633.84382498</v>
          </cell>
          <cell r="Y76">
            <v>263671596.49382499</v>
          </cell>
          <cell r="Z76">
            <v>278850708.99382496</v>
          </cell>
          <cell r="AA76">
            <v>293753593.04382497</v>
          </cell>
          <cell r="AB76">
            <v>307733877.44382495</v>
          </cell>
          <cell r="AC76">
            <v>322426523.94382495</v>
          </cell>
          <cell r="AD76">
            <v>336613929.17129368</v>
          </cell>
          <cell r="AE76">
            <v>350341964.3987624</v>
          </cell>
          <cell r="AF76">
            <v>363840688.92623115</v>
          </cell>
          <cell r="AG76">
            <v>379780999.30369991</v>
          </cell>
          <cell r="AH76">
            <v>397268505.12276864</v>
          </cell>
          <cell r="AI76">
            <v>415548083.75023741</v>
          </cell>
          <cell r="AJ76">
            <v>434566144.72770613</v>
          </cell>
          <cell r="AK76">
            <v>446859038.6051749</v>
          </cell>
          <cell r="AL76">
            <v>458859623.58264363</v>
          </cell>
          <cell r="AM76">
            <v>470712236.61011237</v>
          </cell>
          <cell r="AN76">
            <v>482791630.43758112</v>
          </cell>
          <cell r="AO76">
            <v>495056735.66504985</v>
          </cell>
          <cell r="AP76">
            <v>506724884.3693186</v>
          </cell>
          <cell r="AQ76">
            <v>520080180.49678737</v>
          </cell>
          <cell r="AR76">
            <v>534154964.52425611</v>
          </cell>
          <cell r="AS76">
            <v>547847137.25172484</v>
          </cell>
          <cell r="AT76">
            <v>562042396.18279362</v>
          </cell>
          <cell r="AU76">
            <v>578840186.54426241</v>
          </cell>
          <cell r="AV76">
            <v>597664499.18613112</v>
          </cell>
          <cell r="AW76">
            <v>622784753.38959992</v>
          </cell>
          <cell r="AX76">
            <v>662239738.88439989</v>
          </cell>
          <cell r="AY76">
            <v>713359495.78999984</v>
          </cell>
          <cell r="AZ76">
            <v>761940517.09199989</v>
          </cell>
          <cell r="BA76">
            <v>785234696.54479992</v>
          </cell>
          <cell r="BB76">
            <v>785234696.54479992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64190.14762500002</v>
          </cell>
          <cell r="C79">
            <v>64190.14762500002</v>
          </cell>
          <cell r="D79">
            <v>55681.960125000012</v>
          </cell>
          <cell r="E79">
            <v>61596.760125000008</v>
          </cell>
          <cell r="F79">
            <v>68925.776343750011</v>
          </cell>
          <cell r="G79">
            <v>162414.0263437501</v>
          </cell>
          <cell r="H79">
            <v>81147.776343750025</v>
          </cell>
          <cell r="I79">
            <v>72825.701343750028</v>
          </cell>
          <cell r="J79">
            <v>84709.392562500041</v>
          </cell>
          <cell r="K79">
            <v>85443.717562500024</v>
          </cell>
          <cell r="L79">
            <v>97262.067562500044</v>
          </cell>
          <cell r="M79">
            <v>88588.062562500054</v>
          </cell>
          <cell r="N79">
            <v>96707.983781250019</v>
          </cell>
          <cell r="O79">
            <v>152326.03378125004</v>
          </cell>
          <cell r="P79">
            <v>97716.82378125003</v>
          </cell>
          <cell r="Q79">
            <v>106771.19878125003</v>
          </cell>
          <cell r="R79">
            <v>135176.02500000008</v>
          </cell>
          <cell r="S79">
            <v>195825.22500000006</v>
          </cell>
          <cell r="T79">
            <v>150324.97500000006</v>
          </cell>
          <cell r="U79">
            <v>125801.25</v>
          </cell>
          <cell r="V79">
            <v>138700.87500000006</v>
          </cell>
          <cell r="W79">
            <v>129747.9</v>
          </cell>
          <cell r="X79">
            <v>169383.22500000006</v>
          </cell>
          <cell r="Y79">
            <v>324112.27500000014</v>
          </cell>
          <cell r="Z79">
            <v>234851.04121875009</v>
          </cell>
          <cell r="AA79">
            <v>120928.44121875007</v>
          </cell>
          <cell r="AB79">
            <v>119102.34121875007</v>
          </cell>
          <cell r="AC79">
            <v>107197.74121875004</v>
          </cell>
          <cell r="AD79">
            <v>130743.31621875006</v>
          </cell>
          <cell r="AE79">
            <v>132894.91621875006</v>
          </cell>
          <cell r="AF79">
            <v>132794.94121875006</v>
          </cell>
          <cell r="AG79">
            <v>132497.34121875008</v>
          </cell>
          <cell r="AH79">
            <v>132013.66621875006</v>
          </cell>
          <cell r="AI79">
            <v>137810.34121875008</v>
          </cell>
          <cell r="AJ79">
            <v>132991.29121875006</v>
          </cell>
          <cell r="AK79">
            <v>129806.19121875007</v>
          </cell>
          <cell r="AL79">
            <v>132105.39121875007</v>
          </cell>
          <cell r="AM79">
            <v>128873.49121875007</v>
          </cell>
          <cell r="AN79">
            <v>140207.64121875007</v>
          </cell>
          <cell r="AO79">
            <v>139010.56621875006</v>
          </cell>
          <cell r="AP79">
            <v>140654.28243750005</v>
          </cell>
          <cell r="AQ79">
            <v>156488.28243750008</v>
          </cell>
          <cell r="AR79">
            <v>142571.58243750007</v>
          </cell>
          <cell r="AS79">
            <v>137403.70743750007</v>
          </cell>
          <cell r="AT79">
            <v>152056.38243750005</v>
          </cell>
          <cell r="AU79">
            <v>168046.15743750008</v>
          </cell>
          <cell r="AV79">
            <v>180203.28243750011</v>
          </cell>
          <cell r="AW79">
            <v>322612.68243750016</v>
          </cell>
          <cell r="AX79">
            <v>604947.10743750026</v>
          </cell>
          <cell r="AY79">
            <v>1417258.6074375007</v>
          </cell>
          <cell r="AZ79">
            <v>1785343.2648750008</v>
          </cell>
          <cell r="BA79">
            <v>176522.62500000006</v>
          </cell>
          <cell r="BB79">
            <v>0</v>
          </cell>
        </row>
        <row r="80">
          <cell r="A80" t="str">
            <v>ptd</v>
          </cell>
          <cell r="B80">
            <v>64190.14762500002</v>
          </cell>
          <cell r="C80">
            <v>128380.29525000004</v>
          </cell>
          <cell r="D80">
            <v>184062.25537500007</v>
          </cell>
          <cell r="E80">
            <v>245659.01550000007</v>
          </cell>
          <cell r="F80">
            <v>68925.776343750011</v>
          </cell>
          <cell r="G80">
            <v>231339.80268750011</v>
          </cell>
          <cell r="H80">
            <v>312487.57903125015</v>
          </cell>
          <cell r="I80">
            <v>385313.28037500021</v>
          </cell>
          <cell r="J80">
            <v>84709.392562500041</v>
          </cell>
          <cell r="K80">
            <v>170153.11012500006</v>
          </cell>
          <cell r="L80">
            <v>267415.17768750014</v>
          </cell>
          <cell r="M80">
            <v>356003.24025000021</v>
          </cell>
          <cell r="N80">
            <v>96707.983781250019</v>
          </cell>
          <cell r="O80">
            <v>249034.01756250006</v>
          </cell>
          <cell r="P80">
            <v>346750.84134375007</v>
          </cell>
          <cell r="Q80">
            <v>453522.04012500012</v>
          </cell>
          <cell r="R80">
            <v>135176.02500000008</v>
          </cell>
          <cell r="S80">
            <v>331001.25000000012</v>
          </cell>
          <cell r="T80">
            <v>481326.22500000021</v>
          </cell>
          <cell r="U80">
            <v>607127.47500000021</v>
          </cell>
          <cell r="V80">
            <v>138700.87500000006</v>
          </cell>
          <cell r="W80">
            <v>268448.77500000002</v>
          </cell>
          <cell r="X80">
            <v>437832.00000000012</v>
          </cell>
          <cell r="Y80">
            <v>761944.27500000026</v>
          </cell>
          <cell r="Z80">
            <v>234851.04121875009</v>
          </cell>
          <cell r="AA80">
            <v>355779.48243750015</v>
          </cell>
          <cell r="AB80">
            <v>474881.8236562502</v>
          </cell>
          <cell r="AC80">
            <v>582079.56487500027</v>
          </cell>
          <cell r="AD80">
            <v>130743.31621875006</v>
          </cell>
          <cell r="AE80">
            <v>263638.23243750015</v>
          </cell>
          <cell r="AF80">
            <v>396433.17365625023</v>
          </cell>
          <cell r="AG80">
            <v>528930.51487500034</v>
          </cell>
          <cell r="AH80">
            <v>132013.66621875006</v>
          </cell>
          <cell r="AI80">
            <v>269824.00743750017</v>
          </cell>
          <cell r="AJ80">
            <v>402815.29865625023</v>
          </cell>
          <cell r="AK80">
            <v>532621.48987500032</v>
          </cell>
          <cell r="AL80">
            <v>132105.39121875007</v>
          </cell>
          <cell r="AM80">
            <v>260978.88243750014</v>
          </cell>
          <cell r="AN80">
            <v>401186.52365625021</v>
          </cell>
          <cell r="AO80">
            <v>540197.0898750003</v>
          </cell>
          <cell r="AP80">
            <v>140654.28243750005</v>
          </cell>
          <cell r="AQ80">
            <v>297142.56487500016</v>
          </cell>
          <cell r="AR80">
            <v>439714.14731250022</v>
          </cell>
          <cell r="AS80">
            <v>577117.85475000029</v>
          </cell>
          <cell r="AT80">
            <v>152056.38243750005</v>
          </cell>
          <cell r="AU80">
            <v>320102.53987500013</v>
          </cell>
          <cell r="AV80">
            <v>500305.82231250021</v>
          </cell>
          <cell r="AW80">
            <v>822918.50475000031</v>
          </cell>
          <cell r="AX80">
            <v>604947.10743750026</v>
          </cell>
          <cell r="AY80">
            <v>2022205.714875001</v>
          </cell>
          <cell r="AZ80">
            <v>3807548.9797500018</v>
          </cell>
          <cell r="BA80">
            <v>3984071.6047500018</v>
          </cell>
          <cell r="BB80">
            <v>3984071.6047500018</v>
          </cell>
        </row>
        <row r="81">
          <cell r="A81" t="str">
            <v>qtd</v>
          </cell>
          <cell r="B81">
            <v>64190.14762500002</v>
          </cell>
          <cell r="C81">
            <v>128380.29525000004</v>
          </cell>
          <cell r="D81">
            <v>184062.25537500007</v>
          </cell>
          <cell r="E81">
            <v>245659.01550000007</v>
          </cell>
          <cell r="F81">
            <v>314584.79184375005</v>
          </cell>
          <cell r="G81">
            <v>476998.81818750012</v>
          </cell>
          <cell r="H81">
            <v>558146.59453125019</v>
          </cell>
          <cell r="I81">
            <v>630972.29587500019</v>
          </cell>
          <cell r="J81">
            <v>715681.68843750027</v>
          </cell>
          <cell r="K81">
            <v>801125.40600000031</v>
          </cell>
          <cell r="L81">
            <v>898387.47356250032</v>
          </cell>
          <cell r="M81">
            <v>986975.53612500033</v>
          </cell>
          <cell r="N81">
            <v>96707.983781250019</v>
          </cell>
          <cell r="O81">
            <v>249034.01756250006</v>
          </cell>
          <cell r="P81">
            <v>346750.84134375007</v>
          </cell>
          <cell r="Q81">
            <v>453522.04012500012</v>
          </cell>
          <cell r="R81">
            <v>588698.0651250002</v>
          </cell>
          <cell r="S81">
            <v>784523.29012500029</v>
          </cell>
          <cell r="T81">
            <v>934848.26512500038</v>
          </cell>
          <cell r="U81">
            <v>1060649.5151250004</v>
          </cell>
          <cell r="V81">
            <v>1199350.3901250004</v>
          </cell>
          <cell r="W81">
            <v>1329098.2901250003</v>
          </cell>
          <cell r="X81">
            <v>1498481.5151250004</v>
          </cell>
          <cell r="Y81">
            <v>1822593.7901250005</v>
          </cell>
          <cell r="Z81">
            <v>234851.04121875009</v>
          </cell>
          <cell r="AA81">
            <v>355779.48243750015</v>
          </cell>
          <cell r="AB81">
            <v>474881.8236562502</v>
          </cell>
          <cell r="AC81">
            <v>582079.56487500027</v>
          </cell>
          <cell r="AD81">
            <v>712822.88109375036</v>
          </cell>
          <cell r="AE81">
            <v>845717.79731250042</v>
          </cell>
          <cell r="AF81">
            <v>978512.73853125051</v>
          </cell>
          <cell r="AG81">
            <v>1111010.0797500005</v>
          </cell>
          <cell r="AH81">
            <v>1243023.7459687507</v>
          </cell>
          <cell r="AI81">
            <v>1380834.0871875007</v>
          </cell>
          <cell r="AJ81">
            <v>1513825.3784062508</v>
          </cell>
          <cell r="AK81">
            <v>1643631.5696250009</v>
          </cell>
          <cell r="AL81">
            <v>132105.39121875007</v>
          </cell>
          <cell r="AM81">
            <v>260978.88243750014</v>
          </cell>
          <cell r="AN81">
            <v>401186.52365625021</v>
          </cell>
          <cell r="AO81">
            <v>540197.0898750003</v>
          </cell>
          <cell r="AP81">
            <v>680851.37231250037</v>
          </cell>
          <cell r="AQ81">
            <v>837339.65475000045</v>
          </cell>
          <cell r="AR81">
            <v>979911.23718750058</v>
          </cell>
          <cell r="AS81">
            <v>1117314.9446250007</v>
          </cell>
          <cell r="AT81">
            <v>1269371.3270625006</v>
          </cell>
          <cell r="AU81">
            <v>1437417.4845000007</v>
          </cell>
          <cell r="AV81">
            <v>1617620.7669375008</v>
          </cell>
          <cell r="AW81">
            <v>1940233.449375001</v>
          </cell>
          <cell r="AX81">
            <v>2545180.5568125015</v>
          </cell>
          <cell r="AY81">
            <v>3962439.1642500022</v>
          </cell>
          <cell r="AZ81">
            <v>5747782.4291250035</v>
          </cell>
          <cell r="BA81">
            <v>5924305.0541250035</v>
          </cell>
          <cell r="BB81">
            <v>5924305.0541250035</v>
          </cell>
        </row>
        <row r="82">
          <cell r="A82" t="str">
            <v>ytd</v>
          </cell>
          <cell r="B82">
            <v>64190.14762500002</v>
          </cell>
          <cell r="C82">
            <v>128380.29525000004</v>
          </cell>
          <cell r="D82">
            <v>184062.25537500007</v>
          </cell>
          <cell r="E82">
            <v>245659.01550000007</v>
          </cell>
          <cell r="F82">
            <v>314584.79184375005</v>
          </cell>
          <cell r="G82">
            <v>476998.81818750012</v>
          </cell>
          <cell r="H82">
            <v>558146.59453125019</v>
          </cell>
          <cell r="I82">
            <v>630972.29587500019</v>
          </cell>
          <cell r="J82">
            <v>715681.68843750027</v>
          </cell>
          <cell r="K82">
            <v>801125.40600000031</v>
          </cell>
          <cell r="L82">
            <v>898387.47356250032</v>
          </cell>
          <cell r="M82">
            <v>986975.53612500033</v>
          </cell>
          <cell r="N82">
            <v>1083683.5199062503</v>
          </cell>
          <cell r="O82">
            <v>1236009.5536875003</v>
          </cell>
          <cell r="P82">
            <v>1333726.3774687503</v>
          </cell>
          <cell r="Q82">
            <v>1440497.5762500004</v>
          </cell>
          <cell r="R82">
            <v>1575673.6012500005</v>
          </cell>
          <cell r="S82">
            <v>1771498.8262500006</v>
          </cell>
          <cell r="T82">
            <v>1921823.8012500007</v>
          </cell>
          <cell r="U82">
            <v>2047625.0512500007</v>
          </cell>
          <cell r="V82">
            <v>2186325.9262500009</v>
          </cell>
          <cell r="W82">
            <v>2316073.8262500009</v>
          </cell>
          <cell r="X82">
            <v>2485457.0512500009</v>
          </cell>
          <cell r="Y82">
            <v>2809569.3262500009</v>
          </cell>
          <cell r="Z82">
            <v>3044420.367468751</v>
          </cell>
          <cell r="AA82">
            <v>3165348.8086875011</v>
          </cell>
          <cell r="AB82">
            <v>3284451.1499062511</v>
          </cell>
          <cell r="AC82">
            <v>3391648.891125001</v>
          </cell>
          <cell r="AD82">
            <v>3522392.2073437511</v>
          </cell>
          <cell r="AE82">
            <v>3655287.1235625013</v>
          </cell>
          <cell r="AF82">
            <v>3788082.0647812514</v>
          </cell>
          <cell r="AG82">
            <v>3920579.4060000014</v>
          </cell>
          <cell r="AH82">
            <v>4052593.0722187515</v>
          </cell>
          <cell r="AI82">
            <v>4190403.4134375015</v>
          </cell>
          <cell r="AJ82">
            <v>4323394.7046562517</v>
          </cell>
          <cell r="AK82">
            <v>4453200.8958750013</v>
          </cell>
          <cell r="AL82">
            <v>4585306.2870937511</v>
          </cell>
          <cell r="AM82">
            <v>4714179.7783125015</v>
          </cell>
          <cell r="AN82">
            <v>4854387.4195312513</v>
          </cell>
          <cell r="AO82">
            <v>4993397.9857500009</v>
          </cell>
          <cell r="AP82">
            <v>5134052.2681875005</v>
          </cell>
          <cell r="AQ82">
            <v>5290540.5506250001</v>
          </cell>
          <cell r="AR82">
            <v>5433112.1330625005</v>
          </cell>
          <cell r="AS82">
            <v>5570515.8405000009</v>
          </cell>
          <cell r="AT82">
            <v>5722572.222937501</v>
          </cell>
          <cell r="AU82">
            <v>5890618.3803750016</v>
          </cell>
          <cell r="AV82">
            <v>6070821.6628125021</v>
          </cell>
          <cell r="AW82">
            <v>6393434.3452500021</v>
          </cell>
          <cell r="AX82">
            <v>6998381.4526875019</v>
          </cell>
          <cell r="AY82">
            <v>8415640.0601250026</v>
          </cell>
          <cell r="AZ82">
            <v>10200983.325000003</v>
          </cell>
          <cell r="BA82">
            <v>10377505.950000003</v>
          </cell>
          <cell r="BB82">
            <v>10377505.950000003</v>
          </cell>
        </row>
        <row r="83">
          <cell r="A83" t="str">
            <v>PART</v>
          </cell>
          <cell r="B83">
            <v>5486583.5574344639</v>
          </cell>
          <cell r="C83">
            <v>5486583.5574344639</v>
          </cell>
          <cell r="D83">
            <v>4833579.148027123</v>
          </cell>
          <cell r="E83">
            <v>4752944.6658318313</v>
          </cell>
          <cell r="F83">
            <v>4602959.6214199178</v>
          </cell>
          <cell r="G83">
            <v>8382785.1329569044</v>
          </cell>
          <cell r="H83">
            <v>5151250.4233460203</v>
          </cell>
          <cell r="I83">
            <v>4556222.1017607674</v>
          </cell>
          <cell r="J83">
            <v>4680012.8238629596</v>
          </cell>
          <cell r="K83">
            <v>5021128.3513817405</v>
          </cell>
          <cell r="L83">
            <v>5300073.4526051451</v>
          </cell>
          <cell r="M83">
            <v>4989550.5500320951</v>
          </cell>
          <cell r="N83">
            <v>5263425.6263340963</v>
          </cell>
          <cell r="O83">
            <v>8105447.7236114545</v>
          </cell>
          <cell r="P83">
            <v>5465237.3226725934</v>
          </cell>
          <cell r="Q83">
            <v>5617053.7938855682</v>
          </cell>
          <cell r="R83">
            <v>6607463.0893422989</v>
          </cell>
          <cell r="S83">
            <v>12022706.316854434</v>
          </cell>
          <cell r="T83">
            <v>8850913.1993380748</v>
          </cell>
          <cell r="U83">
            <v>6400516.3237662688</v>
          </cell>
          <cell r="V83">
            <v>7963306.1169920024</v>
          </cell>
          <cell r="W83">
            <v>7582479.3871581024</v>
          </cell>
          <cell r="X83">
            <v>9881996.7303997278</v>
          </cell>
          <cell r="Y83">
            <v>15400702.150339184</v>
          </cell>
          <cell r="Z83">
            <v>10236630.76501401</v>
          </cell>
          <cell r="AA83">
            <v>6993041.140644215</v>
          </cell>
          <cell r="AB83">
            <v>5957019.0156380367</v>
          </cell>
          <cell r="AC83">
            <v>5857233.6037770603</v>
          </cell>
          <cell r="AD83">
            <v>6354294.8103507236</v>
          </cell>
          <cell r="AE83">
            <v>6159698.2210410479</v>
          </cell>
          <cell r="AF83">
            <v>6314963.0974198598</v>
          </cell>
          <cell r="AG83">
            <v>6268878.7348361099</v>
          </cell>
          <cell r="AH83">
            <v>6409035.7594387438</v>
          </cell>
          <cell r="AI83">
            <v>6855953.3378594546</v>
          </cell>
          <cell r="AJ83">
            <v>6183919.0411375556</v>
          </cell>
          <cell r="AK83">
            <v>6238840.63383142</v>
          </cell>
          <cell r="AL83">
            <v>6263964.111698254</v>
          </cell>
          <cell r="AM83">
            <v>6330866.3235848462</v>
          </cell>
          <cell r="AN83">
            <v>6040471.1573459785</v>
          </cell>
          <cell r="AO83">
            <v>6266169.0771411043</v>
          </cell>
          <cell r="AP83">
            <v>6353509.9996953048</v>
          </cell>
          <cell r="AQ83">
            <v>6664167.9454835616</v>
          </cell>
          <cell r="AR83">
            <v>6715311.0146226352</v>
          </cell>
          <cell r="AS83">
            <v>6454934.692693688</v>
          </cell>
          <cell r="AT83">
            <v>7477292.3576519657</v>
          </cell>
          <cell r="AU83">
            <v>8131999.5380328726</v>
          </cell>
          <cell r="AV83">
            <v>9203857.5050400849</v>
          </cell>
          <cell r="AW83">
            <v>16791284.739384547</v>
          </cell>
          <cell r="AX83">
            <v>31194848.964984603</v>
          </cell>
          <cell r="AY83">
            <v>70053566.78163442</v>
          </cell>
          <cell r="AZ83">
            <v>83222751.496100187</v>
          </cell>
          <cell r="BA83">
            <v>10585846.492133101</v>
          </cell>
          <cell r="BB83">
            <v>0</v>
          </cell>
        </row>
        <row r="84">
          <cell r="A84" t="str">
            <v>ptd</v>
          </cell>
          <cell r="B84">
            <v>5486583.5574344639</v>
          </cell>
          <cell r="C84">
            <v>10973167.114868928</v>
          </cell>
          <cell r="D84">
            <v>15806746.26289605</v>
          </cell>
          <cell r="E84">
            <v>20559690.92872788</v>
          </cell>
          <cell r="F84">
            <v>4602959.6214199178</v>
          </cell>
          <cell r="G84">
            <v>12985744.754376821</v>
          </cell>
          <cell r="H84">
            <v>18136995.177722842</v>
          </cell>
          <cell r="I84">
            <v>22693217.279483609</v>
          </cell>
          <cell r="J84">
            <v>4680012.8238629596</v>
          </cell>
          <cell r="K84">
            <v>9701141.1752447002</v>
          </cell>
          <cell r="L84">
            <v>15001214.627849845</v>
          </cell>
          <cell r="M84">
            <v>19990765.177881941</v>
          </cell>
          <cell r="N84">
            <v>5263425.6263340963</v>
          </cell>
          <cell r="O84">
            <v>13368873.349945551</v>
          </cell>
          <cell r="P84">
            <v>18834110.672618143</v>
          </cell>
          <cell r="Q84">
            <v>24451164.46650371</v>
          </cell>
          <cell r="R84">
            <v>6607463.0893422989</v>
          </cell>
          <cell r="S84">
            <v>18630169.406196732</v>
          </cell>
          <cell r="T84">
            <v>27481082.605534807</v>
          </cell>
          <cell r="U84">
            <v>33881598.929301076</v>
          </cell>
          <cell r="V84">
            <v>7963306.1169920024</v>
          </cell>
          <cell r="W84">
            <v>15545785.504150104</v>
          </cell>
          <cell r="X84">
            <v>25427782.234549832</v>
          </cell>
          <cell r="Y84">
            <v>40828484.384889014</v>
          </cell>
          <cell r="Z84">
            <v>10236630.76501401</v>
          </cell>
          <cell r="AA84">
            <v>17229671.905658223</v>
          </cell>
          <cell r="AB84">
            <v>23186690.921296261</v>
          </cell>
          <cell r="AC84">
            <v>29043924.52507332</v>
          </cell>
          <cell r="AD84">
            <v>6354294.8103507236</v>
          </cell>
          <cell r="AE84">
            <v>12513993.031391772</v>
          </cell>
          <cell r="AF84">
            <v>18828956.128811631</v>
          </cell>
          <cell r="AG84">
            <v>25097834.86364774</v>
          </cell>
          <cell r="AH84">
            <v>6409035.7594387438</v>
          </cell>
          <cell r="AI84">
            <v>13264989.097298197</v>
          </cell>
          <cell r="AJ84">
            <v>19448908.138435751</v>
          </cell>
          <cell r="AK84">
            <v>25687748.77226717</v>
          </cell>
          <cell r="AL84">
            <v>6263964.111698254</v>
          </cell>
          <cell r="AM84">
            <v>12594830.4352831</v>
          </cell>
          <cell r="AN84">
            <v>18635301.592629079</v>
          </cell>
          <cell r="AO84">
            <v>24901470.669770181</v>
          </cell>
          <cell r="AP84">
            <v>6353509.9996953048</v>
          </cell>
          <cell r="AQ84">
            <v>13017677.945178866</v>
          </cell>
          <cell r="AR84">
            <v>19732988.959801503</v>
          </cell>
          <cell r="AS84">
            <v>26187923.652495191</v>
          </cell>
          <cell r="AT84">
            <v>7477292.3576519657</v>
          </cell>
          <cell r="AU84">
            <v>15609291.895684838</v>
          </cell>
          <cell r="AV84">
            <v>24813149.400724925</v>
          </cell>
          <cell r="AW84">
            <v>41604434.140109472</v>
          </cell>
          <cell r="AX84">
            <v>31194848.964984603</v>
          </cell>
          <cell r="AY84">
            <v>101248415.74661902</v>
          </cell>
          <cell r="AZ84">
            <v>184471167.2427192</v>
          </cell>
          <cell r="BA84">
            <v>195057013.73485231</v>
          </cell>
          <cell r="BB84">
            <v>195057013.73485231</v>
          </cell>
        </row>
        <row r="85">
          <cell r="A85" t="str">
            <v>qtd</v>
          </cell>
          <cell r="B85">
            <v>5486583.5574344639</v>
          </cell>
          <cell r="C85">
            <v>10973167.114868928</v>
          </cell>
          <cell r="D85">
            <v>15806746.26289605</v>
          </cell>
          <cell r="E85">
            <v>20559690.92872788</v>
          </cell>
          <cell r="F85">
            <v>25162650.550147798</v>
          </cell>
          <cell r="G85">
            <v>33545435.683104701</v>
          </cell>
          <cell r="H85">
            <v>38696686.106450722</v>
          </cell>
          <cell r="I85">
            <v>43252908.208211489</v>
          </cell>
          <cell r="J85">
            <v>47932921.032074451</v>
          </cell>
          <cell r="K85">
            <v>52954049.383456193</v>
          </cell>
          <cell r="L85">
            <v>58254122.836061336</v>
          </cell>
          <cell r="M85">
            <v>63243673.38609343</v>
          </cell>
          <cell r="N85">
            <v>5263425.6263340963</v>
          </cell>
          <cell r="O85">
            <v>13368873.349945551</v>
          </cell>
          <cell r="P85">
            <v>18834110.672618143</v>
          </cell>
          <cell r="Q85">
            <v>24451164.46650371</v>
          </cell>
          <cell r="R85">
            <v>31058627.555846009</v>
          </cell>
          <cell r="S85">
            <v>43081333.872700445</v>
          </cell>
          <cell r="T85">
            <v>51932247.072038516</v>
          </cell>
          <cell r="U85">
            <v>58332763.395804785</v>
          </cell>
          <cell r="V85">
            <v>66296069.512796789</v>
          </cell>
          <cell r="W85">
            <v>73878548.899954885</v>
          </cell>
          <cell r="X85">
            <v>83760545.630354613</v>
          </cell>
          <cell r="Y85">
            <v>99161247.780693799</v>
          </cell>
          <cell r="Z85">
            <v>10236630.76501401</v>
          </cell>
          <cell r="AA85">
            <v>17229671.905658223</v>
          </cell>
          <cell r="AB85">
            <v>23186690.921296261</v>
          </cell>
          <cell r="AC85">
            <v>29043924.52507332</v>
          </cell>
          <cell r="AD85">
            <v>35398219.335424043</v>
          </cell>
          <cell r="AE85">
            <v>41557917.556465089</v>
          </cell>
          <cell r="AF85">
            <v>47872880.653884947</v>
          </cell>
          <cell r="AG85">
            <v>54141759.388721056</v>
          </cell>
          <cell r="AH85">
            <v>60550795.148159802</v>
          </cell>
          <cell r="AI85">
            <v>67406748.486019254</v>
          </cell>
          <cell r="AJ85">
            <v>73590667.527156815</v>
          </cell>
          <cell r="AK85">
            <v>79829508.160988241</v>
          </cell>
          <cell r="AL85">
            <v>6263964.111698254</v>
          </cell>
          <cell r="AM85">
            <v>12594830.4352831</v>
          </cell>
          <cell r="AN85">
            <v>18635301.592629079</v>
          </cell>
          <cell r="AO85">
            <v>24901470.669770181</v>
          </cell>
          <cell r="AP85">
            <v>31254980.669465486</v>
          </cell>
          <cell r="AQ85">
            <v>37919148.614949048</v>
          </cell>
          <cell r="AR85">
            <v>44634459.629571684</v>
          </cell>
          <cell r="AS85">
            <v>51089394.322265372</v>
          </cell>
          <cell r="AT85">
            <v>58566686.679917336</v>
          </cell>
          <cell r="AU85">
            <v>66698686.21795021</v>
          </cell>
          <cell r="AV85">
            <v>75902543.722990289</v>
          </cell>
          <cell r="AW85">
            <v>92693828.462374836</v>
          </cell>
          <cell r="AX85">
            <v>123888677.42735943</v>
          </cell>
          <cell r="AY85">
            <v>193942244.20899385</v>
          </cell>
          <cell r="AZ85">
            <v>277164995.70509404</v>
          </cell>
          <cell r="BA85">
            <v>287750842.19722712</v>
          </cell>
          <cell r="BB85">
            <v>287750842.19722712</v>
          </cell>
        </row>
        <row r="86">
          <cell r="A86" t="str">
            <v>ytd</v>
          </cell>
          <cell r="B86">
            <v>5486583.5574344639</v>
          </cell>
          <cell r="C86">
            <v>10973167.114868928</v>
          </cell>
          <cell r="D86">
            <v>15806746.26289605</v>
          </cell>
          <cell r="E86">
            <v>20559690.92872788</v>
          </cell>
          <cell r="F86">
            <v>25162650.550147798</v>
          </cell>
          <cell r="G86">
            <v>33545435.683104701</v>
          </cell>
          <cell r="H86">
            <v>38696686.106450722</v>
          </cell>
          <cell r="I86">
            <v>43252908.208211489</v>
          </cell>
          <cell r="J86">
            <v>47932921.032074451</v>
          </cell>
          <cell r="K86">
            <v>52954049.383456193</v>
          </cell>
          <cell r="L86">
            <v>58254122.836061336</v>
          </cell>
          <cell r="M86">
            <v>63243673.38609343</v>
          </cell>
          <cell r="N86">
            <v>68507099.012427524</v>
          </cell>
          <cell r="O86">
            <v>76612546.736038983</v>
          </cell>
          <cell r="P86">
            <v>82077784.058711573</v>
          </cell>
          <cell r="Q86">
            <v>87694837.852597147</v>
          </cell>
          <cell r="R86">
            <v>94302300.941939443</v>
          </cell>
          <cell r="S86">
            <v>106325007.25879388</v>
          </cell>
          <cell r="T86">
            <v>115175920.45813195</v>
          </cell>
          <cell r="U86">
            <v>121576436.78189823</v>
          </cell>
          <cell r="V86">
            <v>129539742.89889023</v>
          </cell>
          <cell r="W86">
            <v>137122222.28604832</v>
          </cell>
          <cell r="X86">
            <v>147004219.01644805</v>
          </cell>
          <cell r="Y86">
            <v>162404921.16678724</v>
          </cell>
          <cell r="Z86">
            <v>172641551.93180126</v>
          </cell>
          <cell r="AA86">
            <v>179634593.07244548</v>
          </cell>
          <cell r="AB86">
            <v>185591612.08808351</v>
          </cell>
          <cell r="AC86">
            <v>191448845.69186056</v>
          </cell>
          <cell r="AD86">
            <v>197803140.50221127</v>
          </cell>
          <cell r="AE86">
            <v>203962838.72325233</v>
          </cell>
          <cell r="AF86">
            <v>210277801.82067218</v>
          </cell>
          <cell r="AG86">
            <v>216546680.55550829</v>
          </cell>
          <cell r="AH86">
            <v>222955716.31494704</v>
          </cell>
          <cell r="AI86">
            <v>229811669.65280649</v>
          </cell>
          <cell r="AJ86">
            <v>235995588.69394404</v>
          </cell>
          <cell r="AK86">
            <v>242234429.32777545</v>
          </cell>
          <cell r="AL86">
            <v>248498393.43947369</v>
          </cell>
          <cell r="AM86">
            <v>254829259.76305854</v>
          </cell>
          <cell r="AN86">
            <v>260869730.92040452</v>
          </cell>
          <cell r="AO86">
            <v>267135899.99754563</v>
          </cell>
          <cell r="AP86">
            <v>273489409.99724096</v>
          </cell>
          <cell r="AQ86">
            <v>280153577.94272453</v>
          </cell>
          <cell r="AR86">
            <v>286868888.95734715</v>
          </cell>
          <cell r="AS86">
            <v>293323823.65004086</v>
          </cell>
          <cell r="AT86">
            <v>300801116.00769281</v>
          </cell>
          <cell r="AU86">
            <v>308933115.5457257</v>
          </cell>
          <cell r="AV86">
            <v>318136973.05076581</v>
          </cell>
          <cell r="AW86">
            <v>334928257.79015034</v>
          </cell>
          <cell r="AX86">
            <v>366123106.75513494</v>
          </cell>
          <cell r="AY86">
            <v>436176673.53676939</v>
          </cell>
          <cell r="AZ86">
            <v>519399425.03286958</v>
          </cell>
          <cell r="BA86">
            <v>529985271.52500266</v>
          </cell>
          <cell r="BB86">
            <v>529985271.52500266</v>
          </cell>
        </row>
        <row r="87">
          <cell r="A87" t="str">
            <v>PRED</v>
          </cell>
          <cell r="B87">
            <v>1695530</v>
          </cell>
          <cell r="C87">
            <v>1736574</v>
          </cell>
          <cell r="D87">
            <v>1755757</v>
          </cell>
          <cell r="E87">
            <v>1856935</v>
          </cell>
          <cell r="F87">
            <v>2039139</v>
          </cell>
          <cell r="G87">
            <v>2004544</v>
          </cell>
          <cell r="H87">
            <v>1990558</v>
          </cell>
          <cell r="I87">
            <v>1988169</v>
          </cell>
          <cell r="J87">
            <v>2198418</v>
          </cell>
          <cell r="K87">
            <v>2157601</v>
          </cell>
          <cell r="L87">
            <v>2065431</v>
          </cell>
          <cell r="M87">
            <v>2183508</v>
          </cell>
          <cell r="N87">
            <v>2213600</v>
          </cell>
          <cell r="O87">
            <v>2292289</v>
          </cell>
          <cell r="P87">
            <v>2110415</v>
          </cell>
          <cell r="Q87">
            <v>2134528</v>
          </cell>
          <cell r="R87">
            <v>2212894</v>
          </cell>
          <cell r="S87">
            <v>2423573</v>
          </cell>
          <cell r="T87">
            <v>2224293</v>
          </cell>
          <cell r="U87">
            <v>2284001</v>
          </cell>
          <cell r="V87">
            <v>2354085</v>
          </cell>
          <cell r="W87">
            <v>2422090</v>
          </cell>
          <cell r="X87">
            <v>2515507</v>
          </cell>
          <cell r="Y87">
            <v>2487437</v>
          </cell>
          <cell r="Z87">
            <v>2621956</v>
          </cell>
          <cell r="AA87">
            <v>2562602</v>
          </cell>
          <cell r="AB87">
            <v>2539495</v>
          </cell>
          <cell r="AC87">
            <v>2505983</v>
          </cell>
          <cell r="AD87">
            <v>2649043</v>
          </cell>
          <cell r="AE87">
            <v>2543203</v>
          </cell>
          <cell r="AF87">
            <v>2662429</v>
          </cell>
          <cell r="AG87">
            <v>2565132</v>
          </cell>
          <cell r="AH87">
            <v>2606547</v>
          </cell>
          <cell r="AI87">
            <v>2634527</v>
          </cell>
          <cell r="AJ87">
            <v>2665652</v>
          </cell>
          <cell r="AK87">
            <v>2630685</v>
          </cell>
          <cell r="AL87">
            <v>2752402</v>
          </cell>
          <cell r="AM87">
            <v>2759891</v>
          </cell>
          <cell r="AN87">
            <v>2751001</v>
          </cell>
          <cell r="AO87">
            <v>2894270</v>
          </cell>
          <cell r="AP87">
            <v>2832006</v>
          </cell>
          <cell r="AQ87">
            <v>2888717</v>
          </cell>
          <cell r="AR87">
            <v>2795846</v>
          </cell>
          <cell r="AS87">
            <v>2916702</v>
          </cell>
          <cell r="AT87">
            <v>2962538</v>
          </cell>
          <cell r="AU87">
            <v>2927023</v>
          </cell>
          <cell r="AV87">
            <v>2892489</v>
          </cell>
          <cell r="AW87">
            <v>3182661</v>
          </cell>
          <cell r="AX87">
            <v>3311049</v>
          </cell>
          <cell r="AY87">
            <v>3343578</v>
          </cell>
          <cell r="AZ87">
            <v>3327023</v>
          </cell>
          <cell r="BA87">
            <v>3430707</v>
          </cell>
          <cell r="BB87">
            <v>0</v>
          </cell>
        </row>
        <row r="88">
          <cell r="A88" t="str">
            <v>ptd</v>
          </cell>
          <cell r="B88">
            <v>1695530</v>
          </cell>
          <cell r="C88">
            <v>3432104</v>
          </cell>
          <cell r="D88">
            <v>5187861</v>
          </cell>
          <cell r="E88">
            <v>7044796</v>
          </cell>
          <cell r="F88">
            <v>2039139</v>
          </cell>
          <cell r="G88">
            <v>4043683</v>
          </cell>
          <cell r="H88">
            <v>6034241</v>
          </cell>
          <cell r="I88">
            <v>8022410</v>
          </cell>
          <cell r="J88">
            <v>2198418</v>
          </cell>
          <cell r="K88">
            <v>4356019</v>
          </cell>
          <cell r="L88">
            <v>6421450</v>
          </cell>
          <cell r="M88">
            <v>8604958</v>
          </cell>
          <cell r="N88">
            <v>2213600</v>
          </cell>
          <cell r="O88">
            <v>4505889</v>
          </cell>
          <cell r="P88">
            <v>6616304</v>
          </cell>
          <cell r="Q88">
            <v>8750832</v>
          </cell>
          <cell r="R88">
            <v>2212894</v>
          </cell>
          <cell r="S88">
            <v>4636467</v>
          </cell>
          <cell r="T88">
            <v>6860760</v>
          </cell>
          <cell r="U88">
            <v>9144761</v>
          </cell>
          <cell r="V88">
            <v>2354085</v>
          </cell>
          <cell r="W88">
            <v>4776175</v>
          </cell>
          <cell r="X88">
            <v>7291682</v>
          </cell>
          <cell r="Y88">
            <v>9779119</v>
          </cell>
          <cell r="Z88">
            <v>2621956</v>
          </cell>
          <cell r="AA88">
            <v>5184558</v>
          </cell>
          <cell r="AB88">
            <v>7724053</v>
          </cell>
          <cell r="AC88">
            <v>10230036</v>
          </cell>
          <cell r="AD88">
            <v>2649043</v>
          </cell>
          <cell r="AE88">
            <v>5192246</v>
          </cell>
          <cell r="AF88">
            <v>7854675</v>
          </cell>
          <cell r="AG88">
            <v>10419807</v>
          </cell>
          <cell r="AH88">
            <v>2606547</v>
          </cell>
          <cell r="AI88">
            <v>5241074</v>
          </cell>
          <cell r="AJ88">
            <v>7906726</v>
          </cell>
          <cell r="AK88">
            <v>10537411</v>
          </cell>
          <cell r="AL88">
            <v>2752402</v>
          </cell>
          <cell r="AM88">
            <v>5512293</v>
          </cell>
          <cell r="AN88">
            <v>8263294</v>
          </cell>
          <cell r="AO88">
            <v>11157564</v>
          </cell>
          <cell r="AP88">
            <v>2832006</v>
          </cell>
          <cell r="AQ88">
            <v>5720723</v>
          </cell>
          <cell r="AR88">
            <v>8516569</v>
          </cell>
          <cell r="AS88">
            <v>11433271</v>
          </cell>
          <cell r="AT88">
            <v>2962538</v>
          </cell>
          <cell r="AU88">
            <v>5889561</v>
          </cell>
          <cell r="AV88">
            <v>8782050</v>
          </cell>
          <cell r="AW88">
            <v>11964711</v>
          </cell>
          <cell r="AX88">
            <v>3311049</v>
          </cell>
          <cell r="AY88">
            <v>6654627</v>
          </cell>
          <cell r="AZ88">
            <v>9981650</v>
          </cell>
          <cell r="BA88">
            <v>13412357</v>
          </cell>
          <cell r="BB88">
            <v>13412357</v>
          </cell>
        </row>
        <row r="89">
          <cell r="A89" t="str">
            <v>qtd</v>
          </cell>
          <cell r="B89">
            <v>1695530</v>
          </cell>
          <cell r="C89">
            <v>3432104</v>
          </cell>
          <cell r="D89">
            <v>5187861</v>
          </cell>
          <cell r="E89">
            <v>7044796</v>
          </cell>
          <cell r="F89">
            <v>9083935</v>
          </cell>
          <cell r="G89">
            <v>11088479</v>
          </cell>
          <cell r="H89">
            <v>13079037</v>
          </cell>
          <cell r="I89">
            <v>15067206</v>
          </cell>
          <cell r="J89">
            <v>17265624</v>
          </cell>
          <cell r="K89">
            <v>19423225</v>
          </cell>
          <cell r="L89">
            <v>21488656</v>
          </cell>
          <cell r="M89">
            <v>23672164</v>
          </cell>
          <cell r="N89">
            <v>2213600</v>
          </cell>
          <cell r="O89">
            <v>4505889</v>
          </cell>
          <cell r="P89">
            <v>6616304</v>
          </cell>
          <cell r="Q89">
            <v>8750832</v>
          </cell>
          <cell r="R89">
            <v>10963726</v>
          </cell>
          <cell r="S89">
            <v>13387299</v>
          </cell>
          <cell r="T89">
            <v>15611592</v>
          </cell>
          <cell r="U89">
            <v>17895593</v>
          </cell>
          <cell r="V89">
            <v>20249678</v>
          </cell>
          <cell r="W89">
            <v>22671768</v>
          </cell>
          <cell r="X89">
            <v>25187275</v>
          </cell>
          <cell r="Y89">
            <v>27674712</v>
          </cell>
          <cell r="Z89">
            <v>2621956</v>
          </cell>
          <cell r="AA89">
            <v>5184558</v>
          </cell>
          <cell r="AB89">
            <v>7724053</v>
          </cell>
          <cell r="AC89">
            <v>10230036</v>
          </cell>
          <cell r="AD89">
            <v>12879079</v>
          </cell>
          <cell r="AE89">
            <v>15422282</v>
          </cell>
          <cell r="AF89">
            <v>18084711</v>
          </cell>
          <cell r="AG89">
            <v>20649843</v>
          </cell>
          <cell r="AH89">
            <v>23256390</v>
          </cell>
          <cell r="AI89">
            <v>25890917</v>
          </cell>
          <cell r="AJ89">
            <v>28556569</v>
          </cell>
          <cell r="AK89">
            <v>31187254</v>
          </cell>
          <cell r="AL89">
            <v>2752402</v>
          </cell>
          <cell r="AM89">
            <v>5512293</v>
          </cell>
          <cell r="AN89">
            <v>8263294</v>
          </cell>
          <cell r="AO89">
            <v>11157564</v>
          </cell>
          <cell r="AP89">
            <v>13989570</v>
          </cell>
          <cell r="AQ89">
            <v>16878287</v>
          </cell>
          <cell r="AR89">
            <v>19674133</v>
          </cell>
          <cell r="AS89">
            <v>22590835</v>
          </cell>
          <cell r="AT89">
            <v>25553373</v>
          </cell>
          <cell r="AU89">
            <v>28480396</v>
          </cell>
          <cell r="AV89">
            <v>31372885</v>
          </cell>
          <cell r="AW89">
            <v>34555546</v>
          </cell>
          <cell r="AX89">
            <v>37866595</v>
          </cell>
          <cell r="AY89">
            <v>41210173</v>
          </cell>
          <cell r="AZ89">
            <v>44537196</v>
          </cell>
          <cell r="BA89">
            <v>47967903</v>
          </cell>
          <cell r="BB89">
            <v>47967903</v>
          </cell>
        </row>
        <row r="90">
          <cell r="A90" t="str">
            <v>ytd</v>
          </cell>
          <cell r="B90">
            <v>1695530</v>
          </cell>
          <cell r="C90">
            <v>3432104</v>
          </cell>
          <cell r="D90">
            <v>5187861</v>
          </cell>
          <cell r="E90">
            <v>7044796</v>
          </cell>
          <cell r="F90">
            <v>9083935</v>
          </cell>
          <cell r="G90">
            <v>11088479</v>
          </cell>
          <cell r="H90">
            <v>13079037</v>
          </cell>
          <cell r="I90">
            <v>15067206</v>
          </cell>
          <cell r="J90">
            <v>17265624</v>
          </cell>
          <cell r="K90">
            <v>19423225</v>
          </cell>
          <cell r="L90">
            <v>21488656</v>
          </cell>
          <cell r="M90">
            <v>23672164</v>
          </cell>
          <cell r="N90">
            <v>25885764</v>
          </cell>
          <cell r="O90">
            <v>28178053</v>
          </cell>
          <cell r="P90">
            <v>30288468</v>
          </cell>
          <cell r="Q90">
            <v>32422996</v>
          </cell>
          <cell r="R90">
            <v>34635890</v>
          </cell>
          <cell r="S90">
            <v>37059463</v>
          </cell>
          <cell r="T90">
            <v>39283756</v>
          </cell>
          <cell r="U90">
            <v>41567757</v>
          </cell>
          <cell r="V90">
            <v>43921842</v>
          </cell>
          <cell r="W90">
            <v>46343932</v>
          </cell>
          <cell r="X90">
            <v>48859439</v>
          </cell>
          <cell r="Y90">
            <v>51346876</v>
          </cell>
          <cell r="Z90">
            <v>53968832</v>
          </cell>
          <cell r="AA90">
            <v>56531434</v>
          </cell>
          <cell r="AB90">
            <v>59070929</v>
          </cell>
          <cell r="AC90">
            <v>61576912</v>
          </cell>
          <cell r="AD90">
            <v>64225955</v>
          </cell>
          <cell r="AE90">
            <v>66769158</v>
          </cell>
          <cell r="AF90">
            <v>69431587</v>
          </cell>
          <cell r="AG90">
            <v>71996719</v>
          </cell>
          <cell r="AH90">
            <v>74603266</v>
          </cell>
          <cell r="AI90">
            <v>77237793</v>
          </cell>
          <cell r="AJ90">
            <v>79903445</v>
          </cell>
          <cell r="AK90">
            <v>82534130</v>
          </cell>
          <cell r="AL90">
            <v>85286532</v>
          </cell>
          <cell r="AM90">
            <v>88046423</v>
          </cell>
          <cell r="AN90">
            <v>90797424</v>
          </cell>
          <cell r="AO90">
            <v>93691694</v>
          </cell>
          <cell r="AP90">
            <v>96523700</v>
          </cell>
          <cell r="AQ90">
            <v>99412417</v>
          </cell>
          <cell r="AR90">
            <v>102208263</v>
          </cell>
          <cell r="AS90">
            <v>105124965</v>
          </cell>
          <cell r="AT90">
            <v>108087503</v>
          </cell>
          <cell r="AU90">
            <v>111014526</v>
          </cell>
          <cell r="AV90">
            <v>113907015</v>
          </cell>
          <cell r="AW90">
            <v>117089676</v>
          </cell>
          <cell r="AX90">
            <v>120400725</v>
          </cell>
          <cell r="AY90">
            <v>123744303</v>
          </cell>
          <cell r="AZ90">
            <v>127071326</v>
          </cell>
          <cell r="BA90">
            <v>130502033</v>
          </cell>
          <cell r="BB90">
            <v>130502033</v>
          </cell>
        </row>
        <row r="91">
          <cell r="A91" t="str">
            <v>PREG</v>
          </cell>
          <cell r="B91">
            <v>2574832</v>
          </cell>
          <cell r="C91">
            <v>2416804</v>
          </cell>
          <cell r="D91">
            <v>2311681</v>
          </cell>
          <cell r="E91">
            <v>2357837</v>
          </cell>
          <cell r="F91">
            <v>2532108</v>
          </cell>
          <cell r="G91">
            <v>3033873</v>
          </cell>
          <cell r="H91">
            <v>2350345</v>
          </cell>
          <cell r="I91">
            <v>2381287</v>
          </cell>
          <cell r="J91">
            <v>2503625</v>
          </cell>
          <cell r="K91">
            <v>2586500</v>
          </cell>
          <cell r="L91">
            <v>2542059</v>
          </cell>
          <cell r="M91">
            <v>2476629</v>
          </cell>
          <cell r="N91">
            <v>2534338</v>
          </cell>
          <cell r="O91">
            <v>3059783</v>
          </cell>
          <cell r="P91">
            <v>2643180</v>
          </cell>
          <cell r="Q91">
            <v>3203970</v>
          </cell>
          <cell r="R91">
            <v>3020090</v>
          </cell>
          <cell r="S91">
            <v>4696914</v>
          </cell>
          <cell r="T91">
            <v>4060627</v>
          </cell>
          <cell r="U91">
            <v>3948125</v>
          </cell>
          <cell r="V91">
            <v>4059298</v>
          </cell>
          <cell r="W91">
            <v>5001061</v>
          </cell>
          <cell r="X91">
            <v>5918736</v>
          </cell>
          <cell r="Y91">
            <v>4131039</v>
          </cell>
          <cell r="Z91">
            <v>3164297</v>
          </cell>
          <cell r="AA91">
            <v>2819580</v>
          </cell>
          <cell r="AB91">
            <v>2843422</v>
          </cell>
          <cell r="AC91">
            <v>2941272</v>
          </cell>
          <cell r="AD91">
            <v>2985764</v>
          </cell>
          <cell r="AE91">
            <v>3065443</v>
          </cell>
          <cell r="AF91">
            <v>3129116</v>
          </cell>
          <cell r="AG91">
            <v>3234146</v>
          </cell>
          <cell r="AH91">
            <v>3373942</v>
          </cell>
          <cell r="AI91">
            <v>3062488</v>
          </cell>
          <cell r="AJ91">
            <v>2753398</v>
          </cell>
          <cell r="AK91">
            <v>2901930</v>
          </cell>
          <cell r="AL91">
            <v>2957881</v>
          </cell>
          <cell r="AM91">
            <v>2956659</v>
          </cell>
          <cell r="AN91">
            <v>3029170</v>
          </cell>
          <cell r="AO91">
            <v>2899263</v>
          </cell>
          <cell r="AP91">
            <v>2865233</v>
          </cell>
          <cell r="AQ91">
            <v>2794429</v>
          </cell>
          <cell r="AR91">
            <v>2884021</v>
          </cell>
          <cell r="AS91">
            <v>2950919</v>
          </cell>
          <cell r="AT91">
            <v>2970132</v>
          </cell>
          <cell r="AU91">
            <v>3377068</v>
          </cell>
          <cell r="AV91">
            <v>3600964</v>
          </cell>
          <cell r="AW91">
            <v>5923768</v>
          </cell>
          <cell r="AX91">
            <v>11523769</v>
          </cell>
          <cell r="AY91">
            <v>28449914</v>
          </cell>
          <cell r="AZ91">
            <v>32163954</v>
          </cell>
          <cell r="BA91">
            <v>4922513</v>
          </cell>
          <cell r="BB91">
            <v>0</v>
          </cell>
        </row>
        <row r="92">
          <cell r="A92" t="str">
            <v>ptd</v>
          </cell>
          <cell r="B92">
            <v>2574832</v>
          </cell>
          <cell r="C92">
            <v>4991636</v>
          </cell>
          <cell r="D92">
            <v>7303317</v>
          </cell>
          <cell r="E92">
            <v>9661154</v>
          </cell>
          <cell r="F92">
            <v>2532108</v>
          </cell>
          <cell r="G92">
            <v>5565981</v>
          </cell>
          <cell r="H92">
            <v>7916326</v>
          </cell>
          <cell r="I92">
            <v>10297613</v>
          </cell>
          <cell r="J92">
            <v>2503625</v>
          </cell>
          <cell r="K92">
            <v>5090125</v>
          </cell>
          <cell r="L92">
            <v>7632184</v>
          </cell>
          <cell r="M92">
            <v>10108813</v>
          </cell>
          <cell r="N92">
            <v>2534338</v>
          </cell>
          <cell r="O92">
            <v>5594121</v>
          </cell>
          <cell r="P92">
            <v>8237301</v>
          </cell>
          <cell r="Q92">
            <v>11441271</v>
          </cell>
          <cell r="R92">
            <v>3020090</v>
          </cell>
          <cell r="S92">
            <v>7717004</v>
          </cell>
          <cell r="T92">
            <v>11777631</v>
          </cell>
          <cell r="U92">
            <v>15725756</v>
          </cell>
          <cell r="V92">
            <v>4059298</v>
          </cell>
          <cell r="W92">
            <v>9060359</v>
          </cell>
          <cell r="X92">
            <v>14979095</v>
          </cell>
          <cell r="Y92">
            <v>19110134</v>
          </cell>
          <cell r="Z92">
            <v>3164297</v>
          </cell>
          <cell r="AA92">
            <v>5983877</v>
          </cell>
          <cell r="AB92">
            <v>8827299</v>
          </cell>
          <cell r="AC92">
            <v>11768571</v>
          </cell>
          <cell r="AD92">
            <v>2985764</v>
          </cell>
          <cell r="AE92">
            <v>6051207</v>
          </cell>
          <cell r="AF92">
            <v>9180323</v>
          </cell>
          <cell r="AG92">
            <v>12414469</v>
          </cell>
          <cell r="AH92">
            <v>3373942</v>
          </cell>
          <cell r="AI92">
            <v>6436430</v>
          </cell>
          <cell r="AJ92">
            <v>9189828</v>
          </cell>
          <cell r="AK92">
            <v>12091758</v>
          </cell>
          <cell r="AL92">
            <v>2957881</v>
          </cell>
          <cell r="AM92">
            <v>5914540</v>
          </cell>
          <cell r="AN92">
            <v>8943710</v>
          </cell>
          <cell r="AO92">
            <v>11842973</v>
          </cell>
          <cell r="AP92">
            <v>2865233</v>
          </cell>
          <cell r="AQ92">
            <v>5659662</v>
          </cell>
          <cell r="AR92">
            <v>8543683</v>
          </cell>
          <cell r="AS92">
            <v>11494602</v>
          </cell>
          <cell r="AT92">
            <v>2970132</v>
          </cell>
          <cell r="AU92">
            <v>6347200</v>
          </cell>
          <cell r="AV92">
            <v>9948164</v>
          </cell>
          <cell r="AW92">
            <v>15871932</v>
          </cell>
          <cell r="AX92">
            <v>11523769</v>
          </cell>
          <cell r="AY92">
            <v>39973683</v>
          </cell>
          <cell r="AZ92">
            <v>72137637</v>
          </cell>
          <cell r="BA92">
            <v>77060150</v>
          </cell>
          <cell r="BB92">
            <v>77060150</v>
          </cell>
        </row>
        <row r="93">
          <cell r="A93" t="str">
            <v>qtd</v>
          </cell>
          <cell r="B93">
            <v>2574832</v>
          </cell>
          <cell r="C93">
            <v>4991636</v>
          </cell>
          <cell r="D93">
            <v>7303317</v>
          </cell>
          <cell r="E93">
            <v>9661154</v>
          </cell>
          <cell r="F93">
            <v>12193262</v>
          </cell>
          <cell r="G93">
            <v>15227135</v>
          </cell>
          <cell r="H93">
            <v>17577480</v>
          </cell>
          <cell r="I93">
            <v>19958767</v>
          </cell>
          <cell r="J93">
            <v>22462392</v>
          </cell>
          <cell r="K93">
            <v>25048892</v>
          </cell>
          <cell r="L93">
            <v>27590951</v>
          </cell>
          <cell r="M93">
            <v>30067580</v>
          </cell>
          <cell r="N93">
            <v>2534338</v>
          </cell>
          <cell r="O93">
            <v>5594121</v>
          </cell>
          <cell r="P93">
            <v>8237301</v>
          </cell>
          <cell r="Q93">
            <v>11441271</v>
          </cell>
          <cell r="R93">
            <v>14461361</v>
          </cell>
          <cell r="S93">
            <v>19158275</v>
          </cell>
          <cell r="T93">
            <v>23218902</v>
          </cell>
          <cell r="U93">
            <v>27167027</v>
          </cell>
          <cell r="V93">
            <v>31226325</v>
          </cell>
          <cell r="W93">
            <v>36227386</v>
          </cell>
          <cell r="X93">
            <v>42146122</v>
          </cell>
          <cell r="Y93">
            <v>46277161</v>
          </cell>
          <cell r="Z93">
            <v>3164297</v>
          </cell>
          <cell r="AA93">
            <v>5983877</v>
          </cell>
          <cell r="AB93">
            <v>8827299</v>
          </cell>
          <cell r="AC93">
            <v>11768571</v>
          </cell>
          <cell r="AD93">
            <v>14754335</v>
          </cell>
          <cell r="AE93">
            <v>17819778</v>
          </cell>
          <cell r="AF93">
            <v>20948894</v>
          </cell>
          <cell r="AG93">
            <v>24183040</v>
          </cell>
          <cell r="AH93">
            <v>27556982</v>
          </cell>
          <cell r="AI93">
            <v>30619470</v>
          </cell>
          <cell r="AJ93">
            <v>33372868</v>
          </cell>
          <cell r="AK93">
            <v>36274798</v>
          </cell>
          <cell r="AL93">
            <v>2957881</v>
          </cell>
          <cell r="AM93">
            <v>5914540</v>
          </cell>
          <cell r="AN93">
            <v>8943710</v>
          </cell>
          <cell r="AO93">
            <v>11842973</v>
          </cell>
          <cell r="AP93">
            <v>14708206</v>
          </cell>
          <cell r="AQ93">
            <v>17502635</v>
          </cell>
          <cell r="AR93">
            <v>20386656</v>
          </cell>
          <cell r="AS93">
            <v>23337575</v>
          </cell>
          <cell r="AT93">
            <v>26307707</v>
          </cell>
          <cell r="AU93">
            <v>29684775</v>
          </cell>
          <cell r="AV93">
            <v>33285739</v>
          </cell>
          <cell r="AW93">
            <v>39209507</v>
          </cell>
          <cell r="AX93">
            <v>50733276</v>
          </cell>
          <cell r="AY93">
            <v>79183190</v>
          </cell>
          <cell r="AZ93">
            <v>111347144</v>
          </cell>
          <cell r="BA93">
            <v>116269657</v>
          </cell>
          <cell r="BB93">
            <v>116269657</v>
          </cell>
        </row>
        <row r="94">
          <cell r="A94" t="str">
            <v>ytd</v>
          </cell>
          <cell r="B94">
            <v>2574832</v>
          </cell>
          <cell r="C94">
            <v>4991636</v>
          </cell>
          <cell r="D94">
            <v>7303317</v>
          </cell>
          <cell r="E94">
            <v>9661154</v>
          </cell>
          <cell r="F94">
            <v>12193262</v>
          </cell>
          <cell r="G94">
            <v>15227135</v>
          </cell>
          <cell r="H94">
            <v>17577480</v>
          </cell>
          <cell r="I94">
            <v>19958767</v>
          </cell>
          <cell r="J94">
            <v>22462392</v>
          </cell>
          <cell r="K94">
            <v>25048892</v>
          </cell>
          <cell r="L94">
            <v>27590951</v>
          </cell>
          <cell r="M94">
            <v>30067580</v>
          </cell>
          <cell r="N94">
            <v>32601918</v>
          </cell>
          <cell r="O94">
            <v>35661701</v>
          </cell>
          <cell r="P94">
            <v>38304881</v>
          </cell>
          <cell r="Q94">
            <v>41508851</v>
          </cell>
          <cell r="R94">
            <v>44528941</v>
          </cell>
          <cell r="S94">
            <v>49225855</v>
          </cell>
          <cell r="T94">
            <v>53286482</v>
          </cell>
          <cell r="U94">
            <v>57234607</v>
          </cell>
          <cell r="V94">
            <v>61293905</v>
          </cell>
          <cell r="W94">
            <v>66294966</v>
          </cell>
          <cell r="X94">
            <v>72213702</v>
          </cell>
          <cell r="Y94">
            <v>76344741</v>
          </cell>
          <cell r="Z94">
            <v>79509038</v>
          </cell>
          <cell r="AA94">
            <v>82328618</v>
          </cell>
          <cell r="AB94">
            <v>85172040</v>
          </cell>
          <cell r="AC94">
            <v>88113312</v>
          </cell>
          <cell r="AD94">
            <v>91099076</v>
          </cell>
          <cell r="AE94">
            <v>94164519</v>
          </cell>
          <cell r="AF94">
            <v>97293635</v>
          </cell>
          <cell r="AG94">
            <v>100527781</v>
          </cell>
          <cell r="AH94">
            <v>103901723</v>
          </cell>
          <cell r="AI94">
            <v>106964211</v>
          </cell>
          <cell r="AJ94">
            <v>109717609</v>
          </cell>
          <cell r="AK94">
            <v>112619539</v>
          </cell>
          <cell r="AL94">
            <v>115577420</v>
          </cell>
          <cell r="AM94">
            <v>118534079</v>
          </cell>
          <cell r="AN94">
            <v>121563249</v>
          </cell>
          <cell r="AO94">
            <v>124462512</v>
          </cell>
          <cell r="AP94">
            <v>127327745</v>
          </cell>
          <cell r="AQ94">
            <v>130122174</v>
          </cell>
          <cell r="AR94">
            <v>133006195</v>
          </cell>
          <cell r="AS94">
            <v>135957114</v>
          </cell>
          <cell r="AT94">
            <v>138927246</v>
          </cell>
          <cell r="AU94">
            <v>142304314</v>
          </cell>
          <cell r="AV94">
            <v>145905278</v>
          </cell>
          <cell r="AW94">
            <v>151829046</v>
          </cell>
          <cell r="AX94">
            <v>163352815</v>
          </cell>
          <cell r="AY94">
            <v>191802729</v>
          </cell>
          <cell r="AZ94">
            <v>223966683</v>
          </cell>
          <cell r="BA94">
            <v>228889196</v>
          </cell>
          <cell r="BB94">
            <v>228889196</v>
          </cell>
        </row>
        <row r="95">
          <cell r="A95" t="str">
            <v>SPRT</v>
          </cell>
          <cell r="B95">
            <v>56139</v>
          </cell>
          <cell r="C95">
            <v>56139</v>
          </cell>
          <cell r="D95">
            <v>45390</v>
          </cell>
          <cell r="E95">
            <v>46088</v>
          </cell>
          <cell r="F95">
            <v>48234</v>
          </cell>
          <cell r="G95">
            <v>104742</v>
          </cell>
          <cell r="H95">
            <v>51215</v>
          </cell>
          <cell r="I95">
            <v>48412</v>
          </cell>
          <cell r="J95">
            <v>52808</v>
          </cell>
          <cell r="K95">
            <v>59329</v>
          </cell>
          <cell r="L95">
            <v>58851</v>
          </cell>
          <cell r="M95">
            <v>69309</v>
          </cell>
          <cell r="N95">
            <v>69919</v>
          </cell>
          <cell r="O95">
            <v>90626</v>
          </cell>
          <cell r="P95">
            <v>60153</v>
          </cell>
          <cell r="Q95">
            <v>74076</v>
          </cell>
          <cell r="R95">
            <v>73924</v>
          </cell>
          <cell r="S95">
            <v>99118</v>
          </cell>
          <cell r="T95">
            <v>80352</v>
          </cell>
          <cell r="U95">
            <v>70173</v>
          </cell>
          <cell r="V95">
            <v>89658</v>
          </cell>
          <cell r="W95">
            <v>79049</v>
          </cell>
          <cell r="X95">
            <v>108859</v>
          </cell>
          <cell r="Y95">
            <v>207365</v>
          </cell>
          <cell r="Z95">
            <v>137339</v>
          </cell>
          <cell r="AA95">
            <v>57273</v>
          </cell>
          <cell r="AB95">
            <v>49726</v>
          </cell>
          <cell r="AC95">
            <v>48270</v>
          </cell>
          <cell r="AD95">
            <v>53628</v>
          </cell>
          <cell r="AE95">
            <v>50772</v>
          </cell>
          <cell r="AF95">
            <v>51435</v>
          </cell>
          <cell r="AG95">
            <v>52557</v>
          </cell>
          <cell r="AH95">
            <v>54393</v>
          </cell>
          <cell r="AI95">
            <v>53118</v>
          </cell>
          <cell r="AJ95">
            <v>48400</v>
          </cell>
          <cell r="AK95">
            <v>51001</v>
          </cell>
          <cell r="AL95">
            <v>50605</v>
          </cell>
          <cell r="AM95">
            <v>52263</v>
          </cell>
          <cell r="AN95">
            <v>48718</v>
          </cell>
          <cell r="AO95">
            <v>47469</v>
          </cell>
          <cell r="AP95">
            <v>45276</v>
          </cell>
          <cell r="AQ95">
            <v>47673</v>
          </cell>
          <cell r="AR95">
            <v>41169</v>
          </cell>
          <cell r="AS95">
            <v>42011</v>
          </cell>
          <cell r="AT95">
            <v>45556</v>
          </cell>
          <cell r="AU95">
            <v>46500</v>
          </cell>
          <cell r="AV95">
            <v>48718</v>
          </cell>
          <cell r="AW95">
            <v>95944</v>
          </cell>
          <cell r="AX95">
            <v>178196</v>
          </cell>
          <cell r="AY95">
            <v>462447</v>
          </cell>
          <cell r="AZ95">
            <v>701895</v>
          </cell>
          <cell r="BA95">
            <v>58269</v>
          </cell>
          <cell r="BB95">
            <v>0</v>
          </cell>
        </row>
        <row r="96">
          <cell r="A96" t="str">
            <v>ptd</v>
          </cell>
          <cell r="B96">
            <v>56139</v>
          </cell>
          <cell r="C96">
            <v>112278</v>
          </cell>
          <cell r="D96">
            <v>157668</v>
          </cell>
          <cell r="E96">
            <v>203756</v>
          </cell>
          <cell r="F96">
            <v>48234</v>
          </cell>
          <cell r="G96">
            <v>152976</v>
          </cell>
          <cell r="H96">
            <v>204191</v>
          </cell>
          <cell r="I96">
            <v>252603</v>
          </cell>
          <cell r="J96">
            <v>52808</v>
          </cell>
          <cell r="K96">
            <v>112137</v>
          </cell>
          <cell r="L96">
            <v>170988</v>
          </cell>
          <cell r="M96">
            <v>240297</v>
          </cell>
          <cell r="N96">
            <v>69919</v>
          </cell>
          <cell r="O96">
            <v>160545</v>
          </cell>
          <cell r="P96">
            <v>220698</v>
          </cell>
          <cell r="Q96">
            <v>294774</v>
          </cell>
          <cell r="R96">
            <v>73924</v>
          </cell>
          <cell r="S96">
            <v>173042</v>
          </cell>
          <cell r="T96">
            <v>253394</v>
          </cell>
          <cell r="U96">
            <v>323567</v>
          </cell>
          <cell r="V96">
            <v>89658</v>
          </cell>
          <cell r="W96">
            <v>168707</v>
          </cell>
          <cell r="X96">
            <v>277566</v>
          </cell>
          <cell r="Y96">
            <v>484931</v>
          </cell>
          <cell r="Z96">
            <v>137339</v>
          </cell>
          <cell r="AA96">
            <v>194612</v>
          </cell>
          <cell r="AB96">
            <v>244338</v>
          </cell>
          <cell r="AC96">
            <v>292608</v>
          </cell>
          <cell r="AD96">
            <v>53628</v>
          </cell>
          <cell r="AE96">
            <v>104400</v>
          </cell>
          <cell r="AF96">
            <v>155835</v>
          </cell>
          <cell r="AG96">
            <v>208392</v>
          </cell>
          <cell r="AH96">
            <v>54393</v>
          </cell>
          <cell r="AI96">
            <v>107511</v>
          </cell>
          <cell r="AJ96">
            <v>155911</v>
          </cell>
          <cell r="AK96">
            <v>206912</v>
          </cell>
          <cell r="AL96">
            <v>50605</v>
          </cell>
          <cell r="AM96">
            <v>102868</v>
          </cell>
          <cell r="AN96">
            <v>151586</v>
          </cell>
          <cell r="AO96">
            <v>199055</v>
          </cell>
          <cell r="AP96">
            <v>45276</v>
          </cell>
          <cell r="AQ96">
            <v>92949</v>
          </cell>
          <cell r="AR96">
            <v>134118</v>
          </cell>
          <cell r="AS96">
            <v>176129</v>
          </cell>
          <cell r="AT96">
            <v>45556</v>
          </cell>
          <cell r="AU96">
            <v>92056</v>
          </cell>
          <cell r="AV96">
            <v>140774</v>
          </cell>
          <cell r="AW96">
            <v>236718</v>
          </cell>
          <cell r="AX96">
            <v>178196</v>
          </cell>
          <cell r="AY96">
            <v>640643</v>
          </cell>
          <cell r="AZ96">
            <v>1342538</v>
          </cell>
          <cell r="BA96">
            <v>1400807</v>
          </cell>
          <cell r="BB96">
            <v>1400807</v>
          </cell>
        </row>
        <row r="97">
          <cell r="A97" t="str">
            <v>qtd</v>
          </cell>
          <cell r="B97">
            <v>56139</v>
          </cell>
          <cell r="C97">
            <v>112278</v>
          </cell>
          <cell r="D97">
            <v>157668</v>
          </cell>
          <cell r="E97">
            <v>203756</v>
          </cell>
          <cell r="F97">
            <v>251990</v>
          </cell>
          <cell r="G97">
            <v>356732</v>
          </cell>
          <cell r="H97">
            <v>407947</v>
          </cell>
          <cell r="I97">
            <v>456359</v>
          </cell>
          <cell r="J97">
            <v>509167</v>
          </cell>
          <cell r="K97">
            <v>568496</v>
          </cell>
          <cell r="L97">
            <v>627347</v>
          </cell>
          <cell r="M97">
            <v>696656</v>
          </cell>
          <cell r="N97">
            <v>69919</v>
          </cell>
          <cell r="O97">
            <v>160545</v>
          </cell>
          <cell r="P97">
            <v>220698</v>
          </cell>
          <cell r="Q97">
            <v>294774</v>
          </cell>
          <cell r="R97">
            <v>368698</v>
          </cell>
          <cell r="S97">
            <v>467816</v>
          </cell>
          <cell r="T97">
            <v>548168</v>
          </cell>
          <cell r="U97">
            <v>618341</v>
          </cell>
          <cell r="V97">
            <v>707999</v>
          </cell>
          <cell r="W97">
            <v>787048</v>
          </cell>
          <cell r="X97">
            <v>895907</v>
          </cell>
          <cell r="Y97">
            <v>1103272</v>
          </cell>
          <cell r="Z97">
            <v>137339</v>
          </cell>
          <cell r="AA97">
            <v>194612</v>
          </cell>
          <cell r="AB97">
            <v>244338</v>
          </cell>
          <cell r="AC97">
            <v>292608</v>
          </cell>
          <cell r="AD97">
            <v>346236</v>
          </cell>
          <cell r="AE97">
            <v>397008</v>
          </cell>
          <cell r="AF97">
            <v>448443</v>
          </cell>
          <cell r="AG97">
            <v>501000</v>
          </cell>
          <cell r="AH97">
            <v>555393</v>
          </cell>
          <cell r="AI97">
            <v>608511</v>
          </cell>
          <cell r="AJ97">
            <v>656911</v>
          </cell>
          <cell r="AK97">
            <v>707912</v>
          </cell>
          <cell r="AL97">
            <v>50605</v>
          </cell>
          <cell r="AM97">
            <v>102868</v>
          </cell>
          <cell r="AN97">
            <v>151586</v>
          </cell>
          <cell r="AO97">
            <v>199055</v>
          </cell>
          <cell r="AP97">
            <v>244331</v>
          </cell>
          <cell r="AQ97">
            <v>292004</v>
          </cell>
          <cell r="AR97">
            <v>333173</v>
          </cell>
          <cell r="AS97">
            <v>375184</v>
          </cell>
          <cell r="AT97">
            <v>420740</v>
          </cell>
          <cell r="AU97">
            <v>467240</v>
          </cell>
          <cell r="AV97">
            <v>515958</v>
          </cell>
          <cell r="AW97">
            <v>611902</v>
          </cell>
          <cell r="AX97">
            <v>790098</v>
          </cell>
          <cell r="AY97">
            <v>1252545</v>
          </cell>
          <cell r="AZ97">
            <v>1954440</v>
          </cell>
          <cell r="BA97">
            <v>2012709</v>
          </cell>
          <cell r="BB97">
            <v>2012709</v>
          </cell>
        </row>
        <row r="98">
          <cell r="A98" t="str">
            <v>ytd</v>
          </cell>
          <cell r="B98">
            <v>56139</v>
          </cell>
          <cell r="C98">
            <v>112278</v>
          </cell>
          <cell r="D98">
            <v>157668</v>
          </cell>
          <cell r="E98">
            <v>203756</v>
          </cell>
          <cell r="F98">
            <v>251990</v>
          </cell>
          <cell r="G98">
            <v>356732</v>
          </cell>
          <cell r="H98">
            <v>407947</v>
          </cell>
          <cell r="I98">
            <v>456359</v>
          </cell>
          <cell r="J98">
            <v>509167</v>
          </cell>
          <cell r="K98">
            <v>568496</v>
          </cell>
          <cell r="L98">
            <v>627347</v>
          </cell>
          <cell r="M98">
            <v>696656</v>
          </cell>
          <cell r="N98">
            <v>766575</v>
          </cell>
          <cell r="O98">
            <v>857201</v>
          </cell>
          <cell r="P98">
            <v>917354</v>
          </cell>
          <cell r="Q98">
            <v>991430</v>
          </cell>
          <cell r="R98">
            <v>1065354</v>
          </cell>
          <cell r="S98">
            <v>1164472</v>
          </cell>
          <cell r="T98">
            <v>1244824</v>
          </cell>
          <cell r="U98">
            <v>1314997</v>
          </cell>
          <cell r="V98">
            <v>1404655</v>
          </cell>
          <cell r="W98">
            <v>1483704</v>
          </cell>
          <cell r="X98">
            <v>1592563</v>
          </cell>
          <cell r="Y98">
            <v>1799928</v>
          </cell>
          <cell r="Z98">
            <v>1937267</v>
          </cell>
          <cell r="AA98">
            <v>1994540</v>
          </cell>
          <cell r="AB98">
            <v>2044266</v>
          </cell>
          <cell r="AC98">
            <v>2092536</v>
          </cell>
          <cell r="AD98">
            <v>2146164</v>
          </cell>
          <cell r="AE98">
            <v>2196936</v>
          </cell>
          <cell r="AF98">
            <v>2248371</v>
          </cell>
          <cell r="AG98">
            <v>2300928</v>
          </cell>
          <cell r="AH98">
            <v>2355321</v>
          </cell>
          <cell r="AI98">
            <v>2408439</v>
          </cell>
          <cell r="AJ98">
            <v>2456839</v>
          </cell>
          <cell r="AK98">
            <v>2507840</v>
          </cell>
          <cell r="AL98">
            <v>2558445</v>
          </cell>
          <cell r="AM98">
            <v>2610708</v>
          </cell>
          <cell r="AN98">
            <v>2659426</v>
          </cell>
          <cell r="AO98">
            <v>2706895</v>
          </cell>
          <cell r="AP98">
            <v>2752171</v>
          </cell>
          <cell r="AQ98">
            <v>2799844</v>
          </cell>
          <cell r="AR98">
            <v>2841013</v>
          </cell>
          <cell r="AS98">
            <v>2883024</v>
          </cell>
          <cell r="AT98">
            <v>2928580</v>
          </cell>
          <cell r="AU98">
            <v>2975080</v>
          </cell>
          <cell r="AV98">
            <v>3023798</v>
          </cell>
          <cell r="AW98">
            <v>3119742</v>
          </cell>
          <cell r="AX98">
            <v>3297938</v>
          </cell>
          <cell r="AY98">
            <v>3760385</v>
          </cell>
          <cell r="AZ98">
            <v>4462280</v>
          </cell>
          <cell r="BA98">
            <v>4520549</v>
          </cell>
          <cell r="BB98">
            <v>4520549</v>
          </cell>
        </row>
        <row r="99">
          <cell r="A99" t="str">
            <v>TELE</v>
          </cell>
          <cell r="B99">
            <v>1079503</v>
          </cell>
          <cell r="C99">
            <v>1079503</v>
          </cell>
          <cell r="D99">
            <v>1043340</v>
          </cell>
          <cell r="E99">
            <v>1010344</v>
          </cell>
          <cell r="F99">
            <v>1053935</v>
          </cell>
          <cell r="G99">
            <v>1028546</v>
          </cell>
          <cell r="H99">
            <v>1041944</v>
          </cell>
          <cell r="I99">
            <v>981698</v>
          </cell>
          <cell r="J99">
            <v>998306</v>
          </cell>
          <cell r="K99">
            <v>1008085</v>
          </cell>
          <cell r="L99">
            <v>952593</v>
          </cell>
          <cell r="M99">
            <v>1068418</v>
          </cell>
          <cell r="N99">
            <v>957758</v>
          </cell>
          <cell r="O99">
            <v>972754</v>
          </cell>
          <cell r="P99">
            <v>944562</v>
          </cell>
          <cell r="Q99">
            <v>950481</v>
          </cell>
          <cell r="R99">
            <v>905839</v>
          </cell>
          <cell r="S99">
            <v>1006837</v>
          </cell>
          <cell r="T99">
            <v>968618</v>
          </cell>
          <cell r="U99">
            <v>1011467</v>
          </cell>
          <cell r="V99">
            <v>953203</v>
          </cell>
          <cell r="W99">
            <v>961050</v>
          </cell>
          <cell r="X99">
            <v>1055634</v>
          </cell>
          <cell r="Y99">
            <v>990784</v>
          </cell>
          <cell r="Z99">
            <v>998921</v>
          </cell>
          <cell r="AA99">
            <v>951509</v>
          </cell>
          <cell r="AB99">
            <v>986480</v>
          </cell>
          <cell r="AC99">
            <v>1066299</v>
          </cell>
          <cell r="AD99">
            <v>941947</v>
          </cell>
          <cell r="AE99">
            <v>920800</v>
          </cell>
          <cell r="AF99">
            <v>975524</v>
          </cell>
          <cell r="AG99">
            <v>954887</v>
          </cell>
          <cell r="AH99">
            <v>931006</v>
          </cell>
          <cell r="AI99">
            <v>923400</v>
          </cell>
          <cell r="AJ99">
            <v>934379</v>
          </cell>
          <cell r="AK99">
            <v>951298</v>
          </cell>
          <cell r="AL99">
            <v>874702</v>
          </cell>
          <cell r="AM99">
            <v>880056</v>
          </cell>
          <cell r="AN99">
            <v>810992</v>
          </cell>
          <cell r="AO99">
            <v>907836</v>
          </cell>
          <cell r="AP99">
            <v>868839</v>
          </cell>
          <cell r="AQ99">
            <v>835051</v>
          </cell>
          <cell r="AR99">
            <v>832151</v>
          </cell>
          <cell r="AS99">
            <v>818425</v>
          </cell>
          <cell r="AT99">
            <v>937109</v>
          </cell>
          <cell r="AU99">
            <v>879580</v>
          </cell>
          <cell r="AV99">
            <v>891018</v>
          </cell>
          <cell r="AW99">
            <v>1004724</v>
          </cell>
          <cell r="AX99">
            <v>927179</v>
          </cell>
          <cell r="AY99">
            <v>1046359</v>
          </cell>
          <cell r="AZ99">
            <v>1103373</v>
          </cell>
          <cell r="BA99">
            <v>853851</v>
          </cell>
          <cell r="BB99">
            <v>0</v>
          </cell>
        </row>
        <row r="100">
          <cell r="A100" t="str">
            <v>ptd</v>
          </cell>
          <cell r="B100">
            <v>1079503</v>
          </cell>
          <cell r="C100">
            <v>2159006</v>
          </cell>
          <cell r="D100">
            <v>3202346</v>
          </cell>
          <cell r="E100">
            <v>4212690</v>
          </cell>
          <cell r="F100">
            <v>1053935</v>
          </cell>
          <cell r="G100">
            <v>2082481</v>
          </cell>
          <cell r="H100">
            <v>3124425</v>
          </cell>
          <cell r="I100">
            <v>4106123</v>
          </cell>
          <cell r="J100">
            <v>998306</v>
          </cell>
          <cell r="K100">
            <v>2006391</v>
          </cell>
          <cell r="L100">
            <v>2958984</v>
          </cell>
          <cell r="M100">
            <v>4027402</v>
          </cell>
          <cell r="N100">
            <v>957758</v>
          </cell>
          <cell r="O100">
            <v>1930512</v>
          </cell>
          <cell r="P100">
            <v>2875074</v>
          </cell>
          <cell r="Q100">
            <v>3825555</v>
          </cell>
          <cell r="R100">
            <v>905839</v>
          </cell>
          <cell r="S100">
            <v>1912676</v>
          </cell>
          <cell r="T100">
            <v>2881294</v>
          </cell>
          <cell r="U100">
            <v>3892761</v>
          </cell>
          <cell r="V100">
            <v>953203</v>
          </cell>
          <cell r="W100">
            <v>1914253</v>
          </cell>
          <cell r="X100">
            <v>2969887</v>
          </cell>
          <cell r="Y100">
            <v>3960671</v>
          </cell>
          <cell r="Z100">
            <v>998921</v>
          </cell>
          <cell r="AA100">
            <v>1950430</v>
          </cell>
          <cell r="AB100">
            <v>2936910</v>
          </cell>
          <cell r="AC100">
            <v>4003209</v>
          </cell>
          <cell r="AD100">
            <v>941947</v>
          </cell>
          <cell r="AE100">
            <v>1862747</v>
          </cell>
          <cell r="AF100">
            <v>2838271</v>
          </cell>
          <cell r="AG100">
            <v>3793158</v>
          </cell>
          <cell r="AH100">
            <v>931006</v>
          </cell>
          <cell r="AI100">
            <v>1854406</v>
          </cell>
          <cell r="AJ100">
            <v>2788785</v>
          </cell>
          <cell r="AK100">
            <v>3740083</v>
          </cell>
          <cell r="AL100">
            <v>874702</v>
          </cell>
          <cell r="AM100">
            <v>1754758</v>
          </cell>
          <cell r="AN100">
            <v>2565750</v>
          </cell>
          <cell r="AO100">
            <v>3473586</v>
          </cell>
          <cell r="AP100">
            <v>868839</v>
          </cell>
          <cell r="AQ100">
            <v>1703890</v>
          </cell>
          <cell r="AR100">
            <v>2536041</v>
          </cell>
          <cell r="AS100">
            <v>3354466</v>
          </cell>
          <cell r="AT100">
            <v>937109</v>
          </cell>
          <cell r="AU100">
            <v>1816689</v>
          </cell>
          <cell r="AV100">
            <v>2707707</v>
          </cell>
          <cell r="AW100">
            <v>3712431</v>
          </cell>
          <cell r="AX100">
            <v>927179</v>
          </cell>
          <cell r="AY100">
            <v>1973538</v>
          </cell>
          <cell r="AZ100">
            <v>3076911</v>
          </cell>
          <cell r="BA100">
            <v>3930762</v>
          </cell>
          <cell r="BB100">
            <v>3930762</v>
          </cell>
        </row>
        <row r="101">
          <cell r="A101" t="str">
            <v>qtd</v>
          </cell>
          <cell r="B101">
            <v>1079503</v>
          </cell>
          <cell r="C101">
            <v>2159006</v>
          </cell>
          <cell r="D101">
            <v>3202346</v>
          </cell>
          <cell r="E101">
            <v>4212690</v>
          </cell>
          <cell r="F101">
            <v>5266625</v>
          </cell>
          <cell r="G101">
            <v>6295171</v>
          </cell>
          <cell r="H101">
            <v>7337115</v>
          </cell>
          <cell r="I101">
            <v>8318813</v>
          </cell>
          <cell r="J101">
            <v>9317119</v>
          </cell>
          <cell r="K101">
            <v>10325204</v>
          </cell>
          <cell r="L101">
            <v>11277797</v>
          </cell>
          <cell r="M101">
            <v>12346215</v>
          </cell>
          <cell r="N101">
            <v>957758</v>
          </cell>
          <cell r="O101">
            <v>1930512</v>
          </cell>
          <cell r="P101">
            <v>2875074</v>
          </cell>
          <cell r="Q101">
            <v>3825555</v>
          </cell>
          <cell r="R101">
            <v>4731394</v>
          </cell>
          <cell r="S101">
            <v>5738231</v>
          </cell>
          <cell r="T101">
            <v>6706849</v>
          </cell>
          <cell r="U101">
            <v>7718316</v>
          </cell>
          <cell r="V101">
            <v>8671519</v>
          </cell>
          <cell r="W101">
            <v>9632569</v>
          </cell>
          <cell r="X101">
            <v>10688203</v>
          </cell>
          <cell r="Y101">
            <v>11678987</v>
          </cell>
          <cell r="Z101">
            <v>998921</v>
          </cell>
          <cell r="AA101">
            <v>1950430</v>
          </cell>
          <cell r="AB101">
            <v>2936910</v>
          </cell>
          <cell r="AC101">
            <v>4003209</v>
          </cell>
          <cell r="AD101">
            <v>4945156</v>
          </cell>
          <cell r="AE101">
            <v>5865956</v>
          </cell>
          <cell r="AF101">
            <v>6841480</v>
          </cell>
          <cell r="AG101">
            <v>7796367</v>
          </cell>
          <cell r="AH101">
            <v>8727373</v>
          </cell>
          <cell r="AI101">
            <v>9650773</v>
          </cell>
          <cell r="AJ101">
            <v>10585152</v>
          </cell>
          <cell r="AK101">
            <v>11536450</v>
          </cell>
          <cell r="AL101">
            <v>874702</v>
          </cell>
          <cell r="AM101">
            <v>1754758</v>
          </cell>
          <cell r="AN101">
            <v>2565750</v>
          </cell>
          <cell r="AO101">
            <v>3473586</v>
          </cell>
          <cell r="AP101">
            <v>4342425</v>
          </cell>
          <cell r="AQ101">
            <v>5177476</v>
          </cell>
          <cell r="AR101">
            <v>6009627</v>
          </cell>
          <cell r="AS101">
            <v>6828052</v>
          </cell>
          <cell r="AT101">
            <v>7765161</v>
          </cell>
          <cell r="AU101">
            <v>8644741</v>
          </cell>
          <cell r="AV101">
            <v>9535759</v>
          </cell>
          <cell r="AW101">
            <v>10540483</v>
          </cell>
          <cell r="AX101">
            <v>11467662</v>
          </cell>
          <cell r="AY101">
            <v>12514021</v>
          </cell>
          <cell r="AZ101">
            <v>13617394</v>
          </cell>
          <cell r="BA101">
            <v>14471245</v>
          </cell>
          <cell r="BB101">
            <v>14471245</v>
          </cell>
        </row>
        <row r="102">
          <cell r="A102" t="str">
            <v>ytd</v>
          </cell>
          <cell r="B102">
            <v>1079503</v>
          </cell>
          <cell r="C102">
            <v>2159006</v>
          </cell>
          <cell r="D102">
            <v>3202346</v>
          </cell>
          <cell r="E102">
            <v>4212690</v>
          </cell>
          <cell r="F102">
            <v>5266625</v>
          </cell>
          <cell r="G102">
            <v>6295171</v>
          </cell>
          <cell r="H102">
            <v>7337115</v>
          </cell>
          <cell r="I102">
            <v>8318813</v>
          </cell>
          <cell r="J102">
            <v>9317119</v>
          </cell>
          <cell r="K102">
            <v>10325204</v>
          </cell>
          <cell r="L102">
            <v>11277797</v>
          </cell>
          <cell r="M102">
            <v>12346215</v>
          </cell>
          <cell r="N102">
            <v>13303973</v>
          </cell>
          <cell r="O102">
            <v>14276727</v>
          </cell>
          <cell r="P102">
            <v>15221289</v>
          </cell>
          <cell r="Q102">
            <v>16171770</v>
          </cell>
          <cell r="R102">
            <v>17077609</v>
          </cell>
          <cell r="S102">
            <v>18084446</v>
          </cell>
          <cell r="T102">
            <v>19053064</v>
          </cell>
          <cell r="U102">
            <v>20064531</v>
          </cell>
          <cell r="V102">
            <v>21017734</v>
          </cell>
          <cell r="W102">
            <v>21978784</v>
          </cell>
          <cell r="X102">
            <v>23034418</v>
          </cell>
          <cell r="Y102">
            <v>24025202</v>
          </cell>
          <cell r="Z102">
            <v>25024123</v>
          </cell>
          <cell r="AA102">
            <v>25975632</v>
          </cell>
          <cell r="AB102">
            <v>26962112</v>
          </cell>
          <cell r="AC102">
            <v>28028411</v>
          </cell>
          <cell r="AD102">
            <v>28970358</v>
          </cell>
          <cell r="AE102">
            <v>29891158</v>
          </cell>
          <cell r="AF102">
            <v>30866682</v>
          </cell>
          <cell r="AG102">
            <v>31821569</v>
          </cell>
          <cell r="AH102">
            <v>32752575</v>
          </cell>
          <cell r="AI102">
            <v>33675975</v>
          </cell>
          <cell r="AJ102">
            <v>34610354</v>
          </cell>
          <cell r="AK102">
            <v>35561652</v>
          </cell>
          <cell r="AL102">
            <v>36436354</v>
          </cell>
          <cell r="AM102">
            <v>37316410</v>
          </cell>
          <cell r="AN102">
            <v>38127402</v>
          </cell>
          <cell r="AO102">
            <v>39035238</v>
          </cell>
          <cell r="AP102">
            <v>39904077</v>
          </cell>
          <cell r="AQ102">
            <v>40739128</v>
          </cell>
          <cell r="AR102">
            <v>41571279</v>
          </cell>
          <cell r="AS102">
            <v>42389704</v>
          </cell>
          <cell r="AT102">
            <v>43326813</v>
          </cell>
          <cell r="AU102">
            <v>44206393</v>
          </cell>
          <cell r="AV102">
            <v>45097411</v>
          </cell>
          <cell r="AW102">
            <v>46102135</v>
          </cell>
          <cell r="AX102">
            <v>47029314</v>
          </cell>
          <cell r="AY102">
            <v>48075673</v>
          </cell>
          <cell r="AZ102">
            <v>49179046</v>
          </cell>
          <cell r="BA102">
            <v>50032897</v>
          </cell>
          <cell r="BB102">
            <v>50032897</v>
          </cell>
        </row>
        <row r="103">
          <cell r="A103" t="str">
            <v>TICK</v>
          </cell>
          <cell r="B103">
            <v>168385</v>
          </cell>
          <cell r="C103">
            <v>168385</v>
          </cell>
          <cell r="D103">
            <v>409123</v>
          </cell>
          <cell r="E103">
            <v>327385</v>
          </cell>
          <cell r="F103">
            <v>428270</v>
          </cell>
          <cell r="G103">
            <v>941799</v>
          </cell>
          <cell r="H103">
            <v>549773</v>
          </cell>
          <cell r="I103">
            <v>636627</v>
          </cell>
          <cell r="J103">
            <v>658576</v>
          </cell>
          <cell r="K103">
            <v>767917</v>
          </cell>
          <cell r="L103">
            <v>780797</v>
          </cell>
          <cell r="M103">
            <v>737498</v>
          </cell>
          <cell r="N103">
            <v>833567</v>
          </cell>
          <cell r="O103">
            <v>1030069</v>
          </cell>
          <cell r="P103">
            <v>1075333</v>
          </cell>
          <cell r="Q103">
            <v>637551</v>
          </cell>
          <cell r="R103">
            <v>578907</v>
          </cell>
          <cell r="S103">
            <v>562220</v>
          </cell>
          <cell r="T103">
            <v>597545</v>
          </cell>
          <cell r="U103">
            <v>545161</v>
          </cell>
          <cell r="V103">
            <v>628032</v>
          </cell>
          <cell r="W103">
            <v>517965</v>
          </cell>
          <cell r="X103">
            <v>307867</v>
          </cell>
          <cell r="Y103">
            <v>397592</v>
          </cell>
          <cell r="Z103">
            <v>511294</v>
          </cell>
          <cell r="AA103">
            <v>583094</v>
          </cell>
          <cell r="AB103">
            <v>708113</v>
          </cell>
          <cell r="AC103">
            <v>734611</v>
          </cell>
          <cell r="AD103">
            <v>864936</v>
          </cell>
          <cell r="AE103">
            <v>935009</v>
          </cell>
          <cell r="AF103">
            <v>814425</v>
          </cell>
          <cell r="AG103">
            <v>829658</v>
          </cell>
          <cell r="AH103">
            <v>770188</v>
          </cell>
          <cell r="AI103">
            <v>802936</v>
          </cell>
          <cell r="AJ103">
            <v>610058</v>
          </cell>
          <cell r="AK103">
            <v>257143</v>
          </cell>
          <cell r="AL103">
            <v>143155</v>
          </cell>
          <cell r="AM103">
            <v>128636</v>
          </cell>
          <cell r="AN103">
            <v>132420</v>
          </cell>
          <cell r="AO103">
            <v>170041</v>
          </cell>
          <cell r="AP103">
            <v>184459</v>
          </cell>
          <cell r="AQ103">
            <v>173457</v>
          </cell>
          <cell r="AR103">
            <v>161034</v>
          </cell>
          <cell r="AS103">
            <v>198557</v>
          </cell>
          <cell r="AT103">
            <v>140306</v>
          </cell>
          <cell r="AU103">
            <v>120723</v>
          </cell>
          <cell r="AV103">
            <v>161478</v>
          </cell>
          <cell r="AW103">
            <v>170723</v>
          </cell>
          <cell r="AX103">
            <v>260712</v>
          </cell>
          <cell r="AY103">
            <v>408995</v>
          </cell>
          <cell r="AZ103">
            <v>622463</v>
          </cell>
          <cell r="BA103">
            <v>164599</v>
          </cell>
          <cell r="BB103">
            <v>0</v>
          </cell>
        </row>
        <row r="104">
          <cell r="A104" t="str">
            <v>ptd</v>
          </cell>
          <cell r="B104">
            <v>168385</v>
          </cell>
          <cell r="C104">
            <v>336770</v>
          </cell>
          <cell r="D104">
            <v>745893</v>
          </cell>
          <cell r="E104">
            <v>1073278</v>
          </cell>
          <cell r="F104">
            <v>428270</v>
          </cell>
          <cell r="G104">
            <v>1370069</v>
          </cell>
          <cell r="H104">
            <v>1919842</v>
          </cell>
          <cell r="I104">
            <v>2556469</v>
          </cell>
          <cell r="J104">
            <v>658576</v>
          </cell>
          <cell r="K104">
            <v>1426493</v>
          </cell>
          <cell r="L104">
            <v>2207290</v>
          </cell>
          <cell r="M104">
            <v>2944788</v>
          </cell>
          <cell r="N104">
            <v>833567</v>
          </cell>
          <cell r="O104">
            <v>1863636</v>
          </cell>
          <cell r="P104">
            <v>2938969</v>
          </cell>
          <cell r="Q104">
            <v>3576520</v>
          </cell>
          <cell r="R104">
            <v>578907</v>
          </cell>
          <cell r="S104">
            <v>1141127</v>
          </cell>
          <cell r="T104">
            <v>1738672</v>
          </cell>
          <cell r="U104">
            <v>2283833</v>
          </cell>
          <cell r="V104">
            <v>628032</v>
          </cell>
          <cell r="W104">
            <v>1145997</v>
          </cell>
          <cell r="X104">
            <v>1453864</v>
          </cell>
          <cell r="Y104">
            <v>1851456</v>
          </cell>
          <cell r="Z104">
            <v>511294</v>
          </cell>
          <cell r="AA104">
            <v>1094388</v>
          </cell>
          <cell r="AB104">
            <v>1802501</v>
          </cell>
          <cell r="AC104">
            <v>2537112</v>
          </cell>
          <cell r="AD104">
            <v>864936</v>
          </cell>
          <cell r="AE104">
            <v>1799945</v>
          </cell>
          <cell r="AF104">
            <v>2614370</v>
          </cell>
          <cell r="AG104">
            <v>3444028</v>
          </cell>
          <cell r="AH104">
            <v>770188</v>
          </cell>
          <cell r="AI104">
            <v>1573124</v>
          </cell>
          <cell r="AJ104">
            <v>2183182</v>
          </cell>
          <cell r="AK104">
            <v>2440325</v>
          </cell>
          <cell r="AL104">
            <v>143155</v>
          </cell>
          <cell r="AM104">
            <v>271791</v>
          </cell>
          <cell r="AN104">
            <v>404211</v>
          </cell>
          <cell r="AO104">
            <v>574252</v>
          </cell>
          <cell r="AP104">
            <v>184459</v>
          </cell>
          <cell r="AQ104">
            <v>357916</v>
          </cell>
          <cell r="AR104">
            <v>518950</v>
          </cell>
          <cell r="AS104">
            <v>717507</v>
          </cell>
          <cell r="AT104">
            <v>140306</v>
          </cell>
          <cell r="AU104">
            <v>261029</v>
          </cell>
          <cell r="AV104">
            <v>422507</v>
          </cell>
          <cell r="AW104">
            <v>593230</v>
          </cell>
          <cell r="AX104">
            <v>260712</v>
          </cell>
          <cell r="AY104">
            <v>669707</v>
          </cell>
          <cell r="AZ104">
            <v>1292170</v>
          </cell>
          <cell r="BA104">
            <v>1456769</v>
          </cell>
          <cell r="BB104">
            <v>1456769</v>
          </cell>
        </row>
        <row r="105">
          <cell r="A105" t="str">
            <v>qtd</v>
          </cell>
          <cell r="B105">
            <v>168385</v>
          </cell>
          <cell r="C105">
            <v>336770</v>
          </cell>
          <cell r="D105">
            <v>745893</v>
          </cell>
          <cell r="E105">
            <v>1073278</v>
          </cell>
          <cell r="F105">
            <v>1501548</v>
          </cell>
          <cell r="G105">
            <v>2443347</v>
          </cell>
          <cell r="H105">
            <v>2993120</v>
          </cell>
          <cell r="I105">
            <v>3629747</v>
          </cell>
          <cell r="J105">
            <v>4288323</v>
          </cell>
          <cell r="K105">
            <v>5056240</v>
          </cell>
          <cell r="L105">
            <v>5837037</v>
          </cell>
          <cell r="M105">
            <v>6574535</v>
          </cell>
          <cell r="N105">
            <v>833567</v>
          </cell>
          <cell r="O105">
            <v>1863636</v>
          </cell>
          <cell r="P105">
            <v>2938969</v>
          </cell>
          <cell r="Q105">
            <v>3576520</v>
          </cell>
          <cell r="R105">
            <v>4155427</v>
          </cell>
          <cell r="S105">
            <v>4717647</v>
          </cell>
          <cell r="T105">
            <v>5315192</v>
          </cell>
          <cell r="U105">
            <v>5860353</v>
          </cell>
          <cell r="V105">
            <v>6488385</v>
          </cell>
          <cell r="W105">
            <v>7006350</v>
          </cell>
          <cell r="X105">
            <v>7314217</v>
          </cell>
          <cell r="Y105">
            <v>7711809</v>
          </cell>
          <cell r="Z105">
            <v>511294</v>
          </cell>
          <cell r="AA105">
            <v>1094388</v>
          </cell>
          <cell r="AB105">
            <v>1802501</v>
          </cell>
          <cell r="AC105">
            <v>2537112</v>
          </cell>
          <cell r="AD105">
            <v>3402048</v>
          </cell>
          <cell r="AE105">
            <v>4337057</v>
          </cell>
          <cell r="AF105">
            <v>5151482</v>
          </cell>
          <cell r="AG105">
            <v>5981140</v>
          </cell>
          <cell r="AH105">
            <v>6751328</v>
          </cell>
          <cell r="AI105">
            <v>7554264</v>
          </cell>
          <cell r="AJ105">
            <v>8164322</v>
          </cell>
          <cell r="AK105">
            <v>8421465</v>
          </cell>
          <cell r="AL105">
            <v>143155</v>
          </cell>
          <cell r="AM105">
            <v>271791</v>
          </cell>
          <cell r="AN105">
            <v>404211</v>
          </cell>
          <cell r="AO105">
            <v>574252</v>
          </cell>
          <cell r="AP105">
            <v>758711</v>
          </cell>
          <cell r="AQ105">
            <v>932168</v>
          </cell>
          <cell r="AR105">
            <v>1093202</v>
          </cell>
          <cell r="AS105">
            <v>1291759</v>
          </cell>
          <cell r="AT105">
            <v>1432065</v>
          </cell>
          <cell r="AU105">
            <v>1552788</v>
          </cell>
          <cell r="AV105">
            <v>1714266</v>
          </cell>
          <cell r="AW105">
            <v>1884989</v>
          </cell>
          <cell r="AX105">
            <v>2145701</v>
          </cell>
          <cell r="AY105">
            <v>2554696</v>
          </cell>
          <cell r="AZ105">
            <v>3177159</v>
          </cell>
          <cell r="BA105">
            <v>3341758</v>
          </cell>
          <cell r="BB105">
            <v>3341758</v>
          </cell>
        </row>
        <row r="106">
          <cell r="A106" t="str">
            <v>ytd</v>
          </cell>
          <cell r="B106">
            <v>168385</v>
          </cell>
          <cell r="C106">
            <v>336770</v>
          </cell>
          <cell r="D106">
            <v>745893</v>
          </cell>
          <cell r="E106">
            <v>1073278</v>
          </cell>
          <cell r="F106">
            <v>1501548</v>
          </cell>
          <cell r="G106">
            <v>2443347</v>
          </cell>
          <cell r="H106">
            <v>2993120</v>
          </cell>
          <cell r="I106">
            <v>3629747</v>
          </cell>
          <cell r="J106">
            <v>4288323</v>
          </cell>
          <cell r="K106">
            <v>5056240</v>
          </cell>
          <cell r="L106">
            <v>5837037</v>
          </cell>
          <cell r="M106">
            <v>6574535</v>
          </cell>
          <cell r="N106">
            <v>7408102</v>
          </cell>
          <cell r="O106">
            <v>8438171</v>
          </cell>
          <cell r="P106">
            <v>9513504</v>
          </cell>
          <cell r="Q106">
            <v>10151055</v>
          </cell>
          <cell r="R106">
            <v>10729962</v>
          </cell>
          <cell r="S106">
            <v>11292182</v>
          </cell>
          <cell r="T106">
            <v>11889727</v>
          </cell>
          <cell r="U106">
            <v>12434888</v>
          </cell>
          <cell r="V106">
            <v>13062920</v>
          </cell>
          <cell r="W106">
            <v>13580885</v>
          </cell>
          <cell r="X106">
            <v>13888752</v>
          </cell>
          <cell r="Y106">
            <v>14286344</v>
          </cell>
          <cell r="Z106">
            <v>14797638</v>
          </cell>
          <cell r="AA106">
            <v>15380732</v>
          </cell>
          <cell r="AB106">
            <v>16088845</v>
          </cell>
          <cell r="AC106">
            <v>16823456</v>
          </cell>
          <cell r="AD106">
            <v>17688392</v>
          </cell>
          <cell r="AE106">
            <v>18623401</v>
          </cell>
          <cell r="AF106">
            <v>19437826</v>
          </cell>
          <cell r="AG106">
            <v>20267484</v>
          </cell>
          <cell r="AH106">
            <v>21037672</v>
          </cell>
          <cell r="AI106">
            <v>21840608</v>
          </cell>
          <cell r="AJ106">
            <v>22450666</v>
          </cell>
          <cell r="AK106">
            <v>22707809</v>
          </cell>
          <cell r="AL106">
            <v>22850964</v>
          </cell>
          <cell r="AM106">
            <v>22979600</v>
          </cell>
          <cell r="AN106">
            <v>23112020</v>
          </cell>
          <cell r="AO106">
            <v>23282061</v>
          </cell>
          <cell r="AP106">
            <v>23466520</v>
          </cell>
          <cell r="AQ106">
            <v>23639977</v>
          </cell>
          <cell r="AR106">
            <v>23801011</v>
          </cell>
          <cell r="AS106">
            <v>23999568</v>
          </cell>
          <cell r="AT106">
            <v>24139874</v>
          </cell>
          <cell r="AU106">
            <v>24260597</v>
          </cell>
          <cell r="AV106">
            <v>24422075</v>
          </cell>
          <cell r="AW106">
            <v>24592798</v>
          </cell>
          <cell r="AX106">
            <v>24853510</v>
          </cell>
          <cell r="AY106">
            <v>25262505</v>
          </cell>
          <cell r="AZ106">
            <v>25884968</v>
          </cell>
          <cell r="BA106">
            <v>26049567</v>
          </cell>
          <cell r="BB106">
            <v>26049567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11125162.705059463</v>
          </cell>
          <cell r="C111">
            <v>11008178.705059463</v>
          </cell>
          <cell r="D111">
            <v>10454552.108152121</v>
          </cell>
          <cell r="E111">
            <v>10413130.42595683</v>
          </cell>
          <cell r="F111">
            <v>10773571.397763668</v>
          </cell>
          <cell r="G111">
            <v>15658703.159300653</v>
          </cell>
          <cell r="H111">
            <v>11216233.19968977</v>
          </cell>
          <cell r="I111">
            <v>10665240.803104518</v>
          </cell>
          <cell r="J111">
            <v>11176455.216425458</v>
          </cell>
          <cell r="K111">
            <v>11686004.068944242</v>
          </cell>
          <cell r="L111">
            <v>11797066.520167645</v>
          </cell>
          <cell r="M111">
            <v>11613500.612594593</v>
          </cell>
          <cell r="N111">
            <v>11969315.610115347</v>
          </cell>
          <cell r="O111">
            <v>15703294.757392706</v>
          </cell>
          <cell r="P111">
            <v>12396597.146453844</v>
          </cell>
          <cell r="Q111">
            <v>12724430.992666818</v>
          </cell>
          <cell r="R111">
            <v>13534293.1143423</v>
          </cell>
          <cell r="S111">
            <v>21007193.541854434</v>
          </cell>
          <cell r="T111">
            <v>16932673.174338076</v>
          </cell>
          <cell r="U111">
            <v>14385244.573766269</v>
          </cell>
          <cell r="V111">
            <v>16186282.991992002</v>
          </cell>
          <cell r="W111">
            <v>16693442.287158104</v>
          </cell>
          <cell r="X111">
            <v>19957982.955399729</v>
          </cell>
          <cell r="Y111">
            <v>23939031.425339185</v>
          </cell>
          <cell r="Z111">
            <v>17905288.806232758</v>
          </cell>
          <cell r="AA111">
            <v>14088027.581862966</v>
          </cell>
          <cell r="AB111">
            <v>13203357.356856788</v>
          </cell>
          <cell r="AC111">
            <v>13260866.34499581</v>
          </cell>
          <cell r="AD111">
            <v>13980356.126569474</v>
          </cell>
          <cell r="AE111">
            <v>13807820.137259798</v>
          </cell>
          <cell r="AF111">
            <v>14080687.03863861</v>
          </cell>
          <cell r="AG111">
            <v>14037756.07605486</v>
          </cell>
          <cell r="AH111">
            <v>14277125.425657494</v>
          </cell>
          <cell r="AI111">
            <v>14470232.679078206</v>
          </cell>
          <cell r="AJ111">
            <v>13328797.332356306</v>
          </cell>
          <cell r="AK111">
            <v>13160703.82505017</v>
          </cell>
          <cell r="AL111">
            <v>13174814.502917005</v>
          </cell>
          <cell r="AM111">
            <v>13237244.814803597</v>
          </cell>
          <cell r="AN111">
            <v>12952979.798564728</v>
          </cell>
          <cell r="AO111">
            <v>13324058.643359855</v>
          </cell>
          <cell r="AP111">
            <v>13289977.282132804</v>
          </cell>
          <cell r="AQ111">
            <v>13559983.227921061</v>
          </cell>
          <cell r="AR111">
            <v>13572103.597060136</v>
          </cell>
          <cell r="AS111">
            <v>13518952.400131188</v>
          </cell>
          <cell r="AT111">
            <v>14684989.740089465</v>
          </cell>
          <cell r="AU111">
            <v>15650939.695470372</v>
          </cell>
          <cell r="AV111">
            <v>16978727.787477586</v>
          </cell>
          <cell r="AW111">
            <v>27491717.421822049</v>
          </cell>
          <cell r="AX111">
            <v>48000701.072422102</v>
          </cell>
          <cell r="AY111">
            <v>105182118.38907193</v>
          </cell>
          <cell r="AZ111">
            <v>122926802.76097518</v>
          </cell>
          <cell r="BA111">
            <v>20192308.117133103</v>
          </cell>
          <cell r="BB111">
            <v>0</v>
          </cell>
        </row>
        <row r="112">
          <cell r="A112" t="str">
            <v>ptd</v>
          </cell>
          <cell r="B112">
            <v>11125162.705059463</v>
          </cell>
          <cell r="C112">
            <v>22133341.410118926</v>
          </cell>
          <cell r="D112">
            <v>32587893.518271048</v>
          </cell>
          <cell r="E112">
            <v>43001023.944227874</v>
          </cell>
          <cell r="F112">
            <v>10773571.397763668</v>
          </cell>
          <cell r="G112">
            <v>26432274.557064321</v>
          </cell>
          <cell r="H112">
            <v>37648507.756754093</v>
          </cell>
          <cell r="I112">
            <v>48313748.559858613</v>
          </cell>
          <cell r="J112">
            <v>11176455.216425458</v>
          </cell>
          <cell r="K112">
            <v>22862459.285369702</v>
          </cell>
          <cell r="L112">
            <v>34659525.805537343</v>
          </cell>
          <cell r="M112">
            <v>46273026.418131933</v>
          </cell>
          <cell r="N112">
            <v>11969315.610115347</v>
          </cell>
          <cell r="O112">
            <v>27672610.367508054</v>
          </cell>
          <cell r="P112">
            <v>40069207.513961896</v>
          </cell>
          <cell r="Q112">
            <v>52793638.506628715</v>
          </cell>
          <cell r="R112">
            <v>13534293.1143423</v>
          </cell>
          <cell r="S112">
            <v>34541486.656196736</v>
          </cell>
          <cell r="T112">
            <v>51474159.830534816</v>
          </cell>
          <cell r="U112">
            <v>65859404.404301085</v>
          </cell>
          <cell r="V112">
            <v>16186282.991992002</v>
          </cell>
          <cell r="W112">
            <v>32879725.279150106</v>
          </cell>
          <cell r="X112">
            <v>52837708.234549835</v>
          </cell>
          <cell r="Y112">
            <v>76776739.659889013</v>
          </cell>
          <cell r="Z112">
            <v>17905288.806232758</v>
          </cell>
          <cell r="AA112">
            <v>31993316.388095722</v>
          </cell>
          <cell r="AB112">
            <v>45196673.744952507</v>
          </cell>
          <cell r="AC112">
            <v>58457540.089948319</v>
          </cell>
          <cell r="AD112">
            <v>13980356.126569474</v>
          </cell>
          <cell r="AE112">
            <v>27788176.263829272</v>
          </cell>
          <cell r="AF112">
            <v>41868863.302467883</v>
          </cell>
          <cell r="AG112">
            <v>55906619.378522739</v>
          </cell>
          <cell r="AH112">
            <v>14277125.425657494</v>
          </cell>
          <cell r="AI112">
            <v>28747358.104735702</v>
          </cell>
          <cell r="AJ112">
            <v>42076155.437092006</v>
          </cell>
          <cell r="AK112">
            <v>55236859.262142174</v>
          </cell>
          <cell r="AL112">
            <v>13174814.502917005</v>
          </cell>
          <cell r="AM112">
            <v>26412059.317720599</v>
          </cell>
          <cell r="AN112">
            <v>39365039.116285324</v>
          </cell>
          <cell r="AO112">
            <v>52689097.759645179</v>
          </cell>
          <cell r="AP112">
            <v>13289977.282132804</v>
          </cell>
          <cell r="AQ112">
            <v>26849960.510053866</v>
          </cell>
          <cell r="AR112">
            <v>40422064.107114002</v>
          </cell>
          <cell r="AS112">
            <v>53941016.50724519</v>
          </cell>
          <cell r="AT112">
            <v>14684989.740089465</v>
          </cell>
          <cell r="AU112">
            <v>30335929.435559839</v>
          </cell>
          <cell r="AV112">
            <v>47314657.223037422</v>
          </cell>
          <cell r="AW112">
            <v>74806374.644859463</v>
          </cell>
          <cell r="AX112">
            <v>48000701.072422102</v>
          </cell>
          <cell r="AY112">
            <v>153182819.46149403</v>
          </cell>
          <cell r="AZ112">
            <v>276109622.22246921</v>
          </cell>
          <cell r="BA112">
            <v>296301930.33960229</v>
          </cell>
          <cell r="BB112">
            <v>296301930.33960229</v>
          </cell>
        </row>
        <row r="113">
          <cell r="A113" t="str">
            <v>qtd</v>
          </cell>
          <cell r="B113">
            <v>11125162.705059463</v>
          </cell>
          <cell r="C113">
            <v>22133341.410118926</v>
          </cell>
          <cell r="D113">
            <v>32587893.518271048</v>
          </cell>
          <cell r="E113">
            <v>43001023.944227874</v>
          </cell>
          <cell r="F113">
            <v>53774595.341991544</v>
          </cell>
          <cell r="G113">
            <v>69433298.501292199</v>
          </cell>
          <cell r="H113">
            <v>80649531.700981975</v>
          </cell>
          <cell r="I113">
            <v>91314772.504086494</v>
          </cell>
          <cell r="J113">
            <v>102491227.72051196</v>
          </cell>
          <cell r="K113">
            <v>114177231.7894562</v>
          </cell>
          <cell r="L113">
            <v>125974298.30962385</v>
          </cell>
          <cell r="M113">
            <v>137587798.92221844</v>
          </cell>
          <cell r="N113">
            <v>11969315.610115347</v>
          </cell>
          <cell r="O113">
            <v>27672610.367508054</v>
          </cell>
          <cell r="P113">
            <v>40069207.513961896</v>
          </cell>
          <cell r="Q113">
            <v>52793638.506628715</v>
          </cell>
          <cell r="R113">
            <v>66327931.620971017</v>
          </cell>
          <cell r="S113">
            <v>87335125.16282545</v>
          </cell>
          <cell r="T113">
            <v>104267798.33716352</v>
          </cell>
          <cell r="U113">
            <v>118653042.9109298</v>
          </cell>
          <cell r="V113">
            <v>134839325.9029218</v>
          </cell>
          <cell r="W113">
            <v>151532768.1900799</v>
          </cell>
          <cell r="X113">
            <v>171490751.14547962</v>
          </cell>
          <cell r="Y113">
            <v>195429782.57081881</v>
          </cell>
          <cell r="Z113">
            <v>17905288.806232758</v>
          </cell>
          <cell r="AA113">
            <v>31993316.388095722</v>
          </cell>
          <cell r="AB113">
            <v>45196673.744952507</v>
          </cell>
          <cell r="AC113">
            <v>58457540.089948319</v>
          </cell>
          <cell r="AD113">
            <v>72437896.216517791</v>
          </cell>
          <cell r="AE113">
            <v>86245716.353777587</v>
          </cell>
          <cell r="AF113">
            <v>100326403.39241619</v>
          </cell>
          <cell r="AG113">
            <v>114364159.46847105</v>
          </cell>
          <cell r="AH113">
            <v>128641284.89412855</v>
          </cell>
          <cell r="AI113">
            <v>143111517.57320675</v>
          </cell>
          <cell r="AJ113">
            <v>156440314.90556306</v>
          </cell>
          <cell r="AK113">
            <v>169601018.73061323</v>
          </cell>
          <cell r="AL113">
            <v>13174814.502917005</v>
          </cell>
          <cell r="AM113">
            <v>26412059.317720599</v>
          </cell>
          <cell r="AN113">
            <v>39365039.116285324</v>
          </cell>
          <cell r="AO113">
            <v>52689097.759645179</v>
          </cell>
          <cell r="AP113">
            <v>65979075.041777983</v>
          </cell>
          <cell r="AQ113">
            <v>79539058.269699037</v>
          </cell>
          <cell r="AR113">
            <v>93111161.866759181</v>
          </cell>
          <cell r="AS113">
            <v>106630114.26689038</v>
          </cell>
          <cell r="AT113">
            <v>121315104.00697984</v>
          </cell>
          <cell r="AU113">
            <v>136966043.70245022</v>
          </cell>
          <cell r="AV113">
            <v>153944771.4899278</v>
          </cell>
          <cell r="AW113">
            <v>181436488.91174984</v>
          </cell>
          <cell r="AX113">
            <v>229437189.98417193</v>
          </cell>
          <cell r="AY113">
            <v>334619308.37324387</v>
          </cell>
          <cell r="AZ113">
            <v>457546111.13421905</v>
          </cell>
          <cell r="BA113">
            <v>477738419.25135213</v>
          </cell>
          <cell r="BB113">
            <v>477738419.25135213</v>
          </cell>
        </row>
        <row r="114">
          <cell r="A114" t="str">
            <v>ytd</v>
          </cell>
          <cell r="B114">
            <v>11125162.705059463</v>
          </cell>
          <cell r="C114">
            <v>22133341.410118926</v>
          </cell>
          <cell r="D114">
            <v>32587893.518271048</v>
          </cell>
          <cell r="E114">
            <v>43001023.944227874</v>
          </cell>
          <cell r="F114">
            <v>53774595.341991544</v>
          </cell>
          <cell r="G114">
            <v>69433298.501292199</v>
          </cell>
          <cell r="H114">
            <v>80649531.700981975</v>
          </cell>
          <cell r="I114">
            <v>91314772.504086494</v>
          </cell>
          <cell r="J114">
            <v>102491227.72051196</v>
          </cell>
          <cell r="K114">
            <v>114177231.7894562</v>
          </cell>
          <cell r="L114">
            <v>125974298.30962385</v>
          </cell>
          <cell r="M114">
            <v>137587798.92221844</v>
          </cell>
          <cell r="N114">
            <v>149557114.53233379</v>
          </cell>
          <cell r="O114">
            <v>165260409.2897265</v>
          </cell>
          <cell r="P114">
            <v>177657006.43618035</v>
          </cell>
          <cell r="Q114">
            <v>190381437.42884716</v>
          </cell>
          <cell r="R114">
            <v>203915730.54318947</v>
          </cell>
          <cell r="S114">
            <v>224922924.08504391</v>
          </cell>
          <cell r="T114">
            <v>241855597.25938198</v>
          </cell>
          <cell r="U114">
            <v>256240841.83314824</v>
          </cell>
          <cell r="V114">
            <v>272427124.82514024</v>
          </cell>
          <cell r="W114">
            <v>289120567.11229837</v>
          </cell>
          <cell r="X114">
            <v>309078550.06769812</v>
          </cell>
          <cell r="Y114">
            <v>333017581.49303728</v>
          </cell>
          <cell r="Z114">
            <v>350922870.29927003</v>
          </cell>
          <cell r="AA114">
            <v>365010897.88113302</v>
          </cell>
          <cell r="AB114">
            <v>378214255.23798978</v>
          </cell>
          <cell r="AC114">
            <v>391475121.58298558</v>
          </cell>
          <cell r="AD114">
            <v>405455477.70955503</v>
          </cell>
          <cell r="AE114">
            <v>419263297.84681481</v>
          </cell>
          <cell r="AF114">
            <v>433343984.8854534</v>
          </cell>
          <cell r="AG114">
            <v>447381740.96150827</v>
          </cell>
          <cell r="AH114">
            <v>461658866.38716578</v>
          </cell>
          <cell r="AI114">
            <v>476129099.06624401</v>
          </cell>
          <cell r="AJ114">
            <v>489457896.39860034</v>
          </cell>
          <cell r="AK114">
            <v>502618600.22365052</v>
          </cell>
          <cell r="AL114">
            <v>515793414.72656751</v>
          </cell>
          <cell r="AM114">
            <v>529030659.54137111</v>
          </cell>
          <cell r="AN114">
            <v>541983639.33993578</v>
          </cell>
          <cell r="AO114">
            <v>555307697.98329568</v>
          </cell>
          <cell r="AP114">
            <v>568597675.26542854</v>
          </cell>
          <cell r="AQ114">
            <v>582157658.49334955</v>
          </cell>
          <cell r="AR114">
            <v>595729762.09040964</v>
          </cell>
          <cell r="AS114">
            <v>609248714.49054086</v>
          </cell>
          <cell r="AT114">
            <v>623933704.23063028</v>
          </cell>
          <cell r="AU114">
            <v>639584643.92610061</v>
          </cell>
          <cell r="AV114">
            <v>656563371.71357822</v>
          </cell>
          <cell r="AW114">
            <v>684055089.1354003</v>
          </cell>
          <cell r="AX114">
            <v>732055790.20782244</v>
          </cell>
          <cell r="AY114">
            <v>837237908.59689438</v>
          </cell>
          <cell r="AZ114">
            <v>960164711.35786963</v>
          </cell>
          <cell r="BA114">
            <v>980357019.47500277</v>
          </cell>
          <cell r="BB114">
            <v>980357019.47500277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240282.93619532866</v>
          </cell>
          <cell r="C117">
            <v>235831.18507120135</v>
          </cell>
          <cell r="D117">
            <v>210022.05646411254</v>
          </cell>
          <cell r="E117">
            <v>198638.09886130161</v>
          </cell>
          <cell r="F117">
            <v>198695.96534034636</v>
          </cell>
          <cell r="G117">
            <v>351640.87913362752</v>
          </cell>
          <cell r="H117">
            <v>227083.78352569242</v>
          </cell>
          <cell r="I117">
            <v>194513.05226106642</v>
          </cell>
          <cell r="J117">
            <v>197157.13635225428</v>
          </cell>
          <cell r="K117">
            <v>189776.55355872924</v>
          </cell>
          <cell r="L117">
            <v>217484.88935809798</v>
          </cell>
          <cell r="M117">
            <v>211643.92466268531</v>
          </cell>
          <cell r="N117">
            <v>186150.8324005302</v>
          </cell>
          <cell r="O117">
            <v>318788.06912479911</v>
          </cell>
          <cell r="P117">
            <v>192753.26311239519</v>
          </cell>
          <cell r="Q117">
            <v>206867.86103165013</v>
          </cell>
          <cell r="R117">
            <v>265907.95973488619</v>
          </cell>
          <cell r="S117">
            <v>439514.23330286483</v>
          </cell>
          <cell r="T117">
            <v>344605.17025475658</v>
          </cell>
          <cell r="U117">
            <v>257964.48427283848</v>
          </cell>
          <cell r="V117">
            <v>320401.10073311714</v>
          </cell>
          <cell r="W117">
            <v>291195.24832877913</v>
          </cell>
          <cell r="X117">
            <v>383070.46799450211</v>
          </cell>
          <cell r="Y117">
            <v>728812.35662911506</v>
          </cell>
          <cell r="Z117">
            <v>474541.56238530757</v>
          </cell>
          <cell r="AA117">
            <v>270516.82084453577</v>
          </cell>
          <cell r="AB117">
            <v>280539.66360608255</v>
          </cell>
          <cell r="AC117">
            <v>268062.07738930569</v>
          </cell>
          <cell r="AD117">
            <v>329476.77506528486</v>
          </cell>
          <cell r="AE117">
            <v>321981.80591853033</v>
          </cell>
          <cell r="AF117">
            <v>351494.09301873884</v>
          </cell>
          <cell r="AG117">
            <v>303494.01942995453</v>
          </cell>
          <cell r="AH117">
            <v>288821.78555515182</v>
          </cell>
          <cell r="AI117">
            <v>287829.8612684441</v>
          </cell>
          <cell r="AJ117">
            <v>259790.22148709386</v>
          </cell>
          <cell r="AK117">
            <v>256836.63271583145</v>
          </cell>
          <cell r="AL117">
            <v>249024.38380053767</v>
          </cell>
          <cell r="AM117">
            <v>236057.81538447455</v>
          </cell>
          <cell r="AN117">
            <v>242758.63947906281</v>
          </cell>
          <cell r="AO117">
            <v>257894.44009754222</v>
          </cell>
          <cell r="AP117">
            <v>256573.29693718904</v>
          </cell>
          <cell r="AQ117">
            <v>341431.15203540633</v>
          </cell>
          <cell r="AR117">
            <v>345842.54936196399</v>
          </cell>
          <cell r="AS117">
            <v>737390.64646299114</v>
          </cell>
          <cell r="AT117">
            <v>453963.81456224702</v>
          </cell>
          <cell r="AU117">
            <v>484633.72739143798</v>
          </cell>
          <cell r="AV117">
            <v>727060.18560532317</v>
          </cell>
          <cell r="AW117">
            <v>1509234.355249858</v>
          </cell>
          <cell r="AX117">
            <v>2290638.5040359613</v>
          </cell>
          <cell r="AY117">
            <v>4944397.9960514307</v>
          </cell>
          <cell r="AZ117">
            <v>6104743.3692836398</v>
          </cell>
          <cell r="BA117">
            <v>794383.23720192234</v>
          </cell>
          <cell r="BB117">
            <v>0</v>
          </cell>
        </row>
        <row r="118">
          <cell r="A118" t="str">
            <v>ptd</v>
          </cell>
          <cell r="B118">
            <v>240282.93619532866</v>
          </cell>
          <cell r="C118">
            <v>476114.12126653001</v>
          </cell>
          <cell r="D118">
            <v>686136.17773064249</v>
          </cell>
          <cell r="E118">
            <v>884774.27659194404</v>
          </cell>
          <cell r="F118">
            <v>198695.96534034636</v>
          </cell>
          <cell r="G118">
            <v>550336.84447397385</v>
          </cell>
          <cell r="H118">
            <v>777420.62799966626</v>
          </cell>
          <cell r="I118">
            <v>971933.68026073265</v>
          </cell>
          <cell r="J118">
            <v>197157.13635225428</v>
          </cell>
          <cell r="K118">
            <v>386933.68991098355</v>
          </cell>
          <cell r="L118">
            <v>604418.57926908159</v>
          </cell>
          <cell r="M118">
            <v>816062.50393176684</v>
          </cell>
          <cell r="N118">
            <v>186150.8324005302</v>
          </cell>
          <cell r="O118">
            <v>504938.90152532933</v>
          </cell>
          <cell r="P118">
            <v>697692.16463772452</v>
          </cell>
          <cell r="Q118">
            <v>904560.02566937462</v>
          </cell>
          <cell r="R118">
            <v>265907.95973488619</v>
          </cell>
          <cell r="S118">
            <v>705422.19303775101</v>
          </cell>
          <cell r="T118">
            <v>1050027.3632925076</v>
          </cell>
          <cell r="U118">
            <v>1307991.8475653462</v>
          </cell>
          <cell r="V118">
            <v>320401.10073311714</v>
          </cell>
          <cell r="W118">
            <v>611596.34906189633</v>
          </cell>
          <cell r="X118">
            <v>994666.81705639837</v>
          </cell>
          <cell r="Y118">
            <v>1723479.1736855134</v>
          </cell>
          <cell r="Z118">
            <v>474541.56238530757</v>
          </cell>
          <cell r="AA118">
            <v>745058.38322984334</v>
          </cell>
          <cell r="AB118">
            <v>1025598.0468359259</v>
          </cell>
          <cell r="AC118">
            <v>1293660.1242252316</v>
          </cell>
          <cell r="AD118">
            <v>329476.77506528486</v>
          </cell>
          <cell r="AE118">
            <v>651458.58098381525</v>
          </cell>
          <cell r="AF118">
            <v>1002952.674002554</v>
          </cell>
          <cell r="AG118">
            <v>1306446.6934325085</v>
          </cell>
          <cell r="AH118">
            <v>288821.78555515182</v>
          </cell>
          <cell r="AI118">
            <v>576651.64682359598</v>
          </cell>
          <cell r="AJ118">
            <v>836441.86831068981</v>
          </cell>
          <cell r="AK118">
            <v>1093278.5010265212</v>
          </cell>
          <cell r="AL118">
            <v>249024.38380053767</v>
          </cell>
          <cell r="AM118">
            <v>485082.19918501226</v>
          </cell>
          <cell r="AN118">
            <v>727840.83866407513</v>
          </cell>
          <cell r="AO118">
            <v>985735.27876161737</v>
          </cell>
          <cell r="AP118">
            <v>256573.29693718904</v>
          </cell>
          <cell r="AQ118">
            <v>598004.44897259539</v>
          </cell>
          <cell r="AR118">
            <v>943846.99833455938</v>
          </cell>
          <cell r="AS118">
            <v>1681237.6447975505</v>
          </cell>
          <cell r="AT118">
            <v>453963.81456224702</v>
          </cell>
          <cell r="AU118">
            <v>938597.54195368499</v>
          </cell>
          <cell r="AV118">
            <v>1665657.7275590082</v>
          </cell>
          <cell r="AW118">
            <v>3174892.0828088662</v>
          </cell>
          <cell r="AX118">
            <v>2290638.5040359613</v>
          </cell>
          <cell r="AY118">
            <v>7235036.5000873916</v>
          </cell>
          <cell r="AZ118">
            <v>13339779.86937103</v>
          </cell>
          <cell r="BA118">
            <v>14134163.106572952</v>
          </cell>
          <cell r="BB118">
            <v>14134163.106572952</v>
          </cell>
        </row>
        <row r="119">
          <cell r="A119" t="str">
            <v>qtd</v>
          </cell>
          <cell r="B119">
            <v>240282.93619532866</v>
          </cell>
          <cell r="C119">
            <v>476114.12126653001</v>
          </cell>
          <cell r="D119">
            <v>686136.17773064249</v>
          </cell>
          <cell r="E119">
            <v>884774.27659194404</v>
          </cell>
          <cell r="F119">
            <v>1083470.2419322904</v>
          </cell>
          <cell r="G119">
            <v>1435111.1210659179</v>
          </cell>
          <cell r="H119">
            <v>1662194.9045916102</v>
          </cell>
          <cell r="I119">
            <v>1856707.9568526766</v>
          </cell>
          <cell r="J119">
            <v>2053865.0932049309</v>
          </cell>
          <cell r="K119">
            <v>2243641.64676366</v>
          </cell>
          <cell r="L119">
            <v>2461126.5361217582</v>
          </cell>
          <cell r="M119">
            <v>2672770.4607844437</v>
          </cell>
          <cell r="N119">
            <v>186150.8324005302</v>
          </cell>
          <cell r="O119">
            <v>504938.90152532933</v>
          </cell>
          <cell r="P119">
            <v>697692.16463772452</v>
          </cell>
          <cell r="Q119">
            <v>904560.02566937462</v>
          </cell>
          <cell r="R119">
            <v>1170467.9854042609</v>
          </cell>
          <cell r="S119">
            <v>1609982.2187071256</v>
          </cell>
          <cell r="T119">
            <v>1954587.3889618823</v>
          </cell>
          <cell r="U119">
            <v>2212551.8732347209</v>
          </cell>
          <cell r="V119">
            <v>2532952.9739678381</v>
          </cell>
          <cell r="W119">
            <v>2824148.222296617</v>
          </cell>
          <cell r="X119">
            <v>3207218.6902911193</v>
          </cell>
          <cell r="Y119">
            <v>3936031.0469202343</v>
          </cell>
          <cell r="Z119">
            <v>474541.56238530757</v>
          </cell>
          <cell r="AA119">
            <v>745058.38322984334</v>
          </cell>
          <cell r="AB119">
            <v>1025598.0468359259</v>
          </cell>
          <cell r="AC119">
            <v>1293660.1242252316</v>
          </cell>
          <cell r="AD119">
            <v>1623136.8992905165</v>
          </cell>
          <cell r="AE119">
            <v>1945118.7052090468</v>
          </cell>
          <cell r="AF119">
            <v>2296612.7982277856</v>
          </cell>
          <cell r="AG119">
            <v>2600106.8176577403</v>
          </cell>
          <cell r="AH119">
            <v>2888928.6032128921</v>
          </cell>
          <cell r="AI119">
            <v>3176758.4644813361</v>
          </cell>
          <cell r="AJ119">
            <v>3436548.6859684298</v>
          </cell>
          <cell r="AK119">
            <v>3693385.3186842613</v>
          </cell>
          <cell r="AL119">
            <v>249024.38380053767</v>
          </cell>
          <cell r="AM119">
            <v>485082.19918501226</v>
          </cell>
          <cell r="AN119">
            <v>727840.83866407513</v>
          </cell>
          <cell r="AO119">
            <v>985735.27876161737</v>
          </cell>
          <cell r="AP119">
            <v>1242308.5756988064</v>
          </cell>
          <cell r="AQ119">
            <v>1583739.7277342128</v>
          </cell>
          <cell r="AR119">
            <v>1929582.2770961768</v>
          </cell>
          <cell r="AS119">
            <v>2666972.9235591679</v>
          </cell>
          <cell r="AT119">
            <v>3120936.738121415</v>
          </cell>
          <cell r="AU119">
            <v>3605570.4655128531</v>
          </cell>
          <cell r="AV119">
            <v>4332630.6511181761</v>
          </cell>
          <cell r="AW119">
            <v>5841865.0063680336</v>
          </cell>
          <cell r="AX119">
            <v>8132503.5104039945</v>
          </cell>
          <cell r="AY119">
            <v>13076901.506455425</v>
          </cell>
          <cell r="AZ119">
            <v>19181644.875739064</v>
          </cell>
          <cell r="BA119">
            <v>19976028.112940986</v>
          </cell>
          <cell r="BB119">
            <v>19976028.112940986</v>
          </cell>
        </row>
        <row r="120">
          <cell r="A120" t="str">
            <v>ytd</v>
          </cell>
          <cell r="B120">
            <v>240282.93619532866</v>
          </cell>
          <cell r="C120">
            <v>476114.12126653001</v>
          </cell>
          <cell r="D120">
            <v>686136.17773064249</v>
          </cell>
          <cell r="E120">
            <v>884774.27659194404</v>
          </cell>
          <cell r="F120">
            <v>1083470.2419322904</v>
          </cell>
          <cell r="G120">
            <v>1435111.1210659179</v>
          </cell>
          <cell r="H120">
            <v>1662194.9045916102</v>
          </cell>
          <cell r="I120">
            <v>1856707.9568526766</v>
          </cell>
          <cell r="J120">
            <v>2053865.0932049309</v>
          </cell>
          <cell r="K120">
            <v>2243641.64676366</v>
          </cell>
          <cell r="L120">
            <v>2461126.5361217582</v>
          </cell>
          <cell r="M120">
            <v>2672770.4607844437</v>
          </cell>
          <cell r="N120">
            <v>2858921.2931849738</v>
          </cell>
          <cell r="O120">
            <v>3177709.362309773</v>
          </cell>
          <cell r="P120">
            <v>3370462.6254221681</v>
          </cell>
          <cell r="Q120">
            <v>3577330.4864538182</v>
          </cell>
          <cell r="R120">
            <v>3843238.4461887041</v>
          </cell>
          <cell r="S120">
            <v>4282752.6794915693</v>
          </cell>
          <cell r="T120">
            <v>4627357.849746326</v>
          </cell>
          <cell r="U120">
            <v>4885322.3340191646</v>
          </cell>
          <cell r="V120">
            <v>5205723.4347522818</v>
          </cell>
          <cell r="W120">
            <v>5496918.6830810606</v>
          </cell>
          <cell r="X120">
            <v>5879989.1510755625</v>
          </cell>
          <cell r="Y120">
            <v>6608801.5077046771</v>
          </cell>
          <cell r="Z120">
            <v>7083343.0700899847</v>
          </cell>
          <cell r="AA120">
            <v>7353859.8909345204</v>
          </cell>
          <cell r="AB120">
            <v>7634399.5545406025</v>
          </cell>
          <cell r="AC120">
            <v>7902461.6319299079</v>
          </cell>
          <cell r="AD120">
            <v>8231938.4069951931</v>
          </cell>
          <cell r="AE120">
            <v>8553920.2129137237</v>
          </cell>
          <cell r="AF120">
            <v>8905414.3059324622</v>
          </cell>
          <cell r="AG120">
            <v>9208908.325362416</v>
          </cell>
          <cell r="AH120">
            <v>9497730.1109175682</v>
          </cell>
          <cell r="AI120">
            <v>9785559.9721860122</v>
          </cell>
          <cell r="AJ120">
            <v>10045350.193673106</v>
          </cell>
          <cell r="AK120">
            <v>10302186.826388936</v>
          </cell>
          <cell r="AL120">
            <v>10551211.210189475</v>
          </cell>
          <cell r="AM120">
            <v>10787269.025573948</v>
          </cell>
          <cell r="AN120">
            <v>11030027.665053012</v>
          </cell>
          <cell r="AO120">
            <v>11287922.105150554</v>
          </cell>
          <cell r="AP120">
            <v>11544495.402087742</v>
          </cell>
          <cell r="AQ120">
            <v>11885926.554123148</v>
          </cell>
          <cell r="AR120">
            <v>12231769.103485113</v>
          </cell>
          <cell r="AS120">
            <v>12969159.749948105</v>
          </cell>
          <cell r="AT120">
            <v>13423123.564510351</v>
          </cell>
          <cell r="AU120">
            <v>13907757.29190179</v>
          </cell>
          <cell r="AV120">
            <v>14634817.477507113</v>
          </cell>
          <cell r="AW120">
            <v>16144051.83275697</v>
          </cell>
          <cell r="AX120">
            <v>18434690.336792931</v>
          </cell>
          <cell r="AY120">
            <v>23379088.332844362</v>
          </cell>
          <cell r="AZ120">
            <v>29483831.702128001</v>
          </cell>
          <cell r="BA120">
            <v>30278214.939329922</v>
          </cell>
          <cell r="BB120">
            <v>30278214.939329922</v>
          </cell>
        </row>
        <row r="121">
          <cell r="A121" t="str">
            <v>PART</v>
          </cell>
          <cell r="B121">
            <v>15364403.15472885</v>
          </cell>
          <cell r="C121">
            <v>14847240.718519723</v>
          </cell>
          <cell r="D121">
            <v>12934511.213902539</v>
          </cell>
          <cell r="E121">
            <v>12732078.692193011</v>
          </cell>
          <cell r="F121">
            <v>13266739.877309497</v>
          </cell>
          <cell r="G121">
            <v>22011408.791137137</v>
          </cell>
          <cell r="H121">
            <v>15165626.185041055</v>
          </cell>
          <cell r="I121">
            <v>13198116.420954322</v>
          </cell>
          <cell r="J121">
            <v>14092657.874362433</v>
          </cell>
          <cell r="K121">
            <v>14475610.822699394</v>
          </cell>
          <cell r="L121">
            <v>15361863.073741505</v>
          </cell>
          <cell r="M121">
            <v>14622321.615468858</v>
          </cell>
          <cell r="N121">
            <v>14021808.130464928</v>
          </cell>
          <cell r="O121">
            <v>22870447.922794346</v>
          </cell>
          <cell r="P121">
            <v>14110028.003310883</v>
          </cell>
          <cell r="Q121">
            <v>14867192.231775928</v>
          </cell>
          <cell r="R121">
            <v>17235396.110449512</v>
          </cell>
          <cell r="S121">
            <v>31942231.330176052</v>
          </cell>
          <cell r="T121">
            <v>24014593.678398144</v>
          </cell>
          <cell r="U121">
            <v>18277859.737755507</v>
          </cell>
          <cell r="V121">
            <v>20401247.389656626</v>
          </cell>
          <cell r="W121">
            <v>20362226.554633558</v>
          </cell>
          <cell r="X121">
            <v>24422735.709591776</v>
          </cell>
          <cell r="Y121">
            <v>40490688.461557776</v>
          </cell>
          <cell r="Z121">
            <v>29028872.422485422</v>
          </cell>
          <cell r="AA121">
            <v>19310470.559560403</v>
          </cell>
          <cell r="AB121">
            <v>16441415.546317216</v>
          </cell>
          <cell r="AC121">
            <v>16460730.865948133</v>
          </cell>
          <cell r="AD121">
            <v>16078792.459705846</v>
          </cell>
          <cell r="AE121">
            <v>15927379.373145228</v>
          </cell>
          <cell r="AF121">
            <v>16487231.710326212</v>
          </cell>
          <cell r="AG121">
            <v>16231443.767118277</v>
          </cell>
          <cell r="AH121">
            <v>16374042.100585351</v>
          </cell>
          <cell r="AI121">
            <v>16589463.768760299</v>
          </cell>
          <cell r="AJ121">
            <v>15884654.698451785</v>
          </cell>
          <cell r="AK121">
            <v>15653626.744072828</v>
          </cell>
          <cell r="AL121">
            <v>16255619.961860619</v>
          </cell>
          <cell r="AM121">
            <v>16447791.8241481</v>
          </cell>
          <cell r="AN121">
            <v>16427024.440533893</v>
          </cell>
          <cell r="AO121">
            <v>17207224.779481068</v>
          </cell>
          <cell r="AP121">
            <v>17310045.982459478</v>
          </cell>
          <cell r="AQ121">
            <v>19146079.684938636</v>
          </cell>
          <cell r="AR121">
            <v>18675615.947349541</v>
          </cell>
          <cell r="AS121">
            <v>18507850.36490345</v>
          </cell>
          <cell r="AT121">
            <v>21204925.910598293</v>
          </cell>
          <cell r="AU121">
            <v>23635884.414377857</v>
          </cell>
          <cell r="AV121">
            <v>29226056.645519305</v>
          </cell>
          <cell r="AW121">
            <v>52058797.130283259</v>
          </cell>
          <cell r="AX121">
            <v>93190443.668236971</v>
          </cell>
          <cell r="AY121">
            <v>196341681.49182981</v>
          </cell>
          <cell r="AZ121">
            <v>266928499.19456238</v>
          </cell>
          <cell r="BA121">
            <v>45864720.940287299</v>
          </cell>
          <cell r="BB121">
            <v>0</v>
          </cell>
        </row>
        <row r="122">
          <cell r="A122" t="str">
            <v>ptd</v>
          </cell>
          <cell r="B122">
            <v>15364403.15472885</v>
          </cell>
          <cell r="C122">
            <v>30211643.873248573</v>
          </cell>
          <cell r="D122">
            <v>43146155.08715111</v>
          </cell>
          <cell r="E122">
            <v>55878233.779344119</v>
          </cell>
          <cell r="F122">
            <v>13266739.877309497</v>
          </cell>
          <cell r="G122">
            <v>35278148.66844663</v>
          </cell>
          <cell r="H122">
            <v>50443774.853487685</v>
          </cell>
          <cell r="I122">
            <v>63641891.27444201</v>
          </cell>
          <cell r="J122">
            <v>14092657.874362433</v>
          </cell>
          <cell r="K122">
            <v>28568268.697061829</v>
          </cell>
          <cell r="L122">
            <v>43930131.770803332</v>
          </cell>
          <cell r="M122">
            <v>58552453.386272192</v>
          </cell>
          <cell r="N122">
            <v>14021808.130464928</v>
          </cell>
          <cell r="O122">
            <v>36892256.053259276</v>
          </cell>
          <cell r="P122">
            <v>51002284.056570157</v>
          </cell>
          <cell r="Q122">
            <v>65869476.288346082</v>
          </cell>
          <cell r="R122">
            <v>17235396.110449512</v>
          </cell>
          <cell r="S122">
            <v>49177627.440625563</v>
          </cell>
          <cell r="T122">
            <v>73192221.11902371</v>
          </cell>
          <cell r="U122">
            <v>91470080.856779218</v>
          </cell>
          <cell r="V122">
            <v>20401247.389656626</v>
          </cell>
          <cell r="W122">
            <v>40763473.944290183</v>
          </cell>
          <cell r="X122">
            <v>65186209.65388196</v>
          </cell>
          <cell r="Y122">
            <v>105676898.11543974</v>
          </cell>
          <cell r="Z122">
            <v>29028872.422485422</v>
          </cell>
          <cell r="AA122">
            <v>48339342.982045829</v>
          </cell>
          <cell r="AB122">
            <v>64780758.528363049</v>
          </cell>
          <cell r="AC122">
            <v>81241489.39431119</v>
          </cell>
          <cell r="AD122">
            <v>16078792.459705846</v>
          </cell>
          <cell r="AE122">
            <v>32006171.832851075</v>
          </cell>
          <cell r="AF122">
            <v>48493403.543177284</v>
          </cell>
          <cell r="AG122">
            <v>64724847.310295559</v>
          </cell>
          <cell r="AH122">
            <v>16374042.100585351</v>
          </cell>
          <cell r="AI122">
            <v>32963505.86934565</v>
          </cell>
          <cell r="AJ122">
            <v>48848160.567797437</v>
          </cell>
          <cell r="AK122">
            <v>64501787.311870262</v>
          </cell>
          <cell r="AL122">
            <v>16255619.961860619</v>
          </cell>
          <cell r="AM122">
            <v>32703411.786008719</v>
          </cell>
          <cell r="AN122">
            <v>49130436.226542614</v>
          </cell>
          <cell r="AO122">
            <v>66337661.006023683</v>
          </cell>
          <cell r="AP122">
            <v>17310045.982459478</v>
          </cell>
          <cell r="AQ122">
            <v>36456125.66739811</v>
          </cell>
          <cell r="AR122">
            <v>55131741.614747651</v>
          </cell>
          <cell r="AS122">
            <v>73639591.979651093</v>
          </cell>
          <cell r="AT122">
            <v>21204925.910598293</v>
          </cell>
          <cell r="AU122">
            <v>44840810.324976146</v>
          </cell>
          <cell r="AV122">
            <v>74066866.970495448</v>
          </cell>
          <cell r="AW122">
            <v>126125664.1007787</v>
          </cell>
          <cell r="AX122">
            <v>93190443.668236971</v>
          </cell>
          <cell r="AY122">
            <v>289532125.16006678</v>
          </cell>
          <cell r="AZ122">
            <v>556460624.35462916</v>
          </cell>
          <cell r="BA122">
            <v>602325345.29491651</v>
          </cell>
          <cell r="BB122">
            <v>602325345.29491651</v>
          </cell>
        </row>
        <row r="123">
          <cell r="A123" t="str">
            <v>qtd</v>
          </cell>
          <cell r="B123">
            <v>15364403.15472885</v>
          </cell>
          <cell r="C123">
            <v>30211643.873248573</v>
          </cell>
          <cell r="D123">
            <v>43146155.08715111</v>
          </cell>
          <cell r="E123">
            <v>55878233.779344119</v>
          </cell>
          <cell r="F123">
            <v>69144973.656653613</v>
          </cell>
          <cell r="G123">
            <v>91156382.447790742</v>
          </cell>
          <cell r="H123">
            <v>106322008.6328318</v>
          </cell>
          <cell r="I123">
            <v>119520125.05378611</v>
          </cell>
          <cell r="J123">
            <v>133612782.92814855</v>
          </cell>
          <cell r="K123">
            <v>148088393.75084794</v>
          </cell>
          <cell r="L123">
            <v>163450256.82458943</v>
          </cell>
          <cell r="M123">
            <v>178072578.44005829</v>
          </cell>
          <cell r="N123">
            <v>14021808.130464928</v>
          </cell>
          <cell r="O123">
            <v>36892256.053259276</v>
          </cell>
          <cell r="P123">
            <v>51002284.056570157</v>
          </cell>
          <cell r="Q123">
            <v>65869476.288346082</v>
          </cell>
          <cell r="R123">
            <v>83104872.39879559</v>
          </cell>
          <cell r="S123">
            <v>115047103.72897165</v>
          </cell>
          <cell r="T123">
            <v>139061697.40736979</v>
          </cell>
          <cell r="U123">
            <v>157339557.1451253</v>
          </cell>
          <cell r="V123">
            <v>177740804.53478193</v>
          </cell>
          <cell r="W123">
            <v>198103031.08941549</v>
          </cell>
          <cell r="X123">
            <v>222525766.79900727</v>
          </cell>
          <cell r="Y123">
            <v>263016455.26056504</v>
          </cell>
          <cell r="Z123">
            <v>29028872.422485422</v>
          </cell>
          <cell r="AA123">
            <v>48339342.982045829</v>
          </cell>
          <cell r="AB123">
            <v>64780758.528363049</v>
          </cell>
          <cell r="AC123">
            <v>81241489.39431119</v>
          </cell>
          <cell r="AD123">
            <v>97320281.854017034</v>
          </cell>
          <cell r="AE123">
            <v>113247661.22716226</v>
          </cell>
          <cell r="AF123">
            <v>129734892.93748847</v>
          </cell>
          <cell r="AG123">
            <v>145966336.70460674</v>
          </cell>
          <cell r="AH123">
            <v>162340378.80519208</v>
          </cell>
          <cell r="AI123">
            <v>178929842.57395238</v>
          </cell>
          <cell r="AJ123">
            <v>194814497.27240416</v>
          </cell>
          <cell r="AK123">
            <v>210468124.01647699</v>
          </cell>
          <cell r="AL123">
            <v>16255619.961860619</v>
          </cell>
          <cell r="AM123">
            <v>32703411.786008719</v>
          </cell>
          <cell r="AN123">
            <v>49130436.226542614</v>
          </cell>
          <cell r="AO123">
            <v>66337661.006023683</v>
          </cell>
          <cell r="AP123">
            <v>83647706.988483161</v>
          </cell>
          <cell r="AQ123">
            <v>102793786.6734218</v>
          </cell>
          <cell r="AR123">
            <v>121469402.62077135</v>
          </cell>
          <cell r="AS123">
            <v>139977252.9856748</v>
          </cell>
          <cell r="AT123">
            <v>161182178.89627308</v>
          </cell>
          <cell r="AU123">
            <v>184818063.31065094</v>
          </cell>
          <cell r="AV123">
            <v>214044119.95617026</v>
          </cell>
          <cell r="AW123">
            <v>266102917.08645353</v>
          </cell>
          <cell r="AX123">
            <v>359293360.75469053</v>
          </cell>
          <cell r="AY123">
            <v>555635042.24652028</v>
          </cell>
          <cell r="AZ123">
            <v>822563541.44108272</v>
          </cell>
          <cell r="BA123">
            <v>868428262.38137007</v>
          </cell>
          <cell r="BB123">
            <v>868428262.38137007</v>
          </cell>
        </row>
        <row r="124">
          <cell r="A124" t="str">
            <v>ytd</v>
          </cell>
          <cell r="B124">
            <v>15364403.15472885</v>
          </cell>
          <cell r="C124">
            <v>30211643.873248573</v>
          </cell>
          <cell r="D124">
            <v>43146155.08715111</v>
          </cell>
          <cell r="E124">
            <v>55878233.779344119</v>
          </cell>
          <cell r="F124">
            <v>69144973.656653613</v>
          </cell>
          <cell r="G124">
            <v>91156382.447790742</v>
          </cell>
          <cell r="H124">
            <v>106322008.6328318</v>
          </cell>
          <cell r="I124">
            <v>119520125.05378611</v>
          </cell>
          <cell r="J124">
            <v>133612782.92814855</v>
          </cell>
          <cell r="K124">
            <v>148088393.75084794</v>
          </cell>
          <cell r="L124">
            <v>163450256.82458943</v>
          </cell>
          <cell r="M124">
            <v>178072578.44005829</v>
          </cell>
          <cell r="N124">
            <v>192094386.57052323</v>
          </cell>
          <cell r="O124">
            <v>214964834.49331757</v>
          </cell>
          <cell r="P124">
            <v>229074862.49662846</v>
          </cell>
          <cell r="Q124">
            <v>243942054.7284044</v>
          </cell>
          <cell r="R124">
            <v>261177450.83885393</v>
          </cell>
          <cell r="S124">
            <v>293119682.16902995</v>
          </cell>
          <cell r="T124">
            <v>317134275.84742808</v>
          </cell>
          <cell r="U124">
            <v>335412135.58518362</v>
          </cell>
          <cell r="V124">
            <v>355813382.97484022</v>
          </cell>
          <cell r="W124">
            <v>376175609.52947378</v>
          </cell>
          <cell r="X124">
            <v>400598345.23906553</v>
          </cell>
          <cell r="Y124">
            <v>441089033.70062327</v>
          </cell>
          <cell r="Z124">
            <v>470117906.12310869</v>
          </cell>
          <cell r="AA124">
            <v>489428376.6826691</v>
          </cell>
          <cell r="AB124">
            <v>505869792.22898632</v>
          </cell>
          <cell r="AC124">
            <v>522330523.09493446</v>
          </cell>
          <cell r="AD124">
            <v>538409315.55464029</v>
          </cell>
          <cell r="AE124">
            <v>554336694.92778552</v>
          </cell>
          <cell r="AF124">
            <v>570823926.63811171</v>
          </cell>
          <cell r="AG124">
            <v>587055370.40523005</v>
          </cell>
          <cell r="AH124">
            <v>603429412.50581539</v>
          </cell>
          <cell r="AI124">
            <v>620018876.27457571</v>
          </cell>
          <cell r="AJ124">
            <v>635903530.97302747</v>
          </cell>
          <cell r="AK124">
            <v>651557157.71710026</v>
          </cell>
          <cell r="AL124">
            <v>667812777.67896092</v>
          </cell>
          <cell r="AM124">
            <v>684260569.50310898</v>
          </cell>
          <cell r="AN124">
            <v>700687593.94364285</v>
          </cell>
          <cell r="AO124">
            <v>717894818.72312391</v>
          </cell>
          <cell r="AP124">
            <v>735204864.70558333</v>
          </cell>
          <cell r="AQ124">
            <v>754350944.390522</v>
          </cell>
          <cell r="AR124">
            <v>773026560.33787155</v>
          </cell>
          <cell r="AS124">
            <v>791534410.702775</v>
          </cell>
          <cell r="AT124">
            <v>812739336.61337328</v>
          </cell>
          <cell r="AU124">
            <v>836375221.02775109</v>
          </cell>
          <cell r="AV124">
            <v>865601277.67327034</v>
          </cell>
          <cell r="AW124">
            <v>917660074.80355358</v>
          </cell>
          <cell r="AX124">
            <v>1010850518.4717906</v>
          </cell>
          <cell r="AY124">
            <v>1207192199.9636204</v>
          </cell>
          <cell r="AZ124">
            <v>1474120699.1581829</v>
          </cell>
          <cell r="BA124">
            <v>1519985420.0984702</v>
          </cell>
          <cell r="BB124">
            <v>1519985420.0984702</v>
          </cell>
        </row>
        <row r="125">
          <cell r="A125" t="str">
            <v>PRED</v>
          </cell>
          <cell r="B125">
            <v>524019.5779340138</v>
          </cell>
          <cell r="C125">
            <v>527855.67360420071</v>
          </cell>
          <cell r="D125">
            <v>535949.30135004525</v>
          </cell>
          <cell r="E125">
            <v>565919.56787151075</v>
          </cell>
          <cell r="F125">
            <v>589457.44833942014</v>
          </cell>
          <cell r="G125">
            <v>590433.25846513326</v>
          </cell>
          <cell r="H125">
            <v>581833.83826112864</v>
          </cell>
          <cell r="I125">
            <v>593529.78043952293</v>
          </cell>
          <cell r="J125">
            <v>525255.76375878288</v>
          </cell>
          <cell r="K125">
            <v>513975.440579722</v>
          </cell>
          <cell r="L125">
            <v>514936.01439569116</v>
          </cell>
          <cell r="M125">
            <v>520958.76141234627</v>
          </cell>
          <cell r="N125">
            <v>596000.54174202203</v>
          </cell>
          <cell r="O125">
            <v>580374.17113011482</v>
          </cell>
          <cell r="P125">
            <v>563337.10676314845</v>
          </cell>
          <cell r="Q125">
            <v>557598.65844419925</v>
          </cell>
          <cell r="R125">
            <v>648985.8079880412</v>
          </cell>
          <cell r="S125">
            <v>625292.21123633254</v>
          </cell>
          <cell r="T125">
            <v>630229.261305733</v>
          </cell>
          <cell r="U125">
            <v>629028.8487811957</v>
          </cell>
          <cell r="V125">
            <v>682363.39923872729</v>
          </cell>
          <cell r="W125">
            <v>697698.43264458643</v>
          </cell>
          <cell r="X125">
            <v>705896.93360343389</v>
          </cell>
          <cell r="Y125">
            <v>710400.80907607614</v>
          </cell>
          <cell r="Z125">
            <v>757459.01685018279</v>
          </cell>
          <cell r="AA125">
            <v>748547.36933552776</v>
          </cell>
          <cell r="AB125">
            <v>748002.08153775567</v>
          </cell>
          <cell r="AC125">
            <v>761593.54950676148</v>
          </cell>
          <cell r="AD125">
            <v>789367.6032083967</v>
          </cell>
          <cell r="AE125">
            <v>802472.1271968967</v>
          </cell>
          <cell r="AF125">
            <v>797668.39776723227</v>
          </cell>
          <cell r="AG125">
            <v>786646.54152141244</v>
          </cell>
          <cell r="AH125">
            <v>805411.3991967577</v>
          </cell>
          <cell r="AI125">
            <v>809083.42864618439</v>
          </cell>
          <cell r="AJ125">
            <v>810387.86701302277</v>
          </cell>
          <cell r="AK125">
            <v>816497.23752828268</v>
          </cell>
          <cell r="AL125">
            <v>989575.82455382159</v>
          </cell>
          <cell r="AM125">
            <v>991418.8576109485</v>
          </cell>
          <cell r="AN125">
            <v>1009729.3385867126</v>
          </cell>
          <cell r="AO125">
            <v>1012069.5049825491</v>
          </cell>
          <cell r="AP125">
            <v>1063967.0580847424</v>
          </cell>
          <cell r="AQ125">
            <v>1053063.7444313946</v>
          </cell>
          <cell r="AR125">
            <v>1059856.5446270865</v>
          </cell>
          <cell r="AS125">
            <v>1063246.7441951644</v>
          </cell>
          <cell r="AT125">
            <v>1128186.6704286004</v>
          </cell>
          <cell r="AU125">
            <v>1103680.8283638603</v>
          </cell>
          <cell r="AV125">
            <v>1144486.3899946869</v>
          </cell>
          <cell r="AW125">
            <v>1189599.3024982531</v>
          </cell>
          <cell r="AX125">
            <v>1359538.6781211889</v>
          </cell>
          <cell r="AY125">
            <v>1375255.0946481794</v>
          </cell>
          <cell r="AZ125">
            <v>1392641.9945220698</v>
          </cell>
          <cell r="BA125">
            <v>1285835.0104198284</v>
          </cell>
          <cell r="BB125">
            <v>0</v>
          </cell>
        </row>
        <row r="126">
          <cell r="A126" t="str">
            <v>ptd</v>
          </cell>
          <cell r="B126">
            <v>524019.5779340138</v>
          </cell>
          <cell r="C126">
            <v>1051875.2515382145</v>
          </cell>
          <cell r="D126">
            <v>1587824.5528882598</v>
          </cell>
          <cell r="E126">
            <v>2153744.1207597703</v>
          </cell>
          <cell r="F126">
            <v>589457.44833942014</v>
          </cell>
          <cell r="G126">
            <v>1179890.7068045535</v>
          </cell>
          <cell r="H126">
            <v>1761724.5450656821</v>
          </cell>
          <cell r="I126">
            <v>2355254.325505205</v>
          </cell>
          <cell r="J126">
            <v>525255.76375878288</v>
          </cell>
          <cell r="K126">
            <v>1039231.2043385049</v>
          </cell>
          <cell r="L126">
            <v>1554167.2187341962</v>
          </cell>
          <cell r="M126">
            <v>2075125.9801465424</v>
          </cell>
          <cell r="N126">
            <v>596000.54174202203</v>
          </cell>
          <cell r="O126">
            <v>1176374.7128721368</v>
          </cell>
          <cell r="P126">
            <v>1739711.8196352853</v>
          </cell>
          <cell r="Q126">
            <v>2297310.4780794848</v>
          </cell>
          <cell r="R126">
            <v>648985.8079880412</v>
          </cell>
          <cell r="S126">
            <v>1274278.0192243736</v>
          </cell>
          <cell r="T126">
            <v>1904507.2805301067</v>
          </cell>
          <cell r="U126">
            <v>2533536.1293113027</v>
          </cell>
          <cell r="V126">
            <v>682363.39923872729</v>
          </cell>
          <cell r="W126">
            <v>1380061.8318833136</v>
          </cell>
          <cell r="X126">
            <v>2085958.7654867475</v>
          </cell>
          <cell r="Y126">
            <v>2796359.5745628234</v>
          </cell>
          <cell r="Z126">
            <v>757459.01685018279</v>
          </cell>
          <cell r="AA126">
            <v>1506006.3861857106</v>
          </cell>
          <cell r="AB126">
            <v>2254008.4677234665</v>
          </cell>
          <cell r="AC126">
            <v>3015602.0172302281</v>
          </cell>
          <cell r="AD126">
            <v>789367.6032083967</v>
          </cell>
          <cell r="AE126">
            <v>1591839.7304052934</v>
          </cell>
          <cell r="AF126">
            <v>2389508.1281725257</v>
          </cell>
          <cell r="AG126">
            <v>3176154.669693938</v>
          </cell>
          <cell r="AH126">
            <v>805411.3991967577</v>
          </cell>
          <cell r="AI126">
            <v>1614494.827842942</v>
          </cell>
          <cell r="AJ126">
            <v>2424882.6948559647</v>
          </cell>
          <cell r="AK126">
            <v>3241379.9323842474</v>
          </cell>
          <cell r="AL126">
            <v>989575.82455382159</v>
          </cell>
          <cell r="AM126">
            <v>1980994.6821647701</v>
          </cell>
          <cell r="AN126">
            <v>2990724.0207514828</v>
          </cell>
          <cell r="AO126">
            <v>4002793.525734032</v>
          </cell>
          <cell r="AP126">
            <v>1063967.0580847424</v>
          </cell>
          <cell r="AQ126">
            <v>2117030.8025161372</v>
          </cell>
          <cell r="AR126">
            <v>3176887.3471432235</v>
          </cell>
          <cell r="AS126">
            <v>4240134.0913383877</v>
          </cell>
          <cell r="AT126">
            <v>1128186.6704286004</v>
          </cell>
          <cell r="AU126">
            <v>2231867.4987924607</v>
          </cell>
          <cell r="AV126">
            <v>3376353.8887871476</v>
          </cell>
          <cell r="AW126">
            <v>4565953.1912854007</v>
          </cell>
          <cell r="AX126">
            <v>1359538.6781211889</v>
          </cell>
          <cell r="AY126">
            <v>2734793.7727693683</v>
          </cell>
          <cell r="AZ126">
            <v>4127435.7672914378</v>
          </cell>
          <cell r="BA126">
            <v>5413270.7777112667</v>
          </cell>
          <cell r="BB126">
            <v>5413270.7777112667</v>
          </cell>
        </row>
        <row r="127">
          <cell r="A127" t="str">
            <v>qtd</v>
          </cell>
          <cell r="B127">
            <v>524019.5779340138</v>
          </cell>
          <cell r="C127">
            <v>1051875.2515382145</v>
          </cell>
          <cell r="D127">
            <v>1587824.5528882598</v>
          </cell>
          <cell r="E127">
            <v>2153744.1207597703</v>
          </cell>
          <cell r="F127">
            <v>2743201.5690991906</v>
          </cell>
          <cell r="G127">
            <v>3333634.8275643238</v>
          </cell>
          <cell r="H127">
            <v>3915468.6658254527</v>
          </cell>
          <cell r="I127">
            <v>4508998.4462649757</v>
          </cell>
          <cell r="J127">
            <v>5034254.2100237589</v>
          </cell>
          <cell r="K127">
            <v>5548229.6506034806</v>
          </cell>
          <cell r="L127">
            <v>6063165.6649991721</v>
          </cell>
          <cell r="M127">
            <v>6584124.4264115188</v>
          </cell>
          <cell r="N127">
            <v>596000.54174202203</v>
          </cell>
          <cell r="O127">
            <v>1176374.7128721368</v>
          </cell>
          <cell r="P127">
            <v>1739711.8196352853</v>
          </cell>
          <cell r="Q127">
            <v>2297310.4780794848</v>
          </cell>
          <cell r="R127">
            <v>2946296.2860675259</v>
          </cell>
          <cell r="S127">
            <v>3571588.4973038584</v>
          </cell>
          <cell r="T127">
            <v>4201817.7586095911</v>
          </cell>
          <cell r="U127">
            <v>4830846.6073907865</v>
          </cell>
          <cell r="V127">
            <v>5513210.0066295136</v>
          </cell>
          <cell r="W127">
            <v>6210908.4392740997</v>
          </cell>
          <cell r="X127">
            <v>6916805.3728775335</v>
          </cell>
          <cell r="Y127">
            <v>7627206.1819536099</v>
          </cell>
          <cell r="Z127">
            <v>757459.01685018279</v>
          </cell>
          <cell r="AA127">
            <v>1506006.3861857106</v>
          </cell>
          <cell r="AB127">
            <v>2254008.4677234665</v>
          </cell>
          <cell r="AC127">
            <v>3015602.0172302281</v>
          </cell>
          <cell r="AD127">
            <v>3804969.6204386246</v>
          </cell>
          <cell r="AE127">
            <v>4607441.747635521</v>
          </cell>
          <cell r="AF127">
            <v>5405110.1454027537</v>
          </cell>
          <cell r="AG127">
            <v>6191756.686924166</v>
          </cell>
          <cell r="AH127">
            <v>6997168.086120924</v>
          </cell>
          <cell r="AI127">
            <v>7806251.5147671085</v>
          </cell>
          <cell r="AJ127">
            <v>8616639.3817801308</v>
          </cell>
          <cell r="AK127">
            <v>9433136.6193084139</v>
          </cell>
          <cell r="AL127">
            <v>989575.82455382159</v>
          </cell>
          <cell r="AM127">
            <v>1980994.6821647701</v>
          </cell>
          <cell r="AN127">
            <v>2990724.0207514828</v>
          </cell>
          <cell r="AO127">
            <v>4002793.525734032</v>
          </cell>
          <cell r="AP127">
            <v>5066760.5838187747</v>
          </cell>
          <cell r="AQ127">
            <v>6119824.3282501698</v>
          </cell>
          <cell r="AR127">
            <v>7179680.872877256</v>
          </cell>
          <cell r="AS127">
            <v>8242927.6170724202</v>
          </cell>
          <cell r="AT127">
            <v>9371114.2875010204</v>
          </cell>
          <cell r="AU127">
            <v>10474795.11586488</v>
          </cell>
          <cell r="AV127">
            <v>11619281.505859567</v>
          </cell>
          <cell r="AW127">
            <v>12808880.80835782</v>
          </cell>
          <cell r="AX127">
            <v>14168419.486479009</v>
          </cell>
          <cell r="AY127">
            <v>15543674.581127187</v>
          </cell>
          <cell r="AZ127">
            <v>16936316.575649258</v>
          </cell>
          <cell r="BA127">
            <v>18222151.586069085</v>
          </cell>
          <cell r="BB127">
            <v>18222151.586069085</v>
          </cell>
        </row>
        <row r="128">
          <cell r="A128" t="str">
            <v>ytd</v>
          </cell>
          <cell r="B128">
            <v>524019.5779340138</v>
          </cell>
          <cell r="C128">
            <v>1051875.2515382145</v>
          </cell>
          <cell r="D128">
            <v>1587824.5528882598</v>
          </cell>
          <cell r="E128">
            <v>2153744.1207597703</v>
          </cell>
          <cell r="F128">
            <v>2743201.5690991906</v>
          </cell>
          <cell r="G128">
            <v>3333634.8275643238</v>
          </cell>
          <cell r="H128">
            <v>3915468.6658254527</v>
          </cell>
          <cell r="I128">
            <v>4508998.4462649757</v>
          </cell>
          <cell r="J128">
            <v>5034254.2100237589</v>
          </cell>
          <cell r="K128">
            <v>5548229.6506034806</v>
          </cell>
          <cell r="L128">
            <v>6063165.6649991721</v>
          </cell>
          <cell r="M128">
            <v>6584124.4264115188</v>
          </cell>
          <cell r="N128">
            <v>7180124.968153541</v>
          </cell>
          <cell r="O128">
            <v>7760499.1392836561</v>
          </cell>
          <cell r="P128">
            <v>8323836.2460468048</v>
          </cell>
          <cell r="Q128">
            <v>8881434.9044910036</v>
          </cell>
          <cell r="R128">
            <v>9530420.7124790456</v>
          </cell>
          <cell r="S128">
            <v>10155712.923715379</v>
          </cell>
          <cell r="T128">
            <v>10785942.185021112</v>
          </cell>
          <cell r="U128">
            <v>11414971.033802308</v>
          </cell>
          <cell r="V128">
            <v>12097334.433041036</v>
          </cell>
          <cell r="W128">
            <v>12795032.865685623</v>
          </cell>
          <cell r="X128">
            <v>13500929.799289057</v>
          </cell>
          <cell r="Y128">
            <v>14211330.608365133</v>
          </cell>
          <cell r="Z128">
            <v>14968789.625215316</v>
          </cell>
          <cell r="AA128">
            <v>15717336.994550845</v>
          </cell>
          <cell r="AB128">
            <v>16465339.0760886</v>
          </cell>
          <cell r="AC128">
            <v>17226932.625595361</v>
          </cell>
          <cell r="AD128">
            <v>18016300.228803758</v>
          </cell>
          <cell r="AE128">
            <v>18818772.356000654</v>
          </cell>
          <cell r="AF128">
            <v>19616440.753767885</v>
          </cell>
          <cell r="AG128">
            <v>20403087.295289297</v>
          </cell>
          <cell r="AH128">
            <v>21208498.694486056</v>
          </cell>
          <cell r="AI128">
            <v>22017582.12313224</v>
          </cell>
          <cell r="AJ128">
            <v>22827969.990145262</v>
          </cell>
          <cell r="AK128">
            <v>23644467.227673545</v>
          </cell>
          <cell r="AL128">
            <v>24634043.052227367</v>
          </cell>
          <cell r="AM128">
            <v>25625461.909838315</v>
          </cell>
          <cell r="AN128">
            <v>26635191.248425029</v>
          </cell>
          <cell r="AO128">
            <v>27647260.753407579</v>
          </cell>
          <cell r="AP128">
            <v>28711227.81149232</v>
          </cell>
          <cell r="AQ128">
            <v>29764291.555923715</v>
          </cell>
          <cell r="AR128">
            <v>30824148.100550801</v>
          </cell>
          <cell r="AS128">
            <v>31887394.844745964</v>
          </cell>
          <cell r="AT128">
            <v>33015581.515174564</v>
          </cell>
          <cell r="AU128">
            <v>34119262.343538426</v>
          </cell>
          <cell r="AV128">
            <v>35263748.733533114</v>
          </cell>
          <cell r="AW128">
            <v>36453348.036031365</v>
          </cell>
          <cell r="AX128">
            <v>37812886.714152552</v>
          </cell>
          <cell r="AY128">
            <v>39188141.808800735</v>
          </cell>
          <cell r="AZ128">
            <v>40580783.803322807</v>
          </cell>
          <cell r="BA128">
            <v>41866618.813742638</v>
          </cell>
          <cell r="BB128">
            <v>41866618.813742638</v>
          </cell>
        </row>
        <row r="129">
          <cell r="A129" t="str">
            <v>PREG</v>
          </cell>
          <cell r="B129">
            <v>7578808.4542307472</v>
          </cell>
          <cell r="C129">
            <v>7063720.6020382317</v>
          </cell>
          <cell r="D129">
            <v>6848911.6355160931</v>
          </cell>
          <cell r="E129">
            <v>6743361.6564340126</v>
          </cell>
          <cell r="F129">
            <v>6989267.1646923823</v>
          </cell>
          <cell r="G129">
            <v>8180879.0894599585</v>
          </cell>
          <cell r="H129">
            <v>6753473.8080165572</v>
          </cell>
          <cell r="I129">
            <v>6933130.2710999064</v>
          </cell>
          <cell r="J129">
            <v>7143436.3157878164</v>
          </cell>
          <cell r="K129">
            <v>7671155.1319586048</v>
          </cell>
          <cell r="L129">
            <v>7448468.0894258469</v>
          </cell>
          <cell r="M129">
            <v>7560284.418034751</v>
          </cell>
          <cell r="N129">
            <v>7234847.7041222956</v>
          </cell>
          <cell r="O129">
            <v>9358422.9621481262</v>
          </cell>
          <cell r="P129">
            <v>7628099.8226982141</v>
          </cell>
          <cell r="Q129">
            <v>8519936.6353751179</v>
          </cell>
          <cell r="R129">
            <v>8577007.6308422796</v>
          </cell>
          <cell r="S129">
            <v>12211596.105862919</v>
          </cell>
          <cell r="T129">
            <v>10645863.832489245</v>
          </cell>
          <cell r="U129">
            <v>9747940.0939845219</v>
          </cell>
          <cell r="V129">
            <v>10210456.777673967</v>
          </cell>
          <cell r="W129">
            <v>11628952.406443978</v>
          </cell>
          <cell r="X129">
            <v>14470894.919923104</v>
          </cell>
          <cell r="Y129">
            <v>13041656.649762992</v>
          </cell>
          <cell r="Z129">
            <v>8663096.5885740798</v>
          </cell>
          <cell r="AA129">
            <v>6943000.1429958967</v>
          </cell>
          <cell r="AB129">
            <v>6548753.3000937141</v>
          </cell>
          <cell r="AC129">
            <v>6571589.4183784807</v>
          </cell>
          <cell r="AD129">
            <v>6719701.9801678108</v>
          </cell>
          <cell r="AE129">
            <v>7123945.8147073956</v>
          </cell>
          <cell r="AF129">
            <v>7105186.6452840092</v>
          </cell>
          <cell r="AG129">
            <v>7294188.853073244</v>
          </cell>
          <cell r="AH129">
            <v>7283432.4111679094</v>
          </cell>
          <cell r="AI129">
            <v>7000487.7492284831</v>
          </cell>
          <cell r="AJ129">
            <v>6490801.7921120739</v>
          </cell>
          <cell r="AK129">
            <v>6387891.0529863201</v>
          </cell>
          <cell r="AL129">
            <v>6575163.126019747</v>
          </cell>
          <cell r="AM129">
            <v>6838273.3479914246</v>
          </cell>
          <cell r="AN129">
            <v>6900680.0982784228</v>
          </cell>
          <cell r="AO129">
            <v>6727012.6329844669</v>
          </cell>
          <cell r="AP129">
            <v>7035060.7871008674</v>
          </cell>
          <cell r="AQ129">
            <v>7110075.9337736042</v>
          </cell>
          <cell r="AR129">
            <v>7137668.3887162013</v>
          </cell>
          <cell r="AS129">
            <v>7218438.0220623398</v>
          </cell>
          <cell r="AT129">
            <v>7707037.875233843</v>
          </cell>
          <cell r="AU129">
            <v>8814136.1346440278</v>
          </cell>
          <cell r="AV129">
            <v>9749601.0966074672</v>
          </cell>
          <cell r="AW129">
            <v>13727368.892265206</v>
          </cell>
          <cell r="AX129">
            <v>23883483.048069373</v>
          </cell>
          <cell r="AY129">
            <v>54757051.89720948</v>
          </cell>
          <cell r="AZ129">
            <v>75809438.381006688</v>
          </cell>
          <cell r="BA129">
            <v>17395544.387562275</v>
          </cell>
          <cell r="BB129">
            <v>0</v>
          </cell>
        </row>
        <row r="130">
          <cell r="A130" t="str">
            <v>ptd</v>
          </cell>
          <cell r="B130">
            <v>7578808.4542307472</v>
          </cell>
          <cell r="C130">
            <v>14642529.056268979</v>
          </cell>
          <cell r="D130">
            <v>21491440.691785071</v>
          </cell>
          <cell r="E130">
            <v>28234802.348219082</v>
          </cell>
          <cell r="F130">
            <v>6989267.1646923823</v>
          </cell>
          <cell r="G130">
            <v>15170146.254152341</v>
          </cell>
          <cell r="H130">
            <v>21923620.062168896</v>
          </cell>
          <cell r="I130">
            <v>28856750.333268803</v>
          </cell>
          <cell r="J130">
            <v>7143436.3157878164</v>
          </cell>
          <cell r="K130">
            <v>14814591.447746422</v>
          </cell>
          <cell r="L130">
            <v>22263059.537172269</v>
          </cell>
          <cell r="M130">
            <v>29823343.95520702</v>
          </cell>
          <cell r="N130">
            <v>7234847.7041222956</v>
          </cell>
          <cell r="O130">
            <v>16593270.666270422</v>
          </cell>
          <cell r="P130">
            <v>24221370.488968637</v>
          </cell>
          <cell r="Q130">
            <v>32741307.124343753</v>
          </cell>
          <cell r="R130">
            <v>8577007.6308422796</v>
          </cell>
          <cell r="S130">
            <v>20788603.736705199</v>
          </cell>
          <cell r="T130">
            <v>31434467.569194444</v>
          </cell>
          <cell r="U130">
            <v>41182407.663178965</v>
          </cell>
          <cell r="V130">
            <v>10210456.777673967</v>
          </cell>
          <cell r="W130">
            <v>21839409.184117943</v>
          </cell>
          <cell r="X130">
            <v>36310304.104041047</v>
          </cell>
          <cell r="Y130">
            <v>49351960.753804043</v>
          </cell>
          <cell r="Z130">
            <v>8663096.5885740798</v>
          </cell>
          <cell r="AA130">
            <v>15606096.731569976</v>
          </cell>
          <cell r="AB130">
            <v>22154850.03166369</v>
          </cell>
          <cell r="AC130">
            <v>28726439.45004217</v>
          </cell>
          <cell r="AD130">
            <v>6719701.9801678108</v>
          </cell>
          <cell r="AE130">
            <v>13843647.794875206</v>
          </cell>
          <cell r="AF130">
            <v>20948834.440159217</v>
          </cell>
          <cell r="AG130">
            <v>28243023.29323246</v>
          </cell>
          <cell r="AH130">
            <v>7283432.4111679094</v>
          </cell>
          <cell r="AI130">
            <v>14283920.160396393</v>
          </cell>
          <cell r="AJ130">
            <v>20774721.952508468</v>
          </cell>
          <cell r="AK130">
            <v>27162613.005494788</v>
          </cell>
          <cell r="AL130">
            <v>6575163.126019747</v>
          </cell>
          <cell r="AM130">
            <v>13413436.474011172</v>
          </cell>
          <cell r="AN130">
            <v>20314116.572289594</v>
          </cell>
          <cell r="AO130">
            <v>27041129.20527406</v>
          </cell>
          <cell r="AP130">
            <v>7035060.7871008674</v>
          </cell>
          <cell r="AQ130">
            <v>14145136.720874472</v>
          </cell>
          <cell r="AR130">
            <v>21282805.109590672</v>
          </cell>
          <cell r="AS130">
            <v>28501243.131653011</v>
          </cell>
          <cell r="AT130">
            <v>7707037.875233843</v>
          </cell>
          <cell r="AU130">
            <v>16521174.009877872</v>
          </cell>
          <cell r="AV130">
            <v>26270775.106485337</v>
          </cell>
          <cell r="AW130">
            <v>39998143.998750545</v>
          </cell>
          <cell r="AX130">
            <v>23883483.048069373</v>
          </cell>
          <cell r="AY130">
            <v>78640534.945278853</v>
          </cell>
          <cell r="AZ130">
            <v>154449973.32628554</v>
          </cell>
          <cell r="BA130">
            <v>171845517.71384782</v>
          </cell>
          <cell r="BB130">
            <v>171845517.71384782</v>
          </cell>
        </row>
        <row r="131">
          <cell r="A131" t="str">
            <v>qtd</v>
          </cell>
          <cell r="B131">
            <v>7578808.4542307472</v>
          </cell>
          <cell r="C131">
            <v>14642529.056268979</v>
          </cell>
          <cell r="D131">
            <v>21491440.691785071</v>
          </cell>
          <cell r="E131">
            <v>28234802.348219082</v>
          </cell>
          <cell r="F131">
            <v>35224069.512911461</v>
          </cell>
          <cell r="G131">
            <v>43404948.602371417</v>
          </cell>
          <cell r="H131">
            <v>50158422.410387978</v>
          </cell>
          <cell r="I131">
            <v>57091552.681487888</v>
          </cell>
          <cell r="J131">
            <v>64234988.997275703</v>
          </cell>
          <cell r="K131">
            <v>71906144.129234314</v>
          </cell>
          <cell r="L131">
            <v>79354612.218660161</v>
          </cell>
          <cell r="M131">
            <v>86914896.636694908</v>
          </cell>
          <cell r="N131">
            <v>7234847.7041222956</v>
          </cell>
          <cell r="O131">
            <v>16593270.666270422</v>
          </cell>
          <cell r="P131">
            <v>24221370.488968637</v>
          </cell>
          <cell r="Q131">
            <v>32741307.124343753</v>
          </cell>
          <cell r="R131">
            <v>41318314.755186036</v>
          </cell>
          <cell r="S131">
            <v>53529910.861048952</v>
          </cell>
          <cell r="T131">
            <v>64175774.693538196</v>
          </cell>
          <cell r="U131">
            <v>73923714.787522718</v>
          </cell>
          <cell r="V131">
            <v>84134171.565196693</v>
          </cell>
          <cell r="W131">
            <v>95763123.971640676</v>
          </cell>
          <cell r="X131">
            <v>110234018.89156377</v>
          </cell>
          <cell r="Y131">
            <v>123275675.54132676</v>
          </cell>
          <cell r="Z131">
            <v>8663096.5885740798</v>
          </cell>
          <cell r="AA131">
            <v>15606096.731569976</v>
          </cell>
          <cell r="AB131">
            <v>22154850.03166369</v>
          </cell>
          <cell r="AC131">
            <v>28726439.45004217</v>
          </cell>
          <cell r="AD131">
            <v>35446141.430209979</v>
          </cell>
          <cell r="AE131">
            <v>42570087.244917378</v>
          </cell>
          <cell r="AF131">
            <v>49675273.89020139</v>
          </cell>
          <cell r="AG131">
            <v>56969462.743274637</v>
          </cell>
          <cell r="AH131">
            <v>64252895.154442549</v>
          </cell>
          <cell r="AI131">
            <v>71253382.903671026</v>
          </cell>
          <cell r="AJ131">
            <v>77744184.695783094</v>
          </cell>
          <cell r="AK131">
            <v>84132075.748769417</v>
          </cell>
          <cell r="AL131">
            <v>6575163.126019747</v>
          </cell>
          <cell r="AM131">
            <v>13413436.474011172</v>
          </cell>
          <cell r="AN131">
            <v>20314116.572289594</v>
          </cell>
          <cell r="AO131">
            <v>27041129.20527406</v>
          </cell>
          <cell r="AP131">
            <v>34076189.992374927</v>
          </cell>
          <cell r="AQ131">
            <v>41186265.926148534</v>
          </cell>
          <cell r="AR131">
            <v>48323934.314864732</v>
          </cell>
          <cell r="AS131">
            <v>55542372.336927071</v>
          </cell>
          <cell r="AT131">
            <v>63249410.212160915</v>
          </cell>
          <cell r="AU131">
            <v>72063546.346804947</v>
          </cell>
          <cell r="AV131">
            <v>81813147.443412408</v>
          </cell>
          <cell r="AW131">
            <v>95540516.335677609</v>
          </cell>
          <cell r="AX131">
            <v>119423999.38374698</v>
          </cell>
          <cell r="AY131">
            <v>174181051.28095645</v>
          </cell>
          <cell r="AZ131">
            <v>249990489.66196314</v>
          </cell>
          <cell r="BA131">
            <v>267386034.04952541</v>
          </cell>
          <cell r="BB131">
            <v>267386034.04952541</v>
          </cell>
        </row>
        <row r="132">
          <cell r="A132" t="str">
            <v>ytd</v>
          </cell>
          <cell r="B132">
            <v>7578808.4542307472</v>
          </cell>
          <cell r="C132">
            <v>14642529.056268979</v>
          </cell>
          <cell r="D132">
            <v>21491440.691785071</v>
          </cell>
          <cell r="E132">
            <v>28234802.348219082</v>
          </cell>
          <cell r="F132">
            <v>35224069.512911461</v>
          </cell>
          <cell r="G132">
            <v>43404948.602371417</v>
          </cell>
          <cell r="H132">
            <v>50158422.410387978</v>
          </cell>
          <cell r="I132">
            <v>57091552.681487888</v>
          </cell>
          <cell r="J132">
            <v>64234988.997275703</v>
          </cell>
          <cell r="K132">
            <v>71906144.129234314</v>
          </cell>
          <cell r="L132">
            <v>79354612.218660161</v>
          </cell>
          <cell r="M132">
            <v>86914896.636694908</v>
          </cell>
          <cell r="N132">
            <v>94149744.340817198</v>
          </cell>
          <cell r="O132">
            <v>103508167.30296533</v>
          </cell>
          <cell r="P132">
            <v>111136267.12566355</v>
          </cell>
          <cell r="Q132">
            <v>119656203.76103866</v>
          </cell>
          <cell r="R132">
            <v>128233211.39188094</v>
          </cell>
          <cell r="S132">
            <v>140444807.49774387</v>
          </cell>
          <cell r="T132">
            <v>151090671.33023313</v>
          </cell>
          <cell r="U132">
            <v>160838611.42421764</v>
          </cell>
          <cell r="V132">
            <v>171049068.2018916</v>
          </cell>
          <cell r="W132">
            <v>182678020.60833558</v>
          </cell>
          <cell r="X132">
            <v>197148915.52825868</v>
          </cell>
          <cell r="Y132">
            <v>210190572.17802167</v>
          </cell>
          <cell r="Z132">
            <v>218853668.76659575</v>
          </cell>
          <cell r="AA132">
            <v>225796668.90959165</v>
          </cell>
          <cell r="AB132">
            <v>232345422.20968536</v>
          </cell>
          <cell r="AC132">
            <v>238917011.62806383</v>
          </cell>
          <cell r="AD132">
            <v>245636713.60823163</v>
          </cell>
          <cell r="AE132">
            <v>252760659.42293903</v>
          </cell>
          <cell r="AF132">
            <v>259865846.06822303</v>
          </cell>
          <cell r="AG132">
            <v>267160034.92129627</v>
          </cell>
          <cell r="AH132">
            <v>274443467.33246416</v>
          </cell>
          <cell r="AI132">
            <v>281443955.08169264</v>
          </cell>
          <cell r="AJ132">
            <v>287934756.87380469</v>
          </cell>
          <cell r="AK132">
            <v>294322647.92679101</v>
          </cell>
          <cell r="AL132">
            <v>300897811.05281079</v>
          </cell>
          <cell r="AM132">
            <v>307736084.4008022</v>
          </cell>
          <cell r="AN132">
            <v>314636764.4990806</v>
          </cell>
          <cell r="AO132">
            <v>321363777.13206506</v>
          </cell>
          <cell r="AP132">
            <v>328398837.91916591</v>
          </cell>
          <cell r="AQ132">
            <v>335508913.85293949</v>
          </cell>
          <cell r="AR132">
            <v>342646582.24165571</v>
          </cell>
          <cell r="AS132">
            <v>349865020.26371807</v>
          </cell>
          <cell r="AT132">
            <v>357572058.1389519</v>
          </cell>
          <cell r="AU132">
            <v>366386194.27359593</v>
          </cell>
          <cell r="AV132">
            <v>376135795.37020338</v>
          </cell>
          <cell r="AW132">
            <v>389863164.26246858</v>
          </cell>
          <cell r="AX132">
            <v>413746647.31053793</v>
          </cell>
          <cell r="AY132">
            <v>468503699.2077474</v>
          </cell>
          <cell r="AZ132">
            <v>544313137.58875406</v>
          </cell>
          <cell r="BA132">
            <v>561708681.97631633</v>
          </cell>
          <cell r="BB132">
            <v>561708681.97631633</v>
          </cell>
        </row>
        <row r="133">
          <cell r="A133" t="str">
            <v>SPRT</v>
          </cell>
          <cell r="B133">
            <v>127793.42912180275</v>
          </cell>
          <cell r="C133">
            <v>128202.30954577115</v>
          </cell>
          <cell r="D133">
            <v>106511.79346190831</v>
          </cell>
          <cell r="E133">
            <v>100271.23573858323</v>
          </cell>
          <cell r="F133">
            <v>109140.91573762328</v>
          </cell>
          <cell r="G133">
            <v>194298.51694413793</v>
          </cell>
          <cell r="H133">
            <v>123145.46738306037</v>
          </cell>
          <cell r="I133">
            <v>101427.18872824589</v>
          </cell>
          <cell r="J133">
            <v>107870.81565437249</v>
          </cell>
          <cell r="K133">
            <v>108761.33925417169</v>
          </cell>
          <cell r="L133">
            <v>111617.31146925139</v>
          </cell>
          <cell r="M133">
            <v>121946.93314848978</v>
          </cell>
          <cell r="N133">
            <v>113843.55611391114</v>
          </cell>
          <cell r="O133">
            <v>196792.32536195419</v>
          </cell>
          <cell r="P133">
            <v>115206.65270974445</v>
          </cell>
          <cell r="Q133">
            <v>125567.31843607126</v>
          </cell>
          <cell r="R133">
            <v>129941.84953259125</v>
          </cell>
          <cell r="S133">
            <v>174412.92870679474</v>
          </cell>
          <cell r="T133">
            <v>162160.96771670683</v>
          </cell>
          <cell r="U133">
            <v>139539.48482262035</v>
          </cell>
          <cell r="V133">
            <v>165244.29938463098</v>
          </cell>
          <cell r="W133">
            <v>159482.8387775397</v>
          </cell>
          <cell r="X133">
            <v>197161.20800564068</v>
          </cell>
          <cell r="Y133">
            <v>419982.05197646556</v>
          </cell>
          <cell r="Z133">
            <v>296606.19439594861</v>
          </cell>
          <cell r="AA133">
            <v>149362.96228139431</v>
          </cell>
          <cell r="AB133">
            <v>113464.45513389977</v>
          </cell>
          <cell r="AC133">
            <v>123360.18233637828</v>
          </cell>
          <cell r="AD133">
            <v>119071.33535279923</v>
          </cell>
          <cell r="AE133">
            <v>113394.69453774946</v>
          </cell>
          <cell r="AF133">
            <v>119518.81222944496</v>
          </cell>
          <cell r="AG133">
            <v>123485.25995605695</v>
          </cell>
          <cell r="AH133">
            <v>129821.51802309202</v>
          </cell>
          <cell r="AI133">
            <v>127443.62536223559</v>
          </cell>
          <cell r="AJ133">
            <v>128677.20904756566</v>
          </cell>
          <cell r="AK133">
            <v>125529.81994127929</v>
          </cell>
          <cell r="AL133">
            <v>127326.43185981079</v>
          </cell>
          <cell r="AM133">
            <v>132701.92012796394</v>
          </cell>
          <cell r="AN133">
            <v>133643.64649044495</v>
          </cell>
          <cell r="AO133">
            <v>130738.58150850373</v>
          </cell>
          <cell r="AP133">
            <v>125813.85758889971</v>
          </cell>
          <cell r="AQ133">
            <v>141112.61782072234</v>
          </cell>
          <cell r="AR133">
            <v>122834.5455443119</v>
          </cell>
          <cell r="AS133">
            <v>2944315.6259663533</v>
          </cell>
          <cell r="AT133">
            <v>601648.06802775583</v>
          </cell>
          <cell r="AU133">
            <v>313172.18576789711</v>
          </cell>
          <cell r="AV133">
            <v>187451.49857522856</v>
          </cell>
          <cell r="AW133">
            <v>321112.88406887278</v>
          </cell>
          <cell r="AX133">
            <v>668844.98997575324</v>
          </cell>
          <cell r="AY133">
            <v>1321631.2423697868</v>
          </cell>
          <cell r="AZ133">
            <v>2204075.3088856027</v>
          </cell>
          <cell r="BA133">
            <v>335014.13666876667</v>
          </cell>
          <cell r="BB133">
            <v>0</v>
          </cell>
        </row>
        <row r="134">
          <cell r="A134" t="str">
            <v>ptd</v>
          </cell>
          <cell r="B134">
            <v>127793.42912180275</v>
          </cell>
          <cell r="C134">
            <v>255995.7386675739</v>
          </cell>
          <cell r="D134">
            <v>362507.53212948219</v>
          </cell>
          <cell r="E134">
            <v>462778.76786806539</v>
          </cell>
          <cell r="F134">
            <v>109140.91573762328</v>
          </cell>
          <cell r="G134">
            <v>303439.43268176122</v>
          </cell>
          <cell r="H134">
            <v>426584.90006482159</v>
          </cell>
          <cell r="I134">
            <v>528012.08879306749</v>
          </cell>
          <cell r="J134">
            <v>107870.81565437249</v>
          </cell>
          <cell r="K134">
            <v>216632.15490854418</v>
          </cell>
          <cell r="L134">
            <v>328249.46637779556</v>
          </cell>
          <cell r="M134">
            <v>450196.39952628536</v>
          </cell>
          <cell r="N134">
            <v>113843.55611391114</v>
          </cell>
          <cell r="O134">
            <v>310635.88147586532</v>
          </cell>
          <cell r="P134">
            <v>425842.53418560978</v>
          </cell>
          <cell r="Q134">
            <v>551409.85262168106</v>
          </cell>
          <cell r="R134">
            <v>129941.84953259125</v>
          </cell>
          <cell r="S134">
            <v>304354.77823938598</v>
          </cell>
          <cell r="T134">
            <v>466515.74595609284</v>
          </cell>
          <cell r="U134">
            <v>606055.23077871324</v>
          </cell>
          <cell r="V134">
            <v>165244.29938463098</v>
          </cell>
          <cell r="W134">
            <v>324727.13816217065</v>
          </cell>
          <cell r="X134">
            <v>521888.34616781131</v>
          </cell>
          <cell r="Y134">
            <v>941870.39814427681</v>
          </cell>
          <cell r="Z134">
            <v>296606.19439594861</v>
          </cell>
          <cell r="AA134">
            <v>445969.15667734295</v>
          </cell>
          <cell r="AB134">
            <v>559433.61181124276</v>
          </cell>
          <cell r="AC134">
            <v>682793.79414762103</v>
          </cell>
          <cell r="AD134">
            <v>119071.33535279923</v>
          </cell>
          <cell r="AE134">
            <v>232466.02989054867</v>
          </cell>
          <cell r="AF134">
            <v>351984.84211999364</v>
          </cell>
          <cell r="AG134">
            <v>475470.10207605059</v>
          </cell>
          <cell r="AH134">
            <v>129821.51802309202</v>
          </cell>
          <cell r="AI134">
            <v>257265.1433853276</v>
          </cell>
          <cell r="AJ134">
            <v>385942.35243289324</v>
          </cell>
          <cell r="AK134">
            <v>511472.17237417254</v>
          </cell>
          <cell r="AL134">
            <v>127326.43185981079</v>
          </cell>
          <cell r="AM134">
            <v>260028.35198777472</v>
          </cell>
          <cell r="AN134">
            <v>393671.99847821967</v>
          </cell>
          <cell r="AO134">
            <v>524410.57998672337</v>
          </cell>
          <cell r="AP134">
            <v>125813.85758889971</v>
          </cell>
          <cell r="AQ134">
            <v>266926.47540962207</v>
          </cell>
          <cell r="AR134">
            <v>389761.02095393394</v>
          </cell>
          <cell r="AS134">
            <v>3334076.6469202871</v>
          </cell>
          <cell r="AT134">
            <v>601648.06802775583</v>
          </cell>
          <cell r="AU134">
            <v>914820.25379565288</v>
          </cell>
          <cell r="AV134">
            <v>1102271.7523708814</v>
          </cell>
          <cell r="AW134">
            <v>1423384.6364397542</v>
          </cell>
          <cell r="AX134">
            <v>668844.98997575324</v>
          </cell>
          <cell r="AY134">
            <v>1990476.2323455401</v>
          </cell>
          <cell r="AZ134">
            <v>4194551.5412311424</v>
          </cell>
          <cell r="BA134">
            <v>4529565.6778999092</v>
          </cell>
          <cell r="BB134">
            <v>4529565.6778999092</v>
          </cell>
        </row>
        <row r="135">
          <cell r="A135" t="str">
            <v>qtd</v>
          </cell>
          <cell r="B135">
            <v>127793.42912180275</v>
          </cell>
          <cell r="C135">
            <v>255995.7386675739</v>
          </cell>
          <cell r="D135">
            <v>362507.53212948219</v>
          </cell>
          <cell r="E135">
            <v>462778.76786806539</v>
          </cell>
          <cell r="F135">
            <v>571919.68360568862</v>
          </cell>
          <cell r="G135">
            <v>766218.20054982649</v>
          </cell>
          <cell r="H135">
            <v>889363.66793288686</v>
          </cell>
          <cell r="I135">
            <v>990790.85666113277</v>
          </cell>
          <cell r="J135">
            <v>1098661.6723155053</v>
          </cell>
          <cell r="K135">
            <v>1207423.0115696769</v>
          </cell>
          <cell r="L135">
            <v>1319040.3230389282</v>
          </cell>
          <cell r="M135">
            <v>1440987.256187418</v>
          </cell>
          <cell r="N135">
            <v>113843.55611391114</v>
          </cell>
          <cell r="O135">
            <v>310635.88147586532</v>
          </cell>
          <cell r="P135">
            <v>425842.53418560978</v>
          </cell>
          <cell r="Q135">
            <v>551409.85262168106</v>
          </cell>
          <cell r="R135">
            <v>681351.70215427235</v>
          </cell>
          <cell r="S135">
            <v>855764.6308610671</v>
          </cell>
          <cell r="T135">
            <v>1017925.5985777739</v>
          </cell>
          <cell r="U135">
            <v>1157465.0834003943</v>
          </cell>
          <cell r="V135">
            <v>1322709.3827850253</v>
          </cell>
          <cell r="W135">
            <v>1482192.2215625651</v>
          </cell>
          <cell r="X135">
            <v>1679353.4295682057</v>
          </cell>
          <cell r="Y135">
            <v>2099335.4815446711</v>
          </cell>
          <cell r="Z135">
            <v>296606.19439594861</v>
          </cell>
          <cell r="AA135">
            <v>445969.15667734295</v>
          </cell>
          <cell r="AB135">
            <v>559433.61181124276</v>
          </cell>
          <cell r="AC135">
            <v>682793.79414762103</v>
          </cell>
          <cell r="AD135">
            <v>801865.1295004203</v>
          </cell>
          <cell r="AE135">
            <v>915259.82403816981</v>
          </cell>
          <cell r="AF135">
            <v>1034778.6362676148</v>
          </cell>
          <cell r="AG135">
            <v>1158263.8962236717</v>
          </cell>
          <cell r="AH135">
            <v>1288085.4142467638</v>
          </cell>
          <cell r="AI135">
            <v>1415529.0396089994</v>
          </cell>
          <cell r="AJ135">
            <v>1544206.2486565651</v>
          </cell>
          <cell r="AK135">
            <v>1669736.0685978443</v>
          </cell>
          <cell r="AL135">
            <v>127326.43185981079</v>
          </cell>
          <cell r="AM135">
            <v>260028.35198777472</v>
          </cell>
          <cell r="AN135">
            <v>393671.99847821967</v>
          </cell>
          <cell r="AO135">
            <v>524410.57998672337</v>
          </cell>
          <cell r="AP135">
            <v>650224.43757562304</v>
          </cell>
          <cell r="AQ135">
            <v>791337.05539634544</v>
          </cell>
          <cell r="AR135">
            <v>914171.60094065731</v>
          </cell>
          <cell r="AS135">
            <v>3858487.2269070107</v>
          </cell>
          <cell r="AT135">
            <v>4460135.2949347664</v>
          </cell>
          <cell r="AU135">
            <v>4773307.4807026638</v>
          </cell>
          <cell r="AV135">
            <v>4960758.979277892</v>
          </cell>
          <cell r="AW135">
            <v>5281871.8633467648</v>
          </cell>
          <cell r="AX135">
            <v>5950716.8533225181</v>
          </cell>
          <cell r="AY135">
            <v>7272348.0956923049</v>
          </cell>
          <cell r="AZ135">
            <v>9476423.4045779072</v>
          </cell>
          <cell r="BA135">
            <v>9811437.5412466731</v>
          </cell>
          <cell r="BB135">
            <v>9811437.5412466731</v>
          </cell>
        </row>
        <row r="136">
          <cell r="A136" t="str">
            <v>ytd</v>
          </cell>
          <cell r="B136">
            <v>127793.42912180275</v>
          </cell>
          <cell r="C136">
            <v>255995.7386675739</v>
          </cell>
          <cell r="D136">
            <v>362507.53212948219</v>
          </cell>
          <cell r="E136">
            <v>462778.76786806539</v>
          </cell>
          <cell r="F136">
            <v>571919.68360568862</v>
          </cell>
          <cell r="G136">
            <v>766218.20054982649</v>
          </cell>
          <cell r="H136">
            <v>889363.66793288686</v>
          </cell>
          <cell r="I136">
            <v>990790.85666113277</v>
          </cell>
          <cell r="J136">
            <v>1098661.6723155053</v>
          </cell>
          <cell r="K136">
            <v>1207423.0115696769</v>
          </cell>
          <cell r="L136">
            <v>1319040.3230389282</v>
          </cell>
          <cell r="M136">
            <v>1440987.256187418</v>
          </cell>
          <cell r="N136">
            <v>1554830.8123013291</v>
          </cell>
          <cell r="O136">
            <v>1751623.1376632834</v>
          </cell>
          <cell r="P136">
            <v>1866829.7903730278</v>
          </cell>
          <cell r="Q136">
            <v>1992397.1088090991</v>
          </cell>
          <cell r="R136">
            <v>2122338.9583416902</v>
          </cell>
          <cell r="S136">
            <v>2296751.8870484848</v>
          </cell>
          <cell r="T136">
            <v>2458912.8547651917</v>
          </cell>
          <cell r="U136">
            <v>2598452.3395878118</v>
          </cell>
          <cell r="V136">
            <v>2763696.6389724426</v>
          </cell>
          <cell r="W136">
            <v>2923179.4777499824</v>
          </cell>
          <cell r="X136">
            <v>3120340.685755623</v>
          </cell>
          <cell r="Y136">
            <v>3540322.7377320887</v>
          </cell>
          <cell r="Z136">
            <v>3836928.9321280373</v>
          </cell>
          <cell r="AA136">
            <v>3986291.8944094316</v>
          </cell>
          <cell r="AB136">
            <v>4099756.3495433312</v>
          </cell>
          <cell r="AC136">
            <v>4223116.5318797091</v>
          </cell>
          <cell r="AD136">
            <v>4342187.867232508</v>
          </cell>
          <cell r="AE136">
            <v>4455582.5617702575</v>
          </cell>
          <cell r="AF136">
            <v>4575101.3739997027</v>
          </cell>
          <cell r="AG136">
            <v>4698586.6339557599</v>
          </cell>
          <cell r="AH136">
            <v>4828408.1519788522</v>
          </cell>
          <cell r="AI136">
            <v>4955851.7773410883</v>
          </cell>
          <cell r="AJ136">
            <v>5084528.9863886535</v>
          </cell>
          <cell r="AK136">
            <v>5210058.806329933</v>
          </cell>
          <cell r="AL136">
            <v>5337385.2381897438</v>
          </cell>
          <cell r="AM136">
            <v>5470087.1583177075</v>
          </cell>
          <cell r="AN136">
            <v>5603730.8048081528</v>
          </cell>
          <cell r="AO136">
            <v>5734469.3863166561</v>
          </cell>
          <cell r="AP136">
            <v>5860283.2439055555</v>
          </cell>
          <cell r="AQ136">
            <v>6001395.8617262775</v>
          </cell>
          <cell r="AR136">
            <v>6124230.4072705898</v>
          </cell>
          <cell r="AS136">
            <v>9068546.0332369432</v>
          </cell>
          <cell r="AT136">
            <v>9670194.1012646984</v>
          </cell>
          <cell r="AU136">
            <v>9983366.2870325949</v>
          </cell>
          <cell r="AV136">
            <v>10170817.785607824</v>
          </cell>
          <cell r="AW136">
            <v>10491930.669676697</v>
          </cell>
          <cell r="AX136">
            <v>11160775.659652449</v>
          </cell>
          <cell r="AY136">
            <v>12482406.902022235</v>
          </cell>
          <cell r="AZ136">
            <v>14686482.210907837</v>
          </cell>
          <cell r="BA136">
            <v>15021496.347576603</v>
          </cell>
          <cell r="BB136">
            <v>15021496.347576603</v>
          </cell>
        </row>
        <row r="137">
          <cell r="A137" t="str">
            <v>TELE</v>
          </cell>
          <cell r="B137">
            <v>5083265.0316811651</v>
          </cell>
          <cell r="C137">
            <v>4909622.5605484787</v>
          </cell>
          <cell r="D137">
            <v>4845030.107136501</v>
          </cell>
          <cell r="E137">
            <v>4730037.525496101</v>
          </cell>
          <cell r="F137">
            <v>5291088.2062963508</v>
          </cell>
          <cell r="G137">
            <v>5092230.8121835496</v>
          </cell>
          <cell r="H137">
            <v>5200640.6532087661</v>
          </cell>
          <cell r="I137">
            <v>4788677.380552439</v>
          </cell>
          <cell r="J137">
            <v>4998280.2767744921</v>
          </cell>
          <cell r="K137">
            <v>5053995.4194579627</v>
          </cell>
          <cell r="L137">
            <v>4790631.8233852405</v>
          </cell>
          <cell r="M137">
            <v>5211129.2944671074</v>
          </cell>
          <cell r="N137">
            <v>4799457.8108536433</v>
          </cell>
          <cell r="O137">
            <v>5039590.3841545358</v>
          </cell>
          <cell r="P137">
            <v>4761919.4971872354</v>
          </cell>
          <cell r="Q137">
            <v>4820975.1901313551</v>
          </cell>
          <cell r="R137">
            <v>4772553.2797976583</v>
          </cell>
          <cell r="S137">
            <v>5141529.8105309494</v>
          </cell>
          <cell r="T137">
            <v>5152360.6919596661</v>
          </cell>
          <cell r="U137">
            <v>5186105.9279604461</v>
          </cell>
          <cell r="V137">
            <v>5268150.1520832619</v>
          </cell>
          <cell r="W137">
            <v>5144709.8604371632</v>
          </cell>
          <cell r="X137">
            <v>5746992.0690962384</v>
          </cell>
          <cell r="Y137">
            <v>5586136.1914959662</v>
          </cell>
          <cell r="Z137">
            <v>5668296.7561781555</v>
          </cell>
          <cell r="AA137">
            <v>5540794.3400610676</v>
          </cell>
          <cell r="AB137">
            <v>5901475.4222986717</v>
          </cell>
          <cell r="AC137">
            <v>5917665.3676184416</v>
          </cell>
          <cell r="AD137">
            <v>5615497.8614454009</v>
          </cell>
          <cell r="AE137">
            <v>5472040.92173013</v>
          </cell>
          <cell r="AF137">
            <v>5806380.7680299236</v>
          </cell>
          <cell r="AG137">
            <v>5610726.9262171071</v>
          </cell>
          <cell r="AH137">
            <v>5500773.7763971882</v>
          </cell>
          <cell r="AI137">
            <v>5519931.5163583299</v>
          </cell>
          <cell r="AJ137">
            <v>5694050.072319597</v>
          </cell>
          <cell r="AK137">
            <v>5806673.1366293449</v>
          </cell>
          <cell r="AL137">
            <v>5472661.3519106694</v>
          </cell>
          <cell r="AM137">
            <v>5569666.268829952</v>
          </cell>
          <cell r="AN137">
            <v>5460756.56184988</v>
          </cell>
          <cell r="AO137">
            <v>6171923.5009327158</v>
          </cell>
          <cell r="AP137">
            <v>5924276.0730809812</v>
          </cell>
          <cell r="AQ137">
            <v>5616731.9863097677</v>
          </cell>
          <cell r="AR137">
            <v>5601840.0175821502</v>
          </cell>
          <cell r="AS137">
            <v>5623358.6153094172</v>
          </cell>
          <cell r="AT137">
            <v>6100578.1191492006</v>
          </cell>
          <cell r="AU137">
            <v>5643231.451710307</v>
          </cell>
          <cell r="AV137">
            <v>5796828.7823617831</v>
          </cell>
          <cell r="AW137">
            <v>6389444.1429240759</v>
          </cell>
          <cell r="AX137">
            <v>6570526.3444990255</v>
          </cell>
          <cell r="AY137">
            <v>6717759.9382876894</v>
          </cell>
          <cell r="AZ137">
            <v>7746330.9819023255</v>
          </cell>
          <cell r="BA137">
            <v>7011060.7946036747</v>
          </cell>
          <cell r="BB137">
            <v>0</v>
          </cell>
        </row>
        <row r="138">
          <cell r="A138" t="str">
            <v>ptd</v>
          </cell>
          <cell r="B138">
            <v>5083265.0316811651</v>
          </cell>
          <cell r="C138">
            <v>9992887.5922296438</v>
          </cell>
          <cell r="D138">
            <v>14837917.699366145</v>
          </cell>
          <cell r="E138">
            <v>19567955.224862248</v>
          </cell>
          <cell r="F138">
            <v>5291088.2062963508</v>
          </cell>
          <cell r="G138">
            <v>10383319.0184799</v>
          </cell>
          <cell r="H138">
            <v>15583959.671688667</v>
          </cell>
          <cell r="I138">
            <v>20372637.052241106</v>
          </cell>
          <cell r="J138">
            <v>4998280.2767744921</v>
          </cell>
          <cell r="K138">
            <v>10052275.696232455</v>
          </cell>
          <cell r="L138">
            <v>14842907.519617695</v>
          </cell>
          <cell r="M138">
            <v>20054036.814084802</v>
          </cell>
          <cell r="N138">
            <v>4799457.8108536433</v>
          </cell>
          <cell r="O138">
            <v>9839048.1950081792</v>
          </cell>
          <cell r="P138">
            <v>14600967.692195415</v>
          </cell>
          <cell r="Q138">
            <v>19421942.882326771</v>
          </cell>
          <cell r="R138">
            <v>4772553.2797976583</v>
          </cell>
          <cell r="S138">
            <v>9914083.0903286077</v>
          </cell>
          <cell r="T138">
            <v>15066443.782288274</v>
          </cell>
          <cell r="U138">
            <v>20252549.71024872</v>
          </cell>
          <cell r="V138">
            <v>5268150.1520832619</v>
          </cell>
          <cell r="W138">
            <v>10412860.012520425</v>
          </cell>
          <cell r="X138">
            <v>16159852.081616662</v>
          </cell>
          <cell r="Y138">
            <v>21745988.273112629</v>
          </cell>
          <cell r="Z138">
            <v>5668296.7561781555</v>
          </cell>
          <cell r="AA138">
            <v>11209091.096239224</v>
          </cell>
          <cell r="AB138">
            <v>17110566.518537894</v>
          </cell>
          <cell r="AC138">
            <v>23028231.886156335</v>
          </cell>
          <cell r="AD138">
            <v>5615497.8614454009</v>
          </cell>
          <cell r="AE138">
            <v>11087538.783175532</v>
          </cell>
          <cell r="AF138">
            <v>16893919.551205456</v>
          </cell>
          <cell r="AG138">
            <v>22504646.477422565</v>
          </cell>
          <cell r="AH138">
            <v>5500773.7763971882</v>
          </cell>
          <cell r="AI138">
            <v>11020705.292755518</v>
          </cell>
          <cell r="AJ138">
            <v>16714755.365075115</v>
          </cell>
          <cell r="AK138">
            <v>22521428.501704462</v>
          </cell>
          <cell r="AL138">
            <v>5472661.3519106694</v>
          </cell>
          <cell r="AM138">
            <v>11042327.620740622</v>
          </cell>
          <cell r="AN138">
            <v>16503084.182590503</v>
          </cell>
          <cell r="AO138">
            <v>22675007.683523219</v>
          </cell>
          <cell r="AP138">
            <v>5924276.0730809812</v>
          </cell>
          <cell r="AQ138">
            <v>11541008.05939075</v>
          </cell>
          <cell r="AR138">
            <v>17142848.076972902</v>
          </cell>
          <cell r="AS138">
            <v>22766206.692282319</v>
          </cell>
          <cell r="AT138">
            <v>6100578.1191492006</v>
          </cell>
          <cell r="AU138">
            <v>11743809.570859507</v>
          </cell>
          <cell r="AV138">
            <v>17540638.35322129</v>
          </cell>
          <cell r="AW138">
            <v>23930082.496145368</v>
          </cell>
          <cell r="AX138">
            <v>6570526.3444990255</v>
          </cell>
          <cell r="AY138">
            <v>13288286.282786716</v>
          </cell>
          <cell r="AZ138">
            <v>21034617.264689043</v>
          </cell>
          <cell r="BA138">
            <v>28045678.059292719</v>
          </cell>
          <cell r="BB138">
            <v>28045678.059292719</v>
          </cell>
        </row>
        <row r="139">
          <cell r="A139" t="str">
            <v>qtd</v>
          </cell>
          <cell r="B139">
            <v>5083265.0316811651</v>
          </cell>
          <cell r="C139">
            <v>9992887.5922296438</v>
          </cell>
          <cell r="D139">
            <v>14837917.699366145</v>
          </cell>
          <cell r="E139">
            <v>19567955.224862248</v>
          </cell>
          <cell r="F139">
            <v>24859043.431158599</v>
          </cell>
          <cell r="G139">
            <v>29951274.243342146</v>
          </cell>
          <cell r="H139">
            <v>35151914.896550909</v>
          </cell>
          <cell r="I139">
            <v>39940592.27710335</v>
          </cell>
          <cell r="J139">
            <v>44938872.553877845</v>
          </cell>
          <cell r="K139">
            <v>49992867.97333581</v>
          </cell>
          <cell r="L139">
            <v>54783499.796721049</v>
          </cell>
          <cell r="M139">
            <v>59994629.091188155</v>
          </cell>
          <cell r="N139">
            <v>4799457.8108536433</v>
          </cell>
          <cell r="O139">
            <v>9839048.1950081792</v>
          </cell>
          <cell r="P139">
            <v>14600967.692195415</v>
          </cell>
          <cell r="Q139">
            <v>19421942.882326771</v>
          </cell>
          <cell r="R139">
            <v>24194496.162124429</v>
          </cell>
          <cell r="S139">
            <v>29336025.972655378</v>
          </cell>
          <cell r="T139">
            <v>34488386.664615043</v>
          </cell>
          <cell r="U139">
            <v>39674492.59257549</v>
          </cell>
          <cell r="V139">
            <v>44942642.744658753</v>
          </cell>
          <cell r="W139">
            <v>50087352.605095915</v>
          </cell>
          <cell r="X139">
            <v>55834344.674192153</v>
          </cell>
          <cell r="Y139">
            <v>61420480.865688115</v>
          </cell>
          <cell r="Z139">
            <v>5668296.7561781555</v>
          </cell>
          <cell r="AA139">
            <v>11209091.096239224</v>
          </cell>
          <cell r="AB139">
            <v>17110566.518537894</v>
          </cell>
          <cell r="AC139">
            <v>23028231.886156335</v>
          </cell>
          <cell r="AD139">
            <v>28643729.747601736</v>
          </cell>
          <cell r="AE139">
            <v>34115770.669331864</v>
          </cell>
          <cell r="AF139">
            <v>39922151.437361784</v>
          </cell>
          <cell r="AG139">
            <v>45532878.363578893</v>
          </cell>
          <cell r="AH139">
            <v>51033652.139976084</v>
          </cell>
          <cell r="AI139">
            <v>56553583.656334415</v>
          </cell>
          <cell r="AJ139">
            <v>62247633.728654012</v>
          </cell>
          <cell r="AK139">
            <v>68054306.865283355</v>
          </cell>
          <cell r="AL139">
            <v>5472661.3519106694</v>
          </cell>
          <cell r="AM139">
            <v>11042327.620740622</v>
          </cell>
          <cell r="AN139">
            <v>16503084.182590503</v>
          </cell>
          <cell r="AO139">
            <v>22675007.683523219</v>
          </cell>
          <cell r="AP139">
            <v>28599283.756604202</v>
          </cell>
          <cell r="AQ139">
            <v>34216015.742913969</v>
          </cell>
          <cell r="AR139">
            <v>39817855.760496117</v>
          </cell>
          <cell r="AS139">
            <v>45441214.375805534</v>
          </cell>
          <cell r="AT139">
            <v>51541792.494954735</v>
          </cell>
          <cell r="AU139">
            <v>57185023.946665041</v>
          </cell>
          <cell r="AV139">
            <v>62981852.729026824</v>
          </cell>
          <cell r="AW139">
            <v>69371296.871950895</v>
          </cell>
          <cell r="AX139">
            <v>75941823.216449916</v>
          </cell>
          <cell r="AY139">
            <v>82659583.154737607</v>
          </cell>
          <cell r="AZ139">
            <v>90405914.136639938</v>
          </cell>
          <cell r="BA139">
            <v>97416974.931243613</v>
          </cell>
          <cell r="BB139">
            <v>97416974.931243613</v>
          </cell>
        </row>
        <row r="140">
          <cell r="A140" t="str">
            <v>ytd</v>
          </cell>
          <cell r="B140">
            <v>5083265.0316811651</v>
          </cell>
          <cell r="C140">
            <v>9992887.5922296438</v>
          </cell>
          <cell r="D140">
            <v>14837917.699366145</v>
          </cell>
          <cell r="E140">
            <v>19567955.224862248</v>
          </cell>
          <cell r="F140">
            <v>24859043.431158599</v>
          </cell>
          <cell r="G140">
            <v>29951274.243342146</v>
          </cell>
          <cell r="H140">
            <v>35151914.896550909</v>
          </cell>
          <cell r="I140">
            <v>39940592.27710335</v>
          </cell>
          <cell r="J140">
            <v>44938872.553877845</v>
          </cell>
          <cell r="K140">
            <v>49992867.97333581</v>
          </cell>
          <cell r="L140">
            <v>54783499.796721049</v>
          </cell>
          <cell r="M140">
            <v>59994629.091188155</v>
          </cell>
          <cell r="N140">
            <v>64794086.9020418</v>
          </cell>
          <cell r="O140">
            <v>69833677.286196336</v>
          </cell>
          <cell r="P140">
            <v>74595596.783383578</v>
          </cell>
          <cell r="Q140">
            <v>79416571.973514929</v>
          </cell>
          <cell r="R140">
            <v>84189125.253312588</v>
          </cell>
          <cell r="S140">
            <v>89330655.063843533</v>
          </cell>
          <cell r="T140">
            <v>94483015.755803198</v>
          </cell>
          <cell r="U140">
            <v>99669121.683763638</v>
          </cell>
          <cell r="V140">
            <v>104937271.8358469</v>
          </cell>
          <cell r="W140">
            <v>110081981.69628407</v>
          </cell>
          <cell r="X140">
            <v>115828973.76538031</v>
          </cell>
          <cell r="Y140">
            <v>121415109.95687628</v>
          </cell>
          <cell r="Z140">
            <v>127083406.71305443</v>
          </cell>
          <cell r="AA140">
            <v>132624201.0531155</v>
          </cell>
          <cell r="AB140">
            <v>138525676.47541419</v>
          </cell>
          <cell r="AC140">
            <v>144443341.84303263</v>
          </cell>
          <cell r="AD140">
            <v>150058839.70447803</v>
          </cell>
          <cell r="AE140">
            <v>155530880.62620816</v>
          </cell>
          <cell r="AF140">
            <v>161337261.39423808</v>
          </cell>
          <cell r="AG140">
            <v>166947988.32045519</v>
          </cell>
          <cell r="AH140">
            <v>172448762.09685239</v>
          </cell>
          <cell r="AI140">
            <v>177968693.61321071</v>
          </cell>
          <cell r="AJ140">
            <v>183662743.6855303</v>
          </cell>
          <cell r="AK140">
            <v>189469416.82215965</v>
          </cell>
          <cell r="AL140">
            <v>194942078.17407033</v>
          </cell>
          <cell r="AM140">
            <v>200511744.44290027</v>
          </cell>
          <cell r="AN140">
            <v>205972501.00475016</v>
          </cell>
          <cell r="AO140">
            <v>212144424.50568289</v>
          </cell>
          <cell r="AP140">
            <v>218068700.57876387</v>
          </cell>
          <cell r="AQ140">
            <v>223685432.56507364</v>
          </cell>
          <cell r="AR140">
            <v>229287272.58265579</v>
          </cell>
          <cell r="AS140">
            <v>234910631.1979652</v>
          </cell>
          <cell r="AT140">
            <v>241011209.31711441</v>
          </cell>
          <cell r="AU140">
            <v>246654440.76882473</v>
          </cell>
          <cell r="AV140">
            <v>252451269.5511865</v>
          </cell>
          <cell r="AW140">
            <v>258840713.69411057</v>
          </cell>
          <cell r="AX140">
            <v>265411240.03860959</v>
          </cell>
          <cell r="AY140">
            <v>272128999.9768973</v>
          </cell>
          <cell r="AZ140">
            <v>279875330.9587996</v>
          </cell>
          <cell r="BA140">
            <v>286886391.75340325</v>
          </cell>
          <cell r="BB140">
            <v>286886391.75340325</v>
          </cell>
        </row>
        <row r="141">
          <cell r="A141" t="str">
            <v>TICK</v>
          </cell>
          <cell r="B141">
            <v>139058.94818288274</v>
          </cell>
          <cell r="C141">
            <v>142945.00289654831</v>
          </cell>
          <cell r="D141">
            <v>117294.93715179825</v>
          </cell>
          <cell r="E141">
            <v>104281.82576548417</v>
          </cell>
          <cell r="F141">
            <v>114696.4419412651</v>
          </cell>
          <cell r="G141">
            <v>276373.15354142955</v>
          </cell>
          <cell r="H141">
            <v>155955.41577434377</v>
          </cell>
          <cell r="I141">
            <v>210960.13082005086</v>
          </cell>
          <cell r="J141">
            <v>196126.92465671862</v>
          </cell>
          <cell r="K141">
            <v>220035.6751196695</v>
          </cell>
          <cell r="L141">
            <v>288183.87452018214</v>
          </cell>
          <cell r="M141">
            <v>460276.61257014237</v>
          </cell>
          <cell r="N141">
            <v>487444.73345773661</v>
          </cell>
          <cell r="O141">
            <v>399452.93030901696</v>
          </cell>
          <cell r="P141">
            <v>383012.44891799532</v>
          </cell>
          <cell r="Q141">
            <v>643613.82062031247</v>
          </cell>
          <cell r="R141">
            <v>817292.75614531117</v>
          </cell>
          <cell r="S141">
            <v>787251.90548688162</v>
          </cell>
          <cell r="T141">
            <v>779873.63339462469</v>
          </cell>
          <cell r="U141">
            <v>612963.77771371789</v>
          </cell>
          <cell r="V141">
            <v>1900130.7232824992</v>
          </cell>
          <cell r="W141">
            <v>1450893.3803882794</v>
          </cell>
          <cell r="X141">
            <v>1522345.866677562</v>
          </cell>
          <cell r="Y141">
            <v>2019233.7233595303</v>
          </cell>
          <cell r="Z141">
            <v>1831638.5358758371</v>
          </cell>
          <cell r="AA141">
            <v>1967323.2782659999</v>
          </cell>
          <cell r="AB141">
            <v>2522739.2861882579</v>
          </cell>
          <cell r="AC141">
            <v>2547326.6727358927</v>
          </cell>
          <cell r="AD141">
            <v>2753704.7085924372</v>
          </cell>
          <cell r="AE141">
            <v>2569328.3505008593</v>
          </cell>
          <cell r="AF141">
            <v>2686313.7173089003</v>
          </cell>
          <cell r="AG141">
            <v>2696183.2572115054</v>
          </cell>
          <cell r="AH141">
            <v>2244032.7858324209</v>
          </cell>
          <cell r="AI141">
            <v>1932025.7778835634</v>
          </cell>
          <cell r="AJ141">
            <v>1327367.1220164634</v>
          </cell>
          <cell r="AK141">
            <v>410390.45380440692</v>
          </cell>
          <cell r="AL141">
            <v>145001.90909589082</v>
          </cell>
          <cell r="AM141">
            <v>264936.56316980056</v>
          </cell>
          <cell r="AN141">
            <v>426641.8960990567</v>
          </cell>
          <cell r="AO141">
            <v>926038.50142994081</v>
          </cell>
          <cell r="AP141">
            <v>1627832.7940104539</v>
          </cell>
          <cell r="AQ141">
            <v>2533311.9474780234</v>
          </cell>
          <cell r="AR141">
            <v>1099166.7141282344</v>
          </cell>
          <cell r="AS141">
            <v>2627281.4994471548</v>
          </cell>
          <cell r="AT141">
            <v>133323.26025054094</v>
          </cell>
          <cell r="AU141">
            <v>131338.24627716414</v>
          </cell>
          <cell r="AV141">
            <v>151759.29442490492</v>
          </cell>
          <cell r="AW141">
            <v>225883.44657014465</v>
          </cell>
          <cell r="AX141">
            <v>256543.06546015787</v>
          </cell>
          <cell r="AY141">
            <v>489368.73822694528</v>
          </cell>
          <cell r="AZ141">
            <v>701364.03083417739</v>
          </cell>
          <cell r="BA141">
            <v>232101.05684334651</v>
          </cell>
          <cell r="BB141">
            <v>0</v>
          </cell>
        </row>
        <row r="142">
          <cell r="A142" t="str">
            <v>ptd</v>
          </cell>
          <cell r="B142">
            <v>139058.94818288274</v>
          </cell>
          <cell r="C142">
            <v>282003.95107943105</v>
          </cell>
          <cell r="D142">
            <v>399298.88823122927</v>
          </cell>
          <cell r="E142">
            <v>503580.71399671346</v>
          </cell>
          <cell r="F142">
            <v>114696.4419412651</v>
          </cell>
          <cell r="G142">
            <v>391069.59548269468</v>
          </cell>
          <cell r="H142">
            <v>547025.01125703845</v>
          </cell>
          <cell r="I142">
            <v>757985.14207708929</v>
          </cell>
          <cell r="J142">
            <v>196126.92465671862</v>
          </cell>
          <cell r="K142">
            <v>416162.59977638815</v>
          </cell>
          <cell r="L142">
            <v>704346.47429657029</v>
          </cell>
          <cell r="M142">
            <v>1164623.0868667127</v>
          </cell>
          <cell r="N142">
            <v>487444.73345773661</v>
          </cell>
          <cell r="O142">
            <v>886897.66376675363</v>
          </cell>
          <cell r="P142">
            <v>1269910.1126847491</v>
          </cell>
          <cell r="Q142">
            <v>1913523.9333050614</v>
          </cell>
          <cell r="R142">
            <v>817292.75614531117</v>
          </cell>
          <cell r="S142">
            <v>1604544.6616321928</v>
          </cell>
          <cell r="T142">
            <v>2384418.2950268174</v>
          </cell>
          <cell r="U142">
            <v>2997382.0727405353</v>
          </cell>
          <cell r="V142">
            <v>1900130.7232824992</v>
          </cell>
          <cell r="W142">
            <v>3351024.1036707787</v>
          </cell>
          <cell r="X142">
            <v>4873369.9703483405</v>
          </cell>
          <cell r="Y142">
            <v>6892603.6937078703</v>
          </cell>
          <cell r="Z142">
            <v>1831638.5358758371</v>
          </cell>
          <cell r="AA142">
            <v>3798961.8141418369</v>
          </cell>
          <cell r="AB142">
            <v>6321701.1003300948</v>
          </cell>
          <cell r="AC142">
            <v>8869027.773065988</v>
          </cell>
          <cell r="AD142">
            <v>2753704.7085924372</v>
          </cell>
          <cell r="AE142">
            <v>5323033.0590932965</v>
          </cell>
          <cell r="AF142">
            <v>8009346.7764021968</v>
          </cell>
          <cell r="AG142">
            <v>10705530.033613702</v>
          </cell>
          <cell r="AH142">
            <v>2244032.7858324209</v>
          </cell>
          <cell r="AI142">
            <v>4176058.5637159841</v>
          </cell>
          <cell r="AJ142">
            <v>5503425.6857324475</v>
          </cell>
          <cell r="AK142">
            <v>5913816.1395368548</v>
          </cell>
          <cell r="AL142">
            <v>145001.90909589082</v>
          </cell>
          <cell r="AM142">
            <v>409938.47226569138</v>
          </cell>
          <cell r="AN142">
            <v>836580.36836474808</v>
          </cell>
          <cell r="AO142">
            <v>1762618.8697946889</v>
          </cell>
          <cell r="AP142">
            <v>1627832.7940104539</v>
          </cell>
          <cell r="AQ142">
            <v>4161144.7414884772</v>
          </cell>
          <cell r="AR142">
            <v>5260311.4556167116</v>
          </cell>
          <cell r="AS142">
            <v>7887592.9550638665</v>
          </cell>
          <cell r="AT142">
            <v>133323.26025054094</v>
          </cell>
          <cell r="AU142">
            <v>264661.50652770512</v>
          </cell>
          <cell r="AV142">
            <v>416420.80095261004</v>
          </cell>
          <cell r="AW142">
            <v>642304.24752275471</v>
          </cell>
          <cell r="AX142">
            <v>256543.06546015787</v>
          </cell>
          <cell r="AY142">
            <v>745911.80368710309</v>
          </cell>
          <cell r="AZ142">
            <v>1447275.8345212806</v>
          </cell>
          <cell r="BA142">
            <v>1679376.8913646271</v>
          </cell>
          <cell r="BB142">
            <v>1679376.8913646271</v>
          </cell>
        </row>
        <row r="143">
          <cell r="A143" t="str">
            <v>qtd</v>
          </cell>
          <cell r="B143">
            <v>139058.94818288274</v>
          </cell>
          <cell r="C143">
            <v>282003.95107943105</v>
          </cell>
          <cell r="D143">
            <v>399298.88823122927</v>
          </cell>
          <cell r="E143">
            <v>503580.71399671346</v>
          </cell>
          <cell r="F143">
            <v>618277.15593797853</v>
          </cell>
          <cell r="G143">
            <v>894650.30947940808</v>
          </cell>
          <cell r="H143">
            <v>1050605.725253752</v>
          </cell>
          <cell r="I143">
            <v>1261565.8560738028</v>
          </cell>
          <cell r="J143">
            <v>1457692.7807305213</v>
          </cell>
          <cell r="K143">
            <v>1677728.4558501907</v>
          </cell>
          <cell r="L143">
            <v>1965912.3303703729</v>
          </cell>
          <cell r="M143">
            <v>2426188.9429405155</v>
          </cell>
          <cell r="N143">
            <v>487444.73345773661</v>
          </cell>
          <cell r="O143">
            <v>886897.66376675363</v>
          </cell>
          <cell r="P143">
            <v>1269910.1126847491</v>
          </cell>
          <cell r="Q143">
            <v>1913523.9333050614</v>
          </cell>
          <cell r="R143">
            <v>2730816.6894503725</v>
          </cell>
          <cell r="S143">
            <v>3518068.5949372542</v>
          </cell>
          <cell r="T143">
            <v>4297942.2283318788</v>
          </cell>
          <cell r="U143">
            <v>4910906.0060455967</v>
          </cell>
          <cell r="V143">
            <v>6811036.7293280959</v>
          </cell>
          <cell r="W143">
            <v>8261930.1097163754</v>
          </cell>
          <cell r="X143">
            <v>9784275.9763939381</v>
          </cell>
          <cell r="Y143">
            <v>11803509.699753469</v>
          </cell>
          <cell r="Z143">
            <v>1831638.5358758371</v>
          </cell>
          <cell r="AA143">
            <v>3798961.8141418369</v>
          </cell>
          <cell r="AB143">
            <v>6321701.1003300948</v>
          </cell>
          <cell r="AC143">
            <v>8869027.773065988</v>
          </cell>
          <cell r="AD143">
            <v>11622732.481658425</v>
          </cell>
          <cell r="AE143">
            <v>14192060.832159285</v>
          </cell>
          <cell r="AF143">
            <v>16878374.549468186</v>
          </cell>
          <cell r="AG143">
            <v>19574557.806679692</v>
          </cell>
          <cell r="AH143">
            <v>21818590.592512112</v>
          </cell>
          <cell r="AI143">
            <v>23750616.370395675</v>
          </cell>
          <cell r="AJ143">
            <v>25077983.492412139</v>
          </cell>
          <cell r="AK143">
            <v>25488373.946216546</v>
          </cell>
          <cell r="AL143">
            <v>145001.90909589082</v>
          </cell>
          <cell r="AM143">
            <v>409938.47226569138</v>
          </cell>
          <cell r="AN143">
            <v>836580.36836474808</v>
          </cell>
          <cell r="AO143">
            <v>1762618.8697946889</v>
          </cell>
          <cell r="AP143">
            <v>3390451.663805143</v>
          </cell>
          <cell r="AQ143">
            <v>5923763.6112831663</v>
          </cell>
          <cell r="AR143">
            <v>7022930.3254114008</v>
          </cell>
          <cell r="AS143">
            <v>9650211.8248585556</v>
          </cell>
          <cell r="AT143">
            <v>9783535.085109096</v>
          </cell>
          <cell r="AU143">
            <v>9914873.3313862607</v>
          </cell>
          <cell r="AV143">
            <v>10066632.625811165</v>
          </cell>
          <cell r="AW143">
            <v>10292516.07238131</v>
          </cell>
          <cell r="AX143">
            <v>10549059.137841469</v>
          </cell>
          <cell r="AY143">
            <v>11038427.876068413</v>
          </cell>
          <cell r="AZ143">
            <v>11739791.906902591</v>
          </cell>
          <cell r="BA143">
            <v>11971892.963745937</v>
          </cell>
          <cell r="BB143">
            <v>11971892.963745937</v>
          </cell>
        </row>
        <row r="144">
          <cell r="A144" t="str">
            <v>ytd</v>
          </cell>
          <cell r="B144">
            <v>139058.94818288274</v>
          </cell>
          <cell r="C144">
            <v>282003.95107943105</v>
          </cell>
          <cell r="D144">
            <v>399298.88823122927</v>
          </cell>
          <cell r="E144">
            <v>503580.71399671346</v>
          </cell>
          <cell r="F144">
            <v>618277.15593797853</v>
          </cell>
          <cell r="G144">
            <v>894650.30947940808</v>
          </cell>
          <cell r="H144">
            <v>1050605.725253752</v>
          </cell>
          <cell r="I144">
            <v>1261565.8560738028</v>
          </cell>
          <cell r="J144">
            <v>1457692.7807305213</v>
          </cell>
          <cell r="K144">
            <v>1677728.4558501907</v>
          </cell>
          <cell r="L144">
            <v>1965912.3303703729</v>
          </cell>
          <cell r="M144">
            <v>2426188.9429405155</v>
          </cell>
          <cell r="N144">
            <v>2913633.6763982521</v>
          </cell>
          <cell r="O144">
            <v>3313086.6067072693</v>
          </cell>
          <cell r="P144">
            <v>3696099.0556252645</v>
          </cell>
          <cell r="Q144">
            <v>4339712.8762455769</v>
          </cell>
          <cell r="R144">
            <v>5157005.6323908884</v>
          </cell>
          <cell r="S144">
            <v>5944257.5378777701</v>
          </cell>
          <cell r="T144">
            <v>6724131.1712723952</v>
          </cell>
          <cell r="U144">
            <v>7337094.9489861131</v>
          </cell>
          <cell r="V144">
            <v>9237225.6722686123</v>
          </cell>
          <cell r="W144">
            <v>10688119.052656893</v>
          </cell>
          <cell r="X144">
            <v>12210464.919334454</v>
          </cell>
          <cell r="Y144">
            <v>14229698.642693985</v>
          </cell>
          <cell r="Z144">
            <v>16061337.178569822</v>
          </cell>
          <cell r="AA144">
            <v>18028660.456835821</v>
          </cell>
          <cell r="AB144">
            <v>20551399.743024081</v>
          </cell>
          <cell r="AC144">
            <v>23098726.415759973</v>
          </cell>
          <cell r="AD144">
            <v>25852431.12435241</v>
          </cell>
          <cell r="AE144">
            <v>28421759.47485327</v>
          </cell>
          <cell r="AF144">
            <v>31108073.192162171</v>
          </cell>
          <cell r="AG144">
            <v>33804256.449373677</v>
          </cell>
          <cell r="AH144">
            <v>36048289.235206097</v>
          </cell>
          <cell r="AI144">
            <v>37980315.013089664</v>
          </cell>
          <cell r="AJ144">
            <v>39307682.135106131</v>
          </cell>
          <cell r="AK144">
            <v>39718072.588910535</v>
          </cell>
          <cell r="AL144">
            <v>39863074.498006426</v>
          </cell>
          <cell r="AM144">
            <v>40128011.061176226</v>
          </cell>
          <cell r="AN144">
            <v>40554652.957275279</v>
          </cell>
          <cell r="AO144">
            <v>41480691.458705217</v>
          </cell>
          <cell r="AP144">
            <v>43108524.25271567</v>
          </cell>
          <cell r="AQ144">
            <v>45641836.200193696</v>
          </cell>
          <cell r="AR144">
            <v>46741002.914321929</v>
          </cell>
          <cell r="AS144">
            <v>49368284.413769081</v>
          </cell>
          <cell r="AT144">
            <v>49501607.67401962</v>
          </cell>
          <cell r="AU144">
            <v>49632945.920296781</v>
          </cell>
          <cell r="AV144">
            <v>49784705.214721687</v>
          </cell>
          <cell r="AW144">
            <v>50010588.66129183</v>
          </cell>
          <cell r="AX144">
            <v>50267131.726751991</v>
          </cell>
          <cell r="AY144">
            <v>50756500.464978933</v>
          </cell>
          <cell r="AZ144">
            <v>51457864.495813109</v>
          </cell>
          <cell r="BA144">
            <v>51689965.552656457</v>
          </cell>
          <cell r="BB144">
            <v>51689965.552656457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All Other DISTRIBUTION</v>
          </cell>
          <cell r="B149">
            <v>29057631.53207479</v>
          </cell>
          <cell r="C149">
            <v>27855418.052224152</v>
          </cell>
          <cell r="D149">
            <v>25598231.044983</v>
          </cell>
          <cell r="E149">
            <v>25174588.602360006</v>
          </cell>
          <cell r="F149">
            <v>26559086.019656882</v>
          </cell>
          <cell r="G149">
            <v>36697264.500864975</v>
          </cell>
          <cell r="H149">
            <v>28207759.151210606</v>
          </cell>
          <cell r="I149">
            <v>26020354.224855553</v>
          </cell>
          <cell r="J149">
            <v>27260785.10734687</v>
          </cell>
          <cell r="K149">
            <v>28233310.382628255</v>
          </cell>
          <cell r="L149">
            <v>28733185.076295819</v>
          </cell>
          <cell r="M149">
            <v>28708561.559764381</v>
          </cell>
          <cell r="N149">
            <v>27439553.309155066</v>
          </cell>
          <cell r="O149">
            <v>38763868.765022889</v>
          </cell>
          <cell r="P149">
            <v>27754356.794699617</v>
          </cell>
          <cell r="Q149">
            <v>29741751.715814635</v>
          </cell>
          <cell r="R149">
            <v>32447085.394490279</v>
          </cell>
          <cell r="S149">
            <v>51321828.52530279</v>
          </cell>
          <cell r="T149">
            <v>41729687.23551888</v>
          </cell>
          <cell r="U149">
            <v>34851402.355290845</v>
          </cell>
          <cell r="V149">
            <v>38947993.842052832</v>
          </cell>
          <cell r="W149">
            <v>39735158.721653886</v>
          </cell>
          <cell r="X149">
            <v>47449097.174892262</v>
          </cell>
          <cell r="Y149">
            <v>62996910.24385792</v>
          </cell>
          <cell r="Z149">
            <v>46720511.076744929</v>
          </cell>
          <cell r="AA149">
            <v>34930015.473344825</v>
          </cell>
          <cell r="AB149">
            <v>32556389.755175594</v>
          </cell>
          <cell r="AC149">
            <v>32650328.133913394</v>
          </cell>
          <cell r="AD149">
            <v>32405612.723537978</v>
          </cell>
          <cell r="AE149">
            <v>32330543.087736789</v>
          </cell>
          <cell r="AF149">
            <v>33353794.143964462</v>
          </cell>
          <cell r="AG149">
            <v>33046168.624527559</v>
          </cell>
          <cell r="AH149">
            <v>32626335.77675787</v>
          </cell>
          <cell r="AI149">
            <v>32266265.727507539</v>
          </cell>
          <cell r="AJ149">
            <v>30595728.982447598</v>
          </cell>
          <cell r="AK149">
            <v>29457445.077678297</v>
          </cell>
          <cell r="AL149">
            <v>29814372.989101097</v>
          </cell>
          <cell r="AM149">
            <v>30480846.597262662</v>
          </cell>
          <cell r="AN149">
            <v>30601234.621317476</v>
          </cell>
          <cell r="AO149">
            <v>32432901.941416785</v>
          </cell>
          <cell r="AP149">
            <v>33343569.84926261</v>
          </cell>
          <cell r="AQ149">
            <v>35941807.066787556</v>
          </cell>
          <cell r="AR149">
            <v>34042824.707309492</v>
          </cell>
          <cell r="AS149">
            <v>38721881.518346868</v>
          </cell>
          <cell r="AT149">
            <v>37329663.718250483</v>
          </cell>
          <cell r="AU149">
            <v>40126076.988532551</v>
          </cell>
          <cell r="AV149">
            <v>46983243.893088706</v>
          </cell>
          <cell r="AW149">
            <v>75421440.15385966</v>
          </cell>
          <cell r="AX149">
            <v>128220018.29839844</v>
          </cell>
          <cell r="AY149">
            <v>265947146.39862335</v>
          </cell>
          <cell r="AZ149">
            <v>360887093.26099688</v>
          </cell>
          <cell r="BA149">
            <v>72918659.563587114</v>
          </cell>
          <cell r="BB149">
            <v>0</v>
          </cell>
        </row>
        <row r="150">
          <cell r="A150" t="str">
            <v>ptd</v>
          </cell>
          <cell r="B150">
            <v>29057631.53207479</v>
          </cell>
          <cell r="C150">
            <v>56913049.584298939</v>
          </cell>
          <cell r="D150">
            <v>82511280.629281938</v>
          </cell>
          <cell r="E150">
            <v>107685869.23164195</v>
          </cell>
          <cell r="F150">
            <v>26559086.019656882</v>
          </cell>
          <cell r="G150">
            <v>63256350.520521857</v>
          </cell>
          <cell r="H150">
            <v>91464109.671732455</v>
          </cell>
          <cell r="I150">
            <v>117484463.89658801</v>
          </cell>
          <cell r="J150">
            <v>27260785.10734687</v>
          </cell>
          <cell r="K150">
            <v>55494095.489975125</v>
          </cell>
          <cell r="L150">
            <v>84227280.566270947</v>
          </cell>
          <cell r="M150">
            <v>112935842.12603533</v>
          </cell>
          <cell r="N150">
            <v>27439553.309155066</v>
          </cell>
          <cell r="O150">
            <v>66203422.074177951</v>
          </cell>
          <cell r="P150">
            <v>93957778.86887756</v>
          </cell>
          <cell r="Q150">
            <v>123699530.5846922</v>
          </cell>
          <cell r="R150">
            <v>32447085.394490279</v>
          </cell>
          <cell r="S150">
            <v>83768913.919793069</v>
          </cell>
          <cell r="T150">
            <v>125498601.15531194</v>
          </cell>
          <cell r="U150">
            <v>160350003.51060277</v>
          </cell>
          <cell r="V150">
            <v>38947993.842052832</v>
          </cell>
          <cell r="W150">
            <v>78683152.563706726</v>
          </cell>
          <cell r="X150">
            <v>126132249.73859899</v>
          </cell>
          <cell r="Y150">
            <v>189129159.98245692</v>
          </cell>
          <cell r="Z150">
            <v>46720511.076744929</v>
          </cell>
          <cell r="AA150">
            <v>81650526.550089747</v>
          </cell>
          <cell r="AB150">
            <v>114206916.30526534</v>
          </cell>
          <cell r="AC150">
            <v>146857244.43917874</v>
          </cell>
          <cell r="AD150">
            <v>32405612.723537978</v>
          </cell>
          <cell r="AE150">
            <v>64736155.811274767</v>
          </cell>
          <cell r="AF150">
            <v>98089949.955239236</v>
          </cell>
          <cell r="AG150">
            <v>131136118.5797668</v>
          </cell>
          <cell r="AH150">
            <v>32626335.77675787</v>
          </cell>
          <cell r="AI150">
            <v>64892601.504265413</v>
          </cell>
          <cell r="AJ150">
            <v>95488330.486713007</v>
          </cell>
          <cell r="AK150">
            <v>124945775.5643913</v>
          </cell>
          <cell r="AL150">
            <v>29814372.989101097</v>
          </cell>
          <cell r="AM150">
            <v>60295219.586363763</v>
          </cell>
          <cell r="AN150">
            <v>90896454.207681239</v>
          </cell>
          <cell r="AO150">
            <v>123329356.14909802</v>
          </cell>
          <cell r="AP150">
            <v>33343569.84926261</v>
          </cell>
          <cell r="AQ150">
            <v>69285376.916050166</v>
          </cell>
          <cell r="AR150">
            <v>103328201.62335965</v>
          </cell>
          <cell r="AS150">
            <v>142050083.14170653</v>
          </cell>
          <cell r="AT150">
            <v>37329663.718250483</v>
          </cell>
          <cell r="AU150">
            <v>77455740.706783026</v>
          </cell>
          <cell r="AV150">
            <v>124438984.59987172</v>
          </cell>
          <cell r="AW150">
            <v>199860424.75373137</v>
          </cell>
          <cell r="AX150">
            <v>128220018.29839844</v>
          </cell>
          <cell r="AY150">
            <v>394167164.69702178</v>
          </cell>
          <cell r="AZ150">
            <v>755054257.95801866</v>
          </cell>
          <cell r="BA150">
            <v>827972917.52160573</v>
          </cell>
          <cell r="BB150">
            <v>827972917.52160573</v>
          </cell>
        </row>
        <row r="151">
          <cell r="A151" t="str">
            <v>qtd</v>
          </cell>
          <cell r="B151">
            <v>29057631.53207479</v>
          </cell>
          <cell r="C151">
            <v>56913049.584298939</v>
          </cell>
          <cell r="D151">
            <v>82511280.629281938</v>
          </cell>
          <cell r="E151">
            <v>107685869.23164195</v>
          </cell>
          <cell r="F151">
            <v>134244955.25129884</v>
          </cell>
          <cell r="G151">
            <v>170942219.75216383</v>
          </cell>
          <cell r="H151">
            <v>199149978.90337443</v>
          </cell>
          <cell r="I151">
            <v>225170333.12822998</v>
          </cell>
          <cell r="J151">
            <v>252431118.23557684</v>
          </cell>
          <cell r="K151">
            <v>280664428.61820507</v>
          </cell>
          <cell r="L151">
            <v>309397613.69450086</v>
          </cell>
          <cell r="M151">
            <v>338106175.25426525</v>
          </cell>
          <cell r="N151">
            <v>27439553.309155066</v>
          </cell>
          <cell r="O151">
            <v>66203422.074177951</v>
          </cell>
          <cell r="P151">
            <v>93957778.86887756</v>
          </cell>
          <cell r="Q151">
            <v>123699530.5846922</v>
          </cell>
          <cell r="R151">
            <v>156146615.97918248</v>
          </cell>
          <cell r="S151">
            <v>207468444.50448528</v>
          </cell>
          <cell r="T151">
            <v>249198131.74000415</v>
          </cell>
          <cell r="U151">
            <v>284049534.09529501</v>
          </cell>
          <cell r="V151">
            <v>322997527.93734783</v>
          </cell>
          <cell r="W151">
            <v>362732686.65900171</v>
          </cell>
          <cell r="X151">
            <v>410181783.83389395</v>
          </cell>
          <cell r="Y151">
            <v>473178694.07775187</v>
          </cell>
          <cell r="Z151">
            <v>46720511.076744929</v>
          </cell>
          <cell r="AA151">
            <v>81650526.550089747</v>
          </cell>
          <cell r="AB151">
            <v>114206916.30526534</v>
          </cell>
          <cell r="AC151">
            <v>146857244.43917874</v>
          </cell>
          <cell r="AD151">
            <v>179262857.16271672</v>
          </cell>
          <cell r="AE151">
            <v>211593400.2504535</v>
          </cell>
          <cell r="AF151">
            <v>244947194.39441797</v>
          </cell>
          <cell r="AG151">
            <v>277993363.01894552</v>
          </cell>
          <cell r="AH151">
            <v>310619698.79570341</v>
          </cell>
          <cell r="AI151">
            <v>342885964.52321094</v>
          </cell>
          <cell r="AJ151">
            <v>373481693.50565857</v>
          </cell>
          <cell r="AK151">
            <v>402939138.58333689</v>
          </cell>
          <cell r="AL151">
            <v>29814372.989101097</v>
          </cell>
          <cell r="AM151">
            <v>60295219.586363763</v>
          </cell>
          <cell r="AN151">
            <v>90896454.207681239</v>
          </cell>
          <cell r="AO151">
            <v>123329356.14909802</v>
          </cell>
          <cell r="AP151">
            <v>156672925.99836063</v>
          </cell>
          <cell r="AQ151">
            <v>192614733.06514817</v>
          </cell>
          <cell r="AR151">
            <v>226657557.77245766</v>
          </cell>
          <cell r="AS151">
            <v>265379439.29080454</v>
          </cell>
          <cell r="AT151">
            <v>302709103.00905502</v>
          </cell>
          <cell r="AU151">
            <v>342835179.99758756</v>
          </cell>
          <cell r="AV151">
            <v>389818423.89067626</v>
          </cell>
          <cell r="AW151">
            <v>465239864.04453593</v>
          </cell>
          <cell r="AX151">
            <v>593459882.34293437</v>
          </cell>
          <cell r="AY151">
            <v>859407028.74155772</v>
          </cell>
          <cell r="AZ151">
            <v>1220294122.0025547</v>
          </cell>
          <cell r="BA151">
            <v>1293212781.5661418</v>
          </cell>
          <cell r="BB151">
            <v>1293212781.5661418</v>
          </cell>
        </row>
        <row r="152">
          <cell r="A152" t="str">
            <v>ytd</v>
          </cell>
          <cell r="B152">
            <v>29057631.53207479</v>
          </cell>
          <cell r="C152">
            <v>56913049.584298939</v>
          </cell>
          <cell r="D152">
            <v>82511280.629281938</v>
          </cell>
          <cell r="E152">
            <v>107685869.23164195</v>
          </cell>
          <cell r="F152">
            <v>134244955.25129884</v>
          </cell>
          <cell r="G152">
            <v>170942219.75216383</v>
          </cell>
          <cell r="H152">
            <v>199149978.90337443</v>
          </cell>
          <cell r="I152">
            <v>225170333.12822998</v>
          </cell>
          <cell r="J152">
            <v>252431118.23557684</v>
          </cell>
          <cell r="K152">
            <v>280664428.61820507</v>
          </cell>
          <cell r="L152">
            <v>309397613.69450086</v>
          </cell>
          <cell r="M152">
            <v>338106175.25426525</v>
          </cell>
          <cell r="N152">
            <v>365545728.5634203</v>
          </cell>
          <cell r="O152">
            <v>404309597.32844317</v>
          </cell>
          <cell r="P152">
            <v>432063954.12314278</v>
          </cell>
          <cell r="Q152">
            <v>461805705.83895743</v>
          </cell>
          <cell r="R152">
            <v>494252791.23344773</v>
          </cell>
          <cell r="S152">
            <v>545574619.75875056</v>
          </cell>
          <cell r="T152">
            <v>587304306.99426949</v>
          </cell>
          <cell r="U152">
            <v>622155709.34956038</v>
          </cell>
          <cell r="V152">
            <v>661103703.1916132</v>
          </cell>
          <cell r="W152">
            <v>700838861.91326714</v>
          </cell>
          <cell r="X152">
            <v>748287959.08815944</v>
          </cell>
          <cell r="Y152">
            <v>811284869.33201742</v>
          </cell>
          <cell r="Z152">
            <v>858005380.40876234</v>
          </cell>
          <cell r="AA152">
            <v>892935395.88210714</v>
          </cell>
          <cell r="AB152">
            <v>925491785.63728273</v>
          </cell>
          <cell r="AC152">
            <v>958142113.77119613</v>
          </cell>
          <cell r="AD152">
            <v>990547726.49473405</v>
          </cell>
          <cell r="AE152">
            <v>1022878269.5824709</v>
          </cell>
          <cell r="AF152">
            <v>1056232063.7264353</v>
          </cell>
          <cell r="AG152">
            <v>1089278232.3509629</v>
          </cell>
          <cell r="AH152">
            <v>1121904568.1277208</v>
          </cell>
          <cell r="AI152">
            <v>1154170833.8552284</v>
          </cell>
          <cell r="AJ152">
            <v>1184766562.837676</v>
          </cell>
          <cell r="AK152">
            <v>1214224007.9153543</v>
          </cell>
          <cell r="AL152">
            <v>1244038380.9044554</v>
          </cell>
          <cell r="AM152">
            <v>1274519227.501718</v>
          </cell>
          <cell r="AN152">
            <v>1305120462.1230354</v>
          </cell>
          <cell r="AO152">
            <v>1337553364.0644522</v>
          </cell>
          <cell r="AP152">
            <v>1370896933.9137149</v>
          </cell>
          <cell r="AQ152">
            <v>1406838740.9805024</v>
          </cell>
          <cell r="AR152">
            <v>1440881565.6878119</v>
          </cell>
          <cell r="AS152">
            <v>1479603447.2061586</v>
          </cell>
          <cell r="AT152">
            <v>1516933110.9244092</v>
          </cell>
          <cell r="AU152">
            <v>1557059187.9129417</v>
          </cell>
          <cell r="AV152">
            <v>1604042431.8060305</v>
          </cell>
          <cell r="AW152">
            <v>1679463871.9598901</v>
          </cell>
          <cell r="AX152">
            <v>1807683890.2582886</v>
          </cell>
          <cell r="AY152">
            <v>2073631036.6569118</v>
          </cell>
          <cell r="AZ152">
            <v>2434518129.9179087</v>
          </cell>
          <cell r="BA152">
            <v>2507436789.4814959</v>
          </cell>
          <cell r="BB152">
            <v>2507436789.4814959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121986.4951531012</v>
          </cell>
          <cell r="C159">
            <v>127777.51641126383</v>
          </cell>
          <cell r="D159">
            <v>130313.60859545597</v>
          </cell>
          <cell r="E159">
            <v>133982.662118104</v>
          </cell>
          <cell r="F159">
            <v>152734.3058157317</v>
          </cell>
          <cell r="G159">
            <v>240607.17922978566</v>
          </cell>
          <cell r="H159">
            <v>168720.68584250781</v>
          </cell>
          <cell r="I159">
            <v>176605.3175146557</v>
          </cell>
          <cell r="J159">
            <v>393938.42979620036</v>
          </cell>
          <cell r="K159">
            <v>252343.19547803243</v>
          </cell>
          <cell r="L159">
            <v>222583.72688942819</v>
          </cell>
          <cell r="M159">
            <v>217095.35054206982</v>
          </cell>
          <cell r="N159">
            <v>208860.95966264847</v>
          </cell>
          <cell r="O159">
            <v>244355.40736619517</v>
          </cell>
          <cell r="P159">
            <v>193140.30080768483</v>
          </cell>
          <cell r="Q159">
            <v>197144.70361575403</v>
          </cell>
          <cell r="R159">
            <v>234061.31584089505</v>
          </cell>
          <cell r="S159">
            <v>328130.84593266586</v>
          </cell>
          <cell r="T159">
            <v>289239.1991029671</v>
          </cell>
          <cell r="U159">
            <v>311392.35803461401</v>
          </cell>
          <cell r="V159">
            <v>318202.23687196954</v>
          </cell>
          <cell r="W159">
            <v>285746.51354174782</v>
          </cell>
          <cell r="X159">
            <v>323454.11583411472</v>
          </cell>
          <cell r="Y159">
            <v>382188.92304529774</v>
          </cell>
          <cell r="Z159">
            <v>289587.20826157922</v>
          </cell>
          <cell r="AA159">
            <v>297780.04927299067</v>
          </cell>
          <cell r="AB159">
            <v>290423.71441525454</v>
          </cell>
          <cell r="AC159">
            <v>280444.59976386407</v>
          </cell>
          <cell r="AD159">
            <v>298242.41016795085</v>
          </cell>
          <cell r="AE159">
            <v>278974.38520179258</v>
          </cell>
          <cell r="AF159">
            <v>259031.64705488246</v>
          </cell>
          <cell r="AG159">
            <v>251763.80549345067</v>
          </cell>
          <cell r="AH159">
            <v>314764.46971624199</v>
          </cell>
          <cell r="AI159">
            <v>319559.83553150308</v>
          </cell>
          <cell r="AJ159">
            <v>307776.33388148271</v>
          </cell>
          <cell r="AK159">
            <v>413801.60127619345</v>
          </cell>
          <cell r="AL159">
            <v>538694.45147358649</v>
          </cell>
          <cell r="AM159">
            <v>498051.83980192483</v>
          </cell>
          <cell r="AN159">
            <v>489969.31628967996</v>
          </cell>
          <cell r="AO159">
            <v>508291.8602666239</v>
          </cell>
          <cell r="AP159">
            <v>488096.10746999859</v>
          </cell>
          <cell r="AQ159">
            <v>458603.94096248958</v>
          </cell>
          <cell r="AR159">
            <v>464095.72660481639</v>
          </cell>
          <cell r="AS159">
            <v>521616.31779855932</v>
          </cell>
          <cell r="AT159">
            <v>733982.85114347527</v>
          </cell>
          <cell r="AU159">
            <v>1133662.2206546986</v>
          </cell>
          <cell r="AV159">
            <v>912834.30069824518</v>
          </cell>
          <cell r="AW159">
            <v>921601.34945369943</v>
          </cell>
          <cell r="AX159">
            <v>1903233.1682066761</v>
          </cell>
          <cell r="AY159">
            <v>3828233.512078994</v>
          </cell>
          <cell r="AZ159">
            <v>9260266.8011510316</v>
          </cell>
          <cell r="BA159">
            <v>3275608.8652833477</v>
          </cell>
        </row>
        <row r="160">
          <cell r="A160" t="str">
            <v>ptd</v>
          </cell>
          <cell r="B160">
            <v>121986.4951531012</v>
          </cell>
          <cell r="C160">
            <v>249764.01156436504</v>
          </cell>
          <cell r="D160">
            <v>380077.620159821</v>
          </cell>
          <cell r="E160">
            <v>514060.282277925</v>
          </cell>
          <cell r="F160">
            <v>152734.3058157317</v>
          </cell>
          <cell r="G160">
            <v>393341.48504551733</v>
          </cell>
          <cell r="H160">
            <v>562062.17088802508</v>
          </cell>
          <cell r="I160">
            <v>738667.48840268073</v>
          </cell>
          <cell r="J160">
            <v>393938.42979620036</v>
          </cell>
          <cell r="K160">
            <v>646281.62527423282</v>
          </cell>
          <cell r="L160">
            <v>868865.35216366104</v>
          </cell>
          <cell r="M160">
            <v>1085960.7027057309</v>
          </cell>
          <cell r="N160">
            <v>208860.95966264847</v>
          </cell>
          <cell r="O160">
            <v>453216.36702884361</v>
          </cell>
          <cell r="P160">
            <v>646356.6678365285</v>
          </cell>
          <cell r="Q160">
            <v>843501.37145228253</v>
          </cell>
          <cell r="R160">
            <v>234061.31584089505</v>
          </cell>
          <cell r="S160">
            <v>562192.16177356092</v>
          </cell>
          <cell r="T160">
            <v>851431.36087652808</v>
          </cell>
          <cell r="U160">
            <v>1162823.7189111421</v>
          </cell>
          <cell r="V160">
            <v>318202.23687196954</v>
          </cell>
          <cell r="W160">
            <v>603948.75041371735</v>
          </cell>
          <cell r="X160">
            <v>927402.86624783208</v>
          </cell>
          <cell r="Y160">
            <v>1309591.7892931299</v>
          </cell>
          <cell r="Z160">
            <v>289587.20826157922</v>
          </cell>
          <cell r="AA160">
            <v>587367.25753456983</v>
          </cell>
          <cell r="AB160">
            <v>877790.97194982436</v>
          </cell>
          <cell r="AC160">
            <v>1158235.5717136883</v>
          </cell>
          <cell r="AD160">
            <v>298242.41016795085</v>
          </cell>
          <cell r="AE160">
            <v>577216.79536974337</v>
          </cell>
          <cell r="AF160">
            <v>836248.44242462586</v>
          </cell>
          <cell r="AG160">
            <v>1088012.2479180766</v>
          </cell>
          <cell r="AH160">
            <v>314764.46971624199</v>
          </cell>
          <cell r="AI160">
            <v>634324.30524774501</v>
          </cell>
          <cell r="AJ160">
            <v>942100.63912922773</v>
          </cell>
          <cell r="AK160">
            <v>1355902.2404054212</v>
          </cell>
          <cell r="AL160">
            <v>538694.45147358649</v>
          </cell>
          <cell r="AM160">
            <v>1036746.2912755113</v>
          </cell>
          <cell r="AN160">
            <v>1526715.6075651911</v>
          </cell>
          <cell r="AO160">
            <v>2035007.4678318151</v>
          </cell>
          <cell r="AP160">
            <v>488096.10746999859</v>
          </cell>
          <cell r="AQ160">
            <v>946700.04843248823</v>
          </cell>
          <cell r="AR160">
            <v>1410795.7750373045</v>
          </cell>
          <cell r="AS160">
            <v>1932412.0928358638</v>
          </cell>
          <cell r="AT160">
            <v>733982.85114347527</v>
          </cell>
          <cell r="AU160">
            <v>1867645.0717981737</v>
          </cell>
          <cell r="AV160">
            <v>2780479.3724964187</v>
          </cell>
          <cell r="AW160">
            <v>3702080.721950118</v>
          </cell>
          <cell r="AX160">
            <v>1903233.1682066761</v>
          </cell>
          <cell r="AY160">
            <v>5731466.6802856699</v>
          </cell>
          <cell r="AZ160">
            <v>14991733.481436701</v>
          </cell>
          <cell r="BA160">
            <v>18267342.346720047</v>
          </cell>
          <cell r="BB160">
            <v>18267342.346720047</v>
          </cell>
        </row>
        <row r="161">
          <cell r="A161" t="str">
            <v>qtd</v>
          </cell>
          <cell r="B161">
            <v>121986.4951531012</v>
          </cell>
          <cell r="C161">
            <v>249764.01156436504</v>
          </cell>
          <cell r="D161">
            <v>380077.620159821</v>
          </cell>
          <cell r="E161">
            <v>514060.282277925</v>
          </cell>
          <cell r="F161">
            <v>666794.5880936567</v>
          </cell>
          <cell r="G161">
            <v>907401.76732344239</v>
          </cell>
          <cell r="H161">
            <v>1076122.4531659503</v>
          </cell>
          <cell r="I161">
            <v>1252727.7706806059</v>
          </cell>
          <cell r="J161">
            <v>1646666.2004768061</v>
          </cell>
          <cell r="K161">
            <v>1899009.3959548385</v>
          </cell>
          <cell r="L161">
            <v>2121593.1228442667</v>
          </cell>
          <cell r="M161">
            <v>2338688.4733863366</v>
          </cell>
          <cell r="N161">
            <v>208860.95966264847</v>
          </cell>
          <cell r="O161">
            <v>453216.36702884361</v>
          </cell>
          <cell r="P161">
            <v>646356.6678365285</v>
          </cell>
          <cell r="Q161">
            <v>843501.37145228253</v>
          </cell>
          <cell r="R161">
            <v>1077562.6872931775</v>
          </cell>
          <cell r="S161">
            <v>1405693.5332258432</v>
          </cell>
          <cell r="T161">
            <v>1694932.7323288103</v>
          </cell>
          <cell r="U161">
            <v>2006325.0903634243</v>
          </cell>
          <cell r="V161">
            <v>2324527.3272353937</v>
          </cell>
          <cell r="W161">
            <v>2610273.8407771415</v>
          </cell>
          <cell r="X161">
            <v>2933727.9566112561</v>
          </cell>
          <cell r="Y161">
            <v>3315916.8796565537</v>
          </cell>
          <cell r="Z161">
            <v>289587.20826157922</v>
          </cell>
          <cell r="AA161">
            <v>587367.25753456983</v>
          </cell>
          <cell r="AB161">
            <v>877790.97194982436</v>
          </cell>
          <cell r="AC161">
            <v>1158235.5717136883</v>
          </cell>
          <cell r="AD161">
            <v>1456477.9818816392</v>
          </cell>
          <cell r="AE161">
            <v>1735452.3670834317</v>
          </cell>
          <cell r="AF161">
            <v>1994484.0141383142</v>
          </cell>
          <cell r="AG161">
            <v>2246247.8196317647</v>
          </cell>
          <cell r="AH161">
            <v>2561012.2893480067</v>
          </cell>
          <cell r="AI161">
            <v>2880572.1248795097</v>
          </cell>
          <cell r="AJ161">
            <v>3188348.4587609926</v>
          </cell>
          <cell r="AK161">
            <v>3602150.0600371859</v>
          </cell>
          <cell r="AL161">
            <v>538694.45147358649</v>
          </cell>
          <cell r="AM161">
            <v>1036746.2912755113</v>
          </cell>
          <cell r="AN161">
            <v>1526715.6075651911</v>
          </cell>
          <cell r="AO161">
            <v>2035007.4678318151</v>
          </cell>
          <cell r="AP161">
            <v>2523103.5753018139</v>
          </cell>
          <cell r="AQ161">
            <v>2981707.5162643036</v>
          </cell>
          <cell r="AR161">
            <v>3445803.2428691201</v>
          </cell>
          <cell r="AS161">
            <v>3967419.5606676796</v>
          </cell>
          <cell r="AT161">
            <v>4701402.4118111553</v>
          </cell>
          <cell r="AU161">
            <v>5835064.6324658543</v>
          </cell>
          <cell r="AV161">
            <v>6747898.9331640992</v>
          </cell>
          <cell r="AW161">
            <v>7669500.282617799</v>
          </cell>
          <cell r="AX161">
            <v>9572733.4508244749</v>
          </cell>
          <cell r="AY161">
            <v>13400966.96290347</v>
          </cell>
          <cell r="AZ161">
            <v>22661233.7640545</v>
          </cell>
          <cell r="BA161">
            <v>25936842.629337847</v>
          </cell>
          <cell r="BB161">
            <v>25936842.629337847</v>
          </cell>
        </row>
        <row r="162">
          <cell r="A162" t="str">
            <v>ytd</v>
          </cell>
          <cell r="B162">
            <v>121986.4951531012</v>
          </cell>
          <cell r="C162">
            <v>249764.01156436504</v>
          </cell>
          <cell r="D162">
            <v>380077.620159821</v>
          </cell>
          <cell r="E162">
            <v>514060.282277925</v>
          </cell>
          <cell r="F162">
            <v>666794.5880936567</v>
          </cell>
          <cell r="G162">
            <v>907401.76732344239</v>
          </cell>
          <cell r="H162">
            <v>1076122.4531659503</v>
          </cell>
          <cell r="I162">
            <v>1252727.7706806059</v>
          </cell>
          <cell r="J162">
            <v>1646666.2004768061</v>
          </cell>
          <cell r="K162">
            <v>1899009.3959548385</v>
          </cell>
          <cell r="L162">
            <v>2121593.1228442667</v>
          </cell>
          <cell r="M162">
            <v>2338688.4733863366</v>
          </cell>
          <cell r="N162">
            <v>2547549.433048985</v>
          </cell>
          <cell r="O162">
            <v>2791904.8404151802</v>
          </cell>
          <cell r="P162">
            <v>2985045.1412228649</v>
          </cell>
          <cell r="Q162">
            <v>3182189.8448386188</v>
          </cell>
          <cell r="R162">
            <v>3416251.1606795136</v>
          </cell>
          <cell r="S162">
            <v>3744382.0066121793</v>
          </cell>
          <cell r="T162">
            <v>4033621.2057151464</v>
          </cell>
          <cell r="U162">
            <v>4345013.5637497604</v>
          </cell>
          <cell r="V162">
            <v>4663215.8006217303</v>
          </cell>
          <cell r="W162">
            <v>4948962.3141634781</v>
          </cell>
          <cell r="X162">
            <v>5272416.4299975932</v>
          </cell>
          <cell r="Y162">
            <v>5654605.3530428912</v>
          </cell>
          <cell r="Z162">
            <v>5944192.5613044705</v>
          </cell>
          <cell r="AA162">
            <v>6241972.6105774613</v>
          </cell>
          <cell r="AB162">
            <v>6532396.3249927163</v>
          </cell>
          <cell r="AC162">
            <v>6812840.92475658</v>
          </cell>
          <cell r="AD162">
            <v>7111083.3349245312</v>
          </cell>
          <cell r="AE162">
            <v>7390057.7201263234</v>
          </cell>
          <cell r="AF162">
            <v>7649089.3671812061</v>
          </cell>
          <cell r="AG162">
            <v>7900853.1726746568</v>
          </cell>
          <cell r="AH162">
            <v>8215617.6423908984</v>
          </cell>
          <cell r="AI162">
            <v>8535177.4779224023</v>
          </cell>
          <cell r="AJ162">
            <v>8842953.8118038848</v>
          </cell>
          <cell r="AK162">
            <v>9256755.4130800776</v>
          </cell>
          <cell r="AL162">
            <v>9795449.8645536639</v>
          </cell>
          <cell r="AM162">
            <v>10293501.704355588</v>
          </cell>
          <cell r="AN162">
            <v>10783471.020645268</v>
          </cell>
          <cell r="AO162">
            <v>11291762.880911892</v>
          </cell>
          <cell r="AP162">
            <v>11779858.988381891</v>
          </cell>
          <cell r="AQ162">
            <v>12238462.92934438</v>
          </cell>
          <cell r="AR162">
            <v>12702558.655949196</v>
          </cell>
          <cell r="AS162">
            <v>13224174.973747754</v>
          </cell>
          <cell r="AT162">
            <v>13958157.82489123</v>
          </cell>
          <cell r="AU162">
            <v>15091820.045545928</v>
          </cell>
          <cell r="AV162">
            <v>16004654.346244173</v>
          </cell>
          <cell r="AW162">
            <v>16926255.695697874</v>
          </cell>
          <cell r="AX162">
            <v>18829488.863904551</v>
          </cell>
          <cell r="AY162">
            <v>22657722.375983544</v>
          </cell>
          <cell r="AZ162">
            <v>31917989.177134573</v>
          </cell>
          <cell r="BA162">
            <v>35193598.042417921</v>
          </cell>
          <cell r="BB162">
            <v>35193598.042417921</v>
          </cell>
        </row>
        <row r="163">
          <cell r="A163" t="str">
            <v>PRED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5861.7504311486191</v>
          </cell>
          <cell r="C171">
            <v>6140.023213018625</v>
          </cell>
          <cell r="D171">
            <v>6261.8886657104413</v>
          </cell>
          <cell r="E171">
            <v>6438.1956908552875</v>
          </cell>
          <cell r="F171">
            <v>7237.710797084681</v>
          </cell>
          <cell r="G171">
            <v>11401.794571734907</v>
          </cell>
          <cell r="H171">
            <v>7995.2668334193686</v>
          </cell>
          <cell r="I171">
            <v>8368.9005333255973</v>
          </cell>
          <cell r="J171">
            <v>15569.831549245739</v>
          </cell>
          <cell r="K171">
            <v>9973.4901421624363</v>
          </cell>
          <cell r="L171">
            <v>8797.2913306899281</v>
          </cell>
          <cell r="M171">
            <v>8580.3714042652755</v>
          </cell>
          <cell r="N171">
            <v>8192.8618410141153</v>
          </cell>
          <cell r="O171">
            <v>9585.1809543034524</v>
          </cell>
          <cell r="P171">
            <v>7576.1971169964463</v>
          </cell>
          <cell r="Q171">
            <v>7733.275390577448</v>
          </cell>
          <cell r="R171">
            <v>8451.2443647960881</v>
          </cell>
          <cell r="S171">
            <v>11847.809846926015</v>
          </cell>
          <cell r="T171">
            <v>10443.550412058288</v>
          </cell>
          <cell r="U171">
            <v>11243.433805479775</v>
          </cell>
          <cell r="V171">
            <v>11230.823462939699</v>
          </cell>
          <cell r="W171">
            <v>10085.311405366096</v>
          </cell>
          <cell r="X171">
            <v>11416.186476262295</v>
          </cell>
          <cell r="Y171">
            <v>13489.208518480074</v>
          </cell>
          <cell r="Z171">
            <v>11132.887481984224</v>
          </cell>
          <cell r="AA171">
            <v>11447.852972640298</v>
          </cell>
          <cell r="AB171">
            <v>11165.046115449979</v>
          </cell>
          <cell r="AC171">
            <v>10781.40914042379</v>
          </cell>
          <cell r="AD171">
            <v>11864.358091003298</v>
          </cell>
          <cell r="AE171">
            <v>11097.858290468026</v>
          </cell>
          <cell r="AF171">
            <v>10304.517777437666</v>
          </cell>
          <cell r="AG171">
            <v>10015.396338320592</v>
          </cell>
          <cell r="AH171">
            <v>10029.240655140886</v>
          </cell>
          <cell r="AI171">
            <v>10182.033878067368</v>
          </cell>
          <cell r="AJ171">
            <v>9806.5798952374716</v>
          </cell>
          <cell r="AK171">
            <v>13184.829426341857</v>
          </cell>
          <cell r="AL171">
            <v>20970.098235483503</v>
          </cell>
          <cell r="AM171">
            <v>19387.977690209718</v>
          </cell>
          <cell r="AN171">
            <v>19073.344206276961</v>
          </cell>
          <cell r="AO171">
            <v>19786.597417015328</v>
          </cell>
          <cell r="AP171">
            <v>19054.055269675307</v>
          </cell>
          <cell r="AQ171">
            <v>17902.754609710337</v>
          </cell>
          <cell r="AR171">
            <v>18117.140230813729</v>
          </cell>
          <cell r="AS171">
            <v>20362.600718976588</v>
          </cell>
          <cell r="AT171">
            <v>30939.846403894149</v>
          </cell>
          <cell r="AU171">
            <v>47787.676410027714</v>
          </cell>
          <cell r="AV171">
            <v>38479.036685680061</v>
          </cell>
          <cell r="AW171">
            <v>38848.597284387011</v>
          </cell>
          <cell r="AX171">
            <v>79399.331535008256</v>
          </cell>
          <cell r="AY171">
            <v>159706.74896623148</v>
          </cell>
          <cell r="AZ171">
            <v>386321.02788541658</v>
          </cell>
          <cell r="BA171">
            <v>136652.28129599403</v>
          </cell>
        </row>
        <row r="172">
          <cell r="A172" t="str">
            <v>ptd</v>
          </cell>
          <cell r="B172">
            <v>5861.7504311486191</v>
          </cell>
          <cell r="C172">
            <v>12001.773644167244</v>
          </cell>
          <cell r="D172">
            <v>18263.662309877684</v>
          </cell>
          <cell r="E172">
            <v>24701.858000732973</v>
          </cell>
          <cell r="F172">
            <v>7237.710797084681</v>
          </cell>
          <cell r="G172">
            <v>18639.505368819588</v>
          </cell>
          <cell r="H172">
            <v>26634.772202238957</v>
          </cell>
          <cell r="I172">
            <v>35003.672735564556</v>
          </cell>
          <cell r="J172">
            <v>15569.831549245739</v>
          </cell>
          <cell r="K172">
            <v>25543.321691408175</v>
          </cell>
          <cell r="L172">
            <v>34340.613022098099</v>
          </cell>
          <cell r="M172">
            <v>42920.984426363371</v>
          </cell>
          <cell r="N172">
            <v>8192.8618410141153</v>
          </cell>
          <cell r="O172">
            <v>17778.042795317568</v>
          </cell>
          <cell r="P172">
            <v>25354.239912314013</v>
          </cell>
          <cell r="Q172">
            <v>33087.515302891465</v>
          </cell>
          <cell r="R172">
            <v>8451.2443647960881</v>
          </cell>
          <cell r="S172">
            <v>20299.054211722105</v>
          </cell>
          <cell r="T172">
            <v>30742.604623780393</v>
          </cell>
          <cell r="U172">
            <v>41986.038429260167</v>
          </cell>
          <cell r="V172">
            <v>11230.823462939699</v>
          </cell>
          <cell r="W172">
            <v>21316.134868305795</v>
          </cell>
          <cell r="X172">
            <v>32732.321344568089</v>
          </cell>
          <cell r="Y172">
            <v>46221.529863048163</v>
          </cell>
          <cell r="Z172">
            <v>11132.887481984224</v>
          </cell>
          <cell r="AA172">
            <v>22580.740454624523</v>
          </cell>
          <cell r="AB172">
            <v>33745.786570074502</v>
          </cell>
          <cell r="AC172">
            <v>44527.195710498294</v>
          </cell>
          <cell r="AD172">
            <v>11864.358091003298</v>
          </cell>
          <cell r="AE172">
            <v>22962.216381471324</v>
          </cell>
          <cell r="AF172">
            <v>33266.734158908992</v>
          </cell>
          <cell r="AG172">
            <v>43282.130497229584</v>
          </cell>
          <cell r="AH172">
            <v>10029.240655140886</v>
          </cell>
          <cell r="AI172">
            <v>20211.274533208256</v>
          </cell>
          <cell r="AJ172">
            <v>30017.854428445728</v>
          </cell>
          <cell r="AK172">
            <v>43202.683854787581</v>
          </cell>
          <cell r="AL172">
            <v>20970.098235483503</v>
          </cell>
          <cell r="AM172">
            <v>40358.075925693222</v>
          </cell>
          <cell r="AN172">
            <v>59431.420131970182</v>
          </cell>
          <cell r="AO172">
            <v>79218.017548985517</v>
          </cell>
          <cell r="AP172">
            <v>19054.055269675307</v>
          </cell>
          <cell r="AQ172">
            <v>36956.809879385648</v>
          </cell>
          <cell r="AR172">
            <v>55073.950110199381</v>
          </cell>
          <cell r="AS172">
            <v>75436.550829175976</v>
          </cell>
          <cell r="AT172">
            <v>30939.846403894149</v>
          </cell>
          <cell r="AU172">
            <v>78727.522813921867</v>
          </cell>
          <cell r="AV172">
            <v>117206.55949960192</v>
          </cell>
          <cell r="AW172">
            <v>156055.15678398893</v>
          </cell>
          <cell r="AX172">
            <v>79399.331535008256</v>
          </cell>
          <cell r="AY172">
            <v>239106.08050123975</v>
          </cell>
          <cell r="AZ172">
            <v>625427.10838665627</v>
          </cell>
          <cell r="BA172">
            <v>762079.38968265033</v>
          </cell>
          <cell r="BB172">
            <v>762079.38968265033</v>
          </cell>
        </row>
        <row r="173">
          <cell r="A173" t="str">
            <v>qtd</v>
          </cell>
          <cell r="B173">
            <v>5861.7504311486191</v>
          </cell>
          <cell r="C173">
            <v>12001.773644167244</v>
          </cell>
          <cell r="D173">
            <v>18263.662309877684</v>
          </cell>
          <cell r="E173">
            <v>24701.858000732973</v>
          </cell>
          <cell r="F173">
            <v>31939.568797817654</v>
          </cell>
          <cell r="G173">
            <v>43341.363369552564</v>
          </cell>
          <cell r="H173">
            <v>51336.63020297193</v>
          </cell>
          <cell r="I173">
            <v>59705.530736297529</v>
          </cell>
          <cell r="J173">
            <v>75275.362285543262</v>
          </cell>
          <cell r="K173">
            <v>85248.8524277057</v>
          </cell>
          <cell r="L173">
            <v>94046.143758395629</v>
          </cell>
          <cell r="M173">
            <v>102626.5151626609</v>
          </cell>
          <cell r="N173">
            <v>8192.8618410141153</v>
          </cell>
          <cell r="O173">
            <v>17778.042795317568</v>
          </cell>
          <cell r="P173">
            <v>25354.239912314013</v>
          </cell>
          <cell r="Q173">
            <v>33087.515302891465</v>
          </cell>
          <cell r="R173">
            <v>41538.759667687555</v>
          </cell>
          <cell r="S173">
            <v>53386.569514613569</v>
          </cell>
          <cell r="T173">
            <v>63830.119926671861</v>
          </cell>
          <cell r="U173">
            <v>75073.553732151631</v>
          </cell>
          <cell r="V173">
            <v>86304.377195091336</v>
          </cell>
          <cell r="W173">
            <v>96389.688600457433</v>
          </cell>
          <cell r="X173">
            <v>107805.87507671973</v>
          </cell>
          <cell r="Y173">
            <v>121295.0835951998</v>
          </cell>
          <cell r="Z173">
            <v>11132.887481984224</v>
          </cell>
          <cell r="AA173">
            <v>22580.740454624523</v>
          </cell>
          <cell r="AB173">
            <v>33745.786570074502</v>
          </cell>
          <cell r="AC173">
            <v>44527.195710498294</v>
          </cell>
          <cell r="AD173">
            <v>56391.553801501592</v>
          </cell>
          <cell r="AE173">
            <v>67489.412091969614</v>
          </cell>
          <cell r="AF173">
            <v>77793.929869407279</v>
          </cell>
          <cell r="AG173">
            <v>87809.326207727863</v>
          </cell>
          <cell r="AH173">
            <v>97838.566862868756</v>
          </cell>
          <cell r="AI173">
            <v>108020.60074093612</v>
          </cell>
          <cell r="AJ173">
            <v>117827.18063617359</v>
          </cell>
          <cell r="AK173">
            <v>131012.01006251544</v>
          </cell>
          <cell r="AL173">
            <v>20970.098235483503</v>
          </cell>
          <cell r="AM173">
            <v>40358.075925693222</v>
          </cell>
          <cell r="AN173">
            <v>59431.420131970182</v>
          </cell>
          <cell r="AO173">
            <v>79218.017548985517</v>
          </cell>
          <cell r="AP173">
            <v>98272.072818660818</v>
          </cell>
          <cell r="AQ173">
            <v>116174.82742837115</v>
          </cell>
          <cell r="AR173">
            <v>134291.96765918488</v>
          </cell>
          <cell r="AS173">
            <v>154654.56837816146</v>
          </cell>
          <cell r="AT173">
            <v>185594.41478205562</v>
          </cell>
          <cell r="AU173">
            <v>233382.09119208335</v>
          </cell>
          <cell r="AV173">
            <v>271861.12787776341</v>
          </cell>
          <cell r="AW173">
            <v>310709.72516215045</v>
          </cell>
          <cell r="AX173">
            <v>390109.05669715873</v>
          </cell>
          <cell r="AY173">
            <v>549815.8056633902</v>
          </cell>
          <cell r="AZ173">
            <v>936136.83354880684</v>
          </cell>
          <cell r="BA173">
            <v>1072789.1148448009</v>
          </cell>
          <cell r="BB173">
            <v>1072789.1148448009</v>
          </cell>
        </row>
        <row r="174">
          <cell r="A174" t="str">
            <v>ytd</v>
          </cell>
          <cell r="B174">
            <v>5861.7504311486191</v>
          </cell>
          <cell r="C174">
            <v>12001.773644167244</v>
          </cell>
          <cell r="D174">
            <v>18263.662309877684</v>
          </cell>
          <cell r="E174">
            <v>24701.858000732973</v>
          </cell>
          <cell r="F174">
            <v>31939.568797817654</v>
          </cell>
          <cell r="G174">
            <v>43341.363369552564</v>
          </cell>
          <cell r="H174">
            <v>51336.63020297193</v>
          </cell>
          <cell r="I174">
            <v>59705.530736297529</v>
          </cell>
          <cell r="J174">
            <v>75275.362285543262</v>
          </cell>
          <cell r="K174">
            <v>85248.8524277057</v>
          </cell>
          <cell r="L174">
            <v>94046.143758395629</v>
          </cell>
          <cell r="M174">
            <v>102626.5151626609</v>
          </cell>
          <cell r="N174">
            <v>110819.37700367502</v>
          </cell>
          <cell r="O174">
            <v>120404.55795797847</v>
          </cell>
          <cell r="P174">
            <v>127980.75507497492</v>
          </cell>
          <cell r="Q174">
            <v>135714.03046555238</v>
          </cell>
          <cell r="R174">
            <v>144165.27483034847</v>
          </cell>
          <cell r="S174">
            <v>156013.08467727448</v>
          </cell>
          <cell r="T174">
            <v>166456.63508933276</v>
          </cell>
          <cell r="U174">
            <v>177700.06889481255</v>
          </cell>
          <cell r="V174">
            <v>188930.89235775225</v>
          </cell>
          <cell r="W174">
            <v>199016.20376311833</v>
          </cell>
          <cell r="X174">
            <v>210432.39023938062</v>
          </cell>
          <cell r="Y174">
            <v>223921.59875786069</v>
          </cell>
          <cell r="Z174">
            <v>235054.4862398449</v>
          </cell>
          <cell r="AA174">
            <v>246502.33921248521</v>
          </cell>
          <cell r="AB174">
            <v>257667.38532793519</v>
          </cell>
          <cell r="AC174">
            <v>268448.79446835897</v>
          </cell>
          <cell r="AD174">
            <v>280313.15255936229</v>
          </cell>
          <cell r="AE174">
            <v>291411.01084983035</v>
          </cell>
          <cell r="AF174">
            <v>301715.52862726804</v>
          </cell>
          <cell r="AG174">
            <v>311730.92496558861</v>
          </cell>
          <cell r="AH174">
            <v>321760.1656207295</v>
          </cell>
          <cell r="AI174">
            <v>331942.19949879689</v>
          </cell>
          <cell r="AJ174">
            <v>341748.77939403435</v>
          </cell>
          <cell r="AK174">
            <v>354933.60882037622</v>
          </cell>
          <cell r="AL174">
            <v>375903.70705585973</v>
          </cell>
          <cell r="AM174">
            <v>395291.68474606943</v>
          </cell>
          <cell r="AN174">
            <v>414365.02895234642</v>
          </cell>
          <cell r="AO174">
            <v>434151.62636936177</v>
          </cell>
          <cell r="AP174">
            <v>453205.6816390371</v>
          </cell>
          <cell r="AQ174">
            <v>471108.43624874746</v>
          </cell>
          <cell r="AR174">
            <v>489225.57647956116</v>
          </cell>
          <cell r="AS174">
            <v>509588.17719853774</v>
          </cell>
          <cell r="AT174">
            <v>540528.02360243187</v>
          </cell>
          <cell r="AU174">
            <v>588315.70001245954</v>
          </cell>
          <cell r="AV174">
            <v>626794.73669813958</v>
          </cell>
          <cell r="AW174">
            <v>665643.33398252656</v>
          </cell>
          <cell r="AX174">
            <v>745042.66551753483</v>
          </cell>
          <cell r="AY174">
            <v>904749.4144837663</v>
          </cell>
          <cell r="AZ174">
            <v>1291070.4423691828</v>
          </cell>
          <cell r="BA174">
            <v>1427722.7236651769</v>
          </cell>
          <cell r="BB174">
            <v>1427722.7236651769</v>
          </cell>
        </row>
        <row r="175">
          <cell r="A175" t="str">
            <v>TELE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127848.24558424982</v>
          </cell>
          <cell r="C187">
            <v>133917.53962428245</v>
          </cell>
          <cell r="D187">
            <v>136575.4972611664</v>
          </cell>
          <cell r="E187">
            <v>140420.85780895929</v>
          </cell>
          <cell r="F187">
            <v>159972.01661281637</v>
          </cell>
          <cell r="G187">
            <v>252008.97380152057</v>
          </cell>
          <cell r="H187">
            <v>176715.95267592717</v>
          </cell>
          <cell r="I187">
            <v>184974.2180479813</v>
          </cell>
          <cell r="J187">
            <v>409508.26134544611</v>
          </cell>
          <cell r="K187">
            <v>262316.68562019488</v>
          </cell>
          <cell r="L187">
            <v>231381.01822011813</v>
          </cell>
          <cell r="M187">
            <v>225675.72194633511</v>
          </cell>
          <cell r="N187">
            <v>217053.82150366259</v>
          </cell>
          <cell r="O187">
            <v>253940.58832049862</v>
          </cell>
          <cell r="P187">
            <v>200716.49792468129</v>
          </cell>
          <cell r="Q187">
            <v>204877.97900633147</v>
          </cell>
          <cell r="R187">
            <v>242512.56020569114</v>
          </cell>
          <cell r="S187">
            <v>339978.65577959188</v>
          </cell>
          <cell r="T187">
            <v>299682.74951502541</v>
          </cell>
          <cell r="U187">
            <v>322635.79184009379</v>
          </cell>
          <cell r="V187">
            <v>329433.06033490924</v>
          </cell>
          <cell r="W187">
            <v>295831.82494711393</v>
          </cell>
          <cell r="X187">
            <v>334870.30231037701</v>
          </cell>
          <cell r="Y187">
            <v>395678.1315637778</v>
          </cell>
          <cell r="Z187">
            <v>300720.09574356343</v>
          </cell>
          <cell r="AA187">
            <v>309227.90224563098</v>
          </cell>
          <cell r="AB187">
            <v>301588.76053070452</v>
          </cell>
          <cell r="AC187">
            <v>291226.00890428788</v>
          </cell>
          <cell r="AD187">
            <v>310106.76825895417</v>
          </cell>
          <cell r="AE187">
            <v>290072.24349226063</v>
          </cell>
          <cell r="AF187">
            <v>269336.16483232012</v>
          </cell>
          <cell r="AG187">
            <v>261779.20183177126</v>
          </cell>
          <cell r="AH187">
            <v>324793.71037138288</v>
          </cell>
          <cell r="AI187">
            <v>329741.86940957047</v>
          </cell>
          <cell r="AJ187">
            <v>317582.91377672018</v>
          </cell>
          <cell r="AK187">
            <v>426986.43070253532</v>
          </cell>
          <cell r="AL187">
            <v>559664.54970907001</v>
          </cell>
          <cell r="AM187">
            <v>517439.81749213452</v>
          </cell>
          <cell r="AN187">
            <v>509042.66049595689</v>
          </cell>
          <cell r="AO187">
            <v>528078.45768363925</v>
          </cell>
          <cell r="AP187">
            <v>507150.16273967392</v>
          </cell>
          <cell r="AQ187">
            <v>476506.69557219994</v>
          </cell>
          <cell r="AR187">
            <v>482212.86683563009</v>
          </cell>
          <cell r="AS187">
            <v>541978.9185175359</v>
          </cell>
          <cell r="AT187">
            <v>764922.6975473694</v>
          </cell>
          <cell r="AU187">
            <v>1181449.8970647263</v>
          </cell>
          <cell r="AV187">
            <v>951313.33738392522</v>
          </cell>
          <cell r="AW187">
            <v>960449.94673808641</v>
          </cell>
          <cell r="AX187">
            <v>1982632.4997416844</v>
          </cell>
          <cell r="AY187">
            <v>3987940.2610452254</v>
          </cell>
          <cell r="AZ187">
            <v>9646587.8290364482</v>
          </cell>
          <cell r="BA187">
            <v>3412261.1465793415</v>
          </cell>
          <cell r="BB187">
            <v>0</v>
          </cell>
        </row>
        <row r="188">
          <cell r="A188" t="str">
            <v>ptd</v>
          </cell>
          <cell r="B188">
            <v>127848.24558424982</v>
          </cell>
          <cell r="C188">
            <v>261765.78520853227</v>
          </cell>
          <cell r="D188">
            <v>398341.28246969869</v>
          </cell>
          <cell r="E188">
            <v>538762.14027865801</v>
          </cell>
          <cell r="F188">
            <v>159972.01661281637</v>
          </cell>
          <cell r="G188">
            <v>411980.99041433691</v>
          </cell>
          <cell r="H188">
            <v>588696.94309026399</v>
          </cell>
          <cell r="I188">
            <v>773671.16113824525</v>
          </cell>
          <cell r="J188">
            <v>409508.26134544611</v>
          </cell>
          <cell r="K188">
            <v>671824.94696564099</v>
          </cell>
          <cell r="L188">
            <v>903205.96518575912</v>
          </cell>
          <cell r="M188">
            <v>1128881.6871320943</v>
          </cell>
          <cell r="N188">
            <v>217053.82150366259</v>
          </cell>
          <cell r="O188">
            <v>470994.40982416121</v>
          </cell>
          <cell r="P188">
            <v>671710.9077488425</v>
          </cell>
          <cell r="Q188">
            <v>876588.88675517403</v>
          </cell>
          <cell r="R188">
            <v>242512.56020569114</v>
          </cell>
          <cell r="S188">
            <v>582491.21598528302</v>
          </cell>
          <cell r="T188">
            <v>882173.96550030843</v>
          </cell>
          <cell r="U188">
            <v>1204809.7573404023</v>
          </cell>
          <cell r="V188">
            <v>329433.06033490924</v>
          </cell>
          <cell r="W188">
            <v>625264.88528202311</v>
          </cell>
          <cell r="X188">
            <v>960135.18759240012</v>
          </cell>
          <cell r="Y188">
            <v>1355813.319156178</v>
          </cell>
          <cell r="Z188">
            <v>300720.09574356343</v>
          </cell>
          <cell r="AA188">
            <v>609947.99798919435</v>
          </cell>
          <cell r="AB188">
            <v>911536.75851989887</v>
          </cell>
          <cell r="AC188">
            <v>1202762.7674241867</v>
          </cell>
          <cell r="AD188">
            <v>310106.76825895417</v>
          </cell>
          <cell r="AE188">
            <v>600179.01175121474</v>
          </cell>
          <cell r="AF188">
            <v>869515.17658353481</v>
          </cell>
          <cell r="AG188">
            <v>1131294.3784153061</v>
          </cell>
          <cell r="AH188">
            <v>324793.71037138288</v>
          </cell>
          <cell r="AI188">
            <v>654535.57978095324</v>
          </cell>
          <cell r="AJ188">
            <v>972118.49355767341</v>
          </cell>
          <cell r="AK188">
            <v>1399104.9242602088</v>
          </cell>
          <cell r="AL188">
            <v>559664.54970907001</v>
          </cell>
          <cell r="AM188">
            <v>1077104.3672012044</v>
          </cell>
          <cell r="AN188">
            <v>1586147.0276971613</v>
          </cell>
          <cell r="AO188">
            <v>2114225.4853808004</v>
          </cell>
          <cell r="AP188">
            <v>507150.16273967392</v>
          </cell>
          <cell r="AQ188">
            <v>983656.85831187386</v>
          </cell>
          <cell r="AR188">
            <v>1465869.7251475039</v>
          </cell>
          <cell r="AS188">
            <v>2007848.6436650399</v>
          </cell>
          <cell r="AT188">
            <v>764922.6975473694</v>
          </cell>
          <cell r="AU188">
            <v>1946372.5946120955</v>
          </cell>
          <cell r="AV188">
            <v>2897685.9319960205</v>
          </cell>
          <cell r="AW188">
            <v>3858135.8787341071</v>
          </cell>
          <cell r="AX188">
            <v>1982632.4997416844</v>
          </cell>
          <cell r="AY188">
            <v>5970572.7607869096</v>
          </cell>
          <cell r="AZ188">
            <v>15617160.589823358</v>
          </cell>
          <cell r="BA188">
            <v>19029421.736402698</v>
          </cell>
          <cell r="BB188">
            <v>19029421.736402698</v>
          </cell>
        </row>
        <row r="189">
          <cell r="A189" t="str">
            <v>qtd</v>
          </cell>
          <cell r="B189">
            <v>127848.24558424982</v>
          </cell>
          <cell r="C189">
            <v>261765.78520853227</v>
          </cell>
          <cell r="D189">
            <v>398341.28246969869</v>
          </cell>
          <cell r="E189">
            <v>538762.14027865801</v>
          </cell>
          <cell r="F189">
            <v>698734.15689147438</v>
          </cell>
          <cell r="G189">
            <v>950743.13069299492</v>
          </cell>
          <cell r="H189">
            <v>1127459.0833689221</v>
          </cell>
          <cell r="I189">
            <v>1312433.3014169035</v>
          </cell>
          <cell r="J189">
            <v>1721941.5627623494</v>
          </cell>
          <cell r="K189">
            <v>1984258.2483825441</v>
          </cell>
          <cell r="L189">
            <v>2215639.2666026624</v>
          </cell>
          <cell r="M189">
            <v>2441314.9885489973</v>
          </cell>
          <cell r="N189">
            <v>217053.82150366259</v>
          </cell>
          <cell r="O189">
            <v>470994.40982416121</v>
          </cell>
          <cell r="P189">
            <v>671710.9077488425</v>
          </cell>
          <cell r="Q189">
            <v>876588.88675517403</v>
          </cell>
          <cell r="R189">
            <v>1119101.4469608651</v>
          </cell>
          <cell r="S189">
            <v>1459080.1027404568</v>
          </cell>
          <cell r="T189">
            <v>1758762.8522554822</v>
          </cell>
          <cell r="U189">
            <v>2081398.6440955759</v>
          </cell>
          <cell r="V189">
            <v>2410831.7044304851</v>
          </cell>
          <cell r="W189">
            <v>2706663.5293775988</v>
          </cell>
          <cell r="X189">
            <v>3041533.8316879757</v>
          </cell>
          <cell r="Y189">
            <v>3437211.9632517537</v>
          </cell>
          <cell r="Z189">
            <v>300720.09574356343</v>
          </cell>
          <cell r="AA189">
            <v>609947.99798919435</v>
          </cell>
          <cell r="AB189">
            <v>911536.75851989887</v>
          </cell>
          <cell r="AC189">
            <v>1202762.7674241867</v>
          </cell>
          <cell r="AD189">
            <v>1512869.5356831409</v>
          </cell>
          <cell r="AE189">
            <v>1802941.7791754012</v>
          </cell>
          <cell r="AF189">
            <v>2072277.9440077215</v>
          </cell>
          <cell r="AG189">
            <v>2334057.1458394923</v>
          </cell>
          <cell r="AH189">
            <v>2658850.8562108753</v>
          </cell>
          <cell r="AI189">
            <v>2988592.7256204458</v>
          </cell>
          <cell r="AJ189">
            <v>3306175.6393971662</v>
          </cell>
          <cell r="AK189">
            <v>3733162.0700997012</v>
          </cell>
          <cell r="AL189">
            <v>559664.54970907001</v>
          </cell>
          <cell r="AM189">
            <v>1077104.3672012044</v>
          </cell>
          <cell r="AN189">
            <v>1586147.0276971613</v>
          </cell>
          <cell r="AO189">
            <v>2114225.4853808004</v>
          </cell>
          <cell r="AP189">
            <v>2621375.6481204745</v>
          </cell>
          <cell r="AQ189">
            <v>3097882.3436926748</v>
          </cell>
          <cell r="AR189">
            <v>3580095.2105283048</v>
          </cell>
          <cell r="AS189">
            <v>4122074.1290458413</v>
          </cell>
          <cell r="AT189">
            <v>4886996.8265932109</v>
          </cell>
          <cell r="AU189">
            <v>6068446.7236579377</v>
          </cell>
          <cell r="AV189">
            <v>7019760.0610418627</v>
          </cell>
          <cell r="AW189">
            <v>7980210.0077799493</v>
          </cell>
          <cell r="AX189">
            <v>9962842.5075216331</v>
          </cell>
          <cell r="AY189">
            <v>13950782.76856686</v>
          </cell>
          <cell r="AZ189">
            <v>23597370.597603306</v>
          </cell>
          <cell r="BA189">
            <v>27009631.744182646</v>
          </cell>
          <cell r="BB189">
            <v>27009631.744182646</v>
          </cell>
        </row>
        <row r="190">
          <cell r="A190" t="str">
            <v>ytd</v>
          </cell>
          <cell r="B190">
            <v>127848.24558424982</v>
          </cell>
          <cell r="C190">
            <v>261765.78520853227</v>
          </cell>
          <cell r="D190">
            <v>398341.28246969869</v>
          </cell>
          <cell r="E190">
            <v>538762.14027865801</v>
          </cell>
          <cell r="F190">
            <v>698734.15689147438</v>
          </cell>
          <cell r="G190">
            <v>950743.13069299492</v>
          </cell>
          <cell r="H190">
            <v>1127459.0833689221</v>
          </cell>
          <cell r="I190">
            <v>1312433.3014169035</v>
          </cell>
          <cell r="J190">
            <v>1721941.5627623494</v>
          </cell>
          <cell r="K190">
            <v>1984258.2483825441</v>
          </cell>
          <cell r="L190">
            <v>2215639.2666026624</v>
          </cell>
          <cell r="M190">
            <v>2441314.9885489973</v>
          </cell>
          <cell r="N190">
            <v>2658368.8100526598</v>
          </cell>
          <cell r="O190">
            <v>2912309.3983731586</v>
          </cell>
          <cell r="P190">
            <v>3113025.8962978399</v>
          </cell>
          <cell r="Q190">
            <v>3317903.8753041713</v>
          </cell>
          <cell r="R190">
            <v>3560416.4355098619</v>
          </cell>
          <cell r="S190">
            <v>3900395.0912894537</v>
          </cell>
          <cell r="T190">
            <v>4200077.8408044791</v>
          </cell>
          <cell r="U190">
            <v>4522713.6326445732</v>
          </cell>
          <cell r="V190">
            <v>4852146.6929794829</v>
          </cell>
          <cell r="W190">
            <v>5147978.5179265961</v>
          </cell>
          <cell r="X190">
            <v>5482848.8202369735</v>
          </cell>
          <cell r="Y190">
            <v>5878526.9518007515</v>
          </cell>
          <cell r="Z190">
            <v>6179247.0475443155</v>
          </cell>
          <cell r="AA190">
            <v>6488474.9497899469</v>
          </cell>
          <cell r="AB190">
            <v>6790063.7103206515</v>
          </cell>
          <cell r="AC190">
            <v>7081289.7192249391</v>
          </cell>
          <cell r="AD190">
            <v>7391396.4874838935</v>
          </cell>
          <cell r="AE190">
            <v>7681468.7309761541</v>
          </cell>
          <cell r="AF190">
            <v>7950804.8958084742</v>
          </cell>
          <cell r="AG190">
            <v>8212584.0976402452</v>
          </cell>
          <cell r="AH190">
            <v>8537377.8080116287</v>
          </cell>
          <cell r="AI190">
            <v>8867119.6774211992</v>
          </cell>
          <cell r="AJ190">
            <v>9184702.5911979191</v>
          </cell>
          <cell r="AK190">
            <v>9611689.0219004545</v>
          </cell>
          <cell r="AL190">
            <v>10171353.571609523</v>
          </cell>
          <cell r="AM190">
            <v>10688793.389101658</v>
          </cell>
          <cell r="AN190">
            <v>11197836.049597615</v>
          </cell>
          <cell r="AO190">
            <v>11725914.507281255</v>
          </cell>
          <cell r="AP190">
            <v>12233064.670020927</v>
          </cell>
          <cell r="AQ190">
            <v>12709571.365593128</v>
          </cell>
          <cell r="AR190">
            <v>13191784.232428757</v>
          </cell>
          <cell r="AS190">
            <v>13733763.150946293</v>
          </cell>
          <cell r="AT190">
            <v>14498685.848493662</v>
          </cell>
          <cell r="AU190">
            <v>15680135.745558389</v>
          </cell>
          <cell r="AV190">
            <v>16631449.082942313</v>
          </cell>
          <cell r="AW190">
            <v>17591899.029680401</v>
          </cell>
          <cell r="AX190">
            <v>19574531.529422086</v>
          </cell>
          <cell r="AY190">
            <v>23562471.790467311</v>
          </cell>
          <cell r="AZ190">
            <v>33209059.619503755</v>
          </cell>
          <cell r="BA190">
            <v>36621320.766083099</v>
          </cell>
          <cell r="BB190">
            <v>36621320.766083099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245663.28415295022</v>
          </cell>
          <cell r="C235">
            <v>201575.13619479589</v>
          </cell>
          <cell r="D235">
            <v>168893.80324668801</v>
          </cell>
          <cell r="E235">
            <v>173800.52342271665</v>
          </cell>
          <cell r="F235">
            <v>192145.36264153221</v>
          </cell>
          <cell r="G235">
            <v>238650.43544830754</v>
          </cell>
          <cell r="H235">
            <v>306519.26260681386</v>
          </cell>
          <cell r="I235">
            <v>241871.23735249715</v>
          </cell>
          <cell r="J235">
            <v>232108.53470000246</v>
          </cell>
          <cell r="K235">
            <v>258395.71463337771</v>
          </cell>
          <cell r="L235">
            <v>303304.8210339623</v>
          </cell>
          <cell r="M235">
            <v>327115.77823940461</v>
          </cell>
          <cell r="N235">
            <v>340396.98477318272</v>
          </cell>
          <cell r="O235">
            <v>308876.88983180589</v>
          </cell>
          <cell r="P235">
            <v>524100.3458738646</v>
          </cell>
          <cell r="Q235">
            <v>283252.95296037692</v>
          </cell>
          <cell r="R235">
            <v>399091.44418773998</v>
          </cell>
          <cell r="S235">
            <v>389360.55209859117</v>
          </cell>
          <cell r="T235">
            <v>939373.67069711583</v>
          </cell>
          <cell r="U235">
            <v>449776.41025148385</v>
          </cell>
          <cell r="V235">
            <v>426135.23029352655</v>
          </cell>
          <cell r="W235">
            <v>481473.83259401005</v>
          </cell>
          <cell r="X235">
            <v>789795.46059143345</v>
          </cell>
          <cell r="Y235">
            <v>526882.71772153443</v>
          </cell>
          <cell r="Z235">
            <v>930170.3073870294</v>
          </cell>
          <cell r="AA235">
            <v>701834.46745662356</v>
          </cell>
          <cell r="AB235">
            <v>918750.1374522713</v>
          </cell>
          <cell r="AC235">
            <v>579202.33446028107</v>
          </cell>
          <cell r="AD235">
            <v>712148.98126686492</v>
          </cell>
          <cell r="AE235">
            <v>709498.88526742544</v>
          </cell>
          <cell r="AF235">
            <v>918261.8871535206</v>
          </cell>
          <cell r="AG235">
            <v>769651.41186151141</v>
          </cell>
          <cell r="AH235">
            <v>807373.93468053336</v>
          </cell>
          <cell r="AI235">
            <v>882052.42464592797</v>
          </cell>
          <cell r="AJ235">
            <v>1110735.6058759477</v>
          </cell>
          <cell r="AK235">
            <v>940291.18988308858</v>
          </cell>
          <cell r="AL235">
            <v>866736.89657503937</v>
          </cell>
          <cell r="AM235">
            <v>754686.12654506753</v>
          </cell>
          <cell r="AN235">
            <v>1096863.061007862</v>
          </cell>
          <cell r="AO235">
            <v>724045.14399063587</v>
          </cell>
          <cell r="AP235">
            <v>728228.06823593227</v>
          </cell>
          <cell r="AQ235">
            <v>786735.46264590858</v>
          </cell>
          <cell r="AR235">
            <v>1021496.5960665179</v>
          </cell>
          <cell r="AS235">
            <v>867136.94290001201</v>
          </cell>
          <cell r="AT235">
            <v>997192.77680152864</v>
          </cell>
          <cell r="AU235">
            <v>1047164.738161277</v>
          </cell>
          <cell r="AV235">
            <v>1562193.2697582687</v>
          </cell>
          <cell r="AW235">
            <v>1541192.3531597767</v>
          </cell>
          <cell r="AX235">
            <v>2196046.8499920825</v>
          </cell>
          <cell r="AY235">
            <v>6354247.3541346937</v>
          </cell>
          <cell r="AZ235">
            <v>13879682.939608296</v>
          </cell>
          <cell r="BA235">
            <v>7926242.1954726391</v>
          </cell>
        </row>
        <row r="236">
          <cell r="A236" t="str">
            <v>ptd</v>
          </cell>
          <cell r="B236">
            <v>245663.28415295022</v>
          </cell>
          <cell r="C236">
            <v>447238.42034774611</v>
          </cell>
          <cell r="D236">
            <v>616132.22359443409</v>
          </cell>
          <cell r="E236">
            <v>789932.74701715074</v>
          </cell>
          <cell r="F236">
            <v>192145.36264153221</v>
          </cell>
          <cell r="G236">
            <v>430795.79808983975</v>
          </cell>
          <cell r="H236">
            <v>737315.06069665356</v>
          </cell>
          <cell r="I236">
            <v>979186.29804915073</v>
          </cell>
          <cell r="J236">
            <v>232108.53470000246</v>
          </cell>
          <cell r="K236">
            <v>490504.24933338014</v>
          </cell>
          <cell r="L236">
            <v>793809.07036734244</v>
          </cell>
          <cell r="M236">
            <v>1120924.8486067471</v>
          </cell>
          <cell r="N236">
            <v>340396.98477318272</v>
          </cell>
          <cell r="O236">
            <v>649273.87460498861</v>
          </cell>
          <cell r="P236">
            <v>1173374.2204788532</v>
          </cell>
          <cell r="Q236">
            <v>1456627.1734392301</v>
          </cell>
          <cell r="R236">
            <v>399091.44418773998</v>
          </cell>
          <cell r="S236">
            <v>788451.99628633121</v>
          </cell>
          <cell r="T236">
            <v>1727825.666983447</v>
          </cell>
          <cell r="U236">
            <v>2177602.0772349308</v>
          </cell>
          <cell r="V236">
            <v>426135.23029352655</v>
          </cell>
          <cell r="W236">
            <v>907609.06288753659</v>
          </cell>
          <cell r="X236">
            <v>1697404.5234789699</v>
          </cell>
          <cell r="Y236">
            <v>2224287.2412005044</v>
          </cell>
          <cell r="Z236">
            <v>930170.3073870294</v>
          </cell>
          <cell r="AA236">
            <v>1632004.774843653</v>
          </cell>
          <cell r="AB236">
            <v>2550754.9122959245</v>
          </cell>
          <cell r="AC236">
            <v>3129957.2467562053</v>
          </cell>
          <cell r="AD236">
            <v>712148.98126686492</v>
          </cell>
          <cell r="AE236">
            <v>1421647.8665342904</v>
          </cell>
          <cell r="AF236">
            <v>2339909.7536878111</v>
          </cell>
          <cell r="AG236">
            <v>3109561.1655493225</v>
          </cell>
          <cell r="AH236">
            <v>807373.93468053336</v>
          </cell>
          <cell r="AI236">
            <v>1689426.3593264613</v>
          </cell>
          <cell r="AJ236">
            <v>2800161.9652024088</v>
          </cell>
          <cell r="AK236">
            <v>3740453.1550854975</v>
          </cell>
          <cell r="AL236">
            <v>866736.89657503937</v>
          </cell>
          <cell r="AM236">
            <v>1621423.0231201069</v>
          </cell>
          <cell r="AN236">
            <v>2718286.0841279691</v>
          </cell>
          <cell r="AO236">
            <v>3442331.228118605</v>
          </cell>
          <cell r="AP236">
            <v>728228.06823593227</v>
          </cell>
          <cell r="AQ236">
            <v>1514963.5308818407</v>
          </cell>
          <cell r="AR236">
            <v>2536460.1269483585</v>
          </cell>
          <cell r="AS236">
            <v>3403597.0698483707</v>
          </cell>
          <cell r="AT236">
            <v>997192.77680152864</v>
          </cell>
          <cell r="AU236">
            <v>2044357.5149628057</v>
          </cell>
          <cell r="AV236">
            <v>3606550.7847210746</v>
          </cell>
          <cell r="AW236">
            <v>5147743.1378808515</v>
          </cell>
          <cell r="AX236">
            <v>2196046.8499920825</v>
          </cell>
          <cell r="AY236">
            <v>8550294.2041267753</v>
          </cell>
          <cell r="AZ236">
            <v>22429977.143735074</v>
          </cell>
          <cell r="BA236">
            <v>30356219.339207713</v>
          </cell>
          <cell r="BB236">
            <v>30356219.339207713</v>
          </cell>
        </row>
        <row r="237">
          <cell r="A237" t="str">
            <v>qtd</v>
          </cell>
          <cell r="B237">
            <v>245663.28415295022</v>
          </cell>
          <cell r="C237">
            <v>447238.42034774611</v>
          </cell>
          <cell r="D237">
            <v>616132.22359443409</v>
          </cell>
          <cell r="E237">
            <v>789932.74701715074</v>
          </cell>
          <cell r="F237">
            <v>982078.10965868295</v>
          </cell>
          <cell r="G237">
            <v>1220728.5451069905</v>
          </cell>
          <cell r="H237">
            <v>1527247.8077138043</v>
          </cell>
          <cell r="I237">
            <v>1769119.0450663015</v>
          </cell>
          <cell r="J237">
            <v>2001227.579766304</v>
          </cell>
          <cell r="K237">
            <v>2259623.2943996815</v>
          </cell>
          <cell r="L237">
            <v>2562928.1154336436</v>
          </cell>
          <cell r="M237">
            <v>2890043.8936730484</v>
          </cell>
          <cell r="N237">
            <v>340396.98477318272</v>
          </cell>
          <cell r="O237">
            <v>649273.87460498861</v>
          </cell>
          <cell r="P237">
            <v>1173374.2204788532</v>
          </cell>
          <cell r="Q237">
            <v>1456627.1734392301</v>
          </cell>
          <cell r="R237">
            <v>1855718.6176269702</v>
          </cell>
          <cell r="S237">
            <v>2245079.1697255615</v>
          </cell>
          <cell r="T237">
            <v>3184452.8404226773</v>
          </cell>
          <cell r="U237">
            <v>3634229.2506741611</v>
          </cell>
          <cell r="V237">
            <v>4060364.4809676874</v>
          </cell>
          <cell r="W237">
            <v>4541838.3135616975</v>
          </cell>
          <cell r="X237">
            <v>5331633.7741531311</v>
          </cell>
          <cell r="Y237">
            <v>5858516.491874665</v>
          </cell>
          <cell r="Z237">
            <v>930170.3073870294</v>
          </cell>
          <cell r="AA237">
            <v>1632004.774843653</v>
          </cell>
          <cell r="AB237">
            <v>2550754.9122959245</v>
          </cell>
          <cell r="AC237">
            <v>3129957.2467562053</v>
          </cell>
          <cell r="AD237">
            <v>3842106.2280230704</v>
          </cell>
          <cell r="AE237">
            <v>4551605.1132904962</v>
          </cell>
          <cell r="AF237">
            <v>5469867.0004440164</v>
          </cell>
          <cell r="AG237">
            <v>6239518.4123055283</v>
          </cell>
          <cell r="AH237">
            <v>7046892.3469860619</v>
          </cell>
          <cell r="AI237">
            <v>7928944.7716319896</v>
          </cell>
          <cell r="AJ237">
            <v>9039680.3775079381</v>
          </cell>
          <cell r="AK237">
            <v>9979971.5673910268</v>
          </cell>
          <cell r="AL237">
            <v>866736.89657503937</v>
          </cell>
          <cell r="AM237">
            <v>1621423.0231201069</v>
          </cell>
          <cell r="AN237">
            <v>2718286.0841279691</v>
          </cell>
          <cell r="AO237">
            <v>3442331.228118605</v>
          </cell>
          <cell r="AP237">
            <v>4170559.2963545374</v>
          </cell>
          <cell r="AQ237">
            <v>4957294.7590004457</v>
          </cell>
          <cell r="AR237">
            <v>5978791.3550669635</v>
          </cell>
          <cell r="AS237">
            <v>6845928.2979669757</v>
          </cell>
          <cell r="AT237">
            <v>7843121.0747685041</v>
          </cell>
          <cell r="AU237">
            <v>8890285.8129297812</v>
          </cell>
          <cell r="AV237">
            <v>10452479.08268805</v>
          </cell>
          <cell r="AW237">
            <v>11993671.435847826</v>
          </cell>
          <cell r="AX237">
            <v>14189718.285839908</v>
          </cell>
          <cell r="AY237">
            <v>20543965.639974602</v>
          </cell>
          <cell r="AZ237">
            <v>34423648.5795829</v>
          </cell>
          <cell r="BA237">
            <v>42349890.775055543</v>
          </cell>
          <cell r="BB237">
            <v>42349890.775055543</v>
          </cell>
        </row>
        <row r="238">
          <cell r="A238" t="str">
            <v>ytd</v>
          </cell>
          <cell r="B238">
            <v>245663.28415295022</v>
          </cell>
          <cell r="C238">
            <v>447238.42034774611</v>
          </cell>
          <cell r="D238">
            <v>616132.22359443409</v>
          </cell>
          <cell r="E238">
            <v>789932.74701715074</v>
          </cell>
          <cell r="F238">
            <v>982078.10965868295</v>
          </cell>
          <cell r="G238">
            <v>1220728.5451069905</v>
          </cell>
          <cell r="H238">
            <v>1527247.8077138043</v>
          </cell>
          <cell r="I238">
            <v>1769119.0450663015</v>
          </cell>
          <cell r="J238">
            <v>2001227.579766304</v>
          </cell>
          <cell r="K238">
            <v>2259623.2943996815</v>
          </cell>
          <cell r="L238">
            <v>2562928.1154336436</v>
          </cell>
          <cell r="M238">
            <v>2890043.8936730484</v>
          </cell>
          <cell r="N238">
            <v>3230440.8784462311</v>
          </cell>
          <cell r="O238">
            <v>3539317.7682780372</v>
          </cell>
          <cell r="P238">
            <v>4063418.1141519016</v>
          </cell>
          <cell r="Q238">
            <v>4346671.0671122782</v>
          </cell>
          <cell r="R238">
            <v>4745762.5113000181</v>
          </cell>
          <cell r="S238">
            <v>5135123.0633986089</v>
          </cell>
          <cell r="T238">
            <v>6074496.7340957243</v>
          </cell>
          <cell r="U238">
            <v>6524273.1443472086</v>
          </cell>
          <cell r="V238">
            <v>6950408.3746407349</v>
          </cell>
          <cell r="W238">
            <v>7431882.2072347449</v>
          </cell>
          <cell r="X238">
            <v>8221677.6678261785</v>
          </cell>
          <cell r="Y238">
            <v>8748560.3855477124</v>
          </cell>
          <cell r="Z238">
            <v>9678730.6929347422</v>
          </cell>
          <cell r="AA238">
            <v>10380565.160391366</v>
          </cell>
          <cell r="AB238">
            <v>11299315.297843637</v>
          </cell>
          <cell r="AC238">
            <v>11878517.632303918</v>
          </cell>
          <cell r="AD238">
            <v>12590666.613570783</v>
          </cell>
          <cell r="AE238">
            <v>13300165.498838209</v>
          </cell>
          <cell r="AF238">
            <v>14218427.38599173</v>
          </cell>
          <cell r="AG238">
            <v>14988078.797853241</v>
          </cell>
          <cell r="AH238">
            <v>15795452.732533773</v>
          </cell>
          <cell r="AI238">
            <v>16677505.157179702</v>
          </cell>
          <cell r="AJ238">
            <v>17788240.763055649</v>
          </cell>
          <cell r="AK238">
            <v>18728531.952938735</v>
          </cell>
          <cell r="AL238">
            <v>19595268.849513777</v>
          </cell>
          <cell r="AM238">
            <v>20349954.976058844</v>
          </cell>
          <cell r="AN238">
            <v>21446818.037066706</v>
          </cell>
          <cell r="AO238">
            <v>22170863.181057341</v>
          </cell>
          <cell r="AP238">
            <v>22899091.249293275</v>
          </cell>
          <cell r="AQ238">
            <v>23685826.711939182</v>
          </cell>
          <cell r="AR238">
            <v>24707323.308005702</v>
          </cell>
          <cell r="AS238">
            <v>25574460.250905715</v>
          </cell>
          <cell r="AT238">
            <v>26571653.027707245</v>
          </cell>
          <cell r="AU238">
            <v>27618817.765868522</v>
          </cell>
          <cell r="AV238">
            <v>29181011.035626791</v>
          </cell>
          <cell r="AW238">
            <v>30722203.388786569</v>
          </cell>
          <cell r="AX238">
            <v>32918250.238778651</v>
          </cell>
          <cell r="AY238">
            <v>39272497.592913345</v>
          </cell>
          <cell r="AZ238">
            <v>53152180.532521643</v>
          </cell>
          <cell r="BA238">
            <v>61078422.727994278</v>
          </cell>
          <cell r="BB238">
            <v>61078422.727994278</v>
          </cell>
        </row>
        <row r="239">
          <cell r="A239" t="str">
            <v>PRED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154720.79713068012</v>
          </cell>
          <cell r="C243">
            <v>194076.84950012006</v>
          </cell>
          <cell r="D243">
            <v>159404.85582144535</v>
          </cell>
          <cell r="E243">
            <v>149502.11481078033</v>
          </cell>
          <cell r="F243">
            <v>157153.92663946532</v>
          </cell>
          <cell r="G243">
            <v>185682.57531584427</v>
          </cell>
          <cell r="H243">
            <v>188768.6739429161</v>
          </cell>
          <cell r="I243">
            <v>211296.47624476557</v>
          </cell>
          <cell r="J243">
            <v>238149.14702353126</v>
          </cell>
          <cell r="K243">
            <v>210731.20380673878</v>
          </cell>
          <cell r="L243">
            <v>219586.36288588771</v>
          </cell>
          <cell r="M243">
            <v>215193.77207656688</v>
          </cell>
          <cell r="N243">
            <v>204712.36010071111</v>
          </cell>
          <cell r="O243">
            <v>248840.97217742488</v>
          </cell>
          <cell r="P243">
            <v>381060.71057272906</v>
          </cell>
          <cell r="Q243">
            <v>236084.7732420814</v>
          </cell>
          <cell r="R243">
            <v>233549.93045153303</v>
          </cell>
          <cell r="S243">
            <v>262326.9108381492</v>
          </cell>
          <cell r="T243">
            <v>526431.45383458154</v>
          </cell>
          <cell r="U243">
            <v>269050.53767320147</v>
          </cell>
          <cell r="V243">
            <v>276884.43476350082</v>
          </cell>
          <cell r="W243">
            <v>317415.85557531728</v>
          </cell>
          <cell r="X243">
            <v>517760.7666833176</v>
          </cell>
          <cell r="Y243">
            <v>297742.64924462658</v>
          </cell>
          <cell r="Z243">
            <v>292101.68369073502</v>
          </cell>
          <cell r="AA243">
            <v>315823.33229754213</v>
          </cell>
          <cell r="AB243">
            <v>434700.49109763309</v>
          </cell>
          <cell r="AC243">
            <v>278535.47674899263</v>
          </cell>
          <cell r="AD243">
            <v>300999.86572017084</v>
          </cell>
          <cell r="AE243">
            <v>305456.05871833168</v>
          </cell>
          <cell r="AF243">
            <v>455345.24640894803</v>
          </cell>
          <cell r="AG243">
            <v>326443.78699144215</v>
          </cell>
          <cell r="AH243">
            <v>323558.26213760918</v>
          </cell>
          <cell r="AI243">
            <v>306701.82005658146</v>
          </cell>
          <cell r="AJ243">
            <v>438827.54680469196</v>
          </cell>
          <cell r="AK243">
            <v>459931.74923913722</v>
          </cell>
          <cell r="AL243">
            <v>395232.35020936327</v>
          </cell>
          <cell r="AM243">
            <v>397157.11748269503</v>
          </cell>
          <cell r="AN243">
            <v>539646.52210908139</v>
          </cell>
          <cell r="AO243">
            <v>410264.89457456023</v>
          </cell>
          <cell r="AP243">
            <v>393455.42454822944</v>
          </cell>
          <cell r="AQ243">
            <v>451111.32652237179</v>
          </cell>
          <cell r="AR243">
            <v>543155.62064246926</v>
          </cell>
          <cell r="AS243">
            <v>438575.82569392247</v>
          </cell>
          <cell r="AT243">
            <v>458353.46208171669</v>
          </cell>
          <cell r="AU243">
            <v>535624.63778714545</v>
          </cell>
          <cell r="AV243">
            <v>806870.74540192913</v>
          </cell>
          <cell r="AW243">
            <v>767904.30411063822</v>
          </cell>
          <cell r="AX243">
            <v>1188927.9411876951</v>
          </cell>
          <cell r="AY243">
            <v>3343911.383085629</v>
          </cell>
          <cell r="AZ243">
            <v>6470094.3485014029</v>
          </cell>
          <cell r="BA243">
            <v>2647671.2139579616</v>
          </cell>
        </row>
        <row r="244">
          <cell r="A244" t="str">
            <v>ptd</v>
          </cell>
          <cell r="B244">
            <v>154720.79713068012</v>
          </cell>
          <cell r="C244">
            <v>348797.64663080021</v>
          </cell>
          <cell r="D244">
            <v>508202.50245224556</v>
          </cell>
          <cell r="E244">
            <v>657704.61726302584</v>
          </cell>
          <cell r="F244">
            <v>157153.92663946532</v>
          </cell>
          <cell r="G244">
            <v>342836.50195530959</v>
          </cell>
          <cell r="H244">
            <v>531605.17589822575</v>
          </cell>
          <cell r="I244">
            <v>742901.65214299131</v>
          </cell>
          <cell r="J244">
            <v>238149.14702353126</v>
          </cell>
          <cell r="K244">
            <v>448880.35083027004</v>
          </cell>
          <cell r="L244">
            <v>668466.71371615771</v>
          </cell>
          <cell r="M244">
            <v>883660.48579272465</v>
          </cell>
          <cell r="N244">
            <v>204712.36010071111</v>
          </cell>
          <cell r="O244">
            <v>453553.33227813599</v>
          </cell>
          <cell r="P244">
            <v>834614.04285086505</v>
          </cell>
          <cell r="Q244">
            <v>1070698.8160929466</v>
          </cell>
          <cell r="R244">
            <v>233549.93045153303</v>
          </cell>
          <cell r="S244">
            <v>495876.8412896822</v>
          </cell>
          <cell r="T244">
            <v>1022308.2951242637</v>
          </cell>
          <cell r="U244">
            <v>1291358.8327974651</v>
          </cell>
          <cell r="V244">
            <v>276884.43476350082</v>
          </cell>
          <cell r="W244">
            <v>594300.2903388181</v>
          </cell>
          <cell r="X244">
            <v>1112061.0570221357</v>
          </cell>
          <cell r="Y244">
            <v>1409803.7062667622</v>
          </cell>
          <cell r="Z244">
            <v>292101.68369073502</v>
          </cell>
          <cell r="AA244">
            <v>607925.01598827715</v>
          </cell>
          <cell r="AB244">
            <v>1042625.5070859103</v>
          </cell>
          <cell r="AC244">
            <v>1321160.983834903</v>
          </cell>
          <cell r="AD244">
            <v>300999.86572017084</v>
          </cell>
          <cell r="AE244">
            <v>606455.92443850252</v>
          </cell>
          <cell r="AF244">
            <v>1061801.1708474506</v>
          </cell>
          <cell r="AG244">
            <v>1388244.9578388927</v>
          </cell>
          <cell r="AH244">
            <v>323558.26213760918</v>
          </cell>
          <cell r="AI244">
            <v>630260.08219419071</v>
          </cell>
          <cell r="AJ244">
            <v>1069087.6289988826</v>
          </cell>
          <cell r="AK244">
            <v>1529019.3782380198</v>
          </cell>
          <cell r="AL244">
            <v>395232.35020936327</v>
          </cell>
          <cell r="AM244">
            <v>792389.4676920583</v>
          </cell>
          <cell r="AN244">
            <v>1332035.9898011396</v>
          </cell>
          <cell r="AO244">
            <v>1742300.8843756998</v>
          </cell>
          <cell r="AP244">
            <v>393455.42454822944</v>
          </cell>
          <cell r="AQ244">
            <v>844566.75107060117</v>
          </cell>
          <cell r="AR244">
            <v>1387722.3717130704</v>
          </cell>
          <cell r="AS244">
            <v>1826298.1974069928</v>
          </cell>
          <cell r="AT244">
            <v>458353.46208171669</v>
          </cell>
          <cell r="AU244">
            <v>993978.09986886219</v>
          </cell>
          <cell r="AV244">
            <v>1800848.8452707913</v>
          </cell>
          <cell r="AW244">
            <v>2568753.1493814294</v>
          </cell>
          <cell r="AX244">
            <v>1188927.9411876951</v>
          </cell>
          <cell r="AY244">
            <v>4532839.3242733236</v>
          </cell>
          <cell r="AZ244">
            <v>11002933.672774727</v>
          </cell>
          <cell r="BA244">
            <v>13650604.886732688</v>
          </cell>
          <cell r="BB244">
            <v>13650604.886732688</v>
          </cell>
        </row>
        <row r="245">
          <cell r="A245" t="str">
            <v>qtd</v>
          </cell>
          <cell r="B245">
            <v>154720.79713068012</v>
          </cell>
          <cell r="C245">
            <v>348797.64663080021</v>
          </cell>
          <cell r="D245">
            <v>508202.50245224556</v>
          </cell>
          <cell r="E245">
            <v>657704.61726302584</v>
          </cell>
          <cell r="F245">
            <v>814858.54390249122</v>
          </cell>
          <cell r="G245">
            <v>1000541.1192183355</v>
          </cell>
          <cell r="H245">
            <v>1189309.7931612516</v>
          </cell>
          <cell r="I245">
            <v>1400606.2694060171</v>
          </cell>
          <cell r="J245">
            <v>1638755.4164295485</v>
          </cell>
          <cell r="K245">
            <v>1849486.6202362874</v>
          </cell>
          <cell r="L245">
            <v>2069072.9831221751</v>
          </cell>
          <cell r="M245">
            <v>2284266.7551987418</v>
          </cell>
          <cell r="N245">
            <v>204712.36010071111</v>
          </cell>
          <cell r="O245">
            <v>453553.33227813599</v>
          </cell>
          <cell r="P245">
            <v>834614.04285086505</v>
          </cell>
          <cell r="Q245">
            <v>1070698.8160929466</v>
          </cell>
          <cell r="R245">
            <v>1304248.7465444796</v>
          </cell>
          <cell r="S245">
            <v>1566575.6573826289</v>
          </cell>
          <cell r="T245">
            <v>2093007.1112172105</v>
          </cell>
          <cell r="U245">
            <v>2362057.6488904119</v>
          </cell>
          <cell r="V245">
            <v>2638942.0836539129</v>
          </cell>
          <cell r="W245">
            <v>2956357.9392292304</v>
          </cell>
          <cell r="X245">
            <v>3474118.7059125481</v>
          </cell>
          <cell r="Y245">
            <v>3771861.3551571746</v>
          </cell>
          <cell r="Z245">
            <v>292101.68369073502</v>
          </cell>
          <cell r="AA245">
            <v>607925.01598827715</v>
          </cell>
          <cell r="AB245">
            <v>1042625.5070859103</v>
          </cell>
          <cell r="AC245">
            <v>1321160.983834903</v>
          </cell>
          <cell r="AD245">
            <v>1622160.8495550738</v>
          </cell>
          <cell r="AE245">
            <v>1927616.9082734054</v>
          </cell>
          <cell r="AF245">
            <v>2382962.1546823536</v>
          </cell>
          <cell r="AG245">
            <v>2709405.9416737957</v>
          </cell>
          <cell r="AH245">
            <v>3032964.2038114048</v>
          </cell>
          <cell r="AI245">
            <v>3339666.0238679862</v>
          </cell>
          <cell r="AJ245">
            <v>3778493.5706726783</v>
          </cell>
          <cell r="AK245">
            <v>4238425.3199118152</v>
          </cell>
          <cell r="AL245">
            <v>395232.35020936327</v>
          </cell>
          <cell r="AM245">
            <v>792389.4676920583</v>
          </cell>
          <cell r="AN245">
            <v>1332035.9898011396</v>
          </cell>
          <cell r="AO245">
            <v>1742300.8843756998</v>
          </cell>
          <cell r="AP245">
            <v>2135756.308923929</v>
          </cell>
          <cell r="AQ245">
            <v>2586867.6354463007</v>
          </cell>
          <cell r="AR245">
            <v>3130023.25608877</v>
          </cell>
          <cell r="AS245">
            <v>3568599.0817826926</v>
          </cell>
          <cell r="AT245">
            <v>4026952.5438644094</v>
          </cell>
          <cell r="AU245">
            <v>4562577.181651555</v>
          </cell>
          <cell r="AV245">
            <v>5369447.9270534841</v>
          </cell>
          <cell r="AW245">
            <v>6137352.231164122</v>
          </cell>
          <cell r="AX245">
            <v>7326280.1723518167</v>
          </cell>
          <cell r="AY245">
            <v>10670191.555437446</v>
          </cell>
          <cell r="AZ245">
            <v>17140285.903938849</v>
          </cell>
          <cell r="BA245">
            <v>19787957.11789681</v>
          </cell>
          <cell r="BB245">
            <v>19787957.11789681</v>
          </cell>
        </row>
        <row r="246">
          <cell r="A246" t="str">
            <v>ytd</v>
          </cell>
          <cell r="B246">
            <v>154720.79713068012</v>
          </cell>
          <cell r="C246">
            <v>348797.64663080021</v>
          </cell>
          <cell r="D246">
            <v>508202.50245224556</v>
          </cell>
          <cell r="E246">
            <v>657704.61726302584</v>
          </cell>
          <cell r="F246">
            <v>814858.54390249122</v>
          </cell>
          <cell r="G246">
            <v>1000541.1192183355</v>
          </cell>
          <cell r="H246">
            <v>1189309.7931612516</v>
          </cell>
          <cell r="I246">
            <v>1400606.2694060171</v>
          </cell>
          <cell r="J246">
            <v>1638755.4164295485</v>
          </cell>
          <cell r="K246">
            <v>1849486.6202362874</v>
          </cell>
          <cell r="L246">
            <v>2069072.9831221751</v>
          </cell>
          <cell r="M246">
            <v>2284266.7551987418</v>
          </cell>
          <cell r="N246">
            <v>2488979.115299453</v>
          </cell>
          <cell r="O246">
            <v>2737820.087476878</v>
          </cell>
          <cell r="P246">
            <v>3118880.7980496068</v>
          </cell>
          <cell r="Q246">
            <v>3354965.5712916884</v>
          </cell>
          <cell r="R246">
            <v>3588515.5017432212</v>
          </cell>
          <cell r="S246">
            <v>3850842.4125813702</v>
          </cell>
          <cell r="T246">
            <v>4377273.8664159514</v>
          </cell>
          <cell r="U246">
            <v>4646324.4040891528</v>
          </cell>
          <cell r="V246">
            <v>4923208.8388526533</v>
          </cell>
          <cell r="W246">
            <v>5240624.6944279708</v>
          </cell>
          <cell r="X246">
            <v>5758385.4611112885</v>
          </cell>
          <cell r="Y246">
            <v>6056128.1103559155</v>
          </cell>
          <cell r="Z246">
            <v>6348229.7940466506</v>
          </cell>
          <cell r="AA246">
            <v>6664053.1263441928</v>
          </cell>
          <cell r="AB246">
            <v>7098753.6174418256</v>
          </cell>
          <cell r="AC246">
            <v>7377289.0941908183</v>
          </cell>
          <cell r="AD246">
            <v>7678288.9599109888</v>
          </cell>
          <cell r="AE246">
            <v>7983745.0186293209</v>
          </cell>
          <cell r="AF246">
            <v>8439090.2650382686</v>
          </cell>
          <cell r="AG246">
            <v>8765534.0520297103</v>
          </cell>
          <cell r="AH246">
            <v>9089092.3141673189</v>
          </cell>
          <cell r="AI246">
            <v>9395794.1342239007</v>
          </cell>
          <cell r="AJ246">
            <v>9834621.6810285933</v>
          </cell>
          <cell r="AK246">
            <v>10294553.430267731</v>
          </cell>
          <cell r="AL246">
            <v>10689785.780477094</v>
          </cell>
          <cell r="AM246">
            <v>11086942.897959789</v>
          </cell>
          <cell r="AN246">
            <v>11626589.420068871</v>
          </cell>
          <cell r="AO246">
            <v>12036854.314643431</v>
          </cell>
          <cell r="AP246">
            <v>12430309.739191661</v>
          </cell>
          <cell r="AQ246">
            <v>12881421.065714033</v>
          </cell>
          <cell r="AR246">
            <v>13424576.686356504</v>
          </cell>
          <cell r="AS246">
            <v>13863152.512050426</v>
          </cell>
          <cell r="AT246">
            <v>14321505.974132143</v>
          </cell>
          <cell r="AU246">
            <v>14857130.611919288</v>
          </cell>
          <cell r="AV246">
            <v>15664001.357321218</v>
          </cell>
          <cell r="AW246">
            <v>16431905.661431856</v>
          </cell>
          <cell r="AX246">
            <v>17620833.602619551</v>
          </cell>
          <cell r="AY246">
            <v>20964744.985705182</v>
          </cell>
          <cell r="AZ246">
            <v>27434839.334206585</v>
          </cell>
          <cell r="BA246">
            <v>30082510.548164546</v>
          </cell>
          <cell r="BB246">
            <v>30082510.548164546</v>
          </cell>
        </row>
        <row r="247">
          <cell r="A247" t="str">
            <v>SPRT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1543.1799429139271</v>
          </cell>
          <cell r="C251">
            <v>1433.9022166794803</v>
          </cell>
          <cell r="D251">
            <v>1434.9467462052555</v>
          </cell>
          <cell r="E251">
            <v>1383.4256396558824</v>
          </cell>
          <cell r="F251">
            <v>1550.9223592438057</v>
          </cell>
          <cell r="G251">
            <v>1537.8841203574043</v>
          </cell>
          <cell r="H251">
            <v>1510.0451459235105</v>
          </cell>
          <cell r="I251">
            <v>1440.1094134363184</v>
          </cell>
          <cell r="J251">
            <v>1115.606453769178</v>
          </cell>
          <cell r="K251">
            <v>1124.4604489607514</v>
          </cell>
          <cell r="L251">
            <v>1060.9088667654205</v>
          </cell>
          <cell r="M251">
            <v>1106.4917629721824</v>
          </cell>
          <cell r="N251">
            <v>1187.7713337169344</v>
          </cell>
          <cell r="O251">
            <v>1322.6031906416581</v>
          </cell>
          <cell r="P251">
            <v>1211.0094579418851</v>
          </cell>
          <cell r="Q251">
            <v>1197.4471865306909</v>
          </cell>
          <cell r="R251">
            <v>902.5343160458666</v>
          </cell>
          <cell r="S251">
            <v>1007.0924126382484</v>
          </cell>
          <cell r="T251">
            <v>998.11675212323166</v>
          </cell>
          <cell r="U251">
            <v>964.0097659459002</v>
          </cell>
          <cell r="V251">
            <v>898.95270102643963</v>
          </cell>
          <cell r="W251">
            <v>891.0407446599188</v>
          </cell>
          <cell r="X251">
            <v>986.50449172016988</v>
          </cell>
          <cell r="Y251">
            <v>924.80076389217299</v>
          </cell>
          <cell r="Z251">
            <v>621.97180743050001</v>
          </cell>
          <cell r="AA251">
            <v>638.714630218411</v>
          </cell>
          <cell r="AB251">
            <v>663.76946863034448</v>
          </cell>
          <cell r="AC251">
            <v>632.36227553892616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4765.2912284274498</v>
          </cell>
          <cell r="AM251">
            <v>4639.2951336171836</v>
          </cell>
          <cell r="AN251">
            <v>4448.14418016745</v>
          </cell>
          <cell r="AO251">
            <v>4977.5444282275575</v>
          </cell>
          <cell r="AP251">
            <v>4412.5939449272182</v>
          </cell>
          <cell r="AQ251">
            <v>4392.7689033429524</v>
          </cell>
          <cell r="AR251">
            <v>4358.8587109948612</v>
          </cell>
          <cell r="AS251">
            <v>4901.1040550353891</v>
          </cell>
          <cell r="AT251">
            <v>4649.3354283927856</v>
          </cell>
          <cell r="AU251">
            <v>4460.8592554117686</v>
          </cell>
          <cell r="AV251">
            <v>4670.1851265452433</v>
          </cell>
          <cell r="AW251">
            <v>4674.1296469892632</v>
          </cell>
          <cell r="AX251">
            <v>4891.2545998715532</v>
          </cell>
          <cell r="AY251">
            <v>4911.2698127264548</v>
          </cell>
          <cell r="AZ251">
            <v>8469.0895598498864</v>
          </cell>
          <cell r="BA251">
            <v>3381.0151944094746</v>
          </cell>
        </row>
        <row r="252">
          <cell r="A252" t="str">
            <v>ptd</v>
          </cell>
          <cell r="B252">
            <v>1543.1799429139271</v>
          </cell>
          <cell r="C252">
            <v>2977.0821595934076</v>
          </cell>
          <cell r="D252">
            <v>4412.0289057986629</v>
          </cell>
          <cell r="E252">
            <v>5795.454545454545</v>
          </cell>
          <cell r="F252">
            <v>1550.9223592438057</v>
          </cell>
          <cell r="G252">
            <v>3088.80647960121</v>
          </cell>
          <cell r="H252">
            <v>4598.8516255247205</v>
          </cell>
          <cell r="I252">
            <v>6038.9610389610389</v>
          </cell>
          <cell r="J252">
            <v>1115.606453769178</v>
          </cell>
          <cell r="K252">
            <v>2240.0669027299291</v>
          </cell>
          <cell r="L252">
            <v>3300.9757694953496</v>
          </cell>
          <cell r="M252">
            <v>4407.4675324675318</v>
          </cell>
          <cell r="N252">
            <v>1187.7713337169344</v>
          </cell>
          <cell r="O252">
            <v>2510.3745243585927</v>
          </cell>
          <cell r="P252">
            <v>3721.3839823004778</v>
          </cell>
          <cell r="Q252">
            <v>4918.8311688311687</v>
          </cell>
          <cell r="R252">
            <v>902.5343160458666</v>
          </cell>
          <cell r="S252">
            <v>1909.6267286841151</v>
          </cell>
          <cell r="T252">
            <v>2907.7434808073467</v>
          </cell>
          <cell r="U252">
            <v>3871.7532467532469</v>
          </cell>
          <cell r="V252">
            <v>898.95270102643963</v>
          </cell>
          <cell r="W252">
            <v>1789.9934456863584</v>
          </cell>
          <cell r="X252">
            <v>2776.4979374065283</v>
          </cell>
          <cell r="Y252">
            <v>3701.2987012987014</v>
          </cell>
          <cell r="Z252">
            <v>621.97180743050001</v>
          </cell>
          <cell r="AA252">
            <v>1260.6864376489111</v>
          </cell>
          <cell r="AB252">
            <v>1924.4559062792555</v>
          </cell>
          <cell r="AC252">
            <v>2556.8181818181815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4765.2912284274498</v>
          </cell>
          <cell r="AM252">
            <v>9404.5863620446326</v>
          </cell>
          <cell r="AN252">
            <v>13852.730542212083</v>
          </cell>
          <cell r="AO252">
            <v>18830.274970439641</v>
          </cell>
          <cell r="AP252">
            <v>4412.5939449272182</v>
          </cell>
          <cell r="AQ252">
            <v>8805.3628482701715</v>
          </cell>
          <cell r="AR252">
            <v>13164.221559265032</v>
          </cell>
          <cell r="AS252">
            <v>18065.325614300422</v>
          </cell>
          <cell r="AT252">
            <v>4649.3354283927856</v>
          </cell>
          <cell r="AU252">
            <v>9110.1946838045551</v>
          </cell>
          <cell r="AV252">
            <v>13780.379810349797</v>
          </cell>
          <cell r="AW252">
            <v>18454.50945733906</v>
          </cell>
          <cell r="AX252">
            <v>4891.2545998715532</v>
          </cell>
          <cell r="AY252">
            <v>9802.524412598008</v>
          </cell>
          <cell r="AZ252">
            <v>18271.613972447893</v>
          </cell>
          <cell r="BA252">
            <v>21652.629166857369</v>
          </cell>
          <cell r="BB252">
            <v>21652.629166857369</v>
          </cell>
        </row>
        <row r="253">
          <cell r="A253" t="str">
            <v>qtd</v>
          </cell>
          <cell r="B253">
            <v>1543.1799429139271</v>
          </cell>
          <cell r="C253">
            <v>2977.0821595934076</v>
          </cell>
          <cell r="D253">
            <v>4412.0289057986629</v>
          </cell>
          <cell r="E253">
            <v>5795.454545454545</v>
          </cell>
          <cell r="F253">
            <v>7346.3769046983507</v>
          </cell>
          <cell r="G253">
            <v>8884.2610250557555</v>
          </cell>
          <cell r="H253">
            <v>10394.306170979266</v>
          </cell>
          <cell r="I253">
            <v>11834.415584415583</v>
          </cell>
          <cell r="J253">
            <v>12950.022038184761</v>
          </cell>
          <cell r="K253">
            <v>14074.482487145513</v>
          </cell>
          <cell r="L253">
            <v>15135.391353910934</v>
          </cell>
          <cell r="M253">
            <v>16241.883116883117</v>
          </cell>
          <cell r="N253">
            <v>1187.7713337169344</v>
          </cell>
          <cell r="O253">
            <v>2510.3745243585927</v>
          </cell>
          <cell r="P253">
            <v>3721.3839823004778</v>
          </cell>
          <cell r="Q253">
            <v>4918.8311688311687</v>
          </cell>
          <cell r="R253">
            <v>5821.3654848770357</v>
          </cell>
          <cell r="S253">
            <v>6828.4578975152845</v>
          </cell>
          <cell r="T253">
            <v>7826.5746496385163</v>
          </cell>
          <cell r="U253">
            <v>8790.584415584417</v>
          </cell>
          <cell r="V253">
            <v>9689.5371166108562</v>
          </cell>
          <cell r="W253">
            <v>10580.577861270775</v>
          </cell>
          <cell r="X253">
            <v>11567.082352990945</v>
          </cell>
          <cell r="Y253">
            <v>12491.883116883118</v>
          </cell>
          <cell r="Z253">
            <v>621.97180743050001</v>
          </cell>
          <cell r="AA253">
            <v>1260.6864376489111</v>
          </cell>
          <cell r="AB253">
            <v>1924.4559062792555</v>
          </cell>
          <cell r="AC253">
            <v>2556.8181818181815</v>
          </cell>
          <cell r="AD253">
            <v>2556.8181818181815</v>
          </cell>
          <cell r="AE253">
            <v>2556.8181818181815</v>
          </cell>
          <cell r="AF253">
            <v>2556.8181818181815</v>
          </cell>
          <cell r="AG253">
            <v>2556.8181818181815</v>
          </cell>
          <cell r="AH253">
            <v>2556.8181818181815</v>
          </cell>
          <cell r="AI253">
            <v>2556.8181818181815</v>
          </cell>
          <cell r="AJ253">
            <v>2556.8181818181815</v>
          </cell>
          <cell r="AK253">
            <v>2556.8181818181815</v>
          </cell>
          <cell r="AL253">
            <v>4765.2912284274498</v>
          </cell>
          <cell r="AM253">
            <v>9404.5863620446326</v>
          </cell>
          <cell r="AN253">
            <v>13852.730542212083</v>
          </cell>
          <cell r="AO253">
            <v>18830.274970439641</v>
          </cell>
          <cell r="AP253">
            <v>23242.86891536686</v>
          </cell>
          <cell r="AQ253">
            <v>27635.637818709813</v>
          </cell>
          <cell r="AR253">
            <v>31994.496529704673</v>
          </cell>
          <cell r="AS253">
            <v>36895.600584740059</v>
          </cell>
          <cell r="AT253">
            <v>41544.936013132843</v>
          </cell>
          <cell r="AU253">
            <v>46005.795268544614</v>
          </cell>
          <cell r="AV253">
            <v>50675.980395089857</v>
          </cell>
          <cell r="AW253">
            <v>55350.110042079119</v>
          </cell>
          <cell r="AX253">
            <v>60241.364641950669</v>
          </cell>
          <cell r="AY253">
            <v>65152.634454677122</v>
          </cell>
          <cell r="AZ253">
            <v>73621.724014527004</v>
          </cell>
          <cell r="BA253">
            <v>77002.739208936473</v>
          </cell>
          <cell r="BB253">
            <v>77002.739208936473</v>
          </cell>
        </row>
        <row r="254">
          <cell r="A254" t="str">
            <v>ytd</v>
          </cell>
          <cell r="B254">
            <v>1543.1799429139271</v>
          </cell>
          <cell r="C254">
            <v>2977.0821595934076</v>
          </cell>
          <cell r="D254">
            <v>4412.0289057986629</v>
          </cell>
          <cell r="E254">
            <v>5795.454545454545</v>
          </cell>
          <cell r="F254">
            <v>7346.3769046983507</v>
          </cell>
          <cell r="G254">
            <v>8884.2610250557555</v>
          </cell>
          <cell r="H254">
            <v>10394.306170979266</v>
          </cell>
          <cell r="I254">
            <v>11834.415584415583</v>
          </cell>
          <cell r="J254">
            <v>12950.022038184761</v>
          </cell>
          <cell r="K254">
            <v>14074.482487145513</v>
          </cell>
          <cell r="L254">
            <v>15135.391353910934</v>
          </cell>
          <cell r="M254">
            <v>16241.883116883117</v>
          </cell>
          <cell r="N254">
            <v>17429.65445060005</v>
          </cell>
          <cell r="O254">
            <v>18752.257641241707</v>
          </cell>
          <cell r="P254">
            <v>19963.267099183591</v>
          </cell>
          <cell r="Q254">
            <v>21160.714285714283</v>
          </cell>
          <cell r="R254">
            <v>22063.248601760148</v>
          </cell>
          <cell r="S254">
            <v>23070.341014398397</v>
          </cell>
          <cell r="T254">
            <v>24068.457766521627</v>
          </cell>
          <cell r="U254">
            <v>25032.467532467526</v>
          </cell>
          <cell r="V254">
            <v>25931.420233493965</v>
          </cell>
          <cell r="W254">
            <v>26822.460978153886</v>
          </cell>
          <cell r="X254">
            <v>27808.965469874056</v>
          </cell>
          <cell r="Y254">
            <v>28733.76623376623</v>
          </cell>
          <cell r="Z254">
            <v>29355.738041196728</v>
          </cell>
          <cell r="AA254">
            <v>29994.45267141514</v>
          </cell>
          <cell r="AB254">
            <v>30658.222140045484</v>
          </cell>
          <cell r="AC254">
            <v>31290.58441558441</v>
          </cell>
          <cell r="AD254">
            <v>31290.58441558441</v>
          </cell>
          <cell r="AE254">
            <v>31290.58441558441</v>
          </cell>
          <cell r="AF254">
            <v>31290.58441558441</v>
          </cell>
          <cell r="AG254">
            <v>31290.58441558441</v>
          </cell>
          <cell r="AH254">
            <v>31290.58441558441</v>
          </cell>
          <cell r="AI254">
            <v>31290.58441558441</v>
          </cell>
          <cell r="AJ254">
            <v>31290.58441558441</v>
          </cell>
          <cell r="AK254">
            <v>31290.58441558441</v>
          </cell>
          <cell r="AL254">
            <v>36055.87564401186</v>
          </cell>
          <cell r="AM254">
            <v>40695.170777629042</v>
          </cell>
          <cell r="AN254">
            <v>45143.314957796494</v>
          </cell>
          <cell r="AO254">
            <v>50120.859386024051</v>
          </cell>
          <cell r="AP254">
            <v>54533.45333095127</v>
          </cell>
          <cell r="AQ254">
            <v>58926.222234294226</v>
          </cell>
          <cell r="AR254">
            <v>63285.08094528909</v>
          </cell>
          <cell r="AS254">
            <v>68186.185000324476</v>
          </cell>
          <cell r="AT254">
            <v>72835.520428717267</v>
          </cell>
          <cell r="AU254">
            <v>77296.379684129031</v>
          </cell>
          <cell r="AV254">
            <v>81966.564810674274</v>
          </cell>
          <cell r="AW254">
            <v>86640.694457663543</v>
          </cell>
          <cell r="AX254">
            <v>91531.949057535094</v>
          </cell>
          <cell r="AY254">
            <v>96443.218870261553</v>
          </cell>
          <cell r="AZ254">
            <v>104912.30843011144</v>
          </cell>
          <cell r="BA254">
            <v>108293.32362452091</v>
          </cell>
          <cell r="BB254">
            <v>108293.32362452091</v>
          </cell>
        </row>
        <row r="255">
          <cell r="A255" t="str">
            <v>TICK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401927.26122654427</v>
          </cell>
          <cell r="C263">
            <v>397085.8879115954</v>
          </cell>
          <cell r="D263">
            <v>329733.6058143386</v>
          </cell>
          <cell r="E263">
            <v>324686.06387315283</v>
          </cell>
          <cell r="F263">
            <v>350850.21164024132</v>
          </cell>
          <cell r="G263">
            <v>425870.89488450921</v>
          </cell>
          <cell r="H263">
            <v>496797.98169565346</v>
          </cell>
          <cell r="I263">
            <v>454607.82301069901</v>
          </cell>
          <cell r="J263">
            <v>471373.28817730292</v>
          </cell>
          <cell r="K263">
            <v>470251.37888907723</v>
          </cell>
          <cell r="L263">
            <v>523952.09278661542</v>
          </cell>
          <cell r="M263">
            <v>543416.04207894369</v>
          </cell>
          <cell r="N263">
            <v>546297.11620761082</v>
          </cell>
          <cell r="O263">
            <v>559040.46519987239</v>
          </cell>
          <cell r="P263">
            <v>906372.06590453559</v>
          </cell>
          <cell r="Q263">
            <v>520535.173388989</v>
          </cell>
          <cell r="R263">
            <v>633543.90895531885</v>
          </cell>
          <cell r="S263">
            <v>652694.55534937861</v>
          </cell>
          <cell r="T263">
            <v>1466803.2412838205</v>
          </cell>
          <cell r="U263">
            <v>719790.95769063127</v>
          </cell>
          <cell r="V263">
            <v>703918.61775805382</v>
          </cell>
          <cell r="W263">
            <v>799780.72891398729</v>
          </cell>
          <cell r="X263">
            <v>1308542.7317664712</v>
          </cell>
          <cell r="Y263">
            <v>825550.16773005319</v>
          </cell>
          <cell r="Z263">
            <v>1222893.9628851949</v>
          </cell>
          <cell r="AA263">
            <v>1018296.514384384</v>
          </cell>
          <cell r="AB263">
            <v>1354114.3980185348</v>
          </cell>
          <cell r="AC263">
            <v>858370.17348481261</v>
          </cell>
          <cell r="AD263">
            <v>1013148.8469870358</v>
          </cell>
          <cell r="AE263">
            <v>1014954.9439857572</v>
          </cell>
          <cell r="AF263">
            <v>1373607.1335624687</v>
          </cell>
          <cell r="AG263">
            <v>1096095.1988529535</v>
          </cell>
          <cell r="AH263">
            <v>1130932.1968181427</v>
          </cell>
          <cell r="AI263">
            <v>1188754.2447025094</v>
          </cell>
          <cell r="AJ263">
            <v>1549563.1526806396</v>
          </cell>
          <cell r="AK263">
            <v>1400222.9391222259</v>
          </cell>
          <cell r="AL263">
            <v>1266734.5380128301</v>
          </cell>
          <cell r="AM263">
            <v>1156482.5391613797</v>
          </cell>
          <cell r="AN263">
            <v>1640957.7272971109</v>
          </cell>
          <cell r="AO263">
            <v>1139287.5829934236</v>
          </cell>
          <cell r="AP263">
            <v>1126096.0867290888</v>
          </cell>
          <cell r="AQ263">
            <v>1242239.5580716233</v>
          </cell>
          <cell r="AR263">
            <v>1569011.075419982</v>
          </cell>
          <cell r="AS263">
            <v>1310613.8726489698</v>
          </cell>
          <cell r="AT263">
            <v>1460195.5743116383</v>
          </cell>
          <cell r="AU263">
            <v>1587250.2352038343</v>
          </cell>
          <cell r="AV263">
            <v>2373734.2002867432</v>
          </cell>
          <cell r="AW263">
            <v>2313770.7869174043</v>
          </cell>
          <cell r="AX263">
            <v>3389866.0457796492</v>
          </cell>
          <cell r="AY263">
            <v>9703070.0070330501</v>
          </cell>
          <cell r="AZ263">
            <v>20358246.37766955</v>
          </cell>
          <cell r="BA263">
            <v>10577294.424625009</v>
          </cell>
          <cell r="BB263">
            <v>0</v>
          </cell>
        </row>
        <row r="264">
          <cell r="A264" t="str">
            <v>ptd</v>
          </cell>
          <cell r="B264">
            <v>401927.26122654427</v>
          </cell>
          <cell r="C264">
            <v>799013.14913813979</v>
          </cell>
          <cell r="D264">
            <v>1128746.7549524782</v>
          </cell>
          <cell r="E264">
            <v>1453432.8188256312</v>
          </cell>
          <cell r="F264">
            <v>350850.21164024132</v>
          </cell>
          <cell r="G264">
            <v>776721.10652475059</v>
          </cell>
          <cell r="H264">
            <v>1273519.088220404</v>
          </cell>
          <cell r="I264">
            <v>1728126.9112311031</v>
          </cell>
          <cell r="J264">
            <v>471373.28817730292</v>
          </cell>
          <cell r="K264">
            <v>941624.66706638015</v>
          </cell>
          <cell r="L264">
            <v>1465576.7598529956</v>
          </cell>
          <cell r="M264">
            <v>2008992.8019319393</v>
          </cell>
          <cell r="N264">
            <v>546297.11620761082</v>
          </cell>
          <cell r="O264">
            <v>1105337.5814074832</v>
          </cell>
          <cell r="P264">
            <v>2011709.6473120188</v>
          </cell>
          <cell r="Q264">
            <v>2532244.8207010077</v>
          </cell>
          <cell r="R264">
            <v>633543.90895531885</v>
          </cell>
          <cell r="S264">
            <v>1286238.4643046975</v>
          </cell>
          <cell r="T264">
            <v>2753041.7055885182</v>
          </cell>
          <cell r="U264">
            <v>3472832.6632791492</v>
          </cell>
          <cell r="V264">
            <v>703918.61775805382</v>
          </cell>
          <cell r="W264">
            <v>1503699.3466720411</v>
          </cell>
          <cell r="X264">
            <v>2812242.078438512</v>
          </cell>
          <cell r="Y264">
            <v>3637792.246168565</v>
          </cell>
          <cell r="Z264">
            <v>1222893.9628851949</v>
          </cell>
          <cell r="AA264">
            <v>2241190.4772695792</v>
          </cell>
          <cell r="AB264">
            <v>3595304.875288114</v>
          </cell>
          <cell r="AC264">
            <v>4453675.0487729264</v>
          </cell>
          <cell r="AD264">
            <v>1013148.8469870358</v>
          </cell>
          <cell r="AE264">
            <v>2028103.790972793</v>
          </cell>
          <cell r="AF264">
            <v>3401710.9245352615</v>
          </cell>
          <cell r="AG264">
            <v>4497806.123388215</v>
          </cell>
          <cell r="AH264">
            <v>1130932.1968181427</v>
          </cell>
          <cell r="AI264">
            <v>2319686.4415206518</v>
          </cell>
          <cell r="AJ264">
            <v>3869249.5942012914</v>
          </cell>
          <cell r="AK264">
            <v>5269472.5333235171</v>
          </cell>
          <cell r="AL264">
            <v>1266734.5380128301</v>
          </cell>
          <cell r="AM264">
            <v>2423217.07717421</v>
          </cell>
          <cell r="AN264">
            <v>4064174.8044713205</v>
          </cell>
          <cell r="AO264">
            <v>5203462.387464745</v>
          </cell>
          <cell r="AP264">
            <v>1126096.0867290888</v>
          </cell>
          <cell r="AQ264">
            <v>2368335.6448007124</v>
          </cell>
          <cell r="AR264">
            <v>3937346.7202206939</v>
          </cell>
          <cell r="AS264">
            <v>5247960.5928696636</v>
          </cell>
          <cell r="AT264">
            <v>1460195.5743116383</v>
          </cell>
          <cell r="AU264">
            <v>3047445.8095154725</v>
          </cell>
          <cell r="AV264">
            <v>5421180.0098022157</v>
          </cell>
          <cell r="AW264">
            <v>7734950.79671962</v>
          </cell>
          <cell r="AX264">
            <v>3389866.0457796492</v>
          </cell>
          <cell r="AY264">
            <v>13092936.052812697</v>
          </cell>
          <cell r="AZ264">
            <v>33451182.430482246</v>
          </cell>
          <cell r="BA264">
            <v>44028476.855107263</v>
          </cell>
          <cell r="BB264">
            <v>44028476.855107263</v>
          </cell>
        </row>
        <row r="265">
          <cell r="A265" t="str">
            <v>qtd</v>
          </cell>
          <cell r="B265">
            <v>401927.26122654427</v>
          </cell>
          <cell r="C265">
            <v>799013.14913813979</v>
          </cell>
          <cell r="D265">
            <v>1128746.7549524782</v>
          </cell>
          <cell r="E265">
            <v>1453432.8188256312</v>
          </cell>
          <cell r="F265">
            <v>1804283.0304658725</v>
          </cell>
          <cell r="G265">
            <v>2230153.925350382</v>
          </cell>
          <cell r="H265">
            <v>2726951.9070460349</v>
          </cell>
          <cell r="I265">
            <v>3181559.7300567343</v>
          </cell>
          <cell r="J265">
            <v>3652933.0182340373</v>
          </cell>
          <cell r="K265">
            <v>4123184.3971231142</v>
          </cell>
          <cell r="L265">
            <v>4647136.4899097299</v>
          </cell>
          <cell r="M265">
            <v>5190552.5319886729</v>
          </cell>
          <cell r="N265">
            <v>546297.11620761082</v>
          </cell>
          <cell r="O265">
            <v>1105337.5814074832</v>
          </cell>
          <cell r="P265">
            <v>2011709.6473120188</v>
          </cell>
          <cell r="Q265">
            <v>2532244.8207010077</v>
          </cell>
          <cell r="R265">
            <v>3165788.7296563266</v>
          </cell>
          <cell r="S265">
            <v>3818483.2850057054</v>
          </cell>
          <cell r="T265">
            <v>5285286.5262895264</v>
          </cell>
          <cell r="U265">
            <v>6005077.4839801574</v>
          </cell>
          <cell r="V265">
            <v>6708996.1017382108</v>
          </cell>
          <cell r="W265">
            <v>7508776.8306521988</v>
          </cell>
          <cell r="X265">
            <v>8817319.5624186695</v>
          </cell>
          <cell r="Y265">
            <v>9642869.7301487233</v>
          </cell>
          <cell r="Z265">
            <v>1222893.9628851949</v>
          </cell>
          <cell r="AA265">
            <v>2241190.4772695792</v>
          </cell>
          <cell r="AB265">
            <v>3595304.875288114</v>
          </cell>
          <cell r="AC265">
            <v>4453675.0487729264</v>
          </cell>
          <cell r="AD265">
            <v>5466823.8957599625</v>
          </cell>
          <cell r="AE265">
            <v>6481778.8397457199</v>
          </cell>
          <cell r="AF265">
            <v>7855385.9733081888</v>
          </cell>
          <cell r="AG265">
            <v>8951481.1721611433</v>
          </cell>
          <cell r="AH265">
            <v>10082413.368979285</v>
          </cell>
          <cell r="AI265">
            <v>11271167.613681793</v>
          </cell>
          <cell r="AJ265">
            <v>12820730.766362434</v>
          </cell>
          <cell r="AK265">
            <v>14220953.70548466</v>
          </cell>
          <cell r="AL265">
            <v>1266734.5380128301</v>
          </cell>
          <cell r="AM265">
            <v>2423217.07717421</v>
          </cell>
          <cell r="AN265">
            <v>4064174.8044713205</v>
          </cell>
          <cell r="AO265">
            <v>5203462.387464745</v>
          </cell>
          <cell r="AP265">
            <v>6329558.4741938338</v>
          </cell>
          <cell r="AQ265">
            <v>7571798.0322654564</v>
          </cell>
          <cell r="AR265">
            <v>9140809.1076854393</v>
          </cell>
          <cell r="AS265">
            <v>10451422.980334409</v>
          </cell>
          <cell r="AT265">
            <v>11911618.554646047</v>
          </cell>
          <cell r="AU265">
            <v>13498868.789849881</v>
          </cell>
          <cell r="AV265">
            <v>15872602.990136623</v>
          </cell>
          <cell r="AW265">
            <v>18186373.777054027</v>
          </cell>
          <cell r="AX265">
            <v>21576239.822833676</v>
          </cell>
          <cell r="AY265">
            <v>31279309.829866722</v>
          </cell>
          <cell r="AZ265">
            <v>51637556.20753628</v>
          </cell>
          <cell r="BA265">
            <v>62214850.632161289</v>
          </cell>
          <cell r="BB265">
            <v>62214850.632161289</v>
          </cell>
        </row>
        <row r="266">
          <cell r="A266" t="str">
            <v>ytd</v>
          </cell>
          <cell r="B266">
            <v>401927.26122654427</v>
          </cell>
          <cell r="C266">
            <v>799013.14913813979</v>
          </cell>
          <cell r="D266">
            <v>1128746.7549524782</v>
          </cell>
          <cell r="E266">
            <v>1453432.8188256312</v>
          </cell>
          <cell r="F266">
            <v>1804283.0304658725</v>
          </cell>
          <cell r="G266">
            <v>2230153.925350382</v>
          </cell>
          <cell r="H266">
            <v>2726951.9070460349</v>
          </cell>
          <cell r="I266">
            <v>3181559.7300567343</v>
          </cell>
          <cell r="J266">
            <v>3652933.0182340373</v>
          </cell>
          <cell r="K266">
            <v>4123184.3971231142</v>
          </cell>
          <cell r="L266">
            <v>4647136.4899097299</v>
          </cell>
          <cell r="M266">
            <v>5190552.5319886729</v>
          </cell>
          <cell r="N266">
            <v>5736849.6481962837</v>
          </cell>
          <cell r="O266">
            <v>6295890.1133961566</v>
          </cell>
          <cell r="P266">
            <v>7202262.1793006919</v>
          </cell>
          <cell r="Q266">
            <v>7722797.3526896806</v>
          </cell>
          <cell r="R266">
            <v>8356341.2616449995</v>
          </cell>
          <cell r="S266">
            <v>9009035.8169943765</v>
          </cell>
          <cell r="T266">
            <v>10475839.058278197</v>
          </cell>
          <cell r="U266">
            <v>11195630.015968829</v>
          </cell>
          <cell r="V266">
            <v>11899548.633726882</v>
          </cell>
          <cell r="W266">
            <v>12699329.362640869</v>
          </cell>
          <cell r="X266">
            <v>14007872.094407342</v>
          </cell>
          <cell r="Y266">
            <v>14833422.262137394</v>
          </cell>
          <cell r="Z266">
            <v>16056316.22502259</v>
          </cell>
          <cell r="AA266">
            <v>17074612.739406973</v>
          </cell>
          <cell r="AB266">
            <v>18428727.137425508</v>
          </cell>
          <cell r="AC266">
            <v>19287097.310910322</v>
          </cell>
          <cell r="AD266">
            <v>20300246.157897357</v>
          </cell>
          <cell r="AE266">
            <v>21315201.101883113</v>
          </cell>
          <cell r="AF266">
            <v>22688808.235445581</v>
          </cell>
          <cell r="AG266">
            <v>23784903.434298538</v>
          </cell>
          <cell r="AH266">
            <v>24915835.631116677</v>
          </cell>
          <cell r="AI266">
            <v>26104589.875819188</v>
          </cell>
          <cell r="AJ266">
            <v>27654153.028499827</v>
          </cell>
          <cell r="AK266">
            <v>29054375.967622049</v>
          </cell>
          <cell r="AL266">
            <v>30321110.505634882</v>
          </cell>
          <cell r="AM266">
            <v>31477593.044796262</v>
          </cell>
          <cell r="AN266">
            <v>33118550.772093371</v>
          </cell>
          <cell r="AO266">
            <v>34257838.355086796</v>
          </cell>
          <cell r="AP266">
            <v>35383934.441815883</v>
          </cell>
          <cell r="AQ266">
            <v>36626173.999887511</v>
          </cell>
          <cell r="AR266">
            <v>38195185.075307496</v>
          </cell>
          <cell r="AS266">
            <v>39505798.947956465</v>
          </cell>
          <cell r="AT266">
            <v>40965994.522268102</v>
          </cell>
          <cell r="AU266">
            <v>42553244.757471941</v>
          </cell>
          <cell r="AV266">
            <v>44926978.95775868</v>
          </cell>
          <cell r="AW266">
            <v>47240749.744676091</v>
          </cell>
          <cell r="AX266">
            <v>50630615.790455736</v>
          </cell>
          <cell r="AY266">
            <v>60333685.797488786</v>
          </cell>
          <cell r="AZ266">
            <v>80691932.175158337</v>
          </cell>
          <cell r="BA266">
            <v>91269226.599783346</v>
          </cell>
          <cell r="BB266">
            <v>91269226.599783346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20705.464374905547</v>
          </cell>
          <cell r="C273">
            <v>21688.407480244521</v>
          </cell>
          <cell r="D273">
            <v>22118.872887955113</v>
          </cell>
          <cell r="E273">
            <v>22741.642292941</v>
          </cell>
          <cell r="F273">
            <v>26646.22791410267</v>
          </cell>
          <cell r="G273">
            <v>41976.645006402054</v>
          </cell>
          <cell r="H273">
            <v>29435.232803605737</v>
          </cell>
          <cell r="I273">
            <v>30810.79601733639</v>
          </cell>
          <cell r="J273">
            <v>56699.607239128709</v>
          </cell>
          <cell r="K273">
            <v>36319.78753754255</v>
          </cell>
          <cell r="L273">
            <v>32036.503519042551</v>
          </cell>
          <cell r="M273">
            <v>31246.560828158767</v>
          </cell>
          <cell r="N273">
            <v>30788.928517887645</v>
          </cell>
          <cell r="O273">
            <v>36021.289869149965</v>
          </cell>
          <cell r="P273">
            <v>28471.490914798185</v>
          </cell>
          <cell r="Q273">
            <v>29061.794014111776</v>
          </cell>
          <cell r="R273">
            <v>32943.165729276909</v>
          </cell>
          <cell r="S273">
            <v>46183.064465875243</v>
          </cell>
          <cell r="T273">
            <v>40709.22543189241</v>
          </cell>
          <cell r="U273">
            <v>43827.191267000082</v>
          </cell>
          <cell r="V273">
            <v>43841.106345508852</v>
          </cell>
          <cell r="W273">
            <v>39369.438163574705</v>
          </cell>
          <cell r="X273">
            <v>44564.697060509978</v>
          </cell>
          <cell r="Y273">
            <v>52657.031528179054</v>
          </cell>
          <cell r="Z273">
            <v>75402.392699984106</v>
          </cell>
          <cell r="AA273">
            <v>77535.63545949501</v>
          </cell>
          <cell r="AB273">
            <v>75620.201234670501</v>
          </cell>
          <cell r="AC273">
            <v>73021.850546947331</v>
          </cell>
          <cell r="AD273">
            <v>79614.640938896671</v>
          </cell>
          <cell r="AE273">
            <v>74471.117291744915</v>
          </cell>
          <cell r="AF273">
            <v>69147.481608910355</v>
          </cell>
          <cell r="AG273">
            <v>67207.359826805885</v>
          </cell>
          <cell r="AH273">
            <v>66920.091784273944</v>
          </cell>
          <cell r="AI273">
            <v>67939.604313072821</v>
          </cell>
          <cell r="AJ273">
            <v>65434.388229852324</v>
          </cell>
          <cell r="AK273">
            <v>87975.752672613336</v>
          </cell>
          <cell r="AL273">
            <v>156177.41610664219</v>
          </cell>
          <cell r="AM273">
            <v>144394.37646823039</v>
          </cell>
          <cell r="AN273">
            <v>142051.10444396766</v>
          </cell>
          <cell r="AO273">
            <v>147363.14648745203</v>
          </cell>
          <cell r="AP273">
            <v>132961.50849844323</v>
          </cell>
          <cell r="AQ273">
            <v>124927.59286643483</v>
          </cell>
          <cell r="AR273">
            <v>126423.60173062916</v>
          </cell>
          <cell r="AS273">
            <v>142092.69734068259</v>
          </cell>
          <cell r="AT273">
            <v>260388.22444032569</v>
          </cell>
          <cell r="AU273">
            <v>402178.73250236333</v>
          </cell>
          <cell r="AV273">
            <v>323837.67876421381</v>
          </cell>
          <cell r="AW273">
            <v>326947.88257273345</v>
          </cell>
          <cell r="AX273">
            <v>509599.71656515764</v>
          </cell>
          <cell r="AY273">
            <v>1025027.6977564971</v>
          </cell>
          <cell r="AZ273">
            <v>2479480.3999926159</v>
          </cell>
          <cell r="BA273">
            <v>877059.82493966504</v>
          </cell>
        </row>
        <row r="274">
          <cell r="A274" t="str">
            <v>ptd</v>
          </cell>
          <cell r="B274">
            <v>20705.464374905547</v>
          </cell>
          <cell r="C274">
            <v>42393.871855150064</v>
          </cell>
          <cell r="D274">
            <v>64512.744743105177</v>
          </cell>
          <cell r="E274">
            <v>87254.387036046173</v>
          </cell>
          <cell r="F274">
            <v>26646.22791410267</v>
          </cell>
          <cell r="G274">
            <v>68622.872920504728</v>
          </cell>
          <cell r="H274">
            <v>98058.105724110472</v>
          </cell>
          <cell r="I274">
            <v>128868.90174144687</v>
          </cell>
          <cell r="J274">
            <v>56699.607239128709</v>
          </cell>
          <cell r="K274">
            <v>93019.394776671252</v>
          </cell>
          <cell r="L274">
            <v>125055.89829571381</v>
          </cell>
          <cell r="M274">
            <v>156302.45912387257</v>
          </cell>
          <cell r="N274">
            <v>30788.928517887645</v>
          </cell>
          <cell r="O274">
            <v>66810.218387037603</v>
          </cell>
          <cell r="P274">
            <v>95281.709301835785</v>
          </cell>
          <cell r="Q274">
            <v>124343.50331594756</v>
          </cell>
          <cell r="R274">
            <v>32943.165729276909</v>
          </cell>
          <cell r="S274">
            <v>79126.230195152151</v>
          </cell>
          <cell r="T274">
            <v>119835.45562704456</v>
          </cell>
          <cell r="U274">
            <v>163662.64689404465</v>
          </cell>
          <cell r="V274">
            <v>43841.106345508852</v>
          </cell>
          <cell r="W274">
            <v>83210.544509083556</v>
          </cell>
          <cell r="X274">
            <v>127775.24156959353</v>
          </cell>
          <cell r="Y274">
            <v>180432.27309777259</v>
          </cell>
          <cell r="Z274">
            <v>75402.392699984106</v>
          </cell>
          <cell r="AA274">
            <v>152938.02815947912</v>
          </cell>
          <cell r="AB274">
            <v>228558.22939414962</v>
          </cell>
          <cell r="AC274">
            <v>301580.07994109695</v>
          </cell>
          <cell r="AD274">
            <v>79614.640938896671</v>
          </cell>
          <cell r="AE274">
            <v>154085.7582306416</v>
          </cell>
          <cell r="AF274">
            <v>223233.23983955197</v>
          </cell>
          <cell r="AG274">
            <v>290440.59966635786</v>
          </cell>
          <cell r="AH274">
            <v>66920.091784273944</v>
          </cell>
          <cell r="AI274">
            <v>134859.69609734678</v>
          </cell>
          <cell r="AJ274">
            <v>200294.08432719909</v>
          </cell>
          <cell r="AK274">
            <v>288269.8369998124</v>
          </cell>
          <cell r="AL274">
            <v>156177.41610664219</v>
          </cell>
          <cell r="AM274">
            <v>300571.79257487261</v>
          </cell>
          <cell r="AN274">
            <v>442622.8970188403</v>
          </cell>
          <cell r="AO274">
            <v>589986.04350629239</v>
          </cell>
          <cell r="AP274">
            <v>132961.50849844323</v>
          </cell>
          <cell r="AQ274">
            <v>257889.10136487806</v>
          </cell>
          <cell r="AR274">
            <v>384312.70309550723</v>
          </cell>
          <cell r="AS274">
            <v>526405.40043618984</v>
          </cell>
          <cell r="AT274">
            <v>260388.22444032569</v>
          </cell>
          <cell r="AU274">
            <v>662566.95694268902</v>
          </cell>
          <cell r="AV274">
            <v>986404.63570690283</v>
          </cell>
          <cell r="AW274">
            <v>1313352.5182796363</v>
          </cell>
          <cell r="AX274">
            <v>509599.71656515764</v>
          </cell>
          <cell r="AY274">
            <v>1534627.4143216547</v>
          </cell>
          <cell r="AZ274">
            <v>4014107.8143142704</v>
          </cell>
          <cell r="BA274">
            <v>4891167.6392539358</v>
          </cell>
          <cell r="BB274">
            <v>4891167.6392539358</v>
          </cell>
        </row>
        <row r="275">
          <cell r="A275" t="str">
            <v>qtd</v>
          </cell>
          <cell r="B275">
            <v>20705.464374905547</v>
          </cell>
          <cell r="C275">
            <v>42393.871855150064</v>
          </cell>
          <cell r="D275">
            <v>64512.744743105177</v>
          </cell>
          <cell r="E275">
            <v>87254.387036046173</v>
          </cell>
          <cell r="F275">
            <v>113900.61495014884</v>
          </cell>
          <cell r="G275">
            <v>155877.2599565509</v>
          </cell>
          <cell r="H275">
            <v>185312.49276015663</v>
          </cell>
          <cell r="I275">
            <v>216123.28877749303</v>
          </cell>
          <cell r="J275">
            <v>272822.89601662173</v>
          </cell>
          <cell r="K275">
            <v>309142.68355416425</v>
          </cell>
          <cell r="L275">
            <v>341179.18707320682</v>
          </cell>
          <cell r="M275">
            <v>372425.74790136557</v>
          </cell>
          <cell r="N275">
            <v>30788.928517887645</v>
          </cell>
          <cell r="O275">
            <v>66810.218387037603</v>
          </cell>
          <cell r="P275">
            <v>95281.709301835785</v>
          </cell>
          <cell r="Q275">
            <v>124343.50331594756</v>
          </cell>
          <cell r="R275">
            <v>157286.66904522447</v>
          </cell>
          <cell r="S275">
            <v>203469.73351109971</v>
          </cell>
          <cell r="T275">
            <v>244178.95894299212</v>
          </cell>
          <cell r="U275">
            <v>288006.15020999219</v>
          </cell>
          <cell r="V275">
            <v>331847.25655550102</v>
          </cell>
          <cell r="W275">
            <v>371216.69471907575</v>
          </cell>
          <cell r="X275">
            <v>415781.39177958574</v>
          </cell>
          <cell r="Y275">
            <v>468438.42330776481</v>
          </cell>
          <cell r="Z275">
            <v>75402.392699984106</v>
          </cell>
          <cell r="AA275">
            <v>152938.02815947912</v>
          </cell>
          <cell r="AB275">
            <v>228558.22939414962</v>
          </cell>
          <cell r="AC275">
            <v>301580.07994109695</v>
          </cell>
          <cell r="AD275">
            <v>381194.72087999363</v>
          </cell>
          <cell r="AE275">
            <v>455665.83817173855</v>
          </cell>
          <cell r="AF275">
            <v>524813.31978064892</v>
          </cell>
          <cell r="AG275">
            <v>592020.6796074548</v>
          </cell>
          <cell r="AH275">
            <v>658940.77139172878</v>
          </cell>
          <cell r="AI275">
            <v>726880.37570480164</v>
          </cell>
          <cell r="AJ275">
            <v>792314.76393465395</v>
          </cell>
          <cell r="AK275">
            <v>880290.51660726732</v>
          </cell>
          <cell r="AL275">
            <v>156177.41610664219</v>
          </cell>
          <cell r="AM275">
            <v>300571.79257487261</v>
          </cell>
          <cell r="AN275">
            <v>442622.8970188403</v>
          </cell>
          <cell r="AO275">
            <v>589986.04350629239</v>
          </cell>
          <cell r="AP275">
            <v>722947.55200473568</v>
          </cell>
          <cell r="AQ275">
            <v>847875.14487117052</v>
          </cell>
          <cell r="AR275">
            <v>974298.74660179974</v>
          </cell>
          <cell r="AS275">
            <v>1116391.4439424824</v>
          </cell>
          <cell r="AT275">
            <v>1376779.6683828081</v>
          </cell>
          <cell r="AU275">
            <v>1778958.4008851715</v>
          </cell>
          <cell r="AV275">
            <v>2102796.0796493851</v>
          </cell>
          <cell r="AW275">
            <v>2429743.9622221184</v>
          </cell>
          <cell r="AX275">
            <v>2939343.6787872761</v>
          </cell>
          <cell r="AY275">
            <v>3964371.3765437733</v>
          </cell>
          <cell r="AZ275">
            <v>6443851.7765363893</v>
          </cell>
          <cell r="BA275">
            <v>7320911.6014760546</v>
          </cell>
          <cell r="BB275">
            <v>7320911.6014760546</v>
          </cell>
        </row>
        <row r="276">
          <cell r="A276" t="str">
            <v>ytd</v>
          </cell>
          <cell r="B276">
            <v>20705.464374905547</v>
          </cell>
          <cell r="C276">
            <v>42393.871855150064</v>
          </cell>
          <cell r="D276">
            <v>64512.744743105177</v>
          </cell>
          <cell r="E276">
            <v>87254.387036046173</v>
          </cell>
          <cell r="F276">
            <v>113900.61495014884</v>
          </cell>
          <cell r="G276">
            <v>155877.2599565509</v>
          </cell>
          <cell r="H276">
            <v>185312.49276015663</v>
          </cell>
          <cell r="I276">
            <v>216123.28877749303</v>
          </cell>
          <cell r="J276">
            <v>272822.89601662173</v>
          </cell>
          <cell r="K276">
            <v>309142.68355416425</v>
          </cell>
          <cell r="L276">
            <v>341179.18707320682</v>
          </cell>
          <cell r="M276">
            <v>372425.74790136557</v>
          </cell>
          <cell r="N276">
            <v>403214.67641925323</v>
          </cell>
          <cell r="O276">
            <v>439235.9662884032</v>
          </cell>
          <cell r="P276">
            <v>467707.45720320137</v>
          </cell>
          <cell r="Q276">
            <v>496769.25121731317</v>
          </cell>
          <cell r="R276">
            <v>529712.41694659006</v>
          </cell>
          <cell r="S276">
            <v>575895.48141246533</v>
          </cell>
          <cell r="T276">
            <v>616604.70684435777</v>
          </cell>
          <cell r="U276">
            <v>660431.89811135782</v>
          </cell>
          <cell r="V276">
            <v>704273.00445686665</v>
          </cell>
          <cell r="W276">
            <v>743642.44262044132</v>
          </cell>
          <cell r="X276">
            <v>788207.13968095125</v>
          </cell>
          <cell r="Y276">
            <v>840864.17120913032</v>
          </cell>
          <cell r="Z276">
            <v>916266.56390911445</v>
          </cell>
          <cell r="AA276">
            <v>993802.19936860946</v>
          </cell>
          <cell r="AB276">
            <v>1069422.4006032799</v>
          </cell>
          <cell r="AC276">
            <v>1142444.2511502272</v>
          </cell>
          <cell r="AD276">
            <v>1222058.8920891238</v>
          </cell>
          <cell r="AE276">
            <v>1296530.0093808686</v>
          </cell>
          <cell r="AF276">
            <v>1365677.4909897789</v>
          </cell>
          <cell r="AG276">
            <v>1432884.8508165847</v>
          </cell>
          <cell r="AH276">
            <v>1499804.9426008586</v>
          </cell>
          <cell r="AI276">
            <v>1567744.5469139314</v>
          </cell>
          <cell r="AJ276">
            <v>1633178.9351437837</v>
          </cell>
          <cell r="AK276">
            <v>1721154.6878163971</v>
          </cell>
          <cell r="AL276">
            <v>1877332.1039230393</v>
          </cell>
          <cell r="AM276">
            <v>2021726.4803912695</v>
          </cell>
          <cell r="AN276">
            <v>2163777.5848352374</v>
          </cell>
          <cell r="AO276">
            <v>2311140.7313226894</v>
          </cell>
          <cell r="AP276">
            <v>2444102.2398211327</v>
          </cell>
          <cell r="AQ276">
            <v>2569029.8326875675</v>
          </cell>
          <cell r="AR276">
            <v>2695453.4344181968</v>
          </cell>
          <cell r="AS276">
            <v>2837546.1317588794</v>
          </cell>
          <cell r="AT276">
            <v>3097934.3561992049</v>
          </cell>
          <cell r="AU276">
            <v>3500113.0887015681</v>
          </cell>
          <cell r="AV276">
            <v>3823950.7674657819</v>
          </cell>
          <cell r="AW276">
            <v>4150898.6500385152</v>
          </cell>
          <cell r="AX276">
            <v>4660498.3666036725</v>
          </cell>
          <cell r="AY276">
            <v>5685526.0643601697</v>
          </cell>
          <cell r="AZ276">
            <v>8165006.4643527856</v>
          </cell>
          <cell r="BA276">
            <v>9042066.289292451</v>
          </cell>
          <cell r="BB276">
            <v>9042066.289292451</v>
          </cell>
        </row>
        <row r="277">
          <cell r="A277" t="str">
            <v>PRED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  <cell r="B285">
            <v>205.70418627552286</v>
          </cell>
          <cell r="C285">
            <v>215.46950754423804</v>
          </cell>
          <cell r="D285">
            <v>219.74608568851707</v>
          </cell>
          <cell r="E285">
            <v>225.93316130152164</v>
          </cell>
          <cell r="F285">
            <v>264.72435155937512</v>
          </cell>
          <cell r="G285">
            <v>417.02863781618589</v>
          </cell>
          <cell r="H285">
            <v>292.43249521294149</v>
          </cell>
          <cell r="I285">
            <v>306.09840998923335</v>
          </cell>
          <cell r="J285">
            <v>563.29799506464451</v>
          </cell>
          <cell r="K285">
            <v>360.82901623616192</v>
          </cell>
          <cell r="L285">
            <v>318.27554157561053</v>
          </cell>
          <cell r="M285">
            <v>310.42763652550769</v>
          </cell>
          <cell r="N285">
            <v>305.88116124278957</v>
          </cell>
          <cell r="O285">
            <v>357.86350824899239</v>
          </cell>
          <cell r="P285">
            <v>282.85793376253218</v>
          </cell>
          <cell r="Q285">
            <v>288.72246384510242</v>
          </cell>
          <cell r="R285">
            <v>327.28302910673131</v>
          </cell>
          <cell r="S285">
            <v>458.8184801678093</v>
          </cell>
          <cell r="T285">
            <v>404.43710605802102</v>
          </cell>
          <cell r="U285">
            <v>435.41340358665974</v>
          </cell>
          <cell r="V285">
            <v>435.55164679868238</v>
          </cell>
          <cell r="W285">
            <v>391.12661734733945</v>
          </cell>
          <cell r="X285">
            <v>442.74035971671907</v>
          </cell>
          <cell r="Y285">
            <v>523.13590393637514</v>
          </cell>
          <cell r="Z285">
            <v>422.03043273430768</v>
          </cell>
          <cell r="AA285">
            <v>433.97028414599777</v>
          </cell>
          <cell r="AB285">
            <v>423.24951646435153</v>
          </cell>
          <cell r="AC285">
            <v>408.70643598813302</v>
          </cell>
          <cell r="AD285">
            <v>445.60656716979975</v>
          </cell>
          <cell r="AE285">
            <v>416.81804424820473</v>
          </cell>
          <cell r="AF285">
            <v>387.0214265216834</v>
          </cell>
          <cell r="AG285">
            <v>376.1624815208707</v>
          </cell>
          <cell r="AH285">
            <v>374.55462994004796</v>
          </cell>
          <cell r="AI285">
            <v>380.26088538235206</v>
          </cell>
          <cell r="AJ285">
            <v>366.23908329045742</v>
          </cell>
          <cell r="AK285">
            <v>492.40406890373453</v>
          </cell>
          <cell r="AL285">
            <v>480.44451552808147</v>
          </cell>
          <cell r="AM285">
            <v>444.19665772859406</v>
          </cell>
          <cell r="AN285">
            <v>436.98811106088209</v>
          </cell>
          <cell r="AO285">
            <v>453.3294075790929</v>
          </cell>
          <cell r="AP285">
            <v>400.00910613050644</v>
          </cell>
          <cell r="AQ285">
            <v>375.83940884758789</v>
          </cell>
          <cell r="AR285">
            <v>380.34008859534123</v>
          </cell>
          <cell r="AS285">
            <v>427.47990371652952</v>
          </cell>
          <cell r="AT285">
            <v>783.36702164073222</v>
          </cell>
          <cell r="AU285">
            <v>1209.937801622144</v>
          </cell>
          <cell r="AV285">
            <v>974.25203637312757</v>
          </cell>
          <cell r="AW285">
            <v>983.60895371995673</v>
          </cell>
          <cell r="AX285">
            <v>1533.1093141890369</v>
          </cell>
          <cell r="AY285">
            <v>3083.752717376758</v>
          </cell>
          <cell r="AZ285">
            <v>7459.4124996766977</v>
          </cell>
          <cell r="BA285">
            <v>2638.5975953424258</v>
          </cell>
        </row>
        <row r="286">
          <cell r="A286" t="str">
            <v>ptd</v>
          </cell>
          <cell r="B286">
            <v>205.70418627552286</v>
          </cell>
          <cell r="C286">
            <v>421.1736938197609</v>
          </cell>
          <cell r="D286">
            <v>640.919779508278</v>
          </cell>
          <cell r="E286">
            <v>866.85294080979963</v>
          </cell>
          <cell r="F286">
            <v>264.72435155937512</v>
          </cell>
          <cell r="G286">
            <v>681.75298937556101</v>
          </cell>
          <cell r="H286">
            <v>974.1854845885025</v>
          </cell>
          <cell r="I286">
            <v>1280.2838945777357</v>
          </cell>
          <cell r="J286">
            <v>563.29799506464451</v>
          </cell>
          <cell r="K286">
            <v>924.12701130080643</v>
          </cell>
          <cell r="L286">
            <v>1242.4025528764168</v>
          </cell>
          <cell r="M286">
            <v>1552.8301894019246</v>
          </cell>
          <cell r="N286">
            <v>305.88116124278957</v>
          </cell>
          <cell r="O286">
            <v>663.74466949178191</v>
          </cell>
          <cell r="P286">
            <v>946.60260325431409</v>
          </cell>
          <cell r="Q286">
            <v>1235.3250670994166</v>
          </cell>
          <cell r="R286">
            <v>327.28302910673131</v>
          </cell>
          <cell r="S286">
            <v>786.1015092745406</v>
          </cell>
          <cell r="T286">
            <v>1190.5386153325617</v>
          </cell>
          <cell r="U286">
            <v>1625.9520189192215</v>
          </cell>
          <cell r="V286">
            <v>435.55164679868238</v>
          </cell>
          <cell r="W286">
            <v>826.67826414602177</v>
          </cell>
          <cell r="X286">
            <v>1269.4186238627408</v>
          </cell>
          <cell r="Y286">
            <v>1792.5545277991159</v>
          </cell>
          <cell r="Z286">
            <v>422.03043273430768</v>
          </cell>
          <cell r="AA286">
            <v>856.00071688030539</v>
          </cell>
          <cell r="AB286">
            <v>1279.2502333446569</v>
          </cell>
          <cell r="AC286">
            <v>1687.9566693327899</v>
          </cell>
          <cell r="AD286">
            <v>445.60656716979975</v>
          </cell>
          <cell r="AE286">
            <v>862.42461141800447</v>
          </cell>
          <cell r="AF286">
            <v>1249.4460379396878</v>
          </cell>
          <cell r="AG286">
            <v>1625.6085194605585</v>
          </cell>
          <cell r="AH286">
            <v>374.55462994004796</v>
          </cell>
          <cell r="AI286">
            <v>754.81551532239996</v>
          </cell>
          <cell r="AJ286">
            <v>1121.0545986128573</v>
          </cell>
          <cell r="AK286">
            <v>1613.4586675165917</v>
          </cell>
          <cell r="AL286">
            <v>480.44451552808147</v>
          </cell>
          <cell r="AM286">
            <v>924.64117325667553</v>
          </cell>
          <cell r="AN286">
            <v>1361.6292843175577</v>
          </cell>
          <cell r="AO286">
            <v>1814.9586918966506</v>
          </cell>
          <cell r="AP286">
            <v>400.00910613050644</v>
          </cell>
          <cell r="AQ286">
            <v>775.84851497809427</v>
          </cell>
          <cell r="AR286">
            <v>1156.1886035734356</v>
          </cell>
          <cell r="AS286">
            <v>1583.668507289965</v>
          </cell>
          <cell r="AT286">
            <v>783.36702164073222</v>
          </cell>
          <cell r="AU286">
            <v>1993.3048232628762</v>
          </cell>
          <cell r="AV286">
            <v>2967.5568596360035</v>
          </cell>
          <cell r="AW286">
            <v>3951.1658133559604</v>
          </cell>
          <cell r="AX286">
            <v>1533.1093141890369</v>
          </cell>
          <cell r="AY286">
            <v>4616.8620315657954</v>
          </cell>
          <cell r="AZ286">
            <v>12076.274531242492</v>
          </cell>
          <cell r="BA286">
            <v>14714.872126584918</v>
          </cell>
          <cell r="BB286">
            <v>14714.872126584918</v>
          </cell>
        </row>
        <row r="287">
          <cell r="A287" t="str">
            <v>qtd</v>
          </cell>
          <cell r="B287">
            <v>205.70418627552286</v>
          </cell>
          <cell r="C287">
            <v>421.1736938197609</v>
          </cell>
          <cell r="D287">
            <v>640.919779508278</v>
          </cell>
          <cell r="E287">
            <v>866.85294080979963</v>
          </cell>
          <cell r="F287">
            <v>1131.5772923691748</v>
          </cell>
          <cell r="G287">
            <v>1548.6059301853606</v>
          </cell>
          <cell r="H287">
            <v>1841.038425398302</v>
          </cell>
          <cell r="I287">
            <v>2147.1368353875355</v>
          </cell>
          <cell r="J287">
            <v>2710.43483045218</v>
          </cell>
          <cell r="K287">
            <v>3071.2638466883418</v>
          </cell>
          <cell r="L287">
            <v>3389.5393882639523</v>
          </cell>
          <cell r="M287">
            <v>3699.9670247894601</v>
          </cell>
          <cell r="N287">
            <v>305.88116124278957</v>
          </cell>
          <cell r="O287">
            <v>663.74466949178191</v>
          </cell>
          <cell r="P287">
            <v>946.60260325431409</v>
          </cell>
          <cell r="Q287">
            <v>1235.3250670994166</v>
          </cell>
          <cell r="R287">
            <v>1562.6080962061478</v>
          </cell>
          <cell r="S287">
            <v>2021.4265763739572</v>
          </cell>
          <cell r="T287">
            <v>2425.8636824319783</v>
          </cell>
          <cell r="U287">
            <v>2861.2770860186379</v>
          </cell>
          <cell r="V287">
            <v>3296.8287328173201</v>
          </cell>
          <cell r="W287">
            <v>3687.9553501646596</v>
          </cell>
          <cell r="X287">
            <v>4130.6957098813791</v>
          </cell>
          <cell r="Y287">
            <v>4653.8316138177543</v>
          </cell>
          <cell r="Z287">
            <v>422.03043273430768</v>
          </cell>
          <cell r="AA287">
            <v>856.00071688030539</v>
          </cell>
          <cell r="AB287">
            <v>1279.2502333446569</v>
          </cell>
          <cell r="AC287">
            <v>1687.9566693327899</v>
          </cell>
          <cell r="AD287">
            <v>2133.5632365025895</v>
          </cell>
          <cell r="AE287">
            <v>2550.3812807507943</v>
          </cell>
          <cell r="AF287">
            <v>2937.4027072724775</v>
          </cell>
          <cell r="AG287">
            <v>3313.5651887933482</v>
          </cell>
          <cell r="AH287">
            <v>3688.1198187333962</v>
          </cell>
          <cell r="AI287">
            <v>4068.3807041157484</v>
          </cell>
          <cell r="AJ287">
            <v>4434.6197874062054</v>
          </cell>
          <cell r="AK287">
            <v>4927.0238563099401</v>
          </cell>
          <cell r="AL287">
            <v>480.44451552808147</v>
          </cell>
          <cell r="AM287">
            <v>924.64117325667553</v>
          </cell>
          <cell r="AN287">
            <v>1361.6292843175577</v>
          </cell>
          <cell r="AO287">
            <v>1814.9586918966506</v>
          </cell>
          <cell r="AP287">
            <v>2214.9677980271572</v>
          </cell>
          <cell r="AQ287">
            <v>2590.8072068747451</v>
          </cell>
          <cell r="AR287">
            <v>2971.1472954700862</v>
          </cell>
          <cell r="AS287">
            <v>3398.6271991866156</v>
          </cell>
          <cell r="AT287">
            <v>4181.9942208273478</v>
          </cell>
          <cell r="AU287">
            <v>5391.9320224494913</v>
          </cell>
          <cell r="AV287">
            <v>6366.1840588226187</v>
          </cell>
          <cell r="AW287">
            <v>7349.7930125425755</v>
          </cell>
          <cell r="AX287">
            <v>8882.9023267316115</v>
          </cell>
          <cell r="AY287">
            <v>11966.655044108369</v>
          </cell>
          <cell r="AZ287">
            <v>19426.067543785066</v>
          </cell>
          <cell r="BA287">
            <v>22064.665139127494</v>
          </cell>
          <cell r="BB287">
            <v>22064.665139127494</v>
          </cell>
        </row>
        <row r="288">
          <cell r="A288" t="str">
            <v>ytd</v>
          </cell>
          <cell r="B288">
            <v>205.70418627552286</v>
          </cell>
          <cell r="C288">
            <v>421.1736938197609</v>
          </cell>
          <cell r="D288">
            <v>640.919779508278</v>
          </cell>
          <cell r="E288">
            <v>866.85294080979963</v>
          </cell>
          <cell r="F288">
            <v>1131.5772923691748</v>
          </cell>
          <cell r="G288">
            <v>1548.6059301853606</v>
          </cell>
          <cell r="H288">
            <v>1841.038425398302</v>
          </cell>
          <cell r="I288">
            <v>2147.1368353875355</v>
          </cell>
          <cell r="J288">
            <v>2710.43483045218</v>
          </cell>
          <cell r="K288">
            <v>3071.2638466883418</v>
          </cell>
          <cell r="L288">
            <v>3389.5393882639523</v>
          </cell>
          <cell r="M288">
            <v>3699.9670247894601</v>
          </cell>
          <cell r="N288">
            <v>4005.8481860322495</v>
          </cell>
          <cell r="O288">
            <v>4363.7116942812418</v>
          </cell>
          <cell r="P288">
            <v>4646.5696280437742</v>
          </cell>
          <cell r="Q288">
            <v>4935.2920918888767</v>
          </cell>
          <cell r="R288">
            <v>5262.5751209956079</v>
          </cell>
          <cell r="S288">
            <v>5721.3936011634169</v>
          </cell>
          <cell r="T288">
            <v>6125.8307072214375</v>
          </cell>
          <cell r="U288">
            <v>6561.2441108080975</v>
          </cell>
          <cell r="V288">
            <v>6996.7957576067802</v>
          </cell>
          <cell r="W288">
            <v>7387.9223749541197</v>
          </cell>
          <cell r="X288">
            <v>7830.6627346708392</v>
          </cell>
          <cell r="Y288">
            <v>8353.7986386072153</v>
          </cell>
          <cell r="Z288">
            <v>8775.8290713415226</v>
          </cell>
          <cell r="AA288">
            <v>9209.7993554875211</v>
          </cell>
          <cell r="AB288">
            <v>9633.0488719518726</v>
          </cell>
          <cell r="AC288">
            <v>10041.755307940006</v>
          </cell>
          <cell r="AD288">
            <v>10487.361875109806</v>
          </cell>
          <cell r="AE288">
            <v>10904.17991935801</v>
          </cell>
          <cell r="AF288">
            <v>11291.201345879694</v>
          </cell>
          <cell r="AG288">
            <v>11667.363827400564</v>
          </cell>
          <cell r="AH288">
            <v>12041.918457340613</v>
          </cell>
          <cell r="AI288">
            <v>12422.179342722964</v>
          </cell>
          <cell r="AJ288">
            <v>12788.418426013421</v>
          </cell>
          <cell r="AK288">
            <v>13280.822494917154</v>
          </cell>
          <cell r="AL288">
            <v>13761.267010445235</v>
          </cell>
          <cell r="AM288">
            <v>14205.46366817383</v>
          </cell>
          <cell r="AN288">
            <v>14642.451779234712</v>
          </cell>
          <cell r="AO288">
            <v>15095.781186813805</v>
          </cell>
          <cell r="AP288">
            <v>15495.790292944312</v>
          </cell>
          <cell r="AQ288">
            <v>15871.629701791899</v>
          </cell>
          <cell r="AR288">
            <v>16251.96979038724</v>
          </cell>
          <cell r="AS288">
            <v>16679.449694103769</v>
          </cell>
          <cell r="AT288">
            <v>17462.816715744502</v>
          </cell>
          <cell r="AU288">
            <v>18672.754517366648</v>
          </cell>
          <cell r="AV288">
            <v>19647.006553739775</v>
          </cell>
          <cell r="AW288">
            <v>20630.61550745973</v>
          </cell>
          <cell r="AX288">
            <v>22163.724821648768</v>
          </cell>
          <cell r="AY288">
            <v>25247.477539025527</v>
          </cell>
          <cell r="AZ288">
            <v>32706.890038702226</v>
          </cell>
          <cell r="BA288">
            <v>35345.48763404465</v>
          </cell>
          <cell r="BB288">
            <v>35345.48763404465</v>
          </cell>
        </row>
        <row r="289">
          <cell r="A289" t="str">
            <v>TELE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20911.168561181068</v>
          </cell>
          <cell r="C301">
            <v>21903.876987788761</v>
          </cell>
          <cell r="D301">
            <v>22338.618973643628</v>
          </cell>
          <cell r="E301">
            <v>22967.57545424252</v>
          </cell>
          <cell r="F301">
            <v>26910.952265662047</v>
          </cell>
          <cell r="G301">
            <v>42393.673644218237</v>
          </cell>
          <cell r="H301">
            <v>29727.66529881868</v>
          </cell>
          <cell r="I301">
            <v>31116.894427325624</v>
          </cell>
          <cell r="J301">
            <v>57262.905234193357</v>
          </cell>
          <cell r="K301">
            <v>36680.616553778709</v>
          </cell>
          <cell r="L301">
            <v>32354.779060618162</v>
          </cell>
          <cell r="M301">
            <v>31556.988464684273</v>
          </cell>
          <cell r="N301">
            <v>31094.809679130434</v>
          </cell>
          <cell r="O301">
            <v>36379.153377398958</v>
          </cell>
          <cell r="P301">
            <v>28754.348848560716</v>
          </cell>
          <cell r="Q301">
            <v>29350.516477956877</v>
          </cell>
          <cell r="R301">
            <v>33270.448758383638</v>
          </cell>
          <cell r="S301">
            <v>46641.88294604305</v>
          </cell>
          <cell r="T301">
            <v>41113.662537950433</v>
          </cell>
          <cell r="U301">
            <v>44262.604670586741</v>
          </cell>
          <cell r="V301">
            <v>44276.657992307533</v>
          </cell>
          <cell r="W301">
            <v>39760.564780922046</v>
          </cell>
          <cell r="X301">
            <v>45007.437420226699</v>
          </cell>
          <cell r="Y301">
            <v>53180.167432115428</v>
          </cell>
          <cell r="Z301">
            <v>75824.42313271841</v>
          </cell>
          <cell r="AA301">
            <v>77969.605743641005</v>
          </cell>
          <cell r="AB301">
            <v>76043.450751134849</v>
          </cell>
          <cell r="AC301">
            <v>73430.556982935464</v>
          </cell>
          <cell r="AD301">
            <v>80060.247506066473</v>
          </cell>
          <cell r="AE301">
            <v>74887.935335993127</v>
          </cell>
          <cell r="AF301">
            <v>69534.503035432033</v>
          </cell>
          <cell r="AG301">
            <v>67583.522308326763</v>
          </cell>
          <cell r="AH301">
            <v>67294.646414213988</v>
          </cell>
          <cell r="AI301">
            <v>68319.865198455169</v>
          </cell>
          <cell r="AJ301">
            <v>65800.627313142788</v>
          </cell>
          <cell r="AK301">
            <v>88468.156741517072</v>
          </cell>
          <cell r="AL301">
            <v>156657.86062217026</v>
          </cell>
          <cell r="AM301">
            <v>144838.573125959</v>
          </cell>
          <cell r="AN301">
            <v>142488.09255502853</v>
          </cell>
          <cell r="AO301">
            <v>147816.47589503112</v>
          </cell>
          <cell r="AP301">
            <v>133361.51760457375</v>
          </cell>
          <cell r="AQ301">
            <v>125303.43227528242</v>
          </cell>
          <cell r="AR301">
            <v>126803.94181922451</v>
          </cell>
          <cell r="AS301">
            <v>142520.17724439912</v>
          </cell>
          <cell r="AT301">
            <v>261171.59146196643</v>
          </cell>
          <cell r="AU301">
            <v>403388.67030398548</v>
          </cell>
          <cell r="AV301">
            <v>324811.93080058694</v>
          </cell>
          <cell r="AW301">
            <v>327931.49152645341</v>
          </cell>
          <cell r="AX301">
            <v>511132.8258793467</v>
          </cell>
          <cell r="AY301">
            <v>1028111.4504738739</v>
          </cell>
          <cell r="AZ301">
            <v>2486939.8124922928</v>
          </cell>
          <cell r="BA301">
            <v>879698.42253500747</v>
          </cell>
          <cell r="BB301">
            <v>0</v>
          </cell>
        </row>
        <row r="302">
          <cell r="A302" t="str">
            <v>ptd</v>
          </cell>
          <cell r="B302">
            <v>20911.168561181068</v>
          </cell>
          <cell r="C302">
            <v>42815.045548969822</v>
          </cell>
          <cell r="D302">
            <v>65153.664522613457</v>
          </cell>
          <cell r="E302">
            <v>88121.23997685597</v>
          </cell>
          <cell r="F302">
            <v>26910.952265662047</v>
          </cell>
          <cell r="G302">
            <v>69304.625909880284</v>
          </cell>
          <cell r="H302">
            <v>99032.291208698967</v>
          </cell>
          <cell r="I302">
            <v>130149.1856360246</v>
          </cell>
          <cell r="J302">
            <v>57262.905234193357</v>
          </cell>
          <cell r="K302">
            <v>93943.521787972059</v>
          </cell>
          <cell r="L302">
            <v>126298.30084859022</v>
          </cell>
          <cell r="M302">
            <v>157855.28931327449</v>
          </cell>
          <cell r="N302">
            <v>31094.809679130434</v>
          </cell>
          <cell r="O302">
            <v>67473.963056529392</v>
          </cell>
          <cell r="P302">
            <v>96228.3119050901</v>
          </cell>
          <cell r="Q302">
            <v>125578.82838304697</v>
          </cell>
          <cell r="R302">
            <v>33270.448758383638</v>
          </cell>
          <cell r="S302">
            <v>79912.331704426688</v>
          </cell>
          <cell r="T302">
            <v>121025.99424237713</v>
          </cell>
          <cell r="U302">
            <v>165288.59891296388</v>
          </cell>
          <cell r="V302">
            <v>44276.657992307533</v>
          </cell>
          <cell r="W302">
            <v>84037.222773229572</v>
          </cell>
          <cell r="X302">
            <v>129044.66019345628</v>
          </cell>
          <cell r="Y302">
            <v>182224.82762557169</v>
          </cell>
          <cell r="Z302">
            <v>75824.42313271841</v>
          </cell>
          <cell r="AA302">
            <v>153794.02887635943</v>
          </cell>
          <cell r="AB302">
            <v>229837.47962749426</v>
          </cell>
          <cell r="AC302">
            <v>303268.03661042976</v>
          </cell>
          <cell r="AD302">
            <v>80060.247506066473</v>
          </cell>
          <cell r="AE302">
            <v>154948.18284205961</v>
          </cell>
          <cell r="AF302">
            <v>224482.68587749166</v>
          </cell>
          <cell r="AG302">
            <v>292066.2081858184</v>
          </cell>
          <cell r="AH302">
            <v>67294.646414213988</v>
          </cell>
          <cell r="AI302">
            <v>135614.51161266919</v>
          </cell>
          <cell r="AJ302">
            <v>201415.13892581195</v>
          </cell>
          <cell r="AK302">
            <v>289883.29566732899</v>
          </cell>
          <cell r="AL302">
            <v>156657.86062217026</v>
          </cell>
          <cell r="AM302">
            <v>301496.43374812929</v>
          </cell>
          <cell r="AN302">
            <v>443984.52630315785</v>
          </cell>
          <cell r="AO302">
            <v>591801.00219818903</v>
          </cell>
          <cell r="AP302">
            <v>133361.51760457375</v>
          </cell>
          <cell r="AQ302">
            <v>258664.94987985617</v>
          </cell>
          <cell r="AR302">
            <v>385468.89169908065</v>
          </cell>
          <cell r="AS302">
            <v>527989.0689434798</v>
          </cell>
          <cell r="AT302">
            <v>261171.59146196643</v>
          </cell>
          <cell r="AU302">
            <v>664560.26176595187</v>
          </cell>
          <cell r="AV302">
            <v>989372.19256653881</v>
          </cell>
          <cell r="AW302">
            <v>1317303.6840929922</v>
          </cell>
          <cell r="AX302">
            <v>511132.8258793467</v>
          </cell>
          <cell r="AY302">
            <v>1539244.2763532205</v>
          </cell>
          <cell r="AZ302">
            <v>4026184.0888455128</v>
          </cell>
          <cell r="BA302">
            <v>4905882.5113805206</v>
          </cell>
          <cell r="BB302">
            <v>4905882.5113805206</v>
          </cell>
        </row>
        <row r="303">
          <cell r="A303" t="str">
            <v>qtd</v>
          </cell>
          <cell r="B303">
            <v>20911.168561181068</v>
          </cell>
          <cell r="C303">
            <v>42815.045548969822</v>
          </cell>
          <cell r="D303">
            <v>65153.664522613457</v>
          </cell>
          <cell r="E303">
            <v>88121.23997685597</v>
          </cell>
          <cell r="F303">
            <v>115032.19224251801</v>
          </cell>
          <cell r="G303">
            <v>157425.86588673625</v>
          </cell>
          <cell r="H303">
            <v>187153.53118555492</v>
          </cell>
          <cell r="I303">
            <v>218270.42561288056</v>
          </cell>
          <cell r="J303">
            <v>275533.33084707393</v>
          </cell>
          <cell r="K303">
            <v>312213.94740085257</v>
          </cell>
          <cell r="L303">
            <v>344568.72646147077</v>
          </cell>
          <cell r="M303">
            <v>376125.71492615505</v>
          </cell>
          <cell r="N303">
            <v>31094.809679130434</v>
          </cell>
          <cell r="O303">
            <v>67473.963056529392</v>
          </cell>
          <cell r="P303">
            <v>96228.3119050901</v>
          </cell>
          <cell r="Q303">
            <v>125578.82838304697</v>
          </cell>
          <cell r="R303">
            <v>158849.27714143062</v>
          </cell>
          <cell r="S303">
            <v>205491.16008747366</v>
          </cell>
          <cell r="T303">
            <v>246604.8226254241</v>
          </cell>
          <cell r="U303">
            <v>290867.42729601084</v>
          </cell>
          <cell r="V303">
            <v>335144.08528831834</v>
          </cell>
          <cell r="W303">
            <v>374904.65006924042</v>
          </cell>
          <cell r="X303">
            <v>419912.08748946711</v>
          </cell>
          <cell r="Y303">
            <v>473092.25492158259</v>
          </cell>
          <cell r="Z303">
            <v>75824.42313271841</v>
          </cell>
          <cell r="AA303">
            <v>153794.02887635943</v>
          </cell>
          <cell r="AB303">
            <v>229837.47962749426</v>
          </cell>
          <cell r="AC303">
            <v>303268.03661042976</v>
          </cell>
          <cell r="AD303">
            <v>383328.28411649622</v>
          </cell>
          <cell r="AE303">
            <v>458216.21945248934</v>
          </cell>
          <cell r="AF303">
            <v>527750.72248792136</v>
          </cell>
          <cell r="AG303">
            <v>595334.24479624815</v>
          </cell>
          <cell r="AH303">
            <v>662628.8912104622</v>
          </cell>
          <cell r="AI303">
            <v>730948.75640891737</v>
          </cell>
          <cell r="AJ303">
            <v>796749.38372206013</v>
          </cell>
          <cell r="AK303">
            <v>885217.54046357726</v>
          </cell>
          <cell r="AL303">
            <v>156657.86062217026</v>
          </cell>
          <cell r="AM303">
            <v>301496.43374812929</v>
          </cell>
          <cell r="AN303">
            <v>443984.52630315785</v>
          </cell>
          <cell r="AO303">
            <v>591801.00219818903</v>
          </cell>
          <cell r="AP303">
            <v>725162.51980276289</v>
          </cell>
          <cell r="AQ303">
            <v>850465.95207804523</v>
          </cell>
          <cell r="AR303">
            <v>977269.89389726985</v>
          </cell>
          <cell r="AS303">
            <v>1119790.0711416691</v>
          </cell>
          <cell r="AT303">
            <v>1380961.6626036353</v>
          </cell>
          <cell r="AU303">
            <v>1784350.3329076211</v>
          </cell>
          <cell r="AV303">
            <v>2109162.2637082078</v>
          </cell>
          <cell r="AW303">
            <v>2437093.755234661</v>
          </cell>
          <cell r="AX303">
            <v>2948226.5811140076</v>
          </cell>
          <cell r="AY303">
            <v>3976338.0315878815</v>
          </cell>
          <cell r="AZ303">
            <v>6463277.8440801743</v>
          </cell>
          <cell r="BA303">
            <v>7342976.2666151822</v>
          </cell>
          <cell r="BB303">
            <v>7342976.2666151822</v>
          </cell>
        </row>
        <row r="304">
          <cell r="A304" t="str">
            <v>ytd</v>
          </cell>
          <cell r="B304">
            <v>20911.168561181068</v>
          </cell>
          <cell r="C304">
            <v>42815.045548969822</v>
          </cell>
          <cell r="D304">
            <v>65153.664522613457</v>
          </cell>
          <cell r="E304">
            <v>88121.23997685597</v>
          </cell>
          <cell r="F304">
            <v>115032.19224251801</v>
          </cell>
          <cell r="G304">
            <v>157425.86588673625</v>
          </cell>
          <cell r="H304">
            <v>187153.53118555492</v>
          </cell>
          <cell r="I304">
            <v>218270.42561288056</v>
          </cell>
          <cell r="J304">
            <v>275533.33084707393</v>
          </cell>
          <cell r="K304">
            <v>312213.94740085257</v>
          </cell>
          <cell r="L304">
            <v>344568.72646147077</v>
          </cell>
          <cell r="M304">
            <v>376125.71492615505</v>
          </cell>
          <cell r="N304">
            <v>407220.52460528549</v>
          </cell>
          <cell r="O304">
            <v>443599.67798268446</v>
          </cell>
          <cell r="P304">
            <v>472354.02683124517</v>
          </cell>
          <cell r="Q304">
            <v>501704.54330920207</v>
          </cell>
          <cell r="R304">
            <v>534974.9920675857</v>
          </cell>
          <cell r="S304">
            <v>581616.87501362874</v>
          </cell>
          <cell r="T304">
            <v>622730.53755157918</v>
          </cell>
          <cell r="U304">
            <v>666993.14222216594</v>
          </cell>
          <cell r="V304">
            <v>711269.80021447339</v>
          </cell>
          <cell r="W304">
            <v>751030.36499539542</v>
          </cell>
          <cell r="X304">
            <v>796037.80241562205</v>
          </cell>
          <cell r="Y304">
            <v>849217.96984773758</v>
          </cell>
          <cell r="Z304">
            <v>925042.392980456</v>
          </cell>
          <cell r="AA304">
            <v>1003011.998724097</v>
          </cell>
          <cell r="AB304">
            <v>1079055.4494752318</v>
          </cell>
          <cell r="AC304">
            <v>1152486.0064581672</v>
          </cell>
          <cell r="AD304">
            <v>1232546.2539642337</v>
          </cell>
          <cell r="AE304">
            <v>1307434.1893002267</v>
          </cell>
          <cell r="AF304">
            <v>1376968.6923356585</v>
          </cell>
          <cell r="AG304">
            <v>1444552.2146439853</v>
          </cell>
          <cell r="AH304">
            <v>1511846.8610581993</v>
          </cell>
          <cell r="AI304">
            <v>1580166.7262566544</v>
          </cell>
          <cell r="AJ304">
            <v>1645967.353569797</v>
          </cell>
          <cell r="AK304">
            <v>1734435.5103113141</v>
          </cell>
          <cell r="AL304">
            <v>1891093.3709334845</v>
          </cell>
          <cell r="AM304">
            <v>2035931.9440594434</v>
          </cell>
          <cell r="AN304">
            <v>2178420.036614472</v>
          </cell>
          <cell r="AO304">
            <v>2326236.5125095034</v>
          </cell>
          <cell r="AP304">
            <v>2459598.030114077</v>
          </cell>
          <cell r="AQ304">
            <v>2584901.4623893593</v>
          </cell>
          <cell r="AR304">
            <v>2711705.4042085842</v>
          </cell>
          <cell r="AS304">
            <v>2854225.581452983</v>
          </cell>
          <cell r="AT304">
            <v>3115397.1729149492</v>
          </cell>
          <cell r="AU304">
            <v>3518785.8432189347</v>
          </cell>
          <cell r="AV304">
            <v>3843597.7740195217</v>
          </cell>
          <cell r="AW304">
            <v>4171529.265545975</v>
          </cell>
          <cell r="AX304">
            <v>4682662.0914253211</v>
          </cell>
          <cell r="AY304">
            <v>5710773.5418991949</v>
          </cell>
          <cell r="AZ304">
            <v>8197713.3543914882</v>
          </cell>
          <cell r="BA304">
            <v>9077411.7769264951</v>
          </cell>
          <cell r="BB304">
            <v>9077411.7769264951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16180.993233687157</v>
          </cell>
          <cell r="AI387">
            <v>15924.478833553005</v>
          </cell>
          <cell r="AJ387">
            <v>15175.095423819104</v>
          </cell>
          <cell r="AK387">
            <v>15753.985049570096</v>
          </cell>
          <cell r="AL387">
            <v>43466.59965428336</v>
          </cell>
          <cell r="AM387">
            <v>43239.744817064864</v>
          </cell>
          <cell r="AN387">
            <v>44207.696400249159</v>
          </cell>
          <cell r="AO387">
            <v>44106.59550660578</v>
          </cell>
          <cell r="AP387">
            <v>42423.889130083771</v>
          </cell>
          <cell r="AQ387">
            <v>46274.1565438486</v>
          </cell>
          <cell r="AR387">
            <v>43019.100133004395</v>
          </cell>
          <cell r="AS387">
            <v>47167.71311046819</v>
          </cell>
          <cell r="AT387">
            <v>49002.52930440929</v>
          </cell>
          <cell r="AU387">
            <v>57695.46876140833</v>
          </cell>
          <cell r="AV387">
            <v>66200.553776845991</v>
          </cell>
          <cell r="AW387">
            <v>87491.347830158949</v>
          </cell>
          <cell r="AX387">
            <v>144051.47270537016</v>
          </cell>
          <cell r="AY387">
            <v>301910.18272966158</v>
          </cell>
          <cell r="AZ387">
            <v>811683.09715979116</v>
          </cell>
          <cell r="BA387">
            <v>334320.28277962038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16180.993233687157</v>
          </cell>
          <cell r="AI388">
            <v>32105.47206724016</v>
          </cell>
          <cell r="AJ388">
            <v>47280.567491059264</v>
          </cell>
          <cell r="AK388">
            <v>63034.55254062936</v>
          </cell>
          <cell r="AL388">
            <v>43466.59965428336</v>
          </cell>
          <cell r="AM388">
            <v>86706.344471348217</v>
          </cell>
          <cell r="AN388">
            <v>130914.04087159738</v>
          </cell>
          <cell r="AO388">
            <v>175020.63637820317</v>
          </cell>
          <cell r="AP388">
            <v>42423.889130083771</v>
          </cell>
          <cell r="AQ388">
            <v>88698.045673932371</v>
          </cell>
          <cell r="AR388">
            <v>131717.14580693678</v>
          </cell>
          <cell r="AS388">
            <v>178884.85891740496</v>
          </cell>
          <cell r="AT388">
            <v>49002.52930440929</v>
          </cell>
          <cell r="AU388">
            <v>106697.99806581762</v>
          </cell>
          <cell r="AV388">
            <v>172898.55184266361</v>
          </cell>
          <cell r="AW388">
            <v>260389.89967282256</v>
          </cell>
          <cell r="AX388">
            <v>144051.47270537016</v>
          </cell>
          <cell r="AY388">
            <v>445961.65543503175</v>
          </cell>
          <cell r="AZ388">
            <v>1257644.752594823</v>
          </cell>
          <cell r="BA388">
            <v>1591965.0353744435</v>
          </cell>
          <cell r="BB388">
            <v>1591965.0353744435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16180.993233687157</v>
          </cell>
          <cell r="AI389">
            <v>32105.47206724016</v>
          </cell>
          <cell r="AJ389">
            <v>47280.567491059264</v>
          </cell>
          <cell r="AK389">
            <v>63034.55254062936</v>
          </cell>
          <cell r="AL389">
            <v>43466.59965428336</v>
          </cell>
          <cell r="AM389">
            <v>86706.344471348217</v>
          </cell>
          <cell r="AN389">
            <v>130914.04087159738</v>
          </cell>
          <cell r="AO389">
            <v>175020.63637820317</v>
          </cell>
          <cell r="AP389">
            <v>217444.52550828696</v>
          </cell>
          <cell r="AQ389">
            <v>263718.68205213558</v>
          </cell>
          <cell r="AR389">
            <v>306737.78218513995</v>
          </cell>
          <cell r="AS389">
            <v>353905.49529560813</v>
          </cell>
          <cell r="AT389">
            <v>402908.02460001741</v>
          </cell>
          <cell r="AU389">
            <v>460603.49336142576</v>
          </cell>
          <cell r="AV389">
            <v>526804.04713827174</v>
          </cell>
          <cell r="AW389">
            <v>614295.39496843074</v>
          </cell>
          <cell r="AX389">
            <v>758346.86767380091</v>
          </cell>
          <cell r="AY389">
            <v>1060257.0504034625</v>
          </cell>
          <cell r="AZ389">
            <v>1871940.1475632535</v>
          </cell>
          <cell r="BA389">
            <v>2206260.430342874</v>
          </cell>
          <cell r="BB389">
            <v>2206260.430342874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16180.993233687157</v>
          </cell>
          <cell r="AI390">
            <v>32105.47206724016</v>
          </cell>
          <cell r="AJ390">
            <v>47280.567491059264</v>
          </cell>
          <cell r="AK390">
            <v>63034.55254062936</v>
          </cell>
          <cell r="AL390">
            <v>106501.15219491272</v>
          </cell>
          <cell r="AM390">
            <v>149740.89701197759</v>
          </cell>
          <cell r="AN390">
            <v>193948.59341222676</v>
          </cell>
          <cell r="AO390">
            <v>238055.18891883254</v>
          </cell>
          <cell r="AP390">
            <v>280479.0780489163</v>
          </cell>
          <cell r="AQ390">
            <v>326753.23459276487</v>
          </cell>
          <cell r="AR390">
            <v>369772.33472576924</v>
          </cell>
          <cell r="AS390">
            <v>416940.04783623741</v>
          </cell>
          <cell r="AT390">
            <v>465942.5771406467</v>
          </cell>
          <cell r="AU390">
            <v>523638.04590205505</v>
          </cell>
          <cell r="AV390">
            <v>589838.59967890102</v>
          </cell>
          <cell r="AW390">
            <v>677329.94750905992</v>
          </cell>
          <cell r="AX390">
            <v>821381.42021443008</v>
          </cell>
          <cell r="AY390">
            <v>1123291.6029440917</v>
          </cell>
          <cell r="AZ390">
            <v>1934974.7001038827</v>
          </cell>
          <cell r="BA390">
            <v>2269294.9828835032</v>
          </cell>
          <cell r="BB390">
            <v>2269294.9828835032</v>
          </cell>
        </row>
        <row r="391">
          <cell r="A391" t="str">
            <v>PRED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15827.930028156783</v>
          </cell>
          <cell r="AI395">
            <v>15159.615174154678</v>
          </cell>
          <cell r="AJ395">
            <v>14475.129841687563</v>
          </cell>
          <cell r="AK395">
            <v>14184.742293071855</v>
          </cell>
          <cell r="AL395">
            <v>32296.232789229929</v>
          </cell>
          <cell r="AM395">
            <v>33011.30614557951</v>
          </cell>
          <cell r="AN395">
            <v>33614.389355776897</v>
          </cell>
          <cell r="AO395">
            <v>33732.916752452336</v>
          </cell>
          <cell r="AP395">
            <v>33028.913362460706</v>
          </cell>
          <cell r="AQ395">
            <v>34681.009578466088</v>
          </cell>
          <cell r="AR395">
            <v>33147.150965891422</v>
          </cell>
          <cell r="AS395">
            <v>36638.246254634782</v>
          </cell>
          <cell r="AT395">
            <v>36558.590989015487</v>
          </cell>
          <cell r="AU395">
            <v>40581.320161592805</v>
          </cell>
          <cell r="AV395">
            <v>40693.770173730511</v>
          </cell>
          <cell r="AW395">
            <v>52646.485210507526</v>
          </cell>
          <cell r="AX395">
            <v>1137874.1075848816</v>
          </cell>
          <cell r="AY395">
            <v>2120673.7985801841</v>
          </cell>
          <cell r="AZ395">
            <v>492704.13432302931</v>
          </cell>
          <cell r="BA395">
            <v>238570.46413015033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15827.930028156783</v>
          </cell>
          <cell r="AI396">
            <v>30987.545202311463</v>
          </cell>
          <cell r="AJ396">
            <v>45462.675043999028</v>
          </cell>
          <cell r="AK396">
            <v>59647.417337070881</v>
          </cell>
          <cell r="AL396">
            <v>32296.232789229929</v>
          </cell>
          <cell r="AM396">
            <v>65307.53893480944</v>
          </cell>
          <cell r="AN396">
            <v>98921.928290586337</v>
          </cell>
          <cell r="AO396">
            <v>132654.84504303866</v>
          </cell>
          <cell r="AP396">
            <v>33028.913362460706</v>
          </cell>
          <cell r="AQ396">
            <v>67709.922940926801</v>
          </cell>
          <cell r="AR396">
            <v>100857.07390681823</v>
          </cell>
          <cell r="AS396">
            <v>137495.32016145301</v>
          </cell>
          <cell r="AT396">
            <v>36558.590989015487</v>
          </cell>
          <cell r="AU396">
            <v>77139.911150608299</v>
          </cell>
          <cell r="AV396">
            <v>117833.6813243388</v>
          </cell>
          <cell r="AW396">
            <v>170480.16653484633</v>
          </cell>
          <cell r="AX396">
            <v>1137874.1075848816</v>
          </cell>
          <cell r="AY396">
            <v>3258547.9061650657</v>
          </cell>
          <cell r="AZ396">
            <v>3751252.040488095</v>
          </cell>
          <cell r="BA396">
            <v>3989822.5046182452</v>
          </cell>
          <cell r="BB396">
            <v>3989822.5046182452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15827.930028156783</v>
          </cell>
          <cell r="AI397">
            <v>30987.545202311463</v>
          </cell>
          <cell r="AJ397">
            <v>45462.675043999028</v>
          </cell>
          <cell r="AK397">
            <v>59647.417337070881</v>
          </cell>
          <cell r="AL397">
            <v>32296.232789229929</v>
          </cell>
          <cell r="AM397">
            <v>65307.53893480944</v>
          </cell>
          <cell r="AN397">
            <v>98921.928290586337</v>
          </cell>
          <cell r="AO397">
            <v>132654.84504303866</v>
          </cell>
          <cell r="AP397">
            <v>165683.75840549936</v>
          </cell>
          <cell r="AQ397">
            <v>200364.76798396546</v>
          </cell>
          <cell r="AR397">
            <v>233511.91894985689</v>
          </cell>
          <cell r="AS397">
            <v>270150.1652044917</v>
          </cell>
          <cell r="AT397">
            <v>306708.75619350717</v>
          </cell>
          <cell r="AU397">
            <v>347290.07635509997</v>
          </cell>
          <cell r="AV397">
            <v>387983.84652883047</v>
          </cell>
          <cell r="AW397">
            <v>440630.331739338</v>
          </cell>
          <cell r="AX397">
            <v>1578504.4393242197</v>
          </cell>
          <cell r="AY397">
            <v>3699178.2379044038</v>
          </cell>
          <cell r="AZ397">
            <v>4191882.3722274331</v>
          </cell>
          <cell r="BA397">
            <v>4430452.8363575833</v>
          </cell>
          <cell r="BB397">
            <v>4430452.8363575833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15827.930028156783</v>
          </cell>
          <cell r="AI398">
            <v>30987.545202311463</v>
          </cell>
          <cell r="AJ398">
            <v>45462.675043999028</v>
          </cell>
          <cell r="AK398">
            <v>59647.417337070881</v>
          </cell>
          <cell r="AL398">
            <v>91943.65012630081</v>
          </cell>
          <cell r="AM398">
            <v>124954.95627188032</v>
          </cell>
          <cell r="AN398">
            <v>158569.34562765723</v>
          </cell>
          <cell r="AO398">
            <v>192302.26238010958</v>
          </cell>
          <cell r="AP398">
            <v>225331.17574257028</v>
          </cell>
          <cell r="AQ398">
            <v>260012.18532103638</v>
          </cell>
          <cell r="AR398">
            <v>293159.33628692781</v>
          </cell>
          <cell r="AS398">
            <v>329797.58254156262</v>
          </cell>
          <cell r="AT398">
            <v>366356.17353057809</v>
          </cell>
          <cell r="AU398">
            <v>406937.49369217089</v>
          </cell>
          <cell r="AV398">
            <v>447631.26386590139</v>
          </cell>
          <cell r="AW398">
            <v>500277.74907640892</v>
          </cell>
          <cell r="AX398">
            <v>1638151.8566612904</v>
          </cell>
          <cell r="AY398">
            <v>3758825.6552414745</v>
          </cell>
          <cell r="AZ398">
            <v>4251529.7895645034</v>
          </cell>
          <cell r="BA398">
            <v>4490100.2536946535</v>
          </cell>
          <cell r="BB398">
            <v>4490100.2536946535</v>
          </cell>
        </row>
        <row r="399">
          <cell r="A399" t="str">
            <v>SPRT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32008.923261843942</v>
          </cell>
          <cell r="AI415">
            <v>31084.094007707681</v>
          </cell>
          <cell r="AJ415">
            <v>29650.22526550667</v>
          </cell>
          <cell r="AK415">
            <v>29938.727342641949</v>
          </cell>
          <cell r="AL415">
            <v>75762.832443513296</v>
          </cell>
          <cell r="AM415">
            <v>76251.050962644367</v>
          </cell>
          <cell r="AN415">
            <v>77822.085756026063</v>
          </cell>
          <cell r="AO415">
            <v>77839.512259058116</v>
          </cell>
          <cell r="AP415">
            <v>75452.802492544477</v>
          </cell>
          <cell r="AQ415">
            <v>80955.166122314695</v>
          </cell>
          <cell r="AR415">
            <v>76166.251098895824</v>
          </cell>
          <cell r="AS415">
            <v>83805.959365102972</v>
          </cell>
          <cell r="AT415">
            <v>85561.120293424785</v>
          </cell>
          <cell r="AU415">
            <v>98276.788923001135</v>
          </cell>
          <cell r="AV415">
            <v>106894.32395057651</v>
          </cell>
          <cell r="AW415">
            <v>140137.83304066648</v>
          </cell>
          <cell r="AX415">
            <v>1281925.5802902519</v>
          </cell>
          <cell r="AY415">
            <v>2422583.9813098456</v>
          </cell>
          <cell r="AZ415">
            <v>1304387.2314828206</v>
          </cell>
          <cell r="BA415">
            <v>572890.74690977065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32008.923261843942</v>
          </cell>
          <cell r="AI416">
            <v>63093.017269551623</v>
          </cell>
          <cell r="AJ416">
            <v>92743.242535058293</v>
          </cell>
          <cell r="AK416">
            <v>122681.96987770023</v>
          </cell>
          <cell r="AL416">
            <v>75762.832443513296</v>
          </cell>
          <cell r="AM416">
            <v>152013.88340615766</v>
          </cell>
          <cell r="AN416">
            <v>229835.9691621837</v>
          </cell>
          <cell r="AO416">
            <v>307675.48142124183</v>
          </cell>
          <cell r="AP416">
            <v>75452.802492544477</v>
          </cell>
          <cell r="AQ416">
            <v>156407.96861485916</v>
          </cell>
          <cell r="AR416">
            <v>232574.21971375501</v>
          </cell>
          <cell r="AS416">
            <v>316380.179078858</v>
          </cell>
          <cell r="AT416">
            <v>85561.120293424785</v>
          </cell>
          <cell r="AU416">
            <v>183837.90921642591</v>
          </cell>
          <cell r="AV416">
            <v>290732.23316700244</v>
          </cell>
          <cell r="AW416">
            <v>430870.06620766886</v>
          </cell>
          <cell r="AX416">
            <v>1281925.5802902519</v>
          </cell>
          <cell r="AY416">
            <v>3704509.5616000975</v>
          </cell>
          <cell r="AZ416">
            <v>5008896.793082918</v>
          </cell>
          <cell r="BA416">
            <v>5581787.5399926882</v>
          </cell>
          <cell r="BB416">
            <v>5581787.5399926882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32008.923261843942</v>
          </cell>
          <cell r="AI417">
            <v>63093.017269551623</v>
          </cell>
          <cell r="AJ417">
            <v>92743.242535058293</v>
          </cell>
          <cell r="AK417">
            <v>122681.96987770023</v>
          </cell>
          <cell r="AL417">
            <v>75762.832443513296</v>
          </cell>
          <cell r="AM417">
            <v>152013.88340615766</v>
          </cell>
          <cell r="AN417">
            <v>229835.9691621837</v>
          </cell>
          <cell r="AO417">
            <v>307675.48142124183</v>
          </cell>
          <cell r="AP417">
            <v>383128.28391378629</v>
          </cell>
          <cell r="AQ417">
            <v>464083.45003610104</v>
          </cell>
          <cell r="AR417">
            <v>540249.70113499684</v>
          </cell>
          <cell r="AS417">
            <v>624055.66050009988</v>
          </cell>
          <cell r="AT417">
            <v>709616.78079352458</v>
          </cell>
          <cell r="AU417">
            <v>807893.56971652573</v>
          </cell>
          <cell r="AV417">
            <v>914787.89366710221</v>
          </cell>
          <cell r="AW417">
            <v>1054925.7267077686</v>
          </cell>
          <cell r="AX417">
            <v>2336851.3069980205</v>
          </cell>
          <cell r="AY417">
            <v>4759435.2883078661</v>
          </cell>
          <cell r="AZ417">
            <v>6063822.5197906867</v>
          </cell>
          <cell r="BA417">
            <v>6636713.2667004578</v>
          </cell>
          <cell r="BB417">
            <v>6636713.2667004578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32008.923261843942</v>
          </cell>
          <cell r="AI418">
            <v>63093.017269551623</v>
          </cell>
          <cell r="AJ418">
            <v>92743.242535058293</v>
          </cell>
          <cell r="AK418">
            <v>122681.96987770023</v>
          </cell>
          <cell r="AL418">
            <v>198444.80232121353</v>
          </cell>
          <cell r="AM418">
            <v>274695.85328385793</v>
          </cell>
          <cell r="AN418">
            <v>352517.93903988402</v>
          </cell>
          <cell r="AO418">
            <v>430357.45129894209</v>
          </cell>
          <cell r="AP418">
            <v>505810.25379148661</v>
          </cell>
          <cell r="AQ418">
            <v>586765.41991380125</v>
          </cell>
          <cell r="AR418">
            <v>662931.67101269704</v>
          </cell>
          <cell r="AS418">
            <v>746737.63037779997</v>
          </cell>
          <cell r="AT418">
            <v>832298.75067122479</v>
          </cell>
          <cell r="AU418">
            <v>930575.53959422593</v>
          </cell>
          <cell r="AV418">
            <v>1037469.8635448024</v>
          </cell>
          <cell r="AW418">
            <v>1177607.6965854689</v>
          </cell>
          <cell r="AX418">
            <v>2459533.2768757204</v>
          </cell>
          <cell r="AY418">
            <v>4882117.2581855664</v>
          </cell>
          <cell r="AZ418">
            <v>6186504.4896683861</v>
          </cell>
          <cell r="BA418">
            <v>6759395.2365781572</v>
          </cell>
          <cell r="BB418">
            <v>6759395.2365781572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388355.24368095701</v>
          </cell>
          <cell r="C425">
            <v>351041.06008630426</v>
          </cell>
          <cell r="D425">
            <v>321326.28473009908</v>
          </cell>
          <cell r="E425">
            <v>330524.82783376164</v>
          </cell>
          <cell r="F425">
            <v>371525.89637136657</v>
          </cell>
          <cell r="G425">
            <v>521234.25968449528</v>
          </cell>
          <cell r="H425">
            <v>504675.1812529274</v>
          </cell>
          <cell r="I425">
            <v>449287.35088448919</v>
          </cell>
          <cell r="J425">
            <v>682746.57173533144</v>
          </cell>
          <cell r="K425">
            <v>547058.69764895272</v>
          </cell>
          <cell r="L425">
            <v>557925.05144243303</v>
          </cell>
          <cell r="M425">
            <v>575457.68960963318</v>
          </cell>
          <cell r="N425">
            <v>580046.87295371876</v>
          </cell>
          <cell r="O425">
            <v>589253.58706715098</v>
          </cell>
          <cell r="P425">
            <v>745712.13759634772</v>
          </cell>
          <cell r="Q425">
            <v>509459.45059024275</v>
          </cell>
          <cell r="R425">
            <v>666095.92575791199</v>
          </cell>
          <cell r="S425">
            <v>763674.46249713236</v>
          </cell>
          <cell r="T425">
            <v>1269322.0952319752</v>
          </cell>
          <cell r="U425">
            <v>804995.95955309784</v>
          </cell>
          <cell r="V425">
            <v>788178.57351100491</v>
          </cell>
          <cell r="W425">
            <v>806589.78429933253</v>
          </cell>
          <cell r="X425">
            <v>1157814.2734860582</v>
          </cell>
          <cell r="Y425">
            <v>961728.67229501123</v>
          </cell>
          <cell r="Z425">
            <v>1295159.9083485927</v>
          </cell>
          <cell r="AA425">
            <v>1077150.1521891092</v>
          </cell>
          <cell r="AB425">
            <v>1284794.0531021964</v>
          </cell>
          <cell r="AC425">
            <v>932668.78477109247</v>
          </cell>
          <cell r="AD425">
            <v>1090006.0323737124</v>
          </cell>
          <cell r="AE425">
            <v>1062944.3877609628</v>
          </cell>
          <cell r="AF425">
            <v>1246441.0158173132</v>
          </cell>
          <cell r="AG425">
            <v>1088622.5771817681</v>
          </cell>
          <cell r="AH425">
            <v>1205239.4894147366</v>
          </cell>
          <cell r="AI425">
            <v>1285476.3433240568</v>
          </cell>
          <cell r="AJ425">
            <v>1499121.4234111018</v>
          </cell>
          <cell r="AK425">
            <v>1457822.5288814656</v>
          </cell>
          <cell r="AL425">
            <v>1605075.3638095516</v>
          </cell>
          <cell r="AM425">
            <v>1440372.0876322875</v>
          </cell>
          <cell r="AN425">
            <v>1773091.1781417588</v>
          </cell>
          <cell r="AO425">
            <v>1423806.7462513177</v>
          </cell>
          <cell r="AP425">
            <v>1391709.5733344581</v>
          </cell>
          <cell r="AQ425">
            <v>1416541.1530186813</v>
          </cell>
          <cell r="AR425">
            <v>1655035.0245349677</v>
          </cell>
          <cell r="AS425">
            <v>1578013.6711497221</v>
          </cell>
          <cell r="AT425">
            <v>2040566.3816897392</v>
          </cell>
          <cell r="AU425">
            <v>2640701.160079747</v>
          </cell>
          <cell r="AV425">
            <v>2865065.8029975737</v>
          </cell>
          <cell r="AW425">
            <v>2877232.9330163687</v>
          </cell>
          <cell r="AX425">
            <v>4752931.2074692855</v>
          </cell>
          <cell r="AY425">
            <v>11509418.746699845</v>
          </cell>
          <cell r="AZ425">
            <v>26431113.237911735</v>
          </cell>
          <cell r="BA425">
            <v>12413231.168475272</v>
          </cell>
          <cell r="BB425">
            <v>0</v>
          </cell>
        </row>
        <row r="426">
          <cell r="A426" t="str">
            <v>ptd</v>
          </cell>
          <cell r="B426">
            <v>388355.24368095701</v>
          </cell>
          <cell r="C426">
            <v>739396.30376726133</v>
          </cell>
          <cell r="D426">
            <v>1060722.5884973605</v>
          </cell>
          <cell r="E426">
            <v>1391247.4163311222</v>
          </cell>
          <cell r="F426">
            <v>371525.89637136657</v>
          </cell>
          <cell r="G426">
            <v>892760.15605586185</v>
          </cell>
          <cell r="H426">
            <v>1397435.3373087891</v>
          </cell>
          <cell r="I426">
            <v>1846722.6881932784</v>
          </cell>
          <cell r="J426">
            <v>682746.57173533144</v>
          </cell>
          <cell r="K426">
            <v>1229805.269384284</v>
          </cell>
          <cell r="L426">
            <v>1787730.3208267172</v>
          </cell>
          <cell r="M426">
            <v>2363188.0104363505</v>
          </cell>
          <cell r="N426">
            <v>580046.87295371876</v>
          </cell>
          <cell r="O426">
            <v>1169300.4600208697</v>
          </cell>
          <cell r="P426">
            <v>1915012.5976172173</v>
          </cell>
          <cell r="Q426">
            <v>2424472.04820746</v>
          </cell>
          <cell r="R426">
            <v>666095.92575791199</v>
          </cell>
          <cell r="S426">
            <v>1429770.3882550444</v>
          </cell>
          <cell r="T426">
            <v>2699092.4834870193</v>
          </cell>
          <cell r="U426">
            <v>3504088.4430401172</v>
          </cell>
          <cell r="V426">
            <v>788178.57351100491</v>
          </cell>
          <cell r="W426">
            <v>1594768.3578103376</v>
          </cell>
          <cell r="X426">
            <v>2752582.6312963958</v>
          </cell>
          <cell r="Y426">
            <v>3714311.3035914069</v>
          </cell>
          <cell r="Z426">
            <v>1295159.9083485927</v>
          </cell>
          <cell r="AA426">
            <v>2372310.0605377019</v>
          </cell>
          <cell r="AB426">
            <v>3657104.1136398986</v>
          </cell>
          <cell r="AC426">
            <v>4589772.8984109908</v>
          </cell>
          <cell r="AD426">
            <v>1090006.0323737124</v>
          </cell>
          <cell r="AE426">
            <v>2152950.4201346752</v>
          </cell>
          <cell r="AF426">
            <v>3399391.4359519882</v>
          </cell>
          <cell r="AG426">
            <v>4488014.0131337568</v>
          </cell>
          <cell r="AH426">
            <v>1205239.4894147366</v>
          </cell>
          <cell r="AI426">
            <v>2490715.8327387935</v>
          </cell>
          <cell r="AJ426">
            <v>3989837.2561498955</v>
          </cell>
          <cell r="AK426">
            <v>5447659.7850313615</v>
          </cell>
          <cell r="AL426">
            <v>1605075.3638095516</v>
          </cell>
          <cell r="AM426">
            <v>3045447.4514418393</v>
          </cell>
          <cell r="AN426">
            <v>4818538.6295835981</v>
          </cell>
          <cell r="AO426">
            <v>6242345.3758349158</v>
          </cell>
          <cell r="AP426">
            <v>1391709.5733344581</v>
          </cell>
          <cell r="AQ426">
            <v>2808250.7263531396</v>
          </cell>
          <cell r="AR426">
            <v>4463285.7508881073</v>
          </cell>
          <cell r="AS426">
            <v>6041299.4220378296</v>
          </cell>
          <cell r="AT426">
            <v>2040566.3816897392</v>
          </cell>
          <cell r="AU426">
            <v>4681267.5417694859</v>
          </cell>
          <cell r="AV426">
            <v>7546333.3447670601</v>
          </cell>
          <cell r="AW426">
            <v>10423566.277783429</v>
          </cell>
          <cell r="AX426">
            <v>4752931.2074692855</v>
          </cell>
          <cell r="AY426">
            <v>16262349.954169132</v>
          </cell>
          <cell r="AZ426">
            <v>42693463.19208087</v>
          </cell>
          <cell r="BA426">
            <v>55106694.360556141</v>
          </cell>
          <cell r="BB426">
            <v>55106694.360556141</v>
          </cell>
        </row>
        <row r="427">
          <cell r="A427" t="str">
            <v>qtd</v>
          </cell>
          <cell r="B427">
            <v>388355.24368095701</v>
          </cell>
          <cell r="C427">
            <v>739396.30376726133</v>
          </cell>
          <cell r="D427">
            <v>1060722.5884973605</v>
          </cell>
          <cell r="E427">
            <v>1391247.4163311222</v>
          </cell>
          <cell r="F427">
            <v>1762773.3127024886</v>
          </cell>
          <cell r="G427">
            <v>2284007.5723869838</v>
          </cell>
          <cell r="H427">
            <v>2788682.7536399113</v>
          </cell>
          <cell r="I427">
            <v>3237970.1045244006</v>
          </cell>
          <cell r="J427">
            <v>3920716.6762597319</v>
          </cell>
          <cell r="K427">
            <v>4467775.3739086846</v>
          </cell>
          <cell r="L427">
            <v>5025700.4253511177</v>
          </cell>
          <cell r="M427">
            <v>5601158.1149607506</v>
          </cell>
          <cell r="N427">
            <v>580046.87295371876</v>
          </cell>
          <cell r="O427">
            <v>1169300.4600208697</v>
          </cell>
          <cell r="P427">
            <v>1915012.5976172173</v>
          </cell>
          <cell r="Q427">
            <v>2424472.04820746</v>
          </cell>
          <cell r="R427">
            <v>3090567.973965372</v>
          </cell>
          <cell r="S427">
            <v>3854242.4364625043</v>
          </cell>
          <cell r="T427">
            <v>5123564.5316944793</v>
          </cell>
          <cell r="U427">
            <v>5928560.4912475776</v>
          </cell>
          <cell r="V427">
            <v>6716739.064758582</v>
          </cell>
          <cell r="W427">
            <v>7523328.8490579147</v>
          </cell>
          <cell r="X427">
            <v>8681143.122543972</v>
          </cell>
          <cell r="Y427">
            <v>9642871.7948389836</v>
          </cell>
          <cell r="Z427">
            <v>1295159.9083485927</v>
          </cell>
          <cell r="AA427">
            <v>2372310.0605377019</v>
          </cell>
          <cell r="AB427">
            <v>3657104.1136398986</v>
          </cell>
          <cell r="AC427">
            <v>4589772.8984109908</v>
          </cell>
          <cell r="AD427">
            <v>5679778.9307847032</v>
          </cell>
          <cell r="AE427">
            <v>6742723.3185456656</v>
          </cell>
          <cell r="AF427">
            <v>7989164.334362979</v>
          </cell>
          <cell r="AG427">
            <v>9077786.9115447477</v>
          </cell>
          <cell r="AH427">
            <v>10283026.400959484</v>
          </cell>
          <cell r="AI427">
            <v>11568502.744283542</v>
          </cell>
          <cell r="AJ427">
            <v>13067624.167694643</v>
          </cell>
          <cell r="AK427">
            <v>14525446.696576109</v>
          </cell>
          <cell r="AL427">
            <v>1605075.3638095516</v>
          </cell>
          <cell r="AM427">
            <v>3045447.4514418393</v>
          </cell>
          <cell r="AN427">
            <v>4818538.6295835981</v>
          </cell>
          <cell r="AO427">
            <v>6242345.3758349158</v>
          </cell>
          <cell r="AP427">
            <v>7634054.9491693741</v>
          </cell>
          <cell r="AQ427">
            <v>9050596.1021880545</v>
          </cell>
          <cell r="AR427">
            <v>10705631.126723021</v>
          </cell>
          <cell r="AS427">
            <v>12283644.797872743</v>
          </cell>
          <cell r="AT427">
            <v>14324211.179562481</v>
          </cell>
          <cell r="AU427">
            <v>16964912.339642227</v>
          </cell>
          <cell r="AV427">
            <v>19829978.142639801</v>
          </cell>
          <cell r="AW427">
            <v>22707211.075656168</v>
          </cell>
          <cell r="AX427">
            <v>27460142.283125453</v>
          </cell>
          <cell r="AY427">
            <v>38969561.0298253</v>
          </cell>
          <cell r="AZ427">
            <v>65400674.267737031</v>
          </cell>
          <cell r="BA427">
            <v>77813905.436212301</v>
          </cell>
          <cell r="BB427">
            <v>77813905.436212301</v>
          </cell>
        </row>
        <row r="428">
          <cell r="A428" t="str">
            <v>ytd</v>
          </cell>
          <cell r="B428">
            <v>388355.24368095701</v>
          </cell>
          <cell r="C428">
            <v>739396.30376726133</v>
          </cell>
          <cell r="D428">
            <v>1060722.5884973605</v>
          </cell>
          <cell r="E428">
            <v>1391247.4163311222</v>
          </cell>
          <cell r="F428">
            <v>1762773.3127024886</v>
          </cell>
          <cell r="G428">
            <v>2284007.5723869838</v>
          </cell>
          <cell r="H428">
            <v>2788682.7536399113</v>
          </cell>
          <cell r="I428">
            <v>3237970.1045244006</v>
          </cell>
          <cell r="J428">
            <v>3920716.6762597319</v>
          </cell>
          <cell r="K428">
            <v>4467775.3739086846</v>
          </cell>
          <cell r="L428">
            <v>5025700.4253511177</v>
          </cell>
          <cell r="M428">
            <v>5601158.1149607506</v>
          </cell>
          <cell r="N428">
            <v>6181204.9879144691</v>
          </cell>
          <cell r="O428">
            <v>6770458.5749816205</v>
          </cell>
          <cell r="P428">
            <v>7516170.7125779679</v>
          </cell>
          <cell r="Q428">
            <v>8025630.1631682105</v>
          </cell>
          <cell r="R428">
            <v>8691726.0889261216</v>
          </cell>
          <cell r="S428">
            <v>9455400.5514232535</v>
          </cell>
          <cell r="T428">
            <v>10724722.646655228</v>
          </cell>
          <cell r="U428">
            <v>11529718.606208326</v>
          </cell>
          <cell r="V428">
            <v>12317897.179719331</v>
          </cell>
          <cell r="W428">
            <v>13124486.964018663</v>
          </cell>
          <cell r="X428">
            <v>14282301.237504721</v>
          </cell>
          <cell r="Y428">
            <v>15244029.909799732</v>
          </cell>
          <cell r="Z428">
            <v>16539189.818148324</v>
          </cell>
          <cell r="AA428">
            <v>17616339.970337432</v>
          </cell>
          <cell r="AB428">
            <v>18901134.023439627</v>
          </cell>
          <cell r="AC428">
            <v>19833802.808210719</v>
          </cell>
          <cell r="AD428">
            <v>20923808.840584431</v>
          </cell>
          <cell r="AE428">
            <v>21986753.228345394</v>
          </cell>
          <cell r="AF428">
            <v>23233194.244162709</v>
          </cell>
          <cell r="AG428">
            <v>24321816.821344476</v>
          </cell>
          <cell r="AH428">
            <v>25527056.310759213</v>
          </cell>
          <cell r="AI428">
            <v>26812532.654083271</v>
          </cell>
          <cell r="AJ428">
            <v>28311654.077494372</v>
          </cell>
          <cell r="AK428">
            <v>29769476.606375836</v>
          </cell>
          <cell r="AL428">
            <v>31374551.970185388</v>
          </cell>
          <cell r="AM428">
            <v>32814924.057817675</v>
          </cell>
          <cell r="AN428">
            <v>34588015.235959433</v>
          </cell>
          <cell r="AO428">
            <v>36011821.982210748</v>
          </cell>
          <cell r="AP428">
            <v>37403531.555545203</v>
          </cell>
          <cell r="AQ428">
            <v>38820072.708563887</v>
          </cell>
          <cell r="AR428">
            <v>40475107.733098857</v>
          </cell>
          <cell r="AS428">
            <v>42053121.40424858</v>
          </cell>
          <cell r="AT428">
            <v>44093687.785938323</v>
          </cell>
          <cell r="AU428">
            <v>46734388.94601807</v>
          </cell>
          <cell r="AV428">
            <v>49599454.749015644</v>
          </cell>
          <cell r="AW428">
            <v>52476687.682032011</v>
          </cell>
          <cell r="AX428">
            <v>57229618.889501296</v>
          </cell>
          <cell r="AY428">
            <v>68739037.636201143</v>
          </cell>
          <cell r="AZ428">
            <v>95170150.874112874</v>
          </cell>
          <cell r="BA428">
            <v>107583382.04258814</v>
          </cell>
          <cell r="BB428">
            <v>107583382.04258814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154720.79713068012</v>
          </cell>
          <cell r="C433">
            <v>194076.84950012006</v>
          </cell>
          <cell r="D433">
            <v>159404.85582144535</v>
          </cell>
          <cell r="E433">
            <v>149502.11481078033</v>
          </cell>
          <cell r="F433">
            <v>157153.92663946532</v>
          </cell>
          <cell r="G433">
            <v>185682.57531584427</v>
          </cell>
          <cell r="H433">
            <v>188768.6739429161</v>
          </cell>
          <cell r="I433">
            <v>211296.47624476557</v>
          </cell>
          <cell r="J433">
            <v>238149.14702353126</v>
          </cell>
          <cell r="K433">
            <v>210731.20380673878</v>
          </cell>
          <cell r="L433">
            <v>219586.36288588771</v>
          </cell>
          <cell r="M433">
            <v>215193.77207656688</v>
          </cell>
          <cell r="N433">
            <v>204712.36010071111</v>
          </cell>
          <cell r="O433">
            <v>248840.97217742488</v>
          </cell>
          <cell r="P433">
            <v>381060.71057272906</v>
          </cell>
          <cell r="Q433">
            <v>236084.7732420814</v>
          </cell>
          <cell r="R433">
            <v>233549.93045153303</v>
          </cell>
          <cell r="S433">
            <v>262326.9108381492</v>
          </cell>
          <cell r="T433">
            <v>526431.45383458154</v>
          </cell>
          <cell r="U433">
            <v>269050.53767320147</v>
          </cell>
          <cell r="V433">
            <v>276884.43476350082</v>
          </cell>
          <cell r="W433">
            <v>317415.85557531728</v>
          </cell>
          <cell r="X433">
            <v>517760.7666833176</v>
          </cell>
          <cell r="Y433">
            <v>297742.64924462658</v>
          </cell>
          <cell r="Z433">
            <v>292101.68369073502</v>
          </cell>
          <cell r="AA433">
            <v>315823.33229754213</v>
          </cell>
          <cell r="AB433">
            <v>434700.49109763309</v>
          </cell>
          <cell r="AC433">
            <v>278535.47674899263</v>
          </cell>
          <cell r="AD433">
            <v>300999.86572017084</v>
          </cell>
          <cell r="AE433">
            <v>305456.05871833168</v>
          </cell>
          <cell r="AF433">
            <v>455345.24640894803</v>
          </cell>
          <cell r="AG433">
            <v>326443.78699144215</v>
          </cell>
          <cell r="AH433">
            <v>339386.19216576597</v>
          </cell>
          <cell r="AI433">
            <v>321861.43523073616</v>
          </cell>
          <cell r="AJ433">
            <v>453302.67664637952</v>
          </cell>
          <cell r="AK433">
            <v>474116.4915322091</v>
          </cell>
          <cell r="AL433">
            <v>427528.58299859322</v>
          </cell>
          <cell r="AM433">
            <v>430168.42362827453</v>
          </cell>
          <cell r="AN433">
            <v>573260.91146485833</v>
          </cell>
          <cell r="AO433">
            <v>443997.81132701255</v>
          </cell>
          <cell r="AP433">
            <v>426484.33791069011</v>
          </cell>
          <cell r="AQ433">
            <v>485792.33610083786</v>
          </cell>
          <cell r="AR433">
            <v>576302.77160836069</v>
          </cell>
          <cell r="AS433">
            <v>475214.07194855728</v>
          </cell>
          <cell r="AT433">
            <v>494912.05307073216</v>
          </cell>
          <cell r="AU433">
            <v>576205.95794873824</v>
          </cell>
          <cell r="AV433">
            <v>847564.51557565969</v>
          </cell>
          <cell r="AW433">
            <v>820550.78932114574</v>
          </cell>
          <cell r="AX433">
            <v>2326802.0487725767</v>
          </cell>
          <cell r="AY433">
            <v>5464585.1816658136</v>
          </cell>
          <cell r="AZ433">
            <v>6962798.4828244317</v>
          </cell>
          <cell r="BA433">
            <v>2886241.6780881118</v>
          </cell>
          <cell r="BB433">
            <v>0</v>
          </cell>
        </row>
        <row r="434">
          <cell r="A434" t="str">
            <v>ptd</v>
          </cell>
          <cell r="B434">
            <v>154720.79713068012</v>
          </cell>
          <cell r="C434">
            <v>348797.64663080021</v>
          </cell>
          <cell r="D434">
            <v>508202.50245224556</v>
          </cell>
          <cell r="E434">
            <v>657704.61726302584</v>
          </cell>
          <cell r="F434">
            <v>157153.92663946532</v>
          </cell>
          <cell r="G434">
            <v>342836.50195530959</v>
          </cell>
          <cell r="H434">
            <v>531605.17589822575</v>
          </cell>
          <cell r="I434">
            <v>742901.65214299131</v>
          </cell>
          <cell r="J434">
            <v>238149.14702353126</v>
          </cell>
          <cell r="K434">
            <v>448880.35083027004</v>
          </cell>
          <cell r="L434">
            <v>668466.71371615771</v>
          </cell>
          <cell r="M434">
            <v>883660.48579272465</v>
          </cell>
          <cell r="N434">
            <v>204712.36010071111</v>
          </cell>
          <cell r="O434">
            <v>453553.33227813599</v>
          </cell>
          <cell r="P434">
            <v>834614.04285086505</v>
          </cell>
          <cell r="Q434">
            <v>1070698.8160929466</v>
          </cell>
          <cell r="R434">
            <v>233549.93045153303</v>
          </cell>
          <cell r="S434">
            <v>495876.8412896822</v>
          </cell>
          <cell r="T434">
            <v>1022308.2951242637</v>
          </cell>
          <cell r="U434">
            <v>1291358.8327974651</v>
          </cell>
          <cell r="V434">
            <v>276884.43476350082</v>
          </cell>
          <cell r="W434">
            <v>594300.2903388181</v>
          </cell>
          <cell r="X434">
            <v>1112061.0570221357</v>
          </cell>
          <cell r="Y434">
            <v>1409803.7062667622</v>
          </cell>
          <cell r="Z434">
            <v>292101.68369073502</v>
          </cell>
          <cell r="AA434">
            <v>607925.01598827715</v>
          </cell>
          <cell r="AB434">
            <v>1042625.5070859103</v>
          </cell>
          <cell r="AC434">
            <v>1321160.983834903</v>
          </cell>
          <cell r="AD434">
            <v>300999.86572017084</v>
          </cell>
          <cell r="AE434">
            <v>606455.92443850252</v>
          </cell>
          <cell r="AF434">
            <v>1061801.1708474506</v>
          </cell>
          <cell r="AG434">
            <v>1388244.9578388927</v>
          </cell>
          <cell r="AH434">
            <v>339386.19216576597</v>
          </cell>
          <cell r="AI434">
            <v>661247.62739650207</v>
          </cell>
          <cell r="AJ434">
            <v>1114550.3040428816</v>
          </cell>
          <cell r="AK434">
            <v>1588666.7955750907</v>
          </cell>
          <cell r="AL434">
            <v>427528.58299859322</v>
          </cell>
          <cell r="AM434">
            <v>857697.00662686769</v>
          </cell>
          <cell r="AN434">
            <v>1430957.918091726</v>
          </cell>
          <cell r="AO434">
            <v>1874955.7294187385</v>
          </cell>
          <cell r="AP434">
            <v>426484.33791069011</v>
          </cell>
          <cell r="AQ434">
            <v>912276.67401152803</v>
          </cell>
          <cell r="AR434">
            <v>1488579.4456198886</v>
          </cell>
          <cell r="AS434">
            <v>1963793.5175684458</v>
          </cell>
          <cell r="AT434">
            <v>494912.05307073216</v>
          </cell>
          <cell r="AU434">
            <v>1071118.0110194704</v>
          </cell>
          <cell r="AV434">
            <v>1918682.5265951301</v>
          </cell>
          <cell r="AW434">
            <v>2739233.3159162756</v>
          </cell>
          <cell r="AX434">
            <v>2326802.0487725767</v>
          </cell>
          <cell r="AY434">
            <v>7791387.2304383907</v>
          </cell>
          <cell r="AZ434">
            <v>14754185.713262822</v>
          </cell>
          <cell r="BA434">
            <v>17640427.391350932</v>
          </cell>
          <cell r="BB434">
            <v>17640427.391350932</v>
          </cell>
        </row>
        <row r="435">
          <cell r="A435" t="str">
            <v>qtd</v>
          </cell>
          <cell r="B435">
            <v>154720.79713068012</v>
          </cell>
          <cell r="C435">
            <v>348797.64663080021</v>
          </cell>
          <cell r="D435">
            <v>508202.50245224556</v>
          </cell>
          <cell r="E435">
            <v>657704.61726302584</v>
          </cell>
          <cell r="F435">
            <v>814858.54390249122</v>
          </cell>
          <cell r="G435">
            <v>1000541.1192183355</v>
          </cell>
          <cell r="H435">
            <v>1189309.7931612516</v>
          </cell>
          <cell r="I435">
            <v>1400606.2694060171</v>
          </cell>
          <cell r="J435">
            <v>1638755.4164295485</v>
          </cell>
          <cell r="K435">
            <v>1849486.6202362874</v>
          </cell>
          <cell r="L435">
            <v>2069072.9831221751</v>
          </cell>
          <cell r="M435">
            <v>2284266.7551987418</v>
          </cell>
          <cell r="N435">
            <v>204712.36010071111</v>
          </cell>
          <cell r="O435">
            <v>453553.33227813599</v>
          </cell>
          <cell r="P435">
            <v>834614.04285086505</v>
          </cell>
          <cell r="Q435">
            <v>1070698.8160929466</v>
          </cell>
          <cell r="R435">
            <v>1304248.7465444796</v>
          </cell>
          <cell r="S435">
            <v>1566575.6573826289</v>
          </cell>
          <cell r="T435">
            <v>2093007.1112172105</v>
          </cell>
          <cell r="U435">
            <v>2362057.6488904119</v>
          </cell>
          <cell r="V435">
            <v>2638942.0836539129</v>
          </cell>
          <cell r="W435">
            <v>2956357.9392292304</v>
          </cell>
          <cell r="X435">
            <v>3474118.7059125481</v>
          </cell>
          <cell r="Y435">
            <v>3771861.3551571746</v>
          </cell>
          <cell r="Z435">
            <v>292101.68369073502</v>
          </cell>
          <cell r="AA435">
            <v>607925.01598827715</v>
          </cell>
          <cell r="AB435">
            <v>1042625.5070859103</v>
          </cell>
          <cell r="AC435">
            <v>1321160.983834903</v>
          </cell>
          <cell r="AD435">
            <v>1622160.8495550738</v>
          </cell>
          <cell r="AE435">
            <v>1927616.9082734054</v>
          </cell>
          <cell r="AF435">
            <v>2382962.1546823536</v>
          </cell>
          <cell r="AG435">
            <v>2709405.9416737957</v>
          </cell>
          <cell r="AH435">
            <v>3048792.1338395616</v>
          </cell>
          <cell r="AI435">
            <v>3370653.5690702978</v>
          </cell>
          <cell r="AJ435">
            <v>3823956.245716677</v>
          </cell>
          <cell r="AK435">
            <v>4298072.7372488864</v>
          </cell>
          <cell r="AL435">
            <v>427528.58299859322</v>
          </cell>
          <cell r="AM435">
            <v>857697.00662686769</v>
          </cell>
          <cell r="AN435">
            <v>1430957.918091726</v>
          </cell>
          <cell r="AO435">
            <v>1874955.7294187385</v>
          </cell>
          <cell r="AP435">
            <v>2301440.0673294286</v>
          </cell>
          <cell r="AQ435">
            <v>2787232.4034302663</v>
          </cell>
          <cell r="AR435">
            <v>3363535.1750386269</v>
          </cell>
          <cell r="AS435">
            <v>3838749.246987184</v>
          </cell>
          <cell r="AT435">
            <v>4333661.300057916</v>
          </cell>
          <cell r="AU435">
            <v>4909867.2580066547</v>
          </cell>
          <cell r="AV435">
            <v>5757431.7735823141</v>
          </cell>
          <cell r="AW435">
            <v>6577982.5629034601</v>
          </cell>
          <cell r="AX435">
            <v>8904784.6116760373</v>
          </cell>
          <cell r="AY435">
            <v>14369369.793341851</v>
          </cell>
          <cell r="AZ435">
            <v>21332168.276166283</v>
          </cell>
          <cell r="BA435">
            <v>24218409.954254396</v>
          </cell>
          <cell r="BB435">
            <v>24218409.954254396</v>
          </cell>
        </row>
        <row r="436">
          <cell r="A436" t="str">
            <v>ytd</v>
          </cell>
          <cell r="B436">
            <v>154720.79713068012</v>
          </cell>
          <cell r="C436">
            <v>348797.64663080021</v>
          </cell>
          <cell r="D436">
            <v>508202.50245224556</v>
          </cell>
          <cell r="E436">
            <v>657704.61726302584</v>
          </cell>
          <cell r="F436">
            <v>814858.54390249122</v>
          </cell>
          <cell r="G436">
            <v>1000541.1192183355</v>
          </cell>
          <cell r="H436">
            <v>1189309.7931612516</v>
          </cell>
          <cell r="I436">
            <v>1400606.2694060171</v>
          </cell>
          <cell r="J436">
            <v>1638755.4164295485</v>
          </cell>
          <cell r="K436">
            <v>1849486.6202362874</v>
          </cell>
          <cell r="L436">
            <v>2069072.9831221751</v>
          </cell>
          <cell r="M436">
            <v>2284266.7551987418</v>
          </cell>
          <cell r="N436">
            <v>2488979.115299453</v>
          </cell>
          <cell r="O436">
            <v>2737820.087476878</v>
          </cell>
          <cell r="P436">
            <v>3118880.7980496068</v>
          </cell>
          <cell r="Q436">
            <v>3354965.5712916884</v>
          </cell>
          <cell r="R436">
            <v>3588515.5017432212</v>
          </cell>
          <cell r="S436">
            <v>3850842.4125813702</v>
          </cell>
          <cell r="T436">
            <v>4377273.8664159514</v>
          </cell>
          <cell r="U436">
            <v>4646324.4040891528</v>
          </cell>
          <cell r="V436">
            <v>4923208.8388526533</v>
          </cell>
          <cell r="W436">
            <v>5240624.6944279708</v>
          </cell>
          <cell r="X436">
            <v>5758385.4611112885</v>
          </cell>
          <cell r="Y436">
            <v>6056128.1103559155</v>
          </cell>
          <cell r="Z436">
            <v>6348229.7940466506</v>
          </cell>
          <cell r="AA436">
            <v>6664053.1263441928</v>
          </cell>
          <cell r="AB436">
            <v>7098753.6174418256</v>
          </cell>
          <cell r="AC436">
            <v>7377289.0941908183</v>
          </cell>
          <cell r="AD436">
            <v>7678288.9599109888</v>
          </cell>
          <cell r="AE436">
            <v>7983745.0186293209</v>
          </cell>
          <cell r="AF436">
            <v>8439090.2650382686</v>
          </cell>
          <cell r="AG436">
            <v>8765534.0520297103</v>
          </cell>
          <cell r="AH436">
            <v>9104920.2441954762</v>
          </cell>
          <cell r="AI436">
            <v>9426781.6794262119</v>
          </cell>
          <cell r="AJ436">
            <v>9880084.3560725916</v>
          </cell>
          <cell r="AK436">
            <v>10354200.8476048</v>
          </cell>
          <cell r="AL436">
            <v>10781729.430603392</v>
          </cell>
          <cell r="AM436">
            <v>11211897.854231667</v>
          </cell>
          <cell r="AN436">
            <v>11785158.765696526</v>
          </cell>
          <cell r="AO436">
            <v>12229156.577023538</v>
          </cell>
          <cell r="AP436">
            <v>12655640.914934227</v>
          </cell>
          <cell r="AQ436">
            <v>13141433.251035064</v>
          </cell>
          <cell r="AR436">
            <v>13717736.022643425</v>
          </cell>
          <cell r="AS436">
            <v>14192950.094591983</v>
          </cell>
          <cell r="AT436">
            <v>14687862.147662714</v>
          </cell>
          <cell r="AU436">
            <v>15264068.105611453</v>
          </cell>
          <cell r="AV436">
            <v>16111632.621187113</v>
          </cell>
          <cell r="AW436">
            <v>16932183.41050826</v>
          </cell>
          <cell r="AX436">
            <v>19258985.459280837</v>
          </cell>
          <cell r="AY436">
            <v>24723570.640946649</v>
          </cell>
          <cell r="AZ436">
            <v>31686369.123771079</v>
          </cell>
          <cell r="BA436">
            <v>34572610.801859193</v>
          </cell>
          <cell r="BB436">
            <v>34572610.801859193</v>
          </cell>
        </row>
        <row r="437">
          <cell r="A437" t="str">
            <v>SPRT</v>
          </cell>
          <cell r="B437">
            <v>6067.4546174241423</v>
          </cell>
          <cell r="C437">
            <v>6355.4927205628628</v>
          </cell>
          <cell r="D437">
            <v>6481.6347513989585</v>
          </cell>
          <cell r="E437">
            <v>6664.1288521568094</v>
          </cell>
          <cell r="F437">
            <v>7502.4351486440564</v>
          </cell>
          <cell r="G437">
            <v>11818.823209551092</v>
          </cell>
          <cell r="H437">
            <v>8287.6993286323104</v>
          </cell>
          <cell r="I437">
            <v>8674.9989433148312</v>
          </cell>
          <cell r="J437">
            <v>16133.129544310383</v>
          </cell>
          <cell r="K437">
            <v>10334.319158398599</v>
          </cell>
          <cell r="L437">
            <v>9115.5668722655391</v>
          </cell>
          <cell r="M437">
            <v>8890.7990407907837</v>
          </cell>
          <cell r="N437">
            <v>8498.7430022569042</v>
          </cell>
          <cell r="O437">
            <v>9943.0444625524451</v>
          </cell>
          <cell r="P437">
            <v>7859.0550507589787</v>
          </cell>
          <cell r="Q437">
            <v>8021.9978544225505</v>
          </cell>
          <cell r="R437">
            <v>8778.5273939028193</v>
          </cell>
          <cell r="S437">
            <v>12306.628327093824</v>
          </cell>
          <cell r="T437">
            <v>10847.98751811631</v>
          </cell>
          <cell r="U437">
            <v>11678.847209066435</v>
          </cell>
          <cell r="V437">
            <v>11666.375109738381</v>
          </cell>
          <cell r="W437">
            <v>10476.438022713435</v>
          </cell>
          <cell r="X437">
            <v>11858.926835979015</v>
          </cell>
          <cell r="Y437">
            <v>14012.344422416449</v>
          </cell>
          <cell r="Z437">
            <v>11554.917914718531</v>
          </cell>
          <cell r="AA437">
            <v>11881.823256786296</v>
          </cell>
          <cell r="AB437">
            <v>11588.29563191433</v>
          </cell>
          <cell r="AC437">
            <v>11190.115576411923</v>
          </cell>
          <cell r="AD437">
            <v>12309.964658173098</v>
          </cell>
          <cell r="AE437">
            <v>11514.67633471623</v>
          </cell>
          <cell r="AF437">
            <v>10691.53920395935</v>
          </cell>
          <cell r="AG437">
            <v>10391.558819841463</v>
          </cell>
          <cell r="AH437">
            <v>10403.795285080934</v>
          </cell>
          <cell r="AI437">
            <v>10562.29476344972</v>
          </cell>
          <cell r="AJ437">
            <v>10172.818978527928</v>
          </cell>
          <cell r="AK437">
            <v>13677.233495245591</v>
          </cell>
          <cell r="AL437">
            <v>21450.542751011584</v>
          </cell>
          <cell r="AM437">
            <v>19832.174347938311</v>
          </cell>
          <cell r="AN437">
            <v>19510.332317337841</v>
          </cell>
          <cell r="AO437">
            <v>20239.926824594422</v>
          </cell>
          <cell r="AP437">
            <v>19454.064375805814</v>
          </cell>
          <cell r="AQ437">
            <v>18278.594018557924</v>
          </cell>
          <cell r="AR437">
            <v>18497.480319409071</v>
          </cell>
          <cell r="AS437">
            <v>20790.080622693116</v>
          </cell>
          <cell r="AT437">
            <v>31723.213425534883</v>
          </cell>
          <cell r="AU437">
            <v>48997.614211649859</v>
          </cell>
          <cell r="AV437">
            <v>39453.288722053192</v>
          </cell>
          <cell r="AW437">
            <v>39832.20623810697</v>
          </cell>
          <cell r="AX437">
            <v>80932.440849197286</v>
          </cell>
          <cell r="AY437">
            <v>162790.50168360822</v>
          </cell>
          <cell r="AZ437">
            <v>393780.44038509327</v>
          </cell>
          <cell r="BA437">
            <v>139290.87889133647</v>
          </cell>
          <cell r="BB437">
            <v>0</v>
          </cell>
        </row>
        <row r="438">
          <cell r="A438" t="str">
            <v>ptd</v>
          </cell>
          <cell r="B438">
            <v>6067.4546174241423</v>
          </cell>
          <cell r="C438">
            <v>12422.947337987005</v>
          </cell>
          <cell r="D438">
            <v>18904.582089385964</v>
          </cell>
          <cell r="E438">
            <v>25568.710941542773</v>
          </cell>
          <cell r="F438">
            <v>7502.4351486440564</v>
          </cell>
          <cell r="G438">
            <v>19321.258358195148</v>
          </cell>
          <cell r="H438">
            <v>27608.95768682746</v>
          </cell>
          <cell r="I438">
            <v>36283.956630142289</v>
          </cell>
          <cell r="J438">
            <v>16133.129544310383</v>
          </cell>
          <cell r="K438">
            <v>26467.448702708982</v>
          </cell>
          <cell r="L438">
            <v>35583.015574974517</v>
          </cell>
          <cell r="M438">
            <v>44473.814615765303</v>
          </cell>
          <cell r="N438">
            <v>8498.7430022569042</v>
          </cell>
          <cell r="O438">
            <v>18441.787464809349</v>
          </cell>
          <cell r="P438">
            <v>26300.842515568329</v>
          </cell>
          <cell r="Q438">
            <v>34322.840369990881</v>
          </cell>
          <cell r="R438">
            <v>8778.5273939028193</v>
          </cell>
          <cell r="S438">
            <v>21085.155720996641</v>
          </cell>
          <cell r="T438">
            <v>31933.143239112949</v>
          </cell>
          <cell r="U438">
            <v>43611.990448179386</v>
          </cell>
          <cell r="V438">
            <v>11666.375109738381</v>
          </cell>
          <cell r="W438">
            <v>22142.813132451818</v>
          </cell>
          <cell r="X438">
            <v>34001.739968430833</v>
          </cell>
          <cell r="Y438">
            <v>48014.084390847282</v>
          </cell>
          <cell r="Z438">
            <v>11554.917914718531</v>
          </cell>
          <cell r="AA438">
            <v>23436.741171504829</v>
          </cell>
          <cell r="AB438">
            <v>35025.036803419163</v>
          </cell>
          <cell r="AC438">
            <v>46215.152379831088</v>
          </cell>
          <cell r="AD438">
            <v>12309.964658173098</v>
          </cell>
          <cell r="AE438">
            <v>23824.640992889326</v>
          </cell>
          <cell r="AF438">
            <v>34516.180196848676</v>
          </cell>
          <cell r="AG438">
            <v>44907.739016690139</v>
          </cell>
          <cell r="AH438">
            <v>10403.795285080934</v>
          </cell>
          <cell r="AI438">
            <v>20966.090048530656</v>
          </cell>
          <cell r="AJ438">
            <v>31138.909027058584</v>
          </cell>
          <cell r="AK438">
            <v>44816.142522304173</v>
          </cell>
          <cell r="AL438">
            <v>21450.542751011584</v>
          </cell>
          <cell r="AM438">
            <v>41282.717098949899</v>
          </cell>
          <cell r="AN438">
            <v>60793.049416287744</v>
          </cell>
          <cell r="AO438">
            <v>81032.97624088217</v>
          </cell>
          <cell r="AP438">
            <v>19454.064375805814</v>
          </cell>
          <cell r="AQ438">
            <v>37732.658394363738</v>
          </cell>
          <cell r="AR438">
            <v>56230.138713772809</v>
          </cell>
          <cell r="AS438">
            <v>77020.219336465932</v>
          </cell>
          <cell r="AT438">
            <v>31723.213425534883</v>
          </cell>
          <cell r="AU438">
            <v>80720.827637184746</v>
          </cell>
          <cell r="AV438">
            <v>120174.11635923793</v>
          </cell>
          <cell r="AW438">
            <v>160006.3225973449</v>
          </cell>
          <cell r="AX438">
            <v>80932.440849197286</v>
          </cell>
          <cell r="AY438">
            <v>243722.94253280549</v>
          </cell>
          <cell r="AZ438">
            <v>637503.38291789871</v>
          </cell>
          <cell r="BA438">
            <v>776794.26180923521</v>
          </cell>
          <cell r="BB438">
            <v>776794.26180923521</v>
          </cell>
        </row>
        <row r="439">
          <cell r="A439" t="str">
            <v>qtd</v>
          </cell>
          <cell r="B439">
            <v>6067.4546174241423</v>
          </cell>
          <cell r="C439">
            <v>12422.947337987005</v>
          </cell>
          <cell r="D439">
            <v>18904.582089385964</v>
          </cell>
          <cell r="E439">
            <v>25568.710941542773</v>
          </cell>
          <cell r="F439">
            <v>33071.146090186827</v>
          </cell>
          <cell r="G439">
            <v>44889.969299737917</v>
          </cell>
          <cell r="H439">
            <v>53177.668628370229</v>
          </cell>
          <cell r="I439">
            <v>61852.667571685059</v>
          </cell>
          <cell r="J439">
            <v>77985.797115995447</v>
          </cell>
          <cell r="K439">
            <v>88320.116274394051</v>
          </cell>
          <cell r="L439">
            <v>97435.68314665959</v>
          </cell>
          <cell r="M439">
            <v>106326.48218745037</v>
          </cell>
          <cell r="N439">
            <v>8498.7430022569042</v>
          </cell>
          <cell r="O439">
            <v>18441.787464809349</v>
          </cell>
          <cell r="P439">
            <v>26300.842515568329</v>
          </cell>
          <cell r="Q439">
            <v>34322.840369990881</v>
          </cell>
          <cell r="R439">
            <v>43101.367763893701</v>
          </cell>
          <cell r="S439">
            <v>55407.996090987523</v>
          </cell>
          <cell r="T439">
            <v>66255.983609103831</v>
          </cell>
          <cell r="U439">
            <v>77934.83081817026</v>
          </cell>
          <cell r="V439">
            <v>89601.205927908639</v>
          </cell>
          <cell r="W439">
            <v>100077.64395062208</v>
          </cell>
          <cell r="X439">
            <v>111936.57078660109</v>
          </cell>
          <cell r="Y439">
            <v>125948.91520901755</v>
          </cell>
          <cell r="Z439">
            <v>11554.917914718531</v>
          </cell>
          <cell r="AA439">
            <v>23436.741171504829</v>
          </cell>
          <cell r="AB439">
            <v>35025.036803419163</v>
          </cell>
          <cell r="AC439">
            <v>46215.152379831088</v>
          </cell>
          <cell r="AD439">
            <v>58525.117038004188</v>
          </cell>
          <cell r="AE439">
            <v>70039.793372720422</v>
          </cell>
          <cell r="AF439">
            <v>80731.332576679764</v>
          </cell>
          <cell r="AG439">
            <v>91122.891396521227</v>
          </cell>
          <cell r="AH439">
            <v>101526.68668160216</v>
          </cell>
          <cell r="AI439">
            <v>112088.98144505189</v>
          </cell>
          <cell r="AJ439">
            <v>122261.80042357981</v>
          </cell>
          <cell r="AK439">
            <v>135939.03391882541</v>
          </cell>
          <cell r="AL439">
            <v>21450.542751011584</v>
          </cell>
          <cell r="AM439">
            <v>41282.717098949899</v>
          </cell>
          <cell r="AN439">
            <v>60793.049416287744</v>
          </cell>
          <cell r="AO439">
            <v>81032.97624088217</v>
          </cell>
          <cell r="AP439">
            <v>100487.04061668798</v>
          </cell>
          <cell r="AQ439">
            <v>118765.63463524591</v>
          </cell>
          <cell r="AR439">
            <v>137263.11495465497</v>
          </cell>
          <cell r="AS439">
            <v>158053.19557734809</v>
          </cell>
          <cell r="AT439">
            <v>189776.40900288298</v>
          </cell>
          <cell r="AU439">
            <v>238774.02321453285</v>
          </cell>
          <cell r="AV439">
            <v>278227.31193658605</v>
          </cell>
          <cell r="AW439">
            <v>318059.51817469299</v>
          </cell>
          <cell r="AX439">
            <v>398991.95902389026</v>
          </cell>
          <cell r="AY439">
            <v>561782.46070749848</v>
          </cell>
          <cell r="AZ439">
            <v>955562.9010925917</v>
          </cell>
          <cell r="BA439">
            <v>1094853.7799839282</v>
          </cell>
          <cell r="BB439">
            <v>1094853.7799839282</v>
          </cell>
        </row>
        <row r="440">
          <cell r="A440" t="str">
            <v>ytd</v>
          </cell>
          <cell r="B440">
            <v>6067.4546174241423</v>
          </cell>
          <cell r="C440">
            <v>12422.947337987005</v>
          </cell>
          <cell r="D440">
            <v>18904.582089385964</v>
          </cell>
          <cell r="E440">
            <v>25568.710941542773</v>
          </cell>
          <cell r="F440">
            <v>33071.146090186827</v>
          </cell>
          <cell r="G440">
            <v>44889.969299737917</v>
          </cell>
          <cell r="H440">
            <v>53177.668628370229</v>
          </cell>
          <cell r="I440">
            <v>61852.667571685059</v>
          </cell>
          <cell r="J440">
            <v>77985.797115995447</v>
          </cell>
          <cell r="K440">
            <v>88320.116274394051</v>
          </cell>
          <cell r="L440">
            <v>97435.68314665959</v>
          </cell>
          <cell r="M440">
            <v>106326.48218745037</v>
          </cell>
          <cell r="N440">
            <v>114825.22518970727</v>
          </cell>
          <cell r="O440">
            <v>124768.26965225971</v>
          </cell>
          <cell r="P440">
            <v>132627.32470301868</v>
          </cell>
          <cell r="Q440">
            <v>140649.32255744122</v>
          </cell>
          <cell r="R440">
            <v>149427.84995134405</v>
          </cell>
          <cell r="S440">
            <v>161734.47827843786</v>
          </cell>
          <cell r="T440">
            <v>172582.46579655417</v>
          </cell>
          <cell r="U440">
            <v>184261.31300562061</v>
          </cell>
          <cell r="V440">
            <v>195927.68811535899</v>
          </cell>
          <cell r="W440">
            <v>206404.12613807243</v>
          </cell>
          <cell r="X440">
            <v>218263.05297405145</v>
          </cell>
          <cell r="Y440">
            <v>232275.39739646789</v>
          </cell>
          <cell r="Z440">
            <v>243830.31531118642</v>
          </cell>
          <cell r="AA440">
            <v>255712.13856797272</v>
          </cell>
          <cell r="AB440">
            <v>267300.43419988704</v>
          </cell>
          <cell r="AC440">
            <v>278490.54977629898</v>
          </cell>
          <cell r="AD440">
            <v>290800.51443447208</v>
          </cell>
          <cell r="AE440">
            <v>302315.19076918828</v>
          </cell>
          <cell r="AF440">
            <v>313006.72997314762</v>
          </cell>
          <cell r="AG440">
            <v>323398.2887929891</v>
          </cell>
          <cell r="AH440">
            <v>333802.08407807001</v>
          </cell>
          <cell r="AI440">
            <v>344364.37884151971</v>
          </cell>
          <cell r="AJ440">
            <v>354537.19782004762</v>
          </cell>
          <cell r="AK440">
            <v>368214.43131529319</v>
          </cell>
          <cell r="AL440">
            <v>389664.97406630474</v>
          </cell>
          <cell r="AM440">
            <v>409497.14841424307</v>
          </cell>
          <cell r="AN440">
            <v>429007.48073158093</v>
          </cell>
          <cell r="AO440">
            <v>449247.40755617537</v>
          </cell>
          <cell r="AP440">
            <v>468701.47193198116</v>
          </cell>
          <cell r="AQ440">
            <v>486980.06595053908</v>
          </cell>
          <cell r="AR440">
            <v>505477.54626994813</v>
          </cell>
          <cell r="AS440">
            <v>526267.62689264119</v>
          </cell>
          <cell r="AT440">
            <v>557990.84031817608</v>
          </cell>
          <cell r="AU440">
            <v>606988.45452982595</v>
          </cell>
          <cell r="AV440">
            <v>646441.74325187912</v>
          </cell>
          <cell r="AW440">
            <v>686273.94948998606</v>
          </cell>
          <cell r="AX440">
            <v>767206.39033918339</v>
          </cell>
          <cell r="AY440">
            <v>929996.89202279155</v>
          </cell>
          <cell r="AZ440">
            <v>1323777.3324078848</v>
          </cell>
          <cell r="BA440">
            <v>1463068.2112992213</v>
          </cell>
          <cell r="BB440">
            <v>1463068.2112992213</v>
          </cell>
        </row>
        <row r="441">
          <cell r="A441" t="str">
            <v>TELE</v>
          </cell>
          <cell r="B441">
            <v>1543.1799429139271</v>
          </cell>
          <cell r="C441">
            <v>1433.9022166794803</v>
          </cell>
          <cell r="D441">
            <v>1434.9467462052555</v>
          </cell>
          <cell r="E441">
            <v>1383.4256396558824</v>
          </cell>
          <cell r="F441">
            <v>1550.9223592438057</v>
          </cell>
          <cell r="G441">
            <v>1537.8841203574043</v>
          </cell>
          <cell r="H441">
            <v>1510.0451459235105</v>
          </cell>
          <cell r="I441">
            <v>1440.1094134363184</v>
          </cell>
          <cell r="J441">
            <v>1115.606453769178</v>
          </cell>
          <cell r="K441">
            <v>1124.4604489607514</v>
          </cell>
          <cell r="L441">
            <v>1060.9088667654205</v>
          </cell>
          <cell r="M441">
            <v>1106.4917629721824</v>
          </cell>
          <cell r="N441">
            <v>1187.7713337169344</v>
          </cell>
          <cell r="O441">
            <v>1322.6031906416581</v>
          </cell>
          <cell r="P441">
            <v>1211.0094579418851</v>
          </cell>
          <cell r="Q441">
            <v>1197.4471865306909</v>
          </cell>
          <cell r="R441">
            <v>902.5343160458666</v>
          </cell>
          <cell r="S441">
            <v>1007.0924126382484</v>
          </cell>
          <cell r="T441">
            <v>998.11675212323166</v>
          </cell>
          <cell r="U441">
            <v>964.0097659459002</v>
          </cell>
          <cell r="V441">
            <v>898.95270102643963</v>
          </cell>
          <cell r="W441">
            <v>891.0407446599188</v>
          </cell>
          <cell r="X441">
            <v>986.50449172016988</v>
          </cell>
          <cell r="Y441">
            <v>924.80076389217299</v>
          </cell>
          <cell r="Z441">
            <v>621.97180743050001</v>
          </cell>
          <cell r="AA441">
            <v>638.714630218411</v>
          </cell>
          <cell r="AB441">
            <v>663.76946863034448</v>
          </cell>
          <cell r="AC441">
            <v>632.36227553892616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4765.2912284274498</v>
          </cell>
          <cell r="AM441">
            <v>4639.2951336171836</v>
          </cell>
          <cell r="AN441">
            <v>4448.14418016745</v>
          </cell>
          <cell r="AO441">
            <v>4977.5444282275575</v>
          </cell>
          <cell r="AP441">
            <v>4412.5939449272182</v>
          </cell>
          <cell r="AQ441">
            <v>4392.7689033429524</v>
          </cell>
          <cell r="AR441">
            <v>4358.8587109948612</v>
          </cell>
          <cell r="AS441">
            <v>4901.1040550353891</v>
          </cell>
          <cell r="AT441">
            <v>4649.3354283927856</v>
          </cell>
          <cell r="AU441">
            <v>4460.8592554117686</v>
          </cell>
          <cell r="AV441">
            <v>4670.1851265452433</v>
          </cell>
          <cell r="AW441">
            <v>4674.1296469892632</v>
          </cell>
          <cell r="AX441">
            <v>4891.2545998715532</v>
          </cell>
          <cell r="AY441">
            <v>4911.2698127264548</v>
          </cell>
          <cell r="AZ441">
            <v>8469.0895598498864</v>
          </cell>
          <cell r="BA441">
            <v>3381.0151944094746</v>
          </cell>
          <cell r="BB441">
            <v>0</v>
          </cell>
        </row>
        <row r="442">
          <cell r="A442" t="str">
            <v>ptd</v>
          </cell>
          <cell r="B442">
            <v>1543.1799429139271</v>
          </cell>
          <cell r="C442">
            <v>2977.0821595934076</v>
          </cell>
          <cell r="D442">
            <v>4412.0289057986629</v>
          </cell>
          <cell r="E442">
            <v>5795.454545454545</v>
          </cell>
          <cell r="F442">
            <v>1550.9223592438057</v>
          </cell>
          <cell r="G442">
            <v>3088.80647960121</v>
          </cell>
          <cell r="H442">
            <v>4598.8516255247205</v>
          </cell>
          <cell r="I442">
            <v>6038.9610389610389</v>
          </cell>
          <cell r="J442">
            <v>1115.606453769178</v>
          </cell>
          <cell r="K442">
            <v>2240.0669027299291</v>
          </cell>
          <cell r="L442">
            <v>3300.9757694953496</v>
          </cell>
          <cell r="M442">
            <v>4407.4675324675318</v>
          </cell>
          <cell r="N442">
            <v>1187.7713337169344</v>
          </cell>
          <cell r="O442">
            <v>2510.3745243585927</v>
          </cell>
          <cell r="P442">
            <v>3721.3839823004778</v>
          </cell>
          <cell r="Q442">
            <v>4918.8311688311687</v>
          </cell>
          <cell r="R442">
            <v>902.5343160458666</v>
          </cell>
          <cell r="S442">
            <v>1909.6267286841151</v>
          </cell>
          <cell r="T442">
            <v>2907.7434808073467</v>
          </cell>
          <cell r="U442">
            <v>3871.7532467532469</v>
          </cell>
          <cell r="V442">
            <v>898.95270102643963</v>
          </cell>
          <cell r="W442">
            <v>1789.9934456863584</v>
          </cell>
          <cell r="X442">
            <v>2776.4979374065283</v>
          </cell>
          <cell r="Y442">
            <v>3701.2987012987014</v>
          </cell>
          <cell r="Z442">
            <v>621.97180743050001</v>
          </cell>
          <cell r="AA442">
            <v>1260.6864376489111</v>
          </cell>
          <cell r="AB442">
            <v>1924.4559062792555</v>
          </cell>
          <cell r="AC442">
            <v>2556.8181818181815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4765.2912284274498</v>
          </cell>
          <cell r="AM442">
            <v>9404.5863620446326</v>
          </cell>
          <cell r="AN442">
            <v>13852.730542212083</v>
          </cell>
          <cell r="AO442">
            <v>18830.274970439641</v>
          </cell>
          <cell r="AP442">
            <v>4412.5939449272182</v>
          </cell>
          <cell r="AQ442">
            <v>8805.3628482701715</v>
          </cell>
          <cell r="AR442">
            <v>13164.221559265032</v>
          </cell>
          <cell r="AS442">
            <v>18065.325614300422</v>
          </cell>
          <cell r="AT442">
            <v>4649.3354283927856</v>
          </cell>
          <cell r="AU442">
            <v>9110.1946838045551</v>
          </cell>
          <cell r="AV442">
            <v>13780.379810349797</v>
          </cell>
          <cell r="AW442">
            <v>18454.50945733906</v>
          </cell>
          <cell r="AX442">
            <v>4891.2545998715532</v>
          </cell>
          <cell r="AY442">
            <v>9802.524412598008</v>
          </cell>
          <cell r="AZ442">
            <v>18271.613972447893</v>
          </cell>
          <cell r="BA442">
            <v>21652.629166857369</v>
          </cell>
          <cell r="BB442">
            <v>21652.629166857369</v>
          </cell>
        </row>
        <row r="443">
          <cell r="A443" t="str">
            <v>qtd</v>
          </cell>
          <cell r="B443">
            <v>1543.1799429139271</v>
          </cell>
          <cell r="C443">
            <v>2977.0821595934076</v>
          </cell>
          <cell r="D443">
            <v>4412.0289057986629</v>
          </cell>
          <cell r="E443">
            <v>5795.454545454545</v>
          </cell>
          <cell r="F443">
            <v>7346.3769046983507</v>
          </cell>
          <cell r="G443">
            <v>8884.2610250557555</v>
          </cell>
          <cell r="H443">
            <v>10394.306170979266</v>
          </cell>
          <cell r="I443">
            <v>11834.415584415583</v>
          </cell>
          <cell r="J443">
            <v>12950.022038184761</v>
          </cell>
          <cell r="K443">
            <v>14074.482487145513</v>
          </cell>
          <cell r="L443">
            <v>15135.391353910934</v>
          </cell>
          <cell r="M443">
            <v>16241.883116883117</v>
          </cell>
          <cell r="N443">
            <v>1187.7713337169344</v>
          </cell>
          <cell r="O443">
            <v>2510.3745243585927</v>
          </cell>
          <cell r="P443">
            <v>3721.3839823004778</v>
          </cell>
          <cell r="Q443">
            <v>4918.8311688311687</v>
          </cell>
          <cell r="R443">
            <v>5821.3654848770357</v>
          </cell>
          <cell r="S443">
            <v>6828.4578975152845</v>
          </cell>
          <cell r="T443">
            <v>7826.5746496385163</v>
          </cell>
          <cell r="U443">
            <v>8790.584415584417</v>
          </cell>
          <cell r="V443">
            <v>9689.5371166108562</v>
          </cell>
          <cell r="W443">
            <v>10580.577861270775</v>
          </cell>
          <cell r="X443">
            <v>11567.082352990945</v>
          </cell>
          <cell r="Y443">
            <v>12491.883116883118</v>
          </cell>
          <cell r="Z443">
            <v>621.97180743050001</v>
          </cell>
          <cell r="AA443">
            <v>1260.6864376489111</v>
          </cell>
          <cell r="AB443">
            <v>1924.4559062792555</v>
          </cell>
          <cell r="AC443">
            <v>2556.8181818181815</v>
          </cell>
          <cell r="AD443">
            <v>2556.8181818181815</v>
          </cell>
          <cell r="AE443">
            <v>2556.8181818181815</v>
          </cell>
          <cell r="AF443">
            <v>2556.8181818181815</v>
          </cell>
          <cell r="AG443">
            <v>2556.8181818181815</v>
          </cell>
          <cell r="AH443">
            <v>2556.8181818181815</v>
          </cell>
          <cell r="AI443">
            <v>2556.8181818181815</v>
          </cell>
          <cell r="AJ443">
            <v>2556.8181818181815</v>
          </cell>
          <cell r="AK443">
            <v>2556.8181818181815</v>
          </cell>
          <cell r="AL443">
            <v>4765.2912284274498</v>
          </cell>
          <cell r="AM443">
            <v>9404.5863620446326</v>
          </cell>
          <cell r="AN443">
            <v>13852.730542212083</v>
          </cell>
          <cell r="AO443">
            <v>18830.274970439641</v>
          </cell>
          <cell r="AP443">
            <v>23242.86891536686</v>
          </cell>
          <cell r="AQ443">
            <v>27635.637818709813</v>
          </cell>
          <cell r="AR443">
            <v>31994.496529704673</v>
          </cell>
          <cell r="AS443">
            <v>36895.600584740059</v>
          </cell>
          <cell r="AT443">
            <v>41544.936013132843</v>
          </cell>
          <cell r="AU443">
            <v>46005.795268544614</v>
          </cell>
          <cell r="AV443">
            <v>50675.980395089857</v>
          </cell>
          <cell r="AW443">
            <v>55350.110042079119</v>
          </cell>
          <cell r="AX443">
            <v>60241.364641950669</v>
          </cell>
          <cell r="AY443">
            <v>65152.634454677122</v>
          </cell>
          <cell r="AZ443">
            <v>73621.724014527004</v>
          </cell>
          <cell r="BA443">
            <v>77002.739208936473</v>
          </cell>
          <cell r="BB443">
            <v>77002.739208936473</v>
          </cell>
        </row>
        <row r="444">
          <cell r="A444" t="str">
            <v>ytd</v>
          </cell>
          <cell r="B444">
            <v>1543.1799429139271</v>
          </cell>
          <cell r="C444">
            <v>2977.0821595934076</v>
          </cell>
          <cell r="D444">
            <v>4412.0289057986629</v>
          </cell>
          <cell r="E444">
            <v>5795.454545454545</v>
          </cell>
          <cell r="F444">
            <v>7346.3769046983507</v>
          </cell>
          <cell r="G444">
            <v>8884.2610250557555</v>
          </cell>
          <cell r="H444">
            <v>10394.306170979266</v>
          </cell>
          <cell r="I444">
            <v>11834.415584415583</v>
          </cell>
          <cell r="J444">
            <v>12950.022038184761</v>
          </cell>
          <cell r="K444">
            <v>14074.482487145513</v>
          </cell>
          <cell r="L444">
            <v>15135.391353910934</v>
          </cell>
          <cell r="M444">
            <v>16241.883116883117</v>
          </cell>
          <cell r="N444">
            <v>17429.65445060005</v>
          </cell>
          <cell r="O444">
            <v>18752.257641241707</v>
          </cell>
          <cell r="P444">
            <v>19963.267099183591</v>
          </cell>
          <cell r="Q444">
            <v>21160.714285714283</v>
          </cell>
          <cell r="R444">
            <v>22063.248601760148</v>
          </cell>
          <cell r="S444">
            <v>23070.341014398397</v>
          </cell>
          <cell r="T444">
            <v>24068.457766521627</v>
          </cell>
          <cell r="U444">
            <v>25032.467532467526</v>
          </cell>
          <cell r="V444">
            <v>25931.420233493965</v>
          </cell>
          <cell r="W444">
            <v>26822.460978153886</v>
          </cell>
          <cell r="X444">
            <v>27808.965469874056</v>
          </cell>
          <cell r="Y444">
            <v>28733.76623376623</v>
          </cell>
          <cell r="Z444">
            <v>29355.738041196728</v>
          </cell>
          <cell r="AA444">
            <v>29994.45267141514</v>
          </cell>
          <cell r="AB444">
            <v>30658.222140045484</v>
          </cell>
          <cell r="AC444">
            <v>31290.58441558441</v>
          </cell>
          <cell r="AD444">
            <v>31290.58441558441</v>
          </cell>
          <cell r="AE444">
            <v>31290.58441558441</v>
          </cell>
          <cell r="AF444">
            <v>31290.58441558441</v>
          </cell>
          <cell r="AG444">
            <v>31290.58441558441</v>
          </cell>
          <cell r="AH444">
            <v>31290.58441558441</v>
          </cell>
          <cell r="AI444">
            <v>31290.58441558441</v>
          </cell>
          <cell r="AJ444">
            <v>31290.58441558441</v>
          </cell>
          <cell r="AK444">
            <v>31290.58441558441</v>
          </cell>
          <cell r="AL444">
            <v>36055.87564401186</v>
          </cell>
          <cell r="AM444">
            <v>40695.170777629042</v>
          </cell>
          <cell r="AN444">
            <v>45143.314957796494</v>
          </cell>
          <cell r="AO444">
            <v>50120.859386024051</v>
          </cell>
          <cell r="AP444">
            <v>54533.45333095127</v>
          </cell>
          <cell r="AQ444">
            <v>58926.222234294226</v>
          </cell>
          <cell r="AR444">
            <v>63285.08094528909</v>
          </cell>
          <cell r="AS444">
            <v>68186.185000324476</v>
          </cell>
          <cell r="AT444">
            <v>72835.520428717267</v>
          </cell>
          <cell r="AU444">
            <v>77296.379684129031</v>
          </cell>
          <cell r="AV444">
            <v>81966.564810674274</v>
          </cell>
          <cell r="AW444">
            <v>86640.694457663543</v>
          </cell>
          <cell r="AX444">
            <v>91531.949057535094</v>
          </cell>
          <cell r="AY444">
            <v>96443.218870261553</v>
          </cell>
          <cell r="AZ444">
            <v>104912.30843011144</v>
          </cell>
          <cell r="BA444">
            <v>108293.32362452091</v>
          </cell>
          <cell r="BB444">
            <v>108293.32362452091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550686.67537197517</v>
          </cell>
          <cell r="C453">
            <v>552907.30452366651</v>
          </cell>
          <cell r="D453">
            <v>488647.72204914864</v>
          </cell>
          <cell r="E453">
            <v>488074.49713635468</v>
          </cell>
          <cell r="F453">
            <v>537733.18051871972</v>
          </cell>
          <cell r="G453">
            <v>720273.54233024805</v>
          </cell>
          <cell r="H453">
            <v>703241.59967039933</v>
          </cell>
          <cell r="I453">
            <v>670698.93548600585</v>
          </cell>
          <cell r="J453">
            <v>938144.45475694234</v>
          </cell>
          <cell r="K453">
            <v>769248.68106305087</v>
          </cell>
          <cell r="L453">
            <v>787687.89006735163</v>
          </cell>
          <cell r="M453">
            <v>800648.75248996308</v>
          </cell>
          <cell r="N453">
            <v>794445.74739040388</v>
          </cell>
          <cell r="O453">
            <v>849360.20689776994</v>
          </cell>
          <cell r="P453">
            <v>1135842.9126777777</v>
          </cell>
          <cell r="Q453">
            <v>754763.66887327738</v>
          </cell>
          <cell r="R453">
            <v>909326.91791939363</v>
          </cell>
          <cell r="S453">
            <v>1039315.0940750135</v>
          </cell>
          <cell r="T453">
            <v>1807599.6533367962</v>
          </cell>
          <cell r="U453">
            <v>1086689.3542013117</v>
          </cell>
          <cell r="V453">
            <v>1077628.3360852706</v>
          </cell>
          <cell r="W453">
            <v>1135373.1186420233</v>
          </cell>
          <cell r="X453">
            <v>1688420.4714970747</v>
          </cell>
          <cell r="Y453">
            <v>1274408.4667259464</v>
          </cell>
          <cell r="Z453">
            <v>1599438.4817614767</v>
          </cell>
          <cell r="AA453">
            <v>1405494.022373656</v>
          </cell>
          <cell r="AB453">
            <v>1731746.6093003743</v>
          </cell>
          <cell r="AC453">
            <v>1223026.739372036</v>
          </cell>
          <cell r="AD453">
            <v>1403315.8627520564</v>
          </cell>
          <cell r="AE453">
            <v>1379915.1228140108</v>
          </cell>
          <cell r="AF453">
            <v>1712477.8014302207</v>
          </cell>
          <cell r="AG453">
            <v>1425457.9229930516</v>
          </cell>
          <cell r="AH453">
            <v>1555029.4768655836</v>
          </cell>
          <cell r="AI453">
            <v>1617900.0733182426</v>
          </cell>
          <cell r="AJ453">
            <v>1962596.9190360093</v>
          </cell>
          <cell r="AK453">
            <v>1945616.2539089201</v>
          </cell>
          <cell r="AL453">
            <v>2058819.7807875837</v>
          </cell>
          <cell r="AM453">
            <v>1895011.9807421176</v>
          </cell>
          <cell r="AN453">
            <v>2370310.5661041224</v>
          </cell>
          <cell r="AO453">
            <v>1893022.028831152</v>
          </cell>
          <cell r="AP453">
            <v>1842060.569565881</v>
          </cell>
          <cell r="AQ453">
            <v>1925004.8520414205</v>
          </cell>
          <cell r="AR453">
            <v>2254194.1351737324</v>
          </cell>
          <cell r="AS453">
            <v>2078918.9277760079</v>
          </cell>
          <cell r="AT453">
            <v>2571850.9836143991</v>
          </cell>
          <cell r="AU453">
            <v>3270365.591495547</v>
          </cell>
          <cell r="AV453">
            <v>3756753.7924218317</v>
          </cell>
          <cell r="AW453">
            <v>3742290.0582226105</v>
          </cell>
          <cell r="AX453">
            <v>7165556.9516909327</v>
          </cell>
          <cell r="AY453">
            <v>17141705.699861996</v>
          </cell>
          <cell r="AZ453">
            <v>33796161.25068111</v>
          </cell>
          <cell r="BA453">
            <v>15442144.74064913</v>
          </cell>
          <cell r="BB453">
            <v>0</v>
          </cell>
        </row>
        <row r="454">
          <cell r="A454" t="str">
            <v>ptd</v>
          </cell>
          <cell r="B454">
            <v>550686.67537197517</v>
          </cell>
          <cell r="C454">
            <v>1103593.979895642</v>
          </cell>
          <cell r="D454">
            <v>1592241.7019447908</v>
          </cell>
          <cell r="E454">
            <v>2080316.1990811452</v>
          </cell>
          <cell r="F454">
            <v>537733.18051871972</v>
          </cell>
          <cell r="G454">
            <v>1258006.7228489679</v>
          </cell>
          <cell r="H454">
            <v>1961248.3225193671</v>
          </cell>
          <cell r="I454">
            <v>2631947.2580053732</v>
          </cell>
          <cell r="J454">
            <v>938144.45475694223</v>
          </cell>
          <cell r="K454">
            <v>1707393.135819993</v>
          </cell>
          <cell r="L454">
            <v>2495081.025887345</v>
          </cell>
          <cell r="M454">
            <v>3295729.778377308</v>
          </cell>
          <cell r="N454">
            <v>794445.74739040365</v>
          </cell>
          <cell r="O454">
            <v>1643805.9542881737</v>
          </cell>
          <cell r="P454">
            <v>2779648.8669659514</v>
          </cell>
          <cell r="Q454">
            <v>3534412.5358392289</v>
          </cell>
          <cell r="R454">
            <v>909326.91791939375</v>
          </cell>
          <cell r="S454">
            <v>1948642.0119944073</v>
          </cell>
          <cell r="T454">
            <v>3756241.6653312035</v>
          </cell>
          <cell r="U454">
            <v>4842931.0195325147</v>
          </cell>
          <cell r="V454">
            <v>1077628.3360852706</v>
          </cell>
          <cell r="W454">
            <v>2213001.4547272939</v>
          </cell>
          <cell r="X454">
            <v>3901421.9262243686</v>
          </cell>
          <cell r="Y454">
            <v>5175830.392950315</v>
          </cell>
          <cell r="Z454">
            <v>1599438.4817614767</v>
          </cell>
          <cell r="AA454">
            <v>3004932.5041351328</v>
          </cell>
          <cell r="AB454">
            <v>4736679.1134355068</v>
          </cell>
          <cell r="AC454">
            <v>5959705.8528075432</v>
          </cell>
          <cell r="AD454">
            <v>1403315.8627520562</v>
          </cell>
          <cell r="AE454">
            <v>2783230.985566067</v>
          </cell>
          <cell r="AF454">
            <v>4495708.7869962873</v>
          </cell>
          <cell r="AG454">
            <v>5921166.7099893391</v>
          </cell>
          <cell r="AH454">
            <v>1555029.4768655836</v>
          </cell>
          <cell r="AI454">
            <v>3172929.5501838261</v>
          </cell>
          <cell r="AJ454">
            <v>5135526.4692198355</v>
          </cell>
          <cell r="AK454">
            <v>7081142.7231287565</v>
          </cell>
          <cell r="AL454">
            <v>2058819.7807875839</v>
          </cell>
          <cell r="AM454">
            <v>3953831.7615297018</v>
          </cell>
          <cell r="AN454">
            <v>6324142.3276338242</v>
          </cell>
          <cell r="AO454">
            <v>8217164.3564649764</v>
          </cell>
          <cell r="AP454">
            <v>1842060.5695658813</v>
          </cell>
          <cell r="AQ454">
            <v>3767065.4216073016</v>
          </cell>
          <cell r="AR454">
            <v>6021259.556781034</v>
          </cell>
          <cell r="AS454">
            <v>8100178.4845570419</v>
          </cell>
          <cell r="AT454">
            <v>2571850.9836143991</v>
          </cell>
          <cell r="AU454">
            <v>5842216.5751099456</v>
          </cell>
          <cell r="AV454">
            <v>9598970.3675317783</v>
          </cell>
          <cell r="AW454">
            <v>13341260.425754389</v>
          </cell>
          <cell r="AX454">
            <v>7165556.9516909309</v>
          </cell>
          <cell r="AY454">
            <v>24307262.651552927</v>
          </cell>
          <cell r="AZ454">
            <v>58103423.90223404</v>
          </cell>
          <cell r="BA454">
            <v>73545568.642883167</v>
          </cell>
          <cell r="BB454">
            <v>73545568.642883167</v>
          </cell>
        </row>
        <row r="455">
          <cell r="A455" t="str">
            <v>qtd</v>
          </cell>
          <cell r="B455">
            <v>550686.67537197517</v>
          </cell>
          <cell r="C455">
            <v>1103593.979895642</v>
          </cell>
          <cell r="D455">
            <v>1592241.7019447908</v>
          </cell>
          <cell r="E455">
            <v>2080316.1990811452</v>
          </cell>
          <cell r="F455">
            <v>2618049.3795998651</v>
          </cell>
          <cell r="G455">
            <v>3338322.9219301129</v>
          </cell>
          <cell r="H455">
            <v>4041564.5216005123</v>
          </cell>
          <cell r="I455">
            <v>4712263.4570865184</v>
          </cell>
          <cell r="J455">
            <v>5650407.9118434601</v>
          </cell>
          <cell r="K455">
            <v>6419656.5929065114</v>
          </cell>
          <cell r="L455">
            <v>7207344.4829738634</v>
          </cell>
          <cell r="M455">
            <v>8007993.235463826</v>
          </cell>
          <cell r="N455">
            <v>794445.74739040365</v>
          </cell>
          <cell r="O455">
            <v>1643805.9542881737</v>
          </cell>
          <cell r="P455">
            <v>2779648.8669659514</v>
          </cell>
          <cell r="Q455">
            <v>3534412.5358392289</v>
          </cell>
          <cell r="R455">
            <v>4443739.4537586225</v>
          </cell>
          <cell r="S455">
            <v>5483054.5478336364</v>
          </cell>
          <cell r="T455">
            <v>7290654.2011704324</v>
          </cell>
          <cell r="U455">
            <v>8377343.5553717446</v>
          </cell>
          <cell r="V455">
            <v>9454971.8914570138</v>
          </cell>
          <cell r="W455">
            <v>10590345.010099038</v>
          </cell>
          <cell r="X455">
            <v>12278765.481596112</v>
          </cell>
          <cell r="Y455">
            <v>13553173.948322058</v>
          </cell>
          <cell r="Z455">
            <v>1599438.4817614767</v>
          </cell>
          <cell r="AA455">
            <v>3004932.5041351328</v>
          </cell>
          <cell r="AB455">
            <v>4736679.1134355068</v>
          </cell>
          <cell r="AC455">
            <v>5959705.8528075432</v>
          </cell>
          <cell r="AD455">
            <v>7363021.7155595999</v>
          </cell>
          <cell r="AE455">
            <v>8742936.8383736089</v>
          </cell>
          <cell r="AF455">
            <v>10455414.639803831</v>
          </cell>
          <cell r="AG455">
            <v>11880872.562796883</v>
          </cell>
          <cell r="AH455">
            <v>13435902.039662465</v>
          </cell>
          <cell r="AI455">
            <v>15053802.11298071</v>
          </cell>
          <cell r="AJ455">
            <v>17016399.032016717</v>
          </cell>
          <cell r="AK455">
            <v>18962015.285925638</v>
          </cell>
          <cell r="AL455">
            <v>2058819.7807875839</v>
          </cell>
          <cell r="AM455">
            <v>3953831.7615297018</v>
          </cell>
          <cell r="AN455">
            <v>6324142.3276338242</v>
          </cell>
          <cell r="AO455">
            <v>8217164.3564649764</v>
          </cell>
          <cell r="AP455">
            <v>10059224.926030857</v>
          </cell>
          <cell r="AQ455">
            <v>11984229.778072277</v>
          </cell>
          <cell r="AR455">
            <v>14238423.913246008</v>
          </cell>
          <cell r="AS455">
            <v>16317342.841022015</v>
          </cell>
          <cell r="AT455">
            <v>18889193.824636415</v>
          </cell>
          <cell r="AU455">
            <v>22159559.416131958</v>
          </cell>
          <cell r="AV455">
            <v>25916313.208553791</v>
          </cell>
          <cell r="AW455">
            <v>29658603.266776402</v>
          </cell>
          <cell r="AX455">
            <v>36824160.218467332</v>
          </cell>
          <cell r="AY455">
            <v>53965865.918329328</v>
          </cell>
          <cell r="AZ455">
            <v>87762027.169010431</v>
          </cell>
          <cell r="BA455">
            <v>103204171.90965956</v>
          </cell>
          <cell r="BB455">
            <v>103204171.90965956</v>
          </cell>
        </row>
        <row r="456">
          <cell r="A456" t="str">
            <v>ytd</v>
          </cell>
          <cell r="B456">
            <v>550686.67537197517</v>
          </cell>
          <cell r="C456">
            <v>1103593.979895642</v>
          </cell>
          <cell r="D456">
            <v>1592241.7019447908</v>
          </cell>
          <cell r="E456">
            <v>2080316.1990811452</v>
          </cell>
          <cell r="F456">
            <v>2618049.3795998651</v>
          </cell>
          <cell r="G456">
            <v>3338322.9219301129</v>
          </cell>
          <cell r="H456">
            <v>4041564.5216005123</v>
          </cell>
          <cell r="I456">
            <v>4712263.4570865184</v>
          </cell>
          <cell r="J456">
            <v>5650407.9118434601</v>
          </cell>
          <cell r="K456">
            <v>6419656.5929065114</v>
          </cell>
          <cell r="L456">
            <v>7207344.4829738634</v>
          </cell>
          <cell r="M456">
            <v>8007993.235463826</v>
          </cell>
          <cell r="N456">
            <v>8802438.9828542285</v>
          </cell>
          <cell r="O456">
            <v>9651799.1897519995</v>
          </cell>
          <cell r="P456">
            <v>10787642.102429777</v>
          </cell>
          <cell r="Q456">
            <v>11542405.771303054</v>
          </cell>
          <cell r="R456">
            <v>12451732.689222448</v>
          </cell>
          <cell r="S456">
            <v>13491047.783297461</v>
          </cell>
          <cell r="T456">
            <v>15298647.436634256</v>
          </cell>
          <cell r="U456">
            <v>16385336.790835567</v>
          </cell>
          <cell r="V456">
            <v>17462965.126920838</v>
          </cell>
          <cell r="W456">
            <v>18598338.245562859</v>
          </cell>
          <cell r="X456">
            <v>20286758.717059933</v>
          </cell>
          <cell r="Y456">
            <v>21561167.183785882</v>
          </cell>
          <cell r="Z456">
            <v>23160605.665547356</v>
          </cell>
          <cell r="AA456">
            <v>24566099.687921014</v>
          </cell>
          <cell r="AB456">
            <v>26297846.297221385</v>
          </cell>
          <cell r="AC456">
            <v>27520873.036593422</v>
          </cell>
          <cell r="AD456">
            <v>28924188.899345476</v>
          </cell>
          <cell r="AE456">
            <v>30304104.022159487</v>
          </cell>
          <cell r="AF456">
            <v>32016581.823589709</v>
          </cell>
          <cell r="AG456">
            <v>33442039.746582761</v>
          </cell>
          <cell r="AH456">
            <v>34997069.223448344</v>
          </cell>
          <cell r="AI456">
            <v>36614969.296766587</v>
          </cell>
          <cell r="AJ456">
            <v>38577566.215802595</v>
          </cell>
          <cell r="AK456">
            <v>40523182.469711512</v>
          </cell>
          <cell r="AL456">
            <v>42582002.250499099</v>
          </cell>
          <cell r="AM456">
            <v>44477014.231241211</v>
          </cell>
          <cell r="AN456">
            <v>46847324.79734534</v>
          </cell>
          <cell r="AO456">
            <v>48740346.826176487</v>
          </cell>
          <cell r="AP456">
            <v>50582407.395742364</v>
          </cell>
          <cell r="AQ456">
            <v>52507412.24778378</v>
          </cell>
          <cell r="AR456">
            <v>54761606.382957518</v>
          </cell>
          <cell r="AS456">
            <v>56840525.310733527</v>
          </cell>
          <cell r="AT456">
            <v>59412376.294347927</v>
          </cell>
          <cell r="AU456">
            <v>62682741.885843478</v>
          </cell>
          <cell r="AV456">
            <v>66439495.678265311</v>
          </cell>
          <cell r="AW456">
            <v>70181785.736487925</v>
          </cell>
          <cell r="AX456">
            <v>77347342.688178852</v>
          </cell>
          <cell r="AY456">
            <v>94489048.388040841</v>
          </cell>
          <cell r="AZ456">
            <v>128285209.63872194</v>
          </cell>
          <cell r="BA456">
            <v>143727354.37937108</v>
          </cell>
          <cell r="BB456">
            <v>143727354.37937108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559603.19647657871</v>
          </cell>
          <cell r="C460">
            <v>555151.44535245141</v>
          </cell>
          <cell r="D460">
            <v>611919.87924536271</v>
          </cell>
          <cell r="E460">
            <v>684432.22164255194</v>
          </cell>
          <cell r="F460">
            <v>745055.7416840964</v>
          </cell>
          <cell r="G460">
            <v>892542.90547737759</v>
          </cell>
          <cell r="H460">
            <v>793238.30986944248</v>
          </cell>
          <cell r="I460">
            <v>576746.25360481639</v>
          </cell>
          <cell r="J460">
            <v>617292.77891475428</v>
          </cell>
          <cell r="K460">
            <v>583017.77112122928</v>
          </cell>
          <cell r="L460">
            <v>715861.20692059794</v>
          </cell>
          <cell r="M460">
            <v>671503.73722518538</v>
          </cell>
          <cell r="N460">
            <v>670190.31618178019</v>
          </cell>
          <cell r="O460">
            <v>1001695.3529060491</v>
          </cell>
          <cell r="P460">
            <v>622929.33689364523</v>
          </cell>
          <cell r="Q460">
            <v>723769.30981290014</v>
          </cell>
          <cell r="R460">
            <v>876200.73473488633</v>
          </cell>
          <cell r="S460">
            <v>1436883.7083028648</v>
          </cell>
          <cell r="T460">
            <v>1135290.3952547568</v>
          </cell>
          <cell r="U460">
            <v>903335.73427283845</v>
          </cell>
          <cell r="V460">
            <v>1060040.2257331172</v>
          </cell>
          <cell r="W460">
            <v>1010818.3983287791</v>
          </cell>
          <cell r="X460">
            <v>1255546.4429945021</v>
          </cell>
          <cell r="Y460">
            <v>1993779.8816291152</v>
          </cell>
          <cell r="Z460">
            <v>1395425.1036040576</v>
          </cell>
          <cell r="AA460">
            <v>980009.5120632858</v>
          </cell>
          <cell r="AB460">
            <v>956288.00482483266</v>
          </cell>
          <cell r="AC460">
            <v>945625.31860805571</v>
          </cell>
          <cell r="AD460">
            <v>1035229.9187527851</v>
          </cell>
          <cell r="AE460">
            <v>1018133.5496060307</v>
          </cell>
          <cell r="AF460">
            <v>1021774.3617062392</v>
          </cell>
          <cell r="AG460">
            <v>1128421.938117455</v>
          </cell>
          <cell r="AH460">
            <v>1116089.2792426522</v>
          </cell>
          <cell r="AI460">
            <v>1050077.0299559445</v>
          </cell>
          <cell r="AJ460">
            <v>1082567.0901745944</v>
          </cell>
          <cell r="AK460">
            <v>791630.90140333166</v>
          </cell>
          <cell r="AL460">
            <v>795145.3524880379</v>
          </cell>
          <cell r="AM460">
            <v>753618.13407197478</v>
          </cell>
          <cell r="AN460">
            <v>785568.10816656309</v>
          </cell>
          <cell r="AO460">
            <v>804106.8337850424</v>
          </cell>
          <cell r="AP460">
            <v>782981.90684343933</v>
          </cell>
          <cell r="AQ460">
            <v>985793.76194165659</v>
          </cell>
          <cell r="AR460">
            <v>1022690.9592682144</v>
          </cell>
          <cell r="AS460">
            <v>1371063.6813692413</v>
          </cell>
          <cell r="AT460">
            <v>1213465.7744684974</v>
          </cell>
          <cell r="AU460">
            <v>1377252.9622976885</v>
          </cell>
          <cell r="AV460">
            <v>1765955.2955115736</v>
          </cell>
          <cell r="AW460">
            <v>3067882.6151561085</v>
          </cell>
          <cell r="AX460">
            <v>5060604.3614734616</v>
          </cell>
          <cell r="AY460">
            <v>9389664.1034889314</v>
          </cell>
          <cell r="AZ460">
            <v>11165142.884158641</v>
          </cell>
          <cell r="BA460">
            <v>1932047.1122019223</v>
          </cell>
          <cell r="BB460">
            <v>0</v>
          </cell>
        </row>
        <row r="461">
          <cell r="A461" t="str">
            <v>ptd</v>
          </cell>
          <cell r="B461">
            <v>559603.19647657871</v>
          </cell>
          <cell r="C461">
            <v>1114754.6418290301</v>
          </cell>
          <cell r="D461">
            <v>1726674.5210743928</v>
          </cell>
          <cell r="E461">
            <v>2411106.7427169448</v>
          </cell>
          <cell r="F461">
            <v>745055.7416840964</v>
          </cell>
          <cell r="G461">
            <v>1637598.647161474</v>
          </cell>
          <cell r="H461">
            <v>2430836.9570309166</v>
          </cell>
          <cell r="I461">
            <v>3007583.2106357329</v>
          </cell>
          <cell r="J461">
            <v>617292.77891475428</v>
          </cell>
          <cell r="K461">
            <v>1200310.5500359836</v>
          </cell>
          <cell r="L461">
            <v>1916171.7569565815</v>
          </cell>
          <cell r="M461">
            <v>2587675.4941817671</v>
          </cell>
          <cell r="N461">
            <v>670190.31618178019</v>
          </cell>
          <cell r="O461">
            <v>1671885.6690878293</v>
          </cell>
          <cell r="P461">
            <v>2294815.0059814746</v>
          </cell>
          <cell r="Q461">
            <v>3018584.3157943748</v>
          </cell>
          <cell r="R461">
            <v>876200.73473488633</v>
          </cell>
          <cell r="S461">
            <v>2313084.4430377511</v>
          </cell>
          <cell r="T461">
            <v>3448374.8382925079</v>
          </cell>
          <cell r="U461">
            <v>4351710.572565346</v>
          </cell>
          <cell r="V461">
            <v>1060040.2257331172</v>
          </cell>
          <cell r="W461">
            <v>2070858.6240618965</v>
          </cell>
          <cell r="X461">
            <v>3326405.0670563988</v>
          </cell>
          <cell r="Y461">
            <v>5320184.9486855138</v>
          </cell>
          <cell r="Z461">
            <v>1395425.1036040576</v>
          </cell>
          <cell r="AA461">
            <v>2375434.6156673431</v>
          </cell>
          <cell r="AB461">
            <v>3331722.6204921757</v>
          </cell>
          <cell r="AC461">
            <v>4277347.939100231</v>
          </cell>
          <cell r="AD461">
            <v>1035229.9187527851</v>
          </cell>
          <cell r="AE461">
            <v>2053363.4683588156</v>
          </cell>
          <cell r="AF461">
            <v>3075137.8300650548</v>
          </cell>
          <cell r="AG461">
            <v>4203559.7681825096</v>
          </cell>
          <cell r="AH461">
            <v>1116089.2792426522</v>
          </cell>
          <cell r="AI461">
            <v>2166166.3091985965</v>
          </cell>
          <cell r="AJ461">
            <v>3248733.3993731909</v>
          </cell>
          <cell r="AK461">
            <v>4040364.3007765226</v>
          </cell>
          <cell r="AL461">
            <v>795145.3524880379</v>
          </cell>
          <cell r="AM461">
            <v>1548763.4865600127</v>
          </cell>
          <cell r="AN461">
            <v>2334331.5947265755</v>
          </cell>
          <cell r="AO461">
            <v>3138438.4285116177</v>
          </cell>
          <cell r="AP461">
            <v>782981.90684343933</v>
          </cell>
          <cell r="AQ461">
            <v>1768775.6687850959</v>
          </cell>
          <cell r="AR461">
            <v>2791466.6280533103</v>
          </cell>
          <cell r="AS461">
            <v>4162530.3094225517</v>
          </cell>
          <cell r="AT461">
            <v>1213465.7744684974</v>
          </cell>
          <cell r="AU461">
            <v>2590718.7367661856</v>
          </cell>
          <cell r="AV461">
            <v>4356674.0322777592</v>
          </cell>
          <cell r="AW461">
            <v>7424556.6474338677</v>
          </cell>
          <cell r="AX461">
            <v>5060604.3614734616</v>
          </cell>
          <cell r="AY461">
            <v>14450268.464962393</v>
          </cell>
          <cell r="AZ461">
            <v>25615411.349121034</v>
          </cell>
          <cell r="BA461">
            <v>27547458.461322956</v>
          </cell>
          <cell r="BB461">
            <v>27547458.461322956</v>
          </cell>
        </row>
        <row r="462">
          <cell r="A462" t="str">
            <v>qtd</v>
          </cell>
          <cell r="B462">
            <v>559603.19647657871</v>
          </cell>
          <cell r="C462">
            <v>1114754.6418290301</v>
          </cell>
          <cell r="D462">
            <v>1726674.5210743928</v>
          </cell>
          <cell r="E462">
            <v>2411106.7427169448</v>
          </cell>
          <cell r="F462">
            <v>3156162.4844010412</v>
          </cell>
          <cell r="G462">
            <v>4048705.3898784188</v>
          </cell>
          <cell r="H462">
            <v>4841943.6997478614</v>
          </cell>
          <cell r="I462">
            <v>5418689.9533526776</v>
          </cell>
          <cell r="J462">
            <v>6035982.7322674319</v>
          </cell>
          <cell r="K462">
            <v>6619000.503388661</v>
          </cell>
          <cell r="L462">
            <v>7334861.7103092587</v>
          </cell>
          <cell r="M462">
            <v>8006365.4475344438</v>
          </cell>
          <cell r="N462">
            <v>670190.31618178019</v>
          </cell>
          <cell r="O462">
            <v>1671885.6690878293</v>
          </cell>
          <cell r="P462">
            <v>2294815.0059814746</v>
          </cell>
          <cell r="Q462">
            <v>3018584.3157943748</v>
          </cell>
          <cell r="R462">
            <v>3894785.0505292611</v>
          </cell>
          <cell r="S462">
            <v>5331668.7588321259</v>
          </cell>
          <cell r="T462">
            <v>6466959.1540868822</v>
          </cell>
          <cell r="U462">
            <v>7370294.8883597208</v>
          </cell>
          <cell r="V462">
            <v>8430335.114092838</v>
          </cell>
          <cell r="W462">
            <v>9441153.5124216173</v>
          </cell>
          <cell r="X462">
            <v>10696699.955416119</v>
          </cell>
          <cell r="Y462">
            <v>12690479.837045234</v>
          </cell>
          <cell r="Z462">
            <v>1395425.1036040576</v>
          </cell>
          <cell r="AA462">
            <v>2375434.6156673431</v>
          </cell>
          <cell r="AB462">
            <v>3331722.6204921757</v>
          </cell>
          <cell r="AC462">
            <v>4277347.939100231</v>
          </cell>
          <cell r="AD462">
            <v>5312577.8578530159</v>
          </cell>
          <cell r="AE462">
            <v>6330711.4074590467</v>
          </cell>
          <cell r="AF462">
            <v>7352485.7691652859</v>
          </cell>
          <cell r="AG462">
            <v>8480907.7072827406</v>
          </cell>
          <cell r="AH462">
            <v>9596996.9865253922</v>
          </cell>
          <cell r="AI462">
            <v>10647074.016481336</v>
          </cell>
          <cell r="AJ462">
            <v>11729641.106655931</v>
          </cell>
          <cell r="AK462">
            <v>12521272.008059263</v>
          </cell>
          <cell r="AL462">
            <v>795145.3524880379</v>
          </cell>
          <cell r="AM462">
            <v>1548763.4865600127</v>
          </cell>
          <cell r="AN462">
            <v>2334331.5947265755</v>
          </cell>
          <cell r="AO462">
            <v>3138438.4285116177</v>
          </cell>
          <cell r="AP462">
            <v>3921420.3353550569</v>
          </cell>
          <cell r="AQ462">
            <v>4907214.0972967139</v>
          </cell>
          <cell r="AR462">
            <v>5929905.056564928</v>
          </cell>
          <cell r="AS462">
            <v>7300968.7379341694</v>
          </cell>
          <cell r="AT462">
            <v>8514434.5124026667</v>
          </cell>
          <cell r="AU462">
            <v>9891687.4747003559</v>
          </cell>
          <cell r="AV462">
            <v>11657642.770211929</v>
          </cell>
          <cell r="AW462">
            <v>14725525.385368038</v>
          </cell>
          <cell r="AX462">
            <v>19786129.746841498</v>
          </cell>
          <cell r="AY462">
            <v>29175793.850330427</v>
          </cell>
          <cell r="AZ462">
            <v>40340936.734489068</v>
          </cell>
          <cell r="BA462">
            <v>42272983.84669099</v>
          </cell>
          <cell r="BB462">
            <v>42272983.84669099</v>
          </cell>
        </row>
        <row r="463">
          <cell r="A463" t="str">
            <v>ytd</v>
          </cell>
          <cell r="B463">
            <v>559603.19647657871</v>
          </cell>
          <cell r="C463">
            <v>1114754.6418290301</v>
          </cell>
          <cell r="D463">
            <v>1726674.5210743928</v>
          </cell>
          <cell r="E463">
            <v>2411106.7427169448</v>
          </cell>
          <cell r="F463">
            <v>3156162.4844010412</v>
          </cell>
          <cell r="G463">
            <v>4048705.3898784188</v>
          </cell>
          <cell r="H463">
            <v>4841943.6997478614</v>
          </cell>
          <cell r="I463">
            <v>5418689.9533526776</v>
          </cell>
          <cell r="J463">
            <v>6035982.7322674319</v>
          </cell>
          <cell r="K463">
            <v>6619000.503388661</v>
          </cell>
          <cell r="L463">
            <v>7334861.7103092587</v>
          </cell>
          <cell r="M463">
            <v>8006365.4475344438</v>
          </cell>
          <cell r="N463">
            <v>8676555.7637162246</v>
          </cell>
          <cell r="O463">
            <v>9678251.1166222729</v>
          </cell>
          <cell r="P463">
            <v>10301180.453515919</v>
          </cell>
          <cell r="Q463">
            <v>11024949.763328819</v>
          </cell>
          <cell r="R463">
            <v>11901150.498063706</v>
          </cell>
          <cell r="S463">
            <v>13338034.206366571</v>
          </cell>
          <cell r="T463">
            <v>14473324.601621328</v>
          </cell>
          <cell r="U463">
            <v>15376660.335894166</v>
          </cell>
          <cell r="V463">
            <v>16436700.561627284</v>
          </cell>
          <cell r="W463">
            <v>17447518.959956061</v>
          </cell>
          <cell r="X463">
            <v>18703065.402950563</v>
          </cell>
          <cell r="Y463">
            <v>20696845.284579679</v>
          </cell>
          <cell r="Z463">
            <v>22092270.388183735</v>
          </cell>
          <cell r="AA463">
            <v>23072279.900247023</v>
          </cell>
          <cell r="AB463">
            <v>24028567.905071855</v>
          </cell>
          <cell r="AC463">
            <v>24974193.223679911</v>
          </cell>
          <cell r="AD463">
            <v>26009423.142432697</v>
          </cell>
          <cell r="AE463">
            <v>27027556.692038726</v>
          </cell>
          <cell r="AF463">
            <v>28049331.053744964</v>
          </cell>
          <cell r="AG463">
            <v>29177752.99186242</v>
          </cell>
          <cell r="AH463">
            <v>30293842.271105073</v>
          </cell>
          <cell r="AI463">
            <v>31343919.301061019</v>
          </cell>
          <cell r="AJ463">
            <v>32426486.391235612</v>
          </cell>
          <cell r="AK463">
            <v>33218117.292638943</v>
          </cell>
          <cell r="AL463">
            <v>34013262.645126984</v>
          </cell>
          <cell r="AM463">
            <v>34766880.779198959</v>
          </cell>
          <cell r="AN463">
            <v>35552448.88736552</v>
          </cell>
          <cell r="AO463">
            <v>36356555.721150562</v>
          </cell>
          <cell r="AP463">
            <v>37139537.627994001</v>
          </cell>
          <cell r="AQ463">
            <v>38125331.389935657</v>
          </cell>
          <cell r="AR463">
            <v>39148022.34920387</v>
          </cell>
          <cell r="AS463">
            <v>40519086.030573115</v>
          </cell>
          <cell r="AT463">
            <v>41732551.805041611</v>
          </cell>
          <cell r="AU463">
            <v>43109804.767339297</v>
          </cell>
          <cell r="AV463">
            <v>44875760.06285087</v>
          </cell>
          <cell r="AW463">
            <v>47943642.678006977</v>
          </cell>
          <cell r="AX463">
            <v>53004247.03948044</v>
          </cell>
          <cell r="AY463">
            <v>62393911.14296937</v>
          </cell>
          <cell r="AZ463">
            <v>73559054.027128011</v>
          </cell>
          <cell r="BA463">
            <v>75491101.13932994</v>
          </cell>
          <cell r="BB463">
            <v>75491101.13932994</v>
          </cell>
        </row>
        <row r="464">
          <cell r="A464" t="str">
            <v>PART</v>
          </cell>
          <cell r="B464">
            <v>27060665.644244272</v>
          </cell>
          <cell r="C464">
            <v>26506189.02444049</v>
          </cell>
          <cell r="D464">
            <v>24621394.01185976</v>
          </cell>
          <cell r="E464">
            <v>24549707.739458602</v>
          </cell>
          <cell r="F464">
            <v>24970518.771900784</v>
          </cell>
          <cell r="G464">
            <v>38073898.232978538</v>
          </cell>
          <cell r="H464">
            <v>27773338.850440003</v>
          </cell>
          <cell r="I464">
            <v>24853975.450399578</v>
          </cell>
          <cell r="J464">
            <v>25717207.423560724</v>
          </cell>
          <cell r="K464">
            <v>26097484.060130086</v>
          </cell>
          <cell r="L464">
            <v>29082202.366189081</v>
          </cell>
          <cell r="M464">
            <v>28902995.655110583</v>
          </cell>
          <cell r="N464">
            <v>28916604.029752746</v>
          </cell>
          <cell r="O464">
            <v>40885766.621872954</v>
          </cell>
          <cell r="P464">
            <v>27451195.863579825</v>
          </cell>
          <cell r="Q464">
            <v>30865201.064651739</v>
          </cell>
          <cell r="R464">
            <v>35985125.125549726</v>
          </cell>
          <cell r="S464">
            <v>59405807.897927612</v>
          </cell>
          <cell r="T464">
            <v>46946205.372968189</v>
          </cell>
          <cell r="U464">
            <v>37006017.421074875</v>
          </cell>
          <cell r="V464">
            <v>42364389.680159628</v>
          </cell>
          <cell r="W464">
            <v>42264042.91449099</v>
          </cell>
          <cell r="X464">
            <v>49544882.913477562</v>
          </cell>
          <cell r="Y464">
            <v>73453432.684191972</v>
          </cell>
          <cell r="Z464">
            <v>53970988.095848024</v>
          </cell>
          <cell r="AA464">
            <v>40642338.652393728</v>
          </cell>
          <cell r="AB464">
            <v>36050876.015057445</v>
          </cell>
          <cell r="AC464">
            <v>36314930.254496284</v>
          </cell>
          <cell r="AD464">
            <v>36103977.702430278</v>
          </cell>
          <cell r="AE464">
            <v>35256408.381947234</v>
          </cell>
          <cell r="AF464">
            <v>35939007.023563385</v>
          </cell>
          <cell r="AG464">
            <v>37746141.87913616</v>
          </cell>
          <cell r="AH464">
            <v>39641288.341038831</v>
          </cell>
          <cell r="AI464">
            <v>41269947.249943808</v>
          </cell>
          <cell r="AJ464">
            <v>40840634.563000441</v>
          </cell>
          <cell r="AK464">
            <v>34192090.706785716</v>
          </cell>
          <cell r="AL464">
            <v>34689927.837368421</v>
          </cell>
          <cell r="AM464">
            <v>34641305.435365237</v>
          </cell>
          <cell r="AN464">
            <v>34924650.77602163</v>
          </cell>
          <cell r="AO464">
            <v>35721700.002873488</v>
          </cell>
          <cell r="AP464">
            <v>35298401.932289235</v>
          </cell>
          <cell r="AQ464">
            <v>39029620.583440885</v>
          </cell>
          <cell r="AR464">
            <v>39568881.186507151</v>
          </cell>
          <cell r="AS464">
            <v>38730067.12874686</v>
          </cell>
          <cell r="AT464">
            <v>43237636.003540002</v>
          </cell>
          <cell r="AU464">
            <v>49280092.396490477</v>
          </cell>
          <cell r="AV464">
            <v>57936890.767956957</v>
          </cell>
          <cell r="AW464">
            <v>93787736.42868419</v>
          </cell>
          <cell r="AX464">
            <v>163743430.58549085</v>
          </cell>
          <cell r="AY464">
            <v>321470154.42576408</v>
          </cell>
          <cell r="AZ464">
            <v>417339183.98057431</v>
          </cell>
          <cell r="BA464">
            <v>89918598.803695679</v>
          </cell>
          <cell r="BB464">
            <v>0</v>
          </cell>
        </row>
        <row r="465">
          <cell r="A465" t="str">
            <v>ptd</v>
          </cell>
          <cell r="B465">
            <v>27060665.644244272</v>
          </cell>
          <cell r="C465">
            <v>53566854.668684766</v>
          </cell>
          <cell r="D465">
            <v>78188248.680544525</v>
          </cell>
          <cell r="E465">
            <v>102737956.42000313</v>
          </cell>
          <cell r="F465">
            <v>24970518.771900784</v>
          </cell>
          <cell r="G465">
            <v>63044417.004879326</v>
          </cell>
          <cell r="H465">
            <v>90817755.855319321</v>
          </cell>
          <cell r="I465">
            <v>115671731.3057189</v>
          </cell>
          <cell r="J465">
            <v>25717207.423560724</v>
          </cell>
          <cell r="K465">
            <v>51814691.483690813</v>
          </cell>
          <cell r="L465">
            <v>80896893.849879891</v>
          </cell>
          <cell r="M465">
            <v>109799889.50499047</v>
          </cell>
          <cell r="N465">
            <v>28916604.029752746</v>
          </cell>
          <cell r="O465">
            <v>69802370.651625693</v>
          </cell>
          <cell r="P465">
            <v>97253566.515205517</v>
          </cell>
          <cell r="Q465">
            <v>128118767.57985726</v>
          </cell>
          <cell r="R465">
            <v>35985125.125549726</v>
          </cell>
          <cell r="S465">
            <v>95390933.023477346</v>
          </cell>
          <cell r="T465">
            <v>142337138.39644554</v>
          </cell>
          <cell r="U465">
            <v>179343155.81752041</v>
          </cell>
          <cell r="V465">
            <v>42364389.680159628</v>
          </cell>
          <cell r="W465">
            <v>84628432.594650626</v>
          </cell>
          <cell r="X465">
            <v>134173315.5081282</v>
          </cell>
          <cell r="Y465">
            <v>207626748.19232017</v>
          </cell>
          <cell r="Z465">
            <v>53970988.095848024</v>
          </cell>
          <cell r="AA465">
            <v>94613326.748241752</v>
          </cell>
          <cell r="AB465">
            <v>130664202.7632992</v>
          </cell>
          <cell r="AC465">
            <v>166979133.01779547</v>
          </cell>
          <cell r="AD465">
            <v>36103977.702430278</v>
          </cell>
          <cell r="AE465">
            <v>71360386.084377512</v>
          </cell>
          <cell r="AF465">
            <v>107299393.1079409</v>
          </cell>
          <cell r="AG465">
            <v>145045534.98707706</v>
          </cell>
          <cell r="AH465">
            <v>39641288.341038831</v>
          </cell>
          <cell r="AI465">
            <v>80911235.590982646</v>
          </cell>
          <cell r="AJ465">
            <v>121751870.15398309</v>
          </cell>
          <cell r="AK465">
            <v>155943960.8607688</v>
          </cell>
          <cell r="AL465">
            <v>34689927.837368421</v>
          </cell>
          <cell r="AM465">
            <v>69331233.272733659</v>
          </cell>
          <cell r="AN465">
            <v>104255884.04875529</v>
          </cell>
          <cell r="AO465">
            <v>139977584.05162877</v>
          </cell>
          <cell r="AP465">
            <v>35298401.932289235</v>
          </cell>
          <cell r="AQ465">
            <v>74328022.515730113</v>
          </cell>
          <cell r="AR465">
            <v>113896903.70223726</v>
          </cell>
          <cell r="AS465">
            <v>152626970.83098412</v>
          </cell>
          <cell r="AT465">
            <v>43237636.003540002</v>
          </cell>
          <cell r="AU465">
            <v>92517728.400030479</v>
          </cell>
          <cell r="AV465">
            <v>150454619.16798744</v>
          </cell>
          <cell r="AW465">
            <v>244242355.59667164</v>
          </cell>
          <cell r="AX465">
            <v>163743430.58549085</v>
          </cell>
          <cell r="AY465">
            <v>485213585.01125491</v>
          </cell>
          <cell r="AZ465">
            <v>902552768.99182916</v>
          </cell>
          <cell r="BA465">
            <v>992471367.79552484</v>
          </cell>
          <cell r="BB465">
            <v>992471367.79552484</v>
          </cell>
        </row>
        <row r="466">
          <cell r="A466" t="str">
            <v>qtd</v>
          </cell>
          <cell r="B466">
            <v>27060665.644244272</v>
          </cell>
          <cell r="C466">
            <v>53566854.668684766</v>
          </cell>
          <cell r="D466">
            <v>78188248.680544525</v>
          </cell>
          <cell r="E466">
            <v>102737956.42000313</v>
          </cell>
          <cell r="F466">
            <v>127708475.19190392</v>
          </cell>
          <cell r="G466">
            <v>165782373.42488247</v>
          </cell>
          <cell r="H466">
            <v>193555712.27532247</v>
          </cell>
          <cell r="I466">
            <v>218409687.72572204</v>
          </cell>
          <cell r="J466">
            <v>244126895.14928275</v>
          </cell>
          <cell r="K466">
            <v>270224379.20941281</v>
          </cell>
          <cell r="L466">
            <v>299306581.57560188</v>
          </cell>
          <cell r="M466">
            <v>328209577.23071247</v>
          </cell>
          <cell r="N466">
            <v>28916604.029752746</v>
          </cell>
          <cell r="O466">
            <v>69802370.651625693</v>
          </cell>
          <cell r="P466">
            <v>97253566.515205517</v>
          </cell>
          <cell r="Q466">
            <v>128118767.57985726</v>
          </cell>
          <cell r="R466">
            <v>164103892.70540699</v>
          </cell>
          <cell r="S466">
            <v>223509700.60333461</v>
          </cell>
          <cell r="T466">
            <v>270455905.9763028</v>
          </cell>
          <cell r="U466">
            <v>307461923.39737767</v>
          </cell>
          <cell r="V466">
            <v>349826313.0775373</v>
          </cell>
          <cell r="W466">
            <v>392090355.9920283</v>
          </cell>
          <cell r="X466">
            <v>441635238.90550584</v>
          </cell>
          <cell r="Y466">
            <v>515088671.58969784</v>
          </cell>
          <cell r="Z466">
            <v>53970988.095848024</v>
          </cell>
          <cell r="AA466">
            <v>94613326.748241752</v>
          </cell>
          <cell r="AB466">
            <v>130664202.7632992</v>
          </cell>
          <cell r="AC466">
            <v>166979133.01779547</v>
          </cell>
          <cell r="AD466">
            <v>203083110.72022575</v>
          </cell>
          <cell r="AE466">
            <v>238339519.10217297</v>
          </cell>
          <cell r="AF466">
            <v>274278526.12573636</v>
          </cell>
          <cell r="AG466">
            <v>312024668.0048725</v>
          </cell>
          <cell r="AH466">
            <v>351665956.34591132</v>
          </cell>
          <cell r="AI466">
            <v>392935903.59585512</v>
          </cell>
          <cell r="AJ466">
            <v>433776538.15885556</v>
          </cell>
          <cell r="AK466">
            <v>467968628.8656413</v>
          </cell>
          <cell r="AL466">
            <v>34689927.837368421</v>
          </cell>
          <cell r="AM466">
            <v>69331233.272733659</v>
          </cell>
          <cell r="AN466">
            <v>104255884.04875529</v>
          </cell>
          <cell r="AO466">
            <v>139977584.05162877</v>
          </cell>
          <cell r="AP466">
            <v>175275985.98391801</v>
          </cell>
          <cell r="AQ466">
            <v>214305606.56735891</v>
          </cell>
          <cell r="AR466">
            <v>253874487.75386608</v>
          </cell>
          <cell r="AS466">
            <v>292604554.88261294</v>
          </cell>
          <cell r="AT466">
            <v>335842190.88615292</v>
          </cell>
          <cell r="AU466">
            <v>385122283.28264338</v>
          </cell>
          <cell r="AV466">
            <v>443059174.05060035</v>
          </cell>
          <cell r="AW466">
            <v>536846910.47928452</v>
          </cell>
          <cell r="AX466">
            <v>700590341.06477535</v>
          </cell>
          <cell r="AY466">
            <v>1022060495.4905394</v>
          </cell>
          <cell r="AZ466">
            <v>1439399679.4711137</v>
          </cell>
          <cell r="BA466">
            <v>1529318278.2748094</v>
          </cell>
          <cell r="BB466">
            <v>1529318278.2748094</v>
          </cell>
        </row>
        <row r="467">
          <cell r="A467" t="str">
            <v>ytd</v>
          </cell>
          <cell r="B467">
            <v>27060665.644244272</v>
          </cell>
          <cell r="C467">
            <v>53566854.668684766</v>
          </cell>
          <cell r="D467">
            <v>78188248.680544525</v>
          </cell>
          <cell r="E467">
            <v>102737956.42000313</v>
          </cell>
          <cell r="F467">
            <v>127708475.19190392</v>
          </cell>
          <cell r="G467">
            <v>165782373.42488247</v>
          </cell>
          <cell r="H467">
            <v>193555712.27532247</v>
          </cell>
          <cell r="I467">
            <v>218409687.72572204</v>
          </cell>
          <cell r="J467">
            <v>244126895.14928275</v>
          </cell>
          <cell r="K467">
            <v>270224379.20941281</v>
          </cell>
          <cell r="L467">
            <v>299306581.57560188</v>
          </cell>
          <cell r="M467">
            <v>328209577.23071247</v>
          </cell>
          <cell r="N467">
            <v>357126181.2604652</v>
          </cell>
          <cell r="O467">
            <v>398011947.88233817</v>
          </cell>
          <cell r="P467">
            <v>425463143.74591798</v>
          </cell>
          <cell r="Q467">
            <v>456328344.8105697</v>
          </cell>
          <cell r="R467">
            <v>492313469.93611944</v>
          </cell>
          <cell r="S467">
            <v>551719277.83404708</v>
          </cell>
          <cell r="T467">
            <v>598665483.20701528</v>
          </cell>
          <cell r="U467">
            <v>635671500.62809014</v>
          </cell>
          <cell r="V467">
            <v>678035890.30824971</v>
          </cell>
          <cell r="W467">
            <v>720299933.22274065</v>
          </cell>
          <cell r="X467">
            <v>769844816.13621819</v>
          </cell>
          <cell r="Y467">
            <v>843298248.82041013</v>
          </cell>
          <cell r="Z467">
            <v>897269236.9162581</v>
          </cell>
          <cell r="AA467">
            <v>937911575.5686518</v>
          </cell>
          <cell r="AB467">
            <v>973962451.58370924</v>
          </cell>
          <cell r="AC467">
            <v>1010277381.8382056</v>
          </cell>
          <cell r="AD467">
            <v>1046381359.5406358</v>
          </cell>
          <cell r="AE467">
            <v>1081637767.9225831</v>
          </cell>
          <cell r="AF467">
            <v>1117576774.9461465</v>
          </cell>
          <cell r="AG467">
            <v>1155322916.8252826</v>
          </cell>
          <cell r="AH467">
            <v>1194964205.1663215</v>
          </cell>
          <cell r="AI467">
            <v>1236234152.4162652</v>
          </cell>
          <cell r="AJ467">
            <v>1277074786.9792657</v>
          </cell>
          <cell r="AK467">
            <v>1311266877.6860514</v>
          </cell>
          <cell r="AL467">
            <v>1345956805.5234199</v>
          </cell>
          <cell r="AM467">
            <v>1380598110.9587851</v>
          </cell>
          <cell r="AN467">
            <v>1415522761.7348068</v>
          </cell>
          <cell r="AO467">
            <v>1451244461.7376802</v>
          </cell>
          <cell r="AP467">
            <v>1486542863.6699693</v>
          </cell>
          <cell r="AQ467">
            <v>1525572484.2534101</v>
          </cell>
          <cell r="AR467">
            <v>1565141365.4399173</v>
          </cell>
          <cell r="AS467">
            <v>1603871432.5686641</v>
          </cell>
          <cell r="AT467">
            <v>1647109068.5722041</v>
          </cell>
          <cell r="AU467">
            <v>1696389160.9686947</v>
          </cell>
          <cell r="AV467">
            <v>1754326051.7366517</v>
          </cell>
          <cell r="AW467">
            <v>1848113788.1653359</v>
          </cell>
          <cell r="AX467">
            <v>2011857218.7508268</v>
          </cell>
          <cell r="AY467">
            <v>2333327373.1765909</v>
          </cell>
          <cell r="AZ467">
            <v>2750666557.1571651</v>
          </cell>
          <cell r="BA467">
            <v>2840585155.9608607</v>
          </cell>
          <cell r="BB467">
            <v>2840585155.9608607</v>
          </cell>
        </row>
        <row r="468">
          <cell r="A468" t="str">
            <v>PRED</v>
          </cell>
          <cell r="B468">
            <v>2803220.5779340137</v>
          </cell>
          <cell r="C468">
            <v>2869708.6736042006</v>
          </cell>
          <cell r="D468">
            <v>2902599.301350045</v>
          </cell>
          <cell r="E468">
            <v>3072051.567871511</v>
          </cell>
          <cell r="F468">
            <v>3502316.4483394204</v>
          </cell>
          <cell r="G468">
            <v>3447909.2584651331</v>
          </cell>
          <cell r="H468">
            <v>3421040.8382611284</v>
          </cell>
          <cell r="I468">
            <v>3413764.780439523</v>
          </cell>
          <cell r="J468">
            <v>2871543.7637587828</v>
          </cell>
          <cell r="K468">
            <v>2814706.4405797222</v>
          </cell>
          <cell r="L468">
            <v>2720951.014395691</v>
          </cell>
          <cell r="M468">
            <v>2849989.7614123463</v>
          </cell>
          <cell r="N468">
            <v>2972862.5417420221</v>
          </cell>
          <cell r="O468">
            <v>3035297.1711301147</v>
          </cell>
          <cell r="P468">
            <v>2829912.1067631487</v>
          </cell>
          <cell r="Q468">
            <v>2845152.6584441992</v>
          </cell>
          <cell r="R468">
            <v>3046745.8079880411</v>
          </cell>
          <cell r="S468">
            <v>3225195.2112363325</v>
          </cell>
          <cell r="T468">
            <v>3031859.2613057331</v>
          </cell>
          <cell r="U468">
            <v>3089762.8487811955</v>
          </cell>
          <cell r="V468">
            <v>3234286.3992387271</v>
          </cell>
          <cell r="W468">
            <v>3323755.4326445865</v>
          </cell>
          <cell r="X468">
            <v>3424469.9336034339</v>
          </cell>
          <cell r="Y468">
            <v>3402870.8090760764</v>
          </cell>
          <cell r="Z468">
            <v>3605413.0168501828</v>
          </cell>
          <cell r="AA468">
            <v>3535956.3693355275</v>
          </cell>
          <cell r="AB468">
            <v>3509128.0815377557</v>
          </cell>
          <cell r="AC468">
            <v>3493184.5495067616</v>
          </cell>
          <cell r="AD468">
            <v>3677403.6032083966</v>
          </cell>
          <cell r="AE468">
            <v>3590478.1271968968</v>
          </cell>
          <cell r="AF468">
            <v>3702026.3977672323</v>
          </cell>
          <cell r="AG468">
            <v>3590670.5415214123</v>
          </cell>
          <cell r="AH468">
            <v>3671044.3991967579</v>
          </cell>
          <cell r="AI468">
            <v>3705192.4286461845</v>
          </cell>
          <cell r="AJ468">
            <v>3736078.8670130228</v>
          </cell>
          <cell r="AK468">
            <v>3707583.2375282827</v>
          </cell>
          <cell r="AL468">
            <v>4019146.8245538217</v>
          </cell>
          <cell r="AM468">
            <v>4025482.8576109484</v>
          </cell>
          <cell r="AN468">
            <v>4044749.3385867127</v>
          </cell>
          <cell r="AO468">
            <v>4182051.5049825492</v>
          </cell>
          <cell r="AP468">
            <v>4196490.0580847422</v>
          </cell>
          <cell r="AQ468">
            <v>4236674.7444313951</v>
          </cell>
          <cell r="AR468">
            <v>4156097.5446270863</v>
          </cell>
          <cell r="AS468">
            <v>4278923.7441951642</v>
          </cell>
          <cell r="AT468">
            <v>4408895.6704286002</v>
          </cell>
          <cell r="AU468">
            <v>4342599.82836386</v>
          </cell>
          <cell r="AV468">
            <v>4363399.3899946865</v>
          </cell>
          <cell r="AW468">
            <v>4701143.3024982531</v>
          </cell>
          <cell r="AX468">
            <v>5037683.6781211887</v>
          </cell>
          <cell r="AY468">
            <v>5081715.0946481796</v>
          </cell>
          <cell r="AZ468">
            <v>5097369.9945220696</v>
          </cell>
          <cell r="BA468">
            <v>5061918.0104198288</v>
          </cell>
          <cell r="BB468">
            <v>0</v>
          </cell>
        </row>
        <row r="469">
          <cell r="A469" t="str">
            <v>ptd</v>
          </cell>
          <cell r="B469">
            <v>2803220.5779340137</v>
          </cell>
          <cell r="C469">
            <v>5672929.2515382143</v>
          </cell>
          <cell r="D469">
            <v>8575528.5528882593</v>
          </cell>
          <cell r="E469">
            <v>11647580.12075977</v>
          </cell>
          <cell r="F469">
            <v>3502316.4483394204</v>
          </cell>
          <cell r="G469">
            <v>6950225.706804553</v>
          </cell>
          <cell r="H469">
            <v>10371266.545065682</v>
          </cell>
          <cell r="I469">
            <v>13785031.325505204</v>
          </cell>
          <cell r="J469">
            <v>2871543.7637587828</v>
          </cell>
          <cell r="K469">
            <v>5686250.2043385049</v>
          </cell>
          <cell r="L469">
            <v>8407201.2187341955</v>
          </cell>
          <cell r="M469">
            <v>11257190.980146542</v>
          </cell>
          <cell r="N469">
            <v>2972862.5417420221</v>
          </cell>
          <cell r="O469">
            <v>6008159.7128721364</v>
          </cell>
          <cell r="P469">
            <v>8838071.8196352851</v>
          </cell>
          <cell r="Q469">
            <v>11683224.478079485</v>
          </cell>
          <cell r="R469">
            <v>3046745.8079880411</v>
          </cell>
          <cell r="S469">
            <v>6271941.0192243736</v>
          </cell>
          <cell r="T469">
            <v>9303800.2805301063</v>
          </cell>
          <cell r="U469">
            <v>12393563.129311301</v>
          </cell>
          <cell r="V469">
            <v>3234286.3992387271</v>
          </cell>
          <cell r="W469">
            <v>6558041.8318833131</v>
          </cell>
          <cell r="X469">
            <v>9982511.765486747</v>
          </cell>
          <cell r="Y469">
            <v>13385382.574562823</v>
          </cell>
          <cell r="Z469">
            <v>3605413.0168501828</v>
          </cell>
          <cell r="AA469">
            <v>7141369.3861857103</v>
          </cell>
          <cell r="AB469">
            <v>10650497.467723466</v>
          </cell>
          <cell r="AC469">
            <v>14143682.017230228</v>
          </cell>
          <cell r="AD469">
            <v>3677403.6032083966</v>
          </cell>
          <cell r="AE469">
            <v>7267881.7304052934</v>
          </cell>
          <cell r="AF469">
            <v>10969908.128172526</v>
          </cell>
          <cell r="AG469">
            <v>14560578.669693939</v>
          </cell>
          <cell r="AH469">
            <v>3671044.3991967579</v>
          </cell>
          <cell r="AI469">
            <v>7376236.8278429424</v>
          </cell>
          <cell r="AJ469">
            <v>11112315.694855966</v>
          </cell>
          <cell r="AK469">
            <v>14819898.932384249</v>
          </cell>
          <cell r="AL469">
            <v>4019146.8245538217</v>
          </cell>
          <cell r="AM469">
            <v>8044629.6821647696</v>
          </cell>
          <cell r="AN469">
            <v>12089379.020751482</v>
          </cell>
          <cell r="AO469">
            <v>16271430.525734032</v>
          </cell>
          <cell r="AP469">
            <v>4196490.0580847422</v>
          </cell>
          <cell r="AQ469">
            <v>8433164.8025161363</v>
          </cell>
          <cell r="AR469">
            <v>12589262.347143222</v>
          </cell>
          <cell r="AS469">
            <v>16868186.091338385</v>
          </cell>
          <cell r="AT469">
            <v>4408895.6704286002</v>
          </cell>
          <cell r="AU469">
            <v>8751495.4987924602</v>
          </cell>
          <cell r="AV469">
            <v>13114894.888787147</v>
          </cell>
          <cell r="AW469">
            <v>17816038.191285402</v>
          </cell>
          <cell r="AX469">
            <v>5037683.6781211887</v>
          </cell>
          <cell r="AY469">
            <v>10119398.772769369</v>
          </cell>
          <cell r="AZ469">
            <v>15216768.767291438</v>
          </cell>
          <cell r="BA469">
            <v>20278686.777711265</v>
          </cell>
          <cell r="BB469">
            <v>20278686.777711265</v>
          </cell>
        </row>
        <row r="470">
          <cell r="A470" t="str">
            <v>qtd</v>
          </cell>
          <cell r="B470">
            <v>2803220.5779340137</v>
          </cell>
          <cell r="C470">
            <v>5672929.2515382143</v>
          </cell>
          <cell r="D470">
            <v>8575528.5528882593</v>
          </cell>
          <cell r="E470">
            <v>11647580.12075977</v>
          </cell>
          <cell r="F470">
            <v>15149896.569099192</v>
          </cell>
          <cell r="G470">
            <v>18597805.827564325</v>
          </cell>
          <cell r="H470">
            <v>22018846.665825453</v>
          </cell>
          <cell r="I470">
            <v>25432611.446264975</v>
          </cell>
          <cell r="J470">
            <v>28304155.210023757</v>
          </cell>
          <cell r="K470">
            <v>31118861.650603481</v>
          </cell>
          <cell r="L470">
            <v>33839812.664999172</v>
          </cell>
          <cell r="M470">
            <v>36689802.426411517</v>
          </cell>
          <cell r="N470">
            <v>2972862.5417420221</v>
          </cell>
          <cell r="O470">
            <v>6008159.7128721364</v>
          </cell>
          <cell r="P470">
            <v>8838071.8196352851</v>
          </cell>
          <cell r="Q470">
            <v>11683224.478079485</v>
          </cell>
          <cell r="R470">
            <v>14729970.286067527</v>
          </cell>
          <cell r="S470">
            <v>17955165.497303858</v>
          </cell>
          <cell r="T470">
            <v>20987024.758609593</v>
          </cell>
          <cell r="U470">
            <v>24076787.607390787</v>
          </cell>
          <cell r="V470">
            <v>27311074.006629515</v>
          </cell>
          <cell r="W470">
            <v>30634829.439274102</v>
          </cell>
          <cell r="X470">
            <v>34059299.372877538</v>
          </cell>
          <cell r="Y470">
            <v>37462170.181953616</v>
          </cell>
          <cell r="Z470">
            <v>3605413.0168501828</v>
          </cell>
          <cell r="AA470">
            <v>7141369.3861857103</v>
          </cell>
          <cell r="AB470">
            <v>10650497.467723466</v>
          </cell>
          <cell r="AC470">
            <v>14143682.017230228</v>
          </cell>
          <cell r="AD470">
            <v>17821085.620438624</v>
          </cell>
          <cell r="AE470">
            <v>21411563.747635521</v>
          </cell>
          <cell r="AF470">
            <v>25113590.145402752</v>
          </cell>
          <cell r="AG470">
            <v>28704260.686924163</v>
          </cell>
          <cell r="AH470">
            <v>32375305.086120922</v>
          </cell>
          <cell r="AI470">
            <v>36080497.51476711</v>
          </cell>
          <cell r="AJ470">
            <v>39816576.381780133</v>
          </cell>
          <cell r="AK470">
            <v>43524159.619308412</v>
          </cell>
          <cell r="AL470">
            <v>4019146.8245538217</v>
          </cell>
          <cell r="AM470">
            <v>8044629.6821647696</v>
          </cell>
          <cell r="AN470">
            <v>12089379.020751482</v>
          </cell>
          <cell r="AO470">
            <v>16271430.525734032</v>
          </cell>
          <cell r="AP470">
            <v>20467920.583818775</v>
          </cell>
          <cell r="AQ470">
            <v>24704595.32825017</v>
          </cell>
          <cell r="AR470">
            <v>28860692.872877255</v>
          </cell>
          <cell r="AS470">
            <v>33139616.617072418</v>
          </cell>
          <cell r="AT470">
            <v>37548512.287501022</v>
          </cell>
          <cell r="AU470">
            <v>41891112.11586488</v>
          </cell>
          <cell r="AV470">
            <v>46254511.505859569</v>
          </cell>
          <cell r="AW470">
            <v>50955654.80835782</v>
          </cell>
          <cell r="AX470">
            <v>55993338.486479007</v>
          </cell>
          <cell r="AY470">
            <v>61075053.581127189</v>
          </cell>
          <cell r="AZ470">
            <v>66172423.575649261</v>
          </cell>
          <cell r="BA470">
            <v>71234341.586069092</v>
          </cell>
          <cell r="BB470">
            <v>71234341.586069092</v>
          </cell>
        </row>
        <row r="471">
          <cell r="A471" t="str">
            <v>ytd</v>
          </cell>
          <cell r="B471">
            <v>2803220.5779340137</v>
          </cell>
          <cell r="C471">
            <v>5672929.2515382143</v>
          </cell>
          <cell r="D471">
            <v>8575528.5528882593</v>
          </cell>
          <cell r="E471">
            <v>11647580.12075977</v>
          </cell>
          <cell r="F471">
            <v>15149896.569099192</v>
          </cell>
          <cell r="G471">
            <v>18597805.827564325</v>
          </cell>
          <cell r="H471">
            <v>22018846.665825453</v>
          </cell>
          <cell r="I471">
            <v>25432611.446264975</v>
          </cell>
          <cell r="J471">
            <v>28304155.210023757</v>
          </cell>
          <cell r="K471">
            <v>31118861.650603481</v>
          </cell>
          <cell r="L471">
            <v>33839812.664999172</v>
          </cell>
          <cell r="M471">
            <v>36689802.426411517</v>
          </cell>
          <cell r="N471">
            <v>39662664.968153536</v>
          </cell>
          <cell r="O471">
            <v>42697962.13928365</v>
          </cell>
          <cell r="P471">
            <v>45527874.246046796</v>
          </cell>
          <cell r="Q471">
            <v>48373026.904490992</v>
          </cell>
          <cell r="R471">
            <v>51419772.712479033</v>
          </cell>
          <cell r="S471">
            <v>54644967.923715368</v>
          </cell>
          <cell r="T471">
            <v>57676827.185021102</v>
          </cell>
          <cell r="U471">
            <v>60766590.033802301</v>
          </cell>
          <cell r="V471">
            <v>64000876.433041029</v>
          </cell>
          <cell r="W471">
            <v>67324631.865685612</v>
          </cell>
          <cell r="X471">
            <v>70749101.799289048</v>
          </cell>
          <cell r="Y471">
            <v>74151972.608365119</v>
          </cell>
          <cell r="Z471">
            <v>77757385.625215307</v>
          </cell>
          <cell r="AA471">
            <v>81293341.994550839</v>
          </cell>
          <cell r="AB471">
            <v>84802470.076088592</v>
          </cell>
          <cell r="AC471">
            <v>88295654.625595361</v>
          </cell>
          <cell r="AD471">
            <v>91973058.228803754</v>
          </cell>
          <cell r="AE471">
            <v>95563536.356000647</v>
          </cell>
          <cell r="AF471">
            <v>99265562.753767878</v>
          </cell>
          <cell r="AG471">
            <v>102856233.29528929</v>
          </cell>
          <cell r="AH471">
            <v>106527277.69448605</v>
          </cell>
          <cell r="AI471">
            <v>110232470.12313223</v>
          </cell>
          <cell r="AJ471">
            <v>113968548.99014525</v>
          </cell>
          <cell r="AK471">
            <v>117676132.22767353</v>
          </cell>
          <cell r="AL471">
            <v>121695279.05222735</v>
          </cell>
          <cell r="AM471">
            <v>125720761.90983829</v>
          </cell>
          <cell r="AN471">
            <v>129765511.24842501</v>
          </cell>
          <cell r="AO471">
            <v>133947562.75340755</v>
          </cell>
          <cell r="AP471">
            <v>138144052.81149229</v>
          </cell>
          <cell r="AQ471">
            <v>142380727.5559237</v>
          </cell>
          <cell r="AR471">
            <v>146536825.1005508</v>
          </cell>
          <cell r="AS471">
            <v>150815748.84474596</v>
          </cell>
          <cell r="AT471">
            <v>155224644.51517457</v>
          </cell>
          <cell r="AU471">
            <v>159567244.34353843</v>
          </cell>
          <cell r="AV471">
            <v>163930643.73353311</v>
          </cell>
          <cell r="AW471">
            <v>168631787.03603137</v>
          </cell>
          <cell r="AX471">
            <v>173669470.71415254</v>
          </cell>
          <cell r="AY471">
            <v>178751185.80880073</v>
          </cell>
          <cell r="AZ471">
            <v>183848555.80332279</v>
          </cell>
          <cell r="BA471">
            <v>188910473.81374261</v>
          </cell>
          <cell r="BB471">
            <v>188910473.81374261</v>
          </cell>
        </row>
        <row r="472">
          <cell r="A472" t="str">
            <v>PREG</v>
          </cell>
          <cell r="B472">
            <v>10716734.251361428</v>
          </cell>
          <cell r="C472">
            <v>10108611.45153835</v>
          </cell>
          <cell r="D472">
            <v>9700725.4913375378</v>
          </cell>
          <cell r="E472">
            <v>9665307.7712447923</v>
          </cell>
          <cell r="F472">
            <v>10078354.091331849</v>
          </cell>
          <cell r="G472">
            <v>11856496.664775804</v>
          </cell>
          <cell r="H472">
            <v>9680637.4819594733</v>
          </cell>
          <cell r="I472">
            <v>9949985.7473446727</v>
          </cell>
          <cell r="J472">
            <v>10272676.462811347</v>
          </cell>
          <cell r="K472">
            <v>10944715.335765343</v>
          </cell>
          <cell r="L472">
            <v>10637503.452311734</v>
          </cell>
          <cell r="M472">
            <v>10625008.190111319</v>
          </cell>
          <cell r="N472">
            <v>10416545.064223006</v>
          </cell>
          <cell r="O472">
            <v>13281629.934325552</v>
          </cell>
          <cell r="P472">
            <v>11103682.533270942</v>
          </cell>
          <cell r="Q472">
            <v>12494194.408617198</v>
          </cell>
          <cell r="R472">
            <v>12364695.561293812</v>
          </cell>
          <cell r="S472">
            <v>17895291.016701069</v>
          </cell>
          <cell r="T472">
            <v>15882638.286323827</v>
          </cell>
          <cell r="U472">
            <v>14576725.631657723</v>
          </cell>
          <cell r="V472">
            <v>15198378.212437468</v>
          </cell>
          <cell r="W472">
            <v>17716882.262019292</v>
          </cell>
          <cell r="X472">
            <v>21707639.686606422</v>
          </cell>
          <cell r="Y472">
            <v>18097281.299007617</v>
          </cell>
          <cell r="Z472">
            <v>12647144.272264814</v>
          </cell>
          <cell r="AA472">
            <v>10588286.475293439</v>
          </cell>
          <cell r="AB472">
            <v>10335623.791191347</v>
          </cell>
          <cell r="AC472">
            <v>10291763.895127472</v>
          </cell>
          <cell r="AD472">
            <v>10498626.845887981</v>
          </cell>
          <cell r="AE472">
            <v>10994295.873425726</v>
          </cell>
          <cell r="AF472">
            <v>11191935.891692957</v>
          </cell>
          <cell r="AG472">
            <v>11356891.640064685</v>
          </cell>
          <cell r="AH472">
            <v>11537984.603333674</v>
          </cell>
          <cell r="AI472">
            <v>10899303.184459219</v>
          </cell>
          <cell r="AJ472">
            <v>10137850.468758455</v>
          </cell>
          <cell r="AK472">
            <v>10258979.544518529</v>
          </cell>
          <cell r="AL472">
            <v>10402316.709018338</v>
          </cell>
          <cell r="AM472">
            <v>10674352.7716197</v>
          </cell>
          <cell r="AN472">
            <v>10934859.009743281</v>
          </cell>
          <cell r="AO472">
            <v>10521402.444311479</v>
          </cell>
          <cell r="AP472">
            <v>10783145.125011556</v>
          </cell>
          <cell r="AQ472">
            <v>10860065.269874441</v>
          </cell>
          <cell r="AR472">
            <v>11028169.160324562</v>
          </cell>
          <cell r="AS472">
            <v>11068419.094010897</v>
          </cell>
          <cell r="AT472">
            <v>11628405.928304575</v>
          </cell>
          <cell r="AU472">
            <v>13347789.092592767</v>
          </cell>
          <cell r="AV472">
            <v>14866944.612183128</v>
          </cell>
          <cell r="AW472">
            <v>21509612.681586355</v>
          </cell>
          <cell r="AX472">
            <v>39514782.096841946</v>
          </cell>
          <cell r="AY472">
            <v>92118642.078875288</v>
          </cell>
          <cell r="AZ472">
            <v>118359422.86383112</v>
          </cell>
          <cell r="BA472">
            <v>25778156.065650389</v>
          </cell>
          <cell r="BB472">
            <v>0</v>
          </cell>
        </row>
        <row r="473">
          <cell r="A473" t="str">
            <v>ptd</v>
          </cell>
          <cell r="B473">
            <v>10716734.251361428</v>
          </cell>
          <cell r="C473">
            <v>20825345.702899776</v>
          </cell>
          <cell r="D473">
            <v>30526071.194237314</v>
          </cell>
          <cell r="E473">
            <v>40191378.965482108</v>
          </cell>
          <cell r="F473">
            <v>10078354.091331849</v>
          </cell>
          <cell r="G473">
            <v>21934850.756107651</v>
          </cell>
          <cell r="H473">
            <v>31615488.238067124</v>
          </cell>
          <cell r="I473">
            <v>41565473.985411793</v>
          </cell>
          <cell r="J473">
            <v>10272676.462811347</v>
          </cell>
          <cell r="K473">
            <v>21217391.79857669</v>
          </cell>
          <cell r="L473">
            <v>31854895.250888422</v>
          </cell>
          <cell r="M473">
            <v>42479903.440999739</v>
          </cell>
          <cell r="N473">
            <v>10416545.064223006</v>
          </cell>
          <cell r="O473">
            <v>23698174.99854856</v>
          </cell>
          <cell r="P473">
            <v>34801857.5318195</v>
          </cell>
          <cell r="Q473">
            <v>47296051.940436698</v>
          </cell>
          <cell r="R473">
            <v>12364695.561293812</v>
          </cell>
          <cell r="S473">
            <v>30259986.577994883</v>
          </cell>
          <cell r="T473">
            <v>46142624.864318714</v>
          </cell>
          <cell r="U473">
            <v>60719350.495976433</v>
          </cell>
          <cell r="V473">
            <v>15198378.212437468</v>
          </cell>
          <cell r="W473">
            <v>32915260.474456757</v>
          </cell>
          <cell r="X473">
            <v>54622900.161063179</v>
          </cell>
          <cell r="Y473">
            <v>72720181.460070789</v>
          </cell>
          <cell r="Z473">
            <v>12647144.272264814</v>
          </cell>
          <cell r="AA473">
            <v>23235430.747558251</v>
          </cell>
          <cell r="AB473">
            <v>33571054.538749598</v>
          </cell>
          <cell r="AC473">
            <v>43862818.433877066</v>
          </cell>
          <cell r="AD473">
            <v>10498626.845887981</v>
          </cell>
          <cell r="AE473">
            <v>21492922.719313707</v>
          </cell>
          <cell r="AF473">
            <v>32684858.611006662</v>
          </cell>
          <cell r="AG473">
            <v>44041750.251071349</v>
          </cell>
          <cell r="AH473">
            <v>11537984.603333674</v>
          </cell>
          <cell r="AI473">
            <v>22437287.787792891</v>
          </cell>
          <cell r="AJ473">
            <v>32575138.256551348</v>
          </cell>
          <cell r="AK473">
            <v>42834117.801069878</v>
          </cell>
          <cell r="AL473">
            <v>10402316.709018338</v>
          </cell>
          <cell r="AM473">
            <v>21076669.480638038</v>
          </cell>
          <cell r="AN473">
            <v>32011528.490381319</v>
          </cell>
          <cell r="AO473">
            <v>42532930.9346928</v>
          </cell>
          <cell r="AP473">
            <v>10783145.125011556</v>
          </cell>
          <cell r="AQ473">
            <v>21643210.394885994</v>
          </cell>
          <cell r="AR473">
            <v>32671379.555210557</v>
          </cell>
          <cell r="AS473">
            <v>43739798.64922145</v>
          </cell>
          <cell r="AT473">
            <v>11628405.928304575</v>
          </cell>
          <cell r="AU473">
            <v>24976195.020897344</v>
          </cell>
          <cell r="AV473">
            <v>39843139.633080468</v>
          </cell>
          <cell r="AW473">
            <v>61352752.314666823</v>
          </cell>
          <cell r="AX473">
            <v>39514782.096841946</v>
          </cell>
          <cell r="AY473">
            <v>131633424.17571723</v>
          </cell>
          <cell r="AZ473">
            <v>249992847.03954834</v>
          </cell>
          <cell r="BA473">
            <v>275771003.10519874</v>
          </cell>
          <cell r="BB473">
            <v>275771003.10519874</v>
          </cell>
        </row>
        <row r="474">
          <cell r="A474" t="str">
            <v>qtd</v>
          </cell>
          <cell r="B474">
            <v>10716734.251361428</v>
          </cell>
          <cell r="C474">
            <v>20825345.702899776</v>
          </cell>
          <cell r="D474">
            <v>30526071.194237314</v>
          </cell>
          <cell r="E474">
            <v>40191378.965482108</v>
          </cell>
          <cell r="F474">
            <v>50269733.056813955</v>
          </cell>
          <cell r="G474">
            <v>62126229.721589759</v>
          </cell>
          <cell r="H474">
            <v>71806867.203549236</v>
          </cell>
          <cell r="I474">
            <v>81756852.950893909</v>
          </cell>
          <cell r="J474">
            <v>92029529.41370526</v>
          </cell>
          <cell r="K474">
            <v>102974244.74947061</v>
          </cell>
          <cell r="L474">
            <v>113611748.20178235</v>
          </cell>
          <cell r="M474">
            <v>124236756.39189367</v>
          </cell>
          <cell r="N474">
            <v>10416545.064223006</v>
          </cell>
          <cell r="O474">
            <v>23698174.99854856</v>
          </cell>
          <cell r="P474">
            <v>34801857.5318195</v>
          </cell>
          <cell r="Q474">
            <v>47296051.940436698</v>
          </cell>
          <cell r="R474">
            <v>59660747.501730509</v>
          </cell>
          <cell r="S474">
            <v>77556038.518431574</v>
          </cell>
          <cell r="T474">
            <v>93438676.804755405</v>
          </cell>
          <cell r="U474">
            <v>108015402.43641312</v>
          </cell>
          <cell r="V474">
            <v>123213780.64885059</v>
          </cell>
          <cell r="W474">
            <v>140930662.9108699</v>
          </cell>
          <cell r="X474">
            <v>162638302.5974763</v>
          </cell>
          <cell r="Y474">
            <v>180735583.89648393</v>
          </cell>
          <cell r="Z474">
            <v>12647144.272264814</v>
          </cell>
          <cell r="AA474">
            <v>23235430.747558251</v>
          </cell>
          <cell r="AB474">
            <v>33571054.538749598</v>
          </cell>
          <cell r="AC474">
            <v>43862818.433877066</v>
          </cell>
          <cell r="AD474">
            <v>54361445.279765047</v>
          </cell>
          <cell r="AE474">
            <v>65355741.153190777</v>
          </cell>
          <cell r="AF474">
            <v>76547677.044883728</v>
          </cell>
          <cell r="AG474">
            <v>87904568.684948415</v>
          </cell>
          <cell r="AH474">
            <v>99442553.288282096</v>
          </cell>
          <cell r="AI474">
            <v>110341856.47274132</v>
          </cell>
          <cell r="AJ474">
            <v>120479706.94149977</v>
          </cell>
          <cell r="AK474">
            <v>130738686.4860183</v>
          </cell>
          <cell r="AL474">
            <v>10402316.709018338</v>
          </cell>
          <cell r="AM474">
            <v>21076669.480638038</v>
          </cell>
          <cell r="AN474">
            <v>32011528.490381319</v>
          </cell>
          <cell r="AO474">
            <v>42532930.9346928</v>
          </cell>
          <cell r="AP474">
            <v>53316076.059704356</v>
          </cell>
          <cell r="AQ474">
            <v>64176141.329578795</v>
          </cell>
          <cell r="AR474">
            <v>75204310.489903361</v>
          </cell>
          <cell r="AS474">
            <v>86272729.58391425</v>
          </cell>
          <cell r="AT474">
            <v>97901135.512218833</v>
          </cell>
          <cell r="AU474">
            <v>111248924.60481159</v>
          </cell>
          <cell r="AV474">
            <v>126115869.21699472</v>
          </cell>
          <cell r="AW474">
            <v>147625481.89858109</v>
          </cell>
          <cell r="AX474">
            <v>187140263.99542302</v>
          </cell>
          <cell r="AY474">
            <v>279258906.07429832</v>
          </cell>
          <cell r="AZ474">
            <v>397618328.93812943</v>
          </cell>
          <cell r="BA474">
            <v>423396485.00377983</v>
          </cell>
          <cell r="BB474">
            <v>423396485.00377983</v>
          </cell>
        </row>
        <row r="475">
          <cell r="A475" t="str">
            <v>ytd</v>
          </cell>
          <cell r="B475">
            <v>10716734.251361428</v>
          </cell>
          <cell r="C475">
            <v>20825345.702899776</v>
          </cell>
          <cell r="D475">
            <v>30526071.194237314</v>
          </cell>
          <cell r="E475">
            <v>40191378.965482108</v>
          </cell>
          <cell r="F475">
            <v>50269733.056813955</v>
          </cell>
          <cell r="G475">
            <v>62126229.721589759</v>
          </cell>
          <cell r="H475">
            <v>71806867.203549236</v>
          </cell>
          <cell r="I475">
            <v>81756852.950893909</v>
          </cell>
          <cell r="J475">
            <v>92029529.41370526</v>
          </cell>
          <cell r="K475">
            <v>102974244.74947061</v>
          </cell>
          <cell r="L475">
            <v>113611748.20178235</v>
          </cell>
          <cell r="M475">
            <v>124236756.39189367</v>
          </cell>
          <cell r="N475">
            <v>134653301.45611668</v>
          </cell>
          <cell r="O475">
            <v>147934931.39044222</v>
          </cell>
          <cell r="P475">
            <v>159038613.92371318</v>
          </cell>
          <cell r="Q475">
            <v>171532808.33233038</v>
          </cell>
          <cell r="R475">
            <v>183897503.89362419</v>
          </cell>
          <cell r="S475">
            <v>201792794.91032526</v>
          </cell>
          <cell r="T475">
            <v>217675433.19664907</v>
          </cell>
          <cell r="U475">
            <v>232252158.82830679</v>
          </cell>
          <cell r="V475">
            <v>247450537.04074427</v>
          </cell>
          <cell r="W475">
            <v>265167419.30276358</v>
          </cell>
          <cell r="X475">
            <v>286875058.98936999</v>
          </cell>
          <cell r="Y475">
            <v>304972340.28837758</v>
          </cell>
          <cell r="Z475">
            <v>317619484.56064242</v>
          </cell>
          <cell r="AA475">
            <v>328207771.03593588</v>
          </cell>
          <cell r="AB475">
            <v>338543394.82712722</v>
          </cell>
          <cell r="AC475">
            <v>348835158.72225469</v>
          </cell>
          <cell r="AD475">
            <v>359333785.56814265</v>
          </cell>
          <cell r="AE475">
            <v>370328081.44156837</v>
          </cell>
          <cell r="AF475">
            <v>381520017.33326131</v>
          </cell>
          <cell r="AG475">
            <v>392876908.97332597</v>
          </cell>
          <cell r="AH475">
            <v>404414893.57665962</v>
          </cell>
          <cell r="AI475">
            <v>415314196.76111883</v>
          </cell>
          <cell r="AJ475">
            <v>425452047.22987729</v>
          </cell>
          <cell r="AK475">
            <v>435711026.77439582</v>
          </cell>
          <cell r="AL475">
            <v>446113343.48341417</v>
          </cell>
          <cell r="AM475">
            <v>456787696.25503385</v>
          </cell>
          <cell r="AN475">
            <v>467722555.26477712</v>
          </cell>
          <cell r="AO475">
            <v>478243957.70908862</v>
          </cell>
          <cell r="AP475">
            <v>489027102.83410019</v>
          </cell>
          <cell r="AQ475">
            <v>499887168.10397464</v>
          </cell>
          <cell r="AR475">
            <v>510915337.26429921</v>
          </cell>
          <cell r="AS475">
            <v>521983756.3583101</v>
          </cell>
          <cell r="AT475">
            <v>533612162.28661466</v>
          </cell>
          <cell r="AU475">
            <v>546959951.37920737</v>
          </cell>
          <cell r="AV475">
            <v>561826895.99139047</v>
          </cell>
          <cell r="AW475">
            <v>583336508.67297685</v>
          </cell>
          <cell r="AX475">
            <v>622851290.76981878</v>
          </cell>
          <cell r="AY475">
            <v>714969932.84869409</v>
          </cell>
          <cell r="AZ475">
            <v>833329355.71252525</v>
          </cell>
          <cell r="BA475">
            <v>859107511.77817559</v>
          </cell>
          <cell r="BB475">
            <v>859107511.77817559</v>
          </cell>
        </row>
        <row r="476">
          <cell r="A476" t="str">
            <v>SPRT</v>
          </cell>
          <cell r="B476">
            <v>233109.88373922688</v>
          </cell>
          <cell r="C476">
            <v>233806.80226633401</v>
          </cell>
          <cell r="D476">
            <v>193155.42821330726</v>
          </cell>
          <cell r="E476">
            <v>193143.36459074004</v>
          </cell>
          <cell r="F476">
            <v>207900.35088626735</v>
          </cell>
          <cell r="G476">
            <v>366187.34015368903</v>
          </cell>
          <cell r="H476">
            <v>243237.16671169267</v>
          </cell>
          <cell r="I476">
            <v>205648.18767156074</v>
          </cell>
          <cell r="J476">
            <v>223781.94519868289</v>
          </cell>
          <cell r="K476">
            <v>224819.65841257031</v>
          </cell>
          <cell r="L476">
            <v>236356.87834151695</v>
          </cell>
          <cell r="M476">
            <v>271093.73218928056</v>
          </cell>
          <cell r="N476">
            <v>249186.29911616805</v>
          </cell>
          <cell r="O476">
            <v>366534.36982450663</v>
          </cell>
          <cell r="P476">
            <v>239022.70776050343</v>
          </cell>
          <cell r="Q476">
            <v>264446.31629049382</v>
          </cell>
          <cell r="R476">
            <v>276781.37692649406</v>
          </cell>
          <cell r="S476">
            <v>385308.55703388859</v>
          </cell>
          <cell r="T476">
            <v>329543.95523482311</v>
          </cell>
          <cell r="U476">
            <v>290444.33203168679</v>
          </cell>
          <cell r="V476">
            <v>339186.67449436936</v>
          </cell>
          <cell r="W476">
            <v>326025.27680025308</v>
          </cell>
          <cell r="X476">
            <v>418183.13484161964</v>
          </cell>
          <cell r="Y476">
            <v>767107.39639888203</v>
          </cell>
          <cell r="Z476">
            <v>528008.11231066717</v>
          </cell>
          <cell r="AA476">
            <v>282711.78553818056</v>
          </cell>
          <cell r="AB476">
            <v>244550.7507658141</v>
          </cell>
          <cell r="AC476">
            <v>243593.29791279018</v>
          </cell>
          <cell r="AD476">
            <v>241038.30001097231</v>
          </cell>
          <cell r="AE476">
            <v>246603.37087246569</v>
          </cell>
          <cell r="AF476">
            <v>247018.35143340431</v>
          </cell>
          <cell r="AG476">
            <v>270522.81877589843</v>
          </cell>
          <cell r="AH476">
            <v>279139.31330817292</v>
          </cell>
          <cell r="AI476">
            <v>263770.92012568528</v>
          </cell>
          <cell r="AJ476">
            <v>269902.02802609355</v>
          </cell>
          <cell r="AK476">
            <v>236836.0534365249</v>
          </cell>
          <cell r="AL476">
            <v>266216.97461082239</v>
          </cell>
          <cell r="AM476">
            <v>263237.09447590227</v>
          </cell>
          <cell r="AN476">
            <v>242486.97880778278</v>
          </cell>
          <cell r="AO476">
            <v>240758.50833309814</v>
          </cell>
          <cell r="AP476">
            <v>234292.92196470554</v>
          </cell>
          <cell r="AQ476">
            <v>253832.21183928027</v>
          </cell>
          <cell r="AR476">
            <v>228722.02586372098</v>
          </cell>
          <cell r="AS476">
            <v>3052216.7065890464</v>
          </cell>
          <cell r="AT476">
            <v>723050.28145329072</v>
          </cell>
          <cell r="AU476">
            <v>477977.79997954698</v>
          </cell>
          <cell r="AV476">
            <v>356746.78729728173</v>
          </cell>
          <cell r="AW476">
            <v>627310.09030697972</v>
          </cell>
          <cell r="AX476">
            <v>1168927.4308249506</v>
          </cell>
          <cell r="AY476">
            <v>2338328.744053395</v>
          </cell>
          <cell r="AZ476">
            <v>3731115.7492706962</v>
          </cell>
          <cell r="BA476">
            <v>634320.01556010311</v>
          </cell>
          <cell r="BB476">
            <v>0</v>
          </cell>
        </row>
        <row r="477">
          <cell r="A477" t="str">
            <v>ptd</v>
          </cell>
          <cell r="B477">
            <v>233109.88373922688</v>
          </cell>
          <cell r="C477">
            <v>466916.68600556091</v>
          </cell>
          <cell r="D477">
            <v>660072.1142188682</v>
          </cell>
          <cell r="E477">
            <v>853215.47880960826</v>
          </cell>
          <cell r="F477">
            <v>207900.35088626735</v>
          </cell>
          <cell r="G477">
            <v>574087.69103995641</v>
          </cell>
          <cell r="H477">
            <v>817324.85775164911</v>
          </cell>
          <cell r="I477">
            <v>1022973.0454232099</v>
          </cell>
          <cell r="J477">
            <v>223781.94519868289</v>
          </cell>
          <cell r="K477">
            <v>448601.6036112532</v>
          </cell>
          <cell r="L477">
            <v>684958.48195277015</v>
          </cell>
          <cell r="M477">
            <v>956052.21414205071</v>
          </cell>
          <cell r="N477">
            <v>249186.29911616805</v>
          </cell>
          <cell r="O477">
            <v>615720.66894067475</v>
          </cell>
          <cell r="P477">
            <v>854743.37670117815</v>
          </cell>
          <cell r="Q477">
            <v>1119189.6929916721</v>
          </cell>
          <cell r="R477">
            <v>276781.37692649406</v>
          </cell>
          <cell r="S477">
            <v>662089.93396038259</v>
          </cell>
          <cell r="T477">
            <v>991633.88919520564</v>
          </cell>
          <cell r="U477">
            <v>1282078.2212268924</v>
          </cell>
          <cell r="V477">
            <v>339186.67449436936</v>
          </cell>
          <cell r="W477">
            <v>665211.95129462238</v>
          </cell>
          <cell r="X477">
            <v>1083395.0861362419</v>
          </cell>
          <cell r="Y477">
            <v>1850502.4825351238</v>
          </cell>
          <cell r="Z477">
            <v>528008.11231066717</v>
          </cell>
          <cell r="AA477">
            <v>810719.89784884779</v>
          </cell>
          <cell r="AB477">
            <v>1055270.6486146618</v>
          </cell>
          <cell r="AC477">
            <v>1298863.946527452</v>
          </cell>
          <cell r="AD477">
            <v>241038.30001097231</v>
          </cell>
          <cell r="AE477">
            <v>487641.67088343797</v>
          </cell>
          <cell r="AF477">
            <v>734660.02231684234</v>
          </cell>
          <cell r="AG477">
            <v>1005182.8410927408</v>
          </cell>
          <cell r="AH477">
            <v>279139.31330817292</v>
          </cell>
          <cell r="AI477">
            <v>542910.23343385826</v>
          </cell>
          <cell r="AJ477">
            <v>812812.26145995175</v>
          </cell>
          <cell r="AK477">
            <v>1049648.3148964767</v>
          </cell>
          <cell r="AL477">
            <v>266216.97461082239</v>
          </cell>
          <cell r="AM477">
            <v>529454.06908672466</v>
          </cell>
          <cell r="AN477">
            <v>771941.04789450741</v>
          </cell>
          <cell r="AO477">
            <v>1012699.5562276056</v>
          </cell>
          <cell r="AP477">
            <v>234292.92196470554</v>
          </cell>
          <cell r="AQ477">
            <v>488125.13380398578</v>
          </cell>
          <cell r="AR477">
            <v>716847.15966770682</v>
          </cell>
          <cell r="AS477">
            <v>3769063.866256753</v>
          </cell>
          <cell r="AT477">
            <v>723050.28145329072</v>
          </cell>
          <cell r="AU477">
            <v>1201028.0814328378</v>
          </cell>
          <cell r="AV477">
            <v>1557774.8687301194</v>
          </cell>
          <cell r="AW477">
            <v>2185084.959037099</v>
          </cell>
          <cell r="AX477">
            <v>1168927.4308249506</v>
          </cell>
          <cell r="AY477">
            <v>3507256.1748783458</v>
          </cell>
          <cell r="AZ477">
            <v>7238371.924149042</v>
          </cell>
          <cell r="BA477">
            <v>7872691.9397091456</v>
          </cell>
          <cell r="BB477">
            <v>7872691.9397091456</v>
          </cell>
        </row>
        <row r="478">
          <cell r="A478" t="str">
            <v>qtd</v>
          </cell>
          <cell r="B478">
            <v>233109.88373922688</v>
          </cell>
          <cell r="C478">
            <v>466916.68600556091</v>
          </cell>
          <cell r="D478">
            <v>660072.1142188682</v>
          </cell>
          <cell r="E478">
            <v>853215.47880960826</v>
          </cell>
          <cell r="F478">
            <v>1061115.8296958755</v>
          </cell>
          <cell r="G478">
            <v>1427303.1698495646</v>
          </cell>
          <cell r="H478">
            <v>1670540.3365612573</v>
          </cell>
          <cell r="I478">
            <v>1876188.524232818</v>
          </cell>
          <cell r="J478">
            <v>2099970.4694315009</v>
          </cell>
          <cell r="K478">
            <v>2324790.127844071</v>
          </cell>
          <cell r="L478">
            <v>2561147.006185588</v>
          </cell>
          <cell r="M478">
            <v>2832240.7383748684</v>
          </cell>
          <cell r="N478">
            <v>249186.29911616805</v>
          </cell>
          <cell r="O478">
            <v>615720.66894067475</v>
          </cell>
          <cell r="P478">
            <v>854743.37670117815</v>
          </cell>
          <cell r="Q478">
            <v>1119189.6929916721</v>
          </cell>
          <cell r="R478">
            <v>1395971.0699181661</v>
          </cell>
          <cell r="S478">
            <v>1781279.6269520547</v>
          </cell>
          <cell r="T478">
            <v>2110823.5821868777</v>
          </cell>
          <cell r="U478">
            <v>2401267.9142185645</v>
          </cell>
          <cell r="V478">
            <v>2740454.5887129339</v>
          </cell>
          <cell r="W478">
            <v>3066479.8655131869</v>
          </cell>
          <cell r="X478">
            <v>3484663.0003548064</v>
          </cell>
          <cell r="Y478">
            <v>4251770.3967536883</v>
          </cell>
          <cell r="Z478">
            <v>528008.11231066717</v>
          </cell>
          <cell r="AA478">
            <v>810719.89784884779</v>
          </cell>
          <cell r="AB478">
            <v>1055270.6486146618</v>
          </cell>
          <cell r="AC478">
            <v>1298863.946527452</v>
          </cell>
          <cell r="AD478">
            <v>1539902.2465384244</v>
          </cell>
          <cell r="AE478">
            <v>1786505.6174108901</v>
          </cell>
          <cell r="AF478">
            <v>2033523.9688442943</v>
          </cell>
          <cell r="AG478">
            <v>2304046.7876201929</v>
          </cell>
          <cell r="AH478">
            <v>2583186.1009283657</v>
          </cell>
          <cell r="AI478">
            <v>2846957.0210540509</v>
          </cell>
          <cell r="AJ478">
            <v>3116859.0490801446</v>
          </cell>
          <cell r="AK478">
            <v>3353695.1025166693</v>
          </cell>
          <cell r="AL478">
            <v>266216.97461082239</v>
          </cell>
          <cell r="AM478">
            <v>529454.06908672466</v>
          </cell>
          <cell r="AN478">
            <v>771941.04789450741</v>
          </cell>
          <cell r="AO478">
            <v>1012699.5562276056</v>
          </cell>
          <cell r="AP478">
            <v>1246992.478192311</v>
          </cell>
          <cell r="AQ478">
            <v>1500824.6900315913</v>
          </cell>
          <cell r="AR478">
            <v>1729546.7158953124</v>
          </cell>
          <cell r="AS478">
            <v>4781763.4224843588</v>
          </cell>
          <cell r="AT478">
            <v>5504813.7039376497</v>
          </cell>
          <cell r="AU478">
            <v>5982791.5039171968</v>
          </cell>
          <cell r="AV478">
            <v>6339538.2912144782</v>
          </cell>
          <cell r="AW478">
            <v>6966848.3815214578</v>
          </cell>
          <cell r="AX478">
            <v>8135775.8123464081</v>
          </cell>
          <cell r="AY478">
            <v>10474104.556399804</v>
          </cell>
          <cell r="AZ478">
            <v>14205220.3056705</v>
          </cell>
          <cell r="BA478">
            <v>14839540.321230603</v>
          </cell>
          <cell r="BB478">
            <v>14839540.321230603</v>
          </cell>
        </row>
        <row r="479">
          <cell r="A479" t="str">
            <v>ytd</v>
          </cell>
          <cell r="B479">
            <v>233109.88373922688</v>
          </cell>
          <cell r="C479">
            <v>466916.68600556091</v>
          </cell>
          <cell r="D479">
            <v>660072.1142188682</v>
          </cell>
          <cell r="E479">
            <v>853215.47880960826</v>
          </cell>
          <cell r="F479">
            <v>1061115.8296958755</v>
          </cell>
          <cell r="G479">
            <v>1427303.1698495646</v>
          </cell>
          <cell r="H479">
            <v>1670540.3365612573</v>
          </cell>
          <cell r="I479">
            <v>1876188.524232818</v>
          </cell>
          <cell r="J479">
            <v>2099970.4694315009</v>
          </cell>
          <cell r="K479">
            <v>2324790.127844071</v>
          </cell>
          <cell r="L479">
            <v>2561147.006185588</v>
          </cell>
          <cell r="M479">
            <v>2832240.7383748684</v>
          </cell>
          <cell r="N479">
            <v>3081427.0374910366</v>
          </cell>
          <cell r="O479">
            <v>3447961.4073155434</v>
          </cell>
          <cell r="P479">
            <v>3686984.1150760469</v>
          </cell>
          <cell r="Q479">
            <v>3951430.4313665405</v>
          </cell>
          <cell r="R479">
            <v>4228211.8082930343</v>
          </cell>
          <cell r="S479">
            <v>4613520.3653269233</v>
          </cell>
          <cell r="T479">
            <v>4943064.3205617461</v>
          </cell>
          <cell r="U479">
            <v>5233508.6525934329</v>
          </cell>
          <cell r="V479">
            <v>5572695.3270878019</v>
          </cell>
          <cell r="W479">
            <v>5898720.6038880553</v>
          </cell>
          <cell r="X479">
            <v>6316903.7387296753</v>
          </cell>
          <cell r="Y479">
            <v>7084011.1351285577</v>
          </cell>
          <cell r="Z479">
            <v>7612019.2474392252</v>
          </cell>
          <cell r="AA479">
            <v>7894731.0329774059</v>
          </cell>
          <cell r="AB479">
            <v>8139281.7837432204</v>
          </cell>
          <cell r="AC479">
            <v>8382875.0816560108</v>
          </cell>
          <cell r="AD479">
            <v>8623913.3816669825</v>
          </cell>
          <cell r="AE479">
            <v>8870516.7525394484</v>
          </cell>
          <cell r="AF479">
            <v>9117535.1039728522</v>
          </cell>
          <cell r="AG479">
            <v>9388057.9227487501</v>
          </cell>
          <cell r="AH479">
            <v>9667197.2360569239</v>
          </cell>
          <cell r="AI479">
            <v>9930968.1561826095</v>
          </cell>
          <cell r="AJ479">
            <v>10200870.184208702</v>
          </cell>
          <cell r="AK479">
            <v>10437706.237645227</v>
          </cell>
          <cell r="AL479">
            <v>10703923.21225605</v>
          </cell>
          <cell r="AM479">
            <v>10967160.306731952</v>
          </cell>
          <cell r="AN479">
            <v>11209647.285539735</v>
          </cell>
          <cell r="AO479">
            <v>11450405.793872833</v>
          </cell>
          <cell r="AP479">
            <v>11684698.715837538</v>
          </cell>
          <cell r="AQ479">
            <v>11938530.927676819</v>
          </cell>
          <cell r="AR479">
            <v>12167252.953540539</v>
          </cell>
          <cell r="AS479">
            <v>15219469.660129586</v>
          </cell>
          <cell r="AT479">
            <v>15942519.941582877</v>
          </cell>
          <cell r="AU479">
            <v>16420497.741562424</v>
          </cell>
          <cell r="AV479">
            <v>16777244.528859705</v>
          </cell>
          <cell r="AW479">
            <v>17404554.619166683</v>
          </cell>
          <cell r="AX479">
            <v>18573482.049991634</v>
          </cell>
          <cell r="AY479">
            <v>20911810.794045027</v>
          </cell>
          <cell r="AZ479">
            <v>24642926.543315724</v>
          </cell>
          <cell r="BA479">
            <v>25277246.558875825</v>
          </cell>
          <cell r="BB479">
            <v>25277246.558875825</v>
          </cell>
        </row>
        <row r="480">
          <cell r="A480" t="str">
            <v>TELE</v>
          </cell>
          <cell r="B480">
            <v>6347535.2116240794</v>
          </cell>
          <cell r="C480">
            <v>6173783.4627651582</v>
          </cell>
          <cell r="D480">
            <v>6073836.053882706</v>
          </cell>
          <cell r="E480">
            <v>5922729.9511357564</v>
          </cell>
          <cell r="F480">
            <v>6556980.1286555948</v>
          </cell>
          <cell r="G480">
            <v>6327164.6963039069</v>
          </cell>
          <cell r="H480">
            <v>6454548.6983546894</v>
          </cell>
          <cell r="I480">
            <v>5971452.4899658756</v>
          </cell>
          <cell r="J480">
            <v>6213522.883228261</v>
          </cell>
          <cell r="K480">
            <v>6284947.8799069235</v>
          </cell>
          <cell r="L480">
            <v>5975338.7322520055</v>
          </cell>
          <cell r="M480">
            <v>6512066.7862300798</v>
          </cell>
          <cell r="N480">
            <v>5974973.5821873602</v>
          </cell>
          <cell r="O480">
            <v>6249957.9873451777</v>
          </cell>
          <cell r="P480">
            <v>5901570.5066451775</v>
          </cell>
          <cell r="Q480">
            <v>5988535.6373178856</v>
          </cell>
          <cell r="R480">
            <v>5899916.8141137045</v>
          </cell>
          <cell r="S480">
            <v>6397453.9029435879</v>
          </cell>
          <cell r="T480">
            <v>6372917.8087117895</v>
          </cell>
          <cell r="U480">
            <v>6444636.9377263924</v>
          </cell>
          <cell r="V480">
            <v>6468417.1047842884</v>
          </cell>
          <cell r="W480">
            <v>6351256.9011818226</v>
          </cell>
          <cell r="X480">
            <v>7060019.5735879587</v>
          </cell>
          <cell r="Y480">
            <v>6839649.9922598582</v>
          </cell>
          <cell r="Z480">
            <v>6912680.727985586</v>
          </cell>
          <cell r="AA480">
            <v>6744715.0546912858</v>
          </cell>
          <cell r="AB480">
            <v>7142033.1917673023</v>
          </cell>
          <cell r="AC480">
            <v>7253294.7298939805</v>
          </cell>
          <cell r="AD480">
            <v>6798847.8614454009</v>
          </cell>
          <cell r="AE480">
            <v>6632874.92173013</v>
          </cell>
          <cell r="AF480">
            <v>7040404.7680299236</v>
          </cell>
          <cell r="AG480">
            <v>6828403.9262171071</v>
          </cell>
          <cell r="AH480">
            <v>6683762.7763971882</v>
          </cell>
          <cell r="AI480">
            <v>6708585.5163583299</v>
          </cell>
          <cell r="AJ480">
            <v>6899387.072319597</v>
          </cell>
          <cell r="AK480">
            <v>7001484.1366293449</v>
          </cell>
          <cell r="AL480">
            <v>6587272.6431390969</v>
          </cell>
          <cell r="AM480">
            <v>6713783.5639635688</v>
          </cell>
          <cell r="AN480">
            <v>6512162.7060300475</v>
          </cell>
          <cell r="AO480">
            <v>7348473.0453609433</v>
          </cell>
          <cell r="AP480">
            <v>7035504.6670259088</v>
          </cell>
          <cell r="AQ480">
            <v>6708800.7552131107</v>
          </cell>
          <cell r="AR480">
            <v>6678678.8762931451</v>
          </cell>
          <cell r="AS480">
            <v>6684942.7193644522</v>
          </cell>
          <cell r="AT480">
            <v>7296210.4545775931</v>
          </cell>
          <cell r="AU480">
            <v>6766999.3109657187</v>
          </cell>
          <cell r="AV480">
            <v>6939316.967488328</v>
          </cell>
          <cell r="AW480">
            <v>7684830.2725710655</v>
          </cell>
          <cell r="AX480">
            <v>7797629.5990988966</v>
          </cell>
          <cell r="AY480">
            <v>8092377.2081004158</v>
          </cell>
          <cell r="AZ480">
            <v>9172755.0714621749</v>
          </cell>
          <cell r="BA480">
            <v>8124959.8097980842</v>
          </cell>
          <cell r="BB480">
            <v>0</v>
          </cell>
        </row>
        <row r="481">
          <cell r="A481" t="str">
            <v>ptd</v>
          </cell>
          <cell r="B481">
            <v>6347535.2116240794</v>
          </cell>
          <cell r="C481">
            <v>12521318.674389238</v>
          </cell>
          <cell r="D481">
            <v>18595154.728271943</v>
          </cell>
          <cell r="E481">
            <v>24517884.679407701</v>
          </cell>
          <cell r="F481">
            <v>6556980.1286555948</v>
          </cell>
          <cell r="G481">
            <v>12884144.824959502</v>
          </cell>
          <cell r="H481">
            <v>19338693.523314193</v>
          </cell>
          <cell r="I481">
            <v>25310146.013280068</v>
          </cell>
          <cell r="J481">
            <v>6213522.883228261</v>
          </cell>
          <cell r="K481">
            <v>12498470.763135184</v>
          </cell>
          <cell r="L481">
            <v>18473809.495387189</v>
          </cell>
          <cell r="M481">
            <v>24985876.281617269</v>
          </cell>
          <cell r="N481">
            <v>5974973.5821873602</v>
          </cell>
          <cell r="O481">
            <v>12224931.569532538</v>
          </cell>
          <cell r="P481">
            <v>18126502.076177716</v>
          </cell>
          <cell r="Q481">
            <v>24115037.713495601</v>
          </cell>
          <cell r="R481">
            <v>5899916.8141137045</v>
          </cell>
          <cell r="S481">
            <v>12297370.717057291</v>
          </cell>
          <cell r="T481">
            <v>18670288.525769081</v>
          </cell>
          <cell r="U481">
            <v>25114925.463495474</v>
          </cell>
          <cell r="V481">
            <v>6468417.1047842884</v>
          </cell>
          <cell r="W481">
            <v>12819674.005966112</v>
          </cell>
          <cell r="X481">
            <v>19879693.57955407</v>
          </cell>
          <cell r="Y481">
            <v>26719343.571813926</v>
          </cell>
          <cell r="Z481">
            <v>6912680.727985586</v>
          </cell>
          <cell r="AA481">
            <v>13657395.782676872</v>
          </cell>
          <cell r="AB481">
            <v>20799428.974444173</v>
          </cell>
          <cell r="AC481">
            <v>28052723.704338156</v>
          </cell>
          <cell r="AD481">
            <v>6798847.8614454009</v>
          </cell>
          <cell r="AE481">
            <v>13431722.783175532</v>
          </cell>
          <cell r="AF481">
            <v>20472127.551205456</v>
          </cell>
          <cell r="AG481">
            <v>27300531.477422565</v>
          </cell>
          <cell r="AH481">
            <v>6683762.7763971882</v>
          </cell>
          <cell r="AI481">
            <v>13392348.292755518</v>
          </cell>
          <cell r="AJ481">
            <v>20291735.365075115</v>
          </cell>
          <cell r="AK481">
            <v>27293219.501704462</v>
          </cell>
          <cell r="AL481">
            <v>6587272.6431390969</v>
          </cell>
          <cell r="AM481">
            <v>13301056.207102666</v>
          </cell>
          <cell r="AN481">
            <v>19813218.913132712</v>
          </cell>
          <cell r="AO481">
            <v>27161691.958493657</v>
          </cell>
          <cell r="AP481">
            <v>7035504.6670259088</v>
          </cell>
          <cell r="AQ481">
            <v>13744305.42223902</v>
          </cell>
          <cell r="AR481">
            <v>20422984.298532166</v>
          </cell>
          <cell r="AS481">
            <v>27107927.017896619</v>
          </cell>
          <cell r="AT481">
            <v>7296210.4545775931</v>
          </cell>
          <cell r="AU481">
            <v>14063209.765543312</v>
          </cell>
          <cell r="AV481">
            <v>21002526.733031638</v>
          </cell>
          <cell r="AW481">
            <v>28687357.005602702</v>
          </cell>
          <cell r="AX481">
            <v>7797629.5990988966</v>
          </cell>
          <cell r="AY481">
            <v>15890006.807199312</v>
          </cell>
          <cell r="AZ481">
            <v>25062761.878661487</v>
          </cell>
          <cell r="BA481">
            <v>33187721.688459571</v>
          </cell>
          <cell r="BB481">
            <v>33187721.688459571</v>
          </cell>
        </row>
        <row r="482">
          <cell r="A482" t="str">
            <v>qtd</v>
          </cell>
          <cell r="B482">
            <v>6347535.2116240794</v>
          </cell>
          <cell r="C482">
            <v>12521318.674389238</v>
          </cell>
          <cell r="D482">
            <v>18595154.728271943</v>
          </cell>
          <cell r="E482">
            <v>24517884.679407701</v>
          </cell>
          <cell r="F482">
            <v>31074864.808063295</v>
          </cell>
          <cell r="G482">
            <v>37402029.504367203</v>
          </cell>
          <cell r="H482">
            <v>43856578.202721894</v>
          </cell>
          <cell r="I482">
            <v>49828030.692687772</v>
          </cell>
          <cell r="J482">
            <v>56041553.575916037</v>
          </cell>
          <cell r="K482">
            <v>62326501.45582296</v>
          </cell>
          <cell r="L482">
            <v>68301840.188074961</v>
          </cell>
          <cell r="M482">
            <v>74813906.974305034</v>
          </cell>
          <cell r="N482">
            <v>5974973.5821873602</v>
          </cell>
          <cell r="O482">
            <v>12224931.569532538</v>
          </cell>
          <cell r="P482">
            <v>18126502.076177716</v>
          </cell>
          <cell r="Q482">
            <v>24115037.713495601</v>
          </cell>
          <cell r="R482">
            <v>30014954.527609304</v>
          </cell>
          <cell r="S482">
            <v>36412408.430552892</v>
          </cell>
          <cell r="T482">
            <v>42785326.239264682</v>
          </cell>
          <cell r="U482">
            <v>49229963.176991075</v>
          </cell>
          <cell r="V482">
            <v>55698380.281775363</v>
          </cell>
          <cell r="W482">
            <v>62049637.182957187</v>
          </cell>
          <cell r="X482">
            <v>69109656.756545141</v>
          </cell>
          <cell r="Y482">
            <v>75949306.748805001</v>
          </cell>
          <cell r="Z482">
            <v>6912680.727985586</v>
          </cell>
          <cell r="AA482">
            <v>13657395.782676872</v>
          </cell>
          <cell r="AB482">
            <v>20799428.974444173</v>
          </cell>
          <cell r="AC482">
            <v>28052723.704338156</v>
          </cell>
          <cell r="AD482">
            <v>34851571.56578356</v>
          </cell>
          <cell r="AE482">
            <v>41484446.487513691</v>
          </cell>
          <cell r="AF482">
            <v>48524851.255543612</v>
          </cell>
          <cell r="AG482">
            <v>55353255.181760721</v>
          </cell>
          <cell r="AH482">
            <v>62037017.958157912</v>
          </cell>
          <cell r="AI482">
            <v>68745603.474516243</v>
          </cell>
          <cell r="AJ482">
            <v>75644990.54683584</v>
          </cell>
          <cell r="AK482">
            <v>82646474.683465183</v>
          </cell>
          <cell r="AL482">
            <v>6587272.6431390969</v>
          </cell>
          <cell r="AM482">
            <v>13301056.207102666</v>
          </cell>
          <cell r="AN482">
            <v>19813218.913132712</v>
          </cell>
          <cell r="AO482">
            <v>27161691.958493657</v>
          </cell>
          <cell r="AP482">
            <v>34197196.625519566</v>
          </cell>
          <cell r="AQ482">
            <v>40905997.380732678</v>
          </cell>
          <cell r="AR482">
            <v>47584676.257025823</v>
          </cell>
          <cell r="AS482">
            <v>54269618.976390272</v>
          </cell>
          <cell r="AT482">
            <v>61565829.430967867</v>
          </cell>
          <cell r="AU482">
            <v>68332828.741933584</v>
          </cell>
          <cell r="AV482">
            <v>75272145.709421918</v>
          </cell>
          <cell r="AW482">
            <v>82956975.98199299</v>
          </cell>
          <cell r="AX482">
            <v>90754605.581091881</v>
          </cell>
          <cell r="AY482">
            <v>98846982.789192289</v>
          </cell>
          <cell r="AZ482">
            <v>108019737.86065446</v>
          </cell>
          <cell r="BA482">
            <v>116144697.67045254</v>
          </cell>
          <cell r="BB482">
            <v>116144697.67045254</v>
          </cell>
        </row>
        <row r="483">
          <cell r="A483" t="str">
            <v>ytd</v>
          </cell>
          <cell r="B483">
            <v>6347535.2116240794</v>
          </cell>
          <cell r="C483">
            <v>12521318.674389238</v>
          </cell>
          <cell r="D483">
            <v>18595154.728271943</v>
          </cell>
          <cell r="E483">
            <v>24517884.679407701</v>
          </cell>
          <cell r="F483">
            <v>31074864.808063295</v>
          </cell>
          <cell r="G483">
            <v>37402029.504367203</v>
          </cell>
          <cell r="H483">
            <v>43856578.202721894</v>
          </cell>
          <cell r="I483">
            <v>49828030.692687772</v>
          </cell>
          <cell r="J483">
            <v>56041553.575916037</v>
          </cell>
          <cell r="K483">
            <v>62326501.45582296</v>
          </cell>
          <cell r="L483">
            <v>68301840.188074961</v>
          </cell>
          <cell r="M483">
            <v>74813906.974305034</v>
          </cell>
          <cell r="N483">
            <v>80788880.556492388</v>
          </cell>
          <cell r="O483">
            <v>87038838.543837562</v>
          </cell>
          <cell r="P483">
            <v>92940409.050482735</v>
          </cell>
          <cell r="Q483">
            <v>98928944.687800616</v>
          </cell>
          <cell r="R483">
            <v>104828861.50191432</v>
          </cell>
          <cell r="S483">
            <v>111226315.4048579</v>
          </cell>
          <cell r="T483">
            <v>117599233.2135697</v>
          </cell>
          <cell r="U483">
            <v>124043870.15129609</v>
          </cell>
          <cell r="V483">
            <v>130512287.25608039</v>
          </cell>
          <cell r="W483">
            <v>136863544.15726221</v>
          </cell>
          <cell r="X483">
            <v>143923563.73085016</v>
          </cell>
          <cell r="Y483">
            <v>150763213.72311002</v>
          </cell>
          <cell r="Z483">
            <v>157675894.45109561</v>
          </cell>
          <cell r="AA483">
            <v>164420609.5057869</v>
          </cell>
          <cell r="AB483">
            <v>171562642.6975542</v>
          </cell>
          <cell r="AC483">
            <v>178815937.42744818</v>
          </cell>
          <cell r="AD483">
            <v>185614785.28889358</v>
          </cell>
          <cell r="AE483">
            <v>192247660.21062371</v>
          </cell>
          <cell r="AF483">
            <v>199288064.97865364</v>
          </cell>
          <cell r="AG483">
            <v>206116468.90487075</v>
          </cell>
          <cell r="AH483">
            <v>212800231.68126795</v>
          </cell>
          <cell r="AI483">
            <v>219508817.19762626</v>
          </cell>
          <cell r="AJ483">
            <v>226408204.26994586</v>
          </cell>
          <cell r="AK483">
            <v>233409688.4065752</v>
          </cell>
          <cell r="AL483">
            <v>239996961.0497143</v>
          </cell>
          <cell r="AM483">
            <v>246710744.61367786</v>
          </cell>
          <cell r="AN483">
            <v>253222907.3197079</v>
          </cell>
          <cell r="AO483">
            <v>260571380.36506885</v>
          </cell>
          <cell r="AP483">
            <v>267606885.03209478</v>
          </cell>
          <cell r="AQ483">
            <v>274315685.78730786</v>
          </cell>
          <cell r="AR483">
            <v>280994364.66360098</v>
          </cell>
          <cell r="AS483">
            <v>287679307.38296545</v>
          </cell>
          <cell r="AT483">
            <v>294975517.83754301</v>
          </cell>
          <cell r="AU483">
            <v>301742517.14850873</v>
          </cell>
          <cell r="AV483">
            <v>308681834.11599708</v>
          </cell>
          <cell r="AW483">
            <v>316366664.38856816</v>
          </cell>
          <cell r="AX483">
            <v>324164293.98766708</v>
          </cell>
          <cell r="AY483">
            <v>332256671.19576752</v>
          </cell>
          <cell r="AZ483">
            <v>341429426.26722968</v>
          </cell>
          <cell r="BA483">
            <v>349554386.07702774</v>
          </cell>
          <cell r="BB483">
            <v>349554386.07702774</v>
          </cell>
        </row>
        <row r="484">
          <cell r="A484" t="str">
            <v>TICK</v>
          </cell>
          <cell r="B484">
            <v>308184.94818288274</v>
          </cell>
          <cell r="C484">
            <v>312071.00289654831</v>
          </cell>
          <cell r="D484">
            <v>528024.93715179828</v>
          </cell>
          <cell r="E484">
            <v>432979.82576548419</v>
          </cell>
          <cell r="F484">
            <v>544630.44194126513</v>
          </cell>
          <cell r="G484">
            <v>1221683.1535414294</v>
          </cell>
          <cell r="H484">
            <v>707829.41577434377</v>
          </cell>
          <cell r="I484">
            <v>850001.13082005084</v>
          </cell>
          <cell r="J484">
            <v>857160.92465671862</v>
          </cell>
          <cell r="K484">
            <v>990804.67511966953</v>
          </cell>
          <cell r="L484">
            <v>1071878.8745201821</v>
          </cell>
          <cell r="M484">
            <v>1200516.6125701424</v>
          </cell>
          <cell r="N484">
            <v>1324051.7334577367</v>
          </cell>
          <cell r="O484">
            <v>1433269.930309017</v>
          </cell>
          <cell r="P484">
            <v>1462257.4489179952</v>
          </cell>
          <cell r="Q484">
            <v>1283499.8206203124</v>
          </cell>
          <cell r="R484">
            <v>1398253.7561453111</v>
          </cell>
          <cell r="S484">
            <v>1351464.9054868817</v>
          </cell>
          <cell r="T484">
            <v>1379531.6333946246</v>
          </cell>
          <cell r="U484">
            <v>1160063.7777137179</v>
          </cell>
          <cell r="V484">
            <v>2530343.7232824992</v>
          </cell>
          <cell r="W484">
            <v>1970634.3803882794</v>
          </cell>
          <cell r="X484">
            <v>1831254.866677562</v>
          </cell>
          <cell r="Y484">
            <v>2418190.7233595303</v>
          </cell>
          <cell r="Z484">
            <v>2344691.5358758373</v>
          </cell>
          <cell r="AA484">
            <v>2552403.2782659996</v>
          </cell>
          <cell r="AB484">
            <v>3233278.2861882579</v>
          </cell>
          <cell r="AC484">
            <v>3284475.6727358927</v>
          </cell>
          <cell r="AD484">
            <v>3621565.7085924372</v>
          </cell>
          <cell r="AE484">
            <v>3507519.3505008593</v>
          </cell>
          <cell r="AF484">
            <v>3503516.7173089003</v>
          </cell>
          <cell r="AG484">
            <v>3528640.2572115054</v>
          </cell>
          <cell r="AH484">
            <v>3016687.7858324209</v>
          </cell>
          <cell r="AI484">
            <v>2737100.7778835632</v>
          </cell>
          <cell r="AJ484">
            <v>1938764.1220164634</v>
          </cell>
          <cell r="AK484">
            <v>668054.45380440692</v>
          </cell>
          <cell r="AL484">
            <v>288565.90909589082</v>
          </cell>
          <cell r="AM484">
            <v>393936.56316980056</v>
          </cell>
          <cell r="AN484">
            <v>559441.8960990567</v>
          </cell>
          <cell r="AO484">
            <v>1096595.5014299408</v>
          </cell>
          <cell r="AP484">
            <v>1812939.7940104539</v>
          </cell>
          <cell r="AQ484">
            <v>2707303.9474780234</v>
          </cell>
          <cell r="AR484">
            <v>1260666.7141282344</v>
          </cell>
          <cell r="AS484">
            <v>2826292.4994471548</v>
          </cell>
          <cell r="AT484">
            <v>274099.26025054092</v>
          </cell>
          <cell r="AU484">
            <v>252461.24627716414</v>
          </cell>
          <cell r="AV484">
            <v>313784.29442490492</v>
          </cell>
          <cell r="AW484">
            <v>397186.44657014462</v>
          </cell>
          <cell r="AX484">
            <v>518204.06546015787</v>
          </cell>
          <cell r="AY484">
            <v>899845.73822694528</v>
          </cell>
          <cell r="AZ484">
            <v>1326088.0308341775</v>
          </cell>
          <cell r="BA484">
            <v>397292.05684334651</v>
          </cell>
          <cell r="BB484">
            <v>0</v>
          </cell>
        </row>
        <row r="485">
          <cell r="A485" t="str">
            <v>ptd</v>
          </cell>
          <cell r="B485">
            <v>308184.94818288274</v>
          </cell>
          <cell r="C485">
            <v>620255.95107943099</v>
          </cell>
          <cell r="D485">
            <v>1148280.8882312293</v>
          </cell>
          <cell r="E485">
            <v>1581260.7139967135</v>
          </cell>
          <cell r="F485">
            <v>544630.44194126513</v>
          </cell>
          <cell r="G485">
            <v>1766313.5954826945</v>
          </cell>
          <cell r="H485">
            <v>2474143.0112570385</v>
          </cell>
          <cell r="I485">
            <v>3324144.1420770893</v>
          </cell>
          <cell r="J485">
            <v>857160.92465671862</v>
          </cell>
          <cell r="K485">
            <v>1847965.5997763881</v>
          </cell>
          <cell r="L485">
            <v>2919844.4742965703</v>
          </cell>
          <cell r="M485">
            <v>4120361.0868667127</v>
          </cell>
          <cell r="N485">
            <v>1324051.7334577367</v>
          </cell>
          <cell r="O485">
            <v>2757321.6637667539</v>
          </cell>
          <cell r="P485">
            <v>4219579.1126847491</v>
          </cell>
          <cell r="Q485">
            <v>5503078.9333050614</v>
          </cell>
          <cell r="R485">
            <v>1398253.7561453111</v>
          </cell>
          <cell r="S485">
            <v>2749718.6616321928</v>
          </cell>
          <cell r="T485">
            <v>4129250.2950268174</v>
          </cell>
          <cell r="U485">
            <v>5289314.0727405353</v>
          </cell>
          <cell r="V485">
            <v>2530343.7232824992</v>
          </cell>
          <cell r="W485">
            <v>4500978.1036707787</v>
          </cell>
          <cell r="X485">
            <v>6332232.9703483405</v>
          </cell>
          <cell r="Y485">
            <v>8750423.6937078703</v>
          </cell>
          <cell r="Z485">
            <v>2344691.5358758373</v>
          </cell>
          <cell r="AA485">
            <v>4897094.8141418369</v>
          </cell>
          <cell r="AB485">
            <v>8130373.1003300948</v>
          </cell>
          <cell r="AC485">
            <v>11414848.773065988</v>
          </cell>
          <cell r="AD485">
            <v>3621565.7085924372</v>
          </cell>
          <cell r="AE485">
            <v>7129085.0590932965</v>
          </cell>
          <cell r="AF485">
            <v>10632601.776402198</v>
          </cell>
          <cell r="AG485">
            <v>14161242.033613704</v>
          </cell>
          <cell r="AH485">
            <v>3016687.7858324209</v>
          </cell>
          <cell r="AI485">
            <v>5753788.5637159841</v>
          </cell>
          <cell r="AJ485">
            <v>7692552.6857324475</v>
          </cell>
          <cell r="AK485">
            <v>8360607.1395368548</v>
          </cell>
          <cell r="AL485">
            <v>288565.90909589082</v>
          </cell>
          <cell r="AM485">
            <v>682502.47226569138</v>
          </cell>
          <cell r="AN485">
            <v>1241944.3683647481</v>
          </cell>
          <cell r="AO485">
            <v>2338539.8697946891</v>
          </cell>
          <cell r="AP485">
            <v>1812939.7940104539</v>
          </cell>
          <cell r="AQ485">
            <v>4520243.7414884772</v>
          </cell>
          <cell r="AR485">
            <v>5780910.4556167116</v>
          </cell>
          <cell r="AS485">
            <v>8607202.9550638665</v>
          </cell>
          <cell r="AT485">
            <v>274099.26025054092</v>
          </cell>
          <cell r="AU485">
            <v>526560.50652770512</v>
          </cell>
          <cell r="AV485">
            <v>840344.80095261009</v>
          </cell>
          <cell r="AW485">
            <v>1237531.2475227546</v>
          </cell>
          <cell r="AX485">
            <v>518204.06546015787</v>
          </cell>
          <cell r="AY485">
            <v>1418049.8036871031</v>
          </cell>
          <cell r="AZ485">
            <v>2744137.8345212806</v>
          </cell>
          <cell r="BA485">
            <v>3141429.8913646271</v>
          </cell>
          <cell r="BB485">
            <v>3141429.8913646271</v>
          </cell>
        </row>
        <row r="486">
          <cell r="A486" t="str">
            <v>qtd</v>
          </cell>
          <cell r="B486">
            <v>308184.94818288274</v>
          </cell>
          <cell r="C486">
            <v>620255.95107943099</v>
          </cell>
          <cell r="D486">
            <v>1148280.8882312293</v>
          </cell>
          <cell r="E486">
            <v>1581260.7139967135</v>
          </cell>
          <cell r="F486">
            <v>2125891.1559379785</v>
          </cell>
          <cell r="G486">
            <v>3347574.309479408</v>
          </cell>
          <cell r="H486">
            <v>4055403.7252537515</v>
          </cell>
          <cell r="I486">
            <v>4905404.8560738023</v>
          </cell>
          <cell r="J486">
            <v>5762565.7807305213</v>
          </cell>
          <cell r="K486">
            <v>6753370.4558501905</v>
          </cell>
          <cell r="L486">
            <v>7825249.3303703722</v>
          </cell>
          <cell r="M486">
            <v>9025765.9429405145</v>
          </cell>
          <cell r="N486">
            <v>1324051.7334577367</v>
          </cell>
          <cell r="O486">
            <v>2757321.6637667539</v>
          </cell>
          <cell r="P486">
            <v>4219579.1126847491</v>
          </cell>
          <cell r="Q486">
            <v>5503078.9333050614</v>
          </cell>
          <cell r="R486">
            <v>6901332.689450372</v>
          </cell>
          <cell r="S486">
            <v>8252797.5949372537</v>
          </cell>
          <cell r="T486">
            <v>9632329.2283318788</v>
          </cell>
          <cell r="U486">
            <v>10792393.006045597</v>
          </cell>
          <cell r="V486">
            <v>13322736.729328096</v>
          </cell>
          <cell r="W486">
            <v>15293371.109716374</v>
          </cell>
          <cell r="X486">
            <v>17124625.976393938</v>
          </cell>
          <cell r="Y486">
            <v>19542816.699753467</v>
          </cell>
          <cell r="Z486">
            <v>2344691.5358758373</v>
          </cell>
          <cell r="AA486">
            <v>4897094.8141418369</v>
          </cell>
          <cell r="AB486">
            <v>8130373.1003300948</v>
          </cell>
          <cell r="AC486">
            <v>11414848.773065988</v>
          </cell>
          <cell r="AD486">
            <v>15036414.481658425</v>
          </cell>
          <cell r="AE486">
            <v>18543933.832159285</v>
          </cell>
          <cell r="AF486">
            <v>22047450.549468186</v>
          </cell>
          <cell r="AG486">
            <v>25576090.806679692</v>
          </cell>
          <cell r="AH486">
            <v>28592778.592512112</v>
          </cell>
          <cell r="AI486">
            <v>31329879.370395675</v>
          </cell>
          <cell r="AJ486">
            <v>33268643.492412139</v>
          </cell>
          <cell r="AK486">
            <v>33936697.946216546</v>
          </cell>
          <cell r="AL486">
            <v>288565.90909589082</v>
          </cell>
          <cell r="AM486">
            <v>682502.47226569138</v>
          </cell>
          <cell r="AN486">
            <v>1241944.3683647481</v>
          </cell>
          <cell r="AO486">
            <v>2338539.8697946891</v>
          </cell>
          <cell r="AP486">
            <v>4151479.663805143</v>
          </cell>
          <cell r="AQ486">
            <v>6858783.6112831663</v>
          </cell>
          <cell r="AR486">
            <v>8119450.3254114008</v>
          </cell>
          <cell r="AS486">
            <v>10945742.824858556</v>
          </cell>
          <cell r="AT486">
            <v>11219842.085109096</v>
          </cell>
          <cell r="AU486">
            <v>11472303.331386261</v>
          </cell>
          <cell r="AV486">
            <v>11786087.625811165</v>
          </cell>
          <cell r="AW486">
            <v>12183274.07238131</v>
          </cell>
          <cell r="AX486">
            <v>12701478.137841469</v>
          </cell>
          <cell r="AY486">
            <v>13601323.876068413</v>
          </cell>
          <cell r="AZ486">
            <v>14927411.906902591</v>
          </cell>
          <cell r="BA486">
            <v>15324703.963745937</v>
          </cell>
          <cell r="BB486">
            <v>15324703.963745937</v>
          </cell>
        </row>
        <row r="487">
          <cell r="A487" t="str">
            <v>ytd</v>
          </cell>
          <cell r="B487">
            <v>308184.94818288274</v>
          </cell>
          <cell r="C487">
            <v>620255.95107943099</v>
          </cell>
          <cell r="D487">
            <v>1148280.8882312293</v>
          </cell>
          <cell r="E487">
            <v>1581260.7139967135</v>
          </cell>
          <cell r="F487">
            <v>2125891.1559379785</v>
          </cell>
          <cell r="G487">
            <v>3347574.309479408</v>
          </cell>
          <cell r="H487">
            <v>4055403.7252537515</v>
          </cell>
          <cell r="I487">
            <v>4905404.8560738023</v>
          </cell>
          <cell r="J487">
            <v>5762565.7807305213</v>
          </cell>
          <cell r="K487">
            <v>6753370.4558501905</v>
          </cell>
          <cell r="L487">
            <v>7825249.3303703722</v>
          </cell>
          <cell r="M487">
            <v>9025765.9429405145</v>
          </cell>
          <cell r="N487">
            <v>10349817.676398251</v>
          </cell>
          <cell r="O487">
            <v>11783087.606707267</v>
          </cell>
          <cell r="P487">
            <v>13245345.055625264</v>
          </cell>
          <cell r="Q487">
            <v>14528844.876245577</v>
          </cell>
          <cell r="R487">
            <v>15927098.632390888</v>
          </cell>
          <cell r="S487">
            <v>17278563.537877768</v>
          </cell>
          <cell r="T487">
            <v>18658095.171272393</v>
          </cell>
          <cell r="U487">
            <v>19818158.948986113</v>
          </cell>
          <cell r="V487">
            <v>22348502.672268614</v>
          </cell>
          <cell r="W487">
            <v>24319137.052656893</v>
          </cell>
          <cell r="X487">
            <v>26150391.919334456</v>
          </cell>
          <cell r="Y487">
            <v>28568582.642693985</v>
          </cell>
          <cell r="Z487">
            <v>30913274.178569824</v>
          </cell>
          <cell r="AA487">
            <v>33465677.456835821</v>
          </cell>
          <cell r="AB487">
            <v>36698955.743024081</v>
          </cell>
          <cell r="AC487">
            <v>39983431.415759973</v>
          </cell>
          <cell r="AD487">
            <v>43604997.12435241</v>
          </cell>
          <cell r="AE487">
            <v>47112516.47485327</v>
          </cell>
          <cell r="AF487">
            <v>50616033.192162171</v>
          </cell>
          <cell r="AG487">
            <v>54144673.449373677</v>
          </cell>
          <cell r="AH487">
            <v>57161361.235206097</v>
          </cell>
          <cell r="AI487">
            <v>59898462.013089657</v>
          </cell>
          <cell r="AJ487">
            <v>61837226.135106117</v>
          </cell>
          <cell r="AK487">
            <v>62505280.58891052</v>
          </cell>
          <cell r="AL487">
            <v>62793846.498006411</v>
          </cell>
          <cell r="AM487">
            <v>63187783.061176211</v>
          </cell>
          <cell r="AN487">
            <v>63747224.957275264</v>
          </cell>
          <cell r="AO487">
            <v>64843820.458705202</v>
          </cell>
          <cell r="AP487">
            <v>66656760.252715655</v>
          </cell>
          <cell r="AQ487">
            <v>69364064.200193673</v>
          </cell>
          <cell r="AR487">
            <v>70624730.914321914</v>
          </cell>
          <cell r="AS487">
            <v>73451023.413769066</v>
          </cell>
          <cell r="AT487">
            <v>73725122.674019605</v>
          </cell>
          <cell r="AU487">
            <v>73977583.920296773</v>
          </cell>
          <cell r="AV487">
            <v>74291368.21472168</v>
          </cell>
          <cell r="AW487">
            <v>74688554.661291823</v>
          </cell>
          <cell r="AX487">
            <v>75206758.726751983</v>
          </cell>
          <cell r="AY487">
            <v>76106604.464978933</v>
          </cell>
          <cell r="AZ487">
            <v>77432692.495813116</v>
          </cell>
          <cell r="BA487">
            <v>77829984.552656457</v>
          </cell>
          <cell r="BB487">
            <v>77829984.552656457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</row>
        <row r="492">
          <cell r="A492" t="str">
            <v>TOTAL</v>
          </cell>
          <cell r="B492">
            <v>48029053.713562474</v>
          </cell>
          <cell r="C492">
            <v>46759321.862863533</v>
          </cell>
          <cell r="D492">
            <v>44631655.103040516</v>
          </cell>
          <cell r="E492">
            <v>44520352.441709444</v>
          </cell>
          <cell r="F492">
            <v>46605755.974739268</v>
          </cell>
          <cell r="G492">
            <v>62185882.251695879</v>
          </cell>
          <cell r="H492">
            <v>49073870.761370778</v>
          </cell>
          <cell r="I492">
            <v>45821574.040246069</v>
          </cell>
          <cell r="J492">
            <v>46773186.182129271</v>
          </cell>
          <cell r="K492">
            <v>47940495.821035542</v>
          </cell>
          <cell r="L492">
            <v>50440092.52493082</v>
          </cell>
          <cell r="M492">
            <v>51033174.474848934</v>
          </cell>
          <cell r="N492">
            <v>50524413.566660821</v>
          </cell>
          <cell r="O492">
            <v>66254151.367713369</v>
          </cell>
          <cell r="P492">
            <v>49610570.503831238</v>
          </cell>
          <cell r="Q492">
            <v>54464799.215754732</v>
          </cell>
          <cell r="R492">
            <v>59847719.176751971</v>
          </cell>
          <cell r="S492">
            <v>90097405.199632242</v>
          </cell>
          <cell r="T492">
            <v>75077986.713193744</v>
          </cell>
          <cell r="U492">
            <v>63470986.683258422</v>
          </cell>
          <cell r="V492">
            <v>71195042.020130113</v>
          </cell>
          <cell r="W492">
            <v>72963415.565853998</v>
          </cell>
          <cell r="X492">
            <v>85241996.55178906</v>
          </cell>
          <cell r="Y492">
            <v>106972312.78592305</v>
          </cell>
          <cell r="Z492">
            <v>81404350.864739165</v>
          </cell>
          <cell r="AA492">
            <v>65326421.127581447</v>
          </cell>
          <cell r="AB492">
            <v>61471778.12133275</v>
          </cell>
          <cell r="AC492">
            <v>61826867.718281239</v>
          </cell>
          <cell r="AD492">
            <v>61976689.940328263</v>
          </cell>
          <cell r="AE492">
            <v>61246313.575279355</v>
          </cell>
          <cell r="AF492">
            <v>62645683.511502042</v>
          </cell>
          <cell r="AG492">
            <v>64449693.001044214</v>
          </cell>
          <cell r="AH492">
            <v>65945996.498349689</v>
          </cell>
          <cell r="AI492">
            <v>66633977.107372731</v>
          </cell>
          <cell r="AJ492">
            <v>64905184.211308666</v>
          </cell>
          <cell r="AK492">
            <v>56856659.034106135</v>
          </cell>
          <cell r="AL492">
            <v>57048592.250274435</v>
          </cell>
          <cell r="AM492">
            <v>57465716.420277126</v>
          </cell>
          <cell r="AN492">
            <v>58003918.813455075</v>
          </cell>
          <cell r="AO492">
            <v>59915087.841076545</v>
          </cell>
          <cell r="AP492">
            <v>60143756.405230045</v>
          </cell>
          <cell r="AQ492">
            <v>64782091.27421879</v>
          </cell>
          <cell r="AR492">
            <v>63943906.467012107</v>
          </cell>
          <cell r="AS492">
            <v>68011925.57372281</v>
          </cell>
          <cell r="AT492">
            <v>68781763.373023093</v>
          </cell>
          <cell r="AU492">
            <v>75845172.636967212</v>
          </cell>
          <cell r="AV492">
            <v>86543038.114856884</v>
          </cell>
          <cell r="AW492">
            <v>131775701.83737306</v>
          </cell>
          <cell r="AX492">
            <v>222841261.8173115</v>
          </cell>
          <cell r="AY492">
            <v>439390727.39315724</v>
          </cell>
          <cell r="AZ492">
            <v>566191078.57465315</v>
          </cell>
          <cell r="BA492">
            <v>131847291.87416935</v>
          </cell>
          <cell r="BB492">
            <v>0</v>
          </cell>
        </row>
        <row r="493">
          <cell r="A493" t="str">
            <v>ptd</v>
          </cell>
          <cell r="B493">
            <v>48029053.713562474</v>
          </cell>
          <cell r="C493">
            <v>94788375.576426014</v>
          </cell>
          <cell r="D493">
            <v>139420030.67946652</v>
          </cell>
          <cell r="E493">
            <v>183940383.12117597</v>
          </cell>
          <cell r="F493">
            <v>46605755.974739276</v>
          </cell>
          <cell r="G493">
            <v>108791638.22643514</v>
          </cell>
          <cell r="H493">
            <v>157865508.98780593</v>
          </cell>
          <cell r="I493">
            <v>203687083.02805197</v>
          </cell>
          <cell r="J493">
            <v>46773186.182129271</v>
          </cell>
          <cell r="K493">
            <v>94713682.003164813</v>
          </cell>
          <cell r="L493">
            <v>145153774.5280956</v>
          </cell>
          <cell r="M493">
            <v>196186949.00294453</v>
          </cell>
          <cell r="N493">
            <v>50524413.566660821</v>
          </cell>
          <cell r="O493">
            <v>116778564.93437418</v>
          </cell>
          <cell r="P493">
            <v>166389135.43820542</v>
          </cell>
          <cell r="Q493">
            <v>220853934.65396014</v>
          </cell>
          <cell r="R493">
            <v>59847719.176751979</v>
          </cell>
          <cell r="S493">
            <v>149945124.37638423</v>
          </cell>
          <cell r="T493">
            <v>225023111.089578</v>
          </cell>
          <cell r="U493">
            <v>288494097.77283633</v>
          </cell>
          <cell r="V493">
            <v>71195042.020130098</v>
          </cell>
          <cell r="W493">
            <v>144158457.58598411</v>
          </cell>
          <cell r="X493">
            <v>229400454.13777316</v>
          </cell>
          <cell r="Y493">
            <v>336372766.92369622</v>
          </cell>
          <cell r="Z493">
            <v>81404350.864739165</v>
          </cell>
          <cell r="AA493">
            <v>146730771.99232063</v>
          </cell>
          <cell r="AB493">
            <v>208202550.11365339</v>
          </cell>
          <cell r="AC493">
            <v>270029417.83193457</v>
          </cell>
          <cell r="AD493">
            <v>61976689.940328248</v>
          </cell>
          <cell r="AE493">
            <v>123223003.5156076</v>
          </cell>
          <cell r="AF493">
            <v>185868687.02710962</v>
          </cell>
          <cell r="AG493">
            <v>250318380.02815387</v>
          </cell>
          <cell r="AH493">
            <v>65945996.498349696</v>
          </cell>
          <cell r="AI493">
            <v>132579973.60572244</v>
          </cell>
          <cell r="AJ493">
            <v>197485157.81703112</v>
          </cell>
          <cell r="AK493">
            <v>254341816.85113725</v>
          </cell>
          <cell r="AL493">
            <v>57048592.250274435</v>
          </cell>
          <cell r="AM493">
            <v>114514308.67055157</v>
          </cell>
          <cell r="AN493">
            <v>172518227.48400661</v>
          </cell>
          <cell r="AO493">
            <v>232433315.3250832</v>
          </cell>
          <cell r="AP493">
            <v>60143756.405230038</v>
          </cell>
          <cell r="AQ493">
            <v>124925847.67944883</v>
          </cell>
          <cell r="AR493">
            <v>188869754.14646095</v>
          </cell>
          <cell r="AS493">
            <v>256881679.72018373</v>
          </cell>
          <cell r="AT493">
            <v>68781763.373023093</v>
          </cell>
          <cell r="AU493">
            <v>144626936.00999033</v>
          </cell>
          <cell r="AV493">
            <v>231169974.12484717</v>
          </cell>
          <cell r="AW493">
            <v>362945675.96222031</v>
          </cell>
          <cell r="AX493">
            <v>222841261.81731147</v>
          </cell>
          <cell r="AY493">
            <v>662231989.21046865</v>
          </cell>
          <cell r="AZ493">
            <v>1228423067.7851219</v>
          </cell>
          <cell r="BA493">
            <v>1360270359.6592913</v>
          </cell>
          <cell r="BB493">
            <v>1360270359.6592913</v>
          </cell>
        </row>
        <row r="494">
          <cell r="A494" t="str">
            <v>qtd</v>
          </cell>
          <cell r="B494">
            <v>48029053.713562474</v>
          </cell>
          <cell r="C494">
            <v>94788375.576426014</v>
          </cell>
          <cell r="D494">
            <v>139420030.67946652</v>
          </cell>
          <cell r="E494">
            <v>183940383.12117597</v>
          </cell>
          <cell r="F494">
            <v>230546139.09591526</v>
          </cell>
          <cell r="G494">
            <v>292732021.34761113</v>
          </cell>
          <cell r="H494">
            <v>341805892.10898191</v>
          </cell>
          <cell r="I494">
            <v>387627466.14922798</v>
          </cell>
          <cell r="J494">
            <v>434400652.3313573</v>
          </cell>
          <cell r="K494">
            <v>482341148.15239275</v>
          </cell>
          <cell r="L494">
            <v>532781240.67732358</v>
          </cell>
          <cell r="M494">
            <v>583814415.15217245</v>
          </cell>
          <cell r="N494">
            <v>50524413.566660821</v>
          </cell>
          <cell r="O494">
            <v>116778564.93437418</v>
          </cell>
          <cell r="P494">
            <v>166389135.43820542</v>
          </cell>
          <cell r="Q494">
            <v>220853934.65396014</v>
          </cell>
          <cell r="R494">
            <v>280701653.83071208</v>
          </cell>
          <cell r="S494">
            <v>370799059.03034437</v>
          </cell>
          <cell r="T494">
            <v>445877045.74353814</v>
          </cell>
          <cell r="U494">
            <v>509348032.42679656</v>
          </cell>
          <cell r="V494">
            <v>580543074.44692659</v>
          </cell>
          <cell r="W494">
            <v>653506490.01278067</v>
          </cell>
          <cell r="X494">
            <v>738748486.56456959</v>
          </cell>
          <cell r="Y494">
            <v>845720799.35049272</v>
          </cell>
          <cell r="Z494">
            <v>81404350.864739165</v>
          </cell>
          <cell r="AA494">
            <v>146730771.99232063</v>
          </cell>
          <cell r="AB494">
            <v>208202550.11365339</v>
          </cell>
          <cell r="AC494">
            <v>270029417.83193457</v>
          </cell>
          <cell r="AD494">
            <v>332006107.77226281</v>
          </cell>
          <cell r="AE494">
            <v>393252421.34754217</v>
          </cell>
          <cell r="AF494">
            <v>455898104.85904419</v>
          </cell>
          <cell r="AG494">
            <v>520347797.86008841</v>
          </cell>
          <cell r="AH494">
            <v>586293794.35843813</v>
          </cell>
          <cell r="AI494">
            <v>652927771.46581078</v>
          </cell>
          <cell r="AJ494">
            <v>717832955.67711961</v>
          </cell>
          <cell r="AK494">
            <v>774689614.71122575</v>
          </cell>
          <cell r="AL494">
            <v>57048592.250274435</v>
          </cell>
          <cell r="AM494">
            <v>114514308.67055157</v>
          </cell>
          <cell r="AN494">
            <v>172518227.48400661</v>
          </cell>
          <cell r="AO494">
            <v>232433315.3250832</v>
          </cell>
          <cell r="AP494">
            <v>292577071.73031318</v>
          </cell>
          <cell r="AQ494">
            <v>357359163.00453204</v>
          </cell>
          <cell r="AR494">
            <v>421303069.47154415</v>
          </cell>
          <cell r="AS494">
            <v>489314995.04526699</v>
          </cell>
          <cell r="AT494">
            <v>558096758.41829002</v>
          </cell>
          <cell r="AU494">
            <v>633941931.0552572</v>
          </cell>
          <cell r="AV494">
            <v>720484969.17011404</v>
          </cell>
          <cell r="AW494">
            <v>852260671.00748718</v>
          </cell>
          <cell r="AX494">
            <v>1075101932.8247986</v>
          </cell>
          <cell r="AY494">
            <v>1514492660.2179558</v>
          </cell>
          <cell r="AZ494">
            <v>2080683738.7926087</v>
          </cell>
          <cell r="BA494">
            <v>2212531030.6667786</v>
          </cell>
          <cell r="BB494">
            <v>2212531030.6667786</v>
          </cell>
        </row>
        <row r="495">
          <cell r="A495" t="str">
            <v>ytd</v>
          </cell>
          <cell r="B495">
            <v>48029053.713562474</v>
          </cell>
          <cell r="C495">
            <v>94788375.576426014</v>
          </cell>
          <cell r="D495">
            <v>139420030.67946652</v>
          </cell>
          <cell r="E495">
            <v>183940383.12117597</v>
          </cell>
          <cell r="F495">
            <v>230546139.09591526</v>
          </cell>
          <cell r="G495">
            <v>292732021.34761113</v>
          </cell>
          <cell r="H495">
            <v>341805892.10898191</v>
          </cell>
          <cell r="I495">
            <v>387627466.14922798</v>
          </cell>
          <cell r="J495">
            <v>434400652.3313573</v>
          </cell>
          <cell r="K495">
            <v>482341148.15239275</v>
          </cell>
          <cell r="L495">
            <v>532781240.67732358</v>
          </cell>
          <cell r="M495">
            <v>583814415.15217245</v>
          </cell>
          <cell r="N495">
            <v>634338828.71883333</v>
          </cell>
          <cell r="O495">
            <v>700592980.08654678</v>
          </cell>
          <cell r="P495">
            <v>750203550.59037793</v>
          </cell>
          <cell r="Q495">
            <v>804668349.80613256</v>
          </cell>
          <cell r="R495">
            <v>864516068.98288453</v>
          </cell>
          <cell r="S495">
            <v>954613474.18251681</v>
          </cell>
          <cell r="T495">
            <v>1029691460.8957106</v>
          </cell>
          <cell r="U495">
            <v>1093162447.578969</v>
          </cell>
          <cell r="V495">
            <v>1164357489.5990992</v>
          </cell>
          <cell r="W495">
            <v>1237320905.1649532</v>
          </cell>
          <cell r="X495">
            <v>1322562901.716742</v>
          </cell>
          <cell r="Y495">
            <v>1429535214.502665</v>
          </cell>
          <cell r="Z495">
            <v>1510939565.3674042</v>
          </cell>
          <cell r="AA495">
            <v>1576265986.4949856</v>
          </cell>
          <cell r="AB495">
            <v>1637737764.6163182</v>
          </cell>
          <cell r="AC495">
            <v>1699564632.3345997</v>
          </cell>
          <cell r="AD495">
            <v>1761541322.2749279</v>
          </cell>
          <cell r="AE495">
            <v>1822787635.8502073</v>
          </cell>
          <cell r="AF495">
            <v>1885433319.3617094</v>
          </cell>
          <cell r="AG495">
            <v>1949883012.3627536</v>
          </cell>
          <cell r="AH495">
            <v>2015829008.8611033</v>
          </cell>
          <cell r="AI495">
            <v>2082462985.9684756</v>
          </cell>
          <cell r="AJ495">
            <v>2147368170.1797845</v>
          </cell>
          <cell r="AK495">
            <v>2204224829.2138906</v>
          </cell>
          <cell r="AL495">
            <v>2261273421.4641652</v>
          </cell>
          <cell r="AM495">
            <v>2318739137.8844423</v>
          </cell>
          <cell r="AN495">
            <v>2376743056.697897</v>
          </cell>
          <cell r="AO495">
            <v>2436658144.5389738</v>
          </cell>
          <cell r="AP495">
            <v>2496801900.9442039</v>
          </cell>
          <cell r="AQ495">
            <v>2561583992.2184219</v>
          </cell>
          <cell r="AR495">
            <v>2625527898.6854348</v>
          </cell>
          <cell r="AS495">
            <v>2693539824.2591572</v>
          </cell>
          <cell r="AT495">
            <v>2762321587.6321807</v>
          </cell>
          <cell r="AU495">
            <v>2838166760.2691474</v>
          </cell>
          <cell r="AV495">
            <v>2924709798.3840046</v>
          </cell>
          <cell r="AW495">
            <v>3056485500.2213783</v>
          </cell>
          <cell r="AX495">
            <v>3279326762.0386891</v>
          </cell>
          <cell r="AY495">
            <v>3718717489.4318466</v>
          </cell>
          <cell r="AZ495">
            <v>4284908568.0064998</v>
          </cell>
          <cell r="BA495">
            <v>4416755859.8806686</v>
          </cell>
          <cell r="BB495">
            <v>4416755859.8806686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6209298</v>
          </cell>
          <cell r="C498">
            <v>6094259</v>
          </cell>
          <cell r="D498">
            <v>5525995</v>
          </cell>
          <cell r="E498">
            <v>5414138</v>
          </cell>
          <cell r="F498">
            <v>5791562</v>
          </cell>
          <cell r="G498">
            <v>8774767</v>
          </cell>
          <cell r="H498">
            <v>6214382</v>
          </cell>
          <cell r="I498">
            <v>5714227</v>
          </cell>
          <cell r="J498">
            <v>5914236</v>
          </cell>
          <cell r="K498">
            <v>5952146</v>
          </cell>
          <cell r="L498">
            <v>6293261</v>
          </cell>
          <cell r="M498">
            <v>6198993</v>
          </cell>
          <cell r="N498">
            <v>5981973</v>
          </cell>
          <cell r="O498">
            <v>8412431</v>
          </cell>
          <cell r="P498">
            <v>6102945</v>
          </cell>
          <cell r="Q498">
            <v>6517756</v>
          </cell>
          <cell r="R498">
            <v>7305918</v>
          </cell>
          <cell r="S498">
            <v>13400156</v>
          </cell>
          <cell r="T498">
            <v>10343949</v>
          </cell>
          <cell r="U498">
            <v>7832600</v>
          </cell>
          <cell r="V498">
            <v>9881236</v>
          </cell>
          <cell r="W498">
            <v>9830126</v>
          </cell>
          <cell r="X498">
            <v>11088423</v>
          </cell>
          <cell r="Y498">
            <v>16075113</v>
          </cell>
          <cell r="Z498">
            <v>10121169</v>
          </cell>
          <cell r="AA498">
            <v>6994835</v>
          </cell>
          <cell r="AB498">
            <v>7112722</v>
          </cell>
          <cell r="AC498">
            <v>7035119</v>
          </cell>
          <cell r="AD498">
            <v>7216169</v>
          </cell>
          <cell r="AE498">
            <v>6951457</v>
          </cell>
          <cell r="AF498">
            <v>7423729</v>
          </cell>
          <cell r="AG498">
            <v>6989024</v>
          </cell>
          <cell r="AH498">
            <v>6640605</v>
          </cell>
          <cell r="AI498">
            <v>6366582</v>
          </cell>
          <cell r="AJ498">
            <v>5864236</v>
          </cell>
          <cell r="AK498">
            <v>5558930</v>
          </cell>
          <cell r="AL498">
            <v>5348581</v>
          </cell>
          <cell r="AM498">
            <v>5332419</v>
          </cell>
          <cell r="AN498">
            <v>5287744</v>
          </cell>
          <cell r="AO498">
            <v>5822339</v>
          </cell>
          <cell r="AP498">
            <v>6071320</v>
          </cell>
          <cell r="AQ498">
            <v>7183627</v>
          </cell>
          <cell r="AR498">
            <v>6689474</v>
          </cell>
          <cell r="AS498">
            <v>7135591</v>
          </cell>
          <cell r="AT498">
            <v>6722151</v>
          </cell>
          <cell r="AU498">
            <v>7362731</v>
          </cell>
          <cell r="AV498">
            <v>8864638</v>
          </cell>
          <cell r="AW498">
            <v>17518743</v>
          </cell>
          <cell r="AX498">
            <v>31428357</v>
          </cell>
          <cell r="AY498">
            <v>68101461</v>
          </cell>
          <cell r="AZ498">
            <v>83697777</v>
          </cell>
          <cell r="BA498">
            <v>11682120</v>
          </cell>
          <cell r="BB498">
            <v>0</v>
          </cell>
        </row>
        <row r="499">
          <cell r="A499" t="str">
            <v>GE</v>
          </cell>
          <cell r="B499">
            <v>7295572.80105625</v>
          </cell>
          <cell r="C499">
            <v>7342817.80105625</v>
          </cell>
          <cell r="D499">
            <v>8090224.2278562505</v>
          </cell>
          <cell r="E499">
            <v>8444558.9162562508</v>
          </cell>
          <cell r="F499">
            <v>8735365.3768000007</v>
          </cell>
          <cell r="G499">
            <v>9109641.0492000002</v>
          </cell>
          <cell r="H499">
            <v>8946636.8107999992</v>
          </cell>
          <cell r="I499">
            <v>8465280.0767999999</v>
          </cell>
          <cell r="J499">
            <v>7397801.4035999998</v>
          </cell>
          <cell r="K499">
            <v>7251932.6883999994</v>
          </cell>
          <cell r="L499">
            <v>9122153.0384</v>
          </cell>
          <cell r="M499">
            <v>9910463.5499999989</v>
          </cell>
          <cell r="N499">
            <v>10321098.899999999</v>
          </cell>
          <cell r="O499">
            <v>10937627.6384</v>
          </cell>
          <cell r="P499">
            <v>8323773.6499999994</v>
          </cell>
          <cell r="Q499">
            <v>11243852.838399999</v>
          </cell>
          <cell r="R499">
            <v>12957013.75</v>
          </cell>
          <cell r="S499">
            <v>16729068.0384</v>
          </cell>
          <cell r="T499">
            <v>14608026.65</v>
          </cell>
          <cell r="U499">
            <v>13147650.399999999</v>
          </cell>
          <cell r="V499">
            <v>14983136.849999998</v>
          </cell>
          <cell r="W499">
            <v>15399441.4384</v>
          </cell>
          <cell r="X499">
            <v>16146495.949999999</v>
          </cell>
          <cell r="Y499">
            <v>18761962.649999999</v>
          </cell>
          <cell r="Z499">
            <v>15179112.5</v>
          </cell>
          <cell r="AA499">
            <v>14902884.050000001</v>
          </cell>
          <cell r="AB499">
            <v>13980284.399999999</v>
          </cell>
          <cell r="AC499">
            <v>14692646.499999998</v>
          </cell>
          <cell r="AD499">
            <v>14187405.22746875</v>
          </cell>
          <cell r="AE499">
            <v>13728035.227468751</v>
          </cell>
          <cell r="AF499">
            <v>13498724.52746875</v>
          </cell>
          <cell r="AG499">
            <v>15940310.37746875</v>
          </cell>
          <cell r="AH499">
            <v>17487505.819068749</v>
          </cell>
          <cell r="AI499">
            <v>18279578.627468746</v>
          </cell>
          <cell r="AJ499">
            <v>19018060.977468748</v>
          </cell>
          <cell r="AK499">
            <v>12292893.877468752</v>
          </cell>
          <cell r="AL499">
            <v>12000584.97746875</v>
          </cell>
          <cell r="AM499">
            <v>11852613.02746875</v>
          </cell>
          <cell r="AN499">
            <v>12079393.827468751</v>
          </cell>
          <cell r="AO499">
            <v>12265105.22746875</v>
          </cell>
          <cell r="AP499">
            <v>11668148.70426875</v>
          </cell>
          <cell r="AQ499">
            <v>13355296.127468752</v>
          </cell>
          <cell r="AR499">
            <v>14074784.02746875</v>
          </cell>
          <cell r="AS499">
            <v>13692172.727468751</v>
          </cell>
          <cell r="AT499">
            <v>14195258.931068752</v>
          </cell>
          <cell r="AU499">
            <v>16797790.361468751</v>
          </cell>
          <cell r="AV499">
            <v>18824312.641868748</v>
          </cell>
          <cell r="AW499">
            <v>25120254.203468747</v>
          </cell>
          <cell r="AX499">
            <v>39454985.494800001</v>
          </cell>
          <cell r="AY499">
            <v>51119756.905599989</v>
          </cell>
          <cell r="AZ499">
            <v>48581021.302000001</v>
          </cell>
          <cell r="BA499">
            <v>23294179.452799998</v>
          </cell>
          <cell r="BB499">
            <v>0</v>
          </cell>
        </row>
        <row r="500">
          <cell r="A500" t="str">
            <v>SWY</v>
          </cell>
          <cell r="B500">
            <v>11125162.705059463</v>
          </cell>
          <cell r="C500">
            <v>11008178.705059463</v>
          </cell>
          <cell r="D500">
            <v>10454552.108152121</v>
          </cell>
          <cell r="E500">
            <v>10413130.42595683</v>
          </cell>
          <cell r="F500">
            <v>10773571.397763668</v>
          </cell>
          <cell r="G500">
            <v>15658703.159300653</v>
          </cell>
          <cell r="H500">
            <v>11216233.19968977</v>
          </cell>
          <cell r="I500">
            <v>10665240.803104518</v>
          </cell>
          <cell r="J500">
            <v>11176455.216425458</v>
          </cell>
          <cell r="K500">
            <v>11686004.068944242</v>
          </cell>
          <cell r="L500">
            <v>11797066.520167645</v>
          </cell>
          <cell r="M500">
            <v>11613500.612594593</v>
          </cell>
          <cell r="N500">
            <v>11969315.610115347</v>
          </cell>
          <cell r="O500">
            <v>15703294.757392706</v>
          </cell>
          <cell r="P500">
            <v>12396597.146453844</v>
          </cell>
          <cell r="Q500">
            <v>12724430.992666818</v>
          </cell>
          <cell r="R500">
            <v>13534293.1143423</v>
          </cell>
          <cell r="S500">
            <v>21007193.541854434</v>
          </cell>
          <cell r="T500">
            <v>16932673.174338076</v>
          </cell>
          <cell r="U500">
            <v>14385244.573766269</v>
          </cell>
          <cell r="V500">
            <v>16186282.991992002</v>
          </cell>
          <cell r="W500">
            <v>16693442.287158104</v>
          </cell>
          <cell r="X500">
            <v>19957982.955399729</v>
          </cell>
          <cell r="Y500">
            <v>23939031.425339185</v>
          </cell>
          <cell r="Z500">
            <v>17905288.806232758</v>
          </cell>
          <cell r="AA500">
            <v>14088027.581862966</v>
          </cell>
          <cell r="AB500">
            <v>13203357.356856788</v>
          </cell>
          <cell r="AC500">
            <v>13260866.34499581</v>
          </cell>
          <cell r="AD500">
            <v>13980356.126569474</v>
          </cell>
          <cell r="AE500">
            <v>13807820.137259798</v>
          </cell>
          <cell r="AF500">
            <v>14080687.03863861</v>
          </cell>
          <cell r="AG500">
            <v>14037756.07605486</v>
          </cell>
          <cell r="AH500">
            <v>14277125.425657494</v>
          </cell>
          <cell r="AI500">
            <v>14470232.679078206</v>
          </cell>
          <cell r="AJ500">
            <v>13328797.332356306</v>
          </cell>
          <cell r="AK500">
            <v>13160703.82505017</v>
          </cell>
          <cell r="AL500">
            <v>13174814.502917005</v>
          </cell>
          <cell r="AM500">
            <v>13237244.814803597</v>
          </cell>
          <cell r="AN500">
            <v>12952979.798564728</v>
          </cell>
          <cell r="AO500">
            <v>13324058.643359855</v>
          </cell>
          <cell r="AP500">
            <v>13289977.282132804</v>
          </cell>
          <cell r="AQ500">
            <v>13559983.227921061</v>
          </cell>
          <cell r="AR500">
            <v>13572103.597060136</v>
          </cell>
          <cell r="AS500">
            <v>13518952.400131188</v>
          </cell>
          <cell r="AT500">
            <v>14684989.740089465</v>
          </cell>
          <cell r="AU500">
            <v>15650939.695470372</v>
          </cell>
          <cell r="AV500">
            <v>16978727.787477586</v>
          </cell>
          <cell r="AW500">
            <v>27491717.421822049</v>
          </cell>
          <cell r="AX500">
            <v>48000701.072422102</v>
          </cell>
          <cell r="AY500">
            <v>105182118.38907193</v>
          </cell>
          <cell r="AZ500">
            <v>122926802.76097518</v>
          </cell>
          <cell r="BA500">
            <v>20192308.117133103</v>
          </cell>
          <cell r="BB500">
            <v>0</v>
          </cell>
        </row>
        <row r="501">
          <cell r="A501" t="str">
            <v>DIST</v>
          </cell>
          <cell r="B501">
            <v>36353204.333131038</v>
          </cell>
          <cell r="C501">
            <v>35198235.853280403</v>
          </cell>
          <cell r="D501">
            <v>33688455.272839248</v>
          </cell>
          <cell r="E501">
            <v>33619147.518616259</v>
          </cell>
          <cell r="F501">
            <v>35294451.396456882</v>
          </cell>
          <cell r="G501">
            <v>45806905.550064974</v>
          </cell>
          <cell r="H501">
            <v>37154395.962010607</v>
          </cell>
          <cell r="I501">
            <v>34485634.301655553</v>
          </cell>
          <cell r="J501">
            <v>34658586.51094687</v>
          </cell>
          <cell r="K501">
            <v>35485243.071028255</v>
          </cell>
          <cell r="L501">
            <v>37855338.114695817</v>
          </cell>
          <cell r="M501">
            <v>38619025.109764382</v>
          </cell>
          <cell r="N501">
            <v>37760652.209155068</v>
          </cell>
          <cell r="O501">
            <v>49701496.403422892</v>
          </cell>
          <cell r="P501">
            <v>36078130.444699615</v>
          </cell>
          <cell r="Q501">
            <v>40985604.554214634</v>
          </cell>
          <cell r="R501">
            <v>45404099.144490279</v>
          </cell>
          <cell r="S501">
            <v>68050896.563702792</v>
          </cell>
          <cell r="T501">
            <v>56337713.885518879</v>
          </cell>
          <cell r="U501">
            <v>47999052.755290844</v>
          </cell>
          <cell r="V501">
            <v>53931130.692052826</v>
          </cell>
          <cell r="W501">
            <v>55134600.160053886</v>
          </cell>
          <cell r="X501">
            <v>63595593.124892265</v>
          </cell>
          <cell r="Y501">
            <v>81758872.893857926</v>
          </cell>
          <cell r="Z501">
            <v>61899623.576744929</v>
          </cell>
          <cell r="AA501">
            <v>49832899.52334483</v>
          </cell>
          <cell r="AB501">
            <v>46536674.155175596</v>
          </cell>
          <cell r="AC501">
            <v>47342974.63391339</v>
          </cell>
          <cell r="AD501">
            <v>46593017.951006725</v>
          </cell>
          <cell r="AE501">
            <v>46058578.315205544</v>
          </cell>
          <cell r="AF501">
            <v>46852518.67143321</v>
          </cell>
          <cell r="AG501">
            <v>48986479.001996309</v>
          </cell>
          <cell r="AH501">
            <v>50113841.595826618</v>
          </cell>
          <cell r="AI501">
            <v>50545844.354976282</v>
          </cell>
          <cell r="AJ501">
            <v>49613789.959916346</v>
          </cell>
          <cell r="AK501">
            <v>41750338.95514705</v>
          </cell>
          <cell r="AL501">
            <v>41814957.966569848</v>
          </cell>
          <cell r="AM501">
            <v>42333459.624731414</v>
          </cell>
          <cell r="AN501">
            <v>42680628.448786229</v>
          </cell>
          <cell r="AO501">
            <v>44698007.168885536</v>
          </cell>
          <cell r="AP501">
            <v>45011718.553531364</v>
          </cell>
          <cell r="AQ501">
            <v>49297103.194256306</v>
          </cell>
          <cell r="AR501">
            <v>48117608.73477824</v>
          </cell>
          <cell r="AS501">
            <v>52414054.24581562</v>
          </cell>
          <cell r="AT501">
            <v>51524922.649319232</v>
          </cell>
          <cell r="AU501">
            <v>56923867.350001305</v>
          </cell>
          <cell r="AV501">
            <v>65807556.534957454</v>
          </cell>
          <cell r="AW501">
            <v>100541694.35732841</v>
          </cell>
          <cell r="AX501">
            <v>167675003.79319844</v>
          </cell>
          <cell r="AY501">
            <v>317066903.30422336</v>
          </cell>
          <cell r="AZ501">
            <v>409468114.56299686</v>
          </cell>
          <cell r="BA501">
            <v>96212839.016387105</v>
          </cell>
          <cell r="BB501">
            <v>0</v>
          </cell>
        </row>
        <row r="502">
          <cell r="A502" t="str">
            <v>INTL</v>
          </cell>
          <cell r="B502">
            <v>550686.67537197517</v>
          </cell>
          <cell r="C502">
            <v>552907.30452366651</v>
          </cell>
          <cell r="D502">
            <v>488647.72204914864</v>
          </cell>
          <cell r="E502">
            <v>488074.49713635468</v>
          </cell>
          <cell r="F502">
            <v>537733.18051871972</v>
          </cell>
          <cell r="G502">
            <v>720273.54233024805</v>
          </cell>
          <cell r="H502">
            <v>703241.59967039933</v>
          </cell>
          <cell r="I502">
            <v>670698.93548600585</v>
          </cell>
          <cell r="J502">
            <v>938144.45475694234</v>
          </cell>
          <cell r="K502">
            <v>769248.68106305087</v>
          </cell>
          <cell r="L502">
            <v>787687.89006735163</v>
          </cell>
          <cell r="M502">
            <v>800648.75248996308</v>
          </cell>
          <cell r="N502">
            <v>794445.74739040388</v>
          </cell>
          <cell r="O502">
            <v>849360.20689776994</v>
          </cell>
          <cell r="P502">
            <v>1135842.9126777777</v>
          </cell>
          <cell r="Q502">
            <v>754763.66887327738</v>
          </cell>
          <cell r="R502">
            <v>909326.91791939363</v>
          </cell>
          <cell r="S502">
            <v>1039315.0940750135</v>
          </cell>
          <cell r="T502">
            <v>1807599.6533367962</v>
          </cell>
          <cell r="U502">
            <v>1086689.3542013117</v>
          </cell>
          <cell r="V502">
            <v>1077628.3360852706</v>
          </cell>
          <cell r="W502">
            <v>1135373.1186420233</v>
          </cell>
          <cell r="X502">
            <v>1688420.4714970747</v>
          </cell>
          <cell r="Y502">
            <v>1274408.4667259464</v>
          </cell>
          <cell r="Z502">
            <v>1599438.4817614767</v>
          </cell>
          <cell r="AA502">
            <v>1405494.022373656</v>
          </cell>
          <cell r="AB502">
            <v>1731746.6093003743</v>
          </cell>
          <cell r="AC502">
            <v>1223026.739372036</v>
          </cell>
          <cell r="AD502">
            <v>1403315.8627520564</v>
          </cell>
          <cell r="AE502">
            <v>1379915.1228140108</v>
          </cell>
          <cell r="AF502">
            <v>1712477.8014302207</v>
          </cell>
          <cell r="AG502">
            <v>1425457.9229930516</v>
          </cell>
          <cell r="AH502">
            <v>1555029.4768655836</v>
          </cell>
          <cell r="AI502">
            <v>1617900.0733182426</v>
          </cell>
          <cell r="AJ502">
            <v>1962596.9190360093</v>
          </cell>
          <cell r="AK502">
            <v>1945616.2539089201</v>
          </cell>
          <cell r="AL502">
            <v>2058819.7807875837</v>
          </cell>
          <cell r="AM502">
            <v>1895011.9807421176</v>
          </cell>
          <cell r="AN502">
            <v>2370310.5661041224</v>
          </cell>
          <cell r="AO502">
            <v>1893022.028831152</v>
          </cell>
          <cell r="AP502">
            <v>1842060.569565881</v>
          </cell>
          <cell r="AQ502">
            <v>1925004.8520414205</v>
          </cell>
          <cell r="AR502">
            <v>2254194.1351737324</v>
          </cell>
          <cell r="AS502">
            <v>2078918.9277760079</v>
          </cell>
          <cell r="AT502">
            <v>2571850.9836143991</v>
          </cell>
          <cell r="AU502">
            <v>3270365.591495547</v>
          </cell>
          <cell r="AV502">
            <v>3756753.7924218317</v>
          </cell>
          <cell r="AW502">
            <v>3742290.0582226105</v>
          </cell>
          <cell r="AX502">
            <v>7165556.9516909327</v>
          </cell>
          <cell r="AY502">
            <v>17141705.699861996</v>
          </cell>
          <cell r="AZ502">
            <v>33796161.25068111</v>
          </cell>
          <cell r="BA502">
            <v>15442144.74064913</v>
          </cell>
          <cell r="BB502">
            <v>0</v>
          </cell>
        </row>
        <row r="561">
          <cell r="A561" t="str">
            <v>A &amp; P</v>
          </cell>
          <cell r="B561">
            <v>638739</v>
          </cell>
          <cell r="C561">
            <v>1265733</v>
          </cell>
          <cell r="D561">
            <v>1843784</v>
          </cell>
          <cell r="E561">
            <v>2406091</v>
          </cell>
          <cell r="F561">
            <v>584182</v>
          </cell>
          <cell r="G561">
            <v>1312137</v>
          </cell>
          <cell r="H561">
            <v>1898564</v>
          </cell>
          <cell r="I561">
            <v>2473234</v>
          </cell>
          <cell r="J561">
            <v>534311</v>
          </cell>
          <cell r="K561">
            <v>1092390</v>
          </cell>
          <cell r="L561">
            <v>1656429</v>
          </cell>
          <cell r="M561">
            <v>2214578</v>
          </cell>
          <cell r="N561">
            <v>560557</v>
          </cell>
          <cell r="O561">
            <v>1418674</v>
          </cell>
          <cell r="P561">
            <v>1976458</v>
          </cell>
          <cell r="Q561">
            <v>2568237</v>
          </cell>
          <cell r="R561">
            <v>639465</v>
          </cell>
          <cell r="S561">
            <v>1653920</v>
          </cell>
          <cell r="T561">
            <v>2484384</v>
          </cell>
          <cell r="U561">
            <v>3159813</v>
          </cell>
          <cell r="V561">
            <v>732343</v>
          </cell>
          <cell r="W561">
            <v>1534985</v>
          </cell>
          <cell r="X561">
            <v>2620163</v>
          </cell>
          <cell r="Y561">
            <v>4162264</v>
          </cell>
          <cell r="Z561">
            <v>1331886</v>
          </cell>
          <cell r="AA561">
            <v>2180809</v>
          </cell>
          <cell r="AB561">
            <v>2813485</v>
          </cell>
          <cell r="AC561">
            <v>3434287</v>
          </cell>
          <cell r="AD561">
            <v>642253</v>
          </cell>
          <cell r="AE561">
            <v>1288993</v>
          </cell>
          <cell r="AF561">
            <v>1955336</v>
          </cell>
          <cell r="AG561">
            <v>2611239</v>
          </cell>
          <cell r="AH561">
            <v>668021</v>
          </cell>
          <cell r="AI561">
            <v>1295528</v>
          </cell>
          <cell r="AJ561">
            <v>1893338</v>
          </cell>
          <cell r="AK561">
            <v>2505335</v>
          </cell>
          <cell r="AL561">
            <v>602497</v>
          </cell>
          <cell r="AM561">
            <v>1202369</v>
          </cell>
          <cell r="AN561">
            <v>1806985</v>
          </cell>
          <cell r="AO561">
            <v>2381785</v>
          </cell>
          <cell r="AP561">
            <v>587964</v>
          </cell>
          <cell r="AQ561">
            <v>1171275</v>
          </cell>
          <cell r="AR561">
            <v>1738549</v>
          </cell>
          <cell r="AS561">
            <v>2308549</v>
          </cell>
          <cell r="AT561">
            <v>652401</v>
          </cell>
          <cell r="AU561">
            <v>1340391</v>
          </cell>
          <cell r="AV561">
            <v>2115868</v>
          </cell>
          <cell r="AW561">
            <v>3206219</v>
          </cell>
          <cell r="AX561">
            <v>1779067</v>
          </cell>
          <cell r="AY561">
            <v>6141059</v>
          </cell>
          <cell r="AZ561">
            <v>12491487</v>
          </cell>
          <cell r="BA561">
            <v>13417917</v>
          </cell>
          <cell r="BB561">
            <v>13417917</v>
          </cell>
        </row>
        <row r="562">
          <cell r="A562" t="str">
            <v>AHOLD</v>
          </cell>
          <cell r="B562">
            <v>2274260</v>
          </cell>
          <cell r="C562">
            <v>4498554</v>
          </cell>
          <cell r="D562">
            <v>6479053</v>
          </cell>
          <cell r="E562">
            <v>8470293</v>
          </cell>
          <cell r="F562">
            <v>2092695</v>
          </cell>
          <cell r="G562">
            <v>4953716</v>
          </cell>
          <cell r="H562">
            <v>7108083</v>
          </cell>
          <cell r="I562">
            <v>9189771</v>
          </cell>
          <cell r="J562">
            <v>2206168</v>
          </cell>
          <cell r="K562">
            <v>4475548</v>
          </cell>
          <cell r="L562">
            <v>6820393</v>
          </cell>
          <cell r="M562">
            <v>9015231</v>
          </cell>
          <cell r="N562">
            <v>2210020</v>
          </cell>
          <cell r="O562">
            <v>5769017</v>
          </cell>
          <cell r="P562">
            <v>7963894</v>
          </cell>
          <cell r="Q562">
            <v>10340197</v>
          </cell>
          <cell r="R562">
            <v>2639410</v>
          </cell>
          <cell r="S562">
            <v>7033666</v>
          </cell>
          <cell r="T562">
            <v>10547005</v>
          </cell>
          <cell r="U562">
            <v>13368914</v>
          </cell>
          <cell r="V562">
            <v>3242852</v>
          </cell>
          <cell r="W562">
            <v>6671116</v>
          </cell>
          <cell r="X562">
            <v>11129742</v>
          </cell>
          <cell r="Y562">
            <v>17041244</v>
          </cell>
          <cell r="Z562">
            <v>4712071</v>
          </cell>
          <cell r="AA562">
            <v>8006185</v>
          </cell>
          <cell r="AB562">
            <v>10914257</v>
          </cell>
          <cell r="AC562">
            <v>13927461</v>
          </cell>
          <cell r="AD562">
            <v>2908416</v>
          </cell>
          <cell r="AE562">
            <v>5878462</v>
          </cell>
          <cell r="AF562">
            <v>8916512</v>
          </cell>
          <cell r="AG562">
            <v>12000449</v>
          </cell>
          <cell r="AH562">
            <v>3073705</v>
          </cell>
          <cell r="AI562">
            <v>6168016</v>
          </cell>
          <cell r="AJ562">
            <v>9079210</v>
          </cell>
          <cell r="AK562">
            <v>11953435</v>
          </cell>
          <cell r="AL562">
            <v>2906555</v>
          </cell>
          <cell r="AM562">
            <v>5822155</v>
          </cell>
          <cell r="AN562">
            <v>8693191</v>
          </cell>
          <cell r="AO562">
            <v>11598391</v>
          </cell>
          <cell r="AP562">
            <v>2891110</v>
          </cell>
          <cell r="AQ562">
            <v>5832364</v>
          </cell>
          <cell r="AR562">
            <v>8790967</v>
          </cell>
          <cell r="AS562">
            <v>11680236</v>
          </cell>
          <cell r="AT562">
            <v>3059158</v>
          </cell>
          <cell r="AU562">
            <v>6274903</v>
          </cell>
          <cell r="AV562">
            <v>9947370</v>
          </cell>
          <cell r="AW562">
            <v>15438269</v>
          </cell>
          <cell r="AX562">
            <v>9138449</v>
          </cell>
          <cell r="AY562">
            <v>29869966</v>
          </cell>
          <cell r="AZ562">
            <v>57876755</v>
          </cell>
          <cell r="BA562">
            <v>62550803</v>
          </cell>
          <cell r="BB562">
            <v>62550803</v>
          </cell>
        </row>
        <row r="563">
          <cell r="A563" t="str">
            <v>ALBERTSONS</v>
          </cell>
          <cell r="B563">
            <v>2217763</v>
          </cell>
          <cell r="C563">
            <v>4390593</v>
          </cell>
          <cell r="D563">
            <v>6330877</v>
          </cell>
          <cell r="E563">
            <v>8299554</v>
          </cell>
          <cell r="F563">
            <v>2109328</v>
          </cell>
          <cell r="G563">
            <v>5093944</v>
          </cell>
          <cell r="H563">
            <v>7304888</v>
          </cell>
          <cell r="I563">
            <v>9378741</v>
          </cell>
          <cell r="J563">
            <v>2201751</v>
          </cell>
          <cell r="K563">
            <v>4517989</v>
          </cell>
          <cell r="L563">
            <v>6916359</v>
          </cell>
          <cell r="M563">
            <v>9203300</v>
          </cell>
          <cell r="N563">
            <v>2300100</v>
          </cell>
          <cell r="O563">
            <v>5810220</v>
          </cell>
          <cell r="P563">
            <v>8154840</v>
          </cell>
          <cell r="Q563">
            <v>10644781</v>
          </cell>
          <cell r="R563">
            <v>2736172</v>
          </cell>
          <cell r="S563">
            <v>7171495</v>
          </cell>
          <cell r="T563">
            <v>10866470</v>
          </cell>
          <cell r="U563">
            <v>13799110</v>
          </cell>
          <cell r="V563">
            <v>3357210</v>
          </cell>
          <cell r="W563">
            <v>6793459</v>
          </cell>
          <cell r="X563">
            <v>11298768</v>
          </cell>
          <cell r="Y563">
            <v>16880833</v>
          </cell>
          <cell r="Z563">
            <v>4226712</v>
          </cell>
          <cell r="AA563">
            <v>7237228</v>
          </cell>
          <cell r="AB563">
            <v>10111953</v>
          </cell>
          <cell r="AC563">
            <v>13008518</v>
          </cell>
          <cell r="AD563">
            <v>3077439</v>
          </cell>
          <cell r="AE563">
            <v>6271538</v>
          </cell>
          <cell r="AF563">
            <v>9484207</v>
          </cell>
          <cell r="AG563">
            <v>12675561</v>
          </cell>
          <cell r="AH563">
            <v>3188719</v>
          </cell>
          <cell r="AI563">
            <v>6280238</v>
          </cell>
          <cell r="AJ563">
            <v>9288169</v>
          </cell>
          <cell r="AK563">
            <v>12157847</v>
          </cell>
          <cell r="AL563">
            <v>2852031</v>
          </cell>
          <cell r="AM563">
            <v>5719406</v>
          </cell>
          <cell r="AN563">
            <v>8589213</v>
          </cell>
          <cell r="AO563">
            <v>11435532</v>
          </cell>
          <cell r="AP563">
            <v>2838341</v>
          </cell>
          <cell r="AQ563">
            <v>5783748</v>
          </cell>
          <cell r="AR563">
            <v>8700536</v>
          </cell>
          <cell r="AS563">
            <v>11597325</v>
          </cell>
          <cell r="AT563">
            <v>2907528</v>
          </cell>
          <cell r="AU563">
            <v>6068481</v>
          </cell>
          <cell r="AV563">
            <v>9439242</v>
          </cell>
          <cell r="AW563">
            <v>14564935</v>
          </cell>
          <cell r="AX563">
            <v>8901408</v>
          </cell>
          <cell r="AY563">
            <v>29854057</v>
          </cell>
          <cell r="AZ563">
            <v>60265160</v>
          </cell>
          <cell r="BA563">
            <v>64128904</v>
          </cell>
          <cell r="BB563">
            <v>64128904</v>
          </cell>
        </row>
        <row r="564">
          <cell r="A564" t="str">
            <v>ALBERTSONS LLC</v>
          </cell>
          <cell r="B564">
            <v>328885</v>
          </cell>
          <cell r="C564">
            <v>644564</v>
          </cell>
          <cell r="D564">
            <v>935577</v>
          </cell>
          <cell r="E564">
            <v>1235199</v>
          </cell>
          <cell r="F564">
            <v>302198</v>
          </cell>
          <cell r="G564">
            <v>767113</v>
          </cell>
          <cell r="H564">
            <v>1089553</v>
          </cell>
          <cell r="I564">
            <v>1385765</v>
          </cell>
          <cell r="J564">
            <v>305112</v>
          </cell>
          <cell r="K564">
            <v>617084</v>
          </cell>
          <cell r="L564">
            <v>946073</v>
          </cell>
          <cell r="M564">
            <v>1271731</v>
          </cell>
          <cell r="N564">
            <v>312534</v>
          </cell>
          <cell r="O564">
            <v>729753</v>
          </cell>
          <cell r="P564">
            <v>1067855</v>
          </cell>
          <cell r="Q564">
            <v>1412239</v>
          </cell>
          <cell r="R564">
            <v>388818</v>
          </cell>
          <cell r="S564">
            <v>1069955</v>
          </cell>
          <cell r="T564">
            <v>1597090</v>
          </cell>
          <cell r="U564">
            <v>2035856</v>
          </cell>
          <cell r="V564">
            <v>464578</v>
          </cell>
          <cell r="W564">
            <v>959947</v>
          </cell>
          <cell r="X564">
            <v>1466527</v>
          </cell>
          <cell r="Y564">
            <v>2056290</v>
          </cell>
          <cell r="Z564">
            <v>437376</v>
          </cell>
          <cell r="AA564">
            <v>765468</v>
          </cell>
          <cell r="AB564">
            <v>1080671</v>
          </cell>
          <cell r="AC564">
            <v>1403276</v>
          </cell>
          <cell r="AD564">
            <v>321727</v>
          </cell>
          <cell r="AE564">
            <v>640041</v>
          </cell>
          <cell r="AF564">
            <v>941327</v>
          </cell>
          <cell r="AG564">
            <v>1248017</v>
          </cell>
          <cell r="AH564">
            <v>309247</v>
          </cell>
          <cell r="AI564">
            <v>601363</v>
          </cell>
          <cell r="AJ564">
            <v>899055</v>
          </cell>
          <cell r="AK564">
            <v>1179746</v>
          </cell>
          <cell r="AL564">
            <v>294153</v>
          </cell>
          <cell r="AM564">
            <v>588068</v>
          </cell>
          <cell r="AN564">
            <v>895249</v>
          </cell>
          <cell r="AO564">
            <v>1200508</v>
          </cell>
          <cell r="AP564">
            <v>307097</v>
          </cell>
          <cell r="AQ564">
            <v>632706</v>
          </cell>
          <cell r="AR564">
            <v>957408</v>
          </cell>
          <cell r="AS564">
            <v>1258822</v>
          </cell>
          <cell r="AT564">
            <v>318991</v>
          </cell>
          <cell r="AU564">
            <v>668939</v>
          </cell>
          <cell r="AV564">
            <v>1058095</v>
          </cell>
          <cell r="AW564">
            <v>1673280</v>
          </cell>
          <cell r="AX564">
            <v>1101936</v>
          </cell>
          <cell r="AY564">
            <v>3679597</v>
          </cell>
          <cell r="AZ564">
            <v>7210681</v>
          </cell>
          <cell r="BA564">
            <v>7682148</v>
          </cell>
          <cell r="BB564">
            <v>7682148</v>
          </cell>
        </row>
        <row r="565">
          <cell r="A565" t="str">
            <v>AUSTRALIAN POST</v>
          </cell>
          <cell r="B565">
            <v>272879</v>
          </cell>
          <cell r="C565">
            <v>560466</v>
          </cell>
          <cell r="D565">
            <v>791995</v>
          </cell>
          <cell r="E565">
            <v>1014009</v>
          </cell>
          <cell r="F565">
            <v>240826</v>
          </cell>
          <cell r="G565">
            <v>540651</v>
          </cell>
          <cell r="H565">
            <v>885922</v>
          </cell>
          <cell r="I565">
            <v>1216305</v>
          </cell>
          <cell r="J565">
            <v>357722</v>
          </cell>
          <cell r="K565">
            <v>706952</v>
          </cell>
          <cell r="L565">
            <v>1107554</v>
          </cell>
          <cell r="M565">
            <v>1509478</v>
          </cell>
          <cell r="N565">
            <v>393066</v>
          </cell>
          <cell r="O565">
            <v>809155</v>
          </cell>
          <cell r="P565">
            <v>1217104</v>
          </cell>
          <cell r="Q565">
            <v>1605078</v>
          </cell>
          <cell r="R565">
            <v>461604</v>
          </cell>
          <cell r="S565">
            <v>953131</v>
          </cell>
          <cell r="T565">
            <v>1678033</v>
          </cell>
          <cell r="U565">
            <v>2206859</v>
          </cell>
          <cell r="V565">
            <v>443700</v>
          </cell>
          <cell r="W565">
            <v>946843</v>
          </cell>
          <cell r="X565">
            <v>1360140</v>
          </cell>
          <cell r="Y565">
            <v>1819524</v>
          </cell>
          <cell r="Z565">
            <v>510035</v>
          </cell>
          <cell r="AA565">
            <v>1030571</v>
          </cell>
          <cell r="AB565">
            <v>1522444</v>
          </cell>
          <cell r="AC565">
            <v>1954468</v>
          </cell>
          <cell r="AD565">
            <v>497885</v>
          </cell>
          <cell r="AE565">
            <v>996680</v>
          </cell>
          <cell r="AF565">
            <v>1499890</v>
          </cell>
          <cell r="AG565">
            <v>2047156</v>
          </cell>
          <cell r="AH565">
            <v>565249</v>
          </cell>
          <cell r="AI565">
            <v>1189276</v>
          </cell>
          <cell r="AJ565">
            <v>1855517</v>
          </cell>
          <cell r="AK565">
            <v>2689507</v>
          </cell>
          <cell r="AL565">
            <v>671269</v>
          </cell>
          <cell r="AM565">
            <v>1260768</v>
          </cell>
          <cell r="AN565">
            <v>1932596</v>
          </cell>
          <cell r="AO565">
            <v>2508279</v>
          </cell>
          <cell r="AP565">
            <v>568879</v>
          </cell>
          <cell r="AQ565">
            <v>1207745</v>
          </cell>
          <cell r="AR565">
            <v>1848538</v>
          </cell>
          <cell r="AS565">
            <v>2536048</v>
          </cell>
          <cell r="AT565">
            <v>796994</v>
          </cell>
          <cell r="AU565">
            <v>1656864</v>
          </cell>
          <cell r="AV565">
            <v>2670021</v>
          </cell>
          <cell r="AW565">
            <v>3932961</v>
          </cell>
          <cell r="AX565">
            <v>1713632</v>
          </cell>
          <cell r="AY565">
            <v>4842997</v>
          </cell>
          <cell r="AZ565">
            <v>15565596</v>
          </cell>
          <cell r="BA565">
            <v>21628972</v>
          </cell>
          <cell r="BB565">
            <v>21628972</v>
          </cell>
        </row>
        <row r="566">
          <cell r="A566" t="str">
            <v>AWG - DIVISIONS</v>
          </cell>
          <cell r="B566">
            <v>176960</v>
          </cell>
          <cell r="C566">
            <v>334897</v>
          </cell>
          <cell r="D566">
            <v>461222</v>
          </cell>
          <cell r="E566">
            <v>586275</v>
          </cell>
          <cell r="F566">
            <v>139698</v>
          </cell>
          <cell r="G566">
            <v>312381</v>
          </cell>
          <cell r="H566">
            <v>445717</v>
          </cell>
          <cell r="I566">
            <v>548954</v>
          </cell>
          <cell r="J566">
            <v>160628</v>
          </cell>
          <cell r="K566">
            <v>360651</v>
          </cell>
          <cell r="L566">
            <v>513899</v>
          </cell>
          <cell r="M566">
            <v>656620</v>
          </cell>
          <cell r="N566">
            <v>129398</v>
          </cell>
          <cell r="O566">
            <v>296181</v>
          </cell>
          <cell r="P566">
            <v>438570</v>
          </cell>
          <cell r="Q566">
            <v>576761</v>
          </cell>
          <cell r="R566">
            <v>148710</v>
          </cell>
          <cell r="S566">
            <v>370696</v>
          </cell>
          <cell r="T566">
            <v>532512</v>
          </cell>
          <cell r="U566">
            <v>711985</v>
          </cell>
          <cell r="V566">
            <v>189944</v>
          </cell>
          <cell r="W566">
            <v>386656</v>
          </cell>
          <cell r="X566">
            <v>593885</v>
          </cell>
          <cell r="Y566">
            <v>897407</v>
          </cell>
          <cell r="Z566">
            <v>256100</v>
          </cell>
          <cell r="AA566">
            <v>452960</v>
          </cell>
          <cell r="AB566">
            <v>672395</v>
          </cell>
          <cell r="AC566">
            <v>890112</v>
          </cell>
          <cell r="AD566">
            <v>178093</v>
          </cell>
          <cell r="AE566">
            <v>355309</v>
          </cell>
          <cell r="AF566">
            <v>555896</v>
          </cell>
          <cell r="AG566">
            <v>845581</v>
          </cell>
          <cell r="AH566">
            <v>240568</v>
          </cell>
          <cell r="AI566">
            <v>458590</v>
          </cell>
          <cell r="AJ566">
            <v>609635</v>
          </cell>
          <cell r="AK566">
            <v>758800</v>
          </cell>
          <cell r="AL566">
            <v>163280</v>
          </cell>
          <cell r="AM566">
            <v>320415</v>
          </cell>
          <cell r="AN566">
            <v>488917</v>
          </cell>
          <cell r="AO566">
            <v>655832</v>
          </cell>
          <cell r="AP566">
            <v>179893</v>
          </cell>
          <cell r="AQ566">
            <v>369964</v>
          </cell>
          <cell r="AR566">
            <v>545703</v>
          </cell>
          <cell r="AS566">
            <v>717400</v>
          </cell>
          <cell r="AT566">
            <v>172394</v>
          </cell>
          <cell r="AU566">
            <v>365693</v>
          </cell>
          <cell r="AV566">
            <v>572227</v>
          </cell>
          <cell r="AW566">
            <v>855385</v>
          </cell>
          <cell r="AX566">
            <v>453767</v>
          </cell>
          <cell r="AY566">
            <v>1214934</v>
          </cell>
          <cell r="AZ566">
            <v>2689470</v>
          </cell>
          <cell r="BA566">
            <v>3326254</v>
          </cell>
          <cell r="BB566">
            <v>3326254</v>
          </cell>
        </row>
        <row r="567">
          <cell r="A567" t="str">
            <v>BI LO</v>
          </cell>
          <cell r="B567">
            <v>305142</v>
          </cell>
          <cell r="C567">
            <v>600100</v>
          </cell>
          <cell r="D567">
            <v>894165</v>
          </cell>
          <cell r="E567">
            <v>1189901</v>
          </cell>
          <cell r="F567">
            <v>376440</v>
          </cell>
          <cell r="G567">
            <v>929140</v>
          </cell>
          <cell r="H567">
            <v>1291103</v>
          </cell>
          <cell r="I567">
            <v>1667753</v>
          </cell>
          <cell r="J567">
            <v>402127</v>
          </cell>
          <cell r="K567">
            <v>827812</v>
          </cell>
          <cell r="L567">
            <v>1274078</v>
          </cell>
          <cell r="M567">
            <v>1626122</v>
          </cell>
          <cell r="N567">
            <v>339939</v>
          </cell>
          <cell r="O567">
            <v>849773</v>
          </cell>
          <cell r="P567">
            <v>1245407</v>
          </cell>
          <cell r="Q567">
            <v>1609606</v>
          </cell>
          <cell r="R567">
            <v>409582</v>
          </cell>
          <cell r="S567">
            <v>1047091</v>
          </cell>
          <cell r="T567">
            <v>1558333</v>
          </cell>
          <cell r="U567">
            <v>1988452</v>
          </cell>
          <cell r="V567">
            <v>507388</v>
          </cell>
          <cell r="W567">
            <v>1030976</v>
          </cell>
          <cell r="X567">
            <v>1581060</v>
          </cell>
          <cell r="Y567">
            <v>2233616</v>
          </cell>
          <cell r="Z567">
            <v>495963</v>
          </cell>
          <cell r="AA567">
            <v>928552</v>
          </cell>
          <cell r="AB567">
            <v>1402164</v>
          </cell>
          <cell r="AC567">
            <v>1872842</v>
          </cell>
          <cell r="AD567">
            <v>502460</v>
          </cell>
          <cell r="AE567">
            <v>1062045</v>
          </cell>
          <cell r="AF567">
            <v>1642302</v>
          </cell>
          <cell r="AG567">
            <v>2066240</v>
          </cell>
          <cell r="AH567">
            <v>321970</v>
          </cell>
          <cell r="AI567">
            <v>668554</v>
          </cell>
          <cell r="AJ567">
            <v>993114</v>
          </cell>
          <cell r="AK567">
            <v>1326454</v>
          </cell>
          <cell r="AL567">
            <v>336886</v>
          </cell>
          <cell r="AM567">
            <v>682665</v>
          </cell>
          <cell r="AN567">
            <v>1041415</v>
          </cell>
          <cell r="AO567">
            <v>1403113</v>
          </cell>
          <cell r="AP567">
            <v>410405</v>
          </cell>
          <cell r="AQ567">
            <v>821690</v>
          </cell>
          <cell r="AR567">
            <v>1141190</v>
          </cell>
          <cell r="AS567">
            <v>1493568</v>
          </cell>
          <cell r="AT567">
            <v>326235</v>
          </cell>
          <cell r="AU567">
            <v>650281</v>
          </cell>
          <cell r="AV567">
            <v>999559</v>
          </cell>
          <cell r="AW567">
            <v>1478430</v>
          </cell>
          <cell r="AX567">
            <v>778155</v>
          </cell>
          <cell r="AY567">
            <v>2411069</v>
          </cell>
          <cell r="AZ567">
            <v>4589783</v>
          </cell>
          <cell r="BA567">
            <v>4981922</v>
          </cell>
          <cell r="BB567">
            <v>4981922</v>
          </cell>
        </row>
        <row r="568">
          <cell r="A568" t="str">
            <v>BIG Y</v>
          </cell>
          <cell r="B568">
            <v>123772</v>
          </cell>
          <cell r="C568">
            <v>246069</v>
          </cell>
          <cell r="D568">
            <v>354803</v>
          </cell>
          <cell r="E568">
            <v>458565</v>
          </cell>
          <cell r="F568">
            <v>124683</v>
          </cell>
          <cell r="G568">
            <v>288144</v>
          </cell>
          <cell r="H568">
            <v>407743</v>
          </cell>
          <cell r="I568">
            <v>521119</v>
          </cell>
          <cell r="J568">
            <v>106400</v>
          </cell>
          <cell r="K568">
            <v>213534</v>
          </cell>
          <cell r="L568">
            <v>325451</v>
          </cell>
          <cell r="M568">
            <v>438452</v>
          </cell>
          <cell r="N568">
            <v>138742</v>
          </cell>
          <cell r="O568">
            <v>348899</v>
          </cell>
          <cell r="P568">
            <v>439934</v>
          </cell>
          <cell r="Q568">
            <v>679912</v>
          </cell>
          <cell r="R568">
            <v>265943</v>
          </cell>
          <cell r="S568">
            <v>503753</v>
          </cell>
          <cell r="T568">
            <v>730159</v>
          </cell>
          <cell r="U568">
            <v>913455</v>
          </cell>
          <cell r="V568">
            <v>304839</v>
          </cell>
          <cell r="W568">
            <v>622568</v>
          </cell>
          <cell r="X568">
            <v>856930</v>
          </cell>
          <cell r="Y568">
            <v>1194376</v>
          </cell>
          <cell r="Z568">
            <v>282564</v>
          </cell>
          <cell r="AA568">
            <v>463731</v>
          </cell>
          <cell r="AB568">
            <v>628916</v>
          </cell>
          <cell r="AC568">
            <v>793811</v>
          </cell>
          <cell r="AD568">
            <v>153553</v>
          </cell>
          <cell r="AE568">
            <v>287326</v>
          </cell>
          <cell r="AF568">
            <v>419939</v>
          </cell>
          <cell r="AG568">
            <v>562413</v>
          </cell>
          <cell r="AH568">
            <v>140716</v>
          </cell>
          <cell r="AI568">
            <v>294328</v>
          </cell>
          <cell r="AJ568">
            <v>433811</v>
          </cell>
          <cell r="AK568">
            <v>557056</v>
          </cell>
          <cell r="AL568">
            <v>122970</v>
          </cell>
          <cell r="AM568">
            <v>243037</v>
          </cell>
          <cell r="AN568">
            <v>362434</v>
          </cell>
          <cell r="AO568">
            <v>483093</v>
          </cell>
          <cell r="AP568">
            <v>127676</v>
          </cell>
          <cell r="AQ568">
            <v>260212</v>
          </cell>
          <cell r="AR568">
            <v>392544</v>
          </cell>
          <cell r="AS568">
            <v>521402</v>
          </cell>
          <cell r="AT568">
            <v>133484</v>
          </cell>
          <cell r="AU568">
            <v>266208</v>
          </cell>
          <cell r="AV568">
            <v>417585</v>
          </cell>
          <cell r="AW568">
            <v>675830</v>
          </cell>
          <cell r="AX568">
            <v>464932</v>
          </cell>
          <cell r="AY568">
            <v>1588310</v>
          </cell>
          <cell r="AZ568">
            <v>3333558</v>
          </cell>
          <cell r="BA568">
            <v>3513595</v>
          </cell>
          <cell r="BB568">
            <v>3513595</v>
          </cell>
        </row>
        <row r="569">
          <cell r="A569" t="str">
            <v>CIRCLE K</v>
          </cell>
          <cell r="B569">
            <v>93331</v>
          </cell>
          <cell r="C569">
            <v>168964</v>
          </cell>
          <cell r="D569">
            <v>246655</v>
          </cell>
          <cell r="E569">
            <v>324089</v>
          </cell>
          <cell r="F569">
            <v>73425</v>
          </cell>
          <cell r="G569">
            <v>151577</v>
          </cell>
          <cell r="H569">
            <v>243800</v>
          </cell>
          <cell r="I569">
            <v>316737</v>
          </cell>
          <cell r="J569">
            <v>75382</v>
          </cell>
          <cell r="K569">
            <v>154210</v>
          </cell>
          <cell r="L569">
            <v>224824</v>
          </cell>
          <cell r="M569">
            <v>304919</v>
          </cell>
          <cell r="N569">
            <v>63522</v>
          </cell>
          <cell r="O569">
            <v>132338</v>
          </cell>
          <cell r="P569">
            <v>197239</v>
          </cell>
          <cell r="Q569">
            <v>267307</v>
          </cell>
          <cell r="R569">
            <v>74093</v>
          </cell>
          <cell r="S569">
            <v>150348</v>
          </cell>
          <cell r="T569">
            <v>246955</v>
          </cell>
          <cell r="U569">
            <v>340366</v>
          </cell>
          <cell r="V569">
            <v>94574</v>
          </cell>
          <cell r="W569">
            <v>176376</v>
          </cell>
          <cell r="X569">
            <v>262101</v>
          </cell>
          <cell r="Y569">
            <v>357969</v>
          </cell>
          <cell r="Z569">
            <v>90848</v>
          </cell>
          <cell r="AA569">
            <v>166082</v>
          </cell>
          <cell r="AB569">
            <v>237997</v>
          </cell>
          <cell r="AC569">
            <v>308029</v>
          </cell>
          <cell r="AD569">
            <v>66734</v>
          </cell>
          <cell r="AE569">
            <v>133157</v>
          </cell>
          <cell r="AF569">
            <v>197480</v>
          </cell>
          <cell r="AG569">
            <v>268272</v>
          </cell>
          <cell r="AH569">
            <v>71286</v>
          </cell>
          <cell r="AI569">
            <v>137563</v>
          </cell>
          <cell r="AJ569">
            <v>207916</v>
          </cell>
          <cell r="AK569">
            <v>275461</v>
          </cell>
          <cell r="AL569">
            <v>61784</v>
          </cell>
          <cell r="AM569">
            <v>130340</v>
          </cell>
          <cell r="AN569">
            <v>198639</v>
          </cell>
          <cell r="AO569">
            <v>272417</v>
          </cell>
          <cell r="AP569">
            <v>67025</v>
          </cell>
          <cell r="AQ569">
            <v>137986</v>
          </cell>
          <cell r="AR569">
            <v>206876</v>
          </cell>
          <cell r="AS569">
            <v>279544</v>
          </cell>
          <cell r="AT569">
            <v>69755</v>
          </cell>
          <cell r="AU569">
            <v>136737</v>
          </cell>
          <cell r="AV569">
            <v>208606</v>
          </cell>
          <cell r="AW569">
            <v>287344</v>
          </cell>
          <cell r="AX569">
            <v>103388</v>
          </cell>
          <cell r="AY569">
            <v>251976</v>
          </cell>
          <cell r="AZ569">
            <v>556503</v>
          </cell>
          <cell r="BA569">
            <v>1191095</v>
          </cell>
          <cell r="BB569">
            <v>1191095</v>
          </cell>
        </row>
        <row r="570">
          <cell r="A570" t="str">
            <v>CVS PHARMACY</v>
          </cell>
          <cell r="B570">
            <v>1110865</v>
          </cell>
          <cell r="C570">
            <v>2221730</v>
          </cell>
          <cell r="D570">
            <v>3295268</v>
          </cell>
          <cell r="E570">
            <v>4371638</v>
          </cell>
          <cell r="F570">
            <v>958662</v>
          </cell>
          <cell r="G570">
            <v>2275439</v>
          </cell>
          <cell r="H570">
            <v>3280507</v>
          </cell>
          <cell r="I570">
            <v>4216916</v>
          </cell>
          <cell r="J570">
            <v>880940</v>
          </cell>
          <cell r="K570">
            <v>1773590</v>
          </cell>
          <cell r="L570">
            <v>2696512</v>
          </cell>
          <cell r="M570">
            <v>3583995</v>
          </cell>
          <cell r="N570">
            <v>763485</v>
          </cell>
          <cell r="O570">
            <v>1742284</v>
          </cell>
          <cell r="P570">
            <v>2516938</v>
          </cell>
          <cell r="Q570">
            <v>3288165</v>
          </cell>
          <cell r="R570">
            <v>747725</v>
          </cell>
          <cell r="S570">
            <v>1852055</v>
          </cell>
          <cell r="T570">
            <v>2751963</v>
          </cell>
          <cell r="U570">
            <v>3512025</v>
          </cell>
          <cell r="V570">
            <v>796887</v>
          </cell>
          <cell r="W570">
            <v>1586172</v>
          </cell>
          <cell r="X570">
            <v>2478248</v>
          </cell>
          <cell r="Y570">
            <v>3755287</v>
          </cell>
          <cell r="Z570">
            <v>1080330</v>
          </cell>
          <cell r="AA570">
            <v>1873451</v>
          </cell>
          <cell r="AB570">
            <v>2566372</v>
          </cell>
          <cell r="AC570">
            <v>3268303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</row>
        <row r="571">
          <cell r="A571" t="str">
            <v>DW - PETRO CANADA</v>
          </cell>
          <cell r="B571">
            <v>102654</v>
          </cell>
          <cell r="C571">
            <v>205308</v>
          </cell>
          <cell r="D571">
            <v>295785</v>
          </cell>
          <cell r="E571">
            <v>371699</v>
          </cell>
          <cell r="F571">
            <v>77082</v>
          </cell>
          <cell r="G571">
            <v>200764</v>
          </cell>
          <cell r="H571">
            <v>281103</v>
          </cell>
          <cell r="I571">
            <v>359454</v>
          </cell>
          <cell r="J571">
            <v>75550</v>
          </cell>
          <cell r="K571">
            <v>152644</v>
          </cell>
          <cell r="L571">
            <v>253126</v>
          </cell>
          <cell r="M571">
            <v>341594</v>
          </cell>
          <cell r="N571">
            <v>86341</v>
          </cell>
          <cell r="O571">
            <v>203524</v>
          </cell>
          <cell r="P571">
            <v>310311</v>
          </cell>
          <cell r="Q571">
            <v>402861</v>
          </cell>
          <cell r="R571">
            <v>105195</v>
          </cell>
          <cell r="S571">
            <v>241488</v>
          </cell>
          <cell r="T571">
            <v>375515</v>
          </cell>
          <cell r="U571">
            <v>487708</v>
          </cell>
          <cell r="V571">
            <v>114474</v>
          </cell>
          <cell r="W571">
            <v>234275</v>
          </cell>
          <cell r="X571">
            <v>349990</v>
          </cell>
          <cell r="Y571">
            <v>498534</v>
          </cell>
          <cell r="Z571">
            <v>159687</v>
          </cell>
          <cell r="AA571">
            <v>289805</v>
          </cell>
          <cell r="AB571">
            <v>396407</v>
          </cell>
          <cell r="AC571">
            <v>517816</v>
          </cell>
          <cell r="AD571">
            <v>109275</v>
          </cell>
          <cell r="AE571">
            <v>216234</v>
          </cell>
          <cell r="AF571">
            <v>324279</v>
          </cell>
          <cell r="AG571">
            <v>436401</v>
          </cell>
          <cell r="AH571">
            <v>122975</v>
          </cell>
          <cell r="AI571">
            <v>238266</v>
          </cell>
          <cell r="AJ571">
            <v>356956</v>
          </cell>
          <cell r="AK571">
            <v>482172</v>
          </cell>
          <cell r="AL571">
            <v>128009</v>
          </cell>
          <cell r="AM571">
            <v>245565</v>
          </cell>
          <cell r="AN571">
            <v>387805</v>
          </cell>
          <cell r="AO571">
            <v>517674</v>
          </cell>
          <cell r="AP571">
            <v>128265</v>
          </cell>
          <cell r="AQ571">
            <v>247137</v>
          </cell>
          <cell r="AR571">
            <v>366377</v>
          </cell>
          <cell r="AS571">
            <v>488831</v>
          </cell>
          <cell r="AT571">
            <v>129140</v>
          </cell>
          <cell r="AU571">
            <v>283512</v>
          </cell>
          <cell r="AV571">
            <v>468895</v>
          </cell>
          <cell r="AW571">
            <v>779137</v>
          </cell>
          <cell r="AX571">
            <v>427592</v>
          </cell>
          <cell r="AY571">
            <v>1151224</v>
          </cell>
          <cell r="AZ571">
            <v>2261018</v>
          </cell>
          <cell r="BA571">
            <v>2485933</v>
          </cell>
          <cell r="BB571">
            <v>2485933</v>
          </cell>
        </row>
        <row r="572">
          <cell r="A572" t="str">
            <v>FEDERATED CO-OP - CANADA</v>
          </cell>
          <cell r="B572">
            <v>88881</v>
          </cell>
          <cell r="C572">
            <v>169493</v>
          </cell>
          <cell r="D572">
            <v>251238</v>
          </cell>
          <cell r="E572">
            <v>330308</v>
          </cell>
          <cell r="F572">
            <v>77816</v>
          </cell>
          <cell r="G572">
            <v>186037</v>
          </cell>
          <cell r="H572">
            <v>270819</v>
          </cell>
          <cell r="I572">
            <v>350033</v>
          </cell>
          <cell r="J572">
            <v>81405</v>
          </cell>
          <cell r="K572">
            <v>166696</v>
          </cell>
          <cell r="L572">
            <v>250708</v>
          </cell>
          <cell r="M572">
            <v>339067</v>
          </cell>
          <cell r="N572">
            <v>92954</v>
          </cell>
          <cell r="O572">
            <v>204743</v>
          </cell>
          <cell r="P572">
            <v>285649</v>
          </cell>
          <cell r="Q572">
            <v>369544</v>
          </cell>
          <cell r="R572">
            <v>95189</v>
          </cell>
          <cell r="S572">
            <v>215119</v>
          </cell>
          <cell r="T572">
            <v>306224</v>
          </cell>
          <cell r="U572">
            <v>388188</v>
          </cell>
          <cell r="V572">
            <v>91959</v>
          </cell>
          <cell r="W572">
            <v>185374</v>
          </cell>
          <cell r="X572">
            <v>290659</v>
          </cell>
          <cell r="Y572">
            <v>448465</v>
          </cell>
          <cell r="Z572">
            <v>153404</v>
          </cell>
          <cell r="AA572">
            <v>240961</v>
          </cell>
          <cell r="AB572">
            <v>376025</v>
          </cell>
          <cell r="AC572">
            <v>463231</v>
          </cell>
          <cell r="AD572">
            <v>90185</v>
          </cell>
          <cell r="AE572">
            <v>177647</v>
          </cell>
          <cell r="AF572">
            <v>266195</v>
          </cell>
          <cell r="AG572">
            <v>353479</v>
          </cell>
          <cell r="AH572">
            <v>93085</v>
          </cell>
          <cell r="AI572">
            <v>237116</v>
          </cell>
          <cell r="AJ572">
            <v>338745</v>
          </cell>
          <cell r="AK572">
            <v>467510</v>
          </cell>
          <cell r="AL572">
            <v>124860</v>
          </cell>
          <cell r="AM572">
            <v>247704</v>
          </cell>
          <cell r="AN572">
            <v>355541</v>
          </cell>
          <cell r="AO572">
            <v>477468</v>
          </cell>
          <cell r="AP572">
            <v>109044</v>
          </cell>
          <cell r="AQ572">
            <v>207157</v>
          </cell>
          <cell r="AR572">
            <v>317705</v>
          </cell>
          <cell r="AS572">
            <v>426833</v>
          </cell>
          <cell r="AT572">
            <v>151872</v>
          </cell>
          <cell r="AU572">
            <v>327764</v>
          </cell>
          <cell r="AV572">
            <v>612893</v>
          </cell>
          <cell r="AW572">
            <v>991545</v>
          </cell>
          <cell r="AX572">
            <v>628561</v>
          </cell>
          <cell r="AY572">
            <v>1802746</v>
          </cell>
          <cell r="AZ572">
            <v>2989827</v>
          </cell>
          <cell r="BA572">
            <v>3153188</v>
          </cell>
          <cell r="BB572">
            <v>3153188</v>
          </cell>
        </row>
        <row r="573">
          <cell r="A573" t="str">
            <v>FOOD LION</v>
          </cell>
          <cell r="B573">
            <v>423919</v>
          </cell>
          <cell r="C573">
            <v>850965</v>
          </cell>
          <cell r="D573">
            <v>1234593</v>
          </cell>
          <cell r="E573">
            <v>1617752</v>
          </cell>
          <cell r="F573">
            <v>359686</v>
          </cell>
          <cell r="G573">
            <v>945366</v>
          </cell>
          <cell r="H573">
            <v>1307281</v>
          </cell>
          <cell r="I573">
            <v>1664679</v>
          </cell>
          <cell r="J573">
            <v>364405</v>
          </cell>
          <cell r="K573">
            <v>728459</v>
          </cell>
          <cell r="L573">
            <v>1115099</v>
          </cell>
          <cell r="M573">
            <v>1480374</v>
          </cell>
          <cell r="N573">
            <v>374761</v>
          </cell>
          <cell r="O573">
            <v>892856</v>
          </cell>
          <cell r="P573">
            <v>1254832</v>
          </cell>
          <cell r="Q573">
            <v>1662401</v>
          </cell>
          <cell r="R573">
            <v>433339</v>
          </cell>
          <cell r="S573">
            <v>1316871</v>
          </cell>
          <cell r="T573">
            <v>2025770</v>
          </cell>
          <cell r="U573">
            <v>2595630</v>
          </cell>
          <cell r="V573">
            <v>632271</v>
          </cell>
          <cell r="W573">
            <v>1343169</v>
          </cell>
          <cell r="X573">
            <v>2259997</v>
          </cell>
          <cell r="Y573">
            <v>3390254</v>
          </cell>
          <cell r="Z573">
            <v>803377</v>
          </cell>
          <cell r="AA573">
            <v>1413036</v>
          </cell>
          <cell r="AB573">
            <v>2033846</v>
          </cell>
          <cell r="AC573">
            <v>2679880</v>
          </cell>
          <cell r="AD573">
            <v>662267</v>
          </cell>
          <cell r="AE573">
            <v>1323320</v>
          </cell>
          <cell r="AF573">
            <v>2006204</v>
          </cell>
          <cell r="AG573">
            <v>2702289</v>
          </cell>
          <cell r="AH573">
            <v>658834</v>
          </cell>
          <cell r="AI573">
            <v>1322268</v>
          </cell>
          <cell r="AJ573">
            <v>1964798</v>
          </cell>
          <cell r="AK573">
            <v>2602321</v>
          </cell>
          <cell r="AL573">
            <v>657245</v>
          </cell>
          <cell r="AM573">
            <v>1295929</v>
          </cell>
          <cell r="AN573">
            <v>1921742</v>
          </cell>
          <cell r="AO573">
            <v>2571082</v>
          </cell>
          <cell r="AP573">
            <v>638476</v>
          </cell>
          <cell r="AQ573">
            <v>1283866</v>
          </cell>
          <cell r="AR573">
            <v>1931555</v>
          </cell>
          <cell r="AS573">
            <v>2566838</v>
          </cell>
          <cell r="AT573">
            <v>716615</v>
          </cell>
          <cell r="AU573">
            <v>1471279</v>
          </cell>
          <cell r="AV573">
            <v>2333963</v>
          </cell>
          <cell r="AW573">
            <v>3723602</v>
          </cell>
          <cell r="AX573">
            <v>2208472</v>
          </cell>
          <cell r="AY573">
            <v>7450032</v>
          </cell>
          <cell r="AZ573">
            <v>14919877</v>
          </cell>
          <cell r="BA573">
            <v>15894765</v>
          </cell>
          <cell r="BB573">
            <v>15894765</v>
          </cell>
        </row>
        <row r="574">
          <cell r="A574" t="str">
            <v>GIANT EAGLE</v>
          </cell>
          <cell r="B574">
            <v>7295573</v>
          </cell>
          <cell r="C574">
            <v>14638391</v>
          </cell>
          <cell r="D574">
            <v>22728615</v>
          </cell>
          <cell r="E574">
            <v>31173174</v>
          </cell>
          <cell r="F574">
            <v>8735365</v>
          </cell>
          <cell r="G574">
            <v>17845006</v>
          </cell>
          <cell r="H574">
            <v>26791643</v>
          </cell>
          <cell r="I574">
            <v>35256924</v>
          </cell>
          <cell r="J574">
            <v>7397801</v>
          </cell>
          <cell r="K574">
            <v>14649734</v>
          </cell>
          <cell r="L574">
            <v>23771887</v>
          </cell>
          <cell r="M574">
            <v>33682351</v>
          </cell>
          <cell r="N574">
            <v>10321099</v>
          </cell>
          <cell r="O574">
            <v>21258726</v>
          </cell>
          <cell r="P574">
            <v>29582499</v>
          </cell>
          <cell r="Q574">
            <v>40826352</v>
          </cell>
          <cell r="R574">
            <v>12957014</v>
          </cell>
          <cell r="S574">
            <v>29686082</v>
          </cell>
          <cell r="T574">
            <v>44294108</v>
          </cell>
          <cell r="U574">
            <v>57441758</v>
          </cell>
          <cell r="V574">
            <v>14983137</v>
          </cell>
          <cell r="W574">
            <v>30382578</v>
          </cell>
          <cell r="X574">
            <v>46529074</v>
          </cell>
          <cell r="Y574">
            <v>65291036</v>
          </cell>
          <cell r="Z574">
            <v>15179113</v>
          </cell>
          <cell r="AA574">
            <v>30081997</v>
          </cell>
          <cell r="AB574">
            <v>44062281</v>
          </cell>
          <cell r="AC574">
            <v>58754928</v>
          </cell>
          <cell r="AD574">
            <v>14187405</v>
          </cell>
          <cell r="AE574">
            <v>27915440</v>
          </cell>
          <cell r="AF574">
            <v>41414164</v>
          </cell>
          <cell r="AG574">
            <v>57354475</v>
          </cell>
          <cell r="AH574">
            <v>17487506</v>
          </cell>
          <cell r="AI574">
            <v>35767085</v>
          </cell>
          <cell r="AJ574">
            <v>54785146</v>
          </cell>
          <cell r="AK574">
            <v>67078040</v>
          </cell>
          <cell r="AL574">
            <v>12000585</v>
          </cell>
          <cell r="AM574">
            <v>23853198</v>
          </cell>
          <cell r="AN574">
            <v>35932592</v>
          </cell>
          <cell r="AO574">
            <v>48197697</v>
          </cell>
          <cell r="AP574">
            <v>11668148</v>
          </cell>
          <cell r="AQ574">
            <v>25023444</v>
          </cell>
          <cell r="AR574">
            <v>39098228</v>
          </cell>
          <cell r="AS574">
            <v>52790400</v>
          </cell>
          <cell r="AT574">
            <v>14195259</v>
          </cell>
          <cell r="AU574">
            <v>30993049</v>
          </cell>
          <cell r="AV574">
            <v>49817362</v>
          </cell>
          <cell r="AW574">
            <v>74937617</v>
          </cell>
          <cell r="AX574">
            <v>39454986</v>
          </cell>
          <cell r="AY574">
            <v>90574743</v>
          </cell>
          <cell r="AZ574">
            <v>139155764</v>
          </cell>
          <cell r="BA574">
            <v>162449943</v>
          </cell>
          <cell r="BB574">
            <v>162449943</v>
          </cell>
        </row>
        <row r="575">
          <cell r="A575" t="str">
            <v>HANNAFORD</v>
          </cell>
          <cell r="B575">
            <v>218939</v>
          </cell>
          <cell r="C575">
            <v>436504</v>
          </cell>
          <cell r="D575">
            <v>622502</v>
          </cell>
          <cell r="E575">
            <v>815175</v>
          </cell>
          <cell r="F575">
            <v>213625</v>
          </cell>
          <cell r="G575">
            <v>511887</v>
          </cell>
          <cell r="H575">
            <v>739041</v>
          </cell>
          <cell r="I575">
            <v>933869</v>
          </cell>
          <cell r="J575">
            <v>208854</v>
          </cell>
          <cell r="K575">
            <v>441582</v>
          </cell>
          <cell r="L575">
            <v>684498</v>
          </cell>
          <cell r="M575">
            <v>909660</v>
          </cell>
          <cell r="N575">
            <v>240252</v>
          </cell>
          <cell r="O575">
            <v>600658</v>
          </cell>
          <cell r="P575">
            <v>829699</v>
          </cell>
          <cell r="Q575">
            <v>1080078</v>
          </cell>
          <cell r="R575">
            <v>265453</v>
          </cell>
          <cell r="S575">
            <v>699754</v>
          </cell>
          <cell r="T575">
            <v>1035561</v>
          </cell>
          <cell r="U575">
            <v>1327939</v>
          </cell>
          <cell r="V575">
            <v>307687</v>
          </cell>
          <cell r="W575">
            <v>643682</v>
          </cell>
          <cell r="X575">
            <v>1058150</v>
          </cell>
          <cell r="Y575">
            <v>1616304</v>
          </cell>
          <cell r="Z575">
            <v>472146</v>
          </cell>
          <cell r="AA575">
            <v>822892</v>
          </cell>
          <cell r="AB575">
            <v>1122892</v>
          </cell>
          <cell r="AC575">
            <v>1425635</v>
          </cell>
          <cell r="AD575">
            <v>302397</v>
          </cell>
          <cell r="AE575">
            <v>608863</v>
          </cell>
          <cell r="AF575">
            <v>930882</v>
          </cell>
          <cell r="AG575">
            <v>1254050</v>
          </cell>
          <cell r="AH575">
            <v>321065</v>
          </cell>
          <cell r="AI575">
            <v>647194</v>
          </cell>
          <cell r="AJ575">
            <v>950875</v>
          </cell>
          <cell r="AK575">
            <v>1253807</v>
          </cell>
          <cell r="AL575">
            <v>292345</v>
          </cell>
          <cell r="AM575">
            <v>589833</v>
          </cell>
          <cell r="AN575">
            <v>884397</v>
          </cell>
          <cell r="AO575">
            <v>1184177</v>
          </cell>
          <cell r="AP575">
            <v>296245</v>
          </cell>
          <cell r="AQ575">
            <v>591631</v>
          </cell>
          <cell r="AR575">
            <v>888854</v>
          </cell>
          <cell r="AS575">
            <v>1187208</v>
          </cell>
          <cell r="AT575">
            <v>312760</v>
          </cell>
          <cell r="AU575">
            <v>637090</v>
          </cell>
          <cell r="AV575">
            <v>1005936</v>
          </cell>
          <cell r="AW575">
            <v>1614380</v>
          </cell>
          <cell r="AX575">
            <v>883317</v>
          </cell>
          <cell r="AY575">
            <v>3069462</v>
          </cell>
          <cell r="AZ575">
            <v>6013092</v>
          </cell>
          <cell r="BA575">
            <v>6388077</v>
          </cell>
          <cell r="BB575">
            <v>6388077</v>
          </cell>
        </row>
        <row r="576">
          <cell r="A576" t="str">
            <v>HARRIS TEETER</v>
          </cell>
          <cell r="B576">
            <v>61527</v>
          </cell>
          <cell r="C576">
            <v>113049</v>
          </cell>
          <cell r="D576">
            <v>162677</v>
          </cell>
          <cell r="E576">
            <v>211418</v>
          </cell>
          <cell r="F576">
            <v>50841</v>
          </cell>
          <cell r="G576">
            <v>140891</v>
          </cell>
          <cell r="H576">
            <v>196945</v>
          </cell>
          <cell r="I576">
            <v>246629</v>
          </cell>
          <cell r="J576">
            <v>51053</v>
          </cell>
          <cell r="K576">
            <v>105200</v>
          </cell>
          <cell r="L576">
            <v>162284</v>
          </cell>
          <cell r="M576">
            <v>216146</v>
          </cell>
          <cell r="N576">
            <v>56075</v>
          </cell>
          <cell r="O576">
            <v>139487</v>
          </cell>
          <cell r="P576">
            <v>193255</v>
          </cell>
          <cell r="Q576">
            <v>250722</v>
          </cell>
          <cell r="R576">
            <v>68039</v>
          </cell>
          <cell r="S576">
            <v>194622</v>
          </cell>
          <cell r="T576">
            <v>260210</v>
          </cell>
          <cell r="U576">
            <v>353199</v>
          </cell>
          <cell r="V576">
            <v>79489</v>
          </cell>
          <cell r="W576">
            <v>162120</v>
          </cell>
          <cell r="X576">
            <v>265109</v>
          </cell>
          <cell r="Y576">
            <v>425708</v>
          </cell>
          <cell r="Z576">
            <v>104840</v>
          </cell>
          <cell r="AA576">
            <v>182894</v>
          </cell>
          <cell r="AB576">
            <v>253334</v>
          </cell>
          <cell r="AC576">
            <v>324373</v>
          </cell>
          <cell r="AD576">
            <v>75558</v>
          </cell>
          <cell r="AE576">
            <v>149320</v>
          </cell>
          <cell r="AF576">
            <v>225188</v>
          </cell>
          <cell r="AG576">
            <v>300507</v>
          </cell>
          <cell r="AH576">
            <v>76751</v>
          </cell>
          <cell r="AI576">
            <v>154511</v>
          </cell>
          <cell r="AJ576">
            <v>227924</v>
          </cell>
          <cell r="AK576">
            <v>299465</v>
          </cell>
          <cell r="AL576">
            <v>72565</v>
          </cell>
          <cell r="AM576">
            <v>146143</v>
          </cell>
          <cell r="AN576">
            <v>217260</v>
          </cell>
          <cell r="AO576">
            <v>290080</v>
          </cell>
          <cell r="AP576">
            <v>70846</v>
          </cell>
          <cell r="AQ576">
            <v>145928</v>
          </cell>
          <cell r="AR576">
            <v>218760</v>
          </cell>
          <cell r="AS576">
            <v>294665</v>
          </cell>
          <cell r="AT576">
            <v>82580</v>
          </cell>
          <cell r="AU576">
            <v>171189</v>
          </cell>
          <cell r="AV576">
            <v>272705</v>
          </cell>
          <cell r="AW576">
            <v>455232</v>
          </cell>
          <cell r="AX576">
            <v>345707</v>
          </cell>
          <cell r="AY576">
            <v>1131740</v>
          </cell>
          <cell r="AZ576">
            <v>2077442</v>
          </cell>
          <cell r="BA576">
            <v>2175106</v>
          </cell>
          <cell r="BB576">
            <v>2175106</v>
          </cell>
        </row>
        <row r="577">
          <cell r="A577" t="str">
            <v>HY-VEE</v>
          </cell>
          <cell r="B577">
            <v>341218</v>
          </cell>
          <cell r="C577">
            <v>675219</v>
          </cell>
          <cell r="D577">
            <v>970809</v>
          </cell>
          <cell r="E577">
            <v>1277602</v>
          </cell>
          <cell r="F577">
            <v>257394</v>
          </cell>
          <cell r="G577">
            <v>669678</v>
          </cell>
          <cell r="H577">
            <v>969131</v>
          </cell>
          <cell r="I577">
            <v>1224010</v>
          </cell>
          <cell r="J577">
            <v>276996</v>
          </cell>
          <cell r="K577">
            <v>561385</v>
          </cell>
          <cell r="L577">
            <v>854910</v>
          </cell>
          <cell r="M577">
            <v>1134378</v>
          </cell>
          <cell r="N577">
            <v>262714</v>
          </cell>
          <cell r="O577">
            <v>625642</v>
          </cell>
          <cell r="P577">
            <v>890518</v>
          </cell>
          <cell r="Q577">
            <v>1170623</v>
          </cell>
          <cell r="R577">
            <v>302214</v>
          </cell>
          <cell r="S577">
            <v>767705</v>
          </cell>
          <cell r="T577">
            <v>1174875</v>
          </cell>
          <cell r="U577">
            <v>1504839</v>
          </cell>
          <cell r="V577">
            <v>333059</v>
          </cell>
          <cell r="W577">
            <v>669023</v>
          </cell>
          <cell r="X577">
            <v>1010549</v>
          </cell>
          <cell r="Y577">
            <v>1498314</v>
          </cell>
          <cell r="Z577">
            <v>359310</v>
          </cell>
          <cell r="AA577">
            <v>625853</v>
          </cell>
          <cell r="AB577">
            <v>880256</v>
          </cell>
          <cell r="AC577">
            <v>1160427</v>
          </cell>
          <cell r="AD577">
            <v>273076</v>
          </cell>
          <cell r="AE577">
            <v>556231</v>
          </cell>
          <cell r="AF577">
            <v>841273</v>
          </cell>
          <cell r="AG577">
            <v>1134601</v>
          </cell>
          <cell r="AH577">
            <v>284303</v>
          </cell>
          <cell r="AI577">
            <v>560825</v>
          </cell>
          <cell r="AJ577">
            <v>823902</v>
          </cell>
          <cell r="AK577">
            <v>1093799</v>
          </cell>
          <cell r="AL577">
            <v>261624</v>
          </cell>
          <cell r="AM577">
            <v>510062</v>
          </cell>
          <cell r="AN577">
            <v>756121</v>
          </cell>
          <cell r="AO577">
            <v>998985</v>
          </cell>
          <cell r="AP577">
            <v>246305</v>
          </cell>
          <cell r="AQ577">
            <v>520537</v>
          </cell>
          <cell r="AR577">
            <v>756235</v>
          </cell>
          <cell r="AS577">
            <v>1004265</v>
          </cell>
          <cell r="AT577">
            <v>261399</v>
          </cell>
          <cell r="AU577">
            <v>552298</v>
          </cell>
          <cell r="AV577">
            <v>902647</v>
          </cell>
          <cell r="AW577">
            <v>1814096</v>
          </cell>
          <cell r="AX577">
            <v>2207148</v>
          </cell>
          <cell r="AY577">
            <v>6523361</v>
          </cell>
          <cell r="AZ577">
            <v>11342937</v>
          </cell>
          <cell r="BA577">
            <v>11802557</v>
          </cell>
          <cell r="BB577">
            <v>11802557</v>
          </cell>
        </row>
        <row r="578">
          <cell r="A578" t="str">
            <v>INGLES MARKETS</v>
          </cell>
          <cell r="B578">
            <v>114002</v>
          </cell>
          <cell r="C578">
            <v>213097</v>
          </cell>
          <cell r="D578">
            <v>307922</v>
          </cell>
          <cell r="E578">
            <v>398894</v>
          </cell>
          <cell r="F578">
            <v>99152</v>
          </cell>
          <cell r="G578">
            <v>201618</v>
          </cell>
          <cell r="H578">
            <v>340174</v>
          </cell>
          <cell r="I578">
            <v>426635</v>
          </cell>
          <cell r="J578">
            <v>90868</v>
          </cell>
          <cell r="K578">
            <v>184475</v>
          </cell>
          <cell r="L578">
            <v>281160</v>
          </cell>
          <cell r="M578">
            <v>404307</v>
          </cell>
          <cell r="N578">
            <v>99267</v>
          </cell>
          <cell r="O578">
            <v>210039</v>
          </cell>
          <cell r="P578">
            <v>313616</v>
          </cell>
          <cell r="Q578">
            <v>412536</v>
          </cell>
          <cell r="R578">
            <v>111416</v>
          </cell>
          <cell r="S578">
            <v>228199</v>
          </cell>
          <cell r="T578">
            <v>404160</v>
          </cell>
          <cell r="U578">
            <v>545044</v>
          </cell>
          <cell r="V578">
            <v>154576</v>
          </cell>
          <cell r="W578">
            <v>289482</v>
          </cell>
          <cell r="X578">
            <v>435143</v>
          </cell>
          <cell r="Y578">
            <v>638348</v>
          </cell>
          <cell r="Z578">
            <v>155571</v>
          </cell>
          <cell r="AA578">
            <v>270566</v>
          </cell>
          <cell r="AB578">
            <v>383945</v>
          </cell>
          <cell r="AC578">
            <v>499907</v>
          </cell>
          <cell r="AD578">
            <v>105333</v>
          </cell>
          <cell r="AE578">
            <v>219172</v>
          </cell>
          <cell r="AF578">
            <v>331849</v>
          </cell>
          <cell r="AG578">
            <v>454128</v>
          </cell>
          <cell r="AH578">
            <v>113577</v>
          </cell>
          <cell r="AI578">
            <v>230441</v>
          </cell>
          <cell r="AJ578">
            <v>339700</v>
          </cell>
          <cell r="AK578">
            <v>445934</v>
          </cell>
          <cell r="AL578">
            <v>119592</v>
          </cell>
          <cell r="AM578">
            <v>237039</v>
          </cell>
          <cell r="AN578">
            <v>341834</v>
          </cell>
          <cell r="AO578">
            <v>449419</v>
          </cell>
          <cell r="AP578">
            <v>116225</v>
          </cell>
          <cell r="AQ578">
            <v>258287</v>
          </cell>
          <cell r="AR578">
            <v>370923</v>
          </cell>
          <cell r="AS578">
            <v>489041</v>
          </cell>
          <cell r="AT578">
            <v>116822</v>
          </cell>
          <cell r="AU578">
            <v>230278</v>
          </cell>
          <cell r="AV578">
            <v>347313</v>
          </cell>
          <cell r="AW578">
            <v>525425</v>
          </cell>
          <cell r="AX578">
            <v>215293</v>
          </cell>
          <cell r="AY578">
            <v>521929</v>
          </cell>
          <cell r="AZ578">
            <v>1202848</v>
          </cell>
          <cell r="BA578">
            <v>2055606</v>
          </cell>
          <cell r="BB578">
            <v>2055606</v>
          </cell>
        </row>
        <row r="579">
          <cell r="A579" t="str">
            <v>KATZ</v>
          </cell>
          <cell r="B579">
            <v>108644</v>
          </cell>
          <cell r="C579">
            <v>215395</v>
          </cell>
          <cell r="D579">
            <v>316113</v>
          </cell>
          <cell r="E579">
            <v>423791</v>
          </cell>
          <cell r="F579">
            <v>100737</v>
          </cell>
          <cell r="G579">
            <v>270897</v>
          </cell>
          <cell r="H579">
            <v>383913</v>
          </cell>
          <cell r="I579">
            <v>485854</v>
          </cell>
          <cell r="J579">
            <v>97309</v>
          </cell>
          <cell r="K579">
            <v>203212</v>
          </cell>
          <cell r="L579">
            <v>319471</v>
          </cell>
          <cell r="M579">
            <v>426808</v>
          </cell>
          <cell r="N579">
            <v>116496</v>
          </cell>
          <cell r="O579">
            <v>281252</v>
          </cell>
          <cell r="P579">
            <v>393117</v>
          </cell>
          <cell r="Q579">
            <v>519985</v>
          </cell>
          <cell r="R579">
            <v>130375</v>
          </cell>
          <cell r="S579">
            <v>347180</v>
          </cell>
          <cell r="T579">
            <v>510972</v>
          </cell>
          <cell r="U579">
            <v>658907</v>
          </cell>
          <cell r="V579">
            <v>161375</v>
          </cell>
          <cell r="W579">
            <v>326030</v>
          </cell>
          <cell r="X579">
            <v>528919</v>
          </cell>
          <cell r="Y579">
            <v>788142</v>
          </cell>
          <cell r="Z579">
            <v>213453</v>
          </cell>
          <cell r="AA579">
            <v>435407</v>
          </cell>
          <cell r="AB579">
            <v>566570</v>
          </cell>
          <cell r="AC579">
            <v>696082</v>
          </cell>
          <cell r="AD579">
            <v>147145</v>
          </cell>
          <cell r="AE579">
            <v>295051</v>
          </cell>
          <cell r="AF579">
            <v>443374</v>
          </cell>
          <cell r="AG579">
            <v>599271</v>
          </cell>
          <cell r="AH579">
            <v>162095</v>
          </cell>
          <cell r="AI579">
            <v>328574</v>
          </cell>
          <cell r="AJ579">
            <v>496995</v>
          </cell>
          <cell r="AK579">
            <v>658021</v>
          </cell>
          <cell r="AL579">
            <v>168874</v>
          </cell>
          <cell r="AM579">
            <v>336784</v>
          </cell>
          <cell r="AN579">
            <v>502240</v>
          </cell>
          <cell r="AO579">
            <v>669144</v>
          </cell>
          <cell r="AP579">
            <v>164943</v>
          </cell>
          <cell r="AQ579">
            <v>315389</v>
          </cell>
          <cell r="AR579">
            <v>458925</v>
          </cell>
          <cell r="AS579">
            <v>610657</v>
          </cell>
          <cell r="AT579">
            <v>144986</v>
          </cell>
          <cell r="AU579">
            <v>319989</v>
          </cell>
          <cell r="AV579">
            <v>550520</v>
          </cell>
          <cell r="AW579">
            <v>998873</v>
          </cell>
          <cell r="AX579">
            <v>728997</v>
          </cell>
          <cell r="AY579">
            <v>2126775</v>
          </cell>
          <cell r="AZ579">
            <v>3692721</v>
          </cell>
          <cell r="BA579">
            <v>4006275</v>
          </cell>
          <cell r="BB579">
            <v>4006275</v>
          </cell>
        </row>
        <row r="580">
          <cell r="A580" t="str">
            <v>KING KULLEN</v>
          </cell>
          <cell r="B580">
            <v>109174</v>
          </cell>
          <cell r="C580">
            <v>195092</v>
          </cell>
          <cell r="D580">
            <v>278007</v>
          </cell>
          <cell r="E580">
            <v>353604</v>
          </cell>
          <cell r="F580">
            <v>76803</v>
          </cell>
          <cell r="G580">
            <v>163337</v>
          </cell>
          <cell r="H580">
            <v>264368</v>
          </cell>
          <cell r="I580">
            <v>337332</v>
          </cell>
          <cell r="J580">
            <v>87420</v>
          </cell>
          <cell r="K580">
            <v>175253</v>
          </cell>
          <cell r="L580">
            <v>273151</v>
          </cell>
          <cell r="M580">
            <v>411336</v>
          </cell>
          <cell r="N580">
            <v>72696</v>
          </cell>
          <cell r="O580">
            <v>159418</v>
          </cell>
          <cell r="P580">
            <v>243962</v>
          </cell>
          <cell r="Q580">
            <v>338756</v>
          </cell>
          <cell r="R580">
            <v>88640</v>
          </cell>
          <cell r="S580">
            <v>183059</v>
          </cell>
          <cell r="T580">
            <v>347630</v>
          </cell>
          <cell r="U580">
            <v>471525</v>
          </cell>
          <cell r="V580">
            <v>104414</v>
          </cell>
          <cell r="W580">
            <v>201127</v>
          </cell>
          <cell r="X580">
            <v>330748</v>
          </cell>
          <cell r="Y580">
            <v>564018</v>
          </cell>
          <cell r="Z580">
            <v>216045</v>
          </cell>
          <cell r="AA580">
            <v>435370</v>
          </cell>
          <cell r="AB580">
            <v>547268</v>
          </cell>
          <cell r="AC580">
            <v>653321</v>
          </cell>
          <cell r="AD580">
            <v>111719</v>
          </cell>
          <cell r="AE580">
            <v>215380</v>
          </cell>
          <cell r="AF580">
            <v>320839</v>
          </cell>
          <cell r="AG580">
            <v>426208</v>
          </cell>
          <cell r="AH580">
            <v>111004</v>
          </cell>
          <cell r="AI580">
            <v>215903</v>
          </cell>
          <cell r="AJ580">
            <v>311081</v>
          </cell>
          <cell r="AK580">
            <v>397366</v>
          </cell>
          <cell r="AL580">
            <v>90562</v>
          </cell>
          <cell r="AM580">
            <v>183682</v>
          </cell>
          <cell r="AN580">
            <v>270414</v>
          </cell>
          <cell r="AO580">
            <v>371316</v>
          </cell>
          <cell r="AP580">
            <v>91309</v>
          </cell>
          <cell r="AQ580">
            <v>188264</v>
          </cell>
          <cell r="AR580">
            <v>280507</v>
          </cell>
          <cell r="AS580">
            <v>370465</v>
          </cell>
          <cell r="AT580">
            <v>93835</v>
          </cell>
          <cell r="AU580">
            <v>190673</v>
          </cell>
          <cell r="AV580">
            <v>298531</v>
          </cell>
          <cell r="AW580">
            <v>418629</v>
          </cell>
          <cell r="AX580">
            <v>172669</v>
          </cell>
          <cell r="AY580">
            <v>476347</v>
          </cell>
          <cell r="AZ580">
            <v>1251654</v>
          </cell>
          <cell r="BA580">
            <v>2418054</v>
          </cell>
          <cell r="BB580">
            <v>2418054</v>
          </cell>
        </row>
        <row r="581">
          <cell r="A581" t="str">
            <v>KMART</v>
          </cell>
          <cell r="B581">
            <v>951410</v>
          </cell>
          <cell r="C581">
            <v>1898833</v>
          </cell>
          <cell r="D581">
            <v>2746543</v>
          </cell>
          <cell r="E581">
            <v>3607187</v>
          </cell>
          <cell r="F581">
            <v>957907</v>
          </cell>
          <cell r="G581">
            <v>2115522</v>
          </cell>
          <cell r="H581">
            <v>3136970</v>
          </cell>
          <cell r="I581">
            <v>4037261</v>
          </cell>
          <cell r="J581">
            <v>933515</v>
          </cell>
          <cell r="K581">
            <v>1880542</v>
          </cell>
          <cell r="L581">
            <v>2834144</v>
          </cell>
          <cell r="M581">
            <v>3766256</v>
          </cell>
          <cell r="N581">
            <v>883070</v>
          </cell>
          <cell r="O581">
            <v>2175153</v>
          </cell>
          <cell r="P581">
            <v>3084867</v>
          </cell>
          <cell r="Q581">
            <v>3998682</v>
          </cell>
          <cell r="R581">
            <v>882778</v>
          </cell>
          <cell r="S581">
            <v>2149924</v>
          </cell>
          <cell r="T581">
            <v>3173989</v>
          </cell>
          <cell r="U581">
            <v>4170276</v>
          </cell>
          <cell r="V581">
            <v>976271</v>
          </cell>
          <cell r="W581">
            <v>1975355</v>
          </cell>
          <cell r="X581">
            <v>3135268</v>
          </cell>
          <cell r="Y581">
            <v>4629157</v>
          </cell>
          <cell r="Z581">
            <v>1125713</v>
          </cell>
          <cell r="AA581">
            <v>2028967</v>
          </cell>
          <cell r="AB581">
            <v>2896833</v>
          </cell>
          <cell r="AC581">
            <v>3852883</v>
          </cell>
          <cell r="AD581">
            <v>924846</v>
          </cell>
          <cell r="AE581">
            <v>1808128</v>
          </cell>
          <cell r="AF581">
            <v>2741740</v>
          </cell>
          <cell r="AG581">
            <v>3654379</v>
          </cell>
          <cell r="AH581">
            <v>887305</v>
          </cell>
          <cell r="AI581">
            <v>1744820</v>
          </cell>
          <cell r="AJ581">
            <v>2607417</v>
          </cell>
          <cell r="AK581">
            <v>3459029</v>
          </cell>
          <cell r="AL581">
            <v>792043</v>
          </cell>
          <cell r="AM581">
            <v>1579630</v>
          </cell>
          <cell r="AN581">
            <v>2341596</v>
          </cell>
          <cell r="AO581">
            <v>3215750</v>
          </cell>
          <cell r="AP581">
            <v>865458</v>
          </cell>
          <cell r="AQ581">
            <v>1713867</v>
          </cell>
          <cell r="AR581">
            <v>2631579</v>
          </cell>
          <cell r="AS581">
            <v>3477312</v>
          </cell>
          <cell r="AT581">
            <v>949422</v>
          </cell>
          <cell r="AU581">
            <v>1978704</v>
          </cell>
          <cell r="AV581">
            <v>3111502</v>
          </cell>
          <cell r="AW581">
            <v>4995781</v>
          </cell>
          <cell r="AX581">
            <v>2806254</v>
          </cell>
          <cell r="AY581">
            <v>7941203</v>
          </cell>
          <cell r="AZ581">
            <v>14356572</v>
          </cell>
          <cell r="BA581">
            <v>15921367</v>
          </cell>
          <cell r="BB581">
            <v>15921367</v>
          </cell>
        </row>
        <row r="582">
          <cell r="A582" t="str">
            <v>KOHLS</v>
          </cell>
          <cell r="B582">
            <v>252117</v>
          </cell>
          <cell r="C582">
            <v>458941</v>
          </cell>
          <cell r="D582">
            <v>644925</v>
          </cell>
          <cell r="E582">
            <v>837675</v>
          </cell>
          <cell r="F582">
            <v>206898</v>
          </cell>
          <cell r="G582">
            <v>550933</v>
          </cell>
          <cell r="H582">
            <v>776114</v>
          </cell>
          <cell r="I582">
            <v>973621</v>
          </cell>
          <cell r="J582">
            <v>187238</v>
          </cell>
          <cell r="K582">
            <v>385712</v>
          </cell>
          <cell r="L582">
            <v>602065</v>
          </cell>
          <cell r="M582">
            <v>801069</v>
          </cell>
          <cell r="N582">
            <v>197901</v>
          </cell>
          <cell r="O582">
            <v>574681</v>
          </cell>
          <cell r="P582">
            <v>762302</v>
          </cell>
          <cell r="Q582">
            <v>959825</v>
          </cell>
          <cell r="R582">
            <v>198872</v>
          </cell>
          <cell r="S582">
            <v>615610</v>
          </cell>
          <cell r="T582">
            <v>843104</v>
          </cell>
          <cell r="U582">
            <v>1128290</v>
          </cell>
          <cell r="V582">
            <v>248139</v>
          </cell>
          <cell r="W582">
            <v>493424</v>
          </cell>
          <cell r="X582">
            <v>791769</v>
          </cell>
          <cell r="Y582">
            <v>1342602</v>
          </cell>
          <cell r="Z582">
            <v>345445</v>
          </cell>
          <cell r="AA582">
            <v>573367</v>
          </cell>
          <cell r="AB582">
            <v>794455</v>
          </cell>
          <cell r="AC582">
            <v>1006638</v>
          </cell>
          <cell r="AD582">
            <v>218521</v>
          </cell>
          <cell r="AE582">
            <v>431141</v>
          </cell>
          <cell r="AF582">
            <v>645211</v>
          </cell>
          <cell r="AG582">
            <v>868868</v>
          </cell>
          <cell r="AH582">
            <v>210900</v>
          </cell>
          <cell r="AI582">
            <v>415026</v>
          </cell>
          <cell r="AJ582">
            <v>619601</v>
          </cell>
          <cell r="AK582">
            <v>813398</v>
          </cell>
          <cell r="AL582">
            <v>228054</v>
          </cell>
          <cell r="AM582">
            <v>453800</v>
          </cell>
          <cell r="AN582">
            <v>677448</v>
          </cell>
          <cell r="AO582">
            <v>942910</v>
          </cell>
          <cell r="AP582">
            <v>278298</v>
          </cell>
          <cell r="AQ582">
            <v>560083</v>
          </cell>
          <cell r="AR582">
            <v>879174</v>
          </cell>
          <cell r="AS582">
            <v>1237813</v>
          </cell>
          <cell r="AT582">
            <v>426724</v>
          </cell>
          <cell r="AU582">
            <v>1121909</v>
          </cell>
          <cell r="AV582">
            <v>2512667</v>
          </cell>
          <cell r="AW582">
            <v>4748880</v>
          </cell>
          <cell r="AX582">
            <v>3661525</v>
          </cell>
          <cell r="AY582">
            <v>9099236</v>
          </cell>
          <cell r="AZ582">
            <v>17225616</v>
          </cell>
          <cell r="BA582">
            <v>18505222</v>
          </cell>
          <cell r="BB582">
            <v>18505222</v>
          </cell>
        </row>
        <row r="583">
          <cell r="A583" t="str">
            <v>KROGER</v>
          </cell>
          <cell r="B583">
            <v>6209298</v>
          </cell>
          <cell r="C583">
            <v>12303557</v>
          </cell>
          <cell r="D583">
            <v>17829552</v>
          </cell>
          <cell r="E583">
            <v>23243690</v>
          </cell>
          <cell r="F583">
            <v>5791562</v>
          </cell>
          <cell r="G583">
            <v>14566329</v>
          </cell>
          <cell r="H583">
            <v>20780711</v>
          </cell>
          <cell r="I583">
            <v>26494938</v>
          </cell>
          <cell r="J583">
            <v>5914236</v>
          </cell>
          <cell r="K583">
            <v>11866382</v>
          </cell>
          <cell r="L583">
            <v>18159643</v>
          </cell>
          <cell r="M583">
            <v>24358636</v>
          </cell>
          <cell r="N583">
            <v>5981973</v>
          </cell>
          <cell r="O583">
            <v>14394404</v>
          </cell>
          <cell r="P583">
            <v>20497349</v>
          </cell>
          <cell r="Q583">
            <v>27015105</v>
          </cell>
          <cell r="R583">
            <v>7305918</v>
          </cell>
          <cell r="S583">
            <v>20706074</v>
          </cell>
          <cell r="T583">
            <v>31050023</v>
          </cell>
          <cell r="U583">
            <v>38882623</v>
          </cell>
          <cell r="V583">
            <v>9881236</v>
          </cell>
          <cell r="W583">
            <v>19711362</v>
          </cell>
          <cell r="X583">
            <v>30799785</v>
          </cell>
          <cell r="Y583">
            <v>46874898</v>
          </cell>
          <cell r="Z583">
            <v>10121169</v>
          </cell>
          <cell r="AA583">
            <v>17116004</v>
          </cell>
          <cell r="AB583">
            <v>24228726</v>
          </cell>
          <cell r="AC583">
            <v>31263845</v>
          </cell>
          <cell r="AD583">
            <v>7216169</v>
          </cell>
          <cell r="AE583">
            <v>14167626</v>
          </cell>
          <cell r="AF583">
            <v>21591355</v>
          </cell>
          <cell r="AG583">
            <v>28580379</v>
          </cell>
          <cell r="AH583">
            <v>6640605</v>
          </cell>
          <cell r="AI583">
            <v>13007187</v>
          </cell>
          <cell r="AJ583">
            <v>18871423</v>
          </cell>
          <cell r="AK583">
            <v>24430353</v>
          </cell>
          <cell r="AL583">
            <v>5348581</v>
          </cell>
          <cell r="AM583">
            <v>10681000</v>
          </cell>
          <cell r="AN583">
            <v>15968744</v>
          </cell>
          <cell r="AO583">
            <v>21791083</v>
          </cell>
          <cell r="AP583">
            <v>6071320</v>
          </cell>
          <cell r="AQ583">
            <v>13254947</v>
          </cell>
          <cell r="AR583">
            <v>19944421</v>
          </cell>
          <cell r="AS583">
            <v>27080012</v>
          </cell>
          <cell r="AT583">
            <v>6722151</v>
          </cell>
          <cell r="AU583">
            <v>14084882</v>
          </cell>
          <cell r="AV583">
            <v>22949520</v>
          </cell>
          <cell r="AW583">
            <v>40468263</v>
          </cell>
          <cell r="AX583">
            <v>31428357</v>
          </cell>
          <cell r="AY583">
            <v>99529818</v>
          </cell>
          <cell r="AZ583">
            <v>183227595</v>
          </cell>
          <cell r="BA583">
            <v>194909715</v>
          </cell>
          <cell r="BB583">
            <v>194909715</v>
          </cell>
        </row>
        <row r="584">
          <cell r="A584" t="str">
            <v>KROGER C</v>
          </cell>
          <cell r="B584">
            <v>514170</v>
          </cell>
          <cell r="C584">
            <v>972926</v>
          </cell>
          <cell r="D584">
            <v>1420747</v>
          </cell>
          <cell r="E584">
            <v>1853032</v>
          </cell>
          <cell r="F584">
            <v>506738</v>
          </cell>
          <cell r="G584">
            <v>1021861</v>
          </cell>
          <cell r="H584">
            <v>1508733</v>
          </cell>
          <cell r="I584">
            <v>1972755</v>
          </cell>
          <cell r="J584">
            <v>484346</v>
          </cell>
          <cell r="K584">
            <v>976840</v>
          </cell>
          <cell r="L584">
            <v>1475012</v>
          </cell>
          <cell r="M584">
            <v>2011674</v>
          </cell>
          <cell r="N584">
            <v>524726</v>
          </cell>
          <cell r="O584">
            <v>1063132</v>
          </cell>
          <cell r="P584">
            <v>1586109</v>
          </cell>
          <cell r="Q584">
            <v>2108241</v>
          </cell>
          <cell r="R584">
            <v>528038</v>
          </cell>
          <cell r="S584">
            <v>1070159</v>
          </cell>
          <cell r="T584">
            <v>1635429</v>
          </cell>
          <cell r="U584">
            <v>2169402</v>
          </cell>
          <cell r="V584">
            <v>535584</v>
          </cell>
          <cell r="W584">
            <v>1078615</v>
          </cell>
          <cell r="X584">
            <v>1653675</v>
          </cell>
          <cell r="Y584">
            <v>2292475</v>
          </cell>
          <cell r="Z584">
            <v>650993</v>
          </cell>
          <cell r="AA584">
            <v>1214962</v>
          </cell>
          <cell r="AB584">
            <v>1807506</v>
          </cell>
          <cell r="AC584">
            <v>2384171</v>
          </cell>
          <cell r="AD584">
            <v>560506</v>
          </cell>
          <cell r="AE584">
            <v>1105335</v>
          </cell>
          <cell r="AF584">
            <v>1675434</v>
          </cell>
          <cell r="AG584">
            <v>2220295</v>
          </cell>
          <cell r="AH584">
            <v>520054</v>
          </cell>
          <cell r="AI584">
            <v>1057907</v>
          </cell>
          <cell r="AJ584">
            <v>1589494</v>
          </cell>
          <cell r="AK584">
            <v>2116248</v>
          </cell>
          <cell r="AL584">
            <v>515845</v>
          </cell>
          <cell r="AM584">
            <v>1018156</v>
          </cell>
          <cell r="AN584">
            <v>1514409</v>
          </cell>
          <cell r="AO584">
            <v>2067871</v>
          </cell>
          <cell r="AP584">
            <v>524945</v>
          </cell>
          <cell r="AQ584">
            <v>1053969</v>
          </cell>
          <cell r="AR584">
            <v>1567213</v>
          </cell>
          <cell r="AS584">
            <v>2108708</v>
          </cell>
          <cell r="AT584">
            <v>566660</v>
          </cell>
          <cell r="AU584">
            <v>1103381</v>
          </cell>
          <cell r="AV584">
            <v>1652203</v>
          </cell>
          <cell r="AW584">
            <v>2204014</v>
          </cell>
          <cell r="AX584">
            <v>585794</v>
          </cell>
          <cell r="AY584">
            <v>1356350</v>
          </cell>
          <cell r="AZ584">
            <v>3697869</v>
          </cell>
          <cell r="BA584">
            <v>5150109</v>
          </cell>
          <cell r="BB584">
            <v>5150109</v>
          </cell>
        </row>
        <row r="585">
          <cell r="A585" t="str">
            <v>LOBLAWS - CANADA</v>
          </cell>
          <cell r="B585">
            <v>153766</v>
          </cell>
          <cell r="C585">
            <v>287882</v>
          </cell>
          <cell r="D585">
            <v>467398</v>
          </cell>
          <cell r="E585">
            <v>650700</v>
          </cell>
          <cell r="F585">
            <v>183093</v>
          </cell>
          <cell r="G585">
            <v>453600</v>
          </cell>
          <cell r="H585">
            <v>648579</v>
          </cell>
          <cell r="I585">
            <v>839276</v>
          </cell>
          <cell r="J585">
            <v>193878</v>
          </cell>
          <cell r="K585">
            <v>404836</v>
          </cell>
          <cell r="L585">
            <v>615901</v>
          </cell>
          <cell r="M585">
            <v>837086</v>
          </cell>
          <cell r="N585">
            <v>236435</v>
          </cell>
          <cell r="O585">
            <v>556497</v>
          </cell>
          <cell r="P585">
            <v>814346</v>
          </cell>
          <cell r="Q585">
            <v>1106243</v>
          </cell>
          <cell r="R585">
            <v>336136</v>
          </cell>
          <cell r="S585">
            <v>825581</v>
          </cell>
          <cell r="T585">
            <v>1193388</v>
          </cell>
          <cell r="U585">
            <v>1527813</v>
          </cell>
          <cell r="V585">
            <v>370720</v>
          </cell>
          <cell r="W585">
            <v>771045</v>
          </cell>
          <cell r="X585">
            <v>1238159</v>
          </cell>
          <cell r="Y585">
            <v>1884169</v>
          </cell>
          <cell r="Z585">
            <v>599686</v>
          </cell>
          <cell r="AA585">
            <v>926705</v>
          </cell>
          <cell r="AB585">
            <v>1449038</v>
          </cell>
          <cell r="AC585">
            <v>1783206</v>
          </cell>
          <cell r="AD585">
            <v>345468</v>
          </cell>
          <cell r="AE585">
            <v>680548</v>
          </cell>
          <cell r="AF585">
            <v>1023578</v>
          </cell>
          <cell r="AG585">
            <v>1368016</v>
          </cell>
          <cell r="AH585">
            <v>370810</v>
          </cell>
          <cell r="AI585">
            <v>940406</v>
          </cell>
          <cell r="AJ585">
            <v>1322447</v>
          </cell>
          <cell r="AK585">
            <v>1787428</v>
          </cell>
          <cell r="AL585">
            <v>497388</v>
          </cell>
          <cell r="AM585">
            <v>1033770</v>
          </cell>
          <cell r="AN585">
            <v>1544183</v>
          </cell>
          <cell r="AO585">
            <v>2169727</v>
          </cell>
          <cell r="AP585">
            <v>589920</v>
          </cell>
          <cell r="AQ585">
            <v>1157977</v>
          </cell>
          <cell r="AR585">
            <v>1751894</v>
          </cell>
          <cell r="AS585">
            <v>2354378</v>
          </cell>
          <cell r="AT585">
            <v>828132</v>
          </cell>
          <cell r="AU585">
            <v>1743060</v>
          </cell>
          <cell r="AV585">
            <v>3397565</v>
          </cell>
          <cell r="AW585">
            <v>5764793</v>
          </cell>
          <cell r="AX585">
            <v>4014008</v>
          </cell>
          <cell r="AY585">
            <v>11598814</v>
          </cell>
          <cell r="AZ585">
            <v>19763383</v>
          </cell>
          <cell r="BA585">
            <v>20685939</v>
          </cell>
          <cell r="BB585">
            <v>20685939</v>
          </cell>
        </row>
        <row r="586">
          <cell r="A586" t="str">
            <v>LOWES</v>
          </cell>
          <cell r="B586">
            <v>102788</v>
          </cell>
          <cell r="C586">
            <v>192317</v>
          </cell>
          <cell r="D586">
            <v>281925</v>
          </cell>
          <cell r="E586">
            <v>359951</v>
          </cell>
          <cell r="F586">
            <v>97829</v>
          </cell>
          <cell r="G586">
            <v>195543</v>
          </cell>
          <cell r="H586">
            <v>339844</v>
          </cell>
          <cell r="I586">
            <v>430061</v>
          </cell>
          <cell r="J586">
            <v>91076</v>
          </cell>
          <cell r="K586">
            <v>190733</v>
          </cell>
          <cell r="L586">
            <v>292209</v>
          </cell>
          <cell r="M586">
            <v>425046</v>
          </cell>
          <cell r="N586">
            <v>94996</v>
          </cell>
          <cell r="O586">
            <v>200122</v>
          </cell>
          <cell r="P586">
            <v>296918</v>
          </cell>
          <cell r="Q586">
            <v>409213</v>
          </cell>
          <cell r="R586">
            <v>137976</v>
          </cell>
          <cell r="S586">
            <v>278126</v>
          </cell>
          <cell r="T586">
            <v>529998</v>
          </cell>
          <cell r="U586">
            <v>687555</v>
          </cell>
          <cell r="V586">
            <v>142277</v>
          </cell>
          <cell r="W586">
            <v>285975</v>
          </cell>
          <cell r="X586">
            <v>476276</v>
          </cell>
          <cell r="Y586">
            <v>748042</v>
          </cell>
          <cell r="Z586">
            <v>150270</v>
          </cell>
          <cell r="AA586">
            <v>272464</v>
          </cell>
          <cell r="AB586">
            <v>377985</v>
          </cell>
          <cell r="AC586">
            <v>487147</v>
          </cell>
          <cell r="AD586">
            <v>112844</v>
          </cell>
          <cell r="AE586">
            <v>224835</v>
          </cell>
          <cell r="AF586">
            <v>335726</v>
          </cell>
          <cell r="AG586">
            <v>449401</v>
          </cell>
          <cell r="AH586">
            <v>108317</v>
          </cell>
          <cell r="AI586">
            <v>219774</v>
          </cell>
          <cell r="AJ586">
            <v>328641</v>
          </cell>
          <cell r="AK586">
            <v>432200</v>
          </cell>
          <cell r="AL586">
            <v>105081</v>
          </cell>
          <cell r="AM586">
            <v>214377</v>
          </cell>
          <cell r="AN586">
            <v>321786</v>
          </cell>
          <cell r="AO586">
            <v>428783</v>
          </cell>
          <cell r="AP586">
            <v>108123</v>
          </cell>
          <cell r="AQ586">
            <v>223153</v>
          </cell>
          <cell r="AR586">
            <v>336213</v>
          </cell>
          <cell r="AS586">
            <v>440838</v>
          </cell>
          <cell r="AT586">
            <v>108020</v>
          </cell>
          <cell r="AU586">
            <v>217956</v>
          </cell>
          <cell r="AV586">
            <v>339925</v>
          </cell>
          <cell r="AW586">
            <v>467360</v>
          </cell>
          <cell r="AX586">
            <v>176781</v>
          </cell>
          <cell r="AY586">
            <v>521656</v>
          </cell>
          <cell r="AZ586">
            <v>1308494</v>
          </cell>
          <cell r="BA586">
            <v>2154372</v>
          </cell>
          <cell r="BB586">
            <v>2154372</v>
          </cell>
        </row>
        <row r="587">
          <cell r="A587" t="str">
            <v>MEIJER</v>
          </cell>
          <cell r="B587">
            <v>305683</v>
          </cell>
          <cell r="C587">
            <v>612889</v>
          </cell>
          <cell r="D587">
            <v>874918</v>
          </cell>
          <cell r="E587">
            <v>1119485</v>
          </cell>
          <cell r="F587">
            <v>233269</v>
          </cell>
          <cell r="G587">
            <v>595818</v>
          </cell>
          <cell r="H587">
            <v>859257</v>
          </cell>
          <cell r="I587">
            <v>1096690</v>
          </cell>
          <cell r="J587">
            <v>274360</v>
          </cell>
          <cell r="K587">
            <v>564032</v>
          </cell>
          <cell r="L587">
            <v>867678</v>
          </cell>
          <cell r="M587">
            <v>1152788</v>
          </cell>
          <cell r="N587">
            <v>261453</v>
          </cell>
          <cell r="O587">
            <v>786473</v>
          </cell>
          <cell r="P587">
            <v>1064648</v>
          </cell>
          <cell r="Q587">
            <v>1350840</v>
          </cell>
          <cell r="R587">
            <v>321503</v>
          </cell>
          <cell r="S587">
            <v>947812</v>
          </cell>
          <cell r="T587">
            <v>1403117</v>
          </cell>
          <cell r="U587">
            <v>1758978</v>
          </cell>
          <cell r="V587">
            <v>421298</v>
          </cell>
          <cell r="W587">
            <v>849682</v>
          </cell>
          <cell r="X587">
            <v>1397949</v>
          </cell>
          <cell r="Y587">
            <v>2155780</v>
          </cell>
          <cell r="Z587">
            <v>466549</v>
          </cell>
          <cell r="AA587">
            <v>817308</v>
          </cell>
          <cell r="AB587">
            <v>1131334</v>
          </cell>
          <cell r="AC587">
            <v>1450065</v>
          </cell>
          <cell r="AD587">
            <v>322560</v>
          </cell>
          <cell r="AE587">
            <v>657177</v>
          </cell>
          <cell r="AF587">
            <v>1002971</v>
          </cell>
          <cell r="AG587">
            <v>1335807</v>
          </cell>
          <cell r="AH587">
            <v>321715</v>
          </cell>
          <cell r="AI587">
            <v>674312</v>
          </cell>
          <cell r="AJ587">
            <v>1004051</v>
          </cell>
          <cell r="AK587">
            <v>1333453</v>
          </cell>
          <cell r="AL587">
            <v>328386</v>
          </cell>
          <cell r="AM587">
            <v>708363</v>
          </cell>
          <cell r="AN587">
            <v>1036060</v>
          </cell>
          <cell r="AO587">
            <v>1354864</v>
          </cell>
          <cell r="AP587">
            <v>331560</v>
          </cell>
          <cell r="AQ587">
            <v>703179</v>
          </cell>
          <cell r="AR587">
            <v>1051700</v>
          </cell>
          <cell r="AS587">
            <v>1410111</v>
          </cell>
          <cell r="AT587">
            <v>403013</v>
          </cell>
          <cell r="AU587">
            <v>888247</v>
          </cell>
          <cell r="AV587">
            <v>1522409</v>
          </cell>
          <cell r="AW587">
            <v>2690268</v>
          </cell>
          <cell r="AX587">
            <v>2306765</v>
          </cell>
          <cell r="AY587">
            <v>7198939</v>
          </cell>
          <cell r="AZ587">
            <v>13508116</v>
          </cell>
          <cell r="BA587">
            <v>14303395</v>
          </cell>
          <cell r="BB587">
            <v>14303395</v>
          </cell>
        </row>
        <row r="588">
          <cell r="A588" t="str">
            <v>METRO ONTARIO - CANADA</v>
          </cell>
          <cell r="B588">
            <v>117774</v>
          </cell>
          <cell r="C588">
            <v>234316</v>
          </cell>
          <cell r="D588">
            <v>341934</v>
          </cell>
          <cell r="E588">
            <v>448102</v>
          </cell>
          <cell r="F588">
            <v>135436</v>
          </cell>
          <cell r="G588">
            <v>330795</v>
          </cell>
          <cell r="H588">
            <v>465371</v>
          </cell>
          <cell r="I588">
            <v>599826</v>
          </cell>
          <cell r="J588">
            <v>122653</v>
          </cell>
          <cell r="K588">
            <v>244257</v>
          </cell>
          <cell r="L588">
            <v>382898</v>
          </cell>
          <cell r="M588">
            <v>510549</v>
          </cell>
          <cell r="N588">
            <v>129089</v>
          </cell>
          <cell r="O588">
            <v>321196</v>
          </cell>
          <cell r="P588">
            <v>432861</v>
          </cell>
          <cell r="Q588">
            <v>567243</v>
          </cell>
          <cell r="R588">
            <v>159997</v>
          </cell>
          <cell r="S588">
            <v>407691</v>
          </cell>
          <cell r="T588">
            <v>609630</v>
          </cell>
          <cell r="U588">
            <v>793707</v>
          </cell>
          <cell r="V588">
            <v>170502</v>
          </cell>
          <cell r="W588">
            <v>339515</v>
          </cell>
          <cell r="X588">
            <v>541615</v>
          </cell>
          <cell r="Y588">
            <v>826662</v>
          </cell>
          <cell r="Z588">
            <v>230985</v>
          </cell>
          <cell r="AA588">
            <v>504724</v>
          </cell>
          <cell r="AB588">
            <v>650282</v>
          </cell>
          <cell r="AC588">
            <v>786820</v>
          </cell>
          <cell r="AD588">
            <v>152243</v>
          </cell>
          <cell r="AE588">
            <v>307053</v>
          </cell>
          <cell r="AF588">
            <v>457150</v>
          </cell>
          <cell r="AG588">
            <v>606243</v>
          </cell>
          <cell r="AH588">
            <v>156676</v>
          </cell>
          <cell r="AI588">
            <v>317847</v>
          </cell>
          <cell r="AJ588">
            <v>475309</v>
          </cell>
          <cell r="AK588">
            <v>619006</v>
          </cell>
          <cell r="AL588">
            <v>156379</v>
          </cell>
          <cell r="AM588">
            <v>314390</v>
          </cell>
          <cell r="AN588">
            <v>461265</v>
          </cell>
          <cell r="AO588">
            <v>613360</v>
          </cell>
          <cell r="AP588">
            <v>174342</v>
          </cell>
          <cell r="AQ588">
            <v>311039</v>
          </cell>
          <cell r="AR588">
            <v>458764</v>
          </cell>
          <cell r="AS588">
            <v>601375</v>
          </cell>
          <cell r="AT588">
            <v>163910</v>
          </cell>
          <cell r="AU588">
            <v>357238</v>
          </cell>
          <cell r="AV588">
            <v>579445</v>
          </cell>
          <cell r="AW588">
            <v>971756</v>
          </cell>
          <cell r="AX588">
            <v>704962</v>
          </cell>
          <cell r="AY588">
            <v>2029311</v>
          </cell>
          <cell r="AZ588">
            <v>3556297</v>
          </cell>
          <cell r="BA588">
            <v>3830256</v>
          </cell>
          <cell r="BB588">
            <v>3830256</v>
          </cell>
        </row>
        <row r="589">
          <cell r="A589" t="str">
            <v>MORRISONS</v>
          </cell>
          <cell r="B589">
            <v>111492</v>
          </cell>
          <cell r="C589">
            <v>228278</v>
          </cell>
          <cell r="D589">
            <v>347382</v>
          </cell>
          <cell r="E589">
            <v>469839</v>
          </cell>
          <cell r="F589">
            <v>143482</v>
          </cell>
          <cell r="G589">
            <v>369514</v>
          </cell>
          <cell r="H589">
            <v>528014</v>
          </cell>
          <cell r="I589">
            <v>693921</v>
          </cell>
          <cell r="J589">
            <v>314637</v>
          </cell>
          <cell r="K589">
            <v>516182</v>
          </cell>
          <cell r="L589">
            <v>693959</v>
          </cell>
          <cell r="M589">
            <v>867352</v>
          </cell>
          <cell r="N589">
            <v>159423</v>
          </cell>
          <cell r="O589">
            <v>345939</v>
          </cell>
          <cell r="P589">
            <v>493363</v>
          </cell>
          <cell r="Q589">
            <v>643843</v>
          </cell>
          <cell r="R589">
            <v>177389</v>
          </cell>
          <cell r="S589">
            <v>426071</v>
          </cell>
          <cell r="T589">
            <v>645278</v>
          </cell>
          <cell r="U589">
            <v>881274</v>
          </cell>
          <cell r="V589">
            <v>236071</v>
          </cell>
          <cell r="W589">
            <v>448064</v>
          </cell>
          <cell r="X589">
            <v>688031</v>
          </cell>
          <cell r="Y589">
            <v>971573</v>
          </cell>
          <cell r="Z589">
            <v>228742</v>
          </cell>
          <cell r="AA589">
            <v>463957</v>
          </cell>
          <cell r="AB589">
            <v>693361</v>
          </cell>
          <cell r="AC589">
            <v>914882</v>
          </cell>
          <cell r="AD589">
            <v>241522</v>
          </cell>
          <cell r="AE589">
            <v>467440</v>
          </cell>
          <cell r="AF589">
            <v>677208</v>
          </cell>
          <cell r="AG589">
            <v>881090</v>
          </cell>
          <cell r="AH589">
            <v>203010</v>
          </cell>
          <cell r="AI589">
            <v>409113</v>
          </cell>
          <cell r="AJ589">
            <v>607616</v>
          </cell>
          <cell r="AK589">
            <v>874501</v>
          </cell>
          <cell r="AL589">
            <v>260404</v>
          </cell>
          <cell r="AM589">
            <v>501161</v>
          </cell>
          <cell r="AN589">
            <v>738011</v>
          </cell>
          <cell r="AO589">
            <v>983718</v>
          </cell>
          <cell r="AP589">
            <v>216807</v>
          </cell>
          <cell r="AQ589">
            <v>420514</v>
          </cell>
          <cell r="AR589">
            <v>626660</v>
          </cell>
          <cell r="AS589">
            <v>858356</v>
          </cell>
          <cell r="AT589">
            <v>424589</v>
          </cell>
          <cell r="AU589">
            <v>1080382</v>
          </cell>
          <cell r="AV589">
            <v>1608432</v>
          </cell>
          <cell r="AW589">
            <v>2141554</v>
          </cell>
          <cell r="AX589">
            <v>900393</v>
          </cell>
          <cell r="AY589">
            <v>2711479</v>
          </cell>
          <cell r="AZ589">
            <v>7092386</v>
          </cell>
          <cell r="BA589">
            <v>8642032</v>
          </cell>
          <cell r="BB589">
            <v>8642032</v>
          </cell>
        </row>
        <row r="590">
          <cell r="A590" t="str">
            <v>OFFICE MAX</v>
          </cell>
          <cell r="B590">
            <v>264218</v>
          </cell>
          <cell r="C590">
            <v>505396</v>
          </cell>
          <cell r="D590">
            <v>732748</v>
          </cell>
          <cell r="E590">
            <v>949874</v>
          </cell>
          <cell r="F590">
            <v>226327</v>
          </cell>
          <cell r="G590">
            <v>526974</v>
          </cell>
          <cell r="H590">
            <v>768202</v>
          </cell>
          <cell r="I590">
            <v>991834</v>
          </cell>
          <cell r="J590">
            <v>229622</v>
          </cell>
          <cell r="K590">
            <v>470644</v>
          </cell>
          <cell r="L590">
            <v>718138</v>
          </cell>
          <cell r="M590">
            <v>962122</v>
          </cell>
          <cell r="N590">
            <v>236650</v>
          </cell>
          <cell r="O590">
            <v>528646</v>
          </cell>
          <cell r="P590">
            <v>770386</v>
          </cell>
          <cell r="Q590">
            <v>1019961</v>
          </cell>
          <cell r="R590">
            <v>288385</v>
          </cell>
          <cell r="S590">
            <v>721105</v>
          </cell>
          <cell r="T590">
            <v>1004319</v>
          </cell>
          <cell r="U590">
            <v>1371875</v>
          </cell>
          <cell r="V590">
            <v>347878</v>
          </cell>
          <cell r="W590">
            <v>699960</v>
          </cell>
          <cell r="X590">
            <v>1131032</v>
          </cell>
          <cell r="Y590">
            <v>1670261</v>
          </cell>
          <cell r="Z590">
            <v>379295</v>
          </cell>
          <cell r="AA590">
            <v>669979</v>
          </cell>
          <cell r="AB590">
            <v>935129</v>
          </cell>
          <cell r="AC590">
            <v>1201015</v>
          </cell>
          <cell r="AD590">
            <v>276493</v>
          </cell>
          <cell r="AE590">
            <v>552541</v>
          </cell>
          <cell r="AF590">
            <v>837891</v>
          </cell>
          <cell r="AG590">
            <v>1122349</v>
          </cell>
          <cell r="AH590">
            <v>289761</v>
          </cell>
          <cell r="AI590">
            <v>585938</v>
          </cell>
          <cell r="AJ590">
            <v>863566</v>
          </cell>
          <cell r="AK590">
            <v>1122018</v>
          </cell>
          <cell r="AL590">
            <v>268269</v>
          </cell>
          <cell r="AM590">
            <v>540836</v>
          </cell>
          <cell r="AN590">
            <v>803883</v>
          </cell>
          <cell r="AO590">
            <v>1078336</v>
          </cell>
          <cell r="AP590">
            <v>259687</v>
          </cell>
          <cell r="AQ590">
            <v>519973</v>
          </cell>
          <cell r="AR590">
            <v>776248</v>
          </cell>
          <cell r="AS590">
            <v>1038367</v>
          </cell>
          <cell r="AT590">
            <v>282936</v>
          </cell>
          <cell r="AU590">
            <v>564865</v>
          </cell>
          <cell r="AV590">
            <v>884613</v>
          </cell>
          <cell r="AW590">
            <v>1433570</v>
          </cell>
          <cell r="AX590">
            <v>1016495</v>
          </cell>
          <cell r="AY590">
            <v>3283180</v>
          </cell>
          <cell r="AZ590">
            <v>6070484</v>
          </cell>
          <cell r="BA590">
            <v>6382748</v>
          </cell>
          <cell r="BB590">
            <v>6382748</v>
          </cell>
        </row>
        <row r="591">
          <cell r="A591" t="str">
            <v>PATHMARK</v>
          </cell>
          <cell r="B591">
            <v>220222</v>
          </cell>
          <cell r="C591">
            <v>436592</v>
          </cell>
          <cell r="D591">
            <v>619094</v>
          </cell>
          <cell r="E591">
            <v>792691</v>
          </cell>
          <cell r="F591">
            <v>225236</v>
          </cell>
          <cell r="G591">
            <v>514535</v>
          </cell>
          <cell r="H591">
            <v>740725</v>
          </cell>
          <cell r="I591">
            <v>959684</v>
          </cell>
          <cell r="J591">
            <v>198145</v>
          </cell>
          <cell r="K591">
            <v>394446</v>
          </cell>
          <cell r="L591">
            <v>591030</v>
          </cell>
          <cell r="M591">
            <v>818463</v>
          </cell>
          <cell r="N591">
            <v>244425</v>
          </cell>
          <cell r="O591">
            <v>557638</v>
          </cell>
          <cell r="P591">
            <v>764369</v>
          </cell>
          <cell r="Q591">
            <v>1066358</v>
          </cell>
          <cell r="R591">
            <v>480284</v>
          </cell>
          <cell r="S591">
            <v>950000</v>
          </cell>
          <cell r="T591">
            <v>1372063</v>
          </cell>
          <cell r="U591">
            <v>1767294</v>
          </cell>
          <cell r="V591">
            <v>431835</v>
          </cell>
          <cell r="W591">
            <v>896200</v>
          </cell>
          <cell r="X591">
            <v>1333125</v>
          </cell>
          <cell r="Y591">
            <v>1913449</v>
          </cell>
          <cell r="Z591">
            <v>497085</v>
          </cell>
          <cell r="AA591">
            <v>855848</v>
          </cell>
          <cell r="AB591">
            <v>1129434</v>
          </cell>
          <cell r="AC591">
            <v>1426281</v>
          </cell>
          <cell r="AD591">
            <v>275912</v>
          </cell>
          <cell r="AE591">
            <v>548956</v>
          </cell>
          <cell r="AF591">
            <v>831641</v>
          </cell>
          <cell r="AG591">
            <v>1121237</v>
          </cell>
          <cell r="AH591">
            <v>285324</v>
          </cell>
          <cell r="AI591">
            <v>559834</v>
          </cell>
          <cell r="AJ591">
            <v>826375</v>
          </cell>
          <cell r="AK591">
            <v>1079567</v>
          </cell>
          <cell r="AL591">
            <v>267068</v>
          </cell>
          <cell r="AM591">
            <v>517042</v>
          </cell>
          <cell r="AN591">
            <v>749794</v>
          </cell>
          <cell r="AO591">
            <v>989314</v>
          </cell>
          <cell r="AP591">
            <v>246903</v>
          </cell>
          <cell r="AQ591">
            <v>482222</v>
          </cell>
          <cell r="AR591">
            <v>713004</v>
          </cell>
          <cell r="AS591">
            <v>940923</v>
          </cell>
          <cell r="AT591">
            <v>221284</v>
          </cell>
          <cell r="AU591">
            <v>455827</v>
          </cell>
          <cell r="AV591">
            <v>714808</v>
          </cell>
          <cell r="AW591">
            <v>1068819</v>
          </cell>
          <cell r="AX591">
            <v>593160</v>
          </cell>
          <cell r="AY591">
            <v>1971015</v>
          </cell>
          <cell r="AZ591">
            <v>4230425</v>
          </cell>
          <cell r="BA591">
            <v>4545848</v>
          </cell>
          <cell r="BB591">
            <v>4545848</v>
          </cell>
        </row>
        <row r="592">
          <cell r="A592" t="str">
            <v>PRICE CHOPPER</v>
          </cell>
          <cell r="B592">
            <v>268797</v>
          </cell>
          <cell r="C592">
            <v>524086</v>
          </cell>
          <cell r="D592">
            <v>757161</v>
          </cell>
          <cell r="E592">
            <v>978438</v>
          </cell>
          <cell r="F592">
            <v>261134</v>
          </cell>
          <cell r="G592">
            <v>583864</v>
          </cell>
          <cell r="H592">
            <v>842671</v>
          </cell>
          <cell r="I592">
            <v>1086537</v>
          </cell>
          <cell r="J592">
            <v>246410</v>
          </cell>
          <cell r="K592">
            <v>504112</v>
          </cell>
          <cell r="L592">
            <v>783553</v>
          </cell>
          <cell r="M592">
            <v>1036119</v>
          </cell>
          <cell r="N592">
            <v>217318</v>
          </cell>
          <cell r="O592">
            <v>547223</v>
          </cell>
          <cell r="P592">
            <v>760668</v>
          </cell>
          <cell r="Q592">
            <v>968295</v>
          </cell>
          <cell r="R592">
            <v>279762</v>
          </cell>
          <cell r="S592">
            <v>687616</v>
          </cell>
          <cell r="T592">
            <v>1035639</v>
          </cell>
          <cell r="U592">
            <v>1322797</v>
          </cell>
          <cell r="V592">
            <v>272838</v>
          </cell>
          <cell r="W592">
            <v>572004</v>
          </cell>
          <cell r="X592">
            <v>939751</v>
          </cell>
          <cell r="Y592">
            <v>1409749</v>
          </cell>
          <cell r="Z592">
            <v>436597</v>
          </cell>
          <cell r="AA592">
            <v>798752</v>
          </cell>
          <cell r="AB592">
            <v>1095621</v>
          </cell>
          <cell r="AC592">
            <v>1405254</v>
          </cell>
          <cell r="AD592">
            <v>298602</v>
          </cell>
          <cell r="AE592">
            <v>598412</v>
          </cell>
          <cell r="AF592">
            <v>904619</v>
          </cell>
          <cell r="AG592">
            <v>1209826</v>
          </cell>
          <cell r="AH592">
            <v>292651</v>
          </cell>
          <cell r="AI592">
            <v>586322</v>
          </cell>
          <cell r="AJ592">
            <v>876892</v>
          </cell>
          <cell r="AK592">
            <v>1163732</v>
          </cell>
          <cell r="AL592">
            <v>280759</v>
          </cell>
          <cell r="AM592">
            <v>573291</v>
          </cell>
          <cell r="AN592">
            <v>852038</v>
          </cell>
          <cell r="AO592">
            <v>1143130</v>
          </cell>
          <cell r="AP592">
            <v>277059</v>
          </cell>
          <cell r="AQ592">
            <v>560705</v>
          </cell>
          <cell r="AR592">
            <v>829144</v>
          </cell>
          <cell r="AS592">
            <v>1110490</v>
          </cell>
          <cell r="AT592">
            <v>304013</v>
          </cell>
          <cell r="AU592">
            <v>654415</v>
          </cell>
          <cell r="AV592">
            <v>1074105</v>
          </cell>
          <cell r="AW592">
            <v>1750041</v>
          </cell>
          <cell r="AX592">
            <v>1016068</v>
          </cell>
          <cell r="AY592">
            <v>3261763</v>
          </cell>
          <cell r="AZ592">
            <v>6280551</v>
          </cell>
          <cell r="BA592">
            <v>6814917</v>
          </cell>
          <cell r="BB592">
            <v>6814917</v>
          </cell>
        </row>
        <row r="593">
          <cell r="A593" t="str">
            <v>PUBLIX</v>
          </cell>
          <cell r="B593">
            <v>2432492</v>
          </cell>
          <cell r="C593">
            <v>4832988</v>
          </cell>
          <cell r="D593">
            <v>7065904</v>
          </cell>
          <cell r="E593">
            <v>9275659</v>
          </cell>
          <cell r="F593">
            <v>2419847</v>
          </cell>
          <cell r="G593">
            <v>6120586</v>
          </cell>
          <cell r="H593">
            <v>8729637</v>
          </cell>
          <cell r="I593">
            <v>11205729</v>
          </cell>
          <cell r="J593">
            <v>2555944</v>
          </cell>
          <cell r="K593">
            <v>5196182</v>
          </cell>
          <cell r="L593">
            <v>7910789</v>
          </cell>
          <cell r="M593">
            <v>10635923</v>
          </cell>
          <cell r="N593">
            <v>2714126</v>
          </cell>
          <cell r="O593">
            <v>6403579</v>
          </cell>
          <cell r="P593">
            <v>8905692</v>
          </cell>
          <cell r="Q593">
            <v>11906530</v>
          </cell>
          <cell r="R593">
            <v>3267992</v>
          </cell>
          <cell r="S593">
            <v>8749983</v>
          </cell>
          <cell r="T593">
            <v>12703893</v>
          </cell>
          <cell r="U593">
            <v>16114613</v>
          </cell>
          <cell r="V593">
            <v>3684383</v>
          </cell>
          <cell r="W593">
            <v>7620915</v>
          </cell>
          <cell r="X593">
            <v>12384771</v>
          </cell>
          <cell r="Y593">
            <v>17483514</v>
          </cell>
          <cell r="Z593">
            <v>3433014</v>
          </cell>
          <cell r="AA593">
            <v>6021704</v>
          </cell>
          <cell r="AB593">
            <v>8500019</v>
          </cell>
          <cell r="AC593">
            <v>10970396</v>
          </cell>
          <cell r="AD593">
            <v>2563189</v>
          </cell>
          <cell r="AE593">
            <v>5123470</v>
          </cell>
          <cell r="AF593">
            <v>7735931</v>
          </cell>
          <cell r="AG593">
            <v>10456598</v>
          </cell>
          <cell r="AH593">
            <v>2721318</v>
          </cell>
          <cell r="AI593">
            <v>5168682</v>
          </cell>
          <cell r="AJ593">
            <v>7694991</v>
          </cell>
          <cell r="AK593">
            <v>10197121</v>
          </cell>
          <cell r="AL593">
            <v>2587264</v>
          </cell>
          <cell r="AM593">
            <v>5228619</v>
          </cell>
          <cell r="AN593">
            <v>8000155</v>
          </cell>
          <cell r="AO593">
            <v>10956844</v>
          </cell>
          <cell r="AP593">
            <v>3169740</v>
          </cell>
          <cell r="AQ593">
            <v>6737608</v>
          </cell>
          <cell r="AR593">
            <v>9652157</v>
          </cell>
          <cell r="AS593">
            <v>13023767</v>
          </cell>
          <cell r="AT593">
            <v>2837288</v>
          </cell>
          <cell r="AU593">
            <v>5741239</v>
          </cell>
          <cell r="AV593">
            <v>8831832</v>
          </cell>
          <cell r="AW593">
            <v>14217937</v>
          </cell>
          <cell r="AX593">
            <v>9738293</v>
          </cell>
          <cell r="AY593">
            <v>32064255</v>
          </cell>
          <cell r="AZ593">
            <v>57874892</v>
          </cell>
          <cell r="BA593">
            <v>61242286</v>
          </cell>
          <cell r="BB593">
            <v>61242286</v>
          </cell>
        </row>
        <row r="594">
          <cell r="A594" t="str">
            <v>QUICK CHECK</v>
          </cell>
          <cell r="B594">
            <v>151215</v>
          </cell>
          <cell r="C594">
            <v>277125</v>
          </cell>
          <cell r="D594">
            <v>395414</v>
          </cell>
          <cell r="E594">
            <v>503256</v>
          </cell>
          <cell r="F594">
            <v>109831</v>
          </cell>
          <cell r="G594">
            <v>219788</v>
          </cell>
          <cell r="H594">
            <v>335097</v>
          </cell>
          <cell r="I594">
            <v>441661</v>
          </cell>
          <cell r="J594">
            <v>100502</v>
          </cell>
          <cell r="K594">
            <v>201931</v>
          </cell>
          <cell r="L594">
            <v>311228</v>
          </cell>
          <cell r="M594">
            <v>433078</v>
          </cell>
          <cell r="N594">
            <v>128805</v>
          </cell>
          <cell r="O594">
            <v>238492</v>
          </cell>
          <cell r="P594">
            <v>345272</v>
          </cell>
          <cell r="Q594">
            <v>460969</v>
          </cell>
          <cell r="R594">
            <v>131392</v>
          </cell>
          <cell r="S594">
            <v>254460</v>
          </cell>
          <cell r="T594">
            <v>398086</v>
          </cell>
          <cell r="U594">
            <v>533714</v>
          </cell>
          <cell r="V594">
            <v>112736</v>
          </cell>
          <cell r="W594">
            <v>224497</v>
          </cell>
          <cell r="X594">
            <v>337724</v>
          </cell>
          <cell r="Y594">
            <v>495002</v>
          </cell>
          <cell r="Z594">
            <v>187079</v>
          </cell>
          <cell r="AA594">
            <v>311399</v>
          </cell>
          <cell r="AB594">
            <v>437844</v>
          </cell>
          <cell r="AC594">
            <v>558360</v>
          </cell>
          <cell r="AD594">
            <v>112581</v>
          </cell>
          <cell r="AE594">
            <v>221456</v>
          </cell>
          <cell r="AF594">
            <v>347048</v>
          </cell>
          <cell r="AG594">
            <v>453948</v>
          </cell>
          <cell r="AH594">
            <v>108417</v>
          </cell>
          <cell r="AI594">
            <v>208536</v>
          </cell>
          <cell r="AJ594">
            <v>308608</v>
          </cell>
          <cell r="AK594">
            <v>406135</v>
          </cell>
          <cell r="AL594">
            <v>98880</v>
          </cell>
          <cell r="AM594">
            <v>199868</v>
          </cell>
          <cell r="AN594">
            <v>315960</v>
          </cell>
          <cell r="AO594">
            <v>429527</v>
          </cell>
          <cell r="AP594">
            <v>101155</v>
          </cell>
          <cell r="AQ594">
            <v>201978</v>
          </cell>
          <cell r="AR594">
            <v>301559</v>
          </cell>
          <cell r="AS594">
            <v>407034</v>
          </cell>
          <cell r="AT594">
            <v>99291</v>
          </cell>
          <cell r="AU594">
            <v>242491</v>
          </cell>
          <cell r="AV594">
            <v>341368</v>
          </cell>
          <cell r="AW594">
            <v>449492</v>
          </cell>
          <cell r="AX594">
            <v>125320</v>
          </cell>
          <cell r="AY594">
            <v>295688</v>
          </cell>
          <cell r="AZ594">
            <v>694838</v>
          </cell>
          <cell r="BA594">
            <v>1657144</v>
          </cell>
          <cell r="BB594">
            <v>1657144</v>
          </cell>
        </row>
        <row r="595">
          <cell r="A595" t="str">
            <v>ROUNDYS</v>
          </cell>
          <cell r="B595">
            <v>314149</v>
          </cell>
          <cell r="C595">
            <v>627727</v>
          </cell>
          <cell r="D595">
            <v>890883</v>
          </cell>
          <cell r="E595">
            <v>1127360</v>
          </cell>
          <cell r="F595">
            <v>260280</v>
          </cell>
          <cell r="G595">
            <v>626265</v>
          </cell>
          <cell r="H595">
            <v>890268</v>
          </cell>
          <cell r="I595">
            <v>1127753</v>
          </cell>
          <cell r="J595">
            <v>254789</v>
          </cell>
          <cell r="K595">
            <v>508575</v>
          </cell>
          <cell r="L595">
            <v>769389</v>
          </cell>
          <cell r="M595">
            <v>1012190</v>
          </cell>
          <cell r="N595">
            <v>247866</v>
          </cell>
          <cell r="O595">
            <v>663032</v>
          </cell>
          <cell r="P595">
            <v>900604</v>
          </cell>
          <cell r="Q595">
            <v>1155765</v>
          </cell>
          <cell r="R595">
            <v>279721</v>
          </cell>
          <cell r="S595">
            <v>727415</v>
          </cell>
          <cell r="T595">
            <v>1067524</v>
          </cell>
          <cell r="U595">
            <v>1335681</v>
          </cell>
          <cell r="V595">
            <v>296016</v>
          </cell>
          <cell r="W595">
            <v>587150</v>
          </cell>
          <cell r="X595">
            <v>982004</v>
          </cell>
          <cell r="Y595">
            <v>1551300</v>
          </cell>
          <cell r="Z595">
            <v>378086</v>
          </cell>
          <cell r="AA595">
            <v>653597</v>
          </cell>
          <cell r="AB595">
            <v>923729</v>
          </cell>
          <cell r="AC595">
            <v>1199148</v>
          </cell>
          <cell r="AD595">
            <v>287978</v>
          </cell>
          <cell r="AE595">
            <v>548725</v>
          </cell>
          <cell r="AF595">
            <v>816526</v>
          </cell>
          <cell r="AG595">
            <v>1071239</v>
          </cell>
          <cell r="AH595">
            <v>264888</v>
          </cell>
          <cell r="AI595">
            <v>531574</v>
          </cell>
          <cell r="AJ595">
            <v>782622</v>
          </cell>
          <cell r="AK595">
            <v>1027906</v>
          </cell>
          <cell r="AL595">
            <v>238423</v>
          </cell>
          <cell r="AM595">
            <v>499200</v>
          </cell>
          <cell r="AN595">
            <v>745564</v>
          </cell>
          <cell r="AO595">
            <v>990062</v>
          </cell>
          <cell r="AP595">
            <v>243190</v>
          </cell>
          <cell r="AQ595">
            <v>522343</v>
          </cell>
          <cell r="AR595">
            <v>770630</v>
          </cell>
          <cell r="AS595">
            <v>1031007</v>
          </cell>
          <cell r="AT595">
            <v>256339</v>
          </cell>
          <cell r="AU595">
            <v>536309</v>
          </cell>
          <cell r="AV595">
            <v>854198</v>
          </cell>
          <cell r="AW595">
            <v>1555933</v>
          </cell>
          <cell r="AX595">
            <v>1017785</v>
          </cell>
          <cell r="AY595">
            <v>3226362</v>
          </cell>
          <cell r="AZ595">
            <v>6126343</v>
          </cell>
          <cell r="BA595">
            <v>6635348</v>
          </cell>
          <cell r="BB595">
            <v>6635348</v>
          </cell>
        </row>
        <row r="596">
          <cell r="A596" t="str">
            <v>SAFEWAY</v>
          </cell>
          <cell r="B596">
            <v>11125163</v>
          </cell>
          <cell r="C596">
            <v>22133342</v>
          </cell>
          <cell r="D596">
            <v>32587894</v>
          </cell>
          <cell r="E596">
            <v>43001025</v>
          </cell>
          <cell r="F596">
            <v>10773572</v>
          </cell>
          <cell r="G596">
            <v>26432275</v>
          </cell>
          <cell r="H596">
            <v>37648509</v>
          </cell>
          <cell r="I596">
            <v>48313750</v>
          </cell>
          <cell r="J596">
            <v>11176455</v>
          </cell>
          <cell r="K596">
            <v>22862460</v>
          </cell>
          <cell r="L596">
            <v>34659526</v>
          </cell>
          <cell r="M596">
            <v>46273027</v>
          </cell>
          <cell r="N596">
            <v>11969316</v>
          </cell>
          <cell r="O596">
            <v>27672610</v>
          </cell>
          <cell r="P596">
            <v>40069207</v>
          </cell>
          <cell r="Q596">
            <v>52793638</v>
          </cell>
          <cell r="R596">
            <v>13534293</v>
          </cell>
          <cell r="S596">
            <v>34541486</v>
          </cell>
          <cell r="T596">
            <v>51474159</v>
          </cell>
          <cell r="U596">
            <v>65859403</v>
          </cell>
          <cell r="V596">
            <v>16186283</v>
          </cell>
          <cell r="W596">
            <v>32879725</v>
          </cell>
          <cell r="X596">
            <v>52837708</v>
          </cell>
          <cell r="Y596">
            <v>76776740</v>
          </cell>
          <cell r="Z596">
            <v>17905288</v>
          </cell>
          <cell r="AA596">
            <v>31993315</v>
          </cell>
          <cell r="AB596">
            <v>45196672</v>
          </cell>
          <cell r="AC596">
            <v>58457539</v>
          </cell>
          <cell r="AD596">
            <v>13980356</v>
          </cell>
          <cell r="AE596">
            <v>27788176</v>
          </cell>
          <cell r="AF596">
            <v>41868863</v>
          </cell>
          <cell r="AG596">
            <v>55906619</v>
          </cell>
          <cell r="AH596">
            <v>14277126</v>
          </cell>
          <cell r="AI596">
            <v>28747359</v>
          </cell>
          <cell r="AJ596">
            <v>42076156</v>
          </cell>
          <cell r="AK596">
            <v>55236860</v>
          </cell>
          <cell r="AL596">
            <v>13174814</v>
          </cell>
          <cell r="AM596">
            <v>26412058</v>
          </cell>
          <cell r="AN596">
            <v>39365038</v>
          </cell>
          <cell r="AO596">
            <v>52689097</v>
          </cell>
          <cell r="AP596">
            <v>13289977</v>
          </cell>
          <cell r="AQ596">
            <v>26849960</v>
          </cell>
          <cell r="AR596">
            <v>40422064</v>
          </cell>
          <cell r="AS596">
            <v>53941016</v>
          </cell>
          <cell r="AT596">
            <v>14684989</v>
          </cell>
          <cell r="AU596">
            <v>30335928</v>
          </cell>
          <cell r="AV596">
            <v>47314656</v>
          </cell>
          <cell r="AW596">
            <v>74806374</v>
          </cell>
          <cell r="AX596">
            <v>48000701</v>
          </cell>
          <cell r="AY596">
            <v>153182820</v>
          </cell>
          <cell r="AZ596">
            <v>276109623</v>
          </cell>
          <cell r="BA596">
            <v>296301932</v>
          </cell>
          <cell r="BB596">
            <v>296301932</v>
          </cell>
        </row>
        <row r="597">
          <cell r="A597" t="str">
            <v>SAVE MART</v>
          </cell>
          <cell r="B597">
            <v>343281</v>
          </cell>
          <cell r="C597">
            <v>684122</v>
          </cell>
          <cell r="D597">
            <v>1007783</v>
          </cell>
          <cell r="E597">
            <v>1320314</v>
          </cell>
          <cell r="F597">
            <v>301945</v>
          </cell>
          <cell r="G597">
            <v>767230</v>
          </cell>
          <cell r="H597">
            <v>1087157</v>
          </cell>
          <cell r="I597">
            <v>1381180</v>
          </cell>
          <cell r="J597">
            <v>308179</v>
          </cell>
          <cell r="K597">
            <v>632050</v>
          </cell>
          <cell r="L597">
            <v>970139</v>
          </cell>
          <cell r="M597">
            <v>1322615</v>
          </cell>
          <cell r="N597">
            <v>337188</v>
          </cell>
          <cell r="O597">
            <v>858308</v>
          </cell>
          <cell r="P597">
            <v>1218004</v>
          </cell>
          <cell r="Q597">
            <v>1582092</v>
          </cell>
          <cell r="R597">
            <v>403371</v>
          </cell>
          <cell r="S597">
            <v>1053479</v>
          </cell>
          <cell r="T597">
            <v>1577654</v>
          </cell>
          <cell r="U597">
            <v>1979735</v>
          </cell>
          <cell r="V597">
            <v>544397</v>
          </cell>
          <cell r="W597">
            <v>1125250</v>
          </cell>
          <cell r="X597">
            <v>1820066</v>
          </cell>
          <cell r="Y597">
            <v>2637115</v>
          </cell>
          <cell r="Z597">
            <v>596777</v>
          </cell>
          <cell r="AA597">
            <v>1017216</v>
          </cell>
          <cell r="AB597">
            <v>1408834</v>
          </cell>
          <cell r="AC597">
            <v>1801582</v>
          </cell>
          <cell r="AD597">
            <v>416902</v>
          </cell>
          <cell r="AE597">
            <v>812188</v>
          </cell>
          <cell r="AF597">
            <v>1220622</v>
          </cell>
          <cell r="AG597">
            <v>1615082</v>
          </cell>
          <cell r="AH597">
            <v>410904</v>
          </cell>
          <cell r="AI597">
            <v>823616</v>
          </cell>
          <cell r="AJ597">
            <v>1222907</v>
          </cell>
          <cell r="AK597">
            <v>1643235</v>
          </cell>
          <cell r="AL597">
            <v>409821</v>
          </cell>
          <cell r="AM597">
            <v>833105</v>
          </cell>
          <cell r="AN597">
            <v>1239356</v>
          </cell>
          <cell r="AO597">
            <v>1672861</v>
          </cell>
          <cell r="AP597">
            <v>403029</v>
          </cell>
          <cell r="AQ597">
            <v>812712</v>
          </cell>
          <cell r="AR597">
            <v>1215788</v>
          </cell>
          <cell r="AS597">
            <v>1608582</v>
          </cell>
          <cell r="AT597">
            <v>401553</v>
          </cell>
          <cell r="AU597">
            <v>808949</v>
          </cell>
          <cell r="AV597">
            <v>1243903</v>
          </cell>
          <cell r="AW597">
            <v>1850601</v>
          </cell>
          <cell r="AX597">
            <v>946158</v>
          </cell>
          <cell r="AY597">
            <v>3125579</v>
          </cell>
          <cell r="AZ597">
            <v>6591253</v>
          </cell>
          <cell r="BA597">
            <v>7038308</v>
          </cell>
          <cell r="BB597">
            <v>7038308</v>
          </cell>
        </row>
        <row r="598">
          <cell r="A598" t="str">
            <v>SOBEYS</v>
          </cell>
          <cell r="B598">
            <v>486628</v>
          </cell>
          <cell r="C598">
            <v>968248</v>
          </cell>
          <cell r="D598">
            <v>1420938</v>
          </cell>
          <cell r="E598">
            <v>1845543</v>
          </cell>
          <cell r="F598">
            <v>375197</v>
          </cell>
          <cell r="G598">
            <v>892325</v>
          </cell>
          <cell r="H598">
            <v>1299370</v>
          </cell>
          <cell r="I598">
            <v>1680814</v>
          </cell>
          <cell r="J598">
            <v>348423</v>
          </cell>
          <cell r="K598">
            <v>717842</v>
          </cell>
          <cell r="L598">
            <v>1127483</v>
          </cell>
          <cell r="M598">
            <v>1519716</v>
          </cell>
          <cell r="N598">
            <v>358063</v>
          </cell>
          <cell r="O598">
            <v>961082</v>
          </cell>
          <cell r="P598">
            <v>1305860</v>
          </cell>
          <cell r="Q598">
            <v>1689855</v>
          </cell>
          <cell r="R598">
            <v>384118</v>
          </cell>
          <cell r="S598">
            <v>969970</v>
          </cell>
          <cell r="T598">
            <v>1454919</v>
          </cell>
          <cell r="U598">
            <v>1895045</v>
          </cell>
          <cell r="V598">
            <v>561717</v>
          </cell>
          <cell r="W598">
            <v>1024640</v>
          </cell>
          <cell r="X598">
            <v>1758498</v>
          </cell>
          <cell r="Y598">
            <v>2652951</v>
          </cell>
          <cell r="Z598">
            <v>840257</v>
          </cell>
          <cell r="AA598">
            <v>1719124</v>
          </cell>
          <cell r="AB598">
            <v>2349052</v>
          </cell>
          <cell r="AC598">
            <v>2989979</v>
          </cell>
          <cell r="AD598">
            <v>647272</v>
          </cell>
          <cell r="AE598">
            <v>1300785</v>
          </cell>
          <cell r="AF598">
            <v>1969764</v>
          </cell>
          <cell r="AG598">
            <v>2601313</v>
          </cell>
          <cell r="AH598">
            <v>659682</v>
          </cell>
          <cell r="AI598">
            <v>1316821</v>
          </cell>
          <cell r="AJ598">
            <v>1978735</v>
          </cell>
          <cell r="AK598">
            <v>2567684</v>
          </cell>
          <cell r="AL598">
            <v>599689</v>
          </cell>
          <cell r="AM598">
            <v>1207087</v>
          </cell>
          <cell r="AN598">
            <v>1841432</v>
          </cell>
          <cell r="AO598">
            <v>2465093</v>
          </cell>
          <cell r="AP598">
            <v>604339</v>
          </cell>
          <cell r="AQ598">
            <v>1200788</v>
          </cell>
          <cell r="AR598">
            <v>1765456</v>
          </cell>
          <cell r="AS598">
            <v>2336306</v>
          </cell>
          <cell r="AT598">
            <v>537142</v>
          </cell>
          <cell r="AU598">
            <v>1149420</v>
          </cell>
          <cell r="AV598">
            <v>1951895</v>
          </cell>
          <cell r="AW598">
            <v>3432483</v>
          </cell>
          <cell r="AX598">
            <v>2322990</v>
          </cell>
          <cell r="AY598">
            <v>6617342</v>
          </cell>
          <cell r="AZ598">
            <v>11859103</v>
          </cell>
          <cell r="BA598">
            <v>12911852</v>
          </cell>
          <cell r="BB598">
            <v>12911852</v>
          </cell>
        </row>
        <row r="599">
          <cell r="A599" t="str">
            <v>STAPLES</v>
          </cell>
          <cell r="B599">
            <v>1221048</v>
          </cell>
          <cell r="C599">
            <v>2354295</v>
          </cell>
          <cell r="D599">
            <v>3425499</v>
          </cell>
          <cell r="E599">
            <v>4432831</v>
          </cell>
          <cell r="F599">
            <v>1040957</v>
          </cell>
          <cell r="G599">
            <v>2275827</v>
          </cell>
          <cell r="H599">
            <v>3242666</v>
          </cell>
          <cell r="I599">
            <v>4365087</v>
          </cell>
          <cell r="J599">
            <v>1140450</v>
          </cell>
          <cell r="K599">
            <v>2324715</v>
          </cell>
          <cell r="L599">
            <v>3561847</v>
          </cell>
          <cell r="M599">
            <v>4802899</v>
          </cell>
          <cell r="N599">
            <v>1062779</v>
          </cell>
          <cell r="O599">
            <v>2679939</v>
          </cell>
          <cell r="P599">
            <v>3971867</v>
          </cell>
          <cell r="Q599">
            <v>5238457</v>
          </cell>
          <cell r="R599">
            <v>1310596</v>
          </cell>
          <cell r="S599">
            <v>2980268</v>
          </cell>
          <cell r="T599">
            <v>4227467</v>
          </cell>
          <cell r="U599">
            <v>5439812</v>
          </cell>
          <cell r="V599">
            <v>1312283</v>
          </cell>
          <cell r="W599">
            <v>2561881</v>
          </cell>
          <cell r="X599">
            <v>3986849</v>
          </cell>
          <cell r="Y599">
            <v>5921972</v>
          </cell>
          <cell r="Z599">
            <v>1432119</v>
          </cell>
          <cell r="AA599">
            <v>2510502</v>
          </cell>
          <cell r="AB599">
            <v>3502988</v>
          </cell>
          <cell r="AC599">
            <v>4380022</v>
          </cell>
          <cell r="AD599">
            <v>1043059</v>
          </cell>
          <cell r="AE599">
            <v>2259456</v>
          </cell>
          <cell r="AF599">
            <v>3391065</v>
          </cell>
          <cell r="AG599">
            <v>4619900</v>
          </cell>
          <cell r="AH599">
            <v>1060150</v>
          </cell>
          <cell r="AI599">
            <v>2167576</v>
          </cell>
          <cell r="AJ599">
            <v>3231014</v>
          </cell>
          <cell r="AK599">
            <v>4145012</v>
          </cell>
          <cell r="AL599">
            <v>870782</v>
          </cell>
          <cell r="AM599">
            <v>1692969</v>
          </cell>
          <cell r="AN599">
            <v>2500255</v>
          </cell>
          <cell r="AO599">
            <v>3284101</v>
          </cell>
          <cell r="AP599">
            <v>955974</v>
          </cell>
          <cell r="AQ599">
            <v>2108583</v>
          </cell>
          <cell r="AR599">
            <v>3178129</v>
          </cell>
          <cell r="AS599">
            <v>4201291</v>
          </cell>
          <cell r="AT599">
            <v>1040910</v>
          </cell>
          <cell r="AU599">
            <v>2400967</v>
          </cell>
          <cell r="AV599">
            <v>4241787</v>
          </cell>
          <cell r="AW599">
            <v>6589708</v>
          </cell>
          <cell r="AX599">
            <v>3843976</v>
          </cell>
          <cell r="AY599">
            <v>9416736</v>
          </cell>
          <cell r="AZ599">
            <v>20935112</v>
          </cell>
          <cell r="BA599">
            <v>23089720</v>
          </cell>
          <cell r="BB599">
            <v>23089720</v>
          </cell>
        </row>
        <row r="600">
          <cell r="A600" t="str">
            <v>STATER BROS</v>
          </cell>
          <cell r="B600">
            <v>479394</v>
          </cell>
          <cell r="C600">
            <v>948048</v>
          </cell>
          <cell r="D600">
            <v>1357188</v>
          </cell>
          <cell r="E600">
            <v>1770584</v>
          </cell>
          <cell r="F600">
            <v>414455</v>
          </cell>
          <cell r="G600">
            <v>1005347</v>
          </cell>
          <cell r="H600">
            <v>1425928</v>
          </cell>
          <cell r="I600">
            <v>1835303</v>
          </cell>
          <cell r="J600">
            <v>414437</v>
          </cell>
          <cell r="K600">
            <v>846722</v>
          </cell>
          <cell r="L600">
            <v>1292589</v>
          </cell>
          <cell r="M600">
            <v>1743670</v>
          </cell>
          <cell r="N600">
            <v>425397</v>
          </cell>
          <cell r="O600">
            <v>988671</v>
          </cell>
          <cell r="P600">
            <v>1434517</v>
          </cell>
          <cell r="Q600">
            <v>1886186</v>
          </cell>
          <cell r="R600">
            <v>484869</v>
          </cell>
          <cell r="S600">
            <v>1304003</v>
          </cell>
          <cell r="T600">
            <v>1977544</v>
          </cell>
          <cell r="U600">
            <v>2456429</v>
          </cell>
          <cell r="V600">
            <v>510443</v>
          </cell>
          <cell r="W600">
            <v>1020632</v>
          </cell>
          <cell r="X600">
            <v>1701709</v>
          </cell>
          <cell r="Y600">
            <v>2658743</v>
          </cell>
          <cell r="Z600">
            <v>696487</v>
          </cell>
          <cell r="AA600">
            <v>1176158</v>
          </cell>
          <cell r="AB600">
            <v>1662151</v>
          </cell>
          <cell r="AC600">
            <v>2132250</v>
          </cell>
          <cell r="AD600">
            <v>507286</v>
          </cell>
          <cell r="AE600">
            <v>1013898</v>
          </cell>
          <cell r="AF600">
            <v>1523490</v>
          </cell>
          <cell r="AG600">
            <v>2052069</v>
          </cell>
          <cell r="AH600">
            <v>497367</v>
          </cell>
          <cell r="AI600">
            <v>982035</v>
          </cell>
          <cell r="AJ600">
            <v>1441748</v>
          </cell>
          <cell r="AK600">
            <v>1859033</v>
          </cell>
          <cell r="AL600">
            <v>403665</v>
          </cell>
          <cell r="AM600">
            <v>819508</v>
          </cell>
          <cell r="AN600">
            <v>1235121</v>
          </cell>
          <cell r="AO600">
            <v>1662229</v>
          </cell>
          <cell r="AP600">
            <v>426274</v>
          </cell>
          <cell r="AQ600">
            <v>857383</v>
          </cell>
          <cell r="AR600">
            <v>1258121</v>
          </cell>
          <cell r="AS600">
            <v>1659374</v>
          </cell>
          <cell r="AT600">
            <v>401494</v>
          </cell>
          <cell r="AU600">
            <v>816091</v>
          </cell>
          <cell r="AV600">
            <v>1268079</v>
          </cell>
          <cell r="AW600">
            <v>1951397</v>
          </cell>
          <cell r="AX600">
            <v>1154794</v>
          </cell>
          <cell r="AY600">
            <v>3645390</v>
          </cell>
          <cell r="AZ600">
            <v>7758064</v>
          </cell>
          <cell r="BA600">
            <v>8251869</v>
          </cell>
          <cell r="BB600">
            <v>8251869</v>
          </cell>
        </row>
        <row r="601">
          <cell r="A601" t="str">
            <v>SVU CORPORATE 30</v>
          </cell>
          <cell r="B601">
            <v>282383</v>
          </cell>
          <cell r="C601">
            <v>559205</v>
          </cell>
          <cell r="D601">
            <v>814089</v>
          </cell>
          <cell r="E601">
            <v>1062858</v>
          </cell>
          <cell r="F601">
            <v>276375</v>
          </cell>
          <cell r="G601">
            <v>658208</v>
          </cell>
          <cell r="H601">
            <v>960447</v>
          </cell>
          <cell r="I601">
            <v>1245113</v>
          </cell>
          <cell r="J601">
            <v>283915</v>
          </cell>
          <cell r="K601">
            <v>593948</v>
          </cell>
          <cell r="L601">
            <v>888337</v>
          </cell>
          <cell r="M601">
            <v>1176033</v>
          </cell>
          <cell r="N601">
            <v>293298</v>
          </cell>
          <cell r="O601">
            <v>679664</v>
          </cell>
          <cell r="P601">
            <v>980912</v>
          </cell>
          <cell r="Q601">
            <v>1282822</v>
          </cell>
          <cell r="R601">
            <v>338385</v>
          </cell>
          <cell r="S601">
            <v>867957</v>
          </cell>
          <cell r="T601">
            <v>1300119</v>
          </cell>
          <cell r="U601">
            <v>1657727</v>
          </cell>
          <cell r="V601">
            <v>404091</v>
          </cell>
          <cell r="W601">
            <v>818303</v>
          </cell>
          <cell r="X601">
            <v>1306077</v>
          </cell>
          <cell r="Y601">
            <v>1889556</v>
          </cell>
          <cell r="Z601">
            <v>438503</v>
          </cell>
          <cell r="AA601">
            <v>777461</v>
          </cell>
          <cell r="AB601">
            <v>1101857</v>
          </cell>
          <cell r="AC601">
            <v>1425763</v>
          </cell>
          <cell r="AD601">
            <v>332345</v>
          </cell>
          <cell r="AE601">
            <v>677148</v>
          </cell>
          <cell r="AF601">
            <v>1023817</v>
          </cell>
          <cell r="AG601">
            <v>1362279</v>
          </cell>
          <cell r="AH601">
            <v>357989</v>
          </cell>
          <cell r="AI601">
            <v>686824</v>
          </cell>
          <cell r="AJ601">
            <v>999260</v>
          </cell>
          <cell r="AK601">
            <v>1318450</v>
          </cell>
          <cell r="AL601">
            <v>333253</v>
          </cell>
          <cell r="AM601">
            <v>657059</v>
          </cell>
          <cell r="AN601">
            <v>979593</v>
          </cell>
          <cell r="AO601">
            <v>1294429</v>
          </cell>
          <cell r="AP601">
            <v>452984</v>
          </cell>
          <cell r="AQ601">
            <v>790961</v>
          </cell>
          <cell r="AR601">
            <v>1138848</v>
          </cell>
          <cell r="AS601">
            <v>1488396</v>
          </cell>
          <cell r="AT601">
            <v>384886</v>
          </cell>
          <cell r="AU601">
            <v>811512</v>
          </cell>
          <cell r="AV601">
            <v>1283495</v>
          </cell>
          <cell r="AW601">
            <v>1988406</v>
          </cell>
          <cell r="AX601">
            <v>1607543</v>
          </cell>
          <cell r="AY601">
            <v>4367132</v>
          </cell>
          <cell r="AZ601">
            <v>8102848</v>
          </cell>
          <cell r="BA601">
            <v>8603461</v>
          </cell>
          <cell r="BB601">
            <v>8603461</v>
          </cell>
        </row>
        <row r="602">
          <cell r="A602" t="str">
            <v>SVU INDEPENDENT 10/25</v>
          </cell>
          <cell r="B602">
            <v>81455</v>
          </cell>
          <cell r="C602">
            <v>149777</v>
          </cell>
          <cell r="D602">
            <v>213909</v>
          </cell>
          <cell r="E602">
            <v>277937</v>
          </cell>
          <cell r="F602">
            <v>64743</v>
          </cell>
          <cell r="G602">
            <v>154026</v>
          </cell>
          <cell r="H602">
            <v>221767</v>
          </cell>
          <cell r="I602">
            <v>277499</v>
          </cell>
          <cell r="J602">
            <v>98405</v>
          </cell>
          <cell r="K602">
            <v>204308</v>
          </cell>
          <cell r="L602">
            <v>268866</v>
          </cell>
          <cell r="M602">
            <v>339931</v>
          </cell>
          <cell r="N602">
            <v>67360</v>
          </cell>
          <cell r="O602">
            <v>158013</v>
          </cell>
          <cell r="P602">
            <v>230601</v>
          </cell>
          <cell r="Q602">
            <v>303126</v>
          </cell>
          <cell r="R602">
            <v>79829</v>
          </cell>
          <cell r="S602">
            <v>205071</v>
          </cell>
          <cell r="T602">
            <v>292042</v>
          </cell>
          <cell r="U602">
            <v>390493</v>
          </cell>
          <cell r="V602">
            <v>99640</v>
          </cell>
          <cell r="W602">
            <v>199632</v>
          </cell>
          <cell r="X602">
            <v>310827</v>
          </cell>
          <cell r="Y602">
            <v>480014</v>
          </cell>
          <cell r="Z602">
            <v>120487</v>
          </cell>
          <cell r="AA602">
            <v>208783</v>
          </cell>
          <cell r="AB602">
            <v>294406</v>
          </cell>
          <cell r="AC602">
            <v>376476</v>
          </cell>
          <cell r="AD602">
            <v>83268</v>
          </cell>
          <cell r="AE602">
            <v>169045</v>
          </cell>
          <cell r="AF602">
            <v>257603</v>
          </cell>
          <cell r="AG602">
            <v>346467</v>
          </cell>
          <cell r="AH602">
            <v>89516</v>
          </cell>
          <cell r="AI602">
            <v>176730</v>
          </cell>
          <cell r="AJ602">
            <v>257550</v>
          </cell>
          <cell r="AK602">
            <v>337269</v>
          </cell>
          <cell r="AL602">
            <v>90328</v>
          </cell>
          <cell r="AM602">
            <v>176003</v>
          </cell>
          <cell r="AN602">
            <v>264058</v>
          </cell>
          <cell r="AO602">
            <v>353948</v>
          </cell>
          <cell r="AP602">
            <v>91229</v>
          </cell>
          <cell r="AQ602">
            <v>205582</v>
          </cell>
          <cell r="AR602">
            <v>308416</v>
          </cell>
          <cell r="AS602">
            <v>409134</v>
          </cell>
          <cell r="AT602">
            <v>103729</v>
          </cell>
          <cell r="AU602">
            <v>230927</v>
          </cell>
          <cell r="AV602">
            <v>367054</v>
          </cell>
          <cell r="AW602">
            <v>548806</v>
          </cell>
          <cell r="AX602">
            <v>298348</v>
          </cell>
          <cell r="AY602">
            <v>794283</v>
          </cell>
          <cell r="AZ602">
            <v>1796014</v>
          </cell>
          <cell r="BA602">
            <v>2269115</v>
          </cell>
          <cell r="BB602">
            <v>2269115</v>
          </cell>
        </row>
        <row r="603">
          <cell r="A603" t="str">
            <v>SVU INDEPENDENT 5/25</v>
          </cell>
          <cell r="B603">
            <v>152258</v>
          </cell>
          <cell r="C603">
            <v>278936</v>
          </cell>
          <cell r="D603">
            <v>395932</v>
          </cell>
          <cell r="E603">
            <v>513569</v>
          </cell>
          <cell r="F603">
            <v>117472</v>
          </cell>
          <cell r="G603">
            <v>287976</v>
          </cell>
          <cell r="H603">
            <v>412144</v>
          </cell>
          <cell r="I603">
            <v>519058</v>
          </cell>
          <cell r="J603">
            <v>198797</v>
          </cell>
          <cell r="K603">
            <v>397108</v>
          </cell>
          <cell r="L603">
            <v>515317</v>
          </cell>
          <cell r="M603">
            <v>643620</v>
          </cell>
          <cell r="N603">
            <v>125584</v>
          </cell>
          <cell r="O603">
            <v>298331</v>
          </cell>
          <cell r="P603">
            <v>432314</v>
          </cell>
          <cell r="Q603">
            <v>568179</v>
          </cell>
          <cell r="R603">
            <v>151691</v>
          </cell>
          <cell r="S603">
            <v>395016</v>
          </cell>
          <cell r="T603">
            <v>561040</v>
          </cell>
          <cell r="U603">
            <v>750947</v>
          </cell>
          <cell r="V603">
            <v>187774</v>
          </cell>
          <cell r="W603">
            <v>377219</v>
          </cell>
          <cell r="X603">
            <v>589130</v>
          </cell>
          <cell r="Y603">
            <v>922123</v>
          </cell>
          <cell r="Z603">
            <v>234772</v>
          </cell>
          <cell r="AA603">
            <v>408545</v>
          </cell>
          <cell r="AB603">
            <v>575417</v>
          </cell>
          <cell r="AC603">
            <v>736819</v>
          </cell>
          <cell r="AD603">
            <v>163976</v>
          </cell>
          <cell r="AE603">
            <v>332096</v>
          </cell>
          <cell r="AF603">
            <v>504267</v>
          </cell>
          <cell r="AG603">
            <v>678184</v>
          </cell>
          <cell r="AH603">
            <v>168985</v>
          </cell>
          <cell r="AI603">
            <v>340264</v>
          </cell>
          <cell r="AJ603">
            <v>498746</v>
          </cell>
          <cell r="AK603">
            <v>656209</v>
          </cell>
          <cell r="AL603">
            <v>191184</v>
          </cell>
          <cell r="AM603">
            <v>369753</v>
          </cell>
          <cell r="AN603">
            <v>556221</v>
          </cell>
          <cell r="AO603">
            <v>747752</v>
          </cell>
          <cell r="AP603">
            <v>215447</v>
          </cell>
          <cell r="AQ603">
            <v>520310</v>
          </cell>
          <cell r="AR603">
            <v>775199</v>
          </cell>
          <cell r="AS603">
            <v>1028300</v>
          </cell>
          <cell r="AT603">
            <v>242978</v>
          </cell>
          <cell r="AU603">
            <v>540596</v>
          </cell>
          <cell r="AV603">
            <v>855480</v>
          </cell>
          <cell r="AW603">
            <v>1271591</v>
          </cell>
          <cell r="AX603">
            <v>630944</v>
          </cell>
          <cell r="AY603">
            <v>1626918</v>
          </cell>
          <cell r="AZ603">
            <v>3613916</v>
          </cell>
          <cell r="BA603">
            <v>4432984</v>
          </cell>
          <cell r="BB603">
            <v>4432984</v>
          </cell>
        </row>
        <row r="604">
          <cell r="A604" t="str">
            <v>TOYS R US</v>
          </cell>
          <cell r="B604">
            <v>122447</v>
          </cell>
          <cell r="C604">
            <v>221461</v>
          </cell>
          <cell r="D604">
            <v>307349</v>
          </cell>
          <cell r="E604">
            <v>397251</v>
          </cell>
          <cell r="F604">
            <v>93860</v>
          </cell>
          <cell r="G604">
            <v>270965</v>
          </cell>
          <cell r="H604">
            <v>375997</v>
          </cell>
          <cell r="I604">
            <v>468752</v>
          </cell>
          <cell r="J604">
            <v>85339</v>
          </cell>
          <cell r="K604">
            <v>178013</v>
          </cell>
          <cell r="L604">
            <v>282753</v>
          </cell>
          <cell r="M604">
            <v>375549</v>
          </cell>
          <cell r="N604">
            <v>94731</v>
          </cell>
          <cell r="O604">
            <v>292317</v>
          </cell>
          <cell r="P604">
            <v>381014</v>
          </cell>
          <cell r="Q604">
            <v>476040</v>
          </cell>
          <cell r="R604">
            <v>96494</v>
          </cell>
          <cell r="S604">
            <v>320873</v>
          </cell>
          <cell r="T604">
            <v>431317</v>
          </cell>
          <cell r="U604">
            <v>577795</v>
          </cell>
          <cell r="V604">
            <v>124442</v>
          </cell>
          <cell r="W604">
            <v>247547</v>
          </cell>
          <cell r="X604">
            <v>399744</v>
          </cell>
          <cell r="Y604">
            <v>702633</v>
          </cell>
          <cell r="Z604">
            <v>181501</v>
          </cell>
          <cell r="AA604">
            <v>294412</v>
          </cell>
          <cell r="AB604">
            <v>400469</v>
          </cell>
          <cell r="AC604">
            <v>503640</v>
          </cell>
          <cell r="AD604">
            <v>107396</v>
          </cell>
          <cell r="AE604">
            <v>212259</v>
          </cell>
          <cell r="AF604">
            <v>316210</v>
          </cell>
          <cell r="AG604">
            <v>426525</v>
          </cell>
          <cell r="AH604">
            <v>103856</v>
          </cell>
          <cell r="AI604">
            <v>204100</v>
          </cell>
          <cell r="AJ604">
            <v>303190</v>
          </cell>
          <cell r="AK604">
            <v>400160</v>
          </cell>
          <cell r="AL604">
            <v>96713</v>
          </cell>
          <cell r="AM604">
            <v>193495</v>
          </cell>
          <cell r="AN604">
            <v>286186</v>
          </cell>
          <cell r="AO604">
            <v>386547</v>
          </cell>
          <cell r="AP604">
            <v>94582</v>
          </cell>
          <cell r="AQ604">
            <v>200814</v>
          </cell>
          <cell r="AR604">
            <v>304436</v>
          </cell>
          <cell r="AS604">
            <v>419506</v>
          </cell>
          <cell r="AT604">
            <v>120758</v>
          </cell>
          <cell r="AU604">
            <v>302934</v>
          </cell>
          <cell r="AV604">
            <v>625695</v>
          </cell>
          <cell r="AW604">
            <v>1033032</v>
          </cell>
          <cell r="AX604">
            <v>701462</v>
          </cell>
          <cell r="AY604">
            <v>1716866</v>
          </cell>
          <cell r="AZ604">
            <v>3773781</v>
          </cell>
          <cell r="BA604">
            <v>4091044</v>
          </cell>
          <cell r="BB604">
            <v>4091044</v>
          </cell>
        </row>
        <row r="605">
          <cell r="A605" t="str">
            <v>UG MERCHANTS</v>
          </cell>
          <cell r="B605">
            <v>188595</v>
          </cell>
          <cell r="C605">
            <v>347867</v>
          </cell>
          <cell r="D605">
            <v>497283</v>
          </cell>
          <cell r="E605">
            <v>644734</v>
          </cell>
          <cell r="F605">
            <v>149189</v>
          </cell>
          <cell r="G605">
            <v>348505</v>
          </cell>
          <cell r="H605">
            <v>501789</v>
          </cell>
          <cell r="I605">
            <v>622385</v>
          </cell>
          <cell r="J605">
            <v>204416</v>
          </cell>
          <cell r="K605">
            <v>447936</v>
          </cell>
          <cell r="L605">
            <v>596087</v>
          </cell>
          <cell r="M605">
            <v>760856</v>
          </cell>
          <cell r="N605">
            <v>154621</v>
          </cell>
          <cell r="O605">
            <v>359690</v>
          </cell>
          <cell r="P605">
            <v>527934</v>
          </cell>
          <cell r="Q605">
            <v>692280</v>
          </cell>
          <cell r="R605">
            <v>181180</v>
          </cell>
          <cell r="S605">
            <v>460242</v>
          </cell>
          <cell r="T605">
            <v>656005</v>
          </cell>
          <cell r="U605">
            <v>877433</v>
          </cell>
          <cell r="V605">
            <v>227837</v>
          </cell>
          <cell r="W605">
            <v>456790</v>
          </cell>
          <cell r="X605">
            <v>713030</v>
          </cell>
          <cell r="Y605">
            <v>1095903</v>
          </cell>
          <cell r="Z605">
            <v>271066</v>
          </cell>
          <cell r="AA605">
            <v>471547</v>
          </cell>
          <cell r="AB605">
            <v>666842</v>
          </cell>
          <cell r="AC605">
            <v>854267</v>
          </cell>
          <cell r="AD605">
            <v>186938</v>
          </cell>
          <cell r="AE605">
            <v>382110</v>
          </cell>
          <cell r="AF605">
            <v>585670</v>
          </cell>
          <cell r="AG605">
            <v>789119</v>
          </cell>
          <cell r="AH605">
            <v>213479</v>
          </cell>
          <cell r="AI605">
            <v>410557</v>
          </cell>
          <cell r="AJ605">
            <v>592562</v>
          </cell>
          <cell r="AK605">
            <v>771637</v>
          </cell>
          <cell r="AL605">
            <v>194534</v>
          </cell>
          <cell r="AM605">
            <v>381429</v>
          </cell>
          <cell r="AN605">
            <v>574180</v>
          </cell>
          <cell r="AO605">
            <v>772995</v>
          </cell>
          <cell r="AP605">
            <v>198954</v>
          </cell>
          <cell r="AQ605">
            <v>432419</v>
          </cell>
          <cell r="AR605">
            <v>647260</v>
          </cell>
          <cell r="AS605">
            <v>853734</v>
          </cell>
          <cell r="AT605">
            <v>205281</v>
          </cell>
          <cell r="AU605">
            <v>444266</v>
          </cell>
          <cell r="AV605">
            <v>695798</v>
          </cell>
          <cell r="AW605">
            <v>1046690</v>
          </cell>
          <cell r="AX605">
            <v>590424</v>
          </cell>
          <cell r="AY605">
            <v>1535513</v>
          </cell>
          <cell r="AZ605">
            <v>3408185</v>
          </cell>
          <cell r="BA605">
            <v>3962871</v>
          </cell>
          <cell r="BB605">
            <v>3962871</v>
          </cell>
        </row>
        <row r="606">
          <cell r="A606" t="str">
            <v>WAKEFERN</v>
          </cell>
          <cell r="B606">
            <v>590791</v>
          </cell>
          <cell r="C606">
            <v>1164828</v>
          </cell>
          <cell r="D606">
            <v>1687767</v>
          </cell>
          <cell r="E606">
            <v>2187032</v>
          </cell>
          <cell r="F606">
            <v>467823</v>
          </cell>
          <cell r="G606">
            <v>1052183</v>
          </cell>
          <cell r="H606">
            <v>1517729</v>
          </cell>
          <cell r="I606">
            <v>1970250</v>
          </cell>
          <cell r="J606">
            <v>440716</v>
          </cell>
          <cell r="K606">
            <v>935724</v>
          </cell>
          <cell r="L606">
            <v>1438821</v>
          </cell>
          <cell r="M606">
            <v>1901220</v>
          </cell>
          <cell r="N606">
            <v>468901</v>
          </cell>
          <cell r="O606">
            <v>1217344</v>
          </cell>
          <cell r="P606">
            <v>1651177</v>
          </cell>
          <cell r="Q606">
            <v>2150074</v>
          </cell>
          <cell r="R606">
            <v>479182</v>
          </cell>
          <cell r="S606">
            <v>1339888</v>
          </cell>
          <cell r="T606">
            <v>2017137</v>
          </cell>
          <cell r="U606">
            <v>2530188</v>
          </cell>
          <cell r="V606">
            <v>515526</v>
          </cell>
          <cell r="W606">
            <v>1063733</v>
          </cell>
          <cell r="X606">
            <v>1834215</v>
          </cell>
          <cell r="Y606">
            <v>2992875</v>
          </cell>
          <cell r="Z606">
            <v>939282</v>
          </cell>
          <cell r="AA606">
            <v>1993483</v>
          </cell>
          <cell r="AB606">
            <v>2509038</v>
          </cell>
          <cell r="AC606">
            <v>3262652</v>
          </cell>
          <cell r="AD606">
            <v>527364</v>
          </cell>
          <cell r="AE606">
            <v>1029114</v>
          </cell>
          <cell r="AF606">
            <v>1525680</v>
          </cell>
          <cell r="AG606">
            <v>2027721</v>
          </cell>
          <cell r="AH606">
            <v>521448</v>
          </cell>
          <cell r="AI606">
            <v>1033878</v>
          </cell>
          <cell r="AJ606">
            <v>1498682</v>
          </cell>
          <cell r="AK606">
            <v>1957609</v>
          </cell>
          <cell r="AL606">
            <v>488441</v>
          </cell>
          <cell r="AM606">
            <v>1007439</v>
          </cell>
          <cell r="AN606">
            <v>1517614</v>
          </cell>
          <cell r="AO606">
            <v>2182909</v>
          </cell>
          <cell r="AP606">
            <v>617589</v>
          </cell>
          <cell r="AQ606">
            <v>1171051</v>
          </cell>
          <cell r="AR606">
            <v>1717093</v>
          </cell>
          <cell r="AS606">
            <v>2280719</v>
          </cell>
          <cell r="AT606">
            <v>862654</v>
          </cell>
          <cell r="AU606">
            <v>1615303</v>
          </cell>
          <cell r="AV606">
            <v>2356303</v>
          </cell>
          <cell r="AW606">
            <v>3548584</v>
          </cell>
          <cell r="AX606">
            <v>1864921</v>
          </cell>
          <cell r="AY606">
            <v>5960143</v>
          </cell>
          <cell r="AZ606">
            <v>12142538</v>
          </cell>
          <cell r="BA606">
            <v>12962037</v>
          </cell>
          <cell r="BB606">
            <v>12962037</v>
          </cell>
        </row>
        <row r="607">
          <cell r="A607" t="str">
            <v>WAWA</v>
          </cell>
          <cell r="B607">
            <v>1012538</v>
          </cell>
          <cell r="C607">
            <v>1945276</v>
          </cell>
          <cell r="D607">
            <v>2785676</v>
          </cell>
          <cell r="E607">
            <v>3589597</v>
          </cell>
          <cell r="F607">
            <v>848829</v>
          </cell>
          <cell r="G607">
            <v>1804585</v>
          </cell>
          <cell r="H607">
            <v>2610923</v>
          </cell>
          <cell r="I607">
            <v>3404543</v>
          </cell>
          <cell r="J607">
            <v>809991</v>
          </cell>
          <cell r="K607">
            <v>1628664</v>
          </cell>
          <cell r="L607">
            <v>2437938</v>
          </cell>
          <cell r="M607">
            <v>3289010</v>
          </cell>
          <cell r="N607">
            <v>812455</v>
          </cell>
          <cell r="O607">
            <v>1735939</v>
          </cell>
          <cell r="P607">
            <v>2547203</v>
          </cell>
          <cell r="Q607">
            <v>3412229</v>
          </cell>
          <cell r="R607">
            <v>871710</v>
          </cell>
          <cell r="S607">
            <v>1984570</v>
          </cell>
          <cell r="T607">
            <v>3021091</v>
          </cell>
          <cell r="U607">
            <v>3910968</v>
          </cell>
          <cell r="V607">
            <v>890982</v>
          </cell>
          <cell r="W607">
            <v>1820987</v>
          </cell>
          <cell r="X607">
            <v>2984160</v>
          </cell>
          <cell r="Y607">
            <v>4329197</v>
          </cell>
          <cell r="Z607">
            <v>1179810</v>
          </cell>
          <cell r="AA607">
            <v>2055359</v>
          </cell>
          <cell r="AB607">
            <v>2915487</v>
          </cell>
          <cell r="AC607">
            <v>3772622</v>
          </cell>
          <cell r="AD607">
            <v>826093</v>
          </cell>
          <cell r="AE607">
            <v>1642045</v>
          </cell>
          <cell r="AF607">
            <v>2476557</v>
          </cell>
          <cell r="AG607">
            <v>3308887</v>
          </cell>
          <cell r="AH607">
            <v>817479</v>
          </cell>
          <cell r="AI607">
            <v>1655092</v>
          </cell>
          <cell r="AJ607">
            <v>2465481</v>
          </cell>
          <cell r="AK607">
            <v>3245692</v>
          </cell>
          <cell r="AL607">
            <v>775743</v>
          </cell>
          <cell r="AM607">
            <v>1546929</v>
          </cell>
          <cell r="AN607">
            <v>2323235</v>
          </cell>
          <cell r="AO607">
            <v>3136987</v>
          </cell>
          <cell r="AP607">
            <v>795852</v>
          </cell>
          <cell r="AQ607">
            <v>1622189</v>
          </cell>
          <cell r="AR607">
            <v>2422176</v>
          </cell>
          <cell r="AS607">
            <v>3173931</v>
          </cell>
          <cell r="AT607">
            <v>784754</v>
          </cell>
          <cell r="AU607">
            <v>1555042</v>
          </cell>
          <cell r="AV607">
            <v>2359718</v>
          </cell>
          <cell r="AW607">
            <v>3404242</v>
          </cell>
          <cell r="AX607">
            <v>1512899</v>
          </cell>
          <cell r="AY607">
            <v>5295800</v>
          </cell>
          <cell r="AZ607">
            <v>14508239</v>
          </cell>
          <cell r="BA607">
            <v>15557127</v>
          </cell>
          <cell r="BB607">
            <v>15557127</v>
          </cell>
        </row>
        <row r="608">
          <cell r="A608" t="str">
            <v>WEGMANS</v>
          </cell>
          <cell r="B608">
            <v>448402</v>
          </cell>
          <cell r="C608">
            <v>874845</v>
          </cell>
          <cell r="D608">
            <v>1274672</v>
          </cell>
          <cell r="E608">
            <v>1678885</v>
          </cell>
          <cell r="F608">
            <v>451499</v>
          </cell>
          <cell r="G608">
            <v>1021625</v>
          </cell>
          <cell r="H608">
            <v>1475433</v>
          </cell>
          <cell r="I608">
            <v>1896170</v>
          </cell>
          <cell r="J608">
            <v>404383</v>
          </cell>
          <cell r="K608">
            <v>833012</v>
          </cell>
          <cell r="L608">
            <v>1246854</v>
          </cell>
          <cell r="M608">
            <v>1652749</v>
          </cell>
          <cell r="N608">
            <v>376521</v>
          </cell>
          <cell r="O608">
            <v>1028473</v>
          </cell>
          <cell r="P608">
            <v>1399034</v>
          </cell>
          <cell r="Q608">
            <v>1814171</v>
          </cell>
          <cell r="R608">
            <v>444542</v>
          </cell>
          <cell r="S608">
            <v>1145029</v>
          </cell>
          <cell r="T608">
            <v>1676533</v>
          </cell>
          <cell r="U608">
            <v>2105078</v>
          </cell>
          <cell r="V608">
            <v>452139</v>
          </cell>
          <cell r="W608">
            <v>916701</v>
          </cell>
          <cell r="X608">
            <v>1511976</v>
          </cell>
          <cell r="Y608">
            <v>2416345</v>
          </cell>
          <cell r="Z608">
            <v>695331</v>
          </cell>
          <cell r="AA608">
            <v>1264879</v>
          </cell>
          <cell r="AB608">
            <v>1681555</v>
          </cell>
          <cell r="AC608">
            <v>2127343</v>
          </cell>
          <cell r="AD608">
            <v>444033</v>
          </cell>
          <cell r="AE608">
            <v>878247</v>
          </cell>
          <cell r="AF608">
            <v>1325065</v>
          </cell>
          <cell r="AG608">
            <v>1807183</v>
          </cell>
          <cell r="AH608">
            <v>459358</v>
          </cell>
          <cell r="AI608">
            <v>901598</v>
          </cell>
          <cell r="AJ608">
            <v>1320821</v>
          </cell>
          <cell r="AK608">
            <v>1737486</v>
          </cell>
          <cell r="AL608">
            <v>408459</v>
          </cell>
          <cell r="AM608">
            <v>815709</v>
          </cell>
          <cell r="AN608">
            <v>1227862</v>
          </cell>
          <cell r="AO608">
            <v>1647271</v>
          </cell>
          <cell r="AP608">
            <v>412577</v>
          </cell>
          <cell r="AQ608">
            <v>827826</v>
          </cell>
          <cell r="AR608">
            <v>1243342</v>
          </cell>
          <cell r="AS608">
            <v>1662209</v>
          </cell>
          <cell r="AT608">
            <v>498361</v>
          </cell>
          <cell r="AU608">
            <v>1095676</v>
          </cell>
          <cell r="AV608">
            <v>1756751</v>
          </cell>
          <cell r="AW608">
            <v>2915005</v>
          </cell>
          <cell r="AX608">
            <v>2072018</v>
          </cell>
          <cell r="AY608">
            <v>6747008</v>
          </cell>
          <cell r="AZ608">
            <v>12717771</v>
          </cell>
          <cell r="BA608">
            <v>13527854</v>
          </cell>
          <cell r="BB608">
            <v>13527854</v>
          </cell>
        </row>
        <row r="609">
          <cell r="A609" t="str">
            <v>WEIS MARKET</v>
          </cell>
          <cell r="B609">
            <v>182683</v>
          </cell>
          <cell r="C609">
            <v>340387</v>
          </cell>
          <cell r="D609">
            <v>489127</v>
          </cell>
          <cell r="E609">
            <v>632730</v>
          </cell>
          <cell r="F609">
            <v>153332</v>
          </cell>
          <cell r="G609">
            <v>325566</v>
          </cell>
          <cell r="H609">
            <v>521097</v>
          </cell>
          <cell r="I609">
            <v>668967</v>
          </cell>
          <cell r="J609">
            <v>153722</v>
          </cell>
          <cell r="K609">
            <v>316792</v>
          </cell>
          <cell r="L609">
            <v>482239</v>
          </cell>
          <cell r="M609">
            <v>707351</v>
          </cell>
          <cell r="N609">
            <v>158681</v>
          </cell>
          <cell r="O609">
            <v>326930</v>
          </cell>
          <cell r="P609">
            <v>483726</v>
          </cell>
          <cell r="Q609">
            <v>643631</v>
          </cell>
          <cell r="R609">
            <v>177627</v>
          </cell>
          <cell r="S609">
            <v>387657</v>
          </cell>
          <cell r="T609">
            <v>630762</v>
          </cell>
          <cell r="U609">
            <v>856586</v>
          </cell>
          <cell r="V609">
            <v>204507</v>
          </cell>
          <cell r="W609">
            <v>418393</v>
          </cell>
          <cell r="X609">
            <v>684170</v>
          </cell>
          <cell r="Y609">
            <v>1059367</v>
          </cell>
          <cell r="Z609">
            <v>268500</v>
          </cell>
          <cell r="AA609">
            <v>461501</v>
          </cell>
          <cell r="AB609">
            <v>649400</v>
          </cell>
          <cell r="AC609">
            <v>833106</v>
          </cell>
          <cell r="AD609">
            <v>184080</v>
          </cell>
          <cell r="AE609">
            <v>364732</v>
          </cell>
          <cell r="AF609">
            <v>554039</v>
          </cell>
          <cell r="AG609">
            <v>735856</v>
          </cell>
          <cell r="AH609">
            <v>186200</v>
          </cell>
          <cell r="AI609">
            <v>377834</v>
          </cell>
          <cell r="AJ609">
            <v>560136</v>
          </cell>
          <cell r="AK609">
            <v>740604</v>
          </cell>
          <cell r="AL609">
            <v>182446</v>
          </cell>
          <cell r="AM609">
            <v>366821</v>
          </cell>
          <cell r="AN609">
            <v>539776</v>
          </cell>
          <cell r="AO609">
            <v>719565</v>
          </cell>
          <cell r="AP609">
            <v>174135</v>
          </cell>
          <cell r="AQ609">
            <v>343518</v>
          </cell>
          <cell r="AR609">
            <v>516112</v>
          </cell>
          <cell r="AS609">
            <v>686966</v>
          </cell>
          <cell r="AT609">
            <v>195405</v>
          </cell>
          <cell r="AU609">
            <v>395704</v>
          </cell>
          <cell r="AV609">
            <v>627155</v>
          </cell>
          <cell r="AW609">
            <v>940824</v>
          </cell>
          <cell r="AX609">
            <v>488698</v>
          </cell>
          <cell r="AY609">
            <v>1415449</v>
          </cell>
          <cell r="AZ609">
            <v>2954198</v>
          </cell>
          <cell r="BA609">
            <v>4138175</v>
          </cell>
          <cell r="BB609">
            <v>4138175</v>
          </cell>
        </row>
        <row r="610">
          <cell r="A610" t="str">
            <v>UNITED</v>
          </cell>
          <cell r="B610">
            <v>96143</v>
          </cell>
          <cell r="C610">
            <v>183527</v>
          </cell>
          <cell r="D610">
            <v>264565</v>
          </cell>
          <cell r="E610">
            <v>345888</v>
          </cell>
          <cell r="F610">
            <v>87521</v>
          </cell>
          <cell r="G610">
            <v>179079</v>
          </cell>
          <cell r="H610">
            <v>290044</v>
          </cell>
          <cell r="I610">
            <v>370738</v>
          </cell>
          <cell r="J610">
            <v>81894</v>
          </cell>
          <cell r="K610">
            <v>165261</v>
          </cell>
          <cell r="L610">
            <v>253779</v>
          </cell>
          <cell r="M610">
            <v>350518</v>
          </cell>
          <cell r="N610">
            <v>72482</v>
          </cell>
          <cell r="O610">
            <v>166655</v>
          </cell>
          <cell r="P610">
            <v>243750</v>
          </cell>
          <cell r="Q610">
            <v>325046</v>
          </cell>
          <cell r="R610">
            <v>90504</v>
          </cell>
          <cell r="S610">
            <v>179051</v>
          </cell>
          <cell r="T610">
            <v>321987</v>
          </cell>
          <cell r="U610">
            <v>427413</v>
          </cell>
          <cell r="V610">
            <v>112178</v>
          </cell>
          <cell r="W610">
            <v>262093</v>
          </cell>
          <cell r="X610">
            <v>382812</v>
          </cell>
          <cell r="Y610">
            <v>514738</v>
          </cell>
          <cell r="Z610">
            <v>105592</v>
          </cell>
          <cell r="AA610">
            <v>184841</v>
          </cell>
          <cell r="AB610">
            <v>264443</v>
          </cell>
          <cell r="AC610">
            <v>344877</v>
          </cell>
          <cell r="AD610">
            <v>85182</v>
          </cell>
          <cell r="AE610">
            <v>177120</v>
          </cell>
          <cell r="AF610">
            <v>257072</v>
          </cell>
          <cell r="AG610">
            <v>336995</v>
          </cell>
          <cell r="AH610">
            <v>83616</v>
          </cell>
          <cell r="AI610">
            <v>168550</v>
          </cell>
          <cell r="AJ610">
            <v>244525</v>
          </cell>
          <cell r="AK610">
            <v>325955</v>
          </cell>
          <cell r="AL610">
            <v>77884</v>
          </cell>
          <cell r="AM610">
            <v>157764</v>
          </cell>
          <cell r="AN610">
            <v>237320</v>
          </cell>
          <cell r="AO610">
            <v>321342</v>
          </cell>
          <cell r="AP610">
            <v>83432</v>
          </cell>
          <cell r="AQ610">
            <v>174495</v>
          </cell>
          <cell r="AR610">
            <v>252548</v>
          </cell>
          <cell r="AS610">
            <v>333282</v>
          </cell>
          <cell r="AT610">
            <v>84236</v>
          </cell>
          <cell r="AU610">
            <v>164310</v>
          </cell>
          <cell r="AV610">
            <v>246908</v>
          </cell>
          <cell r="AW610">
            <v>327129</v>
          </cell>
          <cell r="AX610">
            <v>142398</v>
          </cell>
          <cell r="AY610">
            <v>400404</v>
          </cell>
          <cell r="AZ610">
            <v>977542</v>
          </cell>
          <cell r="BA610">
            <v>1554264</v>
          </cell>
          <cell r="BB610">
            <v>1554264</v>
          </cell>
        </row>
        <row r="613">
          <cell r="A613" t="str">
            <v>A &amp; P</v>
          </cell>
          <cell r="B613">
            <v>638739</v>
          </cell>
          <cell r="C613">
            <v>1265733</v>
          </cell>
          <cell r="D613">
            <v>1843784</v>
          </cell>
          <cell r="E613">
            <v>2406091</v>
          </cell>
          <cell r="F613">
            <v>2990273</v>
          </cell>
          <cell r="G613">
            <v>3718228</v>
          </cell>
          <cell r="H613">
            <v>4304655</v>
          </cell>
          <cell r="I613">
            <v>4879325</v>
          </cell>
          <cell r="J613">
            <v>5413636</v>
          </cell>
          <cell r="K613">
            <v>5971715</v>
          </cell>
          <cell r="L613">
            <v>6535754</v>
          </cell>
          <cell r="M613">
            <v>7093903</v>
          </cell>
          <cell r="N613">
            <v>560557</v>
          </cell>
          <cell r="O613">
            <v>1418674</v>
          </cell>
          <cell r="P613">
            <v>1976458</v>
          </cell>
          <cell r="Q613">
            <v>2568237</v>
          </cell>
          <cell r="R613">
            <v>3207702</v>
          </cell>
          <cell r="S613">
            <v>4222157</v>
          </cell>
          <cell r="T613">
            <v>5052621</v>
          </cell>
          <cell r="U613">
            <v>5728050</v>
          </cell>
          <cell r="V613">
            <v>6460393</v>
          </cell>
          <cell r="W613">
            <v>7263035</v>
          </cell>
          <cell r="X613">
            <v>8348213</v>
          </cell>
          <cell r="Y613">
            <v>9890314</v>
          </cell>
          <cell r="Z613">
            <v>1331886</v>
          </cell>
          <cell r="AA613">
            <v>2180809</v>
          </cell>
          <cell r="AB613">
            <v>2813485</v>
          </cell>
          <cell r="AC613">
            <v>3434287</v>
          </cell>
          <cell r="AD613">
            <v>4076540</v>
          </cell>
          <cell r="AE613">
            <v>4723280</v>
          </cell>
          <cell r="AF613">
            <v>5389623</v>
          </cell>
          <cell r="AG613">
            <v>6045526</v>
          </cell>
          <cell r="AH613">
            <v>6713547</v>
          </cell>
          <cell r="AI613">
            <v>7341054</v>
          </cell>
          <cell r="AJ613">
            <v>7938864</v>
          </cell>
          <cell r="AK613">
            <v>8550861</v>
          </cell>
          <cell r="AL613">
            <v>602497</v>
          </cell>
          <cell r="AM613">
            <v>1202369</v>
          </cell>
          <cell r="AN613">
            <v>1806985</v>
          </cell>
          <cell r="AO613">
            <v>2381785</v>
          </cell>
          <cell r="AP613">
            <v>2969749</v>
          </cell>
          <cell r="AQ613">
            <v>3553060</v>
          </cell>
          <cell r="AR613">
            <v>4120334</v>
          </cell>
          <cell r="AS613">
            <v>4690334</v>
          </cell>
          <cell r="AT613">
            <v>5342735</v>
          </cell>
          <cell r="AU613">
            <v>6030725</v>
          </cell>
          <cell r="AV613">
            <v>6806202</v>
          </cell>
          <cell r="AW613">
            <v>7896553</v>
          </cell>
          <cell r="AX613">
            <v>9675620</v>
          </cell>
          <cell r="AY613">
            <v>14037612</v>
          </cell>
          <cell r="AZ613">
            <v>20388040</v>
          </cell>
          <cell r="BA613">
            <v>21314470</v>
          </cell>
          <cell r="BB613">
            <v>21314470</v>
          </cell>
        </row>
        <row r="614">
          <cell r="A614" t="str">
            <v>AHOLD</v>
          </cell>
          <cell r="B614">
            <v>2274260</v>
          </cell>
          <cell r="C614">
            <v>4498554</v>
          </cell>
          <cell r="D614">
            <v>6479053</v>
          </cell>
          <cell r="E614">
            <v>8470293</v>
          </cell>
          <cell r="F614">
            <v>10562988</v>
          </cell>
          <cell r="G614">
            <v>13424009</v>
          </cell>
          <cell r="H614">
            <v>15578376</v>
          </cell>
          <cell r="I614">
            <v>17660064</v>
          </cell>
          <cell r="J614">
            <v>19866232</v>
          </cell>
          <cell r="K614">
            <v>22135612</v>
          </cell>
          <cell r="L614">
            <v>24480457</v>
          </cell>
          <cell r="M614">
            <v>26675295</v>
          </cell>
          <cell r="N614">
            <v>2210020</v>
          </cell>
          <cell r="O614">
            <v>5769017</v>
          </cell>
          <cell r="P614">
            <v>7963894</v>
          </cell>
          <cell r="Q614">
            <v>10340197</v>
          </cell>
          <cell r="R614">
            <v>12979607</v>
          </cell>
          <cell r="S614">
            <v>17373863</v>
          </cell>
          <cell r="T614">
            <v>20887202</v>
          </cell>
          <cell r="U614">
            <v>23709111</v>
          </cell>
          <cell r="V614">
            <v>26951963</v>
          </cell>
          <cell r="W614">
            <v>30380227</v>
          </cell>
          <cell r="X614">
            <v>34838853</v>
          </cell>
          <cell r="Y614">
            <v>40750355</v>
          </cell>
          <cell r="Z614">
            <v>4712071</v>
          </cell>
          <cell r="AA614">
            <v>8006185</v>
          </cell>
          <cell r="AB614">
            <v>10914257</v>
          </cell>
          <cell r="AC614">
            <v>13927461</v>
          </cell>
          <cell r="AD614">
            <v>16835877</v>
          </cell>
          <cell r="AE614">
            <v>19805923</v>
          </cell>
          <cell r="AF614">
            <v>22843973</v>
          </cell>
          <cell r="AG614">
            <v>25927910</v>
          </cell>
          <cell r="AH614">
            <v>29001615</v>
          </cell>
          <cell r="AI614">
            <v>32095926</v>
          </cell>
          <cell r="AJ614">
            <v>35007120</v>
          </cell>
          <cell r="AK614">
            <v>37881345</v>
          </cell>
          <cell r="AL614">
            <v>2906555</v>
          </cell>
          <cell r="AM614">
            <v>5822155</v>
          </cell>
          <cell r="AN614">
            <v>8693191</v>
          </cell>
          <cell r="AO614">
            <v>11598391</v>
          </cell>
          <cell r="AP614">
            <v>14489501</v>
          </cell>
          <cell r="AQ614">
            <v>17430755</v>
          </cell>
          <cell r="AR614">
            <v>20389358</v>
          </cell>
          <cell r="AS614">
            <v>23278627</v>
          </cell>
          <cell r="AT614">
            <v>26337785</v>
          </cell>
          <cell r="AU614">
            <v>29553530</v>
          </cell>
          <cell r="AV614">
            <v>33225997</v>
          </cell>
          <cell r="AW614">
            <v>38716896</v>
          </cell>
          <cell r="AX614">
            <v>47855345</v>
          </cell>
          <cell r="AY614">
            <v>68586862</v>
          </cell>
          <cell r="AZ614">
            <v>96593651</v>
          </cell>
          <cell r="BA614">
            <v>101267699</v>
          </cell>
          <cell r="BB614">
            <v>101267699</v>
          </cell>
        </row>
        <row r="615">
          <cell r="A615" t="str">
            <v>ALBERTSONS</v>
          </cell>
          <cell r="B615">
            <v>2217763</v>
          </cell>
          <cell r="C615">
            <v>4390593</v>
          </cell>
          <cell r="D615">
            <v>6330877</v>
          </cell>
          <cell r="E615">
            <v>8299554</v>
          </cell>
          <cell r="F615">
            <v>10408882</v>
          </cell>
          <cell r="G615">
            <v>13393498</v>
          </cell>
          <cell r="H615">
            <v>15604442</v>
          </cell>
          <cell r="I615">
            <v>17678295</v>
          </cell>
          <cell r="J615">
            <v>19880046</v>
          </cell>
          <cell r="K615">
            <v>22196284</v>
          </cell>
          <cell r="L615">
            <v>24594654</v>
          </cell>
          <cell r="M615">
            <v>26881595</v>
          </cell>
          <cell r="N615">
            <v>2300100</v>
          </cell>
          <cell r="O615">
            <v>5810220</v>
          </cell>
          <cell r="P615">
            <v>8154840</v>
          </cell>
          <cell r="Q615">
            <v>10644781</v>
          </cell>
          <cell r="R615">
            <v>13380953</v>
          </cell>
          <cell r="S615">
            <v>17816276</v>
          </cell>
          <cell r="T615">
            <v>21511251</v>
          </cell>
          <cell r="U615">
            <v>24443891</v>
          </cell>
          <cell r="V615">
            <v>27801101</v>
          </cell>
          <cell r="W615">
            <v>31237350</v>
          </cell>
          <cell r="X615">
            <v>35742659</v>
          </cell>
          <cell r="Y615">
            <v>41324724</v>
          </cell>
          <cell r="Z615">
            <v>4226712</v>
          </cell>
          <cell r="AA615">
            <v>7237228</v>
          </cell>
          <cell r="AB615">
            <v>10111953</v>
          </cell>
          <cell r="AC615">
            <v>13008518</v>
          </cell>
          <cell r="AD615">
            <v>16085957</v>
          </cell>
          <cell r="AE615">
            <v>19280056</v>
          </cell>
          <cell r="AF615">
            <v>22492725</v>
          </cell>
          <cell r="AG615">
            <v>25684079</v>
          </cell>
          <cell r="AH615">
            <v>28872798</v>
          </cell>
          <cell r="AI615">
            <v>31964317</v>
          </cell>
          <cell r="AJ615">
            <v>34972248</v>
          </cell>
          <cell r="AK615">
            <v>37841926</v>
          </cell>
          <cell r="AL615">
            <v>2852031</v>
          </cell>
          <cell r="AM615">
            <v>5719406</v>
          </cell>
          <cell r="AN615">
            <v>8589213</v>
          </cell>
          <cell r="AO615">
            <v>11435532</v>
          </cell>
          <cell r="AP615">
            <v>14273873</v>
          </cell>
          <cell r="AQ615">
            <v>17219280</v>
          </cell>
          <cell r="AR615">
            <v>20136068</v>
          </cell>
          <cell r="AS615">
            <v>23032857</v>
          </cell>
          <cell r="AT615">
            <v>25940385</v>
          </cell>
          <cell r="AU615">
            <v>29101338</v>
          </cell>
          <cell r="AV615">
            <v>32472099</v>
          </cell>
          <cell r="AW615">
            <v>37597792</v>
          </cell>
          <cell r="AX615">
            <v>46499200</v>
          </cell>
          <cell r="AY615">
            <v>67451849</v>
          </cell>
          <cell r="AZ615">
            <v>97862952</v>
          </cell>
          <cell r="BA615">
            <v>101726696</v>
          </cell>
          <cell r="BB615">
            <v>101726696</v>
          </cell>
        </row>
        <row r="616">
          <cell r="A616" t="str">
            <v>ALBERTSONS LLC</v>
          </cell>
          <cell r="B616">
            <v>328885</v>
          </cell>
          <cell r="C616">
            <v>644564</v>
          </cell>
          <cell r="D616">
            <v>935577</v>
          </cell>
          <cell r="E616">
            <v>1235199</v>
          </cell>
          <cell r="F616">
            <v>1537397</v>
          </cell>
          <cell r="G616">
            <v>2002312</v>
          </cell>
          <cell r="H616">
            <v>2324752</v>
          </cell>
          <cell r="I616">
            <v>2620964</v>
          </cell>
          <cell r="J616">
            <v>2926076</v>
          </cell>
          <cell r="K616">
            <v>3238048</v>
          </cell>
          <cell r="L616">
            <v>3567037</v>
          </cell>
          <cell r="M616">
            <v>3892695</v>
          </cell>
          <cell r="N616">
            <v>312534</v>
          </cell>
          <cell r="O616">
            <v>729753</v>
          </cell>
          <cell r="P616">
            <v>1067855</v>
          </cell>
          <cell r="Q616">
            <v>1412239</v>
          </cell>
          <cell r="R616">
            <v>1801057</v>
          </cell>
          <cell r="S616">
            <v>2482194</v>
          </cell>
          <cell r="T616">
            <v>3009329</v>
          </cell>
          <cell r="U616">
            <v>3448095</v>
          </cell>
          <cell r="V616">
            <v>3912673</v>
          </cell>
          <cell r="W616">
            <v>4408042</v>
          </cell>
          <cell r="X616">
            <v>4914622</v>
          </cell>
          <cell r="Y616">
            <v>5504385</v>
          </cell>
          <cell r="Z616">
            <v>437376</v>
          </cell>
          <cell r="AA616">
            <v>765468</v>
          </cell>
          <cell r="AB616">
            <v>1080671</v>
          </cell>
          <cell r="AC616">
            <v>1403276</v>
          </cell>
          <cell r="AD616">
            <v>1725003</v>
          </cell>
          <cell r="AE616">
            <v>2043317</v>
          </cell>
          <cell r="AF616">
            <v>2344603</v>
          </cell>
          <cell r="AG616">
            <v>2651293</v>
          </cell>
          <cell r="AH616">
            <v>2960540</v>
          </cell>
          <cell r="AI616">
            <v>3252656</v>
          </cell>
          <cell r="AJ616">
            <v>3550348</v>
          </cell>
          <cell r="AK616">
            <v>3831039</v>
          </cell>
          <cell r="AL616">
            <v>294153</v>
          </cell>
          <cell r="AM616">
            <v>588068</v>
          </cell>
          <cell r="AN616">
            <v>895249</v>
          </cell>
          <cell r="AO616">
            <v>1200508</v>
          </cell>
          <cell r="AP616">
            <v>1507605</v>
          </cell>
          <cell r="AQ616">
            <v>1833214</v>
          </cell>
          <cell r="AR616">
            <v>2157916</v>
          </cell>
          <cell r="AS616">
            <v>2459330</v>
          </cell>
          <cell r="AT616">
            <v>2778321</v>
          </cell>
          <cell r="AU616">
            <v>3128269</v>
          </cell>
          <cell r="AV616">
            <v>3517425</v>
          </cell>
          <cell r="AW616">
            <v>4132610</v>
          </cell>
          <cell r="AX616">
            <v>5234546</v>
          </cell>
          <cell r="AY616">
            <v>7812207</v>
          </cell>
          <cell r="AZ616">
            <v>11343291</v>
          </cell>
          <cell r="BA616">
            <v>11814758</v>
          </cell>
          <cell r="BB616">
            <v>11814758</v>
          </cell>
        </row>
        <row r="617">
          <cell r="A617" t="str">
            <v>AUSTRALIAN POST</v>
          </cell>
          <cell r="B617">
            <v>272879</v>
          </cell>
          <cell r="C617">
            <v>560466</v>
          </cell>
          <cell r="D617">
            <v>791995</v>
          </cell>
          <cell r="E617">
            <v>1014009</v>
          </cell>
          <cell r="F617">
            <v>1254835</v>
          </cell>
          <cell r="G617">
            <v>1554660</v>
          </cell>
          <cell r="H617">
            <v>1899931</v>
          </cell>
          <cell r="I617">
            <v>2230314</v>
          </cell>
          <cell r="J617">
            <v>2588036</v>
          </cell>
          <cell r="K617">
            <v>2937266</v>
          </cell>
          <cell r="L617">
            <v>3337868</v>
          </cell>
          <cell r="M617">
            <v>3739792</v>
          </cell>
          <cell r="N617">
            <v>393066</v>
          </cell>
          <cell r="O617">
            <v>809155</v>
          </cell>
          <cell r="P617">
            <v>1217104</v>
          </cell>
          <cell r="Q617">
            <v>1605078</v>
          </cell>
          <cell r="R617">
            <v>2066682</v>
          </cell>
          <cell r="S617">
            <v>2558209</v>
          </cell>
          <cell r="T617">
            <v>3283111</v>
          </cell>
          <cell r="U617">
            <v>3811937</v>
          </cell>
          <cell r="V617">
            <v>4255637</v>
          </cell>
          <cell r="W617">
            <v>4758780</v>
          </cell>
          <cell r="X617">
            <v>5172077</v>
          </cell>
          <cell r="Y617">
            <v>5631461</v>
          </cell>
          <cell r="Z617">
            <v>510035</v>
          </cell>
          <cell r="AA617">
            <v>1030571</v>
          </cell>
          <cell r="AB617">
            <v>1522444</v>
          </cell>
          <cell r="AC617">
            <v>1954468</v>
          </cell>
          <cell r="AD617">
            <v>2452353</v>
          </cell>
          <cell r="AE617">
            <v>2951148</v>
          </cell>
          <cell r="AF617">
            <v>3454358</v>
          </cell>
          <cell r="AG617">
            <v>4001624</v>
          </cell>
          <cell r="AH617">
            <v>4566873</v>
          </cell>
          <cell r="AI617">
            <v>5190900</v>
          </cell>
          <cell r="AJ617">
            <v>5857141</v>
          </cell>
          <cell r="AK617">
            <v>6691131</v>
          </cell>
          <cell r="AL617">
            <v>671269</v>
          </cell>
          <cell r="AM617">
            <v>1260768</v>
          </cell>
          <cell r="AN617">
            <v>1932596</v>
          </cell>
          <cell r="AO617">
            <v>2508279</v>
          </cell>
          <cell r="AP617">
            <v>3077158</v>
          </cell>
          <cell r="AQ617">
            <v>3716024</v>
          </cell>
          <cell r="AR617">
            <v>4356817</v>
          </cell>
          <cell r="AS617">
            <v>5044327</v>
          </cell>
          <cell r="AT617">
            <v>5841321</v>
          </cell>
          <cell r="AU617">
            <v>6701191</v>
          </cell>
          <cell r="AV617">
            <v>7714348</v>
          </cell>
          <cell r="AW617">
            <v>8977288</v>
          </cell>
          <cell r="AX617">
            <v>10690920</v>
          </cell>
          <cell r="AY617">
            <v>13820285</v>
          </cell>
          <cell r="AZ617">
            <v>24542884</v>
          </cell>
          <cell r="BA617">
            <v>30606260</v>
          </cell>
          <cell r="BB617">
            <v>30606260</v>
          </cell>
        </row>
        <row r="618">
          <cell r="A618" t="str">
            <v>AWG - DIVISIONS</v>
          </cell>
          <cell r="B618">
            <v>176960</v>
          </cell>
          <cell r="C618">
            <v>334897</v>
          </cell>
          <cell r="D618">
            <v>461222</v>
          </cell>
          <cell r="E618">
            <v>586275</v>
          </cell>
          <cell r="F618">
            <v>725973</v>
          </cell>
          <cell r="G618">
            <v>898656</v>
          </cell>
          <cell r="H618">
            <v>1031992</v>
          </cell>
          <cell r="I618">
            <v>1135229</v>
          </cell>
          <cell r="J618">
            <v>1295857</v>
          </cell>
          <cell r="K618">
            <v>1495880</v>
          </cell>
          <cell r="L618">
            <v>1649128</v>
          </cell>
          <cell r="M618">
            <v>1791849</v>
          </cell>
          <cell r="N618">
            <v>129398</v>
          </cell>
          <cell r="O618">
            <v>296181</v>
          </cell>
          <cell r="P618">
            <v>438570</v>
          </cell>
          <cell r="Q618">
            <v>576761</v>
          </cell>
          <cell r="R618">
            <v>725471</v>
          </cell>
          <cell r="S618">
            <v>947457</v>
          </cell>
          <cell r="T618">
            <v>1109273</v>
          </cell>
          <cell r="U618">
            <v>1288746</v>
          </cell>
          <cell r="V618">
            <v>1478690</v>
          </cell>
          <cell r="W618">
            <v>1675402</v>
          </cell>
          <cell r="X618">
            <v>1882631</v>
          </cell>
          <cell r="Y618">
            <v>2186153</v>
          </cell>
          <cell r="Z618">
            <v>256100</v>
          </cell>
          <cell r="AA618">
            <v>452960</v>
          </cell>
          <cell r="AB618">
            <v>672395</v>
          </cell>
          <cell r="AC618">
            <v>890112</v>
          </cell>
          <cell r="AD618">
            <v>1068205</v>
          </cell>
          <cell r="AE618">
            <v>1245421</v>
          </cell>
          <cell r="AF618">
            <v>1446008</v>
          </cell>
          <cell r="AG618">
            <v>1735693</v>
          </cell>
          <cell r="AH618">
            <v>1976261</v>
          </cell>
          <cell r="AI618">
            <v>2194283</v>
          </cell>
          <cell r="AJ618">
            <v>2345328</v>
          </cell>
          <cell r="AK618">
            <v>2494493</v>
          </cell>
          <cell r="AL618">
            <v>163280</v>
          </cell>
          <cell r="AM618">
            <v>320415</v>
          </cell>
          <cell r="AN618">
            <v>488917</v>
          </cell>
          <cell r="AO618">
            <v>655832</v>
          </cell>
          <cell r="AP618">
            <v>835725</v>
          </cell>
          <cell r="AQ618">
            <v>1025796</v>
          </cell>
          <cell r="AR618">
            <v>1201535</v>
          </cell>
          <cell r="AS618">
            <v>1373232</v>
          </cell>
          <cell r="AT618">
            <v>1545626</v>
          </cell>
          <cell r="AU618">
            <v>1738925</v>
          </cell>
          <cell r="AV618">
            <v>1945459</v>
          </cell>
          <cell r="AW618">
            <v>2228617</v>
          </cell>
          <cell r="AX618">
            <v>2682384</v>
          </cell>
          <cell r="AY618">
            <v>3443551</v>
          </cell>
          <cell r="AZ618">
            <v>4918087</v>
          </cell>
          <cell r="BA618">
            <v>5554871</v>
          </cell>
          <cell r="BB618">
            <v>5554871</v>
          </cell>
        </row>
        <row r="619">
          <cell r="A619" t="str">
            <v>BI LO</v>
          </cell>
          <cell r="B619">
            <v>305142</v>
          </cell>
          <cell r="C619">
            <v>600100</v>
          </cell>
          <cell r="D619">
            <v>894165</v>
          </cell>
          <cell r="E619">
            <v>1189901</v>
          </cell>
          <cell r="F619">
            <v>1566341</v>
          </cell>
          <cell r="G619">
            <v>2119041</v>
          </cell>
          <cell r="H619">
            <v>2481004</v>
          </cell>
          <cell r="I619">
            <v>2857654</v>
          </cell>
          <cell r="J619">
            <v>3259781</v>
          </cell>
          <cell r="K619">
            <v>3685466</v>
          </cell>
          <cell r="L619">
            <v>4131732</v>
          </cell>
          <cell r="M619">
            <v>4483776</v>
          </cell>
          <cell r="N619">
            <v>339939</v>
          </cell>
          <cell r="O619">
            <v>849773</v>
          </cell>
          <cell r="P619">
            <v>1245407</v>
          </cell>
          <cell r="Q619">
            <v>1609606</v>
          </cell>
          <cell r="R619">
            <v>2019188</v>
          </cell>
          <cell r="S619">
            <v>2656697</v>
          </cell>
          <cell r="T619">
            <v>3167939</v>
          </cell>
          <cell r="U619">
            <v>3598058</v>
          </cell>
          <cell r="V619">
            <v>4105446</v>
          </cell>
          <cell r="W619">
            <v>4629034</v>
          </cell>
          <cell r="X619">
            <v>5179118</v>
          </cell>
          <cell r="Y619">
            <v>5831674</v>
          </cell>
          <cell r="Z619">
            <v>495963</v>
          </cell>
          <cell r="AA619">
            <v>928552</v>
          </cell>
          <cell r="AB619">
            <v>1402164</v>
          </cell>
          <cell r="AC619">
            <v>1872842</v>
          </cell>
          <cell r="AD619">
            <v>2375302</v>
          </cell>
          <cell r="AE619">
            <v>2934887</v>
          </cell>
          <cell r="AF619">
            <v>3515144</v>
          </cell>
          <cell r="AG619">
            <v>3939082</v>
          </cell>
          <cell r="AH619">
            <v>4261052</v>
          </cell>
          <cell r="AI619">
            <v>4607636</v>
          </cell>
          <cell r="AJ619">
            <v>4932196</v>
          </cell>
          <cell r="AK619">
            <v>5265536</v>
          </cell>
          <cell r="AL619">
            <v>336886</v>
          </cell>
          <cell r="AM619">
            <v>682665</v>
          </cell>
          <cell r="AN619">
            <v>1041415</v>
          </cell>
          <cell r="AO619">
            <v>1403113</v>
          </cell>
          <cell r="AP619">
            <v>1813518</v>
          </cell>
          <cell r="AQ619">
            <v>2224803</v>
          </cell>
          <cell r="AR619">
            <v>2544303</v>
          </cell>
          <cell r="AS619">
            <v>2896681</v>
          </cell>
          <cell r="AT619">
            <v>3222916</v>
          </cell>
          <cell r="AU619">
            <v>3546962</v>
          </cell>
          <cell r="AV619">
            <v>3896240</v>
          </cell>
          <cell r="AW619">
            <v>4375111</v>
          </cell>
          <cell r="AX619">
            <v>5153266</v>
          </cell>
          <cell r="AY619">
            <v>6786180</v>
          </cell>
          <cell r="AZ619">
            <v>8964894</v>
          </cell>
          <cell r="BA619">
            <v>9357033</v>
          </cell>
          <cell r="BB619">
            <v>9357033</v>
          </cell>
        </row>
        <row r="620">
          <cell r="A620" t="str">
            <v>BIG Y</v>
          </cell>
          <cell r="B620">
            <v>123772</v>
          </cell>
          <cell r="C620">
            <v>246069</v>
          </cell>
          <cell r="D620">
            <v>354803</v>
          </cell>
          <cell r="E620">
            <v>458565</v>
          </cell>
          <cell r="F620">
            <v>583248</v>
          </cell>
          <cell r="G620">
            <v>746709</v>
          </cell>
          <cell r="H620">
            <v>866308</v>
          </cell>
          <cell r="I620">
            <v>979684</v>
          </cell>
          <cell r="J620">
            <v>1086084</v>
          </cell>
          <cell r="K620">
            <v>1193218</v>
          </cell>
          <cell r="L620">
            <v>1305135</v>
          </cell>
          <cell r="M620">
            <v>1418136</v>
          </cell>
          <cell r="N620">
            <v>138742</v>
          </cell>
          <cell r="O620">
            <v>348899</v>
          </cell>
          <cell r="P620">
            <v>439934</v>
          </cell>
          <cell r="Q620">
            <v>679912</v>
          </cell>
          <cell r="R620">
            <v>945855</v>
          </cell>
          <cell r="S620">
            <v>1183665</v>
          </cell>
          <cell r="T620">
            <v>1410071</v>
          </cell>
          <cell r="U620">
            <v>1593367</v>
          </cell>
          <cell r="V620">
            <v>1898206</v>
          </cell>
          <cell r="W620">
            <v>2215935</v>
          </cell>
          <cell r="X620">
            <v>2450297</v>
          </cell>
          <cell r="Y620">
            <v>2787743</v>
          </cell>
          <cell r="Z620">
            <v>282564</v>
          </cell>
          <cell r="AA620">
            <v>463731</v>
          </cell>
          <cell r="AB620">
            <v>628916</v>
          </cell>
          <cell r="AC620">
            <v>793811</v>
          </cell>
          <cell r="AD620">
            <v>947364</v>
          </cell>
          <cell r="AE620">
            <v>1081137</v>
          </cell>
          <cell r="AF620">
            <v>1213750</v>
          </cell>
          <cell r="AG620">
            <v>1356224</v>
          </cell>
          <cell r="AH620">
            <v>1496940</v>
          </cell>
          <cell r="AI620">
            <v>1650552</v>
          </cell>
          <cell r="AJ620">
            <v>1790035</v>
          </cell>
          <cell r="AK620">
            <v>1913280</v>
          </cell>
          <cell r="AL620">
            <v>122970</v>
          </cell>
          <cell r="AM620">
            <v>243037</v>
          </cell>
          <cell r="AN620">
            <v>362434</v>
          </cell>
          <cell r="AO620">
            <v>483093</v>
          </cell>
          <cell r="AP620">
            <v>610769</v>
          </cell>
          <cell r="AQ620">
            <v>743305</v>
          </cell>
          <cell r="AR620">
            <v>875637</v>
          </cell>
          <cell r="AS620">
            <v>1004495</v>
          </cell>
          <cell r="AT620">
            <v>1137979</v>
          </cell>
          <cell r="AU620">
            <v>1270703</v>
          </cell>
          <cell r="AV620">
            <v>1422080</v>
          </cell>
          <cell r="AW620">
            <v>1680325</v>
          </cell>
          <cell r="AX620">
            <v>2145257</v>
          </cell>
          <cell r="AY620">
            <v>3268635</v>
          </cell>
          <cell r="AZ620">
            <v>5013883</v>
          </cell>
          <cell r="BA620">
            <v>5193920</v>
          </cell>
          <cell r="BB620">
            <v>5193920</v>
          </cell>
        </row>
        <row r="621">
          <cell r="A621" t="str">
            <v>CIRCLE K</v>
          </cell>
          <cell r="B621">
            <v>93331</v>
          </cell>
          <cell r="C621">
            <v>168964</v>
          </cell>
          <cell r="D621">
            <v>246655</v>
          </cell>
          <cell r="E621">
            <v>324089</v>
          </cell>
          <cell r="F621">
            <v>397514</v>
          </cell>
          <cell r="G621">
            <v>475666</v>
          </cell>
          <cell r="H621">
            <v>567889</v>
          </cell>
          <cell r="I621">
            <v>640826</v>
          </cell>
          <cell r="J621">
            <v>716208</v>
          </cell>
          <cell r="K621">
            <v>795036</v>
          </cell>
          <cell r="L621">
            <v>865650</v>
          </cell>
          <cell r="M621">
            <v>945745</v>
          </cell>
          <cell r="N621">
            <v>63522</v>
          </cell>
          <cell r="O621">
            <v>132338</v>
          </cell>
          <cell r="P621">
            <v>197239</v>
          </cell>
          <cell r="Q621">
            <v>267307</v>
          </cell>
          <cell r="R621">
            <v>341400</v>
          </cell>
          <cell r="S621">
            <v>417655</v>
          </cell>
          <cell r="T621">
            <v>514262</v>
          </cell>
          <cell r="U621">
            <v>607673</v>
          </cell>
          <cell r="V621">
            <v>702247</v>
          </cell>
          <cell r="W621">
            <v>784049</v>
          </cell>
          <cell r="X621">
            <v>869774</v>
          </cell>
          <cell r="Y621">
            <v>965642</v>
          </cell>
          <cell r="Z621">
            <v>90848</v>
          </cell>
          <cell r="AA621">
            <v>166082</v>
          </cell>
          <cell r="AB621">
            <v>237997</v>
          </cell>
          <cell r="AC621">
            <v>308029</v>
          </cell>
          <cell r="AD621">
            <v>374763</v>
          </cell>
          <cell r="AE621">
            <v>441186</v>
          </cell>
          <cell r="AF621">
            <v>505509</v>
          </cell>
          <cell r="AG621">
            <v>576301</v>
          </cell>
          <cell r="AH621">
            <v>647587</v>
          </cell>
          <cell r="AI621">
            <v>713864</v>
          </cell>
          <cell r="AJ621">
            <v>784217</v>
          </cell>
          <cell r="AK621">
            <v>851762</v>
          </cell>
          <cell r="AL621">
            <v>61784</v>
          </cell>
          <cell r="AM621">
            <v>130340</v>
          </cell>
          <cell r="AN621">
            <v>198639</v>
          </cell>
          <cell r="AO621">
            <v>272417</v>
          </cell>
          <cell r="AP621">
            <v>339442</v>
          </cell>
          <cell r="AQ621">
            <v>410403</v>
          </cell>
          <cell r="AR621">
            <v>479293</v>
          </cell>
          <cell r="AS621">
            <v>551961</v>
          </cell>
          <cell r="AT621">
            <v>621716</v>
          </cell>
          <cell r="AU621">
            <v>688698</v>
          </cell>
          <cell r="AV621">
            <v>760567</v>
          </cell>
          <cell r="AW621">
            <v>839305</v>
          </cell>
          <cell r="AX621">
            <v>942693</v>
          </cell>
          <cell r="AY621">
            <v>1091281</v>
          </cell>
          <cell r="AZ621">
            <v>1395808</v>
          </cell>
          <cell r="BA621">
            <v>2030400</v>
          </cell>
          <cell r="BB621">
            <v>2030400</v>
          </cell>
        </row>
        <row r="622">
          <cell r="A622" t="str">
            <v>CVS PHARMACY</v>
          </cell>
          <cell r="B622">
            <v>1110865</v>
          </cell>
          <cell r="C622">
            <v>2221730</v>
          </cell>
          <cell r="D622">
            <v>3295268</v>
          </cell>
          <cell r="E622">
            <v>4371638</v>
          </cell>
          <cell r="F622">
            <v>5330300</v>
          </cell>
          <cell r="G622">
            <v>6647077</v>
          </cell>
          <cell r="H622">
            <v>7652145</v>
          </cell>
          <cell r="I622">
            <v>8588554</v>
          </cell>
          <cell r="J622">
            <v>9469494</v>
          </cell>
          <cell r="K622">
            <v>10362144</v>
          </cell>
          <cell r="L622">
            <v>11285066</v>
          </cell>
          <cell r="M622">
            <v>12172549</v>
          </cell>
          <cell r="N622">
            <v>763485</v>
          </cell>
          <cell r="O622">
            <v>1742284</v>
          </cell>
          <cell r="P622">
            <v>2516938</v>
          </cell>
          <cell r="Q622">
            <v>3288165</v>
          </cell>
          <cell r="R622">
            <v>4035890</v>
          </cell>
          <cell r="S622">
            <v>5140220</v>
          </cell>
          <cell r="T622">
            <v>6040128</v>
          </cell>
          <cell r="U622">
            <v>6800190</v>
          </cell>
          <cell r="V622">
            <v>7597077</v>
          </cell>
          <cell r="W622">
            <v>8386362</v>
          </cell>
          <cell r="X622">
            <v>9278438</v>
          </cell>
          <cell r="Y622">
            <v>10555477</v>
          </cell>
          <cell r="Z622">
            <v>1080330</v>
          </cell>
          <cell r="AA622">
            <v>1873451</v>
          </cell>
          <cell r="AB622">
            <v>2566372</v>
          </cell>
          <cell r="AC622">
            <v>3268303</v>
          </cell>
          <cell r="AD622">
            <v>3268303</v>
          </cell>
          <cell r="AE622">
            <v>3268303</v>
          </cell>
          <cell r="AF622">
            <v>3268303</v>
          </cell>
          <cell r="AG622">
            <v>3268303</v>
          </cell>
          <cell r="AH622">
            <v>3268303</v>
          </cell>
          <cell r="AI622">
            <v>3268303</v>
          </cell>
          <cell r="AJ622">
            <v>3268303</v>
          </cell>
          <cell r="AK622">
            <v>3268303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</row>
        <row r="623">
          <cell r="A623" t="str">
            <v>DW - PETRO CANADA</v>
          </cell>
          <cell r="B623">
            <v>102654</v>
          </cell>
          <cell r="C623">
            <v>205308</v>
          </cell>
          <cell r="D623">
            <v>295785</v>
          </cell>
          <cell r="E623">
            <v>371699</v>
          </cell>
          <cell r="F623">
            <v>448781</v>
          </cell>
          <cell r="G623">
            <v>572463</v>
          </cell>
          <cell r="H623">
            <v>652802</v>
          </cell>
          <cell r="I623">
            <v>731153</v>
          </cell>
          <cell r="J623">
            <v>806703</v>
          </cell>
          <cell r="K623">
            <v>883797</v>
          </cell>
          <cell r="L623">
            <v>984279</v>
          </cell>
          <cell r="M623">
            <v>1072747</v>
          </cell>
          <cell r="N623">
            <v>86341</v>
          </cell>
          <cell r="O623">
            <v>203524</v>
          </cell>
          <cell r="P623">
            <v>310311</v>
          </cell>
          <cell r="Q623">
            <v>402861</v>
          </cell>
          <cell r="R623">
            <v>508056</v>
          </cell>
          <cell r="S623">
            <v>644349</v>
          </cell>
          <cell r="T623">
            <v>778376</v>
          </cell>
          <cell r="U623">
            <v>890569</v>
          </cell>
          <cell r="V623">
            <v>1005043</v>
          </cell>
          <cell r="W623">
            <v>1124844</v>
          </cell>
          <cell r="X623">
            <v>1240559</v>
          </cell>
          <cell r="Y623">
            <v>1389103</v>
          </cell>
          <cell r="Z623">
            <v>159687</v>
          </cell>
          <cell r="AA623">
            <v>289805</v>
          </cell>
          <cell r="AB623">
            <v>396407</v>
          </cell>
          <cell r="AC623">
            <v>517816</v>
          </cell>
          <cell r="AD623">
            <v>627091</v>
          </cell>
          <cell r="AE623">
            <v>734050</v>
          </cell>
          <cell r="AF623">
            <v>842095</v>
          </cell>
          <cell r="AG623">
            <v>954217</v>
          </cell>
          <cell r="AH623">
            <v>1077192</v>
          </cell>
          <cell r="AI623">
            <v>1192483</v>
          </cell>
          <cell r="AJ623">
            <v>1311173</v>
          </cell>
          <cell r="AK623">
            <v>1436389</v>
          </cell>
          <cell r="AL623">
            <v>128009</v>
          </cell>
          <cell r="AM623">
            <v>245565</v>
          </cell>
          <cell r="AN623">
            <v>387805</v>
          </cell>
          <cell r="AO623">
            <v>517674</v>
          </cell>
          <cell r="AP623">
            <v>645939</v>
          </cell>
          <cell r="AQ623">
            <v>764811</v>
          </cell>
          <cell r="AR623">
            <v>884051</v>
          </cell>
          <cell r="AS623">
            <v>1006505</v>
          </cell>
          <cell r="AT623">
            <v>1135645</v>
          </cell>
          <cell r="AU623">
            <v>1290017</v>
          </cell>
          <cell r="AV623">
            <v>1475400</v>
          </cell>
          <cell r="AW623">
            <v>1785642</v>
          </cell>
          <cell r="AX623">
            <v>2213234</v>
          </cell>
          <cell r="AY623">
            <v>2936866</v>
          </cell>
          <cell r="AZ623">
            <v>4046660</v>
          </cell>
          <cell r="BA623">
            <v>4271575</v>
          </cell>
          <cell r="BB623">
            <v>4271575</v>
          </cell>
        </row>
        <row r="624">
          <cell r="A624" t="str">
            <v>FEDERATED CO-OP - CANADA</v>
          </cell>
          <cell r="B624">
            <v>88881</v>
          </cell>
          <cell r="C624">
            <v>169493</v>
          </cell>
          <cell r="D624">
            <v>251238</v>
          </cell>
          <cell r="E624">
            <v>330308</v>
          </cell>
          <cell r="F624">
            <v>408124</v>
          </cell>
          <cell r="G624">
            <v>516345</v>
          </cell>
          <cell r="H624">
            <v>601127</v>
          </cell>
          <cell r="I624">
            <v>680341</v>
          </cell>
          <cell r="J624">
            <v>761746</v>
          </cell>
          <cell r="K624">
            <v>847037</v>
          </cell>
          <cell r="L624">
            <v>931049</v>
          </cell>
          <cell r="M624">
            <v>1019408</v>
          </cell>
          <cell r="N624">
            <v>92954</v>
          </cell>
          <cell r="O624">
            <v>204743</v>
          </cell>
          <cell r="P624">
            <v>285649</v>
          </cell>
          <cell r="Q624">
            <v>369544</v>
          </cell>
          <cell r="R624">
            <v>464733</v>
          </cell>
          <cell r="S624">
            <v>584663</v>
          </cell>
          <cell r="T624">
            <v>675768</v>
          </cell>
          <cell r="U624">
            <v>757732</v>
          </cell>
          <cell r="V624">
            <v>849691</v>
          </cell>
          <cell r="W624">
            <v>943106</v>
          </cell>
          <cell r="X624">
            <v>1048391</v>
          </cell>
          <cell r="Y624">
            <v>1206197</v>
          </cell>
          <cell r="Z624">
            <v>153404</v>
          </cell>
          <cell r="AA624">
            <v>240961</v>
          </cell>
          <cell r="AB624">
            <v>376025</v>
          </cell>
          <cell r="AC624">
            <v>463231</v>
          </cell>
          <cell r="AD624">
            <v>553416</v>
          </cell>
          <cell r="AE624">
            <v>640878</v>
          </cell>
          <cell r="AF624">
            <v>729426</v>
          </cell>
          <cell r="AG624">
            <v>816710</v>
          </cell>
          <cell r="AH624">
            <v>909795</v>
          </cell>
          <cell r="AI624">
            <v>1053826</v>
          </cell>
          <cell r="AJ624">
            <v>1155455</v>
          </cell>
          <cell r="AK624">
            <v>1284220</v>
          </cell>
          <cell r="AL624">
            <v>124860</v>
          </cell>
          <cell r="AM624">
            <v>247704</v>
          </cell>
          <cell r="AN624">
            <v>355541</v>
          </cell>
          <cell r="AO624">
            <v>477468</v>
          </cell>
          <cell r="AP624">
            <v>586512</v>
          </cell>
          <cell r="AQ624">
            <v>684625</v>
          </cell>
          <cell r="AR624">
            <v>795173</v>
          </cell>
          <cell r="AS624">
            <v>904301</v>
          </cell>
          <cell r="AT624">
            <v>1056173</v>
          </cell>
          <cell r="AU624">
            <v>1232065</v>
          </cell>
          <cell r="AV624">
            <v>1517194</v>
          </cell>
          <cell r="AW624">
            <v>1895846</v>
          </cell>
          <cell r="AX624">
            <v>2524407</v>
          </cell>
          <cell r="AY624">
            <v>3698592</v>
          </cell>
          <cell r="AZ624">
            <v>4885673</v>
          </cell>
          <cell r="BA624">
            <v>5049034</v>
          </cell>
          <cell r="BB624">
            <v>5049034</v>
          </cell>
        </row>
        <row r="625">
          <cell r="A625" t="str">
            <v>FOOD LION</v>
          </cell>
          <cell r="B625">
            <v>423919</v>
          </cell>
          <cell r="C625">
            <v>850965</v>
          </cell>
          <cell r="D625">
            <v>1234593</v>
          </cell>
          <cell r="E625">
            <v>1617752</v>
          </cell>
          <cell r="F625">
            <v>1977438</v>
          </cell>
          <cell r="G625">
            <v>2563118</v>
          </cell>
          <cell r="H625">
            <v>2925033</v>
          </cell>
          <cell r="I625">
            <v>3282431</v>
          </cell>
          <cell r="J625">
            <v>3646836</v>
          </cell>
          <cell r="K625">
            <v>4010890</v>
          </cell>
          <cell r="L625">
            <v>4397530</v>
          </cell>
          <cell r="M625">
            <v>4762805</v>
          </cell>
          <cell r="N625">
            <v>374761</v>
          </cell>
          <cell r="O625">
            <v>892856</v>
          </cell>
          <cell r="P625">
            <v>1254832</v>
          </cell>
          <cell r="Q625">
            <v>1662401</v>
          </cell>
          <cell r="R625">
            <v>2095740</v>
          </cell>
          <cell r="S625">
            <v>2979272</v>
          </cell>
          <cell r="T625">
            <v>3688171</v>
          </cell>
          <cell r="U625">
            <v>4258031</v>
          </cell>
          <cell r="V625">
            <v>4890302</v>
          </cell>
          <cell r="W625">
            <v>5601200</v>
          </cell>
          <cell r="X625">
            <v>6518028</v>
          </cell>
          <cell r="Y625">
            <v>7648285</v>
          </cell>
          <cell r="Z625">
            <v>803377</v>
          </cell>
          <cell r="AA625">
            <v>1413036</v>
          </cell>
          <cell r="AB625">
            <v>2033846</v>
          </cell>
          <cell r="AC625">
            <v>2679880</v>
          </cell>
          <cell r="AD625">
            <v>3342147</v>
          </cell>
          <cell r="AE625">
            <v>4003200</v>
          </cell>
          <cell r="AF625">
            <v>4686084</v>
          </cell>
          <cell r="AG625">
            <v>5382169</v>
          </cell>
          <cell r="AH625">
            <v>6041003</v>
          </cell>
          <cell r="AI625">
            <v>6704437</v>
          </cell>
          <cell r="AJ625">
            <v>7346967</v>
          </cell>
          <cell r="AK625">
            <v>7984490</v>
          </cell>
          <cell r="AL625">
            <v>657245</v>
          </cell>
          <cell r="AM625">
            <v>1295929</v>
          </cell>
          <cell r="AN625">
            <v>1921742</v>
          </cell>
          <cell r="AO625">
            <v>2571082</v>
          </cell>
          <cell r="AP625">
            <v>3209558</v>
          </cell>
          <cell r="AQ625">
            <v>3854948</v>
          </cell>
          <cell r="AR625">
            <v>4502637</v>
          </cell>
          <cell r="AS625">
            <v>5137920</v>
          </cell>
          <cell r="AT625">
            <v>5854535</v>
          </cell>
          <cell r="AU625">
            <v>6609199</v>
          </cell>
          <cell r="AV625">
            <v>7471883</v>
          </cell>
          <cell r="AW625">
            <v>8861522</v>
          </cell>
          <cell r="AX625">
            <v>11069994</v>
          </cell>
          <cell r="AY625">
            <v>16311554</v>
          </cell>
          <cell r="AZ625">
            <v>23781399</v>
          </cell>
          <cell r="BA625">
            <v>24756287</v>
          </cell>
          <cell r="BB625">
            <v>24756287</v>
          </cell>
        </row>
        <row r="626">
          <cell r="A626" t="str">
            <v>GIANT EAGLE</v>
          </cell>
          <cell r="B626">
            <v>7295573</v>
          </cell>
          <cell r="C626">
            <v>14638391</v>
          </cell>
          <cell r="D626">
            <v>22728615</v>
          </cell>
          <cell r="E626">
            <v>31173174</v>
          </cell>
          <cell r="F626">
            <v>39908539</v>
          </cell>
          <cell r="G626">
            <v>49018180</v>
          </cell>
          <cell r="H626">
            <v>57964817</v>
          </cell>
          <cell r="I626">
            <v>66430098</v>
          </cell>
          <cell r="J626">
            <v>73827899</v>
          </cell>
          <cell r="K626">
            <v>81079832</v>
          </cell>
          <cell r="L626">
            <v>90201985</v>
          </cell>
          <cell r="M626">
            <v>100112449</v>
          </cell>
          <cell r="N626">
            <v>10321099</v>
          </cell>
          <cell r="O626">
            <v>21258726</v>
          </cell>
          <cell r="P626">
            <v>29582499</v>
          </cell>
          <cell r="Q626">
            <v>40826352</v>
          </cell>
          <cell r="R626">
            <v>53783366</v>
          </cell>
          <cell r="S626">
            <v>70512434</v>
          </cell>
          <cell r="T626">
            <v>85120460</v>
          </cell>
          <cell r="U626">
            <v>98268110</v>
          </cell>
          <cell r="V626">
            <v>113251247</v>
          </cell>
          <cell r="W626">
            <v>128650688</v>
          </cell>
          <cell r="X626">
            <v>144797184</v>
          </cell>
          <cell r="Y626">
            <v>163559146</v>
          </cell>
          <cell r="Z626">
            <v>15179113</v>
          </cell>
          <cell r="AA626">
            <v>30081997</v>
          </cell>
          <cell r="AB626">
            <v>44062281</v>
          </cell>
          <cell r="AC626">
            <v>58754928</v>
          </cell>
          <cell r="AD626">
            <v>72942333</v>
          </cell>
          <cell r="AE626">
            <v>86670368</v>
          </cell>
          <cell r="AF626">
            <v>100169092</v>
          </cell>
          <cell r="AG626">
            <v>116109403</v>
          </cell>
          <cell r="AH626">
            <v>133596909</v>
          </cell>
          <cell r="AI626">
            <v>151876488</v>
          </cell>
          <cell r="AJ626">
            <v>170894549</v>
          </cell>
          <cell r="AK626">
            <v>183187443</v>
          </cell>
          <cell r="AL626">
            <v>12000585</v>
          </cell>
          <cell r="AM626">
            <v>23853198</v>
          </cell>
          <cell r="AN626">
            <v>35932592</v>
          </cell>
          <cell r="AO626">
            <v>48197697</v>
          </cell>
          <cell r="AP626">
            <v>59865845</v>
          </cell>
          <cell r="AQ626">
            <v>73221141</v>
          </cell>
          <cell r="AR626">
            <v>87295925</v>
          </cell>
          <cell r="AS626">
            <v>100988097</v>
          </cell>
          <cell r="AT626">
            <v>115183356</v>
          </cell>
          <cell r="AU626">
            <v>131981146</v>
          </cell>
          <cell r="AV626">
            <v>150805459</v>
          </cell>
          <cell r="AW626">
            <v>175925714</v>
          </cell>
          <cell r="AX626">
            <v>215380700</v>
          </cell>
          <cell r="AY626">
            <v>266500457</v>
          </cell>
          <cell r="AZ626">
            <v>315081478</v>
          </cell>
          <cell r="BA626">
            <v>338375657</v>
          </cell>
          <cell r="BB626">
            <v>338375657</v>
          </cell>
        </row>
        <row r="627">
          <cell r="A627" t="str">
            <v>HANNAFORD</v>
          </cell>
          <cell r="B627">
            <v>218939</v>
          </cell>
          <cell r="C627">
            <v>436504</v>
          </cell>
          <cell r="D627">
            <v>622502</v>
          </cell>
          <cell r="E627">
            <v>815175</v>
          </cell>
          <cell r="F627">
            <v>1028800</v>
          </cell>
          <cell r="G627">
            <v>1327062</v>
          </cell>
          <cell r="H627">
            <v>1554216</v>
          </cell>
          <cell r="I627">
            <v>1749044</v>
          </cell>
          <cell r="J627">
            <v>1957898</v>
          </cell>
          <cell r="K627">
            <v>2190626</v>
          </cell>
          <cell r="L627">
            <v>2433542</v>
          </cell>
          <cell r="M627">
            <v>2658704</v>
          </cell>
          <cell r="N627">
            <v>240252</v>
          </cell>
          <cell r="O627">
            <v>600658</v>
          </cell>
          <cell r="P627">
            <v>829699</v>
          </cell>
          <cell r="Q627">
            <v>1080078</v>
          </cell>
          <cell r="R627">
            <v>1345531</v>
          </cell>
          <cell r="S627">
            <v>1779832</v>
          </cell>
          <cell r="T627">
            <v>2115639</v>
          </cell>
          <cell r="U627">
            <v>2408017</v>
          </cell>
          <cell r="V627">
            <v>2715704</v>
          </cell>
          <cell r="W627">
            <v>3051699</v>
          </cell>
          <cell r="X627">
            <v>3466167</v>
          </cell>
          <cell r="Y627">
            <v>4024321</v>
          </cell>
          <cell r="Z627">
            <v>472146</v>
          </cell>
          <cell r="AA627">
            <v>822892</v>
          </cell>
          <cell r="AB627">
            <v>1122892</v>
          </cell>
          <cell r="AC627">
            <v>1425635</v>
          </cell>
          <cell r="AD627">
            <v>1728032</v>
          </cell>
          <cell r="AE627">
            <v>2034498</v>
          </cell>
          <cell r="AF627">
            <v>2356517</v>
          </cell>
          <cell r="AG627">
            <v>2679685</v>
          </cell>
          <cell r="AH627">
            <v>3000750</v>
          </cell>
          <cell r="AI627">
            <v>3326879</v>
          </cell>
          <cell r="AJ627">
            <v>3630560</v>
          </cell>
          <cell r="AK627">
            <v>3933492</v>
          </cell>
          <cell r="AL627">
            <v>292345</v>
          </cell>
          <cell r="AM627">
            <v>589833</v>
          </cell>
          <cell r="AN627">
            <v>884397</v>
          </cell>
          <cell r="AO627">
            <v>1184177</v>
          </cell>
          <cell r="AP627">
            <v>1480422</v>
          </cell>
          <cell r="AQ627">
            <v>1775808</v>
          </cell>
          <cell r="AR627">
            <v>2073031</v>
          </cell>
          <cell r="AS627">
            <v>2371385</v>
          </cell>
          <cell r="AT627">
            <v>2684145</v>
          </cell>
          <cell r="AU627">
            <v>3008475</v>
          </cell>
          <cell r="AV627">
            <v>3377321</v>
          </cell>
          <cell r="AW627">
            <v>3985765</v>
          </cell>
          <cell r="AX627">
            <v>4869082</v>
          </cell>
          <cell r="AY627">
            <v>7055227</v>
          </cell>
          <cell r="AZ627">
            <v>9998857</v>
          </cell>
          <cell r="BA627">
            <v>10373842</v>
          </cell>
          <cell r="BB627">
            <v>10373842</v>
          </cell>
        </row>
        <row r="628">
          <cell r="A628" t="str">
            <v>HARRIS TEETER</v>
          </cell>
          <cell r="B628">
            <v>61527</v>
          </cell>
          <cell r="C628">
            <v>113049</v>
          </cell>
          <cell r="D628">
            <v>162677</v>
          </cell>
          <cell r="E628">
            <v>211418</v>
          </cell>
          <cell r="F628">
            <v>262259</v>
          </cell>
          <cell r="G628">
            <v>352309</v>
          </cell>
          <cell r="H628">
            <v>408363</v>
          </cell>
          <cell r="I628">
            <v>458047</v>
          </cell>
          <cell r="J628">
            <v>509100</v>
          </cell>
          <cell r="K628">
            <v>563247</v>
          </cell>
          <cell r="L628">
            <v>620331</v>
          </cell>
          <cell r="M628">
            <v>674193</v>
          </cell>
          <cell r="N628">
            <v>56075</v>
          </cell>
          <cell r="O628">
            <v>139487</v>
          </cell>
          <cell r="P628">
            <v>193255</v>
          </cell>
          <cell r="Q628">
            <v>250722</v>
          </cell>
          <cell r="R628">
            <v>318761</v>
          </cell>
          <cell r="S628">
            <v>445344</v>
          </cell>
          <cell r="T628">
            <v>510932</v>
          </cell>
          <cell r="U628">
            <v>603921</v>
          </cell>
          <cell r="V628">
            <v>683410</v>
          </cell>
          <cell r="W628">
            <v>766041</v>
          </cell>
          <cell r="X628">
            <v>869030</v>
          </cell>
          <cell r="Y628">
            <v>1029629</v>
          </cell>
          <cell r="Z628">
            <v>104840</v>
          </cell>
          <cell r="AA628">
            <v>182894</v>
          </cell>
          <cell r="AB628">
            <v>253334</v>
          </cell>
          <cell r="AC628">
            <v>324373</v>
          </cell>
          <cell r="AD628">
            <v>399931</v>
          </cell>
          <cell r="AE628">
            <v>473693</v>
          </cell>
          <cell r="AF628">
            <v>549561</v>
          </cell>
          <cell r="AG628">
            <v>624880</v>
          </cell>
          <cell r="AH628">
            <v>701631</v>
          </cell>
          <cell r="AI628">
            <v>779391</v>
          </cell>
          <cell r="AJ628">
            <v>852804</v>
          </cell>
          <cell r="AK628">
            <v>924345</v>
          </cell>
          <cell r="AL628">
            <v>72565</v>
          </cell>
          <cell r="AM628">
            <v>146143</v>
          </cell>
          <cell r="AN628">
            <v>217260</v>
          </cell>
          <cell r="AO628">
            <v>290080</v>
          </cell>
          <cell r="AP628">
            <v>360926</v>
          </cell>
          <cell r="AQ628">
            <v>436008</v>
          </cell>
          <cell r="AR628">
            <v>508840</v>
          </cell>
          <cell r="AS628">
            <v>584745</v>
          </cell>
          <cell r="AT628">
            <v>667325</v>
          </cell>
          <cell r="AU628">
            <v>755934</v>
          </cell>
          <cell r="AV628">
            <v>857450</v>
          </cell>
          <cell r="AW628">
            <v>1039977</v>
          </cell>
          <cell r="AX628">
            <v>1385684</v>
          </cell>
          <cell r="AY628">
            <v>2171717</v>
          </cell>
          <cell r="AZ628">
            <v>3117419</v>
          </cell>
          <cell r="BA628">
            <v>3215083</v>
          </cell>
          <cell r="BB628">
            <v>3215083</v>
          </cell>
        </row>
        <row r="629">
          <cell r="A629" t="str">
            <v>HY-VEE</v>
          </cell>
          <cell r="B629">
            <v>341218</v>
          </cell>
          <cell r="C629">
            <v>675219</v>
          </cell>
          <cell r="D629">
            <v>970809</v>
          </cell>
          <cell r="E629">
            <v>1277602</v>
          </cell>
          <cell r="F629">
            <v>1534996</v>
          </cell>
          <cell r="G629">
            <v>1947280</v>
          </cell>
          <cell r="H629">
            <v>2246733</v>
          </cell>
          <cell r="I629">
            <v>2501612</v>
          </cell>
          <cell r="J629">
            <v>2778608</v>
          </cell>
          <cell r="K629">
            <v>3062997</v>
          </cell>
          <cell r="L629">
            <v>3356522</v>
          </cell>
          <cell r="M629">
            <v>3635990</v>
          </cell>
          <cell r="N629">
            <v>262714</v>
          </cell>
          <cell r="O629">
            <v>625642</v>
          </cell>
          <cell r="P629">
            <v>890518</v>
          </cell>
          <cell r="Q629">
            <v>1170623</v>
          </cell>
          <cell r="R629">
            <v>1472837</v>
          </cell>
          <cell r="S629">
            <v>1938328</v>
          </cell>
          <cell r="T629">
            <v>2345498</v>
          </cell>
          <cell r="U629">
            <v>2675462</v>
          </cell>
          <cell r="V629">
            <v>3008521</v>
          </cell>
          <cell r="W629">
            <v>3344485</v>
          </cell>
          <cell r="X629">
            <v>3686011</v>
          </cell>
          <cell r="Y629">
            <v>4173776</v>
          </cell>
          <cell r="Z629">
            <v>359310</v>
          </cell>
          <cell r="AA629">
            <v>625853</v>
          </cell>
          <cell r="AB629">
            <v>880256</v>
          </cell>
          <cell r="AC629">
            <v>1160427</v>
          </cell>
          <cell r="AD629">
            <v>1433503</v>
          </cell>
          <cell r="AE629">
            <v>1716658</v>
          </cell>
          <cell r="AF629">
            <v>2001700</v>
          </cell>
          <cell r="AG629">
            <v>2295028</v>
          </cell>
          <cell r="AH629">
            <v>2579331</v>
          </cell>
          <cell r="AI629">
            <v>2855853</v>
          </cell>
          <cell r="AJ629">
            <v>3118930</v>
          </cell>
          <cell r="AK629">
            <v>3388827</v>
          </cell>
          <cell r="AL629">
            <v>261624</v>
          </cell>
          <cell r="AM629">
            <v>510062</v>
          </cell>
          <cell r="AN629">
            <v>756121</v>
          </cell>
          <cell r="AO629">
            <v>998985</v>
          </cell>
          <cell r="AP629">
            <v>1245290</v>
          </cell>
          <cell r="AQ629">
            <v>1519522</v>
          </cell>
          <cell r="AR629">
            <v>1755220</v>
          </cell>
          <cell r="AS629">
            <v>2003250</v>
          </cell>
          <cell r="AT629">
            <v>2264649</v>
          </cell>
          <cell r="AU629">
            <v>2555548</v>
          </cell>
          <cell r="AV629">
            <v>2905897</v>
          </cell>
          <cell r="AW629">
            <v>3817346</v>
          </cell>
          <cell r="AX629">
            <v>6024494</v>
          </cell>
          <cell r="AY629">
            <v>10340707</v>
          </cell>
          <cell r="AZ629">
            <v>15160283</v>
          </cell>
          <cell r="BA629">
            <v>15619903</v>
          </cell>
          <cell r="BB629">
            <v>15619903</v>
          </cell>
        </row>
        <row r="630">
          <cell r="A630" t="str">
            <v>INGLES MARKETS</v>
          </cell>
          <cell r="B630">
            <v>114002</v>
          </cell>
          <cell r="C630">
            <v>213097</v>
          </cell>
          <cell r="D630">
            <v>307922</v>
          </cell>
          <cell r="E630">
            <v>398894</v>
          </cell>
          <cell r="F630">
            <v>498046</v>
          </cell>
          <cell r="G630">
            <v>600512</v>
          </cell>
          <cell r="H630">
            <v>739068</v>
          </cell>
          <cell r="I630">
            <v>825529</v>
          </cell>
          <cell r="J630">
            <v>916397</v>
          </cell>
          <cell r="K630">
            <v>1010004</v>
          </cell>
          <cell r="L630">
            <v>1106689</v>
          </cell>
          <cell r="M630">
            <v>1229836</v>
          </cell>
          <cell r="N630">
            <v>99267</v>
          </cell>
          <cell r="O630">
            <v>210039</v>
          </cell>
          <cell r="P630">
            <v>313616</v>
          </cell>
          <cell r="Q630">
            <v>412536</v>
          </cell>
          <cell r="R630">
            <v>523952</v>
          </cell>
          <cell r="S630">
            <v>640735</v>
          </cell>
          <cell r="T630">
            <v>816696</v>
          </cell>
          <cell r="U630">
            <v>957580</v>
          </cell>
          <cell r="V630">
            <v>1112156</v>
          </cell>
          <cell r="W630">
            <v>1247062</v>
          </cell>
          <cell r="X630">
            <v>1392723</v>
          </cell>
          <cell r="Y630">
            <v>1595928</v>
          </cell>
          <cell r="Z630">
            <v>155571</v>
          </cell>
          <cell r="AA630">
            <v>270566</v>
          </cell>
          <cell r="AB630">
            <v>383945</v>
          </cell>
          <cell r="AC630">
            <v>499907</v>
          </cell>
          <cell r="AD630">
            <v>605240</v>
          </cell>
          <cell r="AE630">
            <v>719079</v>
          </cell>
          <cell r="AF630">
            <v>831756</v>
          </cell>
          <cell r="AG630">
            <v>954035</v>
          </cell>
          <cell r="AH630">
            <v>1067612</v>
          </cell>
          <cell r="AI630">
            <v>1184476</v>
          </cell>
          <cell r="AJ630">
            <v>1293735</v>
          </cell>
          <cell r="AK630">
            <v>1399969</v>
          </cell>
          <cell r="AL630">
            <v>119592</v>
          </cell>
          <cell r="AM630">
            <v>237039</v>
          </cell>
          <cell r="AN630">
            <v>341834</v>
          </cell>
          <cell r="AO630">
            <v>449419</v>
          </cell>
          <cell r="AP630">
            <v>565644</v>
          </cell>
          <cell r="AQ630">
            <v>707706</v>
          </cell>
          <cell r="AR630">
            <v>820342</v>
          </cell>
          <cell r="AS630">
            <v>938460</v>
          </cell>
          <cell r="AT630">
            <v>1055282</v>
          </cell>
          <cell r="AU630">
            <v>1168738</v>
          </cell>
          <cell r="AV630">
            <v>1285773</v>
          </cell>
          <cell r="AW630">
            <v>1463885</v>
          </cell>
          <cell r="AX630">
            <v>1679178</v>
          </cell>
          <cell r="AY630">
            <v>1985814</v>
          </cell>
          <cell r="AZ630">
            <v>2666733</v>
          </cell>
          <cell r="BA630">
            <v>3519491</v>
          </cell>
          <cell r="BB630">
            <v>3519491</v>
          </cell>
        </row>
        <row r="631">
          <cell r="A631" t="str">
            <v>KATZ</v>
          </cell>
          <cell r="B631">
            <v>108644</v>
          </cell>
          <cell r="C631">
            <v>215395</v>
          </cell>
          <cell r="D631">
            <v>316113</v>
          </cell>
          <cell r="E631">
            <v>423791</v>
          </cell>
          <cell r="F631">
            <v>524528</v>
          </cell>
          <cell r="G631">
            <v>694688</v>
          </cell>
          <cell r="H631">
            <v>807704</v>
          </cell>
          <cell r="I631">
            <v>909645</v>
          </cell>
          <cell r="J631">
            <v>1006954</v>
          </cell>
          <cell r="K631">
            <v>1112857</v>
          </cell>
          <cell r="L631">
            <v>1229116</v>
          </cell>
          <cell r="M631">
            <v>1336453</v>
          </cell>
          <cell r="N631">
            <v>116496</v>
          </cell>
          <cell r="O631">
            <v>281252</v>
          </cell>
          <cell r="P631">
            <v>393117</v>
          </cell>
          <cell r="Q631">
            <v>519985</v>
          </cell>
          <cell r="R631">
            <v>650360</v>
          </cell>
          <cell r="S631">
            <v>867165</v>
          </cell>
          <cell r="T631">
            <v>1030957</v>
          </cell>
          <cell r="U631">
            <v>1178892</v>
          </cell>
          <cell r="V631">
            <v>1340267</v>
          </cell>
          <cell r="W631">
            <v>1504922</v>
          </cell>
          <cell r="X631">
            <v>1707811</v>
          </cell>
          <cell r="Y631">
            <v>1967034</v>
          </cell>
          <cell r="Z631">
            <v>213453</v>
          </cell>
          <cell r="AA631">
            <v>435407</v>
          </cell>
          <cell r="AB631">
            <v>566570</v>
          </cell>
          <cell r="AC631">
            <v>696082</v>
          </cell>
          <cell r="AD631">
            <v>843227</v>
          </cell>
          <cell r="AE631">
            <v>991133</v>
          </cell>
          <cell r="AF631">
            <v>1139456</v>
          </cell>
          <cell r="AG631">
            <v>1295353</v>
          </cell>
          <cell r="AH631">
            <v>1457448</v>
          </cell>
          <cell r="AI631">
            <v>1623927</v>
          </cell>
          <cell r="AJ631">
            <v>1792348</v>
          </cell>
          <cell r="AK631">
            <v>1953374</v>
          </cell>
          <cell r="AL631">
            <v>168874</v>
          </cell>
          <cell r="AM631">
            <v>336784</v>
          </cell>
          <cell r="AN631">
            <v>502240</v>
          </cell>
          <cell r="AO631">
            <v>669144</v>
          </cell>
          <cell r="AP631">
            <v>834087</v>
          </cell>
          <cell r="AQ631">
            <v>984533</v>
          </cell>
          <cell r="AR631">
            <v>1128069</v>
          </cell>
          <cell r="AS631">
            <v>1279801</v>
          </cell>
          <cell r="AT631">
            <v>1424787</v>
          </cell>
          <cell r="AU631">
            <v>1599790</v>
          </cell>
          <cell r="AV631">
            <v>1830321</v>
          </cell>
          <cell r="AW631">
            <v>2278674</v>
          </cell>
          <cell r="AX631">
            <v>3007671</v>
          </cell>
          <cell r="AY631">
            <v>4405449</v>
          </cell>
          <cell r="AZ631">
            <v>5971395</v>
          </cell>
          <cell r="BA631">
            <v>6284949</v>
          </cell>
          <cell r="BB631">
            <v>6284949</v>
          </cell>
        </row>
        <row r="632">
          <cell r="A632" t="str">
            <v>KING KULLEN</v>
          </cell>
          <cell r="B632">
            <v>109174</v>
          </cell>
          <cell r="C632">
            <v>195092</v>
          </cell>
          <cell r="D632">
            <v>278007</v>
          </cell>
          <cell r="E632">
            <v>353604</v>
          </cell>
          <cell r="F632">
            <v>430407</v>
          </cell>
          <cell r="G632">
            <v>516941</v>
          </cell>
          <cell r="H632">
            <v>617972</v>
          </cell>
          <cell r="I632">
            <v>690936</v>
          </cell>
          <cell r="J632">
            <v>778356</v>
          </cell>
          <cell r="K632">
            <v>866189</v>
          </cell>
          <cell r="L632">
            <v>964087</v>
          </cell>
          <cell r="M632">
            <v>1102272</v>
          </cell>
          <cell r="N632">
            <v>72696</v>
          </cell>
          <cell r="O632">
            <v>159418</v>
          </cell>
          <cell r="P632">
            <v>243962</v>
          </cell>
          <cell r="Q632">
            <v>338756</v>
          </cell>
          <cell r="R632">
            <v>427396</v>
          </cell>
          <cell r="S632">
            <v>521815</v>
          </cell>
          <cell r="T632">
            <v>686386</v>
          </cell>
          <cell r="U632">
            <v>810281</v>
          </cell>
          <cell r="V632">
            <v>914695</v>
          </cell>
          <cell r="W632">
            <v>1011408</v>
          </cell>
          <cell r="X632">
            <v>1141029</v>
          </cell>
          <cell r="Y632">
            <v>1374299</v>
          </cell>
          <cell r="Z632">
            <v>216045</v>
          </cell>
          <cell r="AA632">
            <v>435370</v>
          </cell>
          <cell r="AB632">
            <v>547268</v>
          </cell>
          <cell r="AC632">
            <v>653321</v>
          </cell>
          <cell r="AD632">
            <v>765040</v>
          </cell>
          <cell r="AE632">
            <v>868701</v>
          </cell>
          <cell r="AF632">
            <v>974160</v>
          </cell>
          <cell r="AG632">
            <v>1079529</v>
          </cell>
          <cell r="AH632">
            <v>1190533</v>
          </cell>
          <cell r="AI632">
            <v>1295432</v>
          </cell>
          <cell r="AJ632">
            <v>1390610</v>
          </cell>
          <cell r="AK632">
            <v>1476895</v>
          </cell>
          <cell r="AL632">
            <v>90562</v>
          </cell>
          <cell r="AM632">
            <v>183682</v>
          </cell>
          <cell r="AN632">
            <v>270414</v>
          </cell>
          <cell r="AO632">
            <v>371316</v>
          </cell>
          <cell r="AP632">
            <v>462625</v>
          </cell>
          <cell r="AQ632">
            <v>559580</v>
          </cell>
          <cell r="AR632">
            <v>651823</v>
          </cell>
          <cell r="AS632">
            <v>741781</v>
          </cell>
          <cell r="AT632">
            <v>835616</v>
          </cell>
          <cell r="AU632">
            <v>932454</v>
          </cell>
          <cell r="AV632">
            <v>1040312</v>
          </cell>
          <cell r="AW632">
            <v>1160410</v>
          </cell>
          <cell r="AX632">
            <v>1333079</v>
          </cell>
          <cell r="AY632">
            <v>1636757</v>
          </cell>
          <cell r="AZ632">
            <v>2412064</v>
          </cell>
          <cell r="BA632">
            <v>3578464</v>
          </cell>
          <cell r="BB632">
            <v>3578464</v>
          </cell>
        </row>
        <row r="633">
          <cell r="A633" t="str">
            <v>KMART</v>
          </cell>
          <cell r="B633">
            <v>951410</v>
          </cell>
          <cell r="C633">
            <v>1898833</v>
          </cell>
          <cell r="D633">
            <v>2746543</v>
          </cell>
          <cell r="E633">
            <v>3607187</v>
          </cell>
          <cell r="F633">
            <v>4565094</v>
          </cell>
          <cell r="G633">
            <v>5722709</v>
          </cell>
          <cell r="H633">
            <v>6744157</v>
          </cell>
          <cell r="I633">
            <v>7644448</v>
          </cell>
          <cell r="J633">
            <v>8577963</v>
          </cell>
          <cell r="K633">
            <v>9524990</v>
          </cell>
          <cell r="L633">
            <v>10478592</v>
          </cell>
          <cell r="M633">
            <v>11410704</v>
          </cell>
          <cell r="N633">
            <v>883070</v>
          </cell>
          <cell r="O633">
            <v>2175153</v>
          </cell>
          <cell r="P633">
            <v>3084867</v>
          </cell>
          <cell r="Q633">
            <v>3998682</v>
          </cell>
          <cell r="R633">
            <v>4881460</v>
          </cell>
          <cell r="S633">
            <v>6148606</v>
          </cell>
          <cell r="T633">
            <v>7172671</v>
          </cell>
          <cell r="U633">
            <v>8168958</v>
          </cell>
          <cell r="V633">
            <v>9145229</v>
          </cell>
          <cell r="W633">
            <v>10144313</v>
          </cell>
          <cell r="X633">
            <v>11304226</v>
          </cell>
          <cell r="Y633">
            <v>12798115</v>
          </cell>
          <cell r="Z633">
            <v>1125713</v>
          </cell>
          <cell r="AA633">
            <v>2028967</v>
          </cell>
          <cell r="AB633">
            <v>2896833</v>
          </cell>
          <cell r="AC633">
            <v>3852883</v>
          </cell>
          <cell r="AD633">
            <v>4777729</v>
          </cell>
          <cell r="AE633">
            <v>5661011</v>
          </cell>
          <cell r="AF633">
            <v>6594623</v>
          </cell>
          <cell r="AG633">
            <v>7507262</v>
          </cell>
          <cell r="AH633">
            <v>8394567</v>
          </cell>
          <cell r="AI633">
            <v>9252082</v>
          </cell>
          <cell r="AJ633">
            <v>10114679</v>
          </cell>
          <cell r="AK633">
            <v>10966291</v>
          </cell>
          <cell r="AL633">
            <v>792043</v>
          </cell>
          <cell r="AM633">
            <v>1579630</v>
          </cell>
          <cell r="AN633">
            <v>2341596</v>
          </cell>
          <cell r="AO633">
            <v>3215750</v>
          </cell>
          <cell r="AP633">
            <v>4081208</v>
          </cell>
          <cell r="AQ633">
            <v>4929617</v>
          </cell>
          <cell r="AR633">
            <v>5847329</v>
          </cell>
          <cell r="AS633">
            <v>6693062</v>
          </cell>
          <cell r="AT633">
            <v>7642484</v>
          </cell>
          <cell r="AU633">
            <v>8671766</v>
          </cell>
          <cell r="AV633">
            <v>9804564</v>
          </cell>
          <cell r="AW633">
            <v>11688843</v>
          </cell>
          <cell r="AX633">
            <v>14495097</v>
          </cell>
          <cell r="AY633">
            <v>19630046</v>
          </cell>
          <cell r="AZ633">
            <v>26045415</v>
          </cell>
          <cell r="BA633">
            <v>27610210</v>
          </cell>
          <cell r="BB633">
            <v>27610210</v>
          </cell>
        </row>
        <row r="634">
          <cell r="A634" t="str">
            <v>KOHLS</v>
          </cell>
          <cell r="B634">
            <v>252117</v>
          </cell>
          <cell r="C634">
            <v>458941</v>
          </cell>
          <cell r="D634">
            <v>644925</v>
          </cell>
          <cell r="E634">
            <v>837675</v>
          </cell>
          <cell r="F634">
            <v>1044573</v>
          </cell>
          <cell r="G634">
            <v>1388608</v>
          </cell>
          <cell r="H634">
            <v>1613789</v>
          </cell>
          <cell r="I634">
            <v>1811296</v>
          </cell>
          <cell r="J634">
            <v>1998534</v>
          </cell>
          <cell r="K634">
            <v>2197008</v>
          </cell>
          <cell r="L634">
            <v>2413361</v>
          </cell>
          <cell r="M634">
            <v>2612365</v>
          </cell>
          <cell r="N634">
            <v>197901</v>
          </cell>
          <cell r="O634">
            <v>574681</v>
          </cell>
          <cell r="P634">
            <v>762302</v>
          </cell>
          <cell r="Q634">
            <v>959825</v>
          </cell>
          <cell r="R634">
            <v>1158697</v>
          </cell>
          <cell r="S634">
            <v>1575435</v>
          </cell>
          <cell r="T634">
            <v>1802929</v>
          </cell>
          <cell r="U634">
            <v>2088115</v>
          </cell>
          <cell r="V634">
            <v>2336254</v>
          </cell>
          <cell r="W634">
            <v>2581539</v>
          </cell>
          <cell r="X634">
            <v>2879884</v>
          </cell>
          <cell r="Y634">
            <v>3430717</v>
          </cell>
          <cell r="Z634">
            <v>345445</v>
          </cell>
          <cell r="AA634">
            <v>573367</v>
          </cell>
          <cell r="AB634">
            <v>794455</v>
          </cell>
          <cell r="AC634">
            <v>1006638</v>
          </cell>
          <cell r="AD634">
            <v>1225159</v>
          </cell>
          <cell r="AE634">
            <v>1437779</v>
          </cell>
          <cell r="AF634">
            <v>1651849</v>
          </cell>
          <cell r="AG634">
            <v>1875506</v>
          </cell>
          <cell r="AH634">
            <v>2086406</v>
          </cell>
          <cell r="AI634">
            <v>2290532</v>
          </cell>
          <cell r="AJ634">
            <v>2495107</v>
          </cell>
          <cell r="AK634">
            <v>2688904</v>
          </cell>
          <cell r="AL634">
            <v>228054</v>
          </cell>
          <cell r="AM634">
            <v>453800</v>
          </cell>
          <cell r="AN634">
            <v>677448</v>
          </cell>
          <cell r="AO634">
            <v>942910</v>
          </cell>
          <cell r="AP634">
            <v>1221208</v>
          </cell>
          <cell r="AQ634">
            <v>1502993</v>
          </cell>
          <cell r="AR634">
            <v>1822084</v>
          </cell>
          <cell r="AS634">
            <v>2180723</v>
          </cell>
          <cell r="AT634">
            <v>2607447</v>
          </cell>
          <cell r="AU634">
            <v>3302632</v>
          </cell>
          <cell r="AV634">
            <v>4693390</v>
          </cell>
          <cell r="AW634">
            <v>6929603</v>
          </cell>
          <cell r="AX634">
            <v>10591128</v>
          </cell>
          <cell r="AY634">
            <v>16028839</v>
          </cell>
          <cell r="AZ634">
            <v>24155219</v>
          </cell>
          <cell r="BA634">
            <v>25434825</v>
          </cell>
          <cell r="BB634">
            <v>25434825</v>
          </cell>
        </row>
        <row r="635">
          <cell r="A635" t="str">
            <v>KROGER</v>
          </cell>
          <cell r="B635">
            <v>6209298</v>
          </cell>
          <cell r="C635">
            <v>12303557</v>
          </cell>
          <cell r="D635">
            <v>17829552</v>
          </cell>
          <cell r="E635">
            <v>23243690</v>
          </cell>
          <cell r="F635">
            <v>29035252</v>
          </cell>
          <cell r="G635">
            <v>37810019</v>
          </cell>
          <cell r="H635">
            <v>44024401</v>
          </cell>
          <cell r="I635">
            <v>49738628</v>
          </cell>
          <cell r="J635">
            <v>55652864</v>
          </cell>
          <cell r="K635">
            <v>61605010</v>
          </cell>
          <cell r="L635">
            <v>67898271</v>
          </cell>
          <cell r="M635">
            <v>74097264</v>
          </cell>
          <cell r="N635">
            <v>5981973</v>
          </cell>
          <cell r="O635">
            <v>14394404</v>
          </cell>
          <cell r="P635">
            <v>20497349</v>
          </cell>
          <cell r="Q635">
            <v>27015105</v>
          </cell>
          <cell r="R635">
            <v>34321023</v>
          </cell>
          <cell r="S635">
            <v>47721179</v>
          </cell>
          <cell r="T635">
            <v>58065128</v>
          </cell>
          <cell r="U635">
            <v>65897728</v>
          </cell>
          <cell r="V635">
            <v>75778964</v>
          </cell>
          <cell r="W635">
            <v>85609090</v>
          </cell>
          <cell r="X635">
            <v>96697513</v>
          </cell>
          <cell r="Y635">
            <v>112772626</v>
          </cell>
          <cell r="Z635">
            <v>10121169</v>
          </cell>
          <cell r="AA635">
            <v>17116004</v>
          </cell>
          <cell r="AB635">
            <v>24228726</v>
          </cell>
          <cell r="AC635">
            <v>31263845</v>
          </cell>
          <cell r="AD635">
            <v>38480014</v>
          </cell>
          <cell r="AE635">
            <v>45431471</v>
          </cell>
          <cell r="AF635">
            <v>52855200</v>
          </cell>
          <cell r="AG635">
            <v>59844224</v>
          </cell>
          <cell r="AH635">
            <v>66484829</v>
          </cell>
          <cell r="AI635">
            <v>72851411</v>
          </cell>
          <cell r="AJ635">
            <v>78715647</v>
          </cell>
          <cell r="AK635">
            <v>84274577</v>
          </cell>
          <cell r="AL635">
            <v>5348581</v>
          </cell>
          <cell r="AM635">
            <v>10681000</v>
          </cell>
          <cell r="AN635">
            <v>15968744</v>
          </cell>
          <cell r="AO635">
            <v>21791083</v>
          </cell>
          <cell r="AP635">
            <v>27862403</v>
          </cell>
          <cell r="AQ635">
            <v>35046030</v>
          </cell>
          <cell r="AR635">
            <v>41735504</v>
          </cell>
          <cell r="AS635">
            <v>48871095</v>
          </cell>
          <cell r="AT635">
            <v>55593246</v>
          </cell>
          <cell r="AU635">
            <v>62955977</v>
          </cell>
          <cell r="AV635">
            <v>71820615</v>
          </cell>
          <cell r="AW635">
            <v>89339358</v>
          </cell>
          <cell r="AX635">
            <v>120767715</v>
          </cell>
          <cell r="AY635">
            <v>188869176</v>
          </cell>
          <cell r="AZ635">
            <v>272566953</v>
          </cell>
          <cell r="BA635">
            <v>284249073</v>
          </cell>
          <cell r="BB635">
            <v>284249073</v>
          </cell>
        </row>
        <row r="636">
          <cell r="A636" t="str">
            <v>KROGER C</v>
          </cell>
          <cell r="B636">
            <v>514170</v>
          </cell>
          <cell r="C636">
            <v>972926</v>
          </cell>
          <cell r="D636">
            <v>1420747</v>
          </cell>
          <cell r="E636">
            <v>1853032</v>
          </cell>
          <cell r="F636">
            <v>2359770</v>
          </cell>
          <cell r="G636">
            <v>2874893</v>
          </cell>
          <cell r="H636">
            <v>3361765</v>
          </cell>
          <cell r="I636">
            <v>3825787</v>
          </cell>
          <cell r="J636">
            <v>4310133</v>
          </cell>
          <cell r="K636">
            <v>4802627</v>
          </cell>
          <cell r="L636">
            <v>5300799</v>
          </cell>
          <cell r="M636">
            <v>5837461</v>
          </cell>
          <cell r="N636">
            <v>524726</v>
          </cell>
          <cell r="O636">
            <v>1063132</v>
          </cell>
          <cell r="P636">
            <v>1586109</v>
          </cell>
          <cell r="Q636">
            <v>2108241</v>
          </cell>
          <cell r="R636">
            <v>2636279</v>
          </cell>
          <cell r="S636">
            <v>3178400</v>
          </cell>
          <cell r="T636">
            <v>3743670</v>
          </cell>
          <cell r="U636">
            <v>4277643</v>
          </cell>
          <cell r="V636">
            <v>4813227</v>
          </cell>
          <cell r="W636">
            <v>5356258</v>
          </cell>
          <cell r="X636">
            <v>5931318</v>
          </cell>
          <cell r="Y636">
            <v>6570118</v>
          </cell>
          <cell r="Z636">
            <v>650993</v>
          </cell>
          <cell r="AA636">
            <v>1214962</v>
          </cell>
          <cell r="AB636">
            <v>1807506</v>
          </cell>
          <cell r="AC636">
            <v>2384171</v>
          </cell>
          <cell r="AD636">
            <v>2944677</v>
          </cell>
          <cell r="AE636">
            <v>3489506</v>
          </cell>
          <cell r="AF636">
            <v>4059605</v>
          </cell>
          <cell r="AG636">
            <v>4604466</v>
          </cell>
          <cell r="AH636">
            <v>5124520</v>
          </cell>
          <cell r="AI636">
            <v>5662373</v>
          </cell>
          <cell r="AJ636">
            <v>6193960</v>
          </cell>
          <cell r="AK636">
            <v>6720714</v>
          </cell>
          <cell r="AL636">
            <v>515845</v>
          </cell>
          <cell r="AM636">
            <v>1018156</v>
          </cell>
          <cell r="AN636">
            <v>1514409</v>
          </cell>
          <cell r="AO636">
            <v>2067871</v>
          </cell>
          <cell r="AP636">
            <v>2592816</v>
          </cell>
          <cell r="AQ636">
            <v>3121840</v>
          </cell>
          <cell r="AR636">
            <v>3635084</v>
          </cell>
          <cell r="AS636">
            <v>4176579</v>
          </cell>
          <cell r="AT636">
            <v>4743239</v>
          </cell>
          <cell r="AU636">
            <v>5279960</v>
          </cell>
          <cell r="AV636">
            <v>5828782</v>
          </cell>
          <cell r="AW636">
            <v>6380593</v>
          </cell>
          <cell r="AX636">
            <v>6966387</v>
          </cell>
          <cell r="AY636">
            <v>7736943</v>
          </cell>
          <cell r="AZ636">
            <v>10078462</v>
          </cell>
          <cell r="BA636">
            <v>11530702</v>
          </cell>
          <cell r="BB636">
            <v>11530702</v>
          </cell>
        </row>
        <row r="637">
          <cell r="A637" t="str">
            <v>LOBLAWS - CANADA</v>
          </cell>
          <cell r="B637">
            <v>153766</v>
          </cell>
          <cell r="C637">
            <v>287882</v>
          </cell>
          <cell r="D637">
            <v>467398</v>
          </cell>
          <cell r="E637">
            <v>650700</v>
          </cell>
          <cell r="F637">
            <v>833793</v>
          </cell>
          <cell r="G637">
            <v>1104300</v>
          </cell>
          <cell r="H637">
            <v>1299279</v>
          </cell>
          <cell r="I637">
            <v>1489976</v>
          </cell>
          <cell r="J637">
            <v>1683854</v>
          </cell>
          <cell r="K637">
            <v>1894812</v>
          </cell>
          <cell r="L637">
            <v>2105877</v>
          </cell>
          <cell r="M637">
            <v>2327062</v>
          </cell>
          <cell r="N637">
            <v>236435</v>
          </cell>
          <cell r="O637">
            <v>556497</v>
          </cell>
          <cell r="P637">
            <v>814346</v>
          </cell>
          <cell r="Q637">
            <v>1106243</v>
          </cell>
          <cell r="R637">
            <v>1442379</v>
          </cell>
          <cell r="S637">
            <v>1931824</v>
          </cell>
          <cell r="T637">
            <v>2299631</v>
          </cell>
          <cell r="U637">
            <v>2634056</v>
          </cell>
          <cell r="V637">
            <v>3004776</v>
          </cell>
          <cell r="W637">
            <v>3405101</v>
          </cell>
          <cell r="X637">
            <v>3872215</v>
          </cell>
          <cell r="Y637">
            <v>4518225</v>
          </cell>
          <cell r="Z637">
            <v>599686</v>
          </cell>
          <cell r="AA637">
            <v>926705</v>
          </cell>
          <cell r="AB637">
            <v>1449038</v>
          </cell>
          <cell r="AC637">
            <v>1783206</v>
          </cell>
          <cell r="AD637">
            <v>2128674</v>
          </cell>
          <cell r="AE637">
            <v>2463754</v>
          </cell>
          <cell r="AF637">
            <v>2806784</v>
          </cell>
          <cell r="AG637">
            <v>3151222</v>
          </cell>
          <cell r="AH637">
            <v>3522032</v>
          </cell>
          <cell r="AI637">
            <v>4091628</v>
          </cell>
          <cell r="AJ637">
            <v>4473669</v>
          </cell>
          <cell r="AK637">
            <v>4938650</v>
          </cell>
          <cell r="AL637">
            <v>497388</v>
          </cell>
          <cell r="AM637">
            <v>1033770</v>
          </cell>
          <cell r="AN637">
            <v>1544183</v>
          </cell>
          <cell r="AO637">
            <v>2169727</v>
          </cell>
          <cell r="AP637">
            <v>2759647</v>
          </cell>
          <cell r="AQ637">
            <v>3327704</v>
          </cell>
          <cell r="AR637">
            <v>3921621</v>
          </cell>
          <cell r="AS637">
            <v>4524105</v>
          </cell>
          <cell r="AT637">
            <v>5352237</v>
          </cell>
          <cell r="AU637">
            <v>6267165</v>
          </cell>
          <cell r="AV637">
            <v>7921670</v>
          </cell>
          <cell r="AW637">
            <v>10288898</v>
          </cell>
          <cell r="AX637">
            <v>14302906</v>
          </cell>
          <cell r="AY637">
            <v>21887712</v>
          </cell>
          <cell r="AZ637">
            <v>30052281</v>
          </cell>
          <cell r="BA637">
            <v>30974837</v>
          </cell>
          <cell r="BB637">
            <v>30974837</v>
          </cell>
        </row>
        <row r="638">
          <cell r="A638" t="str">
            <v>LOWES</v>
          </cell>
          <cell r="B638">
            <v>102788</v>
          </cell>
          <cell r="C638">
            <v>192317</v>
          </cell>
          <cell r="D638">
            <v>281925</v>
          </cell>
          <cell r="E638">
            <v>359951</v>
          </cell>
          <cell r="F638">
            <v>457780</v>
          </cell>
          <cell r="G638">
            <v>555494</v>
          </cell>
          <cell r="H638">
            <v>699795</v>
          </cell>
          <cell r="I638">
            <v>790012</v>
          </cell>
          <cell r="J638">
            <v>881088</v>
          </cell>
          <cell r="K638">
            <v>980745</v>
          </cell>
          <cell r="L638">
            <v>1082221</v>
          </cell>
          <cell r="M638">
            <v>1215058</v>
          </cell>
          <cell r="N638">
            <v>94996</v>
          </cell>
          <cell r="O638">
            <v>200122</v>
          </cell>
          <cell r="P638">
            <v>296918</v>
          </cell>
          <cell r="Q638">
            <v>409213</v>
          </cell>
          <cell r="R638">
            <v>547189</v>
          </cell>
          <cell r="S638">
            <v>687339</v>
          </cell>
          <cell r="T638">
            <v>939211</v>
          </cell>
          <cell r="U638">
            <v>1096768</v>
          </cell>
          <cell r="V638">
            <v>1239045</v>
          </cell>
          <cell r="W638">
            <v>1382743</v>
          </cell>
          <cell r="X638">
            <v>1573044</v>
          </cell>
          <cell r="Y638">
            <v>1844810</v>
          </cell>
          <cell r="Z638">
            <v>150270</v>
          </cell>
          <cell r="AA638">
            <v>272464</v>
          </cell>
          <cell r="AB638">
            <v>377985</v>
          </cell>
          <cell r="AC638">
            <v>487147</v>
          </cell>
          <cell r="AD638">
            <v>599991</v>
          </cell>
          <cell r="AE638">
            <v>711982</v>
          </cell>
          <cell r="AF638">
            <v>822873</v>
          </cell>
          <cell r="AG638">
            <v>936548</v>
          </cell>
          <cell r="AH638">
            <v>1044865</v>
          </cell>
          <cell r="AI638">
            <v>1156322</v>
          </cell>
          <cell r="AJ638">
            <v>1265189</v>
          </cell>
          <cell r="AK638">
            <v>1368748</v>
          </cell>
          <cell r="AL638">
            <v>105081</v>
          </cell>
          <cell r="AM638">
            <v>214377</v>
          </cell>
          <cell r="AN638">
            <v>321786</v>
          </cell>
          <cell r="AO638">
            <v>428783</v>
          </cell>
          <cell r="AP638">
            <v>536906</v>
          </cell>
          <cell r="AQ638">
            <v>651936</v>
          </cell>
          <cell r="AR638">
            <v>764996</v>
          </cell>
          <cell r="AS638">
            <v>869621</v>
          </cell>
          <cell r="AT638">
            <v>977641</v>
          </cell>
          <cell r="AU638">
            <v>1087577</v>
          </cell>
          <cell r="AV638">
            <v>1209546</v>
          </cell>
          <cell r="AW638">
            <v>1336981</v>
          </cell>
          <cell r="AX638">
            <v>1513762</v>
          </cell>
          <cell r="AY638">
            <v>1858637</v>
          </cell>
          <cell r="AZ638">
            <v>2645475</v>
          </cell>
          <cell r="BA638">
            <v>3491353</v>
          </cell>
          <cell r="BB638">
            <v>3491353</v>
          </cell>
        </row>
        <row r="639">
          <cell r="A639" t="str">
            <v>MEIJER</v>
          </cell>
          <cell r="B639">
            <v>305683</v>
          </cell>
          <cell r="C639">
            <v>612889</v>
          </cell>
          <cell r="D639">
            <v>874918</v>
          </cell>
          <cell r="E639">
            <v>1119485</v>
          </cell>
          <cell r="F639">
            <v>1352754</v>
          </cell>
          <cell r="G639">
            <v>1715303</v>
          </cell>
          <cell r="H639">
            <v>1978742</v>
          </cell>
          <cell r="I639">
            <v>2216175</v>
          </cell>
          <cell r="J639">
            <v>2490535</v>
          </cell>
          <cell r="K639">
            <v>2780207</v>
          </cell>
          <cell r="L639">
            <v>3083853</v>
          </cell>
          <cell r="M639">
            <v>3368963</v>
          </cell>
          <cell r="N639">
            <v>261453</v>
          </cell>
          <cell r="O639">
            <v>786473</v>
          </cell>
          <cell r="P639">
            <v>1064648</v>
          </cell>
          <cell r="Q639">
            <v>1350840</v>
          </cell>
          <cell r="R639">
            <v>1672343</v>
          </cell>
          <cell r="S639">
            <v>2298652</v>
          </cell>
          <cell r="T639">
            <v>2753957</v>
          </cell>
          <cell r="U639">
            <v>3109818</v>
          </cell>
          <cell r="V639">
            <v>3531116</v>
          </cell>
          <cell r="W639">
            <v>3959500</v>
          </cell>
          <cell r="X639">
            <v>4507767</v>
          </cell>
          <cell r="Y639">
            <v>5265598</v>
          </cell>
          <cell r="Z639">
            <v>466549</v>
          </cell>
          <cell r="AA639">
            <v>817308</v>
          </cell>
          <cell r="AB639">
            <v>1131334</v>
          </cell>
          <cell r="AC639">
            <v>1450065</v>
          </cell>
          <cell r="AD639">
            <v>1772625</v>
          </cell>
          <cell r="AE639">
            <v>2107242</v>
          </cell>
          <cell r="AF639">
            <v>2453036</v>
          </cell>
          <cell r="AG639">
            <v>2785872</v>
          </cell>
          <cell r="AH639">
            <v>3107587</v>
          </cell>
          <cell r="AI639">
            <v>3460184</v>
          </cell>
          <cell r="AJ639">
            <v>3789923</v>
          </cell>
          <cell r="AK639">
            <v>4119325</v>
          </cell>
          <cell r="AL639">
            <v>328386</v>
          </cell>
          <cell r="AM639">
            <v>708363</v>
          </cell>
          <cell r="AN639">
            <v>1036060</v>
          </cell>
          <cell r="AO639">
            <v>1354864</v>
          </cell>
          <cell r="AP639">
            <v>1686424</v>
          </cell>
          <cell r="AQ639">
            <v>2058043</v>
          </cell>
          <cell r="AR639">
            <v>2406564</v>
          </cell>
          <cell r="AS639">
            <v>2764975</v>
          </cell>
          <cell r="AT639">
            <v>3167988</v>
          </cell>
          <cell r="AU639">
            <v>3653222</v>
          </cell>
          <cell r="AV639">
            <v>4287384</v>
          </cell>
          <cell r="AW639">
            <v>5455243</v>
          </cell>
          <cell r="AX639">
            <v>7762008</v>
          </cell>
          <cell r="AY639">
            <v>12654182</v>
          </cell>
          <cell r="AZ639">
            <v>18963359</v>
          </cell>
          <cell r="BA639">
            <v>19758638</v>
          </cell>
          <cell r="BB639">
            <v>19758638</v>
          </cell>
        </row>
        <row r="640">
          <cell r="A640" t="str">
            <v>METRO ONTARIO - CANADA</v>
          </cell>
          <cell r="B640">
            <v>117774</v>
          </cell>
          <cell r="C640">
            <v>234316</v>
          </cell>
          <cell r="D640">
            <v>341934</v>
          </cell>
          <cell r="E640">
            <v>448102</v>
          </cell>
          <cell r="F640">
            <v>583538</v>
          </cell>
          <cell r="G640">
            <v>778897</v>
          </cell>
          <cell r="H640">
            <v>913473</v>
          </cell>
          <cell r="I640">
            <v>1047928</v>
          </cell>
          <cell r="J640">
            <v>1170581</v>
          </cell>
          <cell r="K640">
            <v>1292185</v>
          </cell>
          <cell r="L640">
            <v>1430826</v>
          </cell>
          <cell r="M640">
            <v>1558477</v>
          </cell>
          <cell r="N640">
            <v>129089</v>
          </cell>
          <cell r="O640">
            <v>321196</v>
          </cell>
          <cell r="P640">
            <v>432861</v>
          </cell>
          <cell r="Q640">
            <v>567243</v>
          </cell>
          <cell r="R640">
            <v>727240</v>
          </cell>
          <cell r="S640">
            <v>974934</v>
          </cell>
          <cell r="T640">
            <v>1176873</v>
          </cell>
          <cell r="U640">
            <v>1360950</v>
          </cell>
          <cell r="V640">
            <v>1531452</v>
          </cell>
          <cell r="W640">
            <v>1700465</v>
          </cell>
          <cell r="X640">
            <v>1902565</v>
          </cell>
          <cell r="Y640">
            <v>2187612</v>
          </cell>
          <cell r="Z640">
            <v>230985</v>
          </cell>
          <cell r="AA640">
            <v>504724</v>
          </cell>
          <cell r="AB640">
            <v>650282</v>
          </cell>
          <cell r="AC640">
            <v>786820</v>
          </cell>
          <cell r="AD640">
            <v>939063</v>
          </cell>
          <cell r="AE640">
            <v>1093873</v>
          </cell>
          <cell r="AF640">
            <v>1243970</v>
          </cell>
          <cell r="AG640">
            <v>1393063</v>
          </cell>
          <cell r="AH640">
            <v>1549739</v>
          </cell>
          <cell r="AI640">
            <v>1710910</v>
          </cell>
          <cell r="AJ640">
            <v>1868372</v>
          </cell>
          <cell r="AK640">
            <v>2012069</v>
          </cell>
          <cell r="AL640">
            <v>156379</v>
          </cell>
          <cell r="AM640">
            <v>314390</v>
          </cell>
          <cell r="AN640">
            <v>461265</v>
          </cell>
          <cell r="AO640">
            <v>613360</v>
          </cell>
          <cell r="AP640">
            <v>787702</v>
          </cell>
          <cell r="AQ640">
            <v>924399</v>
          </cell>
          <cell r="AR640">
            <v>1072124</v>
          </cell>
          <cell r="AS640">
            <v>1214735</v>
          </cell>
          <cell r="AT640">
            <v>1378645</v>
          </cell>
          <cell r="AU640">
            <v>1571973</v>
          </cell>
          <cell r="AV640">
            <v>1794180</v>
          </cell>
          <cell r="AW640">
            <v>2186491</v>
          </cell>
          <cell r="AX640">
            <v>2891453</v>
          </cell>
          <cell r="AY640">
            <v>4215802</v>
          </cell>
          <cell r="AZ640">
            <v>5742788</v>
          </cell>
          <cell r="BA640">
            <v>6016747</v>
          </cell>
          <cell r="BB640">
            <v>6016747</v>
          </cell>
        </row>
        <row r="641">
          <cell r="A641" t="str">
            <v>MORRISONS</v>
          </cell>
          <cell r="B641">
            <v>111492</v>
          </cell>
          <cell r="C641">
            <v>228278</v>
          </cell>
          <cell r="D641">
            <v>347382</v>
          </cell>
          <cell r="E641">
            <v>469839</v>
          </cell>
          <cell r="F641">
            <v>613321</v>
          </cell>
          <cell r="G641">
            <v>839353</v>
          </cell>
          <cell r="H641">
            <v>997853</v>
          </cell>
          <cell r="I641">
            <v>1163760</v>
          </cell>
          <cell r="J641">
            <v>1478397</v>
          </cell>
          <cell r="K641">
            <v>1679942</v>
          </cell>
          <cell r="L641">
            <v>1857719</v>
          </cell>
          <cell r="M641">
            <v>2031112</v>
          </cell>
          <cell r="N641">
            <v>159423</v>
          </cell>
          <cell r="O641">
            <v>345939</v>
          </cell>
          <cell r="P641">
            <v>493363</v>
          </cell>
          <cell r="Q641">
            <v>643843</v>
          </cell>
          <cell r="R641">
            <v>821232</v>
          </cell>
          <cell r="S641">
            <v>1069914</v>
          </cell>
          <cell r="T641">
            <v>1289121</v>
          </cell>
          <cell r="U641">
            <v>1525117</v>
          </cell>
          <cell r="V641">
            <v>1761188</v>
          </cell>
          <cell r="W641">
            <v>1973181</v>
          </cell>
          <cell r="X641">
            <v>2213148</v>
          </cell>
          <cell r="Y641">
            <v>2496690</v>
          </cell>
          <cell r="Z641">
            <v>228742</v>
          </cell>
          <cell r="AA641">
            <v>463957</v>
          </cell>
          <cell r="AB641">
            <v>693361</v>
          </cell>
          <cell r="AC641">
            <v>914882</v>
          </cell>
          <cell r="AD641">
            <v>1156404</v>
          </cell>
          <cell r="AE641">
            <v>1382322</v>
          </cell>
          <cell r="AF641">
            <v>1592090</v>
          </cell>
          <cell r="AG641">
            <v>1795972</v>
          </cell>
          <cell r="AH641">
            <v>1998982</v>
          </cell>
          <cell r="AI641">
            <v>2205085</v>
          </cell>
          <cell r="AJ641">
            <v>2403588</v>
          </cell>
          <cell r="AK641">
            <v>2670473</v>
          </cell>
          <cell r="AL641">
            <v>260404</v>
          </cell>
          <cell r="AM641">
            <v>501161</v>
          </cell>
          <cell r="AN641">
            <v>738011</v>
          </cell>
          <cell r="AO641">
            <v>983718</v>
          </cell>
          <cell r="AP641">
            <v>1200525</v>
          </cell>
          <cell r="AQ641">
            <v>1404232</v>
          </cell>
          <cell r="AR641">
            <v>1610378</v>
          </cell>
          <cell r="AS641">
            <v>1842074</v>
          </cell>
          <cell r="AT641">
            <v>2266663</v>
          </cell>
          <cell r="AU641">
            <v>2922456</v>
          </cell>
          <cell r="AV641">
            <v>3450506</v>
          </cell>
          <cell r="AW641">
            <v>3983628</v>
          </cell>
          <cell r="AX641">
            <v>4884021</v>
          </cell>
          <cell r="AY641">
            <v>6695107</v>
          </cell>
          <cell r="AZ641">
            <v>11076014</v>
          </cell>
          <cell r="BA641">
            <v>12625660</v>
          </cell>
          <cell r="BB641">
            <v>12625660</v>
          </cell>
        </row>
        <row r="642">
          <cell r="A642" t="str">
            <v>OFFICE MAX</v>
          </cell>
          <cell r="B642">
            <v>264218</v>
          </cell>
          <cell r="C642">
            <v>505396</v>
          </cell>
          <cell r="D642">
            <v>732748</v>
          </cell>
          <cell r="E642">
            <v>949874</v>
          </cell>
          <cell r="F642">
            <v>1176201</v>
          </cell>
          <cell r="G642">
            <v>1476848</v>
          </cell>
          <cell r="H642">
            <v>1718076</v>
          </cell>
          <cell r="I642">
            <v>1941708</v>
          </cell>
          <cell r="J642">
            <v>2171330</v>
          </cell>
          <cell r="K642">
            <v>2412352</v>
          </cell>
          <cell r="L642">
            <v>2659846</v>
          </cell>
          <cell r="M642">
            <v>2903830</v>
          </cell>
          <cell r="N642">
            <v>236650</v>
          </cell>
          <cell r="O642">
            <v>528646</v>
          </cell>
          <cell r="P642">
            <v>770386</v>
          </cell>
          <cell r="Q642">
            <v>1019961</v>
          </cell>
          <cell r="R642">
            <v>1308346</v>
          </cell>
          <cell r="S642">
            <v>1741066</v>
          </cell>
          <cell r="T642">
            <v>2024280</v>
          </cell>
          <cell r="U642">
            <v>2391836</v>
          </cell>
          <cell r="V642">
            <v>2739714</v>
          </cell>
          <cell r="W642">
            <v>3091796</v>
          </cell>
          <cell r="X642">
            <v>3522868</v>
          </cell>
          <cell r="Y642">
            <v>4062097</v>
          </cell>
          <cell r="Z642">
            <v>379295</v>
          </cell>
          <cell r="AA642">
            <v>669979</v>
          </cell>
          <cell r="AB642">
            <v>935129</v>
          </cell>
          <cell r="AC642">
            <v>1201015</v>
          </cell>
          <cell r="AD642">
            <v>1477508</v>
          </cell>
          <cell r="AE642">
            <v>1753556</v>
          </cell>
          <cell r="AF642">
            <v>2038906</v>
          </cell>
          <cell r="AG642">
            <v>2323364</v>
          </cell>
          <cell r="AH642">
            <v>2613125</v>
          </cell>
          <cell r="AI642">
            <v>2909302</v>
          </cell>
          <cell r="AJ642">
            <v>3186930</v>
          </cell>
          <cell r="AK642">
            <v>3445382</v>
          </cell>
          <cell r="AL642">
            <v>268269</v>
          </cell>
          <cell r="AM642">
            <v>540836</v>
          </cell>
          <cell r="AN642">
            <v>803883</v>
          </cell>
          <cell r="AO642">
            <v>1078336</v>
          </cell>
          <cell r="AP642">
            <v>1338023</v>
          </cell>
          <cell r="AQ642">
            <v>1598309</v>
          </cell>
          <cell r="AR642">
            <v>1854584</v>
          </cell>
          <cell r="AS642">
            <v>2116703</v>
          </cell>
          <cell r="AT642">
            <v>2399639</v>
          </cell>
          <cell r="AU642">
            <v>2681568</v>
          </cell>
          <cell r="AV642">
            <v>3001316</v>
          </cell>
          <cell r="AW642">
            <v>3550273</v>
          </cell>
          <cell r="AX642">
            <v>4566768</v>
          </cell>
          <cell r="AY642">
            <v>6833453</v>
          </cell>
          <cell r="AZ642">
            <v>9620757</v>
          </cell>
          <cell r="BA642">
            <v>9933021</v>
          </cell>
          <cell r="BB642">
            <v>9933021</v>
          </cell>
        </row>
        <row r="643">
          <cell r="A643" t="str">
            <v>PATHMARK</v>
          </cell>
          <cell r="B643">
            <v>220222</v>
          </cell>
          <cell r="C643">
            <v>436592</v>
          </cell>
          <cell r="D643">
            <v>619094</v>
          </cell>
          <cell r="E643">
            <v>792691</v>
          </cell>
          <cell r="F643">
            <v>1017927</v>
          </cell>
          <cell r="G643">
            <v>1307226</v>
          </cell>
          <cell r="H643">
            <v>1533416</v>
          </cell>
          <cell r="I643">
            <v>1752375</v>
          </cell>
          <cell r="J643">
            <v>1950520</v>
          </cell>
          <cell r="K643">
            <v>2146821</v>
          </cell>
          <cell r="L643">
            <v>2343405</v>
          </cell>
          <cell r="M643">
            <v>2570838</v>
          </cell>
          <cell r="N643">
            <v>244425</v>
          </cell>
          <cell r="O643">
            <v>557638</v>
          </cell>
          <cell r="P643">
            <v>764369</v>
          </cell>
          <cell r="Q643">
            <v>1066358</v>
          </cell>
          <cell r="R643">
            <v>1546642</v>
          </cell>
          <cell r="S643">
            <v>2016358</v>
          </cell>
          <cell r="T643">
            <v>2438421</v>
          </cell>
          <cell r="U643">
            <v>2833652</v>
          </cell>
          <cell r="V643">
            <v>3265487</v>
          </cell>
          <cell r="W643">
            <v>3729852</v>
          </cell>
          <cell r="X643">
            <v>4166777</v>
          </cell>
          <cell r="Y643">
            <v>4747101</v>
          </cell>
          <cell r="Z643">
            <v>497085</v>
          </cell>
          <cell r="AA643">
            <v>855848</v>
          </cell>
          <cell r="AB643">
            <v>1129434</v>
          </cell>
          <cell r="AC643">
            <v>1426281</v>
          </cell>
          <cell r="AD643">
            <v>1702193</v>
          </cell>
          <cell r="AE643">
            <v>1975237</v>
          </cell>
          <cell r="AF643">
            <v>2257922</v>
          </cell>
          <cell r="AG643">
            <v>2547518</v>
          </cell>
          <cell r="AH643">
            <v>2832842</v>
          </cell>
          <cell r="AI643">
            <v>3107352</v>
          </cell>
          <cell r="AJ643">
            <v>3373893</v>
          </cell>
          <cell r="AK643">
            <v>3627085</v>
          </cell>
          <cell r="AL643">
            <v>267068</v>
          </cell>
          <cell r="AM643">
            <v>517042</v>
          </cell>
          <cell r="AN643">
            <v>749794</v>
          </cell>
          <cell r="AO643">
            <v>989314</v>
          </cell>
          <cell r="AP643">
            <v>1236217</v>
          </cell>
          <cell r="AQ643">
            <v>1471536</v>
          </cell>
          <cell r="AR643">
            <v>1702318</v>
          </cell>
          <cell r="AS643">
            <v>1930237</v>
          </cell>
          <cell r="AT643">
            <v>2151521</v>
          </cell>
          <cell r="AU643">
            <v>2386064</v>
          </cell>
          <cell r="AV643">
            <v>2645045</v>
          </cell>
          <cell r="AW643">
            <v>2999056</v>
          </cell>
          <cell r="AX643">
            <v>3592216</v>
          </cell>
          <cell r="AY643">
            <v>4970071</v>
          </cell>
          <cell r="AZ643">
            <v>7229481</v>
          </cell>
          <cell r="BA643">
            <v>7544904</v>
          </cell>
          <cell r="BB643">
            <v>7544904</v>
          </cell>
        </row>
        <row r="644">
          <cell r="A644" t="str">
            <v>PRICE CHOPPER</v>
          </cell>
          <cell r="B644">
            <v>268797</v>
          </cell>
          <cell r="C644">
            <v>524086</v>
          </cell>
          <cell r="D644">
            <v>757161</v>
          </cell>
          <cell r="E644">
            <v>978438</v>
          </cell>
          <cell r="F644">
            <v>1239572</v>
          </cell>
          <cell r="G644">
            <v>1562302</v>
          </cell>
          <cell r="H644">
            <v>1821109</v>
          </cell>
          <cell r="I644">
            <v>2064975</v>
          </cell>
          <cell r="J644">
            <v>2311385</v>
          </cell>
          <cell r="K644">
            <v>2569087</v>
          </cell>
          <cell r="L644">
            <v>2848528</v>
          </cell>
          <cell r="M644">
            <v>3101094</v>
          </cell>
          <cell r="N644">
            <v>217318</v>
          </cell>
          <cell r="O644">
            <v>547223</v>
          </cell>
          <cell r="P644">
            <v>760668</v>
          </cell>
          <cell r="Q644">
            <v>968295</v>
          </cell>
          <cell r="R644">
            <v>1248057</v>
          </cell>
          <cell r="S644">
            <v>1655911</v>
          </cell>
          <cell r="T644">
            <v>2003934</v>
          </cell>
          <cell r="U644">
            <v>2291092</v>
          </cell>
          <cell r="V644">
            <v>2563930</v>
          </cell>
          <cell r="W644">
            <v>2863096</v>
          </cell>
          <cell r="X644">
            <v>3230843</v>
          </cell>
          <cell r="Y644">
            <v>3700841</v>
          </cell>
          <cell r="Z644">
            <v>436597</v>
          </cell>
          <cell r="AA644">
            <v>798752</v>
          </cell>
          <cell r="AB644">
            <v>1095621</v>
          </cell>
          <cell r="AC644">
            <v>1405254</v>
          </cell>
          <cell r="AD644">
            <v>1703856</v>
          </cell>
          <cell r="AE644">
            <v>2003666</v>
          </cell>
          <cell r="AF644">
            <v>2309873</v>
          </cell>
          <cell r="AG644">
            <v>2615080</v>
          </cell>
          <cell r="AH644">
            <v>2907731</v>
          </cell>
          <cell r="AI644">
            <v>3201402</v>
          </cell>
          <cell r="AJ644">
            <v>3491972</v>
          </cell>
          <cell r="AK644">
            <v>3778812</v>
          </cell>
          <cell r="AL644">
            <v>280759</v>
          </cell>
          <cell r="AM644">
            <v>573291</v>
          </cell>
          <cell r="AN644">
            <v>852038</v>
          </cell>
          <cell r="AO644">
            <v>1143130</v>
          </cell>
          <cell r="AP644">
            <v>1420189</v>
          </cell>
          <cell r="AQ644">
            <v>1703835</v>
          </cell>
          <cell r="AR644">
            <v>1972274</v>
          </cell>
          <cell r="AS644">
            <v>2253620</v>
          </cell>
          <cell r="AT644">
            <v>2557633</v>
          </cell>
          <cell r="AU644">
            <v>2908035</v>
          </cell>
          <cell r="AV644">
            <v>3327725</v>
          </cell>
          <cell r="AW644">
            <v>4003661</v>
          </cell>
          <cell r="AX644">
            <v>5019729</v>
          </cell>
          <cell r="AY644">
            <v>7265424</v>
          </cell>
          <cell r="AZ644">
            <v>10284212</v>
          </cell>
          <cell r="BA644">
            <v>10818578</v>
          </cell>
          <cell r="BB644">
            <v>10818578</v>
          </cell>
        </row>
        <row r="645">
          <cell r="A645" t="str">
            <v>PUBLIX</v>
          </cell>
          <cell r="B645">
            <v>2432492</v>
          </cell>
          <cell r="C645">
            <v>4832988</v>
          </cell>
          <cell r="D645">
            <v>7065904</v>
          </cell>
          <cell r="E645">
            <v>9275659</v>
          </cell>
          <cell r="F645">
            <v>11695506</v>
          </cell>
          <cell r="G645">
            <v>15396245</v>
          </cell>
          <cell r="H645">
            <v>18005296</v>
          </cell>
          <cell r="I645">
            <v>20481388</v>
          </cell>
          <cell r="J645">
            <v>23037332</v>
          </cell>
          <cell r="K645">
            <v>25677570</v>
          </cell>
          <cell r="L645">
            <v>28392177</v>
          </cell>
          <cell r="M645">
            <v>31117311</v>
          </cell>
          <cell r="N645">
            <v>2714126</v>
          </cell>
          <cell r="O645">
            <v>6403579</v>
          </cell>
          <cell r="P645">
            <v>8905692</v>
          </cell>
          <cell r="Q645">
            <v>11906530</v>
          </cell>
          <cell r="R645">
            <v>15174522</v>
          </cell>
          <cell r="S645">
            <v>20656513</v>
          </cell>
          <cell r="T645">
            <v>24610423</v>
          </cell>
          <cell r="U645">
            <v>28021143</v>
          </cell>
          <cell r="V645">
            <v>31705526</v>
          </cell>
          <cell r="W645">
            <v>35642058</v>
          </cell>
          <cell r="X645">
            <v>40405914</v>
          </cell>
          <cell r="Y645">
            <v>45504657</v>
          </cell>
          <cell r="Z645">
            <v>3433014</v>
          </cell>
          <cell r="AA645">
            <v>6021704</v>
          </cell>
          <cell r="AB645">
            <v>8500019</v>
          </cell>
          <cell r="AC645">
            <v>10970396</v>
          </cell>
          <cell r="AD645">
            <v>13533585</v>
          </cell>
          <cell r="AE645">
            <v>16093866</v>
          </cell>
          <cell r="AF645">
            <v>18706327</v>
          </cell>
          <cell r="AG645">
            <v>21426994</v>
          </cell>
          <cell r="AH645">
            <v>24148312</v>
          </cell>
          <cell r="AI645">
            <v>26595676</v>
          </cell>
          <cell r="AJ645">
            <v>29121985</v>
          </cell>
          <cell r="AK645">
            <v>31624115</v>
          </cell>
          <cell r="AL645">
            <v>2587264</v>
          </cell>
          <cell r="AM645">
            <v>5228619</v>
          </cell>
          <cell r="AN645">
            <v>8000155</v>
          </cell>
          <cell r="AO645">
            <v>10956844</v>
          </cell>
          <cell r="AP645">
            <v>14126584</v>
          </cell>
          <cell r="AQ645">
            <v>17694452</v>
          </cell>
          <cell r="AR645">
            <v>20609001</v>
          </cell>
          <cell r="AS645">
            <v>23980611</v>
          </cell>
          <cell r="AT645">
            <v>26817899</v>
          </cell>
          <cell r="AU645">
            <v>29721850</v>
          </cell>
          <cell r="AV645">
            <v>32812443</v>
          </cell>
          <cell r="AW645">
            <v>38198548</v>
          </cell>
          <cell r="AX645">
            <v>47936841</v>
          </cell>
          <cell r="AY645">
            <v>70262803</v>
          </cell>
          <cell r="AZ645">
            <v>96073440</v>
          </cell>
          <cell r="BA645">
            <v>99440834</v>
          </cell>
          <cell r="BB645">
            <v>99440834</v>
          </cell>
        </row>
        <row r="646">
          <cell r="A646" t="str">
            <v>QUICK CHECK</v>
          </cell>
          <cell r="B646">
            <v>151215</v>
          </cell>
          <cell r="C646">
            <v>277125</v>
          </cell>
          <cell r="D646">
            <v>395414</v>
          </cell>
          <cell r="E646">
            <v>503256</v>
          </cell>
          <cell r="F646">
            <v>613087</v>
          </cell>
          <cell r="G646">
            <v>723044</v>
          </cell>
          <cell r="H646">
            <v>838353</v>
          </cell>
          <cell r="I646">
            <v>944917</v>
          </cell>
          <cell r="J646">
            <v>1045419</v>
          </cell>
          <cell r="K646">
            <v>1146848</v>
          </cell>
          <cell r="L646">
            <v>1256145</v>
          </cell>
          <cell r="M646">
            <v>1377995</v>
          </cell>
          <cell r="N646">
            <v>128805</v>
          </cell>
          <cell r="O646">
            <v>238492</v>
          </cell>
          <cell r="P646">
            <v>345272</v>
          </cell>
          <cell r="Q646">
            <v>460969</v>
          </cell>
          <cell r="R646">
            <v>592361</v>
          </cell>
          <cell r="S646">
            <v>715429</v>
          </cell>
          <cell r="T646">
            <v>859055</v>
          </cell>
          <cell r="U646">
            <v>994683</v>
          </cell>
          <cell r="V646">
            <v>1107419</v>
          </cell>
          <cell r="W646">
            <v>1219180</v>
          </cell>
          <cell r="X646">
            <v>1332407</v>
          </cell>
          <cell r="Y646">
            <v>1489685</v>
          </cell>
          <cell r="Z646">
            <v>187079</v>
          </cell>
          <cell r="AA646">
            <v>311399</v>
          </cell>
          <cell r="AB646">
            <v>437844</v>
          </cell>
          <cell r="AC646">
            <v>558360</v>
          </cell>
          <cell r="AD646">
            <v>670941</v>
          </cell>
          <cell r="AE646">
            <v>779816</v>
          </cell>
          <cell r="AF646">
            <v>905408</v>
          </cell>
          <cell r="AG646">
            <v>1012308</v>
          </cell>
          <cell r="AH646">
            <v>1120725</v>
          </cell>
          <cell r="AI646">
            <v>1220844</v>
          </cell>
          <cell r="AJ646">
            <v>1320916</v>
          </cell>
          <cell r="AK646">
            <v>1418443</v>
          </cell>
          <cell r="AL646">
            <v>98880</v>
          </cell>
          <cell r="AM646">
            <v>199868</v>
          </cell>
          <cell r="AN646">
            <v>315960</v>
          </cell>
          <cell r="AO646">
            <v>429527</v>
          </cell>
          <cell r="AP646">
            <v>530682</v>
          </cell>
          <cell r="AQ646">
            <v>631505</v>
          </cell>
          <cell r="AR646">
            <v>731086</v>
          </cell>
          <cell r="AS646">
            <v>836561</v>
          </cell>
          <cell r="AT646">
            <v>935852</v>
          </cell>
          <cell r="AU646">
            <v>1079052</v>
          </cell>
          <cell r="AV646">
            <v>1177929</v>
          </cell>
          <cell r="AW646">
            <v>1286053</v>
          </cell>
          <cell r="AX646">
            <v>1411373</v>
          </cell>
          <cell r="AY646">
            <v>1581741</v>
          </cell>
          <cell r="AZ646">
            <v>1980891</v>
          </cell>
          <cell r="BA646">
            <v>2943197</v>
          </cell>
          <cell r="BB646">
            <v>2943197</v>
          </cell>
        </row>
        <row r="647">
          <cell r="A647" t="str">
            <v>ROUNDYS</v>
          </cell>
          <cell r="B647">
            <v>314149</v>
          </cell>
          <cell r="C647">
            <v>627727</v>
          </cell>
          <cell r="D647">
            <v>890883</v>
          </cell>
          <cell r="E647">
            <v>1127360</v>
          </cell>
          <cell r="F647">
            <v>1387640</v>
          </cell>
          <cell r="G647">
            <v>1753625</v>
          </cell>
          <cell r="H647">
            <v>2017628</v>
          </cell>
          <cell r="I647">
            <v>2255113</v>
          </cell>
          <cell r="J647">
            <v>2509902</v>
          </cell>
          <cell r="K647">
            <v>2763688</v>
          </cell>
          <cell r="L647">
            <v>3024502</v>
          </cell>
          <cell r="M647">
            <v>3267303</v>
          </cell>
          <cell r="N647">
            <v>247866</v>
          </cell>
          <cell r="O647">
            <v>663032</v>
          </cell>
          <cell r="P647">
            <v>900604</v>
          </cell>
          <cell r="Q647">
            <v>1155765</v>
          </cell>
          <cell r="R647">
            <v>1435486</v>
          </cell>
          <cell r="S647">
            <v>1883180</v>
          </cell>
          <cell r="T647">
            <v>2223289</v>
          </cell>
          <cell r="U647">
            <v>2491446</v>
          </cell>
          <cell r="V647">
            <v>2787462</v>
          </cell>
          <cell r="W647">
            <v>3078596</v>
          </cell>
          <cell r="X647">
            <v>3473450</v>
          </cell>
          <cell r="Y647">
            <v>4042746</v>
          </cell>
          <cell r="Z647">
            <v>378086</v>
          </cell>
          <cell r="AA647">
            <v>653597</v>
          </cell>
          <cell r="AB647">
            <v>923729</v>
          </cell>
          <cell r="AC647">
            <v>1199148</v>
          </cell>
          <cell r="AD647">
            <v>1487126</v>
          </cell>
          <cell r="AE647">
            <v>1747873</v>
          </cell>
          <cell r="AF647">
            <v>2015674</v>
          </cell>
          <cell r="AG647">
            <v>2270387</v>
          </cell>
          <cell r="AH647">
            <v>2535275</v>
          </cell>
          <cell r="AI647">
            <v>2801961</v>
          </cell>
          <cell r="AJ647">
            <v>3053009</v>
          </cell>
          <cell r="AK647">
            <v>3298293</v>
          </cell>
          <cell r="AL647">
            <v>238423</v>
          </cell>
          <cell r="AM647">
            <v>499200</v>
          </cell>
          <cell r="AN647">
            <v>745564</v>
          </cell>
          <cell r="AO647">
            <v>990062</v>
          </cell>
          <cell r="AP647">
            <v>1233252</v>
          </cell>
          <cell r="AQ647">
            <v>1512405</v>
          </cell>
          <cell r="AR647">
            <v>1760692</v>
          </cell>
          <cell r="AS647">
            <v>2021069</v>
          </cell>
          <cell r="AT647">
            <v>2277408</v>
          </cell>
          <cell r="AU647">
            <v>2557378</v>
          </cell>
          <cell r="AV647">
            <v>2875267</v>
          </cell>
          <cell r="AW647">
            <v>3577002</v>
          </cell>
          <cell r="AX647">
            <v>4594787</v>
          </cell>
          <cell r="AY647">
            <v>6803364</v>
          </cell>
          <cell r="AZ647">
            <v>9703345</v>
          </cell>
          <cell r="BA647">
            <v>10212350</v>
          </cell>
          <cell r="BB647">
            <v>10212350</v>
          </cell>
        </row>
        <row r="648">
          <cell r="A648" t="str">
            <v>SAFEWAY</v>
          </cell>
          <cell r="B648">
            <v>11125163</v>
          </cell>
          <cell r="C648">
            <v>22133342</v>
          </cell>
          <cell r="D648">
            <v>32587894</v>
          </cell>
          <cell r="E648">
            <v>43001025</v>
          </cell>
          <cell r="F648">
            <v>53774597</v>
          </cell>
          <cell r="G648">
            <v>69433300</v>
          </cell>
          <cell r="H648">
            <v>80649534</v>
          </cell>
          <cell r="I648">
            <v>91314775</v>
          </cell>
          <cell r="J648">
            <v>102491230</v>
          </cell>
          <cell r="K648">
            <v>114177235</v>
          </cell>
          <cell r="L648">
            <v>125974301</v>
          </cell>
          <cell r="M648">
            <v>137587802</v>
          </cell>
          <cell r="N648">
            <v>11969316</v>
          </cell>
          <cell r="O648">
            <v>27672610</v>
          </cell>
          <cell r="P648">
            <v>40069207</v>
          </cell>
          <cell r="Q648">
            <v>52793638</v>
          </cell>
          <cell r="R648">
            <v>66327931</v>
          </cell>
          <cell r="S648">
            <v>87335124</v>
          </cell>
          <cell r="T648">
            <v>104267797</v>
          </cell>
          <cell r="U648">
            <v>118653041</v>
          </cell>
          <cell r="V648">
            <v>134839324</v>
          </cell>
          <cell r="W648">
            <v>151532766</v>
          </cell>
          <cell r="X648">
            <v>171490749</v>
          </cell>
          <cell r="Y648">
            <v>195429781</v>
          </cell>
          <cell r="Z648">
            <v>17905288</v>
          </cell>
          <cell r="AA648">
            <v>31993315</v>
          </cell>
          <cell r="AB648">
            <v>45196672</v>
          </cell>
          <cell r="AC648">
            <v>58457539</v>
          </cell>
          <cell r="AD648">
            <v>72437895</v>
          </cell>
          <cell r="AE648">
            <v>86245715</v>
          </cell>
          <cell r="AF648">
            <v>100326402</v>
          </cell>
          <cell r="AG648">
            <v>114364158</v>
          </cell>
          <cell r="AH648">
            <v>128641284</v>
          </cell>
          <cell r="AI648">
            <v>143111517</v>
          </cell>
          <cell r="AJ648">
            <v>156440314</v>
          </cell>
          <cell r="AK648">
            <v>169601018</v>
          </cell>
          <cell r="AL648">
            <v>13174814</v>
          </cell>
          <cell r="AM648">
            <v>26412058</v>
          </cell>
          <cell r="AN648">
            <v>39365038</v>
          </cell>
          <cell r="AO648">
            <v>52689097</v>
          </cell>
          <cell r="AP648">
            <v>65979074</v>
          </cell>
          <cell r="AQ648">
            <v>79539057</v>
          </cell>
          <cell r="AR648">
            <v>93111161</v>
          </cell>
          <cell r="AS648">
            <v>106630113</v>
          </cell>
          <cell r="AT648">
            <v>121315102</v>
          </cell>
          <cell r="AU648">
            <v>136966041</v>
          </cell>
          <cell r="AV648">
            <v>153944769</v>
          </cell>
          <cell r="AW648">
            <v>181436487</v>
          </cell>
          <cell r="AX648">
            <v>229437188</v>
          </cell>
          <cell r="AY648">
            <v>334619307</v>
          </cell>
          <cell r="AZ648">
            <v>457546110</v>
          </cell>
          <cell r="BA648">
            <v>477738419</v>
          </cell>
          <cell r="BB648">
            <v>477738419</v>
          </cell>
        </row>
        <row r="649">
          <cell r="A649" t="str">
            <v>SAVE MART</v>
          </cell>
          <cell r="B649">
            <v>343281</v>
          </cell>
          <cell r="C649">
            <v>684122</v>
          </cell>
          <cell r="D649">
            <v>1007783</v>
          </cell>
          <cell r="E649">
            <v>1320314</v>
          </cell>
          <cell r="F649">
            <v>1622259</v>
          </cell>
          <cell r="G649">
            <v>2087544</v>
          </cell>
          <cell r="H649">
            <v>2407471</v>
          </cell>
          <cell r="I649">
            <v>2701494</v>
          </cell>
          <cell r="J649">
            <v>3009673</v>
          </cell>
          <cell r="K649">
            <v>3333544</v>
          </cell>
          <cell r="L649">
            <v>3671633</v>
          </cell>
          <cell r="M649">
            <v>4024109</v>
          </cell>
          <cell r="N649">
            <v>337188</v>
          </cell>
          <cell r="O649">
            <v>858308</v>
          </cell>
          <cell r="P649">
            <v>1218004</v>
          </cell>
          <cell r="Q649">
            <v>1582092</v>
          </cell>
          <cell r="R649">
            <v>1985463</v>
          </cell>
          <cell r="S649">
            <v>2635571</v>
          </cell>
          <cell r="T649">
            <v>3159746</v>
          </cell>
          <cell r="U649">
            <v>3561827</v>
          </cell>
          <cell r="V649">
            <v>4106224</v>
          </cell>
          <cell r="W649">
            <v>4687077</v>
          </cell>
          <cell r="X649">
            <v>5381893</v>
          </cell>
          <cell r="Y649">
            <v>6198942</v>
          </cell>
          <cell r="Z649">
            <v>596777</v>
          </cell>
          <cell r="AA649">
            <v>1017216</v>
          </cell>
          <cell r="AB649">
            <v>1408834</v>
          </cell>
          <cell r="AC649">
            <v>1801582</v>
          </cell>
          <cell r="AD649">
            <v>2218484</v>
          </cell>
          <cell r="AE649">
            <v>2613770</v>
          </cell>
          <cell r="AF649">
            <v>3022204</v>
          </cell>
          <cell r="AG649">
            <v>3416664</v>
          </cell>
          <cell r="AH649">
            <v>3827568</v>
          </cell>
          <cell r="AI649">
            <v>4240280</v>
          </cell>
          <cell r="AJ649">
            <v>4639571</v>
          </cell>
          <cell r="AK649">
            <v>5059899</v>
          </cell>
          <cell r="AL649">
            <v>409821</v>
          </cell>
          <cell r="AM649">
            <v>833105</v>
          </cell>
          <cell r="AN649">
            <v>1239356</v>
          </cell>
          <cell r="AO649">
            <v>1672861</v>
          </cell>
          <cell r="AP649">
            <v>2075890</v>
          </cell>
          <cell r="AQ649">
            <v>2485573</v>
          </cell>
          <cell r="AR649">
            <v>2888649</v>
          </cell>
          <cell r="AS649">
            <v>3281443</v>
          </cell>
          <cell r="AT649">
            <v>3682996</v>
          </cell>
          <cell r="AU649">
            <v>4090392</v>
          </cell>
          <cell r="AV649">
            <v>4525346</v>
          </cell>
          <cell r="AW649">
            <v>5132044</v>
          </cell>
          <cell r="AX649">
            <v>6078202</v>
          </cell>
          <cell r="AY649">
            <v>8257623</v>
          </cell>
          <cell r="AZ649">
            <v>11723297</v>
          </cell>
          <cell r="BA649">
            <v>12170352</v>
          </cell>
          <cell r="BB649">
            <v>12170352</v>
          </cell>
        </row>
        <row r="650">
          <cell r="A650" t="str">
            <v>SOBEYS</v>
          </cell>
          <cell r="B650">
            <v>486628</v>
          </cell>
          <cell r="C650">
            <v>968248</v>
          </cell>
          <cell r="D650">
            <v>1420938</v>
          </cell>
          <cell r="E650">
            <v>1845543</v>
          </cell>
          <cell r="F650">
            <v>2220740</v>
          </cell>
          <cell r="G650">
            <v>2737868</v>
          </cell>
          <cell r="H650">
            <v>3144913</v>
          </cell>
          <cell r="I650">
            <v>3526357</v>
          </cell>
          <cell r="J650">
            <v>3874780</v>
          </cell>
          <cell r="K650">
            <v>4244199</v>
          </cell>
          <cell r="L650">
            <v>4653840</v>
          </cell>
          <cell r="M650">
            <v>5046073</v>
          </cell>
          <cell r="N650">
            <v>358063</v>
          </cell>
          <cell r="O650">
            <v>961082</v>
          </cell>
          <cell r="P650">
            <v>1305860</v>
          </cell>
          <cell r="Q650">
            <v>1689855</v>
          </cell>
          <cell r="R650">
            <v>2073973</v>
          </cell>
          <cell r="S650">
            <v>2659825</v>
          </cell>
          <cell r="T650">
            <v>3144774</v>
          </cell>
          <cell r="U650">
            <v>3584900</v>
          </cell>
          <cell r="V650">
            <v>4146617</v>
          </cell>
          <cell r="W650">
            <v>4609540</v>
          </cell>
          <cell r="X650">
            <v>5343398</v>
          </cell>
          <cell r="Y650">
            <v>6237851</v>
          </cell>
          <cell r="Z650">
            <v>840257</v>
          </cell>
          <cell r="AA650">
            <v>1719124</v>
          </cell>
          <cell r="AB650">
            <v>2349052</v>
          </cell>
          <cell r="AC650">
            <v>2989979</v>
          </cell>
          <cell r="AD650">
            <v>3637251</v>
          </cell>
          <cell r="AE650">
            <v>4290764</v>
          </cell>
          <cell r="AF650">
            <v>4959743</v>
          </cell>
          <cell r="AG650">
            <v>5591292</v>
          </cell>
          <cell r="AH650">
            <v>6250974</v>
          </cell>
          <cell r="AI650">
            <v>6908113</v>
          </cell>
          <cell r="AJ650">
            <v>7570027</v>
          </cell>
          <cell r="AK650">
            <v>8158976</v>
          </cell>
          <cell r="AL650">
            <v>599689</v>
          </cell>
          <cell r="AM650">
            <v>1207087</v>
          </cell>
          <cell r="AN650">
            <v>1841432</v>
          </cell>
          <cell r="AO650">
            <v>2465093</v>
          </cell>
          <cell r="AP650">
            <v>3069432</v>
          </cell>
          <cell r="AQ650">
            <v>3665881</v>
          </cell>
          <cell r="AR650">
            <v>4230549</v>
          </cell>
          <cell r="AS650">
            <v>4801399</v>
          </cell>
          <cell r="AT650">
            <v>5338541</v>
          </cell>
          <cell r="AU650">
            <v>5950819</v>
          </cell>
          <cell r="AV650">
            <v>6753294</v>
          </cell>
          <cell r="AW650">
            <v>8233882</v>
          </cell>
          <cell r="AX650">
            <v>10556872</v>
          </cell>
          <cell r="AY650">
            <v>14851224</v>
          </cell>
          <cell r="AZ650">
            <v>20092985</v>
          </cell>
          <cell r="BA650">
            <v>21145734</v>
          </cell>
          <cell r="BB650">
            <v>21145734</v>
          </cell>
        </row>
        <row r="651">
          <cell r="A651" t="str">
            <v>STAPLES</v>
          </cell>
          <cell r="B651">
            <v>1221048</v>
          </cell>
          <cell r="C651">
            <v>2354295</v>
          </cell>
          <cell r="D651">
            <v>3425499</v>
          </cell>
          <cell r="E651">
            <v>4432831</v>
          </cell>
          <cell r="F651">
            <v>5473788</v>
          </cell>
          <cell r="G651">
            <v>6708658</v>
          </cell>
          <cell r="H651">
            <v>7675497</v>
          </cell>
          <cell r="I651">
            <v>8797918</v>
          </cell>
          <cell r="J651">
            <v>9938368</v>
          </cell>
          <cell r="K651">
            <v>11122633</v>
          </cell>
          <cell r="L651">
            <v>12359765</v>
          </cell>
          <cell r="M651">
            <v>13600817</v>
          </cell>
          <cell r="N651">
            <v>1062779</v>
          </cell>
          <cell r="O651">
            <v>2679939</v>
          </cell>
          <cell r="P651">
            <v>3971867</v>
          </cell>
          <cell r="Q651">
            <v>5238457</v>
          </cell>
          <cell r="R651">
            <v>6549053</v>
          </cell>
          <cell r="S651">
            <v>8218725</v>
          </cell>
          <cell r="T651">
            <v>9465924</v>
          </cell>
          <cell r="U651">
            <v>10678269</v>
          </cell>
          <cell r="V651">
            <v>11990552</v>
          </cell>
          <cell r="W651">
            <v>13240150</v>
          </cell>
          <cell r="X651">
            <v>14665118</v>
          </cell>
          <cell r="Y651">
            <v>16600241</v>
          </cell>
          <cell r="Z651">
            <v>1432119</v>
          </cell>
          <cell r="AA651">
            <v>2510502</v>
          </cell>
          <cell r="AB651">
            <v>3502988</v>
          </cell>
          <cell r="AC651">
            <v>4380022</v>
          </cell>
          <cell r="AD651">
            <v>5423081</v>
          </cell>
          <cell r="AE651">
            <v>6639478</v>
          </cell>
          <cell r="AF651">
            <v>7771087</v>
          </cell>
          <cell r="AG651">
            <v>8999922</v>
          </cell>
          <cell r="AH651">
            <v>10060072</v>
          </cell>
          <cell r="AI651">
            <v>11167498</v>
          </cell>
          <cell r="AJ651">
            <v>12230936</v>
          </cell>
          <cell r="AK651">
            <v>13144934</v>
          </cell>
          <cell r="AL651">
            <v>870782</v>
          </cell>
          <cell r="AM651">
            <v>1692969</v>
          </cell>
          <cell r="AN651">
            <v>2500255</v>
          </cell>
          <cell r="AO651">
            <v>3284101</v>
          </cell>
          <cell r="AP651">
            <v>4240075</v>
          </cell>
          <cell r="AQ651">
            <v>5392684</v>
          </cell>
          <cell r="AR651">
            <v>6462230</v>
          </cell>
          <cell r="AS651">
            <v>7485392</v>
          </cell>
          <cell r="AT651">
            <v>8526302</v>
          </cell>
          <cell r="AU651">
            <v>9886359</v>
          </cell>
          <cell r="AV651">
            <v>11727179</v>
          </cell>
          <cell r="AW651">
            <v>14075100</v>
          </cell>
          <cell r="AX651">
            <v>17919076</v>
          </cell>
          <cell r="AY651">
            <v>23491836</v>
          </cell>
          <cell r="AZ651">
            <v>35010212</v>
          </cell>
          <cell r="BA651">
            <v>37164820</v>
          </cell>
          <cell r="BB651">
            <v>37164820</v>
          </cell>
        </row>
        <row r="652">
          <cell r="A652" t="str">
            <v>STATER BROS</v>
          </cell>
          <cell r="B652">
            <v>479394</v>
          </cell>
          <cell r="C652">
            <v>948048</v>
          </cell>
          <cell r="D652">
            <v>1357188</v>
          </cell>
          <cell r="E652">
            <v>1770584</v>
          </cell>
          <cell r="F652">
            <v>2185039</v>
          </cell>
          <cell r="G652">
            <v>2775931</v>
          </cell>
          <cell r="H652">
            <v>3196512</v>
          </cell>
          <cell r="I652">
            <v>3605887</v>
          </cell>
          <cell r="J652">
            <v>4020324</v>
          </cell>
          <cell r="K652">
            <v>4452609</v>
          </cell>
          <cell r="L652">
            <v>4898476</v>
          </cell>
          <cell r="M652">
            <v>5349557</v>
          </cell>
          <cell r="N652">
            <v>425397</v>
          </cell>
          <cell r="O652">
            <v>988671</v>
          </cell>
          <cell r="P652">
            <v>1434517</v>
          </cell>
          <cell r="Q652">
            <v>1886186</v>
          </cell>
          <cell r="R652">
            <v>2371055</v>
          </cell>
          <cell r="S652">
            <v>3190189</v>
          </cell>
          <cell r="T652">
            <v>3863730</v>
          </cell>
          <cell r="U652">
            <v>4342615</v>
          </cell>
          <cell r="V652">
            <v>4853058</v>
          </cell>
          <cell r="W652">
            <v>5363247</v>
          </cell>
          <cell r="X652">
            <v>6044324</v>
          </cell>
          <cell r="Y652">
            <v>7001358</v>
          </cell>
          <cell r="Z652">
            <v>696487</v>
          </cell>
          <cell r="AA652">
            <v>1176158</v>
          </cell>
          <cell r="AB652">
            <v>1662151</v>
          </cell>
          <cell r="AC652">
            <v>2132250</v>
          </cell>
          <cell r="AD652">
            <v>2639536</v>
          </cell>
          <cell r="AE652">
            <v>3146148</v>
          </cell>
          <cell r="AF652">
            <v>3655740</v>
          </cell>
          <cell r="AG652">
            <v>4184319</v>
          </cell>
          <cell r="AH652">
            <v>4681686</v>
          </cell>
          <cell r="AI652">
            <v>5166354</v>
          </cell>
          <cell r="AJ652">
            <v>5626067</v>
          </cell>
          <cell r="AK652">
            <v>6043352</v>
          </cell>
          <cell r="AL652">
            <v>403665</v>
          </cell>
          <cell r="AM652">
            <v>819508</v>
          </cell>
          <cell r="AN652">
            <v>1235121</v>
          </cell>
          <cell r="AO652">
            <v>1662229</v>
          </cell>
          <cell r="AP652">
            <v>2088503</v>
          </cell>
          <cell r="AQ652">
            <v>2519612</v>
          </cell>
          <cell r="AR652">
            <v>2920350</v>
          </cell>
          <cell r="AS652">
            <v>3321603</v>
          </cell>
          <cell r="AT652">
            <v>3723097</v>
          </cell>
          <cell r="AU652">
            <v>4137694</v>
          </cell>
          <cell r="AV652">
            <v>4589682</v>
          </cell>
          <cell r="AW652">
            <v>5273000</v>
          </cell>
          <cell r="AX652">
            <v>6427794</v>
          </cell>
          <cell r="AY652">
            <v>8918390</v>
          </cell>
          <cell r="AZ652">
            <v>13031064</v>
          </cell>
          <cell r="BA652">
            <v>13524869</v>
          </cell>
          <cell r="BB652">
            <v>13524869</v>
          </cell>
        </row>
        <row r="653">
          <cell r="A653" t="str">
            <v>SVU CORPORATE 30</v>
          </cell>
          <cell r="B653">
            <v>282383</v>
          </cell>
          <cell r="C653">
            <v>559205</v>
          </cell>
          <cell r="D653">
            <v>814089</v>
          </cell>
          <cell r="E653">
            <v>1062858</v>
          </cell>
          <cell r="F653">
            <v>1339233</v>
          </cell>
          <cell r="G653">
            <v>1721066</v>
          </cell>
          <cell r="H653">
            <v>2023305</v>
          </cell>
          <cell r="I653">
            <v>2307971</v>
          </cell>
          <cell r="J653">
            <v>2591886</v>
          </cell>
          <cell r="K653">
            <v>2901919</v>
          </cell>
          <cell r="L653">
            <v>3196308</v>
          </cell>
          <cell r="M653">
            <v>3484004</v>
          </cell>
          <cell r="N653">
            <v>293298</v>
          </cell>
          <cell r="O653">
            <v>679664</v>
          </cell>
          <cell r="P653">
            <v>980912</v>
          </cell>
          <cell r="Q653">
            <v>1282822</v>
          </cell>
          <cell r="R653">
            <v>1621207</v>
          </cell>
          <cell r="S653">
            <v>2150779</v>
          </cell>
          <cell r="T653">
            <v>2582941</v>
          </cell>
          <cell r="U653">
            <v>2940549</v>
          </cell>
          <cell r="V653">
            <v>3344640</v>
          </cell>
          <cell r="W653">
            <v>3758852</v>
          </cell>
          <cell r="X653">
            <v>4246626</v>
          </cell>
          <cell r="Y653">
            <v>4830105</v>
          </cell>
          <cell r="Z653">
            <v>438503</v>
          </cell>
          <cell r="AA653">
            <v>777461</v>
          </cell>
          <cell r="AB653">
            <v>1101857</v>
          </cell>
          <cell r="AC653">
            <v>1425763</v>
          </cell>
          <cell r="AD653">
            <v>1758108</v>
          </cell>
          <cell r="AE653">
            <v>2102911</v>
          </cell>
          <cell r="AF653">
            <v>2449580</v>
          </cell>
          <cell r="AG653">
            <v>2788042</v>
          </cell>
          <cell r="AH653">
            <v>3146031</v>
          </cell>
          <cell r="AI653">
            <v>3474866</v>
          </cell>
          <cell r="AJ653">
            <v>3787302</v>
          </cell>
          <cell r="AK653">
            <v>4106492</v>
          </cell>
          <cell r="AL653">
            <v>333253</v>
          </cell>
          <cell r="AM653">
            <v>657059</v>
          </cell>
          <cell r="AN653">
            <v>979593</v>
          </cell>
          <cell r="AO653">
            <v>1294429</v>
          </cell>
          <cell r="AP653">
            <v>1747413</v>
          </cell>
          <cell r="AQ653">
            <v>2085390</v>
          </cell>
          <cell r="AR653">
            <v>2433277</v>
          </cell>
          <cell r="AS653">
            <v>2782825</v>
          </cell>
          <cell r="AT653">
            <v>3167711</v>
          </cell>
          <cell r="AU653">
            <v>3594337</v>
          </cell>
          <cell r="AV653">
            <v>4066320</v>
          </cell>
          <cell r="AW653">
            <v>4771231</v>
          </cell>
          <cell r="AX653">
            <v>6378774</v>
          </cell>
          <cell r="AY653">
            <v>9138363</v>
          </cell>
          <cell r="AZ653">
            <v>12874079</v>
          </cell>
          <cell r="BA653">
            <v>13374692</v>
          </cell>
          <cell r="BB653">
            <v>13374692</v>
          </cell>
        </row>
        <row r="654">
          <cell r="A654" t="str">
            <v>SVU INDEPENDENT 10/25</v>
          </cell>
          <cell r="B654">
            <v>81455</v>
          </cell>
          <cell r="C654">
            <v>149777</v>
          </cell>
          <cell r="D654">
            <v>213909</v>
          </cell>
          <cell r="E654">
            <v>277937</v>
          </cell>
          <cell r="F654">
            <v>342680</v>
          </cell>
          <cell r="G654">
            <v>431963</v>
          </cell>
          <cell r="H654">
            <v>499704</v>
          </cell>
          <cell r="I654">
            <v>555436</v>
          </cell>
          <cell r="J654">
            <v>653841</v>
          </cell>
          <cell r="K654">
            <v>759744</v>
          </cell>
          <cell r="L654">
            <v>824302</v>
          </cell>
          <cell r="M654">
            <v>895367</v>
          </cell>
          <cell r="N654">
            <v>67360</v>
          </cell>
          <cell r="O654">
            <v>158013</v>
          </cell>
          <cell r="P654">
            <v>230601</v>
          </cell>
          <cell r="Q654">
            <v>303126</v>
          </cell>
          <cell r="R654">
            <v>382955</v>
          </cell>
          <cell r="S654">
            <v>508197</v>
          </cell>
          <cell r="T654">
            <v>595168</v>
          </cell>
          <cell r="U654">
            <v>693619</v>
          </cell>
          <cell r="V654">
            <v>793259</v>
          </cell>
          <cell r="W654">
            <v>893251</v>
          </cell>
          <cell r="X654">
            <v>1004446</v>
          </cell>
          <cell r="Y654">
            <v>1173633</v>
          </cell>
          <cell r="Z654">
            <v>120487</v>
          </cell>
          <cell r="AA654">
            <v>208783</v>
          </cell>
          <cell r="AB654">
            <v>294406</v>
          </cell>
          <cell r="AC654">
            <v>376476</v>
          </cell>
          <cell r="AD654">
            <v>459744</v>
          </cell>
          <cell r="AE654">
            <v>545521</v>
          </cell>
          <cell r="AF654">
            <v>634079</v>
          </cell>
          <cell r="AG654">
            <v>722943</v>
          </cell>
          <cell r="AH654">
            <v>812459</v>
          </cell>
          <cell r="AI654">
            <v>899673</v>
          </cell>
          <cell r="AJ654">
            <v>980493</v>
          </cell>
          <cell r="AK654">
            <v>1060212</v>
          </cell>
          <cell r="AL654">
            <v>90328</v>
          </cell>
          <cell r="AM654">
            <v>176003</v>
          </cell>
          <cell r="AN654">
            <v>264058</v>
          </cell>
          <cell r="AO654">
            <v>353948</v>
          </cell>
          <cell r="AP654">
            <v>445177</v>
          </cell>
          <cell r="AQ654">
            <v>559530</v>
          </cell>
          <cell r="AR654">
            <v>662364</v>
          </cell>
          <cell r="AS654">
            <v>763082</v>
          </cell>
          <cell r="AT654">
            <v>866811</v>
          </cell>
          <cell r="AU654">
            <v>994009</v>
          </cell>
          <cell r="AV654">
            <v>1130136</v>
          </cell>
          <cell r="AW654">
            <v>1311888</v>
          </cell>
          <cell r="AX654">
            <v>1610236</v>
          </cell>
          <cell r="AY654">
            <v>2106171</v>
          </cell>
          <cell r="AZ654">
            <v>3107902</v>
          </cell>
          <cell r="BA654">
            <v>3581003</v>
          </cell>
          <cell r="BB654">
            <v>3581003</v>
          </cell>
        </row>
        <row r="655">
          <cell r="A655" t="str">
            <v>SVU INDEPENDENT 5/25</v>
          </cell>
          <cell r="B655">
            <v>152258</v>
          </cell>
          <cell r="C655">
            <v>278936</v>
          </cell>
          <cell r="D655">
            <v>395932</v>
          </cell>
          <cell r="E655">
            <v>513569</v>
          </cell>
          <cell r="F655">
            <v>631041</v>
          </cell>
          <cell r="G655">
            <v>801545</v>
          </cell>
          <cell r="H655">
            <v>925713</v>
          </cell>
          <cell r="I655">
            <v>1032627</v>
          </cell>
          <cell r="J655">
            <v>1231424</v>
          </cell>
          <cell r="K655">
            <v>1429735</v>
          </cell>
          <cell r="L655">
            <v>1547944</v>
          </cell>
          <cell r="M655">
            <v>1676247</v>
          </cell>
          <cell r="N655">
            <v>125584</v>
          </cell>
          <cell r="O655">
            <v>298331</v>
          </cell>
          <cell r="P655">
            <v>432314</v>
          </cell>
          <cell r="Q655">
            <v>568179</v>
          </cell>
          <cell r="R655">
            <v>719870</v>
          </cell>
          <cell r="S655">
            <v>963195</v>
          </cell>
          <cell r="T655">
            <v>1129219</v>
          </cell>
          <cell r="U655">
            <v>1319126</v>
          </cell>
          <cell r="V655">
            <v>1506900</v>
          </cell>
          <cell r="W655">
            <v>1696345</v>
          </cell>
          <cell r="X655">
            <v>1908256</v>
          </cell>
          <cell r="Y655">
            <v>2241249</v>
          </cell>
          <cell r="Z655">
            <v>234772</v>
          </cell>
          <cell r="AA655">
            <v>408545</v>
          </cell>
          <cell r="AB655">
            <v>575417</v>
          </cell>
          <cell r="AC655">
            <v>736819</v>
          </cell>
          <cell r="AD655">
            <v>900795</v>
          </cell>
          <cell r="AE655">
            <v>1068915</v>
          </cell>
          <cell r="AF655">
            <v>1241086</v>
          </cell>
          <cell r="AG655">
            <v>1415003</v>
          </cell>
          <cell r="AH655">
            <v>1583988</v>
          </cell>
          <cell r="AI655">
            <v>1755267</v>
          </cell>
          <cell r="AJ655">
            <v>1913749</v>
          </cell>
          <cell r="AK655">
            <v>2071212</v>
          </cell>
          <cell r="AL655">
            <v>191184</v>
          </cell>
          <cell r="AM655">
            <v>369753</v>
          </cell>
          <cell r="AN655">
            <v>556221</v>
          </cell>
          <cell r="AO655">
            <v>747752</v>
          </cell>
          <cell r="AP655">
            <v>963199</v>
          </cell>
          <cell r="AQ655">
            <v>1268062</v>
          </cell>
          <cell r="AR655">
            <v>1522951</v>
          </cell>
          <cell r="AS655">
            <v>1776052</v>
          </cell>
          <cell r="AT655">
            <v>2019030</v>
          </cell>
          <cell r="AU655">
            <v>2316648</v>
          </cell>
          <cell r="AV655">
            <v>2631532</v>
          </cell>
          <cell r="AW655">
            <v>3047643</v>
          </cell>
          <cell r="AX655">
            <v>3678587</v>
          </cell>
          <cell r="AY655">
            <v>4674561</v>
          </cell>
          <cell r="AZ655">
            <v>6661559</v>
          </cell>
          <cell r="BA655">
            <v>7480627</v>
          </cell>
          <cell r="BB655">
            <v>7480627</v>
          </cell>
        </row>
        <row r="656">
          <cell r="A656" t="str">
            <v>TOYS R US</v>
          </cell>
          <cell r="B656">
            <v>122447</v>
          </cell>
          <cell r="C656">
            <v>221461</v>
          </cell>
          <cell r="D656">
            <v>307349</v>
          </cell>
          <cell r="E656">
            <v>397251</v>
          </cell>
          <cell r="F656">
            <v>491111</v>
          </cell>
          <cell r="G656">
            <v>668216</v>
          </cell>
          <cell r="H656">
            <v>773248</v>
          </cell>
          <cell r="I656">
            <v>866003</v>
          </cell>
          <cell r="J656">
            <v>951342</v>
          </cell>
          <cell r="K656">
            <v>1044016</v>
          </cell>
          <cell r="L656">
            <v>1148756</v>
          </cell>
          <cell r="M656">
            <v>1241552</v>
          </cell>
          <cell r="N656">
            <v>94731</v>
          </cell>
          <cell r="O656">
            <v>292317</v>
          </cell>
          <cell r="P656">
            <v>381014</v>
          </cell>
          <cell r="Q656">
            <v>476040</v>
          </cell>
          <cell r="R656">
            <v>572534</v>
          </cell>
          <cell r="S656">
            <v>796913</v>
          </cell>
          <cell r="T656">
            <v>907357</v>
          </cell>
          <cell r="U656">
            <v>1053835</v>
          </cell>
          <cell r="V656">
            <v>1178277</v>
          </cell>
          <cell r="W656">
            <v>1301382</v>
          </cell>
          <cell r="X656">
            <v>1453579</v>
          </cell>
          <cell r="Y656">
            <v>1756468</v>
          </cell>
          <cell r="Z656">
            <v>181501</v>
          </cell>
          <cell r="AA656">
            <v>294412</v>
          </cell>
          <cell r="AB656">
            <v>400469</v>
          </cell>
          <cell r="AC656">
            <v>503640</v>
          </cell>
          <cell r="AD656">
            <v>611036</v>
          </cell>
          <cell r="AE656">
            <v>715899</v>
          </cell>
          <cell r="AF656">
            <v>819850</v>
          </cell>
          <cell r="AG656">
            <v>930165</v>
          </cell>
          <cell r="AH656">
            <v>1034021</v>
          </cell>
          <cell r="AI656">
            <v>1134265</v>
          </cell>
          <cell r="AJ656">
            <v>1233355</v>
          </cell>
          <cell r="AK656">
            <v>1330325</v>
          </cell>
          <cell r="AL656">
            <v>96713</v>
          </cell>
          <cell r="AM656">
            <v>193495</v>
          </cell>
          <cell r="AN656">
            <v>286186</v>
          </cell>
          <cell r="AO656">
            <v>386547</v>
          </cell>
          <cell r="AP656">
            <v>481129</v>
          </cell>
          <cell r="AQ656">
            <v>587361</v>
          </cell>
          <cell r="AR656">
            <v>690983</v>
          </cell>
          <cell r="AS656">
            <v>806053</v>
          </cell>
          <cell r="AT656">
            <v>926811</v>
          </cell>
          <cell r="AU656">
            <v>1108987</v>
          </cell>
          <cell r="AV656">
            <v>1431748</v>
          </cell>
          <cell r="AW656">
            <v>1839085</v>
          </cell>
          <cell r="AX656">
            <v>2540547</v>
          </cell>
          <cell r="AY656">
            <v>3555951</v>
          </cell>
          <cell r="AZ656">
            <v>5612866</v>
          </cell>
          <cell r="BA656">
            <v>5930129</v>
          </cell>
          <cell r="BB656">
            <v>5930129</v>
          </cell>
        </row>
        <row r="657">
          <cell r="A657" t="str">
            <v>UG MERCHANTS</v>
          </cell>
          <cell r="B657">
            <v>188595</v>
          </cell>
          <cell r="C657">
            <v>347867</v>
          </cell>
          <cell r="D657">
            <v>497283</v>
          </cell>
          <cell r="E657">
            <v>644734</v>
          </cell>
          <cell r="F657">
            <v>793923</v>
          </cell>
          <cell r="G657">
            <v>993239</v>
          </cell>
          <cell r="H657">
            <v>1146523</v>
          </cell>
          <cell r="I657">
            <v>1267119</v>
          </cell>
          <cell r="J657">
            <v>1471535</v>
          </cell>
          <cell r="K657">
            <v>1715055</v>
          </cell>
          <cell r="L657">
            <v>1863206</v>
          </cell>
          <cell r="M657">
            <v>2027975</v>
          </cell>
          <cell r="N657">
            <v>154621</v>
          </cell>
          <cell r="O657">
            <v>359690</v>
          </cell>
          <cell r="P657">
            <v>527934</v>
          </cell>
          <cell r="Q657">
            <v>692280</v>
          </cell>
          <cell r="R657">
            <v>873460</v>
          </cell>
          <cell r="S657">
            <v>1152522</v>
          </cell>
          <cell r="T657">
            <v>1348285</v>
          </cell>
          <cell r="U657">
            <v>1569713</v>
          </cell>
          <cell r="V657">
            <v>1797550</v>
          </cell>
          <cell r="W657">
            <v>2026503</v>
          </cell>
          <cell r="X657">
            <v>2282743</v>
          </cell>
          <cell r="Y657">
            <v>2665616</v>
          </cell>
          <cell r="Z657">
            <v>271066</v>
          </cell>
          <cell r="AA657">
            <v>471547</v>
          </cell>
          <cell r="AB657">
            <v>666842</v>
          </cell>
          <cell r="AC657">
            <v>854267</v>
          </cell>
          <cell r="AD657">
            <v>1041205</v>
          </cell>
          <cell r="AE657">
            <v>1236377</v>
          </cell>
          <cell r="AF657">
            <v>1439937</v>
          </cell>
          <cell r="AG657">
            <v>1643386</v>
          </cell>
          <cell r="AH657">
            <v>1856865</v>
          </cell>
          <cell r="AI657">
            <v>2053943</v>
          </cell>
          <cell r="AJ657">
            <v>2235948</v>
          </cell>
          <cell r="AK657">
            <v>2415023</v>
          </cell>
          <cell r="AL657">
            <v>194534</v>
          </cell>
          <cell r="AM657">
            <v>381429</v>
          </cell>
          <cell r="AN657">
            <v>574180</v>
          </cell>
          <cell r="AO657">
            <v>772995</v>
          </cell>
          <cell r="AP657">
            <v>971949</v>
          </cell>
          <cell r="AQ657">
            <v>1205414</v>
          </cell>
          <cell r="AR657">
            <v>1420255</v>
          </cell>
          <cell r="AS657">
            <v>1626729</v>
          </cell>
          <cell r="AT657">
            <v>1832010</v>
          </cell>
          <cell r="AU657">
            <v>2070995</v>
          </cell>
          <cell r="AV657">
            <v>2322527</v>
          </cell>
          <cell r="AW657">
            <v>2673419</v>
          </cell>
          <cell r="AX657">
            <v>3263843</v>
          </cell>
          <cell r="AY657">
            <v>4208932</v>
          </cell>
          <cell r="AZ657">
            <v>6081604</v>
          </cell>
          <cell r="BA657">
            <v>6636290</v>
          </cell>
          <cell r="BB657">
            <v>6636290</v>
          </cell>
        </row>
        <row r="658">
          <cell r="A658" t="str">
            <v>WAKEFERN</v>
          </cell>
          <cell r="B658">
            <v>590791</v>
          </cell>
          <cell r="C658">
            <v>1164828</v>
          </cell>
          <cell r="D658">
            <v>1687767</v>
          </cell>
          <cell r="E658">
            <v>2187032</v>
          </cell>
          <cell r="F658">
            <v>2654855</v>
          </cell>
          <cell r="G658">
            <v>3239215</v>
          </cell>
          <cell r="H658">
            <v>3704761</v>
          </cell>
          <cell r="I658">
            <v>4157282</v>
          </cell>
          <cell r="J658">
            <v>4597998</v>
          </cell>
          <cell r="K658">
            <v>5093006</v>
          </cell>
          <cell r="L658">
            <v>5596103</v>
          </cell>
          <cell r="M658">
            <v>6058502</v>
          </cell>
          <cell r="N658">
            <v>468901</v>
          </cell>
          <cell r="O658">
            <v>1217344</v>
          </cell>
          <cell r="P658">
            <v>1651177</v>
          </cell>
          <cell r="Q658">
            <v>2150074</v>
          </cell>
          <cell r="R658">
            <v>2629256</v>
          </cell>
          <cell r="S658">
            <v>3489962</v>
          </cell>
          <cell r="T658">
            <v>4167211</v>
          </cell>
          <cell r="U658">
            <v>4680262</v>
          </cell>
          <cell r="V658">
            <v>5195788</v>
          </cell>
          <cell r="W658">
            <v>5743995</v>
          </cell>
          <cell r="X658">
            <v>6514477</v>
          </cell>
          <cell r="Y658">
            <v>7673137</v>
          </cell>
          <cell r="Z658">
            <v>939282</v>
          </cell>
          <cell r="AA658">
            <v>1993483</v>
          </cell>
          <cell r="AB658">
            <v>2509038</v>
          </cell>
          <cell r="AC658">
            <v>3262652</v>
          </cell>
          <cell r="AD658">
            <v>3790016</v>
          </cell>
          <cell r="AE658">
            <v>4291766</v>
          </cell>
          <cell r="AF658">
            <v>4788332</v>
          </cell>
          <cell r="AG658">
            <v>5290373</v>
          </cell>
          <cell r="AH658">
            <v>5811821</v>
          </cell>
          <cell r="AI658">
            <v>6324251</v>
          </cell>
          <cell r="AJ658">
            <v>6789055</v>
          </cell>
          <cell r="AK658">
            <v>7247982</v>
          </cell>
          <cell r="AL658">
            <v>488441</v>
          </cell>
          <cell r="AM658">
            <v>1007439</v>
          </cell>
          <cell r="AN658">
            <v>1517614</v>
          </cell>
          <cell r="AO658">
            <v>2182909</v>
          </cell>
          <cell r="AP658">
            <v>2800498</v>
          </cell>
          <cell r="AQ658">
            <v>3353960</v>
          </cell>
          <cell r="AR658">
            <v>3900002</v>
          </cell>
          <cell r="AS658">
            <v>4463628</v>
          </cell>
          <cell r="AT658">
            <v>5326282</v>
          </cell>
          <cell r="AU658">
            <v>6078931</v>
          </cell>
          <cell r="AV658">
            <v>6819931</v>
          </cell>
          <cell r="AW658">
            <v>8012212</v>
          </cell>
          <cell r="AX658">
            <v>9877133</v>
          </cell>
          <cell r="AY658">
            <v>13972355</v>
          </cell>
          <cell r="AZ658">
            <v>20154750</v>
          </cell>
          <cell r="BA658">
            <v>20974249</v>
          </cell>
          <cell r="BB658">
            <v>20974249</v>
          </cell>
        </row>
        <row r="659">
          <cell r="A659" t="str">
            <v>WAWA</v>
          </cell>
          <cell r="B659">
            <v>1012538</v>
          </cell>
          <cell r="C659">
            <v>1945276</v>
          </cell>
          <cell r="D659">
            <v>2785676</v>
          </cell>
          <cell r="E659">
            <v>3589597</v>
          </cell>
          <cell r="F659">
            <v>4438426</v>
          </cell>
          <cell r="G659">
            <v>5394182</v>
          </cell>
          <cell r="H659">
            <v>6200520</v>
          </cell>
          <cell r="I659">
            <v>6994140</v>
          </cell>
          <cell r="J659">
            <v>7804131</v>
          </cell>
          <cell r="K659">
            <v>8622804</v>
          </cell>
          <cell r="L659">
            <v>9432078</v>
          </cell>
          <cell r="M659">
            <v>10283150</v>
          </cell>
          <cell r="N659">
            <v>812455</v>
          </cell>
          <cell r="O659">
            <v>1735939</v>
          </cell>
          <cell r="P659">
            <v>2547203</v>
          </cell>
          <cell r="Q659">
            <v>3412229</v>
          </cell>
          <cell r="R659">
            <v>4283939</v>
          </cell>
          <cell r="S659">
            <v>5396799</v>
          </cell>
          <cell r="T659">
            <v>6433320</v>
          </cell>
          <cell r="U659">
            <v>7323197</v>
          </cell>
          <cell r="V659">
            <v>8214179</v>
          </cell>
          <cell r="W659">
            <v>9144184</v>
          </cell>
          <cell r="X659">
            <v>10307357</v>
          </cell>
          <cell r="Y659">
            <v>11652394</v>
          </cell>
          <cell r="Z659">
            <v>1179810</v>
          </cell>
          <cell r="AA659">
            <v>2055359</v>
          </cell>
          <cell r="AB659">
            <v>2915487</v>
          </cell>
          <cell r="AC659">
            <v>3772622</v>
          </cell>
          <cell r="AD659">
            <v>4598715</v>
          </cell>
          <cell r="AE659">
            <v>5414667</v>
          </cell>
          <cell r="AF659">
            <v>6249179</v>
          </cell>
          <cell r="AG659">
            <v>7081509</v>
          </cell>
          <cell r="AH659">
            <v>7898988</v>
          </cell>
          <cell r="AI659">
            <v>8736601</v>
          </cell>
          <cell r="AJ659">
            <v>9546990</v>
          </cell>
          <cell r="AK659">
            <v>10327201</v>
          </cell>
          <cell r="AL659">
            <v>775743</v>
          </cell>
          <cell r="AM659">
            <v>1546929</v>
          </cell>
          <cell r="AN659">
            <v>2323235</v>
          </cell>
          <cell r="AO659">
            <v>3136987</v>
          </cell>
          <cell r="AP659">
            <v>3932839</v>
          </cell>
          <cell r="AQ659">
            <v>4759176</v>
          </cell>
          <cell r="AR659">
            <v>5559163</v>
          </cell>
          <cell r="AS659">
            <v>6310918</v>
          </cell>
          <cell r="AT659">
            <v>7095672</v>
          </cell>
          <cell r="AU659">
            <v>7865960</v>
          </cell>
          <cell r="AV659">
            <v>8670636</v>
          </cell>
          <cell r="AW659">
            <v>9715160</v>
          </cell>
          <cell r="AX659">
            <v>11228059</v>
          </cell>
          <cell r="AY659">
            <v>15010960</v>
          </cell>
          <cell r="AZ659">
            <v>24223399</v>
          </cell>
          <cell r="BA659">
            <v>25272287</v>
          </cell>
          <cell r="BB659">
            <v>25272287</v>
          </cell>
        </row>
        <row r="660">
          <cell r="A660" t="str">
            <v>WEGMANS</v>
          </cell>
          <cell r="B660">
            <v>448402</v>
          </cell>
          <cell r="C660">
            <v>874845</v>
          </cell>
          <cell r="D660">
            <v>1274672</v>
          </cell>
          <cell r="E660">
            <v>1678885</v>
          </cell>
          <cell r="F660">
            <v>2130384</v>
          </cell>
          <cell r="G660">
            <v>2700510</v>
          </cell>
          <cell r="H660">
            <v>3154318</v>
          </cell>
          <cell r="I660">
            <v>3575055</v>
          </cell>
          <cell r="J660">
            <v>3979438</v>
          </cell>
          <cell r="K660">
            <v>4408067</v>
          </cell>
          <cell r="L660">
            <v>4821909</v>
          </cell>
          <cell r="M660">
            <v>5227804</v>
          </cell>
          <cell r="N660">
            <v>376521</v>
          </cell>
          <cell r="O660">
            <v>1028473</v>
          </cell>
          <cell r="P660">
            <v>1399034</v>
          </cell>
          <cell r="Q660">
            <v>1814171</v>
          </cell>
          <cell r="R660">
            <v>2258713</v>
          </cell>
          <cell r="S660">
            <v>2959200</v>
          </cell>
          <cell r="T660">
            <v>3490704</v>
          </cell>
          <cell r="U660">
            <v>3919249</v>
          </cell>
          <cell r="V660">
            <v>4371388</v>
          </cell>
          <cell r="W660">
            <v>4835950</v>
          </cell>
          <cell r="X660">
            <v>5431225</v>
          </cell>
          <cell r="Y660">
            <v>6335594</v>
          </cell>
          <cell r="Z660">
            <v>695331</v>
          </cell>
          <cell r="AA660">
            <v>1264879</v>
          </cell>
          <cell r="AB660">
            <v>1681555</v>
          </cell>
          <cell r="AC660">
            <v>2127343</v>
          </cell>
          <cell r="AD660">
            <v>2571376</v>
          </cell>
          <cell r="AE660">
            <v>3005590</v>
          </cell>
          <cell r="AF660">
            <v>3452408</v>
          </cell>
          <cell r="AG660">
            <v>3934526</v>
          </cell>
          <cell r="AH660">
            <v>4393884</v>
          </cell>
          <cell r="AI660">
            <v>4836124</v>
          </cell>
          <cell r="AJ660">
            <v>5255347</v>
          </cell>
          <cell r="AK660">
            <v>5672012</v>
          </cell>
          <cell r="AL660">
            <v>408459</v>
          </cell>
          <cell r="AM660">
            <v>815709</v>
          </cell>
          <cell r="AN660">
            <v>1227862</v>
          </cell>
          <cell r="AO660">
            <v>1647271</v>
          </cell>
          <cell r="AP660">
            <v>2059848</v>
          </cell>
          <cell r="AQ660">
            <v>2475097</v>
          </cell>
          <cell r="AR660">
            <v>2890613</v>
          </cell>
          <cell r="AS660">
            <v>3309480</v>
          </cell>
          <cell r="AT660">
            <v>3807841</v>
          </cell>
          <cell r="AU660">
            <v>4405156</v>
          </cell>
          <cell r="AV660">
            <v>5066231</v>
          </cell>
          <cell r="AW660">
            <v>6224485</v>
          </cell>
          <cell r="AX660">
            <v>8296503</v>
          </cell>
          <cell r="AY660">
            <v>12971493</v>
          </cell>
          <cell r="AZ660">
            <v>18942256</v>
          </cell>
          <cell r="BA660">
            <v>19752339</v>
          </cell>
          <cell r="BB660">
            <v>19752339</v>
          </cell>
        </row>
        <row r="661">
          <cell r="A661" t="str">
            <v>WEIS MARKET</v>
          </cell>
          <cell r="B661">
            <v>182683</v>
          </cell>
          <cell r="C661">
            <v>340387</v>
          </cell>
          <cell r="D661">
            <v>489127</v>
          </cell>
          <cell r="E661">
            <v>632730</v>
          </cell>
          <cell r="F661">
            <v>786062</v>
          </cell>
          <cell r="G661">
            <v>958296</v>
          </cell>
          <cell r="H661">
            <v>1153827</v>
          </cell>
          <cell r="I661">
            <v>1301697</v>
          </cell>
          <cell r="J661">
            <v>1455419</v>
          </cell>
          <cell r="K661">
            <v>1618489</v>
          </cell>
          <cell r="L661">
            <v>1783936</v>
          </cell>
          <cell r="M661">
            <v>2009048</v>
          </cell>
          <cell r="N661">
            <v>158681</v>
          </cell>
          <cell r="O661">
            <v>326930</v>
          </cell>
          <cell r="P661">
            <v>483726</v>
          </cell>
          <cell r="Q661">
            <v>643631</v>
          </cell>
          <cell r="R661">
            <v>821258</v>
          </cell>
          <cell r="S661">
            <v>1031288</v>
          </cell>
          <cell r="T661">
            <v>1274393</v>
          </cell>
          <cell r="U661">
            <v>1500217</v>
          </cell>
          <cell r="V661">
            <v>1704724</v>
          </cell>
          <cell r="W661">
            <v>1918610</v>
          </cell>
          <cell r="X661">
            <v>2184387</v>
          </cell>
          <cell r="Y661">
            <v>2559584</v>
          </cell>
          <cell r="Z661">
            <v>268500</v>
          </cell>
          <cell r="AA661">
            <v>461501</v>
          </cell>
          <cell r="AB661">
            <v>649400</v>
          </cell>
          <cell r="AC661">
            <v>833106</v>
          </cell>
          <cell r="AD661">
            <v>1017186</v>
          </cell>
          <cell r="AE661">
            <v>1197838</v>
          </cell>
          <cell r="AF661">
            <v>1387145</v>
          </cell>
          <cell r="AG661">
            <v>1568962</v>
          </cell>
          <cell r="AH661">
            <v>1755162</v>
          </cell>
          <cell r="AI661">
            <v>1946796</v>
          </cell>
          <cell r="AJ661">
            <v>2129098</v>
          </cell>
          <cell r="AK661">
            <v>2309566</v>
          </cell>
          <cell r="AL661">
            <v>182446</v>
          </cell>
          <cell r="AM661">
            <v>366821</v>
          </cell>
          <cell r="AN661">
            <v>539776</v>
          </cell>
          <cell r="AO661">
            <v>719565</v>
          </cell>
          <cell r="AP661">
            <v>893700</v>
          </cell>
          <cell r="AQ661">
            <v>1063083</v>
          </cell>
          <cell r="AR661">
            <v>1235677</v>
          </cell>
          <cell r="AS661">
            <v>1406531</v>
          </cell>
          <cell r="AT661">
            <v>1601936</v>
          </cell>
          <cell r="AU661">
            <v>1802235</v>
          </cell>
          <cell r="AV661">
            <v>2033686</v>
          </cell>
          <cell r="AW661">
            <v>2347355</v>
          </cell>
          <cell r="AX661">
            <v>2836053</v>
          </cell>
          <cell r="AY661">
            <v>3762804</v>
          </cell>
          <cell r="AZ661">
            <v>5301553</v>
          </cell>
          <cell r="BA661">
            <v>6485530</v>
          </cell>
          <cell r="BB661">
            <v>6485530</v>
          </cell>
        </row>
        <row r="662">
          <cell r="A662" t="str">
            <v>UNITED</v>
          </cell>
          <cell r="B662">
            <v>96143</v>
          </cell>
          <cell r="C662">
            <v>183527</v>
          </cell>
          <cell r="D662">
            <v>264565</v>
          </cell>
          <cell r="E662">
            <v>345888</v>
          </cell>
          <cell r="F662">
            <v>433409</v>
          </cell>
          <cell r="G662">
            <v>524967</v>
          </cell>
          <cell r="H662">
            <v>635932</v>
          </cell>
          <cell r="I662">
            <v>716626</v>
          </cell>
          <cell r="J662">
            <v>798520</v>
          </cell>
          <cell r="K662">
            <v>881887</v>
          </cell>
          <cell r="L662">
            <v>970405</v>
          </cell>
          <cell r="M662">
            <v>1067144</v>
          </cell>
          <cell r="N662">
            <v>72482</v>
          </cell>
          <cell r="O662">
            <v>166655</v>
          </cell>
          <cell r="P662">
            <v>243750</v>
          </cell>
          <cell r="Q662">
            <v>325046</v>
          </cell>
          <cell r="R662">
            <v>415550</v>
          </cell>
          <cell r="S662">
            <v>504097</v>
          </cell>
          <cell r="T662">
            <v>647033</v>
          </cell>
          <cell r="U662">
            <v>752459</v>
          </cell>
          <cell r="V662">
            <v>864637</v>
          </cell>
          <cell r="W662">
            <v>1014552</v>
          </cell>
          <cell r="X662">
            <v>1135271</v>
          </cell>
          <cell r="Y662">
            <v>1267197</v>
          </cell>
          <cell r="Z662">
            <v>105592</v>
          </cell>
          <cell r="AA662">
            <v>184841</v>
          </cell>
          <cell r="AB662">
            <v>264443</v>
          </cell>
          <cell r="AC662">
            <v>344877</v>
          </cell>
          <cell r="AD662">
            <v>430059</v>
          </cell>
          <cell r="AE662">
            <v>521997</v>
          </cell>
          <cell r="AF662">
            <v>601949</v>
          </cell>
          <cell r="AG662">
            <v>681872</v>
          </cell>
          <cell r="AH662">
            <v>765488</v>
          </cell>
          <cell r="AI662">
            <v>850422</v>
          </cell>
          <cell r="AJ662">
            <v>926397</v>
          </cell>
          <cell r="AK662">
            <v>1007827</v>
          </cell>
          <cell r="AL662">
            <v>77884</v>
          </cell>
          <cell r="AM662">
            <v>157764</v>
          </cell>
          <cell r="AN662">
            <v>237320</v>
          </cell>
          <cell r="AO662">
            <v>321342</v>
          </cell>
          <cell r="AP662">
            <v>404774</v>
          </cell>
          <cell r="AQ662">
            <v>495837</v>
          </cell>
          <cell r="AR662">
            <v>573890</v>
          </cell>
          <cell r="AS662">
            <v>654624</v>
          </cell>
          <cell r="AT662">
            <v>738860</v>
          </cell>
          <cell r="AU662">
            <v>818934</v>
          </cell>
          <cell r="AV662">
            <v>901532</v>
          </cell>
          <cell r="AW662">
            <v>981753</v>
          </cell>
          <cell r="AX662">
            <v>1124151</v>
          </cell>
          <cell r="AY662">
            <v>1382157</v>
          </cell>
          <cell r="AZ662">
            <v>1959295</v>
          </cell>
          <cell r="BA662">
            <v>2536017</v>
          </cell>
          <cell r="BB662">
            <v>2536017</v>
          </cell>
        </row>
        <row r="665">
          <cell r="A665" t="str">
            <v>A &amp; P</v>
          </cell>
          <cell r="B665">
            <v>638739</v>
          </cell>
          <cell r="C665">
            <v>1265733</v>
          </cell>
          <cell r="D665">
            <v>1843784</v>
          </cell>
          <cell r="E665">
            <v>2406091</v>
          </cell>
          <cell r="F665">
            <v>2990273</v>
          </cell>
          <cell r="G665">
            <v>3718228</v>
          </cell>
          <cell r="H665">
            <v>4304655</v>
          </cell>
          <cell r="I665">
            <v>4879325</v>
          </cell>
          <cell r="J665">
            <v>5413636</v>
          </cell>
          <cell r="K665">
            <v>5971715</v>
          </cell>
          <cell r="L665">
            <v>6535754</v>
          </cell>
          <cell r="M665">
            <v>7093903</v>
          </cell>
          <cell r="N665">
            <v>7654460</v>
          </cell>
          <cell r="O665">
            <v>8512577</v>
          </cell>
          <cell r="P665">
            <v>9070361</v>
          </cell>
          <cell r="Q665">
            <v>9662140</v>
          </cell>
          <cell r="R665">
            <v>10301605</v>
          </cell>
          <cell r="S665">
            <v>11316060</v>
          </cell>
          <cell r="T665">
            <v>12146524</v>
          </cell>
          <cell r="U665">
            <v>12821953</v>
          </cell>
          <cell r="V665">
            <v>13554296</v>
          </cell>
          <cell r="W665">
            <v>14356938</v>
          </cell>
          <cell r="X665">
            <v>15442116</v>
          </cell>
          <cell r="Y665">
            <v>16984217</v>
          </cell>
          <cell r="Z665">
            <v>18316103</v>
          </cell>
          <cell r="AA665">
            <v>19165026</v>
          </cell>
          <cell r="AB665">
            <v>19797702</v>
          </cell>
          <cell r="AC665">
            <v>20418504</v>
          </cell>
          <cell r="AD665">
            <v>21060757</v>
          </cell>
          <cell r="AE665">
            <v>21707497</v>
          </cell>
          <cell r="AF665">
            <v>22373840</v>
          </cell>
          <cell r="AG665">
            <v>23029743</v>
          </cell>
          <cell r="AH665">
            <v>23697764</v>
          </cell>
          <cell r="AI665">
            <v>24325271</v>
          </cell>
          <cell r="AJ665">
            <v>24923081</v>
          </cell>
          <cell r="AK665">
            <v>25535078</v>
          </cell>
          <cell r="AL665">
            <v>26137575</v>
          </cell>
          <cell r="AM665">
            <v>26737447</v>
          </cell>
          <cell r="AN665">
            <v>27342063</v>
          </cell>
          <cell r="AO665">
            <v>27916863</v>
          </cell>
          <cell r="AP665">
            <v>28504827</v>
          </cell>
          <cell r="AQ665">
            <v>29088138</v>
          </cell>
          <cell r="AR665">
            <v>29655412</v>
          </cell>
          <cell r="AS665">
            <v>30225412</v>
          </cell>
          <cell r="AT665">
            <v>30877813</v>
          </cell>
          <cell r="AU665">
            <v>31565803</v>
          </cell>
          <cell r="AV665">
            <v>32341280</v>
          </cell>
          <cell r="AW665">
            <v>33431631</v>
          </cell>
          <cell r="AX665">
            <v>35210698</v>
          </cell>
          <cell r="AY665">
            <v>39572690</v>
          </cell>
          <cell r="AZ665">
            <v>45923118</v>
          </cell>
          <cell r="BA665">
            <v>46849548</v>
          </cell>
          <cell r="BB665">
            <v>46849548</v>
          </cell>
        </row>
        <row r="666">
          <cell r="A666" t="str">
            <v>AHOLD</v>
          </cell>
          <cell r="B666">
            <v>2274260</v>
          </cell>
          <cell r="C666">
            <v>4498554</v>
          </cell>
          <cell r="D666">
            <v>6479053</v>
          </cell>
          <cell r="E666">
            <v>8470293</v>
          </cell>
          <cell r="F666">
            <v>10562988</v>
          </cell>
          <cell r="G666">
            <v>13424009</v>
          </cell>
          <cell r="H666">
            <v>15578376</v>
          </cell>
          <cell r="I666">
            <v>17660064</v>
          </cell>
          <cell r="J666">
            <v>19866232</v>
          </cell>
          <cell r="K666">
            <v>22135612</v>
          </cell>
          <cell r="L666">
            <v>24480457</v>
          </cell>
          <cell r="M666">
            <v>26675295</v>
          </cell>
          <cell r="N666">
            <v>28885315</v>
          </cell>
          <cell r="O666">
            <v>32444312</v>
          </cell>
          <cell r="P666">
            <v>34639189</v>
          </cell>
          <cell r="Q666">
            <v>37015492</v>
          </cell>
          <cell r="R666">
            <v>39654902</v>
          </cell>
          <cell r="S666">
            <v>44049158</v>
          </cell>
          <cell r="T666">
            <v>47562497</v>
          </cell>
          <cell r="U666">
            <v>50384406</v>
          </cell>
          <cell r="V666">
            <v>53627258</v>
          </cell>
          <cell r="W666">
            <v>57055522</v>
          </cell>
          <cell r="X666">
            <v>61514148</v>
          </cell>
          <cell r="Y666">
            <v>67425650</v>
          </cell>
          <cell r="Z666">
            <v>72137721</v>
          </cell>
          <cell r="AA666">
            <v>75431835</v>
          </cell>
          <cell r="AB666">
            <v>78339907</v>
          </cell>
          <cell r="AC666">
            <v>81353111</v>
          </cell>
          <cell r="AD666">
            <v>84261527</v>
          </cell>
          <cell r="AE666">
            <v>87231573</v>
          </cell>
          <cell r="AF666">
            <v>90269623</v>
          </cell>
          <cell r="AG666">
            <v>93353560</v>
          </cell>
          <cell r="AH666">
            <v>96427265</v>
          </cell>
          <cell r="AI666">
            <v>99521576</v>
          </cell>
          <cell r="AJ666">
            <v>102432770</v>
          </cell>
          <cell r="AK666">
            <v>105306995</v>
          </cell>
          <cell r="AL666">
            <v>108213550</v>
          </cell>
          <cell r="AM666">
            <v>111129150</v>
          </cell>
          <cell r="AN666">
            <v>114000186</v>
          </cell>
          <cell r="AO666">
            <v>116905386</v>
          </cell>
          <cell r="AP666">
            <v>119796496</v>
          </cell>
          <cell r="AQ666">
            <v>122737750</v>
          </cell>
          <cell r="AR666">
            <v>125696353</v>
          </cell>
          <cell r="AS666">
            <v>128585622</v>
          </cell>
          <cell r="AT666">
            <v>131644780</v>
          </cell>
          <cell r="AU666">
            <v>134860525</v>
          </cell>
          <cell r="AV666">
            <v>138532992</v>
          </cell>
          <cell r="AW666">
            <v>144023891</v>
          </cell>
          <cell r="AX666">
            <v>153162340</v>
          </cell>
          <cell r="AY666">
            <v>173893857</v>
          </cell>
          <cell r="AZ666">
            <v>201900646</v>
          </cell>
          <cell r="BA666">
            <v>206574694</v>
          </cell>
          <cell r="BB666">
            <v>206574694</v>
          </cell>
        </row>
        <row r="667">
          <cell r="A667" t="str">
            <v>ALBERTSONS</v>
          </cell>
          <cell r="B667">
            <v>2217763</v>
          </cell>
          <cell r="C667">
            <v>4390593</v>
          </cell>
          <cell r="D667">
            <v>6330877</v>
          </cell>
          <cell r="E667">
            <v>8299554</v>
          </cell>
          <cell r="F667">
            <v>10408882</v>
          </cell>
          <cell r="G667">
            <v>13393498</v>
          </cell>
          <cell r="H667">
            <v>15604442</v>
          </cell>
          <cell r="I667">
            <v>17678295</v>
          </cell>
          <cell r="J667">
            <v>19880046</v>
          </cell>
          <cell r="K667">
            <v>22196284</v>
          </cell>
          <cell r="L667">
            <v>24594654</v>
          </cell>
          <cell r="M667">
            <v>26881595</v>
          </cell>
          <cell r="N667">
            <v>29181695</v>
          </cell>
          <cell r="O667">
            <v>32691815</v>
          </cell>
          <cell r="P667">
            <v>35036435</v>
          </cell>
          <cell r="Q667">
            <v>37526376</v>
          </cell>
          <cell r="R667">
            <v>40262548</v>
          </cell>
          <cell r="S667">
            <v>44697871</v>
          </cell>
          <cell r="T667">
            <v>48392846</v>
          </cell>
          <cell r="U667">
            <v>51325486</v>
          </cell>
          <cell r="V667">
            <v>54682696</v>
          </cell>
          <cell r="W667">
            <v>58118945</v>
          </cell>
          <cell r="X667">
            <v>62624254</v>
          </cell>
          <cell r="Y667">
            <v>68206319</v>
          </cell>
          <cell r="Z667">
            <v>72433031</v>
          </cell>
          <cell r="AA667">
            <v>75443547</v>
          </cell>
          <cell r="AB667">
            <v>78318272</v>
          </cell>
          <cell r="AC667">
            <v>81214837</v>
          </cell>
          <cell r="AD667">
            <v>84292276</v>
          </cell>
          <cell r="AE667">
            <v>87486375</v>
          </cell>
          <cell r="AF667">
            <v>90699044</v>
          </cell>
          <cell r="AG667">
            <v>93890398</v>
          </cell>
          <cell r="AH667">
            <v>97079117</v>
          </cell>
          <cell r="AI667">
            <v>100170636</v>
          </cell>
          <cell r="AJ667">
            <v>103178567</v>
          </cell>
          <cell r="AK667">
            <v>106048245</v>
          </cell>
          <cell r="AL667">
            <v>108900276</v>
          </cell>
          <cell r="AM667">
            <v>111767651</v>
          </cell>
          <cell r="AN667">
            <v>114637458</v>
          </cell>
          <cell r="AO667">
            <v>117483777</v>
          </cell>
          <cell r="AP667">
            <v>120322118</v>
          </cell>
          <cell r="AQ667">
            <v>123267525</v>
          </cell>
          <cell r="AR667">
            <v>126184313</v>
          </cell>
          <cell r="AS667">
            <v>129081102</v>
          </cell>
          <cell r="AT667">
            <v>131988630</v>
          </cell>
          <cell r="AU667">
            <v>135149583</v>
          </cell>
          <cell r="AV667">
            <v>138520344</v>
          </cell>
          <cell r="AW667">
            <v>143646037</v>
          </cell>
          <cell r="AX667">
            <v>152547445</v>
          </cell>
          <cell r="AY667">
            <v>173500094</v>
          </cell>
          <cell r="AZ667">
            <v>203911197</v>
          </cell>
          <cell r="BA667">
            <v>207774941</v>
          </cell>
          <cell r="BB667">
            <v>207774941</v>
          </cell>
        </row>
        <row r="668">
          <cell r="A668" t="str">
            <v>ALBERTSONS LLC</v>
          </cell>
          <cell r="B668">
            <v>328885</v>
          </cell>
          <cell r="C668">
            <v>644564</v>
          </cell>
          <cell r="D668">
            <v>935577</v>
          </cell>
          <cell r="E668">
            <v>1235199</v>
          </cell>
          <cell r="F668">
            <v>1537397</v>
          </cell>
          <cell r="G668">
            <v>2002312</v>
          </cell>
          <cell r="H668">
            <v>2324752</v>
          </cell>
          <cell r="I668">
            <v>2620964</v>
          </cell>
          <cell r="J668">
            <v>2926076</v>
          </cell>
          <cell r="K668">
            <v>3238048</v>
          </cell>
          <cell r="L668">
            <v>3567037</v>
          </cell>
          <cell r="M668">
            <v>3892695</v>
          </cell>
          <cell r="N668">
            <v>4205229</v>
          </cell>
          <cell r="O668">
            <v>4622448</v>
          </cell>
          <cell r="P668">
            <v>4960550</v>
          </cell>
          <cell r="Q668">
            <v>5304934</v>
          </cell>
          <cell r="R668">
            <v>5693752</v>
          </cell>
          <cell r="S668">
            <v>6374889</v>
          </cell>
          <cell r="T668">
            <v>6902024</v>
          </cell>
          <cell r="U668">
            <v>7340790</v>
          </cell>
          <cell r="V668">
            <v>7805368</v>
          </cell>
          <cell r="W668">
            <v>8300737</v>
          </cell>
          <cell r="X668">
            <v>8807317</v>
          </cell>
          <cell r="Y668">
            <v>9397080</v>
          </cell>
          <cell r="Z668">
            <v>9834456</v>
          </cell>
          <cell r="AA668">
            <v>10162548</v>
          </cell>
          <cell r="AB668">
            <v>10477751</v>
          </cell>
          <cell r="AC668">
            <v>10800356</v>
          </cell>
          <cell r="AD668">
            <v>11122083</v>
          </cell>
          <cell r="AE668">
            <v>11440397</v>
          </cell>
          <cell r="AF668">
            <v>11741683</v>
          </cell>
          <cell r="AG668">
            <v>12048373</v>
          </cell>
          <cell r="AH668">
            <v>12357620</v>
          </cell>
          <cell r="AI668">
            <v>12649736</v>
          </cell>
          <cell r="AJ668">
            <v>12947428</v>
          </cell>
          <cell r="AK668">
            <v>13228119</v>
          </cell>
          <cell r="AL668">
            <v>13522272</v>
          </cell>
          <cell r="AM668">
            <v>13816187</v>
          </cell>
          <cell r="AN668">
            <v>14123368</v>
          </cell>
          <cell r="AO668">
            <v>14428627</v>
          </cell>
          <cell r="AP668">
            <v>14735724</v>
          </cell>
          <cell r="AQ668">
            <v>15061333</v>
          </cell>
          <cell r="AR668">
            <v>15386035</v>
          </cell>
          <cell r="AS668">
            <v>15687449</v>
          </cell>
          <cell r="AT668">
            <v>16006440</v>
          </cell>
          <cell r="AU668">
            <v>16356388</v>
          </cell>
          <cell r="AV668">
            <v>16745544</v>
          </cell>
          <cell r="AW668">
            <v>17360729</v>
          </cell>
          <cell r="AX668">
            <v>18462665</v>
          </cell>
          <cell r="AY668">
            <v>21040326</v>
          </cell>
          <cell r="AZ668">
            <v>24571410</v>
          </cell>
          <cell r="BA668">
            <v>25042877</v>
          </cell>
          <cell r="BB668">
            <v>25042877</v>
          </cell>
        </row>
        <row r="669">
          <cell r="A669" t="str">
            <v>AUSTRALIAN POST</v>
          </cell>
          <cell r="B669">
            <v>272879</v>
          </cell>
          <cell r="C669">
            <v>560466</v>
          </cell>
          <cell r="D669">
            <v>791995</v>
          </cell>
          <cell r="E669">
            <v>1014009</v>
          </cell>
          <cell r="F669">
            <v>1254835</v>
          </cell>
          <cell r="G669">
            <v>1554660</v>
          </cell>
          <cell r="H669">
            <v>1899931</v>
          </cell>
          <cell r="I669">
            <v>2230314</v>
          </cell>
          <cell r="J669">
            <v>2588036</v>
          </cell>
          <cell r="K669">
            <v>2937266</v>
          </cell>
          <cell r="L669">
            <v>3337868</v>
          </cell>
          <cell r="M669">
            <v>3739792</v>
          </cell>
          <cell r="N669">
            <v>4132858</v>
          </cell>
          <cell r="O669">
            <v>4548947</v>
          </cell>
          <cell r="P669">
            <v>4956896</v>
          </cell>
          <cell r="Q669">
            <v>5344870</v>
          </cell>
          <cell r="R669">
            <v>5806474</v>
          </cell>
          <cell r="S669">
            <v>6298001</v>
          </cell>
          <cell r="T669">
            <v>7022903</v>
          </cell>
          <cell r="U669">
            <v>7551729</v>
          </cell>
          <cell r="V669">
            <v>7995429</v>
          </cell>
          <cell r="W669">
            <v>8498572</v>
          </cell>
          <cell r="X669">
            <v>8911869</v>
          </cell>
          <cell r="Y669">
            <v>9371253</v>
          </cell>
          <cell r="Z669">
            <v>9881288</v>
          </cell>
          <cell r="AA669">
            <v>10401824</v>
          </cell>
          <cell r="AB669">
            <v>10893697</v>
          </cell>
          <cell r="AC669">
            <v>11325721</v>
          </cell>
          <cell r="AD669">
            <v>11823606</v>
          </cell>
          <cell r="AE669">
            <v>12322401</v>
          </cell>
          <cell r="AF669">
            <v>12825611</v>
          </cell>
          <cell r="AG669">
            <v>13372877</v>
          </cell>
          <cell r="AH669">
            <v>13938126</v>
          </cell>
          <cell r="AI669">
            <v>14562153</v>
          </cell>
          <cell r="AJ669">
            <v>15228394</v>
          </cell>
          <cell r="AK669">
            <v>16062384</v>
          </cell>
          <cell r="AL669">
            <v>16733653</v>
          </cell>
          <cell r="AM669">
            <v>17323152</v>
          </cell>
          <cell r="AN669">
            <v>17994980</v>
          </cell>
          <cell r="AO669">
            <v>18570663</v>
          </cell>
          <cell r="AP669">
            <v>19139542</v>
          </cell>
          <cell r="AQ669">
            <v>19778408</v>
          </cell>
          <cell r="AR669">
            <v>20419201</v>
          </cell>
          <cell r="AS669">
            <v>21106711</v>
          </cell>
          <cell r="AT669">
            <v>21903705</v>
          </cell>
          <cell r="AU669">
            <v>22763575</v>
          </cell>
          <cell r="AV669">
            <v>23776732</v>
          </cell>
          <cell r="AW669">
            <v>25039672</v>
          </cell>
          <cell r="AX669">
            <v>26753304</v>
          </cell>
          <cell r="AY669">
            <v>29882669</v>
          </cell>
          <cell r="AZ669">
            <v>40605268</v>
          </cell>
          <cell r="BA669">
            <v>46668644</v>
          </cell>
          <cell r="BB669">
            <v>46668644</v>
          </cell>
        </row>
        <row r="670">
          <cell r="A670" t="str">
            <v>AWG - DIVISIONS</v>
          </cell>
          <cell r="B670">
            <v>176960</v>
          </cell>
          <cell r="C670">
            <v>334897</v>
          </cell>
          <cell r="D670">
            <v>461222</v>
          </cell>
          <cell r="E670">
            <v>586275</v>
          </cell>
          <cell r="F670">
            <v>725973</v>
          </cell>
          <cell r="G670">
            <v>898656</v>
          </cell>
          <cell r="H670">
            <v>1031992</v>
          </cell>
          <cell r="I670">
            <v>1135229</v>
          </cell>
          <cell r="J670">
            <v>1295857</v>
          </cell>
          <cell r="K670">
            <v>1495880</v>
          </cell>
          <cell r="L670">
            <v>1649128</v>
          </cell>
          <cell r="M670">
            <v>1791849</v>
          </cell>
          <cell r="N670">
            <v>1921247</v>
          </cell>
          <cell r="O670">
            <v>2088030</v>
          </cell>
          <cell r="P670">
            <v>2230419</v>
          </cell>
          <cell r="Q670">
            <v>2368610</v>
          </cell>
          <cell r="R670">
            <v>2517320</v>
          </cell>
          <cell r="S670">
            <v>2739306</v>
          </cell>
          <cell r="T670">
            <v>2901122</v>
          </cell>
          <cell r="U670">
            <v>3080595</v>
          </cell>
          <cell r="V670">
            <v>3270539</v>
          </cell>
          <cell r="W670">
            <v>3467251</v>
          </cell>
          <cell r="X670">
            <v>3674480</v>
          </cell>
          <cell r="Y670">
            <v>3978002</v>
          </cell>
          <cell r="Z670">
            <v>4234102</v>
          </cell>
          <cell r="AA670">
            <v>4430962</v>
          </cell>
          <cell r="AB670">
            <v>4650397</v>
          </cell>
          <cell r="AC670">
            <v>4868114</v>
          </cell>
          <cell r="AD670">
            <v>5046207</v>
          </cell>
          <cell r="AE670">
            <v>5223423</v>
          </cell>
          <cell r="AF670">
            <v>5424010</v>
          </cell>
          <cell r="AG670">
            <v>5713695</v>
          </cell>
          <cell r="AH670">
            <v>5954263</v>
          </cell>
          <cell r="AI670">
            <v>6172285</v>
          </cell>
          <cell r="AJ670">
            <v>6323330</v>
          </cell>
          <cell r="AK670">
            <v>6472495</v>
          </cell>
          <cell r="AL670">
            <v>6635775</v>
          </cell>
          <cell r="AM670">
            <v>6792910</v>
          </cell>
          <cell r="AN670">
            <v>6961412</v>
          </cell>
          <cell r="AO670">
            <v>7128327</v>
          </cell>
          <cell r="AP670">
            <v>7308220</v>
          </cell>
          <cell r="AQ670">
            <v>7498291</v>
          </cell>
          <cell r="AR670">
            <v>7674030</v>
          </cell>
          <cell r="AS670">
            <v>7845727</v>
          </cell>
          <cell r="AT670">
            <v>8018121</v>
          </cell>
          <cell r="AU670">
            <v>8211420</v>
          </cell>
          <cell r="AV670">
            <v>8417954</v>
          </cell>
          <cell r="AW670">
            <v>8701112</v>
          </cell>
          <cell r="AX670">
            <v>9154879</v>
          </cell>
          <cell r="AY670">
            <v>9916046</v>
          </cell>
          <cell r="AZ670">
            <v>11390582</v>
          </cell>
          <cell r="BA670">
            <v>12027366</v>
          </cell>
          <cell r="BB670">
            <v>12027366</v>
          </cell>
        </row>
        <row r="671">
          <cell r="A671" t="str">
            <v>BI LO</v>
          </cell>
          <cell r="B671">
            <v>305142</v>
          </cell>
          <cell r="C671">
            <v>600100</v>
          </cell>
          <cell r="D671">
            <v>894165</v>
          </cell>
          <cell r="E671">
            <v>1189901</v>
          </cell>
          <cell r="F671">
            <v>1566341</v>
          </cell>
          <cell r="G671">
            <v>2119041</v>
          </cell>
          <cell r="H671">
            <v>2481004</v>
          </cell>
          <cell r="I671">
            <v>2857654</v>
          </cell>
          <cell r="J671">
            <v>3259781</v>
          </cell>
          <cell r="K671">
            <v>3685466</v>
          </cell>
          <cell r="L671">
            <v>4131732</v>
          </cell>
          <cell r="M671">
            <v>4483776</v>
          </cell>
          <cell r="N671">
            <v>4823715</v>
          </cell>
          <cell r="O671">
            <v>5333549</v>
          </cell>
          <cell r="P671">
            <v>5729183</v>
          </cell>
          <cell r="Q671">
            <v>6093382</v>
          </cell>
          <cell r="R671">
            <v>6502964</v>
          </cell>
          <cell r="S671">
            <v>7140473</v>
          </cell>
          <cell r="T671">
            <v>7651715</v>
          </cell>
          <cell r="U671">
            <v>8081834</v>
          </cell>
          <cell r="V671">
            <v>8589222</v>
          </cell>
          <cell r="W671">
            <v>9112810</v>
          </cell>
          <cell r="X671">
            <v>9662894</v>
          </cell>
          <cell r="Y671">
            <v>10315450</v>
          </cell>
          <cell r="Z671">
            <v>10811413</v>
          </cell>
          <cell r="AA671">
            <v>11244002</v>
          </cell>
          <cell r="AB671">
            <v>11717614</v>
          </cell>
          <cell r="AC671">
            <v>12188292</v>
          </cell>
          <cell r="AD671">
            <v>12690752</v>
          </cell>
          <cell r="AE671">
            <v>13250337</v>
          </cell>
          <cell r="AF671">
            <v>13830594</v>
          </cell>
          <cell r="AG671">
            <v>14254532</v>
          </cell>
          <cell r="AH671">
            <v>14576502</v>
          </cell>
          <cell r="AI671">
            <v>14923086</v>
          </cell>
          <cell r="AJ671">
            <v>15247646</v>
          </cell>
          <cell r="AK671">
            <v>15580986</v>
          </cell>
          <cell r="AL671">
            <v>15917872</v>
          </cell>
          <cell r="AM671">
            <v>16263651</v>
          </cell>
          <cell r="AN671">
            <v>16622401</v>
          </cell>
          <cell r="AO671">
            <v>16984099</v>
          </cell>
          <cell r="AP671">
            <v>17394504</v>
          </cell>
          <cell r="AQ671">
            <v>17805789</v>
          </cell>
          <cell r="AR671">
            <v>18125289</v>
          </cell>
          <cell r="AS671">
            <v>18477667</v>
          </cell>
          <cell r="AT671">
            <v>18803902</v>
          </cell>
          <cell r="AU671">
            <v>19127948</v>
          </cell>
          <cell r="AV671">
            <v>19477226</v>
          </cell>
          <cell r="AW671">
            <v>19956097</v>
          </cell>
          <cell r="AX671">
            <v>20734252</v>
          </cell>
          <cell r="AY671">
            <v>22367166</v>
          </cell>
          <cell r="AZ671">
            <v>24545880</v>
          </cell>
          <cell r="BA671">
            <v>24938019</v>
          </cell>
          <cell r="BB671">
            <v>24938019</v>
          </cell>
        </row>
        <row r="672">
          <cell r="A672" t="str">
            <v>BIG Y</v>
          </cell>
          <cell r="B672">
            <v>123772</v>
          </cell>
          <cell r="C672">
            <v>246069</v>
          </cell>
          <cell r="D672">
            <v>354803</v>
          </cell>
          <cell r="E672">
            <v>458565</v>
          </cell>
          <cell r="F672">
            <v>583248</v>
          </cell>
          <cell r="G672">
            <v>746709</v>
          </cell>
          <cell r="H672">
            <v>866308</v>
          </cell>
          <cell r="I672">
            <v>979684</v>
          </cell>
          <cell r="J672">
            <v>1086084</v>
          </cell>
          <cell r="K672">
            <v>1193218</v>
          </cell>
          <cell r="L672">
            <v>1305135</v>
          </cell>
          <cell r="M672">
            <v>1418136</v>
          </cell>
          <cell r="N672">
            <v>1556878</v>
          </cell>
          <cell r="O672">
            <v>1767035</v>
          </cell>
          <cell r="P672">
            <v>1858070</v>
          </cell>
          <cell r="Q672">
            <v>2098048</v>
          </cell>
          <cell r="R672">
            <v>2363991</v>
          </cell>
          <cell r="S672">
            <v>2601801</v>
          </cell>
          <cell r="T672">
            <v>2828207</v>
          </cell>
          <cell r="U672">
            <v>3011503</v>
          </cell>
          <cell r="V672">
            <v>3316342</v>
          </cell>
          <cell r="W672">
            <v>3634071</v>
          </cell>
          <cell r="X672">
            <v>3868433</v>
          </cell>
          <cell r="Y672">
            <v>4205879</v>
          </cell>
          <cell r="Z672">
            <v>4488443</v>
          </cell>
          <cell r="AA672">
            <v>4669610</v>
          </cell>
          <cell r="AB672">
            <v>4834795</v>
          </cell>
          <cell r="AC672">
            <v>4999690</v>
          </cell>
          <cell r="AD672">
            <v>5153243</v>
          </cell>
          <cell r="AE672">
            <v>5287016</v>
          </cell>
          <cell r="AF672">
            <v>5419629</v>
          </cell>
          <cell r="AG672">
            <v>5562103</v>
          </cell>
          <cell r="AH672">
            <v>5702819</v>
          </cell>
          <cell r="AI672">
            <v>5856431</v>
          </cell>
          <cell r="AJ672">
            <v>5995914</v>
          </cell>
          <cell r="AK672">
            <v>6119159</v>
          </cell>
          <cell r="AL672">
            <v>6242129</v>
          </cell>
          <cell r="AM672">
            <v>6362196</v>
          </cell>
          <cell r="AN672">
            <v>6481593</v>
          </cell>
          <cell r="AO672">
            <v>6602252</v>
          </cell>
          <cell r="AP672">
            <v>6729928</v>
          </cell>
          <cell r="AQ672">
            <v>6862464</v>
          </cell>
          <cell r="AR672">
            <v>6994796</v>
          </cell>
          <cell r="AS672">
            <v>7123654</v>
          </cell>
          <cell r="AT672">
            <v>7257138</v>
          </cell>
          <cell r="AU672">
            <v>7389862</v>
          </cell>
          <cell r="AV672">
            <v>7541239</v>
          </cell>
          <cell r="AW672">
            <v>7799484</v>
          </cell>
          <cell r="AX672">
            <v>8264416</v>
          </cell>
          <cell r="AY672">
            <v>9387794</v>
          </cell>
          <cell r="AZ672">
            <v>11133042</v>
          </cell>
          <cell r="BA672">
            <v>11313079</v>
          </cell>
          <cell r="BB672">
            <v>11313079</v>
          </cell>
        </row>
        <row r="673">
          <cell r="A673" t="str">
            <v>CIRCLE K</v>
          </cell>
          <cell r="B673">
            <v>93331</v>
          </cell>
          <cell r="C673">
            <v>168964</v>
          </cell>
          <cell r="D673">
            <v>246655</v>
          </cell>
          <cell r="E673">
            <v>324089</v>
          </cell>
          <cell r="F673">
            <v>397514</v>
          </cell>
          <cell r="G673">
            <v>475666</v>
          </cell>
          <cell r="H673">
            <v>567889</v>
          </cell>
          <cell r="I673">
            <v>640826</v>
          </cell>
          <cell r="J673">
            <v>716208</v>
          </cell>
          <cell r="K673">
            <v>795036</v>
          </cell>
          <cell r="L673">
            <v>865650</v>
          </cell>
          <cell r="M673">
            <v>945745</v>
          </cell>
          <cell r="N673">
            <v>1009267</v>
          </cell>
          <cell r="O673">
            <v>1078083</v>
          </cell>
          <cell r="P673">
            <v>1142984</v>
          </cell>
          <cell r="Q673">
            <v>1213052</v>
          </cell>
          <cell r="R673">
            <v>1287145</v>
          </cell>
          <cell r="S673">
            <v>1363400</v>
          </cell>
          <cell r="T673">
            <v>1460007</v>
          </cell>
          <cell r="U673">
            <v>1553418</v>
          </cell>
          <cell r="V673">
            <v>1647992</v>
          </cell>
          <cell r="W673">
            <v>1729794</v>
          </cell>
          <cell r="X673">
            <v>1815519</v>
          </cell>
          <cell r="Y673">
            <v>1911387</v>
          </cell>
          <cell r="Z673">
            <v>2002235</v>
          </cell>
          <cell r="AA673">
            <v>2077469</v>
          </cell>
          <cell r="AB673">
            <v>2149384</v>
          </cell>
          <cell r="AC673">
            <v>2219416</v>
          </cell>
          <cell r="AD673">
            <v>2286150</v>
          </cell>
          <cell r="AE673">
            <v>2352573</v>
          </cell>
          <cell r="AF673">
            <v>2416896</v>
          </cell>
          <cell r="AG673">
            <v>2487688</v>
          </cell>
          <cell r="AH673">
            <v>2558974</v>
          </cell>
          <cell r="AI673">
            <v>2625251</v>
          </cell>
          <cell r="AJ673">
            <v>2695604</v>
          </cell>
          <cell r="AK673">
            <v>2763149</v>
          </cell>
          <cell r="AL673">
            <v>2824933</v>
          </cell>
          <cell r="AM673">
            <v>2893489</v>
          </cell>
          <cell r="AN673">
            <v>2961788</v>
          </cell>
          <cell r="AO673">
            <v>3035566</v>
          </cell>
          <cell r="AP673">
            <v>3102591</v>
          </cell>
          <cell r="AQ673">
            <v>3173552</v>
          </cell>
          <cell r="AR673">
            <v>3242442</v>
          </cell>
          <cell r="AS673">
            <v>3315110</v>
          </cell>
          <cell r="AT673">
            <v>3384865</v>
          </cell>
          <cell r="AU673">
            <v>3451847</v>
          </cell>
          <cell r="AV673">
            <v>3523716</v>
          </cell>
          <cell r="AW673">
            <v>3602454</v>
          </cell>
          <cell r="AX673">
            <v>3705842</v>
          </cell>
          <cell r="AY673">
            <v>3854430</v>
          </cell>
          <cell r="AZ673">
            <v>4158957</v>
          </cell>
          <cell r="BA673">
            <v>4793549</v>
          </cell>
          <cell r="BB673">
            <v>4793549</v>
          </cell>
        </row>
        <row r="674">
          <cell r="A674" t="str">
            <v>CVS PHARMACY</v>
          </cell>
          <cell r="B674">
            <v>1110865</v>
          </cell>
          <cell r="C674">
            <v>2221730</v>
          </cell>
          <cell r="D674">
            <v>3295268</v>
          </cell>
          <cell r="E674">
            <v>4371638</v>
          </cell>
          <cell r="F674">
            <v>5330300</v>
          </cell>
          <cell r="G674">
            <v>6647077</v>
          </cell>
          <cell r="H674">
            <v>7652145</v>
          </cell>
          <cell r="I674">
            <v>8588554</v>
          </cell>
          <cell r="J674">
            <v>9469494</v>
          </cell>
          <cell r="K674">
            <v>10362144</v>
          </cell>
          <cell r="L674">
            <v>11285066</v>
          </cell>
          <cell r="M674">
            <v>12172549</v>
          </cell>
          <cell r="N674">
            <v>12936034</v>
          </cell>
          <cell r="O674">
            <v>13914833</v>
          </cell>
          <cell r="P674">
            <v>14689487</v>
          </cell>
          <cell r="Q674">
            <v>15460714</v>
          </cell>
          <cell r="R674">
            <v>16208439</v>
          </cell>
          <cell r="S674">
            <v>17312769</v>
          </cell>
          <cell r="T674">
            <v>18212677</v>
          </cell>
          <cell r="U674">
            <v>18972739</v>
          </cell>
          <cell r="V674">
            <v>19769626</v>
          </cell>
          <cell r="W674">
            <v>20558911</v>
          </cell>
          <cell r="X674">
            <v>21450987</v>
          </cell>
          <cell r="Y674">
            <v>22728026</v>
          </cell>
          <cell r="Z674">
            <v>23808356</v>
          </cell>
          <cell r="AA674">
            <v>24601477</v>
          </cell>
          <cell r="AB674">
            <v>25294398</v>
          </cell>
          <cell r="AC674">
            <v>25996329</v>
          </cell>
          <cell r="AD674">
            <v>25996329</v>
          </cell>
          <cell r="AE674">
            <v>25996329</v>
          </cell>
          <cell r="AF674">
            <v>25996329</v>
          </cell>
          <cell r="AG674">
            <v>25996329</v>
          </cell>
          <cell r="AH674">
            <v>25996329</v>
          </cell>
          <cell r="AI674">
            <v>25996329</v>
          </cell>
          <cell r="AJ674">
            <v>25996329</v>
          </cell>
          <cell r="AK674">
            <v>25996329</v>
          </cell>
          <cell r="AL674">
            <v>25996329</v>
          </cell>
          <cell r="AM674">
            <v>25996329</v>
          </cell>
          <cell r="AN674">
            <v>25996329</v>
          </cell>
          <cell r="AO674">
            <v>25996329</v>
          </cell>
          <cell r="AP674">
            <v>25996329</v>
          </cell>
          <cell r="AQ674">
            <v>25996329</v>
          </cell>
          <cell r="AR674">
            <v>25996329</v>
          </cell>
          <cell r="AS674">
            <v>25996329</v>
          </cell>
          <cell r="AT674">
            <v>25996329</v>
          </cell>
          <cell r="AU674">
            <v>25996329</v>
          </cell>
          <cell r="AV674">
            <v>25996329</v>
          </cell>
          <cell r="AW674">
            <v>25996329</v>
          </cell>
          <cell r="AX674">
            <v>25996329</v>
          </cell>
          <cell r="AY674">
            <v>25996329</v>
          </cell>
          <cell r="AZ674">
            <v>25996329</v>
          </cell>
          <cell r="BA674">
            <v>25996329</v>
          </cell>
          <cell r="BB674">
            <v>25996329</v>
          </cell>
        </row>
        <row r="675">
          <cell r="A675" t="str">
            <v>DW - PETRO CANADA</v>
          </cell>
          <cell r="B675">
            <v>102654</v>
          </cell>
          <cell r="C675">
            <v>205308</v>
          </cell>
          <cell r="D675">
            <v>295785</v>
          </cell>
          <cell r="E675">
            <v>371699</v>
          </cell>
          <cell r="F675">
            <v>448781</v>
          </cell>
          <cell r="G675">
            <v>572463</v>
          </cell>
          <cell r="H675">
            <v>652802</v>
          </cell>
          <cell r="I675">
            <v>731153</v>
          </cell>
          <cell r="J675">
            <v>806703</v>
          </cell>
          <cell r="K675">
            <v>883797</v>
          </cell>
          <cell r="L675">
            <v>984279</v>
          </cell>
          <cell r="M675">
            <v>1072747</v>
          </cell>
          <cell r="N675">
            <v>1159088</v>
          </cell>
          <cell r="O675">
            <v>1276271</v>
          </cell>
          <cell r="P675">
            <v>1383058</v>
          </cell>
          <cell r="Q675">
            <v>1475608</v>
          </cell>
          <cell r="R675">
            <v>1580803</v>
          </cell>
          <cell r="S675">
            <v>1717096</v>
          </cell>
          <cell r="T675">
            <v>1851123</v>
          </cell>
          <cell r="U675">
            <v>1963316</v>
          </cell>
          <cell r="V675">
            <v>2077790</v>
          </cell>
          <cell r="W675">
            <v>2197591</v>
          </cell>
          <cell r="X675">
            <v>2313306</v>
          </cell>
          <cell r="Y675">
            <v>2461850</v>
          </cell>
          <cell r="Z675">
            <v>2621537</v>
          </cell>
          <cell r="AA675">
            <v>2751655</v>
          </cell>
          <cell r="AB675">
            <v>2858257</v>
          </cell>
          <cell r="AC675">
            <v>2979666</v>
          </cell>
          <cell r="AD675">
            <v>3088941</v>
          </cell>
          <cell r="AE675">
            <v>3195900</v>
          </cell>
          <cell r="AF675">
            <v>3303945</v>
          </cell>
          <cell r="AG675">
            <v>3416067</v>
          </cell>
          <cell r="AH675">
            <v>3539042</v>
          </cell>
          <cell r="AI675">
            <v>3654333</v>
          </cell>
          <cell r="AJ675">
            <v>3773023</v>
          </cell>
          <cell r="AK675">
            <v>3898239</v>
          </cell>
          <cell r="AL675">
            <v>4026248</v>
          </cell>
          <cell r="AM675">
            <v>4143804</v>
          </cell>
          <cell r="AN675">
            <v>4286044</v>
          </cell>
          <cell r="AO675">
            <v>4415913</v>
          </cell>
          <cell r="AP675">
            <v>4544178</v>
          </cell>
          <cell r="AQ675">
            <v>4663050</v>
          </cell>
          <cell r="AR675">
            <v>4782290</v>
          </cell>
          <cell r="AS675">
            <v>4904744</v>
          </cell>
          <cell r="AT675">
            <v>5033884</v>
          </cell>
          <cell r="AU675">
            <v>5188256</v>
          </cell>
          <cell r="AV675">
            <v>5373639</v>
          </cell>
          <cell r="AW675">
            <v>5683881</v>
          </cell>
          <cell r="AX675">
            <v>6111473</v>
          </cell>
          <cell r="AY675">
            <v>6835105</v>
          </cell>
          <cell r="AZ675">
            <v>7944899</v>
          </cell>
          <cell r="BA675">
            <v>8169814</v>
          </cell>
          <cell r="BB675">
            <v>8169814</v>
          </cell>
        </row>
        <row r="676">
          <cell r="A676" t="str">
            <v>FEDERATED CO-OP - CANADA</v>
          </cell>
          <cell r="B676">
            <v>88881</v>
          </cell>
          <cell r="C676">
            <v>169493</v>
          </cell>
          <cell r="D676">
            <v>251238</v>
          </cell>
          <cell r="E676">
            <v>330308</v>
          </cell>
          <cell r="F676">
            <v>408124</v>
          </cell>
          <cell r="G676">
            <v>516345</v>
          </cell>
          <cell r="H676">
            <v>601127</v>
          </cell>
          <cell r="I676">
            <v>680341</v>
          </cell>
          <cell r="J676">
            <v>761746</v>
          </cell>
          <cell r="K676">
            <v>847037</v>
          </cell>
          <cell r="L676">
            <v>931049</v>
          </cell>
          <cell r="M676">
            <v>1019408</v>
          </cell>
          <cell r="N676">
            <v>1112362</v>
          </cell>
          <cell r="O676">
            <v>1224151</v>
          </cell>
          <cell r="P676">
            <v>1305057</v>
          </cell>
          <cell r="Q676">
            <v>1388952</v>
          </cell>
          <cell r="R676">
            <v>1484141</v>
          </cell>
          <cell r="S676">
            <v>1604071</v>
          </cell>
          <cell r="T676">
            <v>1695176</v>
          </cell>
          <cell r="U676">
            <v>1777140</v>
          </cell>
          <cell r="V676">
            <v>1869099</v>
          </cell>
          <cell r="W676">
            <v>1962514</v>
          </cell>
          <cell r="X676">
            <v>2067799</v>
          </cell>
          <cell r="Y676">
            <v>2225605</v>
          </cell>
          <cell r="Z676">
            <v>2379009</v>
          </cell>
          <cell r="AA676">
            <v>2466566</v>
          </cell>
          <cell r="AB676">
            <v>2601630</v>
          </cell>
          <cell r="AC676">
            <v>2688836</v>
          </cell>
          <cell r="AD676">
            <v>2779021</v>
          </cell>
          <cell r="AE676">
            <v>2866483</v>
          </cell>
          <cell r="AF676">
            <v>2955031</v>
          </cell>
          <cell r="AG676">
            <v>3042315</v>
          </cell>
          <cell r="AH676">
            <v>3135400</v>
          </cell>
          <cell r="AI676">
            <v>3279431</v>
          </cell>
          <cell r="AJ676">
            <v>3381060</v>
          </cell>
          <cell r="AK676">
            <v>3509825</v>
          </cell>
          <cell r="AL676">
            <v>3634685</v>
          </cell>
          <cell r="AM676">
            <v>3757529</v>
          </cell>
          <cell r="AN676">
            <v>3865366</v>
          </cell>
          <cell r="AO676">
            <v>3987293</v>
          </cell>
          <cell r="AP676">
            <v>4096337</v>
          </cell>
          <cell r="AQ676">
            <v>4194450</v>
          </cell>
          <cell r="AR676">
            <v>4304998</v>
          </cell>
          <cell r="AS676">
            <v>4414126</v>
          </cell>
          <cell r="AT676">
            <v>4565998</v>
          </cell>
          <cell r="AU676">
            <v>4741890</v>
          </cell>
          <cell r="AV676">
            <v>5027019</v>
          </cell>
          <cell r="AW676">
            <v>5405671</v>
          </cell>
          <cell r="AX676">
            <v>6034232</v>
          </cell>
          <cell r="AY676">
            <v>7208417</v>
          </cell>
          <cell r="AZ676">
            <v>8395498</v>
          </cell>
          <cell r="BA676">
            <v>8558859</v>
          </cell>
          <cell r="BB676">
            <v>8558859</v>
          </cell>
        </row>
        <row r="677">
          <cell r="A677" t="str">
            <v>FOOD LION</v>
          </cell>
          <cell r="B677">
            <v>423919</v>
          </cell>
          <cell r="C677">
            <v>850965</v>
          </cell>
          <cell r="D677">
            <v>1234593</v>
          </cell>
          <cell r="E677">
            <v>1617752</v>
          </cell>
          <cell r="F677">
            <v>1977438</v>
          </cell>
          <cell r="G677">
            <v>2563118</v>
          </cell>
          <cell r="H677">
            <v>2925033</v>
          </cell>
          <cell r="I677">
            <v>3282431</v>
          </cell>
          <cell r="J677">
            <v>3646836</v>
          </cell>
          <cell r="K677">
            <v>4010890</v>
          </cell>
          <cell r="L677">
            <v>4397530</v>
          </cell>
          <cell r="M677">
            <v>4762805</v>
          </cell>
          <cell r="N677">
            <v>5137566</v>
          </cell>
          <cell r="O677">
            <v>5655661</v>
          </cell>
          <cell r="P677">
            <v>6017637</v>
          </cell>
          <cell r="Q677">
            <v>6425206</v>
          </cell>
          <cell r="R677">
            <v>6858545</v>
          </cell>
          <cell r="S677">
            <v>7742077</v>
          </cell>
          <cell r="T677">
            <v>8450976</v>
          </cell>
          <cell r="U677">
            <v>9020836</v>
          </cell>
          <cell r="V677">
            <v>9653107</v>
          </cell>
          <cell r="W677">
            <v>10364005</v>
          </cell>
          <cell r="X677">
            <v>11280833</v>
          </cell>
          <cell r="Y677">
            <v>12411090</v>
          </cell>
          <cell r="Z677">
            <v>13214467</v>
          </cell>
          <cell r="AA677">
            <v>13824126</v>
          </cell>
          <cell r="AB677">
            <v>14444936</v>
          </cell>
          <cell r="AC677">
            <v>15090970</v>
          </cell>
          <cell r="AD677">
            <v>15753237</v>
          </cell>
          <cell r="AE677">
            <v>16414290</v>
          </cell>
          <cell r="AF677">
            <v>17097174</v>
          </cell>
          <cell r="AG677">
            <v>17793259</v>
          </cell>
          <cell r="AH677">
            <v>18452093</v>
          </cell>
          <cell r="AI677">
            <v>19115527</v>
          </cell>
          <cell r="AJ677">
            <v>19758057</v>
          </cell>
          <cell r="AK677">
            <v>20395580</v>
          </cell>
          <cell r="AL677">
            <v>21052825</v>
          </cell>
          <cell r="AM677">
            <v>21691509</v>
          </cell>
          <cell r="AN677">
            <v>22317322</v>
          </cell>
          <cell r="AO677">
            <v>22966662</v>
          </cell>
          <cell r="AP677">
            <v>23605138</v>
          </cell>
          <cell r="AQ677">
            <v>24250528</v>
          </cell>
          <cell r="AR677">
            <v>24898217</v>
          </cell>
          <cell r="AS677">
            <v>25533500</v>
          </cell>
          <cell r="AT677">
            <v>26250115</v>
          </cell>
          <cell r="AU677">
            <v>27004779</v>
          </cell>
          <cell r="AV677">
            <v>27867463</v>
          </cell>
          <cell r="AW677">
            <v>29257102</v>
          </cell>
          <cell r="AX677">
            <v>31465574</v>
          </cell>
          <cell r="AY677">
            <v>36707134</v>
          </cell>
          <cell r="AZ677">
            <v>44176979</v>
          </cell>
          <cell r="BA677">
            <v>45151867</v>
          </cell>
          <cell r="BB677">
            <v>45151867</v>
          </cell>
        </row>
        <row r="678">
          <cell r="A678" t="str">
            <v>GIANT EAGLE</v>
          </cell>
          <cell r="B678">
            <v>7295573</v>
          </cell>
          <cell r="C678">
            <v>14638391</v>
          </cell>
          <cell r="D678">
            <v>22728615</v>
          </cell>
          <cell r="E678">
            <v>31173174</v>
          </cell>
          <cell r="F678">
            <v>39908539</v>
          </cell>
          <cell r="G678">
            <v>49018180</v>
          </cell>
          <cell r="H678">
            <v>57964817</v>
          </cell>
          <cell r="I678">
            <v>66430098</v>
          </cell>
          <cell r="J678">
            <v>73827899</v>
          </cell>
          <cell r="K678">
            <v>81079832</v>
          </cell>
          <cell r="L678">
            <v>90201985</v>
          </cell>
          <cell r="M678">
            <v>100112449</v>
          </cell>
          <cell r="N678">
            <v>110433548</v>
          </cell>
          <cell r="O678">
            <v>121371175</v>
          </cell>
          <cell r="P678">
            <v>129694948</v>
          </cell>
          <cell r="Q678">
            <v>140938801</v>
          </cell>
          <cell r="R678">
            <v>153895815</v>
          </cell>
          <cell r="S678">
            <v>170624883</v>
          </cell>
          <cell r="T678">
            <v>185232909</v>
          </cell>
          <cell r="U678">
            <v>198380559</v>
          </cell>
          <cell r="V678">
            <v>213363696</v>
          </cell>
          <cell r="W678">
            <v>228763137</v>
          </cell>
          <cell r="X678">
            <v>244909633</v>
          </cell>
          <cell r="Y678">
            <v>263671595</v>
          </cell>
          <cell r="Z678">
            <v>278850708</v>
          </cell>
          <cell r="AA678">
            <v>293753592</v>
          </cell>
          <cell r="AB678">
            <v>307733876</v>
          </cell>
          <cell r="AC678">
            <v>322426523</v>
          </cell>
          <cell r="AD678">
            <v>336613928</v>
          </cell>
          <cell r="AE678">
            <v>350341963</v>
          </cell>
          <cell r="AF678">
            <v>363840687</v>
          </cell>
          <cell r="AG678">
            <v>379780998</v>
          </cell>
          <cell r="AH678">
            <v>397268504</v>
          </cell>
          <cell r="AI678">
            <v>415548083</v>
          </cell>
          <cell r="AJ678">
            <v>434566144</v>
          </cell>
          <cell r="AK678">
            <v>446859038</v>
          </cell>
          <cell r="AL678">
            <v>458859623</v>
          </cell>
          <cell r="AM678">
            <v>470712236</v>
          </cell>
          <cell r="AN678">
            <v>482791630</v>
          </cell>
          <cell r="AO678">
            <v>495056735</v>
          </cell>
          <cell r="AP678">
            <v>506724883</v>
          </cell>
          <cell r="AQ678">
            <v>520080179</v>
          </cell>
          <cell r="AR678">
            <v>534154963</v>
          </cell>
          <cell r="AS678">
            <v>547847135</v>
          </cell>
          <cell r="AT678">
            <v>562042394</v>
          </cell>
          <cell r="AU678">
            <v>578840184</v>
          </cell>
          <cell r="AV678">
            <v>597664497</v>
          </cell>
          <cell r="AW678">
            <v>622784752</v>
          </cell>
          <cell r="AX678">
            <v>662239738</v>
          </cell>
          <cell r="AY678">
            <v>713359495</v>
          </cell>
          <cell r="AZ678">
            <v>761940516</v>
          </cell>
          <cell r="BA678">
            <v>785234695</v>
          </cell>
          <cell r="BB678">
            <v>785234695</v>
          </cell>
        </row>
        <row r="679">
          <cell r="A679" t="str">
            <v>HANNAFORD</v>
          </cell>
          <cell r="B679">
            <v>218939</v>
          </cell>
          <cell r="C679">
            <v>436504</v>
          </cell>
          <cell r="D679">
            <v>622502</v>
          </cell>
          <cell r="E679">
            <v>815175</v>
          </cell>
          <cell r="F679">
            <v>1028800</v>
          </cell>
          <cell r="G679">
            <v>1327062</v>
          </cell>
          <cell r="H679">
            <v>1554216</v>
          </cell>
          <cell r="I679">
            <v>1749044</v>
          </cell>
          <cell r="J679">
            <v>1957898</v>
          </cell>
          <cell r="K679">
            <v>2190626</v>
          </cell>
          <cell r="L679">
            <v>2433542</v>
          </cell>
          <cell r="M679">
            <v>2658704</v>
          </cell>
          <cell r="N679">
            <v>2898956</v>
          </cell>
          <cell r="O679">
            <v>3259362</v>
          </cell>
          <cell r="P679">
            <v>3488403</v>
          </cell>
          <cell r="Q679">
            <v>3738782</v>
          </cell>
          <cell r="R679">
            <v>4004235</v>
          </cell>
          <cell r="S679">
            <v>4438536</v>
          </cell>
          <cell r="T679">
            <v>4774343</v>
          </cell>
          <cell r="U679">
            <v>5066721</v>
          </cell>
          <cell r="V679">
            <v>5374408</v>
          </cell>
          <cell r="W679">
            <v>5710403</v>
          </cell>
          <cell r="X679">
            <v>6124871</v>
          </cell>
          <cell r="Y679">
            <v>6683025</v>
          </cell>
          <cell r="Z679">
            <v>7155171</v>
          </cell>
          <cell r="AA679">
            <v>7505917</v>
          </cell>
          <cell r="AB679">
            <v>7805917</v>
          </cell>
          <cell r="AC679">
            <v>8108660</v>
          </cell>
          <cell r="AD679">
            <v>8411057</v>
          </cell>
          <cell r="AE679">
            <v>8717523</v>
          </cell>
          <cell r="AF679">
            <v>9039542</v>
          </cell>
          <cell r="AG679">
            <v>9362710</v>
          </cell>
          <cell r="AH679">
            <v>9683775</v>
          </cell>
          <cell r="AI679">
            <v>10009904</v>
          </cell>
          <cell r="AJ679">
            <v>10313585</v>
          </cell>
          <cell r="AK679">
            <v>10616517</v>
          </cell>
          <cell r="AL679">
            <v>10908862</v>
          </cell>
          <cell r="AM679">
            <v>11206350</v>
          </cell>
          <cell r="AN679">
            <v>11500914</v>
          </cell>
          <cell r="AO679">
            <v>11800694</v>
          </cell>
          <cell r="AP679">
            <v>12096939</v>
          </cell>
          <cell r="AQ679">
            <v>12392325</v>
          </cell>
          <cell r="AR679">
            <v>12689548</v>
          </cell>
          <cell r="AS679">
            <v>12987902</v>
          </cell>
          <cell r="AT679">
            <v>13300662</v>
          </cell>
          <cell r="AU679">
            <v>13624992</v>
          </cell>
          <cell r="AV679">
            <v>13993838</v>
          </cell>
          <cell r="AW679">
            <v>14602282</v>
          </cell>
          <cell r="AX679">
            <v>15485599</v>
          </cell>
          <cell r="AY679">
            <v>17671744</v>
          </cell>
          <cell r="AZ679">
            <v>20615374</v>
          </cell>
          <cell r="BA679">
            <v>20990359</v>
          </cell>
          <cell r="BB679">
            <v>20990359</v>
          </cell>
        </row>
        <row r="680">
          <cell r="A680" t="str">
            <v>HARRIS TEETER</v>
          </cell>
          <cell r="B680">
            <v>61527</v>
          </cell>
          <cell r="C680">
            <v>113049</v>
          </cell>
          <cell r="D680">
            <v>162677</v>
          </cell>
          <cell r="E680">
            <v>211418</v>
          </cell>
          <cell r="F680">
            <v>262259</v>
          </cell>
          <cell r="G680">
            <v>352309</v>
          </cell>
          <cell r="H680">
            <v>408363</v>
          </cell>
          <cell r="I680">
            <v>458047</v>
          </cell>
          <cell r="J680">
            <v>509100</v>
          </cell>
          <cell r="K680">
            <v>563247</v>
          </cell>
          <cell r="L680">
            <v>620331</v>
          </cell>
          <cell r="M680">
            <v>674193</v>
          </cell>
          <cell r="N680">
            <v>730268</v>
          </cell>
          <cell r="O680">
            <v>813680</v>
          </cell>
          <cell r="P680">
            <v>867448</v>
          </cell>
          <cell r="Q680">
            <v>924915</v>
          </cell>
          <cell r="R680">
            <v>992954</v>
          </cell>
          <cell r="S680">
            <v>1119537</v>
          </cell>
          <cell r="T680">
            <v>1185125</v>
          </cell>
          <cell r="U680">
            <v>1278114</v>
          </cell>
          <cell r="V680">
            <v>1357603</v>
          </cell>
          <cell r="W680">
            <v>1440234</v>
          </cell>
          <cell r="X680">
            <v>1543223</v>
          </cell>
          <cell r="Y680">
            <v>1703822</v>
          </cell>
          <cell r="Z680">
            <v>1808662</v>
          </cell>
          <cell r="AA680">
            <v>1886716</v>
          </cell>
          <cell r="AB680">
            <v>1957156</v>
          </cell>
          <cell r="AC680">
            <v>2028195</v>
          </cell>
          <cell r="AD680">
            <v>2103753</v>
          </cell>
          <cell r="AE680">
            <v>2177515</v>
          </cell>
          <cell r="AF680">
            <v>2253383</v>
          </cell>
          <cell r="AG680">
            <v>2328702</v>
          </cell>
          <cell r="AH680">
            <v>2405453</v>
          </cell>
          <cell r="AI680">
            <v>2483213</v>
          </cell>
          <cell r="AJ680">
            <v>2556626</v>
          </cell>
          <cell r="AK680">
            <v>2628167</v>
          </cell>
          <cell r="AL680">
            <v>2700732</v>
          </cell>
          <cell r="AM680">
            <v>2774310</v>
          </cell>
          <cell r="AN680">
            <v>2845427</v>
          </cell>
          <cell r="AO680">
            <v>2918247</v>
          </cell>
          <cell r="AP680">
            <v>2989093</v>
          </cell>
          <cell r="AQ680">
            <v>3064175</v>
          </cell>
          <cell r="AR680">
            <v>3137007</v>
          </cell>
          <cell r="AS680">
            <v>3212912</v>
          </cell>
          <cell r="AT680">
            <v>3295492</v>
          </cell>
          <cell r="AU680">
            <v>3384101</v>
          </cell>
          <cell r="AV680">
            <v>3485617</v>
          </cell>
          <cell r="AW680">
            <v>3668144</v>
          </cell>
          <cell r="AX680">
            <v>4013851</v>
          </cell>
          <cell r="AY680">
            <v>4799884</v>
          </cell>
          <cell r="AZ680">
            <v>5745586</v>
          </cell>
          <cell r="BA680">
            <v>5843250</v>
          </cell>
          <cell r="BB680">
            <v>5843250</v>
          </cell>
        </row>
        <row r="681">
          <cell r="A681" t="str">
            <v>HY-VEE</v>
          </cell>
          <cell r="B681">
            <v>341218</v>
          </cell>
          <cell r="C681">
            <v>675219</v>
          </cell>
          <cell r="D681">
            <v>970809</v>
          </cell>
          <cell r="E681">
            <v>1277602</v>
          </cell>
          <cell r="F681">
            <v>1534996</v>
          </cell>
          <cell r="G681">
            <v>1947280</v>
          </cell>
          <cell r="H681">
            <v>2246733</v>
          </cell>
          <cell r="I681">
            <v>2501612</v>
          </cell>
          <cell r="J681">
            <v>2778608</v>
          </cell>
          <cell r="K681">
            <v>3062997</v>
          </cell>
          <cell r="L681">
            <v>3356522</v>
          </cell>
          <cell r="M681">
            <v>3635990</v>
          </cell>
          <cell r="N681">
            <v>3898704</v>
          </cell>
          <cell r="O681">
            <v>4261632</v>
          </cell>
          <cell r="P681">
            <v>4526508</v>
          </cell>
          <cell r="Q681">
            <v>4806613</v>
          </cell>
          <cell r="R681">
            <v>5108827</v>
          </cell>
          <cell r="S681">
            <v>5574318</v>
          </cell>
          <cell r="T681">
            <v>5981488</v>
          </cell>
          <cell r="U681">
            <v>6311452</v>
          </cell>
          <cell r="V681">
            <v>6644511</v>
          </cell>
          <cell r="W681">
            <v>6980475</v>
          </cell>
          <cell r="X681">
            <v>7322001</v>
          </cell>
          <cell r="Y681">
            <v>7809766</v>
          </cell>
          <cell r="Z681">
            <v>8169076</v>
          </cell>
          <cell r="AA681">
            <v>8435619</v>
          </cell>
          <cell r="AB681">
            <v>8690022</v>
          </cell>
          <cell r="AC681">
            <v>8970193</v>
          </cell>
          <cell r="AD681">
            <v>9243269</v>
          </cell>
          <cell r="AE681">
            <v>9526424</v>
          </cell>
          <cell r="AF681">
            <v>9811466</v>
          </cell>
          <cell r="AG681">
            <v>10104794</v>
          </cell>
          <cell r="AH681">
            <v>10389097</v>
          </cell>
          <cell r="AI681">
            <v>10665619</v>
          </cell>
          <cell r="AJ681">
            <v>10928696</v>
          </cell>
          <cell r="AK681">
            <v>11198593</v>
          </cell>
          <cell r="AL681">
            <v>11460217</v>
          </cell>
          <cell r="AM681">
            <v>11708655</v>
          </cell>
          <cell r="AN681">
            <v>11954714</v>
          </cell>
          <cell r="AO681">
            <v>12197578</v>
          </cell>
          <cell r="AP681">
            <v>12443883</v>
          </cell>
          <cell r="AQ681">
            <v>12718115</v>
          </cell>
          <cell r="AR681">
            <v>12953813</v>
          </cell>
          <cell r="AS681">
            <v>13201843</v>
          </cell>
          <cell r="AT681">
            <v>13463242</v>
          </cell>
          <cell r="AU681">
            <v>13754141</v>
          </cell>
          <cell r="AV681">
            <v>14104490</v>
          </cell>
          <cell r="AW681">
            <v>15015939</v>
          </cell>
          <cell r="AX681">
            <v>17223087</v>
          </cell>
          <cell r="AY681">
            <v>21539300</v>
          </cell>
          <cell r="AZ681">
            <v>26358876</v>
          </cell>
          <cell r="BA681">
            <v>26818496</v>
          </cell>
          <cell r="BB681">
            <v>26818496</v>
          </cell>
        </row>
        <row r="682">
          <cell r="A682" t="str">
            <v>INGLES MARKETS</v>
          </cell>
          <cell r="B682">
            <v>114002</v>
          </cell>
          <cell r="C682">
            <v>213097</v>
          </cell>
          <cell r="D682">
            <v>307922</v>
          </cell>
          <cell r="E682">
            <v>398894</v>
          </cell>
          <cell r="F682">
            <v>498046</v>
          </cell>
          <cell r="G682">
            <v>600512</v>
          </cell>
          <cell r="H682">
            <v>739068</v>
          </cell>
          <cell r="I682">
            <v>825529</v>
          </cell>
          <cell r="J682">
            <v>916397</v>
          </cell>
          <cell r="K682">
            <v>1010004</v>
          </cell>
          <cell r="L682">
            <v>1106689</v>
          </cell>
          <cell r="M682">
            <v>1229836</v>
          </cell>
          <cell r="N682">
            <v>1329103</v>
          </cell>
          <cell r="O682">
            <v>1439875</v>
          </cell>
          <cell r="P682">
            <v>1543452</v>
          </cell>
          <cell r="Q682">
            <v>1642372</v>
          </cell>
          <cell r="R682">
            <v>1753788</v>
          </cell>
          <cell r="S682">
            <v>1870571</v>
          </cell>
          <cell r="T682">
            <v>2046532</v>
          </cell>
          <cell r="U682">
            <v>2187416</v>
          </cell>
          <cell r="V682">
            <v>2341992</v>
          </cell>
          <cell r="W682">
            <v>2476898</v>
          </cell>
          <cell r="X682">
            <v>2622559</v>
          </cell>
          <cell r="Y682">
            <v>2825764</v>
          </cell>
          <cell r="Z682">
            <v>2981335</v>
          </cell>
          <cell r="AA682">
            <v>3096330</v>
          </cell>
          <cell r="AB682">
            <v>3209709</v>
          </cell>
          <cell r="AC682">
            <v>3325671</v>
          </cell>
          <cell r="AD682">
            <v>3431004</v>
          </cell>
          <cell r="AE682">
            <v>3544843</v>
          </cell>
          <cell r="AF682">
            <v>3657520</v>
          </cell>
          <cell r="AG682">
            <v>3779799</v>
          </cell>
          <cell r="AH682">
            <v>3893376</v>
          </cell>
          <cell r="AI682">
            <v>4010240</v>
          </cell>
          <cell r="AJ682">
            <v>4119499</v>
          </cell>
          <cell r="AK682">
            <v>4225733</v>
          </cell>
          <cell r="AL682">
            <v>4345325</v>
          </cell>
          <cell r="AM682">
            <v>4462772</v>
          </cell>
          <cell r="AN682">
            <v>4567567</v>
          </cell>
          <cell r="AO682">
            <v>4675152</v>
          </cell>
          <cell r="AP682">
            <v>4791377</v>
          </cell>
          <cell r="AQ682">
            <v>4933439</v>
          </cell>
          <cell r="AR682">
            <v>5046075</v>
          </cell>
          <cell r="AS682">
            <v>5164193</v>
          </cell>
          <cell r="AT682">
            <v>5281015</v>
          </cell>
          <cell r="AU682">
            <v>5394471</v>
          </cell>
          <cell r="AV682">
            <v>5511506</v>
          </cell>
          <cell r="AW682">
            <v>5689618</v>
          </cell>
          <cell r="AX682">
            <v>5904911</v>
          </cell>
          <cell r="AY682">
            <v>6211547</v>
          </cell>
          <cell r="AZ682">
            <v>6892466</v>
          </cell>
          <cell r="BA682">
            <v>7745224</v>
          </cell>
          <cell r="BB682">
            <v>7745224</v>
          </cell>
        </row>
        <row r="683">
          <cell r="A683" t="str">
            <v>KATZ</v>
          </cell>
          <cell r="B683">
            <v>108644</v>
          </cell>
          <cell r="C683">
            <v>215395</v>
          </cell>
          <cell r="D683">
            <v>316113</v>
          </cell>
          <cell r="E683">
            <v>423791</v>
          </cell>
          <cell r="F683">
            <v>524528</v>
          </cell>
          <cell r="G683">
            <v>694688</v>
          </cell>
          <cell r="H683">
            <v>807704</v>
          </cell>
          <cell r="I683">
            <v>909645</v>
          </cell>
          <cell r="J683">
            <v>1006954</v>
          </cell>
          <cell r="K683">
            <v>1112857</v>
          </cell>
          <cell r="L683">
            <v>1229116</v>
          </cell>
          <cell r="M683">
            <v>1336453</v>
          </cell>
          <cell r="N683">
            <v>1452949</v>
          </cell>
          <cell r="O683">
            <v>1617705</v>
          </cell>
          <cell r="P683">
            <v>1729570</v>
          </cell>
          <cell r="Q683">
            <v>1856438</v>
          </cell>
          <cell r="R683">
            <v>1986813</v>
          </cell>
          <cell r="S683">
            <v>2203618</v>
          </cell>
          <cell r="T683">
            <v>2367410</v>
          </cell>
          <cell r="U683">
            <v>2515345</v>
          </cell>
          <cell r="V683">
            <v>2676720</v>
          </cell>
          <cell r="W683">
            <v>2841375</v>
          </cell>
          <cell r="X683">
            <v>3044264</v>
          </cell>
          <cell r="Y683">
            <v>3303487</v>
          </cell>
          <cell r="Z683">
            <v>3516940</v>
          </cell>
          <cell r="AA683">
            <v>3738894</v>
          </cell>
          <cell r="AB683">
            <v>3870057</v>
          </cell>
          <cell r="AC683">
            <v>3999569</v>
          </cell>
          <cell r="AD683">
            <v>4146714</v>
          </cell>
          <cell r="AE683">
            <v>4294620</v>
          </cell>
          <cell r="AF683">
            <v>4442943</v>
          </cell>
          <cell r="AG683">
            <v>4598840</v>
          </cell>
          <cell r="AH683">
            <v>4760935</v>
          </cell>
          <cell r="AI683">
            <v>4927414</v>
          </cell>
          <cell r="AJ683">
            <v>5095835</v>
          </cell>
          <cell r="AK683">
            <v>5256861</v>
          </cell>
          <cell r="AL683">
            <v>5425735</v>
          </cell>
          <cell r="AM683">
            <v>5593645</v>
          </cell>
          <cell r="AN683">
            <v>5759101</v>
          </cell>
          <cell r="AO683">
            <v>5926005</v>
          </cell>
          <cell r="AP683">
            <v>6090948</v>
          </cell>
          <cell r="AQ683">
            <v>6241394</v>
          </cell>
          <cell r="AR683">
            <v>6384930</v>
          </cell>
          <cell r="AS683">
            <v>6536662</v>
          </cell>
          <cell r="AT683">
            <v>6681648</v>
          </cell>
          <cell r="AU683">
            <v>6856651</v>
          </cell>
          <cell r="AV683">
            <v>7087182</v>
          </cell>
          <cell r="AW683">
            <v>7535535</v>
          </cell>
          <cell r="AX683">
            <v>8264532</v>
          </cell>
          <cell r="AY683">
            <v>9662310</v>
          </cell>
          <cell r="AZ683">
            <v>11228256</v>
          </cell>
          <cell r="BA683">
            <v>11541810</v>
          </cell>
          <cell r="BB683">
            <v>11541810</v>
          </cell>
        </row>
        <row r="684">
          <cell r="A684" t="str">
            <v>KING KULLEN</v>
          </cell>
          <cell r="B684">
            <v>109174</v>
          </cell>
          <cell r="C684">
            <v>195092</v>
          </cell>
          <cell r="D684">
            <v>278007</v>
          </cell>
          <cell r="E684">
            <v>353604</v>
          </cell>
          <cell r="F684">
            <v>430407</v>
          </cell>
          <cell r="G684">
            <v>516941</v>
          </cell>
          <cell r="H684">
            <v>617972</v>
          </cell>
          <cell r="I684">
            <v>690936</v>
          </cell>
          <cell r="J684">
            <v>778356</v>
          </cell>
          <cell r="K684">
            <v>866189</v>
          </cell>
          <cell r="L684">
            <v>964087</v>
          </cell>
          <cell r="M684">
            <v>1102272</v>
          </cell>
          <cell r="N684">
            <v>1174968</v>
          </cell>
          <cell r="O684">
            <v>1261690</v>
          </cell>
          <cell r="P684">
            <v>1346234</v>
          </cell>
          <cell r="Q684">
            <v>1441028</v>
          </cell>
          <cell r="R684">
            <v>1529668</v>
          </cell>
          <cell r="S684">
            <v>1624087</v>
          </cell>
          <cell r="T684">
            <v>1788658</v>
          </cell>
          <cell r="U684">
            <v>1912553</v>
          </cell>
          <cell r="V684">
            <v>2016967</v>
          </cell>
          <cell r="W684">
            <v>2113680</v>
          </cell>
          <cell r="X684">
            <v>2243301</v>
          </cell>
          <cell r="Y684">
            <v>2476571</v>
          </cell>
          <cell r="Z684">
            <v>2692616</v>
          </cell>
          <cell r="AA684">
            <v>2911941</v>
          </cell>
          <cell r="AB684">
            <v>3023839</v>
          </cell>
          <cell r="AC684">
            <v>3129892</v>
          </cell>
          <cell r="AD684">
            <v>3241611</v>
          </cell>
          <cell r="AE684">
            <v>3345272</v>
          </cell>
          <cell r="AF684">
            <v>3450731</v>
          </cell>
          <cell r="AG684">
            <v>3556100</v>
          </cell>
          <cell r="AH684">
            <v>3667104</v>
          </cell>
          <cell r="AI684">
            <v>3772003</v>
          </cell>
          <cell r="AJ684">
            <v>3867181</v>
          </cell>
          <cell r="AK684">
            <v>3953466</v>
          </cell>
          <cell r="AL684">
            <v>4044028</v>
          </cell>
          <cell r="AM684">
            <v>4137148</v>
          </cell>
          <cell r="AN684">
            <v>4223880</v>
          </cell>
          <cell r="AO684">
            <v>4324782</v>
          </cell>
          <cell r="AP684">
            <v>4416091</v>
          </cell>
          <cell r="AQ684">
            <v>4513046</v>
          </cell>
          <cell r="AR684">
            <v>4605289</v>
          </cell>
          <cell r="AS684">
            <v>4695247</v>
          </cell>
          <cell r="AT684">
            <v>4789082</v>
          </cell>
          <cell r="AU684">
            <v>4885920</v>
          </cell>
          <cell r="AV684">
            <v>4993778</v>
          </cell>
          <cell r="AW684">
            <v>5113876</v>
          </cell>
          <cell r="AX684">
            <v>5286545</v>
          </cell>
          <cell r="AY684">
            <v>5590223</v>
          </cell>
          <cell r="AZ684">
            <v>6365530</v>
          </cell>
          <cell r="BA684">
            <v>7531930</v>
          </cell>
          <cell r="BB684">
            <v>7531930</v>
          </cell>
        </row>
        <row r="685">
          <cell r="A685" t="str">
            <v>KMART</v>
          </cell>
          <cell r="B685">
            <v>951410</v>
          </cell>
          <cell r="C685">
            <v>1898833</v>
          </cell>
          <cell r="D685">
            <v>2746543</v>
          </cell>
          <cell r="E685">
            <v>3607187</v>
          </cell>
          <cell r="F685">
            <v>4565094</v>
          </cell>
          <cell r="G685">
            <v>5722709</v>
          </cell>
          <cell r="H685">
            <v>6744157</v>
          </cell>
          <cell r="I685">
            <v>7644448</v>
          </cell>
          <cell r="J685">
            <v>8577963</v>
          </cell>
          <cell r="K685">
            <v>9524990</v>
          </cell>
          <cell r="L685">
            <v>10478592</v>
          </cell>
          <cell r="M685">
            <v>11410704</v>
          </cell>
          <cell r="N685">
            <v>12293774</v>
          </cell>
          <cell r="O685">
            <v>13585857</v>
          </cell>
          <cell r="P685">
            <v>14495571</v>
          </cell>
          <cell r="Q685">
            <v>15409386</v>
          </cell>
          <cell r="R685">
            <v>16292164</v>
          </cell>
          <cell r="S685">
            <v>17559310</v>
          </cell>
          <cell r="T685">
            <v>18583375</v>
          </cell>
          <cell r="U685">
            <v>19579662</v>
          </cell>
          <cell r="V685">
            <v>20555933</v>
          </cell>
          <cell r="W685">
            <v>21555017</v>
          </cell>
          <cell r="X685">
            <v>22714930</v>
          </cell>
          <cell r="Y685">
            <v>24208819</v>
          </cell>
          <cell r="Z685">
            <v>25334532</v>
          </cell>
          <cell r="AA685">
            <v>26237786</v>
          </cell>
          <cell r="AB685">
            <v>27105652</v>
          </cell>
          <cell r="AC685">
            <v>28061702</v>
          </cell>
          <cell r="AD685">
            <v>28986548</v>
          </cell>
          <cell r="AE685">
            <v>29869830</v>
          </cell>
          <cell r="AF685">
            <v>30803442</v>
          </cell>
          <cell r="AG685">
            <v>31716081</v>
          </cell>
          <cell r="AH685">
            <v>32603386</v>
          </cell>
          <cell r="AI685">
            <v>33460901</v>
          </cell>
          <cell r="AJ685">
            <v>34323498</v>
          </cell>
          <cell r="AK685">
            <v>35175110</v>
          </cell>
          <cell r="AL685">
            <v>35967153</v>
          </cell>
          <cell r="AM685">
            <v>36754740</v>
          </cell>
          <cell r="AN685">
            <v>37516706</v>
          </cell>
          <cell r="AO685">
            <v>38390860</v>
          </cell>
          <cell r="AP685">
            <v>39256318</v>
          </cell>
          <cell r="AQ685">
            <v>40104727</v>
          </cell>
          <cell r="AR685">
            <v>41022439</v>
          </cell>
          <cell r="AS685">
            <v>41868172</v>
          </cell>
          <cell r="AT685">
            <v>42817594</v>
          </cell>
          <cell r="AU685">
            <v>43846876</v>
          </cell>
          <cell r="AV685">
            <v>44979674</v>
          </cell>
          <cell r="AW685">
            <v>46863953</v>
          </cell>
          <cell r="AX685">
            <v>49670207</v>
          </cell>
          <cell r="AY685">
            <v>54805156</v>
          </cell>
          <cell r="AZ685">
            <v>61220525</v>
          </cell>
          <cell r="BA685">
            <v>62785320</v>
          </cell>
          <cell r="BB685">
            <v>62785320</v>
          </cell>
        </row>
        <row r="686">
          <cell r="A686" t="str">
            <v>KOHLS</v>
          </cell>
          <cell r="B686">
            <v>252117</v>
          </cell>
          <cell r="C686">
            <v>458941</v>
          </cell>
          <cell r="D686">
            <v>644925</v>
          </cell>
          <cell r="E686">
            <v>837675</v>
          </cell>
          <cell r="F686">
            <v>1044573</v>
          </cell>
          <cell r="G686">
            <v>1388608</v>
          </cell>
          <cell r="H686">
            <v>1613789</v>
          </cell>
          <cell r="I686">
            <v>1811296</v>
          </cell>
          <cell r="J686">
            <v>1998534</v>
          </cell>
          <cell r="K686">
            <v>2197008</v>
          </cell>
          <cell r="L686">
            <v>2413361</v>
          </cell>
          <cell r="M686">
            <v>2612365</v>
          </cell>
          <cell r="N686">
            <v>2810266</v>
          </cell>
          <cell r="O686">
            <v>3187046</v>
          </cell>
          <cell r="P686">
            <v>3374667</v>
          </cell>
          <cell r="Q686">
            <v>3572190</v>
          </cell>
          <cell r="R686">
            <v>3771062</v>
          </cell>
          <cell r="S686">
            <v>4187800</v>
          </cell>
          <cell r="T686">
            <v>4415294</v>
          </cell>
          <cell r="U686">
            <v>4700480</v>
          </cell>
          <cell r="V686">
            <v>4948619</v>
          </cell>
          <cell r="W686">
            <v>5193904</v>
          </cell>
          <cell r="X686">
            <v>5492249</v>
          </cell>
          <cell r="Y686">
            <v>6043082</v>
          </cell>
          <cell r="Z686">
            <v>6388527</v>
          </cell>
          <cell r="AA686">
            <v>6616449</v>
          </cell>
          <cell r="AB686">
            <v>6837537</v>
          </cell>
          <cell r="AC686">
            <v>7049720</v>
          </cell>
          <cell r="AD686">
            <v>7268241</v>
          </cell>
          <cell r="AE686">
            <v>7480861</v>
          </cell>
          <cell r="AF686">
            <v>7694931</v>
          </cell>
          <cell r="AG686">
            <v>7918588</v>
          </cell>
          <cell r="AH686">
            <v>8129488</v>
          </cell>
          <cell r="AI686">
            <v>8333614</v>
          </cell>
          <cell r="AJ686">
            <v>8538189</v>
          </cell>
          <cell r="AK686">
            <v>8731986</v>
          </cell>
          <cell r="AL686">
            <v>8960040</v>
          </cell>
          <cell r="AM686">
            <v>9185786</v>
          </cell>
          <cell r="AN686">
            <v>9409434</v>
          </cell>
          <cell r="AO686">
            <v>9674896</v>
          </cell>
          <cell r="AP686">
            <v>9953194</v>
          </cell>
          <cell r="AQ686">
            <v>10234979</v>
          </cell>
          <cell r="AR686">
            <v>10554070</v>
          </cell>
          <cell r="AS686">
            <v>10912709</v>
          </cell>
          <cell r="AT686">
            <v>11339433</v>
          </cell>
          <cell r="AU686">
            <v>12034618</v>
          </cell>
          <cell r="AV686">
            <v>13425376</v>
          </cell>
          <cell r="AW686">
            <v>15661589</v>
          </cell>
          <cell r="AX686">
            <v>19323114</v>
          </cell>
          <cell r="AY686">
            <v>24760825</v>
          </cell>
          <cell r="AZ686">
            <v>32887205</v>
          </cell>
          <cell r="BA686">
            <v>34166811</v>
          </cell>
          <cell r="BB686">
            <v>34166811</v>
          </cell>
        </row>
        <row r="687">
          <cell r="A687" t="str">
            <v>KROGER</v>
          </cell>
          <cell r="B687">
            <v>6209298</v>
          </cell>
          <cell r="C687">
            <v>12303557</v>
          </cell>
          <cell r="D687">
            <v>17829552</v>
          </cell>
          <cell r="E687">
            <v>23243690</v>
          </cell>
          <cell r="F687">
            <v>29035252</v>
          </cell>
          <cell r="G687">
            <v>37810019</v>
          </cell>
          <cell r="H687">
            <v>44024401</v>
          </cell>
          <cell r="I687">
            <v>49738628</v>
          </cell>
          <cell r="J687">
            <v>55652864</v>
          </cell>
          <cell r="K687">
            <v>61605010</v>
          </cell>
          <cell r="L687">
            <v>67898271</v>
          </cell>
          <cell r="M687">
            <v>74097264</v>
          </cell>
          <cell r="N687">
            <v>80079237</v>
          </cell>
          <cell r="O687">
            <v>88491668</v>
          </cell>
          <cell r="P687">
            <v>94594613</v>
          </cell>
          <cell r="Q687">
            <v>101112369</v>
          </cell>
          <cell r="R687">
            <v>108418287</v>
          </cell>
          <cell r="S687">
            <v>121818443</v>
          </cell>
          <cell r="T687">
            <v>132162392</v>
          </cell>
          <cell r="U687">
            <v>139994992</v>
          </cell>
          <cell r="V687">
            <v>149876228</v>
          </cell>
          <cell r="W687">
            <v>159706354</v>
          </cell>
          <cell r="X687">
            <v>170794777</v>
          </cell>
          <cell r="Y687">
            <v>186869890</v>
          </cell>
          <cell r="Z687">
            <v>196991059</v>
          </cell>
          <cell r="AA687">
            <v>203985894</v>
          </cell>
          <cell r="AB687">
            <v>211098616</v>
          </cell>
          <cell r="AC687">
            <v>218133735</v>
          </cell>
          <cell r="AD687">
            <v>225349904</v>
          </cell>
          <cell r="AE687">
            <v>232301361</v>
          </cell>
          <cell r="AF687">
            <v>239725090</v>
          </cell>
          <cell r="AG687">
            <v>246714114</v>
          </cell>
          <cell r="AH687">
            <v>253354719</v>
          </cell>
          <cell r="AI687">
            <v>259721301</v>
          </cell>
          <cell r="AJ687">
            <v>265585537</v>
          </cell>
          <cell r="AK687">
            <v>271144467</v>
          </cell>
          <cell r="AL687">
            <v>276493048</v>
          </cell>
          <cell r="AM687">
            <v>281825467</v>
          </cell>
          <cell r="AN687">
            <v>287113211</v>
          </cell>
          <cell r="AO687">
            <v>292935550</v>
          </cell>
          <cell r="AP687">
            <v>299006870</v>
          </cell>
          <cell r="AQ687">
            <v>306190497</v>
          </cell>
          <cell r="AR687">
            <v>312879971</v>
          </cell>
          <cell r="AS687">
            <v>320015562</v>
          </cell>
          <cell r="AT687">
            <v>326737713</v>
          </cell>
          <cell r="AU687">
            <v>334100444</v>
          </cell>
          <cell r="AV687">
            <v>342965082</v>
          </cell>
          <cell r="AW687">
            <v>360483825</v>
          </cell>
          <cell r="AX687">
            <v>391912182</v>
          </cell>
          <cell r="AY687">
            <v>460013643</v>
          </cell>
          <cell r="AZ687">
            <v>543711420</v>
          </cell>
          <cell r="BA687">
            <v>555393540</v>
          </cell>
          <cell r="BB687">
            <v>555393540</v>
          </cell>
        </row>
        <row r="688">
          <cell r="A688" t="str">
            <v>KROGER C</v>
          </cell>
          <cell r="B688">
            <v>514170</v>
          </cell>
          <cell r="C688">
            <v>972926</v>
          </cell>
          <cell r="D688">
            <v>1420747</v>
          </cell>
          <cell r="E688">
            <v>1853032</v>
          </cell>
          <cell r="F688">
            <v>2359770</v>
          </cell>
          <cell r="G688">
            <v>2874893</v>
          </cell>
          <cell r="H688">
            <v>3361765</v>
          </cell>
          <cell r="I688">
            <v>3825787</v>
          </cell>
          <cell r="J688">
            <v>4310133</v>
          </cell>
          <cell r="K688">
            <v>4802627</v>
          </cell>
          <cell r="L688">
            <v>5300799</v>
          </cell>
          <cell r="M688">
            <v>5837461</v>
          </cell>
          <cell r="N688">
            <v>6362187</v>
          </cell>
          <cell r="O688">
            <v>6900593</v>
          </cell>
          <cell r="P688">
            <v>7423570</v>
          </cell>
          <cell r="Q688">
            <v>7945702</v>
          </cell>
          <cell r="R688">
            <v>8473740</v>
          </cell>
          <cell r="S688">
            <v>9015861</v>
          </cell>
          <cell r="T688">
            <v>9581131</v>
          </cell>
          <cell r="U688">
            <v>10115104</v>
          </cell>
          <cell r="V688">
            <v>10650688</v>
          </cell>
          <cell r="W688">
            <v>11193719</v>
          </cell>
          <cell r="X688">
            <v>11768779</v>
          </cell>
          <cell r="Y688">
            <v>12407579</v>
          </cell>
          <cell r="Z688">
            <v>13058572</v>
          </cell>
          <cell r="AA688">
            <v>13622541</v>
          </cell>
          <cell r="AB688">
            <v>14215085</v>
          </cell>
          <cell r="AC688">
            <v>14791750</v>
          </cell>
          <cell r="AD688">
            <v>15352256</v>
          </cell>
          <cell r="AE688">
            <v>15897085</v>
          </cell>
          <cell r="AF688">
            <v>16467184</v>
          </cell>
          <cell r="AG688">
            <v>17012045</v>
          </cell>
          <cell r="AH688">
            <v>17532099</v>
          </cell>
          <cell r="AI688">
            <v>18069952</v>
          </cell>
          <cell r="AJ688">
            <v>18601539</v>
          </cell>
          <cell r="AK688">
            <v>19128293</v>
          </cell>
          <cell r="AL688">
            <v>19644138</v>
          </cell>
          <cell r="AM688">
            <v>20146449</v>
          </cell>
          <cell r="AN688">
            <v>20642702</v>
          </cell>
          <cell r="AO688">
            <v>21196164</v>
          </cell>
          <cell r="AP688">
            <v>21721109</v>
          </cell>
          <cell r="AQ688">
            <v>22250133</v>
          </cell>
          <cell r="AR688">
            <v>22763377</v>
          </cell>
          <cell r="AS688">
            <v>23304872</v>
          </cell>
          <cell r="AT688">
            <v>23871532</v>
          </cell>
          <cell r="AU688">
            <v>24408253</v>
          </cell>
          <cell r="AV688">
            <v>24957075</v>
          </cell>
          <cell r="AW688">
            <v>25508886</v>
          </cell>
          <cell r="AX688">
            <v>26094680</v>
          </cell>
          <cell r="AY688">
            <v>26865236</v>
          </cell>
          <cell r="AZ688">
            <v>29206755</v>
          </cell>
          <cell r="BA688">
            <v>30658995</v>
          </cell>
          <cell r="BB688">
            <v>30658995</v>
          </cell>
        </row>
        <row r="689">
          <cell r="A689" t="str">
            <v>LOBLAWS - CANADA</v>
          </cell>
          <cell r="B689">
            <v>153766</v>
          </cell>
          <cell r="C689">
            <v>287882</v>
          </cell>
          <cell r="D689">
            <v>467398</v>
          </cell>
          <cell r="E689">
            <v>650700</v>
          </cell>
          <cell r="F689">
            <v>833793</v>
          </cell>
          <cell r="G689">
            <v>1104300</v>
          </cell>
          <cell r="H689">
            <v>1299279</v>
          </cell>
          <cell r="I689">
            <v>1489976</v>
          </cell>
          <cell r="J689">
            <v>1683854</v>
          </cell>
          <cell r="K689">
            <v>1894812</v>
          </cell>
          <cell r="L689">
            <v>2105877</v>
          </cell>
          <cell r="M689">
            <v>2327062</v>
          </cell>
          <cell r="N689">
            <v>2563497</v>
          </cell>
          <cell r="O689">
            <v>2883559</v>
          </cell>
          <cell r="P689">
            <v>3141408</v>
          </cell>
          <cell r="Q689">
            <v>3433305</v>
          </cell>
          <cell r="R689">
            <v>3769441</v>
          </cell>
          <cell r="S689">
            <v>4258886</v>
          </cell>
          <cell r="T689">
            <v>4626693</v>
          </cell>
          <cell r="U689">
            <v>4961118</v>
          </cell>
          <cell r="V689">
            <v>5331838</v>
          </cell>
          <cell r="W689">
            <v>5732163</v>
          </cell>
          <cell r="X689">
            <v>6199277</v>
          </cell>
          <cell r="Y689">
            <v>6845287</v>
          </cell>
          <cell r="Z689">
            <v>7444973</v>
          </cell>
          <cell r="AA689">
            <v>7771992</v>
          </cell>
          <cell r="AB689">
            <v>8294325</v>
          </cell>
          <cell r="AC689">
            <v>8628493</v>
          </cell>
          <cell r="AD689">
            <v>8973961</v>
          </cell>
          <cell r="AE689">
            <v>9309041</v>
          </cell>
          <cell r="AF689">
            <v>9652071</v>
          </cell>
          <cell r="AG689">
            <v>9996509</v>
          </cell>
          <cell r="AH689">
            <v>10367319</v>
          </cell>
          <cell r="AI689">
            <v>10936915</v>
          </cell>
          <cell r="AJ689">
            <v>11318956</v>
          </cell>
          <cell r="AK689">
            <v>11783937</v>
          </cell>
          <cell r="AL689">
            <v>12281325</v>
          </cell>
          <cell r="AM689">
            <v>12817707</v>
          </cell>
          <cell r="AN689">
            <v>13328120</v>
          </cell>
          <cell r="AO689">
            <v>13953664</v>
          </cell>
          <cell r="AP689">
            <v>14543584</v>
          </cell>
          <cell r="AQ689">
            <v>15111641</v>
          </cell>
          <cell r="AR689">
            <v>15705558</v>
          </cell>
          <cell r="AS689">
            <v>16308042</v>
          </cell>
          <cell r="AT689">
            <v>17136174</v>
          </cell>
          <cell r="AU689">
            <v>18051102</v>
          </cell>
          <cell r="AV689">
            <v>19705607</v>
          </cell>
          <cell r="AW689">
            <v>22072835</v>
          </cell>
          <cell r="AX689">
            <v>26086843</v>
          </cell>
          <cell r="AY689">
            <v>33671649</v>
          </cell>
          <cell r="AZ689">
            <v>41836218</v>
          </cell>
          <cell r="BA689">
            <v>42758774</v>
          </cell>
          <cell r="BB689">
            <v>42758774</v>
          </cell>
        </row>
        <row r="690">
          <cell r="A690" t="str">
            <v>LOWES</v>
          </cell>
          <cell r="B690">
            <v>102788</v>
          </cell>
          <cell r="C690">
            <v>192317</v>
          </cell>
          <cell r="D690">
            <v>281925</v>
          </cell>
          <cell r="E690">
            <v>359951</v>
          </cell>
          <cell r="F690">
            <v>457780</v>
          </cell>
          <cell r="G690">
            <v>555494</v>
          </cell>
          <cell r="H690">
            <v>699795</v>
          </cell>
          <cell r="I690">
            <v>790012</v>
          </cell>
          <cell r="J690">
            <v>881088</v>
          </cell>
          <cell r="K690">
            <v>980745</v>
          </cell>
          <cell r="L690">
            <v>1082221</v>
          </cell>
          <cell r="M690">
            <v>1215058</v>
          </cell>
          <cell r="N690">
            <v>1310054</v>
          </cell>
          <cell r="O690">
            <v>1415180</v>
          </cell>
          <cell r="P690">
            <v>1511976</v>
          </cell>
          <cell r="Q690">
            <v>1624271</v>
          </cell>
          <cell r="R690">
            <v>1762247</v>
          </cell>
          <cell r="S690">
            <v>1902397</v>
          </cell>
          <cell r="T690">
            <v>2154269</v>
          </cell>
          <cell r="U690">
            <v>2311826</v>
          </cell>
          <cell r="V690">
            <v>2454103</v>
          </cell>
          <cell r="W690">
            <v>2597801</v>
          </cell>
          <cell r="X690">
            <v>2788102</v>
          </cell>
          <cell r="Y690">
            <v>3059868</v>
          </cell>
          <cell r="Z690">
            <v>3210138</v>
          </cell>
          <cell r="AA690">
            <v>3332332</v>
          </cell>
          <cell r="AB690">
            <v>3437853</v>
          </cell>
          <cell r="AC690">
            <v>3547015</v>
          </cell>
          <cell r="AD690">
            <v>3659859</v>
          </cell>
          <cell r="AE690">
            <v>3771850</v>
          </cell>
          <cell r="AF690">
            <v>3882741</v>
          </cell>
          <cell r="AG690">
            <v>3996416</v>
          </cell>
          <cell r="AH690">
            <v>4104733</v>
          </cell>
          <cell r="AI690">
            <v>4216190</v>
          </cell>
          <cell r="AJ690">
            <v>4325057</v>
          </cell>
          <cell r="AK690">
            <v>4428616</v>
          </cell>
          <cell r="AL690">
            <v>4533697</v>
          </cell>
          <cell r="AM690">
            <v>4642993</v>
          </cell>
          <cell r="AN690">
            <v>4750402</v>
          </cell>
          <cell r="AO690">
            <v>4857399</v>
          </cell>
          <cell r="AP690">
            <v>4965522</v>
          </cell>
          <cell r="AQ690">
            <v>5080552</v>
          </cell>
          <cell r="AR690">
            <v>5193612</v>
          </cell>
          <cell r="AS690">
            <v>5298237</v>
          </cell>
          <cell r="AT690">
            <v>5406257</v>
          </cell>
          <cell r="AU690">
            <v>5516193</v>
          </cell>
          <cell r="AV690">
            <v>5638162</v>
          </cell>
          <cell r="AW690">
            <v>5765597</v>
          </cell>
          <cell r="AX690">
            <v>5942378</v>
          </cell>
          <cell r="AY690">
            <v>6287253</v>
          </cell>
          <cell r="AZ690">
            <v>7074091</v>
          </cell>
          <cell r="BA690">
            <v>7919969</v>
          </cell>
          <cell r="BB690">
            <v>7919969</v>
          </cell>
        </row>
        <row r="691">
          <cell r="A691" t="str">
            <v>MEIJER</v>
          </cell>
          <cell r="B691">
            <v>305683</v>
          </cell>
          <cell r="C691">
            <v>612889</v>
          </cell>
          <cell r="D691">
            <v>874918</v>
          </cell>
          <cell r="E691">
            <v>1119485</v>
          </cell>
          <cell r="F691">
            <v>1352754</v>
          </cell>
          <cell r="G691">
            <v>1715303</v>
          </cell>
          <cell r="H691">
            <v>1978742</v>
          </cell>
          <cell r="I691">
            <v>2216175</v>
          </cell>
          <cell r="J691">
            <v>2490535</v>
          </cell>
          <cell r="K691">
            <v>2780207</v>
          </cell>
          <cell r="L691">
            <v>3083853</v>
          </cell>
          <cell r="M691">
            <v>3368963</v>
          </cell>
          <cell r="N691">
            <v>3630416</v>
          </cell>
          <cell r="O691">
            <v>4155436</v>
          </cell>
          <cell r="P691">
            <v>4433611</v>
          </cell>
          <cell r="Q691">
            <v>4719803</v>
          </cell>
          <cell r="R691">
            <v>5041306</v>
          </cell>
          <cell r="S691">
            <v>5667615</v>
          </cell>
          <cell r="T691">
            <v>6122920</v>
          </cell>
          <cell r="U691">
            <v>6478781</v>
          </cell>
          <cell r="V691">
            <v>6900079</v>
          </cell>
          <cell r="W691">
            <v>7328463</v>
          </cell>
          <cell r="X691">
            <v>7876730</v>
          </cell>
          <cell r="Y691">
            <v>8634561</v>
          </cell>
          <cell r="Z691">
            <v>9101110</v>
          </cell>
          <cell r="AA691">
            <v>9451869</v>
          </cell>
          <cell r="AB691">
            <v>9765895</v>
          </cell>
          <cell r="AC691">
            <v>10084626</v>
          </cell>
          <cell r="AD691">
            <v>10407186</v>
          </cell>
          <cell r="AE691">
            <v>10741803</v>
          </cell>
          <cell r="AF691">
            <v>11087597</v>
          </cell>
          <cell r="AG691">
            <v>11420433</v>
          </cell>
          <cell r="AH691">
            <v>11742148</v>
          </cell>
          <cell r="AI691">
            <v>12094745</v>
          </cell>
          <cell r="AJ691">
            <v>12424484</v>
          </cell>
          <cell r="AK691">
            <v>12753886</v>
          </cell>
          <cell r="AL691">
            <v>13082272</v>
          </cell>
          <cell r="AM691">
            <v>13462249</v>
          </cell>
          <cell r="AN691">
            <v>13789946</v>
          </cell>
          <cell r="AO691">
            <v>14108750</v>
          </cell>
          <cell r="AP691">
            <v>14440310</v>
          </cell>
          <cell r="AQ691">
            <v>14811929</v>
          </cell>
          <cell r="AR691">
            <v>15160450</v>
          </cell>
          <cell r="AS691">
            <v>15518861</v>
          </cell>
          <cell r="AT691">
            <v>15921874</v>
          </cell>
          <cell r="AU691">
            <v>16407108</v>
          </cell>
          <cell r="AV691">
            <v>17041270</v>
          </cell>
          <cell r="AW691">
            <v>18209129</v>
          </cell>
          <cell r="AX691">
            <v>20515894</v>
          </cell>
          <cell r="AY691">
            <v>25408068</v>
          </cell>
          <cell r="AZ691">
            <v>31717245</v>
          </cell>
          <cell r="BA691">
            <v>32512524</v>
          </cell>
          <cell r="BB691">
            <v>32512524</v>
          </cell>
        </row>
        <row r="692">
          <cell r="A692" t="str">
            <v>METRO ONTARIO - CANADA</v>
          </cell>
          <cell r="B692">
            <v>117774</v>
          </cell>
          <cell r="C692">
            <v>234316</v>
          </cell>
          <cell r="D692">
            <v>341934</v>
          </cell>
          <cell r="E692">
            <v>448102</v>
          </cell>
          <cell r="F692">
            <v>583538</v>
          </cell>
          <cell r="G692">
            <v>778897</v>
          </cell>
          <cell r="H692">
            <v>913473</v>
          </cell>
          <cell r="I692">
            <v>1047928</v>
          </cell>
          <cell r="J692">
            <v>1170581</v>
          </cell>
          <cell r="K692">
            <v>1292185</v>
          </cell>
          <cell r="L692">
            <v>1430826</v>
          </cell>
          <cell r="M692">
            <v>1558477</v>
          </cell>
          <cell r="N692">
            <v>1687566</v>
          </cell>
          <cell r="O692">
            <v>1879673</v>
          </cell>
          <cell r="P692">
            <v>1991338</v>
          </cell>
          <cell r="Q692">
            <v>2125720</v>
          </cell>
          <cell r="R692">
            <v>2285717</v>
          </cell>
          <cell r="S692">
            <v>2533411</v>
          </cell>
          <cell r="T692">
            <v>2735350</v>
          </cell>
          <cell r="U692">
            <v>2919427</v>
          </cell>
          <cell r="V692">
            <v>3089929</v>
          </cell>
          <cell r="W692">
            <v>3258942</v>
          </cell>
          <cell r="X692">
            <v>3461042</v>
          </cell>
          <cell r="Y692">
            <v>3746089</v>
          </cell>
          <cell r="Z692">
            <v>3977074</v>
          </cell>
          <cell r="AA692">
            <v>4250813</v>
          </cell>
          <cell r="AB692">
            <v>4396371</v>
          </cell>
          <cell r="AC692">
            <v>4532909</v>
          </cell>
          <cell r="AD692">
            <v>4685152</v>
          </cell>
          <cell r="AE692">
            <v>4839962</v>
          </cell>
          <cell r="AF692">
            <v>4990059</v>
          </cell>
          <cell r="AG692">
            <v>5139152</v>
          </cell>
          <cell r="AH692">
            <v>5295828</v>
          </cell>
          <cell r="AI692">
            <v>5456999</v>
          </cell>
          <cell r="AJ692">
            <v>5614461</v>
          </cell>
          <cell r="AK692">
            <v>5758158</v>
          </cell>
          <cell r="AL692">
            <v>5914537</v>
          </cell>
          <cell r="AM692">
            <v>6072548</v>
          </cell>
          <cell r="AN692">
            <v>6219423</v>
          </cell>
          <cell r="AO692">
            <v>6371518</v>
          </cell>
          <cell r="AP692">
            <v>6545860</v>
          </cell>
          <cell r="AQ692">
            <v>6682557</v>
          </cell>
          <cell r="AR692">
            <v>6830282</v>
          </cell>
          <cell r="AS692">
            <v>6972893</v>
          </cell>
          <cell r="AT692">
            <v>7136803</v>
          </cell>
          <cell r="AU692">
            <v>7330131</v>
          </cell>
          <cell r="AV692">
            <v>7552338</v>
          </cell>
          <cell r="AW692">
            <v>7944649</v>
          </cell>
          <cell r="AX692">
            <v>8649611</v>
          </cell>
          <cell r="AY692">
            <v>9973960</v>
          </cell>
          <cell r="AZ692">
            <v>11500946</v>
          </cell>
          <cell r="BA692">
            <v>11774905</v>
          </cell>
          <cell r="BB692">
            <v>11774905</v>
          </cell>
        </row>
        <row r="693">
          <cell r="A693" t="str">
            <v>MORRISONS</v>
          </cell>
          <cell r="B693">
            <v>111492</v>
          </cell>
          <cell r="C693">
            <v>228278</v>
          </cell>
          <cell r="D693">
            <v>347382</v>
          </cell>
          <cell r="E693">
            <v>469839</v>
          </cell>
          <cell r="F693">
            <v>613321</v>
          </cell>
          <cell r="G693">
            <v>839353</v>
          </cell>
          <cell r="H693">
            <v>997853</v>
          </cell>
          <cell r="I693">
            <v>1163760</v>
          </cell>
          <cell r="J693">
            <v>1478397</v>
          </cell>
          <cell r="K693">
            <v>1679942</v>
          </cell>
          <cell r="L693">
            <v>1857719</v>
          </cell>
          <cell r="M693">
            <v>2031112</v>
          </cell>
          <cell r="N693">
            <v>2190535</v>
          </cell>
          <cell r="O693">
            <v>2377051</v>
          </cell>
          <cell r="P693">
            <v>2524475</v>
          </cell>
          <cell r="Q693">
            <v>2674955</v>
          </cell>
          <cell r="R693">
            <v>2852344</v>
          </cell>
          <cell r="S693">
            <v>3101026</v>
          </cell>
          <cell r="T693">
            <v>3320233</v>
          </cell>
          <cell r="U693">
            <v>3556229</v>
          </cell>
          <cell r="V693">
            <v>3792300</v>
          </cell>
          <cell r="W693">
            <v>4004293</v>
          </cell>
          <cell r="X693">
            <v>4244260</v>
          </cell>
          <cell r="Y693">
            <v>4527802</v>
          </cell>
          <cell r="Z693">
            <v>4756544</v>
          </cell>
          <cell r="AA693">
            <v>4991759</v>
          </cell>
          <cell r="AB693">
            <v>5221163</v>
          </cell>
          <cell r="AC693">
            <v>5442684</v>
          </cell>
          <cell r="AD693">
            <v>5684206</v>
          </cell>
          <cell r="AE693">
            <v>5910124</v>
          </cell>
          <cell r="AF693">
            <v>6119892</v>
          </cell>
          <cell r="AG693">
            <v>6323774</v>
          </cell>
          <cell r="AH693">
            <v>6526784</v>
          </cell>
          <cell r="AI693">
            <v>6732887</v>
          </cell>
          <cell r="AJ693">
            <v>6931390</v>
          </cell>
          <cell r="AK693">
            <v>7198275</v>
          </cell>
          <cell r="AL693">
            <v>7458679</v>
          </cell>
          <cell r="AM693">
            <v>7699436</v>
          </cell>
          <cell r="AN693">
            <v>7936286</v>
          </cell>
          <cell r="AO693">
            <v>8181993</v>
          </cell>
          <cell r="AP693">
            <v>8398800</v>
          </cell>
          <cell r="AQ693">
            <v>8602507</v>
          </cell>
          <cell r="AR693">
            <v>8808653</v>
          </cell>
          <cell r="AS693">
            <v>9040349</v>
          </cell>
          <cell r="AT693">
            <v>9464938</v>
          </cell>
          <cell r="AU693">
            <v>10120731</v>
          </cell>
          <cell r="AV693">
            <v>10648781</v>
          </cell>
          <cell r="AW693">
            <v>11181903</v>
          </cell>
          <cell r="AX693">
            <v>12082296</v>
          </cell>
          <cell r="AY693">
            <v>13893382</v>
          </cell>
          <cell r="AZ693">
            <v>18274289</v>
          </cell>
          <cell r="BA693">
            <v>19823935</v>
          </cell>
          <cell r="BB693">
            <v>19823935</v>
          </cell>
        </row>
        <row r="694">
          <cell r="A694" t="str">
            <v>OFFICE MAX</v>
          </cell>
          <cell r="B694">
            <v>264218</v>
          </cell>
          <cell r="C694">
            <v>505396</v>
          </cell>
          <cell r="D694">
            <v>732748</v>
          </cell>
          <cell r="E694">
            <v>949874</v>
          </cell>
          <cell r="F694">
            <v>1176201</v>
          </cell>
          <cell r="G694">
            <v>1476848</v>
          </cell>
          <cell r="H694">
            <v>1718076</v>
          </cell>
          <cell r="I694">
            <v>1941708</v>
          </cell>
          <cell r="J694">
            <v>2171330</v>
          </cell>
          <cell r="K694">
            <v>2412352</v>
          </cell>
          <cell r="L694">
            <v>2659846</v>
          </cell>
          <cell r="M694">
            <v>2903830</v>
          </cell>
          <cell r="N694">
            <v>3140480</v>
          </cell>
          <cell r="O694">
            <v>3432476</v>
          </cell>
          <cell r="P694">
            <v>3674216</v>
          </cell>
          <cell r="Q694">
            <v>3923791</v>
          </cell>
          <cell r="R694">
            <v>4212176</v>
          </cell>
          <cell r="S694">
            <v>4644896</v>
          </cell>
          <cell r="T694">
            <v>4928110</v>
          </cell>
          <cell r="U694">
            <v>5295666</v>
          </cell>
          <cell r="V694">
            <v>5643544</v>
          </cell>
          <cell r="W694">
            <v>5995626</v>
          </cell>
          <cell r="X694">
            <v>6426698</v>
          </cell>
          <cell r="Y694">
            <v>6965927</v>
          </cell>
          <cell r="Z694">
            <v>7345222</v>
          </cell>
          <cell r="AA694">
            <v>7635906</v>
          </cell>
          <cell r="AB694">
            <v>7901056</v>
          </cell>
          <cell r="AC694">
            <v>8166942</v>
          </cell>
          <cell r="AD694">
            <v>8443435</v>
          </cell>
          <cell r="AE694">
            <v>8719483</v>
          </cell>
          <cell r="AF694">
            <v>9004833</v>
          </cell>
          <cell r="AG694">
            <v>9289291</v>
          </cell>
          <cell r="AH694">
            <v>9579052</v>
          </cell>
          <cell r="AI694">
            <v>9875229</v>
          </cell>
          <cell r="AJ694">
            <v>10152857</v>
          </cell>
          <cell r="AK694">
            <v>10411309</v>
          </cell>
          <cell r="AL694">
            <v>10679578</v>
          </cell>
          <cell r="AM694">
            <v>10952145</v>
          </cell>
          <cell r="AN694">
            <v>11215192</v>
          </cell>
          <cell r="AO694">
            <v>11489645</v>
          </cell>
          <cell r="AP694">
            <v>11749332</v>
          </cell>
          <cell r="AQ694">
            <v>12009618</v>
          </cell>
          <cell r="AR694">
            <v>12265893</v>
          </cell>
          <cell r="AS694">
            <v>12528012</v>
          </cell>
          <cell r="AT694">
            <v>12810948</v>
          </cell>
          <cell r="AU694">
            <v>13092877</v>
          </cell>
          <cell r="AV694">
            <v>13412625</v>
          </cell>
          <cell r="AW694">
            <v>13961582</v>
          </cell>
          <cell r="AX694">
            <v>14978077</v>
          </cell>
          <cell r="AY694">
            <v>17244762</v>
          </cell>
          <cell r="AZ694">
            <v>20032066</v>
          </cell>
          <cell r="BA694">
            <v>20344330</v>
          </cell>
          <cell r="BB694">
            <v>20344330</v>
          </cell>
        </row>
        <row r="695">
          <cell r="A695" t="str">
            <v>PATHMARK</v>
          </cell>
          <cell r="B695">
            <v>220222</v>
          </cell>
          <cell r="C695">
            <v>436592</v>
          </cell>
          <cell r="D695">
            <v>619094</v>
          </cell>
          <cell r="E695">
            <v>792691</v>
          </cell>
          <cell r="F695">
            <v>1017927</v>
          </cell>
          <cell r="G695">
            <v>1307226</v>
          </cell>
          <cell r="H695">
            <v>1533416</v>
          </cell>
          <cell r="I695">
            <v>1752375</v>
          </cell>
          <cell r="J695">
            <v>1950520</v>
          </cell>
          <cell r="K695">
            <v>2146821</v>
          </cell>
          <cell r="L695">
            <v>2343405</v>
          </cell>
          <cell r="M695">
            <v>2570838</v>
          </cell>
          <cell r="N695">
            <v>2815263</v>
          </cell>
          <cell r="O695">
            <v>3128476</v>
          </cell>
          <cell r="P695">
            <v>3335207</v>
          </cell>
          <cell r="Q695">
            <v>3637196</v>
          </cell>
          <cell r="R695">
            <v>4117480</v>
          </cell>
          <cell r="S695">
            <v>4587196</v>
          </cell>
          <cell r="T695">
            <v>5009259</v>
          </cell>
          <cell r="U695">
            <v>5404490</v>
          </cell>
          <cell r="V695">
            <v>5836325</v>
          </cell>
          <cell r="W695">
            <v>6300690</v>
          </cell>
          <cell r="X695">
            <v>6737615</v>
          </cell>
          <cell r="Y695">
            <v>7317939</v>
          </cell>
          <cell r="Z695">
            <v>7815024</v>
          </cell>
          <cell r="AA695">
            <v>8173787</v>
          </cell>
          <cell r="AB695">
            <v>8447373</v>
          </cell>
          <cell r="AC695">
            <v>8744220</v>
          </cell>
          <cell r="AD695">
            <v>9020132</v>
          </cell>
          <cell r="AE695">
            <v>9293176</v>
          </cell>
          <cell r="AF695">
            <v>9575861</v>
          </cell>
          <cell r="AG695">
            <v>9865457</v>
          </cell>
          <cell r="AH695">
            <v>10150781</v>
          </cell>
          <cell r="AI695">
            <v>10425291</v>
          </cell>
          <cell r="AJ695">
            <v>10691832</v>
          </cell>
          <cell r="AK695">
            <v>10945024</v>
          </cell>
          <cell r="AL695">
            <v>11212092</v>
          </cell>
          <cell r="AM695">
            <v>11462066</v>
          </cell>
          <cell r="AN695">
            <v>11694818</v>
          </cell>
          <cell r="AO695">
            <v>11934338</v>
          </cell>
          <cell r="AP695">
            <v>12181241</v>
          </cell>
          <cell r="AQ695">
            <v>12416560</v>
          </cell>
          <cell r="AR695">
            <v>12647342</v>
          </cell>
          <cell r="AS695">
            <v>12875261</v>
          </cell>
          <cell r="AT695">
            <v>13096545</v>
          </cell>
          <cell r="AU695">
            <v>13331088</v>
          </cell>
          <cell r="AV695">
            <v>13590069</v>
          </cell>
          <cell r="AW695">
            <v>13944080</v>
          </cell>
          <cell r="AX695">
            <v>14537240</v>
          </cell>
          <cell r="AY695">
            <v>15915095</v>
          </cell>
          <cell r="AZ695">
            <v>18174505</v>
          </cell>
          <cell r="BA695">
            <v>18489928</v>
          </cell>
          <cell r="BB695">
            <v>18489928</v>
          </cell>
        </row>
        <row r="696">
          <cell r="A696" t="str">
            <v>PRICE CHOPPER</v>
          </cell>
          <cell r="B696">
            <v>268797</v>
          </cell>
          <cell r="C696">
            <v>524086</v>
          </cell>
          <cell r="D696">
            <v>757161</v>
          </cell>
          <cell r="E696">
            <v>978438</v>
          </cell>
          <cell r="F696">
            <v>1239572</v>
          </cell>
          <cell r="G696">
            <v>1562302</v>
          </cell>
          <cell r="H696">
            <v>1821109</v>
          </cell>
          <cell r="I696">
            <v>2064975</v>
          </cell>
          <cell r="J696">
            <v>2311385</v>
          </cell>
          <cell r="K696">
            <v>2569087</v>
          </cell>
          <cell r="L696">
            <v>2848528</v>
          </cell>
          <cell r="M696">
            <v>3101094</v>
          </cell>
          <cell r="N696">
            <v>3318412</v>
          </cell>
          <cell r="O696">
            <v>3648317</v>
          </cell>
          <cell r="P696">
            <v>3861762</v>
          </cell>
          <cell r="Q696">
            <v>4069389</v>
          </cell>
          <cell r="R696">
            <v>4349151</v>
          </cell>
          <cell r="S696">
            <v>4757005</v>
          </cell>
          <cell r="T696">
            <v>5105028</v>
          </cell>
          <cell r="U696">
            <v>5392186</v>
          </cell>
          <cell r="V696">
            <v>5665024</v>
          </cell>
          <cell r="W696">
            <v>5964190</v>
          </cell>
          <cell r="X696">
            <v>6331937</v>
          </cell>
          <cell r="Y696">
            <v>6801935</v>
          </cell>
          <cell r="Z696">
            <v>7238532</v>
          </cell>
          <cell r="AA696">
            <v>7600687</v>
          </cell>
          <cell r="AB696">
            <v>7897556</v>
          </cell>
          <cell r="AC696">
            <v>8207189</v>
          </cell>
          <cell r="AD696">
            <v>8505791</v>
          </cell>
          <cell r="AE696">
            <v>8805601</v>
          </cell>
          <cell r="AF696">
            <v>9111808</v>
          </cell>
          <cell r="AG696">
            <v>9417015</v>
          </cell>
          <cell r="AH696">
            <v>9709666</v>
          </cell>
          <cell r="AI696">
            <v>10003337</v>
          </cell>
          <cell r="AJ696">
            <v>10293907</v>
          </cell>
          <cell r="AK696">
            <v>10580747</v>
          </cell>
          <cell r="AL696">
            <v>10861506</v>
          </cell>
          <cell r="AM696">
            <v>11154038</v>
          </cell>
          <cell r="AN696">
            <v>11432785</v>
          </cell>
          <cell r="AO696">
            <v>11723877</v>
          </cell>
          <cell r="AP696">
            <v>12000936</v>
          </cell>
          <cell r="AQ696">
            <v>12284582</v>
          </cell>
          <cell r="AR696">
            <v>12553021</v>
          </cell>
          <cell r="AS696">
            <v>12834367</v>
          </cell>
          <cell r="AT696">
            <v>13138380</v>
          </cell>
          <cell r="AU696">
            <v>13488782</v>
          </cell>
          <cell r="AV696">
            <v>13908472</v>
          </cell>
          <cell r="AW696">
            <v>14584408</v>
          </cell>
          <cell r="AX696">
            <v>15600476</v>
          </cell>
          <cell r="AY696">
            <v>17846171</v>
          </cell>
          <cell r="AZ696">
            <v>20864959</v>
          </cell>
          <cell r="BA696">
            <v>21399325</v>
          </cell>
          <cell r="BB696">
            <v>21399325</v>
          </cell>
        </row>
        <row r="697">
          <cell r="A697" t="str">
            <v>PUBLIX</v>
          </cell>
          <cell r="B697">
            <v>2432492</v>
          </cell>
          <cell r="C697">
            <v>4832988</v>
          </cell>
          <cell r="D697">
            <v>7065904</v>
          </cell>
          <cell r="E697">
            <v>9275659</v>
          </cell>
          <cell r="F697">
            <v>11695506</v>
          </cell>
          <cell r="G697">
            <v>15396245</v>
          </cell>
          <cell r="H697">
            <v>18005296</v>
          </cell>
          <cell r="I697">
            <v>20481388</v>
          </cell>
          <cell r="J697">
            <v>23037332</v>
          </cell>
          <cell r="K697">
            <v>25677570</v>
          </cell>
          <cell r="L697">
            <v>28392177</v>
          </cell>
          <cell r="M697">
            <v>31117311</v>
          </cell>
          <cell r="N697">
            <v>33831437</v>
          </cell>
          <cell r="O697">
            <v>37520890</v>
          </cell>
          <cell r="P697">
            <v>40023003</v>
          </cell>
          <cell r="Q697">
            <v>43023841</v>
          </cell>
          <cell r="R697">
            <v>46291833</v>
          </cell>
          <cell r="S697">
            <v>51773824</v>
          </cell>
          <cell r="T697">
            <v>55727734</v>
          </cell>
          <cell r="U697">
            <v>59138454</v>
          </cell>
          <cell r="V697">
            <v>62822837</v>
          </cell>
          <cell r="W697">
            <v>66759369</v>
          </cell>
          <cell r="X697">
            <v>71523225</v>
          </cell>
          <cell r="Y697">
            <v>76621968</v>
          </cell>
          <cell r="Z697">
            <v>80054982</v>
          </cell>
          <cell r="AA697">
            <v>82643672</v>
          </cell>
          <cell r="AB697">
            <v>85121987</v>
          </cell>
          <cell r="AC697">
            <v>87592364</v>
          </cell>
          <cell r="AD697">
            <v>90155553</v>
          </cell>
          <cell r="AE697">
            <v>92715834</v>
          </cell>
          <cell r="AF697">
            <v>95328295</v>
          </cell>
          <cell r="AG697">
            <v>98048962</v>
          </cell>
          <cell r="AH697">
            <v>100770280</v>
          </cell>
          <cell r="AI697">
            <v>103217644</v>
          </cell>
          <cell r="AJ697">
            <v>105743953</v>
          </cell>
          <cell r="AK697">
            <v>108246083</v>
          </cell>
          <cell r="AL697">
            <v>110833347</v>
          </cell>
          <cell r="AM697">
            <v>113474702</v>
          </cell>
          <cell r="AN697">
            <v>116246238</v>
          </cell>
          <cell r="AO697">
            <v>119202927</v>
          </cell>
          <cell r="AP697">
            <v>122372667</v>
          </cell>
          <cell r="AQ697">
            <v>125940535</v>
          </cell>
          <cell r="AR697">
            <v>128855084</v>
          </cell>
          <cell r="AS697">
            <v>132226694</v>
          </cell>
          <cell r="AT697">
            <v>135063982</v>
          </cell>
          <cell r="AU697">
            <v>137967933</v>
          </cell>
          <cell r="AV697">
            <v>141058526</v>
          </cell>
          <cell r="AW697">
            <v>146444631</v>
          </cell>
          <cell r="AX697">
            <v>156182924</v>
          </cell>
          <cell r="AY697">
            <v>178508886</v>
          </cell>
          <cell r="AZ697">
            <v>204319523</v>
          </cell>
          <cell r="BA697">
            <v>207686917</v>
          </cell>
          <cell r="BB697">
            <v>207686917</v>
          </cell>
        </row>
        <row r="698">
          <cell r="A698" t="str">
            <v>QUICK CHECK</v>
          </cell>
          <cell r="B698">
            <v>151215</v>
          </cell>
          <cell r="C698">
            <v>277125</v>
          </cell>
          <cell r="D698">
            <v>395414</v>
          </cell>
          <cell r="E698">
            <v>503256</v>
          </cell>
          <cell r="F698">
            <v>613087</v>
          </cell>
          <cell r="G698">
            <v>723044</v>
          </cell>
          <cell r="H698">
            <v>838353</v>
          </cell>
          <cell r="I698">
            <v>944917</v>
          </cell>
          <cell r="J698">
            <v>1045419</v>
          </cell>
          <cell r="K698">
            <v>1146848</v>
          </cell>
          <cell r="L698">
            <v>1256145</v>
          </cell>
          <cell r="M698">
            <v>1377995</v>
          </cell>
          <cell r="N698">
            <v>1506800</v>
          </cell>
          <cell r="O698">
            <v>1616487</v>
          </cell>
          <cell r="P698">
            <v>1723267</v>
          </cell>
          <cell r="Q698">
            <v>1838964</v>
          </cell>
          <cell r="R698">
            <v>1970356</v>
          </cell>
          <cell r="S698">
            <v>2093424</v>
          </cell>
          <cell r="T698">
            <v>2237050</v>
          </cell>
          <cell r="U698">
            <v>2372678</v>
          </cell>
          <cell r="V698">
            <v>2485414</v>
          </cell>
          <cell r="W698">
            <v>2597175</v>
          </cell>
          <cell r="X698">
            <v>2710402</v>
          </cell>
          <cell r="Y698">
            <v>2867680</v>
          </cell>
          <cell r="Z698">
            <v>3054759</v>
          </cell>
          <cell r="AA698">
            <v>3179079</v>
          </cell>
          <cell r="AB698">
            <v>3305524</v>
          </cell>
          <cell r="AC698">
            <v>3426040</v>
          </cell>
          <cell r="AD698">
            <v>3538621</v>
          </cell>
          <cell r="AE698">
            <v>3647496</v>
          </cell>
          <cell r="AF698">
            <v>3773088</v>
          </cell>
          <cell r="AG698">
            <v>3879988</v>
          </cell>
          <cell r="AH698">
            <v>3988405</v>
          </cell>
          <cell r="AI698">
            <v>4088524</v>
          </cell>
          <cell r="AJ698">
            <v>4188596</v>
          </cell>
          <cell r="AK698">
            <v>4286123</v>
          </cell>
          <cell r="AL698">
            <v>4385003</v>
          </cell>
          <cell r="AM698">
            <v>4485991</v>
          </cell>
          <cell r="AN698">
            <v>4602083</v>
          </cell>
          <cell r="AO698">
            <v>4715650</v>
          </cell>
          <cell r="AP698">
            <v>4816805</v>
          </cell>
          <cell r="AQ698">
            <v>4917628</v>
          </cell>
          <cell r="AR698">
            <v>5017209</v>
          </cell>
          <cell r="AS698">
            <v>5122684</v>
          </cell>
          <cell r="AT698">
            <v>5221975</v>
          </cell>
          <cell r="AU698">
            <v>5365175</v>
          </cell>
          <cell r="AV698">
            <v>5464052</v>
          </cell>
          <cell r="AW698">
            <v>5572176</v>
          </cell>
          <cell r="AX698">
            <v>5697496</v>
          </cell>
          <cell r="AY698">
            <v>5867864</v>
          </cell>
          <cell r="AZ698">
            <v>6267014</v>
          </cell>
          <cell r="BA698">
            <v>7229320</v>
          </cell>
          <cell r="BB698">
            <v>7229320</v>
          </cell>
        </row>
        <row r="699">
          <cell r="A699" t="str">
            <v>ROUNDYS</v>
          </cell>
          <cell r="B699">
            <v>314149</v>
          </cell>
          <cell r="C699">
            <v>627727</v>
          </cell>
          <cell r="D699">
            <v>890883</v>
          </cell>
          <cell r="E699">
            <v>1127360</v>
          </cell>
          <cell r="F699">
            <v>1387640</v>
          </cell>
          <cell r="G699">
            <v>1753625</v>
          </cell>
          <cell r="H699">
            <v>2017628</v>
          </cell>
          <cell r="I699">
            <v>2255113</v>
          </cell>
          <cell r="J699">
            <v>2509902</v>
          </cell>
          <cell r="K699">
            <v>2763688</v>
          </cell>
          <cell r="L699">
            <v>3024502</v>
          </cell>
          <cell r="M699">
            <v>3267303</v>
          </cell>
          <cell r="N699">
            <v>3515169</v>
          </cell>
          <cell r="O699">
            <v>3930335</v>
          </cell>
          <cell r="P699">
            <v>4167907</v>
          </cell>
          <cell r="Q699">
            <v>4423068</v>
          </cell>
          <cell r="R699">
            <v>4702789</v>
          </cell>
          <cell r="S699">
            <v>5150483</v>
          </cell>
          <cell r="T699">
            <v>5490592</v>
          </cell>
          <cell r="U699">
            <v>5758749</v>
          </cell>
          <cell r="V699">
            <v>6054765</v>
          </cell>
          <cell r="W699">
            <v>6345899</v>
          </cell>
          <cell r="X699">
            <v>6740753</v>
          </cell>
          <cell r="Y699">
            <v>7310049</v>
          </cell>
          <cell r="Z699">
            <v>7688135</v>
          </cell>
          <cell r="AA699">
            <v>7963646</v>
          </cell>
          <cell r="AB699">
            <v>8233778</v>
          </cell>
          <cell r="AC699">
            <v>8509197</v>
          </cell>
          <cell r="AD699">
            <v>8797175</v>
          </cell>
          <cell r="AE699">
            <v>9057922</v>
          </cell>
          <cell r="AF699">
            <v>9325723</v>
          </cell>
          <cell r="AG699">
            <v>9580436</v>
          </cell>
          <cell r="AH699">
            <v>9845324</v>
          </cell>
          <cell r="AI699">
            <v>10112010</v>
          </cell>
          <cell r="AJ699">
            <v>10363058</v>
          </cell>
          <cell r="AK699">
            <v>10608342</v>
          </cell>
          <cell r="AL699">
            <v>10846765</v>
          </cell>
          <cell r="AM699">
            <v>11107542</v>
          </cell>
          <cell r="AN699">
            <v>11353906</v>
          </cell>
          <cell r="AO699">
            <v>11598404</v>
          </cell>
          <cell r="AP699">
            <v>11841594</v>
          </cell>
          <cell r="AQ699">
            <v>12120747</v>
          </cell>
          <cell r="AR699">
            <v>12369034</v>
          </cell>
          <cell r="AS699">
            <v>12629411</v>
          </cell>
          <cell r="AT699">
            <v>12885750</v>
          </cell>
          <cell r="AU699">
            <v>13165720</v>
          </cell>
          <cell r="AV699">
            <v>13483609</v>
          </cell>
          <cell r="AW699">
            <v>14185344</v>
          </cell>
          <cell r="AX699">
            <v>15203129</v>
          </cell>
          <cell r="AY699">
            <v>17411706</v>
          </cell>
          <cell r="AZ699">
            <v>20311687</v>
          </cell>
          <cell r="BA699">
            <v>20820692</v>
          </cell>
          <cell r="BB699">
            <v>20820692</v>
          </cell>
        </row>
        <row r="700">
          <cell r="A700" t="str">
            <v>SAFEWAY</v>
          </cell>
          <cell r="B700">
            <v>11125163</v>
          </cell>
          <cell r="C700">
            <v>22133342</v>
          </cell>
          <cell r="D700">
            <v>32587894</v>
          </cell>
          <cell r="E700">
            <v>43001025</v>
          </cell>
          <cell r="F700">
            <v>53774597</v>
          </cell>
          <cell r="G700">
            <v>69433300</v>
          </cell>
          <cell r="H700">
            <v>80649534</v>
          </cell>
          <cell r="I700">
            <v>91314775</v>
          </cell>
          <cell r="J700">
            <v>102491230</v>
          </cell>
          <cell r="K700">
            <v>114177235</v>
          </cell>
          <cell r="L700">
            <v>125974301</v>
          </cell>
          <cell r="M700">
            <v>137587802</v>
          </cell>
          <cell r="N700">
            <v>149557118</v>
          </cell>
          <cell r="O700">
            <v>165260412</v>
          </cell>
          <cell r="P700">
            <v>177657009</v>
          </cell>
          <cell r="Q700">
            <v>190381440</v>
          </cell>
          <cell r="R700">
            <v>203915733</v>
          </cell>
          <cell r="S700">
            <v>224922926</v>
          </cell>
          <cell r="T700">
            <v>241855599</v>
          </cell>
          <cell r="U700">
            <v>256240843</v>
          </cell>
          <cell r="V700">
            <v>272427126</v>
          </cell>
          <cell r="W700">
            <v>289120568</v>
          </cell>
          <cell r="X700">
            <v>309078551</v>
          </cell>
          <cell r="Y700">
            <v>333017583</v>
          </cell>
          <cell r="Z700">
            <v>350922871</v>
          </cell>
          <cell r="AA700">
            <v>365010898</v>
          </cell>
          <cell r="AB700">
            <v>378214255</v>
          </cell>
          <cell r="AC700">
            <v>391475122</v>
          </cell>
          <cell r="AD700">
            <v>405455478</v>
          </cell>
          <cell r="AE700">
            <v>419263298</v>
          </cell>
          <cell r="AF700">
            <v>433343985</v>
          </cell>
          <cell r="AG700">
            <v>447381741</v>
          </cell>
          <cell r="AH700">
            <v>461658867</v>
          </cell>
          <cell r="AI700">
            <v>476129100</v>
          </cell>
          <cell r="AJ700">
            <v>489457897</v>
          </cell>
          <cell r="AK700">
            <v>502618601</v>
          </cell>
          <cell r="AL700">
            <v>515793415</v>
          </cell>
          <cell r="AM700">
            <v>529030659</v>
          </cell>
          <cell r="AN700">
            <v>541983639</v>
          </cell>
          <cell r="AO700">
            <v>555307698</v>
          </cell>
          <cell r="AP700">
            <v>568597675</v>
          </cell>
          <cell r="AQ700">
            <v>582157658</v>
          </cell>
          <cell r="AR700">
            <v>595729762</v>
          </cell>
          <cell r="AS700">
            <v>609248714</v>
          </cell>
          <cell r="AT700">
            <v>623933703</v>
          </cell>
          <cell r="AU700">
            <v>639584642</v>
          </cell>
          <cell r="AV700">
            <v>656563370</v>
          </cell>
          <cell r="AW700">
            <v>684055088</v>
          </cell>
          <cell r="AX700">
            <v>732055789</v>
          </cell>
          <cell r="AY700">
            <v>837237908</v>
          </cell>
          <cell r="AZ700">
            <v>960164711</v>
          </cell>
          <cell r="BA700">
            <v>980357020</v>
          </cell>
          <cell r="BB700">
            <v>980357020</v>
          </cell>
        </row>
        <row r="701">
          <cell r="A701" t="str">
            <v>SAVE MART</v>
          </cell>
          <cell r="B701">
            <v>343281</v>
          </cell>
          <cell r="C701">
            <v>684122</v>
          </cell>
          <cell r="D701">
            <v>1007783</v>
          </cell>
          <cell r="E701">
            <v>1320314</v>
          </cell>
          <cell r="F701">
            <v>1622259</v>
          </cell>
          <cell r="G701">
            <v>2087544</v>
          </cell>
          <cell r="H701">
            <v>2407471</v>
          </cell>
          <cell r="I701">
            <v>2701494</v>
          </cell>
          <cell r="J701">
            <v>3009673</v>
          </cell>
          <cell r="K701">
            <v>3333544</v>
          </cell>
          <cell r="L701">
            <v>3671633</v>
          </cell>
          <cell r="M701">
            <v>4024109</v>
          </cell>
          <cell r="N701">
            <v>4361297</v>
          </cell>
          <cell r="O701">
            <v>4882417</v>
          </cell>
          <cell r="P701">
            <v>5242113</v>
          </cell>
          <cell r="Q701">
            <v>5606201</v>
          </cell>
          <cell r="R701">
            <v>6009572</v>
          </cell>
          <cell r="S701">
            <v>6659680</v>
          </cell>
          <cell r="T701">
            <v>7183855</v>
          </cell>
          <cell r="U701">
            <v>7585936</v>
          </cell>
          <cell r="V701">
            <v>8130333</v>
          </cell>
          <cell r="W701">
            <v>8711186</v>
          </cell>
          <cell r="X701">
            <v>9406002</v>
          </cell>
          <cell r="Y701">
            <v>10223051</v>
          </cell>
          <cell r="Z701">
            <v>10819828</v>
          </cell>
          <cell r="AA701">
            <v>11240267</v>
          </cell>
          <cell r="AB701">
            <v>11631885</v>
          </cell>
          <cell r="AC701">
            <v>12024633</v>
          </cell>
          <cell r="AD701">
            <v>12441535</v>
          </cell>
          <cell r="AE701">
            <v>12836821</v>
          </cell>
          <cell r="AF701">
            <v>13245255</v>
          </cell>
          <cell r="AG701">
            <v>13639715</v>
          </cell>
          <cell r="AH701">
            <v>14050619</v>
          </cell>
          <cell r="AI701">
            <v>14463331</v>
          </cell>
          <cell r="AJ701">
            <v>14862622</v>
          </cell>
          <cell r="AK701">
            <v>15282950</v>
          </cell>
          <cell r="AL701">
            <v>15692771</v>
          </cell>
          <cell r="AM701">
            <v>16116055</v>
          </cell>
          <cell r="AN701">
            <v>16522306</v>
          </cell>
          <cell r="AO701">
            <v>16955811</v>
          </cell>
          <cell r="AP701">
            <v>17358840</v>
          </cell>
          <cell r="AQ701">
            <v>17768523</v>
          </cell>
          <cell r="AR701">
            <v>18171599</v>
          </cell>
          <cell r="AS701">
            <v>18564393</v>
          </cell>
          <cell r="AT701">
            <v>18965946</v>
          </cell>
          <cell r="AU701">
            <v>19373342</v>
          </cell>
          <cell r="AV701">
            <v>19808296</v>
          </cell>
          <cell r="AW701">
            <v>20414994</v>
          </cell>
          <cell r="AX701">
            <v>21361152</v>
          </cell>
          <cell r="AY701">
            <v>23540573</v>
          </cell>
          <cell r="AZ701">
            <v>27006247</v>
          </cell>
          <cell r="BA701">
            <v>27453302</v>
          </cell>
          <cell r="BB701">
            <v>27453302</v>
          </cell>
        </row>
        <row r="702">
          <cell r="A702" t="str">
            <v>SOBEYS</v>
          </cell>
          <cell r="B702">
            <v>486628</v>
          </cell>
          <cell r="C702">
            <v>968248</v>
          </cell>
          <cell r="D702">
            <v>1420938</v>
          </cell>
          <cell r="E702">
            <v>1845543</v>
          </cell>
          <cell r="F702">
            <v>2220740</v>
          </cell>
          <cell r="G702">
            <v>2737868</v>
          </cell>
          <cell r="H702">
            <v>3144913</v>
          </cell>
          <cell r="I702">
            <v>3526357</v>
          </cell>
          <cell r="J702">
            <v>3874780</v>
          </cell>
          <cell r="K702">
            <v>4244199</v>
          </cell>
          <cell r="L702">
            <v>4653840</v>
          </cell>
          <cell r="M702">
            <v>5046073</v>
          </cell>
          <cell r="N702">
            <v>5404136</v>
          </cell>
          <cell r="O702">
            <v>6007155</v>
          </cell>
          <cell r="P702">
            <v>6351933</v>
          </cell>
          <cell r="Q702">
            <v>6735928</v>
          </cell>
          <cell r="R702">
            <v>7120046</v>
          </cell>
          <cell r="S702">
            <v>7705898</v>
          </cell>
          <cell r="T702">
            <v>8190847</v>
          </cell>
          <cell r="U702">
            <v>8630973</v>
          </cell>
          <cell r="V702">
            <v>9192690</v>
          </cell>
          <cell r="W702">
            <v>9655613</v>
          </cell>
          <cell r="X702">
            <v>10389471</v>
          </cell>
          <cell r="Y702">
            <v>11283924</v>
          </cell>
          <cell r="Z702">
            <v>12124181</v>
          </cell>
          <cell r="AA702">
            <v>13003048</v>
          </cell>
          <cell r="AB702">
            <v>13632976</v>
          </cell>
          <cell r="AC702">
            <v>14273903</v>
          </cell>
          <cell r="AD702">
            <v>14921175</v>
          </cell>
          <cell r="AE702">
            <v>15574688</v>
          </cell>
          <cell r="AF702">
            <v>16243667</v>
          </cell>
          <cell r="AG702">
            <v>16875216</v>
          </cell>
          <cell r="AH702">
            <v>17534898</v>
          </cell>
          <cell r="AI702">
            <v>18192037</v>
          </cell>
          <cell r="AJ702">
            <v>18853951</v>
          </cell>
          <cell r="AK702">
            <v>19442900</v>
          </cell>
          <cell r="AL702">
            <v>20042589</v>
          </cell>
          <cell r="AM702">
            <v>20649987</v>
          </cell>
          <cell r="AN702">
            <v>21284332</v>
          </cell>
          <cell r="AO702">
            <v>21907993</v>
          </cell>
          <cell r="AP702">
            <v>22512332</v>
          </cell>
          <cell r="AQ702">
            <v>23108781</v>
          </cell>
          <cell r="AR702">
            <v>23673449</v>
          </cell>
          <cell r="AS702">
            <v>24244299</v>
          </cell>
          <cell r="AT702">
            <v>24781441</v>
          </cell>
          <cell r="AU702">
            <v>25393719</v>
          </cell>
          <cell r="AV702">
            <v>26196194</v>
          </cell>
          <cell r="AW702">
            <v>27676782</v>
          </cell>
          <cell r="AX702">
            <v>29999772</v>
          </cell>
          <cell r="AY702">
            <v>34294124</v>
          </cell>
          <cell r="AZ702">
            <v>39535885</v>
          </cell>
          <cell r="BA702">
            <v>40588634</v>
          </cell>
          <cell r="BB702">
            <v>40588634</v>
          </cell>
        </row>
        <row r="703">
          <cell r="A703" t="str">
            <v>STAPLES</v>
          </cell>
          <cell r="B703">
            <v>1221048</v>
          </cell>
          <cell r="C703">
            <v>2354295</v>
          </cell>
          <cell r="D703">
            <v>3425499</v>
          </cell>
          <cell r="E703">
            <v>4432831</v>
          </cell>
          <cell r="F703">
            <v>5473788</v>
          </cell>
          <cell r="G703">
            <v>6708658</v>
          </cell>
          <cell r="H703">
            <v>7675497</v>
          </cell>
          <cell r="I703">
            <v>8797918</v>
          </cell>
          <cell r="J703">
            <v>9938368</v>
          </cell>
          <cell r="K703">
            <v>11122633</v>
          </cell>
          <cell r="L703">
            <v>12359765</v>
          </cell>
          <cell r="M703">
            <v>13600817</v>
          </cell>
          <cell r="N703">
            <v>14663596</v>
          </cell>
          <cell r="O703">
            <v>16280756</v>
          </cell>
          <cell r="P703">
            <v>17572684</v>
          </cell>
          <cell r="Q703">
            <v>18839274</v>
          </cell>
          <cell r="R703">
            <v>20149870</v>
          </cell>
          <cell r="S703">
            <v>21819542</v>
          </cell>
          <cell r="T703">
            <v>23066741</v>
          </cell>
          <cell r="U703">
            <v>24279086</v>
          </cell>
          <cell r="V703">
            <v>25591369</v>
          </cell>
          <cell r="W703">
            <v>26840967</v>
          </cell>
          <cell r="X703">
            <v>28265935</v>
          </cell>
          <cell r="Y703">
            <v>30201058</v>
          </cell>
          <cell r="Z703">
            <v>31633177</v>
          </cell>
          <cell r="AA703">
            <v>32711560</v>
          </cell>
          <cell r="AB703">
            <v>33704046</v>
          </cell>
          <cell r="AC703">
            <v>34581080</v>
          </cell>
          <cell r="AD703">
            <v>35624139</v>
          </cell>
          <cell r="AE703">
            <v>36840536</v>
          </cell>
          <cell r="AF703">
            <v>37972145</v>
          </cell>
          <cell r="AG703">
            <v>39200980</v>
          </cell>
          <cell r="AH703">
            <v>40261130</v>
          </cell>
          <cell r="AI703">
            <v>41368556</v>
          </cell>
          <cell r="AJ703">
            <v>42431994</v>
          </cell>
          <cell r="AK703">
            <v>43345992</v>
          </cell>
          <cell r="AL703">
            <v>44216774</v>
          </cell>
          <cell r="AM703">
            <v>45038961</v>
          </cell>
          <cell r="AN703">
            <v>45846247</v>
          </cell>
          <cell r="AO703">
            <v>46630093</v>
          </cell>
          <cell r="AP703">
            <v>47586067</v>
          </cell>
          <cell r="AQ703">
            <v>48738676</v>
          </cell>
          <cell r="AR703">
            <v>49808222</v>
          </cell>
          <cell r="AS703">
            <v>50831384</v>
          </cell>
          <cell r="AT703">
            <v>51872294</v>
          </cell>
          <cell r="AU703">
            <v>53232351</v>
          </cell>
          <cell r="AV703">
            <v>55073171</v>
          </cell>
          <cell r="AW703">
            <v>57421092</v>
          </cell>
          <cell r="AX703">
            <v>61265068</v>
          </cell>
          <cell r="AY703">
            <v>66837828</v>
          </cell>
          <cell r="AZ703">
            <v>78356204</v>
          </cell>
          <cell r="BA703">
            <v>80510812</v>
          </cell>
          <cell r="BB703">
            <v>80510812</v>
          </cell>
        </row>
        <row r="704">
          <cell r="A704" t="str">
            <v>STATER BROS</v>
          </cell>
          <cell r="B704">
            <v>479394</v>
          </cell>
          <cell r="C704">
            <v>948048</v>
          </cell>
          <cell r="D704">
            <v>1357188</v>
          </cell>
          <cell r="E704">
            <v>1770584</v>
          </cell>
          <cell r="F704">
            <v>2185039</v>
          </cell>
          <cell r="G704">
            <v>2775931</v>
          </cell>
          <cell r="H704">
            <v>3196512</v>
          </cell>
          <cell r="I704">
            <v>3605887</v>
          </cell>
          <cell r="J704">
            <v>4020324</v>
          </cell>
          <cell r="K704">
            <v>4452609</v>
          </cell>
          <cell r="L704">
            <v>4898476</v>
          </cell>
          <cell r="M704">
            <v>5349557</v>
          </cell>
          <cell r="N704">
            <v>5774954</v>
          </cell>
          <cell r="O704">
            <v>6338228</v>
          </cell>
          <cell r="P704">
            <v>6784074</v>
          </cell>
          <cell r="Q704">
            <v>7235743</v>
          </cell>
          <cell r="R704">
            <v>7720612</v>
          </cell>
          <cell r="S704">
            <v>8539746</v>
          </cell>
          <cell r="T704">
            <v>9213287</v>
          </cell>
          <cell r="U704">
            <v>9692172</v>
          </cell>
          <cell r="V704">
            <v>10202615</v>
          </cell>
          <cell r="W704">
            <v>10712804</v>
          </cell>
          <cell r="X704">
            <v>11393881</v>
          </cell>
          <cell r="Y704">
            <v>12350915</v>
          </cell>
          <cell r="Z704">
            <v>13047402</v>
          </cell>
          <cell r="AA704">
            <v>13527073</v>
          </cell>
          <cell r="AB704">
            <v>14013066</v>
          </cell>
          <cell r="AC704">
            <v>14483165</v>
          </cell>
          <cell r="AD704">
            <v>14990451</v>
          </cell>
          <cell r="AE704">
            <v>15497063</v>
          </cell>
          <cell r="AF704">
            <v>16006655</v>
          </cell>
          <cell r="AG704">
            <v>16535234</v>
          </cell>
          <cell r="AH704">
            <v>17032601</v>
          </cell>
          <cell r="AI704">
            <v>17517269</v>
          </cell>
          <cell r="AJ704">
            <v>17976982</v>
          </cell>
          <cell r="AK704">
            <v>18394267</v>
          </cell>
          <cell r="AL704">
            <v>18797932</v>
          </cell>
          <cell r="AM704">
            <v>19213775</v>
          </cell>
          <cell r="AN704">
            <v>19629388</v>
          </cell>
          <cell r="AO704">
            <v>20056496</v>
          </cell>
          <cell r="AP704">
            <v>20482770</v>
          </cell>
          <cell r="AQ704">
            <v>20913879</v>
          </cell>
          <cell r="AR704">
            <v>21314617</v>
          </cell>
          <cell r="AS704">
            <v>21715870</v>
          </cell>
          <cell r="AT704">
            <v>22117364</v>
          </cell>
          <cell r="AU704">
            <v>22531961</v>
          </cell>
          <cell r="AV704">
            <v>22983949</v>
          </cell>
          <cell r="AW704">
            <v>23667267</v>
          </cell>
          <cell r="AX704">
            <v>24822061</v>
          </cell>
          <cell r="AY704">
            <v>27312657</v>
          </cell>
          <cell r="AZ704">
            <v>31425331</v>
          </cell>
          <cell r="BA704">
            <v>31919136</v>
          </cell>
          <cell r="BB704">
            <v>31919136</v>
          </cell>
        </row>
        <row r="705">
          <cell r="A705" t="str">
            <v>SVU CORPORATE 30</v>
          </cell>
          <cell r="B705">
            <v>282383</v>
          </cell>
          <cell r="C705">
            <v>559205</v>
          </cell>
          <cell r="D705">
            <v>814089</v>
          </cell>
          <cell r="E705">
            <v>1062858</v>
          </cell>
          <cell r="F705">
            <v>1339233</v>
          </cell>
          <cell r="G705">
            <v>1721066</v>
          </cell>
          <cell r="H705">
            <v>2023305</v>
          </cell>
          <cell r="I705">
            <v>2307971</v>
          </cell>
          <cell r="J705">
            <v>2591886</v>
          </cell>
          <cell r="K705">
            <v>2901919</v>
          </cell>
          <cell r="L705">
            <v>3196308</v>
          </cell>
          <cell r="M705">
            <v>3484004</v>
          </cell>
          <cell r="N705">
            <v>3777302</v>
          </cell>
          <cell r="O705">
            <v>4163668</v>
          </cell>
          <cell r="P705">
            <v>4464916</v>
          </cell>
          <cell r="Q705">
            <v>4766826</v>
          </cell>
          <cell r="R705">
            <v>5105211</v>
          </cell>
          <cell r="S705">
            <v>5634783</v>
          </cell>
          <cell r="T705">
            <v>6066945</v>
          </cell>
          <cell r="U705">
            <v>6424553</v>
          </cell>
          <cell r="V705">
            <v>6828644</v>
          </cell>
          <cell r="W705">
            <v>7242856</v>
          </cell>
          <cell r="X705">
            <v>7730630</v>
          </cell>
          <cell r="Y705">
            <v>8314109</v>
          </cell>
          <cell r="Z705">
            <v>8752612</v>
          </cell>
          <cell r="AA705">
            <v>9091570</v>
          </cell>
          <cell r="AB705">
            <v>9415966</v>
          </cell>
          <cell r="AC705">
            <v>9739872</v>
          </cell>
          <cell r="AD705">
            <v>10072217</v>
          </cell>
          <cell r="AE705">
            <v>10417020</v>
          </cell>
          <cell r="AF705">
            <v>10763689</v>
          </cell>
          <cell r="AG705">
            <v>11102151</v>
          </cell>
          <cell r="AH705">
            <v>11460140</v>
          </cell>
          <cell r="AI705">
            <v>11788975</v>
          </cell>
          <cell r="AJ705">
            <v>12101411</v>
          </cell>
          <cell r="AK705">
            <v>12420601</v>
          </cell>
          <cell r="AL705">
            <v>12753854</v>
          </cell>
          <cell r="AM705">
            <v>13077660</v>
          </cell>
          <cell r="AN705">
            <v>13400194</v>
          </cell>
          <cell r="AO705">
            <v>13715030</v>
          </cell>
          <cell r="AP705">
            <v>14168014</v>
          </cell>
          <cell r="AQ705">
            <v>14505991</v>
          </cell>
          <cell r="AR705">
            <v>14853878</v>
          </cell>
          <cell r="AS705">
            <v>15203426</v>
          </cell>
          <cell r="AT705">
            <v>15588312</v>
          </cell>
          <cell r="AU705">
            <v>16014938</v>
          </cell>
          <cell r="AV705">
            <v>16486921</v>
          </cell>
          <cell r="AW705">
            <v>17191832</v>
          </cell>
          <cell r="AX705">
            <v>18799375</v>
          </cell>
          <cell r="AY705">
            <v>21558964</v>
          </cell>
          <cell r="AZ705">
            <v>25294680</v>
          </cell>
          <cell r="BA705">
            <v>25795293</v>
          </cell>
          <cell r="BB705">
            <v>25795293</v>
          </cell>
        </row>
        <row r="706">
          <cell r="A706" t="str">
            <v>SVU INDEPENDENT 10/25</v>
          </cell>
          <cell r="B706">
            <v>81455</v>
          </cell>
          <cell r="C706">
            <v>149777</v>
          </cell>
          <cell r="D706">
            <v>213909</v>
          </cell>
          <cell r="E706">
            <v>277937</v>
          </cell>
          <cell r="F706">
            <v>342680</v>
          </cell>
          <cell r="G706">
            <v>431963</v>
          </cell>
          <cell r="H706">
            <v>499704</v>
          </cell>
          <cell r="I706">
            <v>555436</v>
          </cell>
          <cell r="J706">
            <v>653841</v>
          </cell>
          <cell r="K706">
            <v>759744</v>
          </cell>
          <cell r="L706">
            <v>824302</v>
          </cell>
          <cell r="M706">
            <v>895367</v>
          </cell>
          <cell r="N706">
            <v>962727</v>
          </cell>
          <cell r="O706">
            <v>1053380</v>
          </cell>
          <cell r="P706">
            <v>1125968</v>
          </cell>
          <cell r="Q706">
            <v>1198493</v>
          </cell>
          <cell r="R706">
            <v>1278322</v>
          </cell>
          <cell r="S706">
            <v>1403564</v>
          </cell>
          <cell r="T706">
            <v>1490535</v>
          </cell>
          <cell r="U706">
            <v>1588986</v>
          </cell>
          <cell r="V706">
            <v>1688626</v>
          </cell>
          <cell r="W706">
            <v>1788618</v>
          </cell>
          <cell r="X706">
            <v>1899813</v>
          </cell>
          <cell r="Y706">
            <v>2069000</v>
          </cell>
          <cell r="Z706">
            <v>2189487</v>
          </cell>
          <cell r="AA706">
            <v>2277783</v>
          </cell>
          <cell r="AB706">
            <v>2363406</v>
          </cell>
          <cell r="AC706">
            <v>2445476</v>
          </cell>
          <cell r="AD706">
            <v>2528744</v>
          </cell>
          <cell r="AE706">
            <v>2614521</v>
          </cell>
          <cell r="AF706">
            <v>2703079</v>
          </cell>
          <cell r="AG706">
            <v>2791943</v>
          </cell>
          <cell r="AH706">
            <v>2881459</v>
          </cell>
          <cell r="AI706">
            <v>2968673</v>
          </cell>
          <cell r="AJ706">
            <v>3049493</v>
          </cell>
          <cell r="AK706">
            <v>3129212</v>
          </cell>
          <cell r="AL706">
            <v>3219540</v>
          </cell>
          <cell r="AM706">
            <v>3305215</v>
          </cell>
          <cell r="AN706">
            <v>3393270</v>
          </cell>
          <cell r="AO706">
            <v>3483160</v>
          </cell>
          <cell r="AP706">
            <v>3574389</v>
          </cell>
          <cell r="AQ706">
            <v>3688742</v>
          </cell>
          <cell r="AR706">
            <v>3791576</v>
          </cell>
          <cell r="AS706">
            <v>3892294</v>
          </cell>
          <cell r="AT706">
            <v>3996023</v>
          </cell>
          <cell r="AU706">
            <v>4123221</v>
          </cell>
          <cell r="AV706">
            <v>4259348</v>
          </cell>
          <cell r="AW706">
            <v>4441100</v>
          </cell>
          <cell r="AX706">
            <v>4739448</v>
          </cell>
          <cell r="AY706">
            <v>5235383</v>
          </cell>
          <cell r="AZ706">
            <v>6237114</v>
          </cell>
          <cell r="BA706">
            <v>6710215</v>
          </cell>
          <cell r="BB706">
            <v>6710215</v>
          </cell>
        </row>
        <row r="707">
          <cell r="A707" t="str">
            <v>SVU INDEPENDENT 5/25</v>
          </cell>
          <cell r="B707">
            <v>152258</v>
          </cell>
          <cell r="C707">
            <v>278936</v>
          </cell>
          <cell r="D707">
            <v>395932</v>
          </cell>
          <cell r="E707">
            <v>513569</v>
          </cell>
          <cell r="F707">
            <v>631041</v>
          </cell>
          <cell r="G707">
            <v>801545</v>
          </cell>
          <cell r="H707">
            <v>925713</v>
          </cell>
          <cell r="I707">
            <v>1032627</v>
          </cell>
          <cell r="J707">
            <v>1231424</v>
          </cell>
          <cell r="K707">
            <v>1429735</v>
          </cell>
          <cell r="L707">
            <v>1547944</v>
          </cell>
          <cell r="M707">
            <v>1676247</v>
          </cell>
          <cell r="N707">
            <v>1801831</v>
          </cell>
          <cell r="O707">
            <v>1974578</v>
          </cell>
          <cell r="P707">
            <v>2108561</v>
          </cell>
          <cell r="Q707">
            <v>2244426</v>
          </cell>
          <cell r="R707">
            <v>2396117</v>
          </cell>
          <cell r="S707">
            <v>2639442</v>
          </cell>
          <cell r="T707">
            <v>2805466</v>
          </cell>
          <cell r="U707">
            <v>2995373</v>
          </cell>
          <cell r="V707">
            <v>3183147</v>
          </cell>
          <cell r="W707">
            <v>3372592</v>
          </cell>
          <cell r="X707">
            <v>3584503</v>
          </cell>
          <cell r="Y707">
            <v>3917496</v>
          </cell>
          <cell r="Z707">
            <v>4152268</v>
          </cell>
          <cell r="AA707">
            <v>4326041</v>
          </cell>
          <cell r="AB707">
            <v>4492913</v>
          </cell>
          <cell r="AC707">
            <v>4654315</v>
          </cell>
          <cell r="AD707">
            <v>4818291</v>
          </cell>
          <cell r="AE707">
            <v>4986411</v>
          </cell>
          <cell r="AF707">
            <v>5158582</v>
          </cell>
          <cell r="AG707">
            <v>5332499</v>
          </cell>
          <cell r="AH707">
            <v>5501484</v>
          </cell>
          <cell r="AI707">
            <v>5672763</v>
          </cell>
          <cell r="AJ707">
            <v>5831245</v>
          </cell>
          <cell r="AK707">
            <v>5988708</v>
          </cell>
          <cell r="AL707">
            <v>6179892</v>
          </cell>
          <cell r="AM707">
            <v>6358461</v>
          </cell>
          <cell r="AN707">
            <v>6544929</v>
          </cell>
          <cell r="AO707">
            <v>6736460</v>
          </cell>
          <cell r="AP707">
            <v>6951907</v>
          </cell>
          <cell r="AQ707">
            <v>7256770</v>
          </cell>
          <cell r="AR707">
            <v>7511659</v>
          </cell>
          <cell r="AS707">
            <v>7764760</v>
          </cell>
          <cell r="AT707">
            <v>8007738</v>
          </cell>
          <cell r="AU707">
            <v>8305356</v>
          </cell>
          <cell r="AV707">
            <v>8620240</v>
          </cell>
          <cell r="AW707">
            <v>9036351</v>
          </cell>
          <cell r="AX707">
            <v>9667295</v>
          </cell>
          <cell r="AY707">
            <v>10663269</v>
          </cell>
          <cell r="AZ707">
            <v>12650267</v>
          </cell>
          <cell r="BA707">
            <v>13469335</v>
          </cell>
          <cell r="BB707">
            <v>13469335</v>
          </cell>
        </row>
        <row r="708">
          <cell r="A708" t="str">
            <v>TOYS R US</v>
          </cell>
          <cell r="B708">
            <v>122447</v>
          </cell>
          <cell r="C708">
            <v>221461</v>
          </cell>
          <cell r="D708">
            <v>307349</v>
          </cell>
          <cell r="E708">
            <v>397251</v>
          </cell>
          <cell r="F708">
            <v>491111</v>
          </cell>
          <cell r="G708">
            <v>668216</v>
          </cell>
          <cell r="H708">
            <v>773248</v>
          </cell>
          <cell r="I708">
            <v>866003</v>
          </cell>
          <cell r="J708">
            <v>951342</v>
          </cell>
          <cell r="K708">
            <v>1044016</v>
          </cell>
          <cell r="L708">
            <v>1148756</v>
          </cell>
          <cell r="M708">
            <v>1241552</v>
          </cell>
          <cell r="N708">
            <v>1336283</v>
          </cell>
          <cell r="O708">
            <v>1533869</v>
          </cell>
          <cell r="P708">
            <v>1622566</v>
          </cell>
          <cell r="Q708">
            <v>1717592</v>
          </cell>
          <cell r="R708">
            <v>1814086</v>
          </cell>
          <cell r="S708">
            <v>2038465</v>
          </cell>
          <cell r="T708">
            <v>2148909</v>
          </cell>
          <cell r="U708">
            <v>2295387</v>
          </cell>
          <cell r="V708">
            <v>2419829</v>
          </cell>
          <cell r="W708">
            <v>2542934</v>
          </cell>
          <cell r="X708">
            <v>2695131</v>
          </cell>
          <cell r="Y708">
            <v>2998020</v>
          </cell>
          <cell r="Z708">
            <v>3179521</v>
          </cell>
          <cell r="AA708">
            <v>3292432</v>
          </cell>
          <cell r="AB708">
            <v>3398489</v>
          </cell>
          <cell r="AC708">
            <v>3501660</v>
          </cell>
          <cell r="AD708">
            <v>3609056</v>
          </cell>
          <cell r="AE708">
            <v>3713919</v>
          </cell>
          <cell r="AF708">
            <v>3817870</v>
          </cell>
          <cell r="AG708">
            <v>3928185</v>
          </cell>
          <cell r="AH708">
            <v>4032041</v>
          </cell>
          <cell r="AI708">
            <v>4132285</v>
          </cell>
          <cell r="AJ708">
            <v>4231375</v>
          </cell>
          <cell r="AK708">
            <v>4328345</v>
          </cell>
          <cell r="AL708">
            <v>4425058</v>
          </cell>
          <cell r="AM708">
            <v>4521840</v>
          </cell>
          <cell r="AN708">
            <v>4614531</v>
          </cell>
          <cell r="AO708">
            <v>4714892</v>
          </cell>
          <cell r="AP708">
            <v>4809474</v>
          </cell>
          <cell r="AQ708">
            <v>4915706</v>
          </cell>
          <cell r="AR708">
            <v>5019328</v>
          </cell>
          <cell r="AS708">
            <v>5134398</v>
          </cell>
          <cell r="AT708">
            <v>5255156</v>
          </cell>
          <cell r="AU708">
            <v>5437332</v>
          </cell>
          <cell r="AV708">
            <v>5760093</v>
          </cell>
          <cell r="AW708">
            <v>6167430</v>
          </cell>
          <cell r="AX708">
            <v>6868892</v>
          </cell>
          <cell r="AY708">
            <v>7884296</v>
          </cell>
          <cell r="AZ708">
            <v>9941211</v>
          </cell>
          <cell r="BA708">
            <v>10258474</v>
          </cell>
          <cell r="BB708">
            <v>10258474</v>
          </cell>
        </row>
        <row r="709">
          <cell r="A709" t="str">
            <v>UG MERCHANTS</v>
          </cell>
          <cell r="B709">
            <v>188595</v>
          </cell>
          <cell r="C709">
            <v>347867</v>
          </cell>
          <cell r="D709">
            <v>497283</v>
          </cell>
          <cell r="E709">
            <v>644734</v>
          </cell>
          <cell r="F709">
            <v>793923</v>
          </cell>
          <cell r="G709">
            <v>993239</v>
          </cell>
          <cell r="H709">
            <v>1146523</v>
          </cell>
          <cell r="I709">
            <v>1267119</v>
          </cell>
          <cell r="J709">
            <v>1471535</v>
          </cell>
          <cell r="K709">
            <v>1715055</v>
          </cell>
          <cell r="L709">
            <v>1863206</v>
          </cell>
          <cell r="M709">
            <v>2027975</v>
          </cell>
          <cell r="N709">
            <v>2182596</v>
          </cell>
          <cell r="O709">
            <v>2387665</v>
          </cell>
          <cell r="P709">
            <v>2555909</v>
          </cell>
          <cell r="Q709">
            <v>2720255</v>
          </cell>
          <cell r="R709">
            <v>2901435</v>
          </cell>
          <cell r="S709">
            <v>3180497</v>
          </cell>
          <cell r="T709">
            <v>3376260</v>
          </cell>
          <cell r="U709">
            <v>3597688</v>
          </cell>
          <cell r="V709">
            <v>3825525</v>
          </cell>
          <cell r="W709">
            <v>4054478</v>
          </cell>
          <cell r="X709">
            <v>4310718</v>
          </cell>
          <cell r="Y709">
            <v>4693591</v>
          </cell>
          <cell r="Z709">
            <v>4964657</v>
          </cell>
          <cell r="AA709">
            <v>5165138</v>
          </cell>
          <cell r="AB709">
            <v>5360433</v>
          </cell>
          <cell r="AC709">
            <v>5547858</v>
          </cell>
          <cell r="AD709">
            <v>5734796</v>
          </cell>
          <cell r="AE709">
            <v>5929968</v>
          </cell>
          <cell r="AF709">
            <v>6133528</v>
          </cell>
          <cell r="AG709">
            <v>6336977</v>
          </cell>
          <cell r="AH709">
            <v>6550456</v>
          </cell>
          <cell r="AI709">
            <v>6747534</v>
          </cell>
          <cell r="AJ709">
            <v>6929539</v>
          </cell>
          <cell r="AK709">
            <v>7108614</v>
          </cell>
          <cell r="AL709">
            <v>7303148</v>
          </cell>
          <cell r="AM709">
            <v>7490043</v>
          </cell>
          <cell r="AN709">
            <v>7682794</v>
          </cell>
          <cell r="AO709">
            <v>7881609</v>
          </cell>
          <cell r="AP709">
            <v>8080563</v>
          </cell>
          <cell r="AQ709">
            <v>8314028</v>
          </cell>
          <cell r="AR709">
            <v>8528869</v>
          </cell>
          <cell r="AS709">
            <v>8735343</v>
          </cell>
          <cell r="AT709">
            <v>8940624</v>
          </cell>
          <cell r="AU709">
            <v>9179609</v>
          </cell>
          <cell r="AV709">
            <v>9431141</v>
          </cell>
          <cell r="AW709">
            <v>9782033</v>
          </cell>
          <cell r="AX709">
            <v>10372457</v>
          </cell>
          <cell r="AY709">
            <v>11317546</v>
          </cell>
          <cell r="AZ709">
            <v>13190218</v>
          </cell>
          <cell r="BA709">
            <v>13744904</v>
          </cell>
          <cell r="BB709">
            <v>13744904</v>
          </cell>
        </row>
        <row r="710">
          <cell r="A710" t="str">
            <v>WAKEFERN</v>
          </cell>
          <cell r="B710">
            <v>590791</v>
          </cell>
          <cell r="C710">
            <v>1164828</v>
          </cell>
          <cell r="D710">
            <v>1687767</v>
          </cell>
          <cell r="E710">
            <v>2187032</v>
          </cell>
          <cell r="F710">
            <v>2654855</v>
          </cell>
          <cell r="G710">
            <v>3239215</v>
          </cell>
          <cell r="H710">
            <v>3704761</v>
          </cell>
          <cell r="I710">
            <v>4157282</v>
          </cell>
          <cell r="J710">
            <v>4597998</v>
          </cell>
          <cell r="K710">
            <v>5093006</v>
          </cell>
          <cell r="L710">
            <v>5596103</v>
          </cell>
          <cell r="M710">
            <v>6058502</v>
          </cell>
          <cell r="N710">
            <v>6527403</v>
          </cell>
          <cell r="O710">
            <v>7275846</v>
          </cell>
          <cell r="P710">
            <v>7709679</v>
          </cell>
          <cell r="Q710">
            <v>8208576</v>
          </cell>
          <cell r="R710">
            <v>8687758</v>
          </cell>
          <cell r="S710">
            <v>9548464</v>
          </cell>
          <cell r="T710">
            <v>10225713</v>
          </cell>
          <cell r="U710">
            <v>10738764</v>
          </cell>
          <cell r="V710">
            <v>11254290</v>
          </cell>
          <cell r="W710">
            <v>11802497</v>
          </cell>
          <cell r="X710">
            <v>12572979</v>
          </cell>
          <cell r="Y710">
            <v>13731639</v>
          </cell>
          <cell r="Z710">
            <v>14670921</v>
          </cell>
          <cell r="AA710">
            <v>15725122</v>
          </cell>
          <cell r="AB710">
            <v>16240677</v>
          </cell>
          <cell r="AC710">
            <v>16994291</v>
          </cell>
          <cell r="AD710">
            <v>17521655</v>
          </cell>
          <cell r="AE710">
            <v>18023405</v>
          </cell>
          <cell r="AF710">
            <v>18519971</v>
          </cell>
          <cell r="AG710">
            <v>19022012</v>
          </cell>
          <cell r="AH710">
            <v>19543460</v>
          </cell>
          <cell r="AI710">
            <v>20055890</v>
          </cell>
          <cell r="AJ710">
            <v>20520694</v>
          </cell>
          <cell r="AK710">
            <v>20979621</v>
          </cell>
          <cell r="AL710">
            <v>21468062</v>
          </cell>
          <cell r="AM710">
            <v>21987060</v>
          </cell>
          <cell r="AN710">
            <v>22497235</v>
          </cell>
          <cell r="AO710">
            <v>23162530</v>
          </cell>
          <cell r="AP710">
            <v>23780119</v>
          </cell>
          <cell r="AQ710">
            <v>24333581</v>
          </cell>
          <cell r="AR710">
            <v>24879623</v>
          </cell>
          <cell r="AS710">
            <v>25443249</v>
          </cell>
          <cell r="AT710">
            <v>26305903</v>
          </cell>
          <cell r="AU710">
            <v>27058552</v>
          </cell>
          <cell r="AV710">
            <v>27799552</v>
          </cell>
          <cell r="AW710">
            <v>28991833</v>
          </cell>
          <cell r="AX710">
            <v>30856754</v>
          </cell>
          <cell r="AY710">
            <v>34951976</v>
          </cell>
          <cell r="AZ710">
            <v>41134371</v>
          </cell>
          <cell r="BA710">
            <v>41953870</v>
          </cell>
          <cell r="BB710">
            <v>41953870</v>
          </cell>
        </row>
        <row r="711">
          <cell r="A711" t="str">
            <v>WAWA</v>
          </cell>
          <cell r="B711">
            <v>1012538</v>
          </cell>
          <cell r="C711">
            <v>1945276</v>
          </cell>
          <cell r="D711">
            <v>2785676</v>
          </cell>
          <cell r="E711">
            <v>3589597</v>
          </cell>
          <cell r="F711">
            <v>4438426</v>
          </cell>
          <cell r="G711">
            <v>5394182</v>
          </cell>
          <cell r="H711">
            <v>6200520</v>
          </cell>
          <cell r="I711">
            <v>6994140</v>
          </cell>
          <cell r="J711">
            <v>7804131</v>
          </cell>
          <cell r="K711">
            <v>8622804</v>
          </cell>
          <cell r="L711">
            <v>9432078</v>
          </cell>
          <cell r="M711">
            <v>10283150</v>
          </cell>
          <cell r="N711">
            <v>11095605</v>
          </cell>
          <cell r="O711">
            <v>12019089</v>
          </cell>
          <cell r="P711">
            <v>12830353</v>
          </cell>
          <cell r="Q711">
            <v>13695379</v>
          </cell>
          <cell r="R711">
            <v>14567089</v>
          </cell>
          <cell r="S711">
            <v>15679949</v>
          </cell>
          <cell r="T711">
            <v>16716470</v>
          </cell>
          <cell r="U711">
            <v>17606347</v>
          </cell>
          <cell r="V711">
            <v>18497329</v>
          </cell>
          <cell r="W711">
            <v>19427334</v>
          </cell>
          <cell r="X711">
            <v>20590507</v>
          </cell>
          <cell r="Y711">
            <v>21935544</v>
          </cell>
          <cell r="Z711">
            <v>23115354</v>
          </cell>
          <cell r="AA711">
            <v>23990903</v>
          </cell>
          <cell r="AB711">
            <v>24851031</v>
          </cell>
          <cell r="AC711">
            <v>25708166</v>
          </cell>
          <cell r="AD711">
            <v>26534259</v>
          </cell>
          <cell r="AE711">
            <v>27350211</v>
          </cell>
          <cell r="AF711">
            <v>28184723</v>
          </cell>
          <cell r="AG711">
            <v>29017053</v>
          </cell>
          <cell r="AH711">
            <v>29834532</v>
          </cell>
          <cell r="AI711">
            <v>30672145</v>
          </cell>
          <cell r="AJ711">
            <v>31482534</v>
          </cell>
          <cell r="AK711">
            <v>32262745</v>
          </cell>
          <cell r="AL711">
            <v>33038488</v>
          </cell>
          <cell r="AM711">
            <v>33809674</v>
          </cell>
          <cell r="AN711">
            <v>34585980</v>
          </cell>
          <cell r="AO711">
            <v>35399732</v>
          </cell>
          <cell r="AP711">
            <v>36195584</v>
          </cell>
          <cell r="AQ711">
            <v>37021921</v>
          </cell>
          <cell r="AR711">
            <v>37821908</v>
          </cell>
          <cell r="AS711">
            <v>38573663</v>
          </cell>
          <cell r="AT711">
            <v>39358417</v>
          </cell>
          <cell r="AU711">
            <v>40128705</v>
          </cell>
          <cell r="AV711">
            <v>40933381</v>
          </cell>
          <cell r="AW711">
            <v>41977905</v>
          </cell>
          <cell r="AX711">
            <v>43490804</v>
          </cell>
          <cell r="AY711">
            <v>47273705</v>
          </cell>
          <cell r="AZ711">
            <v>56486144</v>
          </cell>
          <cell r="BA711">
            <v>57535032</v>
          </cell>
          <cell r="BB711">
            <v>57535032</v>
          </cell>
        </row>
        <row r="712">
          <cell r="A712" t="str">
            <v>WEGMANS</v>
          </cell>
          <cell r="B712">
            <v>448402</v>
          </cell>
          <cell r="C712">
            <v>874845</v>
          </cell>
          <cell r="D712">
            <v>1274672</v>
          </cell>
          <cell r="E712">
            <v>1678885</v>
          </cell>
          <cell r="F712">
            <v>2130384</v>
          </cell>
          <cell r="G712">
            <v>2700510</v>
          </cell>
          <cell r="H712">
            <v>3154318</v>
          </cell>
          <cell r="I712">
            <v>3575055</v>
          </cell>
          <cell r="J712">
            <v>3979438</v>
          </cell>
          <cell r="K712">
            <v>4408067</v>
          </cell>
          <cell r="L712">
            <v>4821909</v>
          </cell>
          <cell r="M712">
            <v>5227804</v>
          </cell>
          <cell r="N712">
            <v>5604325</v>
          </cell>
          <cell r="O712">
            <v>6256277</v>
          </cell>
          <cell r="P712">
            <v>6626838</v>
          </cell>
          <cell r="Q712">
            <v>7041975</v>
          </cell>
          <cell r="R712">
            <v>7486517</v>
          </cell>
          <cell r="S712">
            <v>8187004</v>
          </cell>
          <cell r="T712">
            <v>8718508</v>
          </cell>
          <cell r="U712">
            <v>9147053</v>
          </cell>
          <cell r="V712">
            <v>9599192</v>
          </cell>
          <cell r="W712">
            <v>10063754</v>
          </cell>
          <cell r="X712">
            <v>10659029</v>
          </cell>
          <cell r="Y712">
            <v>11563398</v>
          </cell>
          <cell r="Z712">
            <v>12258729</v>
          </cell>
          <cell r="AA712">
            <v>12828277</v>
          </cell>
          <cell r="AB712">
            <v>13244953</v>
          </cell>
          <cell r="AC712">
            <v>13690741</v>
          </cell>
          <cell r="AD712">
            <v>14134774</v>
          </cell>
          <cell r="AE712">
            <v>14568988</v>
          </cell>
          <cell r="AF712">
            <v>15015806</v>
          </cell>
          <cell r="AG712">
            <v>15497924</v>
          </cell>
          <cell r="AH712">
            <v>15957282</v>
          </cell>
          <cell r="AI712">
            <v>16399522</v>
          </cell>
          <cell r="AJ712">
            <v>16818745</v>
          </cell>
          <cell r="AK712">
            <v>17235410</v>
          </cell>
          <cell r="AL712">
            <v>17643869</v>
          </cell>
          <cell r="AM712">
            <v>18051119</v>
          </cell>
          <cell r="AN712">
            <v>18463272</v>
          </cell>
          <cell r="AO712">
            <v>18882681</v>
          </cell>
          <cell r="AP712">
            <v>19295258</v>
          </cell>
          <cell r="AQ712">
            <v>19710507</v>
          </cell>
          <cell r="AR712">
            <v>20126023</v>
          </cell>
          <cell r="AS712">
            <v>20544890</v>
          </cell>
          <cell r="AT712">
            <v>21043251</v>
          </cell>
          <cell r="AU712">
            <v>21640566</v>
          </cell>
          <cell r="AV712">
            <v>22301641</v>
          </cell>
          <cell r="AW712">
            <v>23459895</v>
          </cell>
          <cell r="AX712">
            <v>25531913</v>
          </cell>
          <cell r="AY712">
            <v>30206903</v>
          </cell>
          <cell r="AZ712">
            <v>36177666</v>
          </cell>
          <cell r="BA712">
            <v>36987749</v>
          </cell>
          <cell r="BB712">
            <v>36987749</v>
          </cell>
        </row>
        <row r="713">
          <cell r="A713" t="str">
            <v>WEIS MARKET</v>
          </cell>
          <cell r="B713">
            <v>182683</v>
          </cell>
          <cell r="C713">
            <v>340387</v>
          </cell>
          <cell r="D713">
            <v>489127</v>
          </cell>
          <cell r="E713">
            <v>632730</v>
          </cell>
          <cell r="F713">
            <v>786062</v>
          </cell>
          <cell r="G713">
            <v>958296</v>
          </cell>
          <cell r="H713">
            <v>1153827</v>
          </cell>
          <cell r="I713">
            <v>1301697</v>
          </cell>
          <cell r="J713">
            <v>1455419</v>
          </cell>
          <cell r="K713">
            <v>1618489</v>
          </cell>
          <cell r="L713">
            <v>1783936</v>
          </cell>
          <cell r="M713">
            <v>2009048</v>
          </cell>
          <cell r="N713">
            <v>2167729</v>
          </cell>
          <cell r="O713">
            <v>2335978</v>
          </cell>
          <cell r="P713">
            <v>2492774</v>
          </cell>
          <cell r="Q713">
            <v>2652679</v>
          </cell>
          <cell r="R713">
            <v>2830306</v>
          </cell>
          <cell r="S713">
            <v>3040336</v>
          </cell>
          <cell r="T713">
            <v>3283441</v>
          </cell>
          <cell r="U713">
            <v>3509265</v>
          </cell>
          <cell r="V713">
            <v>3713772</v>
          </cell>
          <cell r="W713">
            <v>3927658</v>
          </cell>
          <cell r="X713">
            <v>4193435</v>
          </cell>
          <cell r="Y713">
            <v>4568632</v>
          </cell>
          <cell r="Z713">
            <v>4837132</v>
          </cell>
          <cell r="AA713">
            <v>5030133</v>
          </cell>
          <cell r="AB713">
            <v>5218032</v>
          </cell>
          <cell r="AC713">
            <v>5401738</v>
          </cell>
          <cell r="AD713">
            <v>5585818</v>
          </cell>
          <cell r="AE713">
            <v>5766470</v>
          </cell>
          <cell r="AF713">
            <v>5955777</v>
          </cell>
          <cell r="AG713">
            <v>6137594</v>
          </cell>
          <cell r="AH713">
            <v>6323794</v>
          </cell>
          <cell r="AI713">
            <v>6515428</v>
          </cell>
          <cell r="AJ713">
            <v>6697730</v>
          </cell>
          <cell r="AK713">
            <v>6878198</v>
          </cell>
          <cell r="AL713">
            <v>7060644</v>
          </cell>
          <cell r="AM713">
            <v>7245019</v>
          </cell>
          <cell r="AN713">
            <v>7417974</v>
          </cell>
          <cell r="AO713">
            <v>7597763</v>
          </cell>
          <cell r="AP713">
            <v>7771898</v>
          </cell>
          <cell r="AQ713">
            <v>7941281</v>
          </cell>
          <cell r="AR713">
            <v>8113875</v>
          </cell>
          <cell r="AS713">
            <v>8284729</v>
          </cell>
          <cell r="AT713">
            <v>8480134</v>
          </cell>
          <cell r="AU713">
            <v>8680433</v>
          </cell>
          <cell r="AV713">
            <v>8911884</v>
          </cell>
          <cell r="AW713">
            <v>9225553</v>
          </cell>
          <cell r="AX713">
            <v>9714251</v>
          </cell>
          <cell r="AY713">
            <v>10641002</v>
          </cell>
          <cell r="AZ713">
            <v>12179751</v>
          </cell>
          <cell r="BA713">
            <v>13363728</v>
          </cell>
          <cell r="BB713">
            <v>13363728</v>
          </cell>
        </row>
        <row r="714">
          <cell r="A714" t="str">
            <v>UNITED</v>
          </cell>
          <cell r="B714">
            <v>96143</v>
          </cell>
          <cell r="C714">
            <v>183527</v>
          </cell>
          <cell r="D714">
            <v>264565</v>
          </cell>
          <cell r="E714">
            <v>345888</v>
          </cell>
          <cell r="F714">
            <v>433409</v>
          </cell>
          <cell r="G714">
            <v>524967</v>
          </cell>
          <cell r="H714">
            <v>635932</v>
          </cell>
          <cell r="I714">
            <v>716626</v>
          </cell>
          <cell r="J714">
            <v>798520</v>
          </cell>
          <cell r="K714">
            <v>881887</v>
          </cell>
          <cell r="L714">
            <v>970405</v>
          </cell>
          <cell r="M714">
            <v>1067144</v>
          </cell>
          <cell r="N714">
            <v>1139626</v>
          </cell>
          <cell r="O714">
            <v>1233799</v>
          </cell>
          <cell r="P714">
            <v>1310894</v>
          </cell>
          <cell r="Q714">
            <v>1392190</v>
          </cell>
          <cell r="R714">
            <v>1482694</v>
          </cell>
          <cell r="S714">
            <v>1571241</v>
          </cell>
          <cell r="T714">
            <v>1714177</v>
          </cell>
          <cell r="U714">
            <v>1819603</v>
          </cell>
          <cell r="V714">
            <v>1931781</v>
          </cell>
          <cell r="W714">
            <v>2081696</v>
          </cell>
          <cell r="X714">
            <v>2202415</v>
          </cell>
          <cell r="Y714">
            <v>2334341</v>
          </cell>
          <cell r="Z714">
            <v>2439933</v>
          </cell>
          <cell r="AA714">
            <v>2519182</v>
          </cell>
          <cell r="AB714">
            <v>2598784</v>
          </cell>
          <cell r="AC714">
            <v>2679218</v>
          </cell>
          <cell r="AD714">
            <v>2764400</v>
          </cell>
          <cell r="AE714">
            <v>2856338</v>
          </cell>
          <cell r="AF714">
            <v>2936290</v>
          </cell>
          <cell r="AG714">
            <v>3016213</v>
          </cell>
          <cell r="AH714">
            <v>3099829</v>
          </cell>
          <cell r="AI714">
            <v>3184763</v>
          </cell>
          <cell r="AJ714">
            <v>3260738</v>
          </cell>
          <cell r="AK714">
            <v>3342168</v>
          </cell>
          <cell r="AL714">
            <v>3420052</v>
          </cell>
          <cell r="AM714">
            <v>3499932</v>
          </cell>
          <cell r="AN714">
            <v>3579488</v>
          </cell>
          <cell r="AO714">
            <v>3663510</v>
          </cell>
          <cell r="AP714">
            <v>3746942</v>
          </cell>
          <cell r="AQ714">
            <v>3838005</v>
          </cell>
          <cell r="AR714">
            <v>3916058</v>
          </cell>
          <cell r="AS714">
            <v>3996792</v>
          </cell>
          <cell r="AT714">
            <v>4081028</v>
          </cell>
          <cell r="AU714">
            <v>4161102</v>
          </cell>
          <cell r="AV714">
            <v>4243700</v>
          </cell>
          <cell r="AW714">
            <v>4323921</v>
          </cell>
          <cell r="AX714">
            <v>4466319</v>
          </cell>
          <cell r="AY714">
            <v>4724325</v>
          </cell>
          <cell r="AZ714">
            <v>5301463</v>
          </cell>
          <cell r="BA714">
            <v>5878185</v>
          </cell>
          <cell r="BB714">
            <v>5878185</v>
          </cell>
        </row>
      </sheetData>
      <sheetData sheetId="9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131612.35</v>
          </cell>
          <cell r="C3">
            <v>119488.03</v>
          </cell>
          <cell r="D3">
            <v>120807.64</v>
          </cell>
          <cell r="E3">
            <v>130483.52</v>
          </cell>
          <cell r="F3">
            <v>146739.96</v>
          </cell>
          <cell r="G3">
            <v>284131.77</v>
          </cell>
          <cell r="H3">
            <v>141441.84</v>
          </cell>
          <cell r="I3">
            <v>156285.98000000001</v>
          </cell>
          <cell r="J3">
            <v>153352.67000000001</v>
          </cell>
          <cell r="K3">
            <v>150730.95000000001</v>
          </cell>
          <cell r="L3">
            <v>147716.10999999999</v>
          </cell>
          <cell r="M3">
            <v>145594.39000000001</v>
          </cell>
          <cell r="N3">
            <v>168170.41</v>
          </cell>
          <cell r="O3">
            <v>307459.23</v>
          </cell>
          <cell r="P3">
            <v>171617.85</v>
          </cell>
          <cell r="Q3">
            <v>196082.17</v>
          </cell>
          <cell r="R3">
            <v>180826.01</v>
          </cell>
          <cell r="S3">
            <v>380673.48</v>
          </cell>
          <cell r="T3">
            <v>298489.15000000002</v>
          </cell>
          <cell r="U3">
            <v>261948.05</v>
          </cell>
          <cell r="V3">
            <v>270727.51</v>
          </cell>
          <cell r="W3">
            <v>309275.77</v>
          </cell>
          <cell r="X3">
            <v>310644.40000000002</v>
          </cell>
          <cell r="Y3">
            <v>556178.51</v>
          </cell>
        </row>
        <row r="4">
          <cell r="A4" t="str">
            <v>ptd</v>
          </cell>
          <cell r="B4">
            <v>131612.35</v>
          </cell>
          <cell r="C4">
            <v>251100.38</v>
          </cell>
          <cell r="D4">
            <v>371908.02</v>
          </cell>
          <cell r="E4">
            <v>502391.54000000004</v>
          </cell>
          <cell r="F4">
            <v>146739.96</v>
          </cell>
          <cell r="G4">
            <v>430871.73</v>
          </cell>
          <cell r="H4">
            <v>572313.56999999995</v>
          </cell>
          <cell r="I4">
            <v>728599.54999999993</v>
          </cell>
          <cell r="J4">
            <v>153352.67000000001</v>
          </cell>
          <cell r="K4">
            <v>304083.62</v>
          </cell>
          <cell r="L4">
            <v>451799.73</v>
          </cell>
          <cell r="M4">
            <v>597394.12</v>
          </cell>
          <cell r="N4">
            <v>168170.41</v>
          </cell>
          <cell r="O4">
            <v>475629.64</v>
          </cell>
          <cell r="P4">
            <v>647247.49</v>
          </cell>
          <cell r="Q4">
            <v>843329.66</v>
          </cell>
          <cell r="R4">
            <v>180826.01</v>
          </cell>
          <cell r="S4">
            <v>561499.49</v>
          </cell>
          <cell r="T4">
            <v>859988.64</v>
          </cell>
          <cell r="U4">
            <v>1121936.69</v>
          </cell>
          <cell r="V4">
            <v>270727.51</v>
          </cell>
          <cell r="W4">
            <v>580003.28</v>
          </cell>
          <cell r="X4">
            <v>890647.68</v>
          </cell>
          <cell r="Y4">
            <v>1446826.19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</row>
        <row r="5">
          <cell r="A5" t="str">
            <v>qtd</v>
          </cell>
          <cell r="B5">
            <v>131612.35</v>
          </cell>
          <cell r="C5">
            <v>251100.38</v>
          </cell>
          <cell r="D5">
            <v>371908.02</v>
          </cell>
          <cell r="E5">
            <v>502391.54000000004</v>
          </cell>
          <cell r="F5">
            <v>649131.5</v>
          </cell>
          <cell r="G5">
            <v>933263.27</v>
          </cell>
          <cell r="H5">
            <v>1074705.1100000001</v>
          </cell>
          <cell r="I5">
            <v>1230991.0900000001</v>
          </cell>
          <cell r="J5">
            <v>1384343.76</v>
          </cell>
          <cell r="K5">
            <v>1535074.71</v>
          </cell>
          <cell r="L5">
            <v>1682790.8199999998</v>
          </cell>
          <cell r="M5">
            <v>1828385.21</v>
          </cell>
          <cell r="N5">
            <v>168170.41</v>
          </cell>
          <cell r="O5">
            <v>475629.64</v>
          </cell>
          <cell r="P5">
            <v>647247.49</v>
          </cell>
          <cell r="Q5">
            <v>843329.66</v>
          </cell>
          <cell r="R5">
            <v>1024155.67</v>
          </cell>
          <cell r="S5">
            <v>1404829.15</v>
          </cell>
          <cell r="T5">
            <v>1703318.2999999998</v>
          </cell>
          <cell r="U5">
            <v>1965266.3499999999</v>
          </cell>
          <cell r="V5">
            <v>2235993.86</v>
          </cell>
          <cell r="W5">
            <v>2545269.63</v>
          </cell>
          <cell r="X5">
            <v>2855914.03</v>
          </cell>
          <cell r="Y5">
            <v>3412092.54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</row>
        <row r="6">
          <cell r="A6" t="str">
            <v>ytd</v>
          </cell>
          <cell r="B6">
            <v>131612.35</v>
          </cell>
          <cell r="C6">
            <v>251100.38</v>
          </cell>
          <cell r="D6">
            <v>371908.02</v>
          </cell>
          <cell r="E6">
            <v>502391.54000000004</v>
          </cell>
          <cell r="F6">
            <v>649131.5</v>
          </cell>
          <cell r="G6">
            <v>933263.27</v>
          </cell>
          <cell r="H6">
            <v>1074705.1100000001</v>
          </cell>
          <cell r="I6">
            <v>1230991.0900000001</v>
          </cell>
          <cell r="J6">
            <v>1384343.76</v>
          </cell>
          <cell r="K6">
            <v>1535074.71</v>
          </cell>
          <cell r="L6">
            <v>1682790.8199999998</v>
          </cell>
          <cell r="M6">
            <v>1828385.21</v>
          </cell>
          <cell r="N6">
            <v>1996555.6199999999</v>
          </cell>
          <cell r="O6">
            <v>2304014.8499999996</v>
          </cell>
          <cell r="P6">
            <v>2475632.6999999997</v>
          </cell>
          <cell r="Q6">
            <v>2671714.8699999996</v>
          </cell>
          <cell r="R6">
            <v>2852540.88</v>
          </cell>
          <cell r="S6">
            <v>3233214.36</v>
          </cell>
          <cell r="T6">
            <v>3531703.51</v>
          </cell>
          <cell r="U6">
            <v>3793651.5599999996</v>
          </cell>
          <cell r="V6">
            <v>4064379.0699999994</v>
          </cell>
          <cell r="W6">
            <v>4373654.84</v>
          </cell>
          <cell r="X6">
            <v>4684299.24</v>
          </cell>
          <cell r="Y6">
            <v>5240477.75</v>
          </cell>
          <cell r="Z6">
            <v>5240477.75</v>
          </cell>
          <cell r="AA6">
            <v>5240477.75</v>
          </cell>
          <cell r="AB6">
            <v>5240477.75</v>
          </cell>
          <cell r="AC6">
            <v>5240477.75</v>
          </cell>
          <cell r="AD6">
            <v>5240477.75</v>
          </cell>
          <cell r="AE6">
            <v>5240477.75</v>
          </cell>
          <cell r="AF6">
            <v>5240477.75</v>
          </cell>
          <cell r="AG6">
            <v>5240477.75</v>
          </cell>
          <cell r="AH6">
            <v>5240477.75</v>
          </cell>
          <cell r="AI6">
            <v>5240477.75</v>
          </cell>
          <cell r="AJ6">
            <v>5240477.75</v>
          </cell>
          <cell r="AK6">
            <v>5240477.75</v>
          </cell>
          <cell r="AL6">
            <v>5240477.75</v>
          </cell>
          <cell r="AM6">
            <v>5240477.75</v>
          </cell>
          <cell r="AN6">
            <v>5240477.75</v>
          </cell>
          <cell r="AO6">
            <v>5240477.75</v>
          </cell>
          <cell r="AP6">
            <v>5240477.75</v>
          </cell>
          <cell r="AQ6">
            <v>5240477.75</v>
          </cell>
          <cell r="AR6">
            <v>5240477.75</v>
          </cell>
          <cell r="AS6">
            <v>5240477.75</v>
          </cell>
          <cell r="AT6">
            <v>5240477.75</v>
          </cell>
          <cell r="AU6">
            <v>5240477.75</v>
          </cell>
          <cell r="AV6">
            <v>5240477.75</v>
          </cell>
          <cell r="AW6">
            <v>5240477.75</v>
          </cell>
          <cell r="AX6">
            <v>5240477.75</v>
          </cell>
          <cell r="AY6">
            <v>5240477.75</v>
          </cell>
          <cell r="AZ6">
            <v>5240477.75</v>
          </cell>
          <cell r="BA6">
            <v>5240477.75</v>
          </cell>
          <cell r="BB6">
            <v>5240477.75</v>
          </cell>
        </row>
        <row r="7">
          <cell r="A7" t="str">
            <v>PART</v>
          </cell>
          <cell r="B7">
            <v>3633990</v>
          </cell>
          <cell r="C7">
            <v>3356154.65</v>
          </cell>
          <cell r="D7">
            <v>3285840.9</v>
          </cell>
          <cell r="E7">
            <v>3354911.89</v>
          </cell>
          <cell r="F7">
            <v>3803283.85</v>
          </cell>
          <cell r="G7">
            <v>6395227.6500000004</v>
          </cell>
          <cell r="H7">
            <v>3527469.64</v>
          </cell>
          <cell r="I7">
            <v>3705564.73</v>
          </cell>
          <cell r="J7">
            <v>3743333.77</v>
          </cell>
          <cell r="K7">
            <v>3729258.85</v>
          </cell>
          <cell r="L7">
            <v>3692558.9</v>
          </cell>
          <cell r="M7">
            <v>3709101.73</v>
          </cell>
          <cell r="N7">
            <v>4132363.68</v>
          </cell>
          <cell r="O7">
            <v>6602956.9299999997</v>
          </cell>
          <cell r="P7">
            <v>4010300.85</v>
          </cell>
          <cell r="Q7">
            <v>4569236.84</v>
          </cell>
          <cell r="R7">
            <v>4507944.5</v>
          </cell>
          <cell r="S7">
            <v>9124497.6400000006</v>
          </cell>
          <cell r="T7">
            <v>6546959.7000000002</v>
          </cell>
          <cell r="U7">
            <v>5632846.6900000004</v>
          </cell>
          <cell r="V7">
            <v>5501011.8499999996</v>
          </cell>
          <cell r="W7">
            <v>6088834.79</v>
          </cell>
          <cell r="X7">
            <v>5888581.5499999998</v>
          </cell>
          <cell r="Y7">
            <v>9425244.5500000007</v>
          </cell>
        </row>
        <row r="8">
          <cell r="A8" t="str">
            <v>ptd</v>
          </cell>
          <cell r="B8">
            <v>3633990</v>
          </cell>
          <cell r="C8">
            <v>6990144.6500000004</v>
          </cell>
          <cell r="D8">
            <v>10275985.550000001</v>
          </cell>
          <cell r="E8">
            <v>13630897.440000001</v>
          </cell>
          <cell r="F8">
            <v>3803283.85</v>
          </cell>
          <cell r="G8">
            <v>10198511.5</v>
          </cell>
          <cell r="H8">
            <v>13725981.140000001</v>
          </cell>
          <cell r="I8">
            <v>17431545.870000001</v>
          </cell>
          <cell r="J8">
            <v>3743333.77</v>
          </cell>
          <cell r="K8">
            <v>7472592.6200000001</v>
          </cell>
          <cell r="L8">
            <v>11165151.52</v>
          </cell>
          <cell r="M8">
            <v>14874253.25</v>
          </cell>
          <cell r="N8">
            <v>4132363.68</v>
          </cell>
          <cell r="O8">
            <v>10735320.609999999</v>
          </cell>
          <cell r="P8">
            <v>14745621.459999999</v>
          </cell>
          <cell r="Q8">
            <v>19314858.299999997</v>
          </cell>
          <cell r="R8">
            <v>4507944.5</v>
          </cell>
          <cell r="S8">
            <v>13632442.140000001</v>
          </cell>
          <cell r="T8">
            <v>20179401.84</v>
          </cell>
          <cell r="U8">
            <v>25812248.530000001</v>
          </cell>
          <cell r="V8">
            <v>5501011.8499999996</v>
          </cell>
          <cell r="W8">
            <v>11589846.640000001</v>
          </cell>
          <cell r="X8">
            <v>17478428.190000001</v>
          </cell>
          <cell r="Y8">
            <v>26903672.740000002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</row>
        <row r="9">
          <cell r="A9" t="str">
            <v>qtd</v>
          </cell>
          <cell r="B9">
            <v>3633990</v>
          </cell>
          <cell r="C9">
            <v>6990144.6500000004</v>
          </cell>
          <cell r="D9">
            <v>10275985.550000001</v>
          </cell>
          <cell r="E9">
            <v>13630897.440000001</v>
          </cell>
          <cell r="F9">
            <v>17434181.290000003</v>
          </cell>
          <cell r="G9">
            <v>23829408.940000005</v>
          </cell>
          <cell r="H9">
            <v>27356878.580000006</v>
          </cell>
          <cell r="I9">
            <v>31062443.310000006</v>
          </cell>
          <cell r="J9">
            <v>34805777.080000006</v>
          </cell>
          <cell r="K9">
            <v>38535035.930000007</v>
          </cell>
          <cell r="L9">
            <v>42227594.830000006</v>
          </cell>
          <cell r="M9">
            <v>45936696.560000002</v>
          </cell>
          <cell r="N9">
            <v>4132363.68</v>
          </cell>
          <cell r="O9">
            <v>10735320.609999999</v>
          </cell>
          <cell r="P9">
            <v>14745621.459999999</v>
          </cell>
          <cell r="Q9">
            <v>19314858.299999997</v>
          </cell>
          <cell r="R9">
            <v>23822802.799999997</v>
          </cell>
          <cell r="S9">
            <v>32947300.439999998</v>
          </cell>
          <cell r="T9">
            <v>39494260.140000001</v>
          </cell>
          <cell r="U9">
            <v>45127106.829999998</v>
          </cell>
          <cell r="V9">
            <v>50628118.68</v>
          </cell>
          <cell r="W9">
            <v>56716953.469999999</v>
          </cell>
          <cell r="X9">
            <v>62605535.019999996</v>
          </cell>
          <cell r="Y9">
            <v>72030779.569999993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</row>
        <row r="10">
          <cell r="A10" t="str">
            <v>ytd</v>
          </cell>
          <cell r="B10">
            <v>3633990</v>
          </cell>
          <cell r="C10">
            <v>6990144.6500000004</v>
          </cell>
          <cell r="D10">
            <v>10275985.550000001</v>
          </cell>
          <cell r="E10">
            <v>13630897.440000001</v>
          </cell>
          <cell r="F10">
            <v>17434181.290000003</v>
          </cell>
          <cell r="G10">
            <v>23829408.940000005</v>
          </cell>
          <cell r="H10">
            <v>27356878.580000006</v>
          </cell>
          <cell r="I10">
            <v>31062443.310000006</v>
          </cell>
          <cell r="J10">
            <v>34805777.080000006</v>
          </cell>
          <cell r="K10">
            <v>38535035.930000007</v>
          </cell>
          <cell r="L10">
            <v>42227594.830000006</v>
          </cell>
          <cell r="M10">
            <v>45936696.560000002</v>
          </cell>
          <cell r="N10">
            <v>50069060.240000002</v>
          </cell>
          <cell r="O10">
            <v>56672017.170000002</v>
          </cell>
          <cell r="P10">
            <v>60682318.020000003</v>
          </cell>
          <cell r="Q10">
            <v>65251554.859999999</v>
          </cell>
          <cell r="R10">
            <v>69759499.359999999</v>
          </cell>
          <cell r="S10">
            <v>78883997</v>
          </cell>
          <cell r="T10">
            <v>85430956.700000003</v>
          </cell>
          <cell r="U10">
            <v>91063803.390000001</v>
          </cell>
          <cell r="V10">
            <v>96564815.239999995</v>
          </cell>
          <cell r="W10">
            <v>102653650.03</v>
          </cell>
          <cell r="X10">
            <v>108542231.58</v>
          </cell>
          <cell r="Y10">
            <v>117967476.13</v>
          </cell>
          <cell r="Z10">
            <v>117967476.13</v>
          </cell>
          <cell r="AA10">
            <v>117967476.13</v>
          </cell>
          <cell r="AB10">
            <v>117967476.13</v>
          </cell>
          <cell r="AC10">
            <v>117967476.13</v>
          </cell>
          <cell r="AD10">
            <v>117967476.13</v>
          </cell>
          <cell r="AE10">
            <v>117967476.13</v>
          </cell>
          <cell r="AF10">
            <v>117967476.13</v>
          </cell>
          <cell r="AG10">
            <v>117967476.13</v>
          </cell>
          <cell r="AH10">
            <v>117967476.13</v>
          </cell>
          <cell r="AI10">
            <v>117967476.13</v>
          </cell>
          <cell r="AJ10">
            <v>117967476.13</v>
          </cell>
          <cell r="AK10">
            <v>117967476.13</v>
          </cell>
          <cell r="AL10">
            <v>117967476.13</v>
          </cell>
          <cell r="AM10">
            <v>117967476.13</v>
          </cell>
          <cell r="AN10">
            <v>117967476.13</v>
          </cell>
          <cell r="AO10">
            <v>117967476.13</v>
          </cell>
          <cell r="AP10">
            <v>117967476.13</v>
          </cell>
          <cell r="AQ10">
            <v>117967476.13</v>
          </cell>
          <cell r="AR10">
            <v>117967476.13</v>
          </cell>
          <cell r="AS10">
            <v>117967476.13</v>
          </cell>
          <cell r="AT10">
            <v>117967476.13</v>
          </cell>
          <cell r="AU10">
            <v>117967476.13</v>
          </cell>
          <cell r="AV10">
            <v>117967476.13</v>
          </cell>
          <cell r="AW10">
            <v>117967476.13</v>
          </cell>
          <cell r="AX10">
            <v>117967476.13</v>
          </cell>
          <cell r="AY10">
            <v>117967476.13</v>
          </cell>
          <cell r="AZ10">
            <v>117967476.13</v>
          </cell>
          <cell r="BA10">
            <v>117967476.13</v>
          </cell>
          <cell r="BB10">
            <v>117967476.13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1692175</v>
          </cell>
          <cell r="C15">
            <v>1564700</v>
          </cell>
          <cell r="D15">
            <v>1481525</v>
          </cell>
          <cell r="E15">
            <v>1465525</v>
          </cell>
          <cell r="F15">
            <v>1566400</v>
          </cell>
          <cell r="G15">
            <v>1879750</v>
          </cell>
          <cell r="H15">
            <v>1480775</v>
          </cell>
          <cell r="I15">
            <v>1500525</v>
          </cell>
          <cell r="J15">
            <v>1608200</v>
          </cell>
          <cell r="K15">
            <v>1433975</v>
          </cell>
          <cell r="L15">
            <v>1131450</v>
          </cell>
          <cell r="M15">
            <v>907025</v>
          </cell>
          <cell r="N15">
            <v>839100</v>
          </cell>
          <cell r="O15">
            <v>855100</v>
          </cell>
          <cell r="P15">
            <v>669650</v>
          </cell>
          <cell r="Q15">
            <v>708650</v>
          </cell>
          <cell r="R15">
            <v>614375</v>
          </cell>
          <cell r="S15">
            <v>893275</v>
          </cell>
          <cell r="T15">
            <v>775650</v>
          </cell>
          <cell r="U15">
            <v>751200</v>
          </cell>
          <cell r="V15">
            <v>646075</v>
          </cell>
          <cell r="W15">
            <v>650150</v>
          </cell>
          <cell r="X15">
            <v>602425</v>
          </cell>
          <cell r="Y15">
            <v>651325</v>
          </cell>
        </row>
        <row r="16">
          <cell r="A16" t="str">
            <v>ptd</v>
          </cell>
          <cell r="B16">
            <v>1692175</v>
          </cell>
          <cell r="C16">
            <v>3256875</v>
          </cell>
          <cell r="D16">
            <v>4738400</v>
          </cell>
          <cell r="E16">
            <v>6203925</v>
          </cell>
          <cell r="F16">
            <v>1566400</v>
          </cell>
          <cell r="G16">
            <v>3446150</v>
          </cell>
          <cell r="H16">
            <v>4926925</v>
          </cell>
          <cell r="I16">
            <v>6427450</v>
          </cell>
          <cell r="J16">
            <v>1608200</v>
          </cell>
          <cell r="K16">
            <v>3042175</v>
          </cell>
          <cell r="L16">
            <v>4173625</v>
          </cell>
          <cell r="M16">
            <v>5080650</v>
          </cell>
          <cell r="N16">
            <v>839100</v>
          </cell>
          <cell r="O16">
            <v>1694200</v>
          </cell>
          <cell r="P16">
            <v>2363850</v>
          </cell>
          <cell r="Q16">
            <v>3072500</v>
          </cell>
          <cell r="R16">
            <v>614375</v>
          </cell>
          <cell r="S16">
            <v>1507650</v>
          </cell>
          <cell r="T16">
            <v>2283300</v>
          </cell>
          <cell r="U16">
            <v>3034500</v>
          </cell>
          <cell r="V16">
            <v>646075</v>
          </cell>
          <cell r="W16">
            <v>1296225</v>
          </cell>
          <cell r="X16">
            <v>1898650</v>
          </cell>
          <cell r="Y16">
            <v>2549975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1692175</v>
          </cell>
          <cell r="C17">
            <v>3256875</v>
          </cell>
          <cell r="D17">
            <v>4738400</v>
          </cell>
          <cell r="E17">
            <v>6203925</v>
          </cell>
          <cell r="F17">
            <v>7770325</v>
          </cell>
          <cell r="G17">
            <v>9650075</v>
          </cell>
          <cell r="H17">
            <v>11130850</v>
          </cell>
          <cell r="I17">
            <v>12631375</v>
          </cell>
          <cell r="J17">
            <v>14239575</v>
          </cell>
          <cell r="K17">
            <v>15673550</v>
          </cell>
          <cell r="L17">
            <v>16805000</v>
          </cell>
          <cell r="M17">
            <v>17712025</v>
          </cell>
          <cell r="N17">
            <v>839100</v>
          </cell>
          <cell r="O17">
            <v>1694200</v>
          </cell>
          <cell r="P17">
            <v>2363850</v>
          </cell>
          <cell r="Q17">
            <v>3072500</v>
          </cell>
          <cell r="R17">
            <v>3686875</v>
          </cell>
          <cell r="S17">
            <v>4580150</v>
          </cell>
          <cell r="T17">
            <v>5355800</v>
          </cell>
          <cell r="U17">
            <v>6107000</v>
          </cell>
          <cell r="V17">
            <v>6753075</v>
          </cell>
          <cell r="W17">
            <v>7403225</v>
          </cell>
          <cell r="X17">
            <v>8005650</v>
          </cell>
          <cell r="Y17">
            <v>8656975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1692175</v>
          </cell>
          <cell r="C18">
            <v>3256875</v>
          </cell>
          <cell r="D18">
            <v>4738400</v>
          </cell>
          <cell r="E18">
            <v>6203925</v>
          </cell>
          <cell r="F18">
            <v>7770325</v>
          </cell>
          <cell r="G18">
            <v>9650075</v>
          </cell>
          <cell r="H18">
            <v>11130850</v>
          </cell>
          <cell r="I18">
            <v>12631375</v>
          </cell>
          <cell r="J18">
            <v>14239575</v>
          </cell>
          <cell r="K18">
            <v>15673550</v>
          </cell>
          <cell r="L18">
            <v>16805000</v>
          </cell>
          <cell r="M18">
            <v>17712025</v>
          </cell>
          <cell r="N18">
            <v>18551125</v>
          </cell>
          <cell r="O18">
            <v>19406225</v>
          </cell>
          <cell r="P18">
            <v>20075875</v>
          </cell>
          <cell r="Q18">
            <v>20784525</v>
          </cell>
          <cell r="R18">
            <v>21398900</v>
          </cell>
          <cell r="S18">
            <v>22292175</v>
          </cell>
          <cell r="T18">
            <v>23067825</v>
          </cell>
          <cell r="U18">
            <v>23819025</v>
          </cell>
          <cell r="V18">
            <v>24465100</v>
          </cell>
          <cell r="W18">
            <v>25115250</v>
          </cell>
          <cell r="X18">
            <v>25717675</v>
          </cell>
          <cell r="Y18">
            <v>26369000</v>
          </cell>
          <cell r="Z18">
            <v>26369000</v>
          </cell>
          <cell r="AA18">
            <v>26369000</v>
          </cell>
          <cell r="AB18">
            <v>26369000</v>
          </cell>
          <cell r="AC18">
            <v>26369000</v>
          </cell>
          <cell r="AD18">
            <v>26369000</v>
          </cell>
          <cell r="AE18">
            <v>26369000</v>
          </cell>
          <cell r="AF18">
            <v>26369000</v>
          </cell>
          <cell r="AG18">
            <v>26369000</v>
          </cell>
          <cell r="AH18">
            <v>26369000</v>
          </cell>
          <cell r="AI18">
            <v>26369000</v>
          </cell>
          <cell r="AJ18">
            <v>26369000</v>
          </cell>
          <cell r="AK18">
            <v>26369000</v>
          </cell>
          <cell r="AL18">
            <v>26369000</v>
          </cell>
          <cell r="AM18">
            <v>26369000</v>
          </cell>
          <cell r="AN18">
            <v>26369000</v>
          </cell>
          <cell r="AO18">
            <v>26369000</v>
          </cell>
          <cell r="AP18">
            <v>26369000</v>
          </cell>
          <cell r="AQ18">
            <v>26369000</v>
          </cell>
          <cell r="AR18">
            <v>26369000</v>
          </cell>
          <cell r="AS18">
            <v>26369000</v>
          </cell>
          <cell r="AT18">
            <v>26369000</v>
          </cell>
          <cell r="AU18">
            <v>26369000</v>
          </cell>
          <cell r="AV18">
            <v>26369000</v>
          </cell>
          <cell r="AW18">
            <v>26369000</v>
          </cell>
          <cell r="AX18">
            <v>26369000</v>
          </cell>
          <cell r="AY18">
            <v>26369000</v>
          </cell>
          <cell r="AZ18">
            <v>26369000</v>
          </cell>
          <cell r="BA18">
            <v>26369000</v>
          </cell>
          <cell r="BB18">
            <v>26369000</v>
          </cell>
        </row>
        <row r="19">
          <cell r="A19" t="str">
            <v>SPRT</v>
          </cell>
          <cell r="B19">
            <v>16475</v>
          </cell>
          <cell r="C19">
            <v>12850</v>
          </cell>
          <cell r="D19">
            <v>14550</v>
          </cell>
          <cell r="E19">
            <v>13900</v>
          </cell>
          <cell r="F19">
            <v>16350</v>
          </cell>
          <cell r="G19">
            <v>31100</v>
          </cell>
          <cell r="H19">
            <v>16225</v>
          </cell>
          <cell r="I19">
            <v>18875</v>
          </cell>
          <cell r="J19">
            <v>18575</v>
          </cell>
          <cell r="K19">
            <v>18775</v>
          </cell>
          <cell r="L19">
            <v>19175</v>
          </cell>
          <cell r="M19">
            <v>17425</v>
          </cell>
          <cell r="N19">
            <v>18125</v>
          </cell>
          <cell r="O19">
            <v>35125</v>
          </cell>
          <cell r="P19">
            <v>21525</v>
          </cell>
          <cell r="Q19">
            <v>19350</v>
          </cell>
          <cell r="R19">
            <v>20400</v>
          </cell>
          <cell r="S19">
            <v>29125</v>
          </cell>
          <cell r="T19">
            <v>27075</v>
          </cell>
          <cell r="U19">
            <v>26550</v>
          </cell>
          <cell r="V19">
            <v>26000</v>
          </cell>
          <cell r="W19">
            <v>27275</v>
          </cell>
          <cell r="X19">
            <v>29375</v>
          </cell>
          <cell r="Y19">
            <v>62300</v>
          </cell>
        </row>
        <row r="20">
          <cell r="A20" t="str">
            <v>ptd</v>
          </cell>
          <cell r="B20">
            <v>16475</v>
          </cell>
          <cell r="C20">
            <v>29325</v>
          </cell>
          <cell r="D20">
            <v>43875</v>
          </cell>
          <cell r="E20">
            <v>57775</v>
          </cell>
          <cell r="F20">
            <v>16350</v>
          </cell>
          <cell r="G20">
            <v>47450</v>
          </cell>
          <cell r="H20">
            <v>63675</v>
          </cell>
          <cell r="I20">
            <v>82550</v>
          </cell>
          <cell r="J20">
            <v>18575</v>
          </cell>
          <cell r="K20">
            <v>37350</v>
          </cell>
          <cell r="L20">
            <v>56525</v>
          </cell>
          <cell r="M20">
            <v>73950</v>
          </cell>
          <cell r="N20">
            <v>18125</v>
          </cell>
          <cell r="O20">
            <v>53250</v>
          </cell>
          <cell r="P20">
            <v>74775</v>
          </cell>
          <cell r="Q20">
            <v>94125</v>
          </cell>
          <cell r="R20">
            <v>20400</v>
          </cell>
          <cell r="S20">
            <v>49525</v>
          </cell>
          <cell r="T20">
            <v>76600</v>
          </cell>
          <cell r="U20">
            <v>103150</v>
          </cell>
          <cell r="V20">
            <v>26000</v>
          </cell>
          <cell r="W20">
            <v>53275</v>
          </cell>
          <cell r="X20">
            <v>82650</v>
          </cell>
          <cell r="Y20">
            <v>144950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</row>
        <row r="21">
          <cell r="A21" t="str">
            <v>qtd</v>
          </cell>
          <cell r="B21">
            <v>16475</v>
          </cell>
          <cell r="C21">
            <v>29325</v>
          </cell>
          <cell r="D21">
            <v>43875</v>
          </cell>
          <cell r="E21">
            <v>57775</v>
          </cell>
          <cell r="F21">
            <v>74125</v>
          </cell>
          <cell r="G21">
            <v>105225</v>
          </cell>
          <cell r="H21">
            <v>121450</v>
          </cell>
          <cell r="I21">
            <v>140325</v>
          </cell>
          <cell r="J21">
            <v>158900</v>
          </cell>
          <cell r="K21">
            <v>177675</v>
          </cell>
          <cell r="L21">
            <v>196850</v>
          </cell>
          <cell r="M21">
            <v>214275</v>
          </cell>
          <cell r="N21">
            <v>18125</v>
          </cell>
          <cell r="O21">
            <v>53250</v>
          </cell>
          <cell r="P21">
            <v>74775</v>
          </cell>
          <cell r="Q21">
            <v>94125</v>
          </cell>
          <cell r="R21">
            <v>114525</v>
          </cell>
          <cell r="S21">
            <v>143650</v>
          </cell>
          <cell r="T21">
            <v>170725</v>
          </cell>
          <cell r="U21">
            <v>197275</v>
          </cell>
          <cell r="V21">
            <v>223275</v>
          </cell>
          <cell r="W21">
            <v>250550</v>
          </cell>
          <cell r="X21">
            <v>279925</v>
          </cell>
          <cell r="Y21">
            <v>342225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</row>
        <row r="22">
          <cell r="A22" t="str">
            <v>ytd</v>
          </cell>
          <cell r="B22">
            <v>16475</v>
          </cell>
          <cell r="C22">
            <v>29325</v>
          </cell>
          <cell r="D22">
            <v>43875</v>
          </cell>
          <cell r="E22">
            <v>57775</v>
          </cell>
          <cell r="F22">
            <v>74125</v>
          </cell>
          <cell r="G22">
            <v>105225</v>
          </cell>
          <cell r="H22">
            <v>121450</v>
          </cell>
          <cell r="I22">
            <v>140325</v>
          </cell>
          <cell r="J22">
            <v>158900</v>
          </cell>
          <cell r="K22">
            <v>177675</v>
          </cell>
          <cell r="L22">
            <v>196850</v>
          </cell>
          <cell r="M22">
            <v>214275</v>
          </cell>
          <cell r="N22">
            <v>232400</v>
          </cell>
          <cell r="O22">
            <v>267525</v>
          </cell>
          <cell r="P22">
            <v>289050</v>
          </cell>
          <cell r="Q22">
            <v>308400</v>
          </cell>
          <cell r="R22">
            <v>328800</v>
          </cell>
          <cell r="S22">
            <v>357925</v>
          </cell>
          <cell r="T22">
            <v>385000</v>
          </cell>
          <cell r="U22">
            <v>411550</v>
          </cell>
          <cell r="V22">
            <v>437550</v>
          </cell>
          <cell r="W22">
            <v>464825</v>
          </cell>
          <cell r="X22">
            <v>494200</v>
          </cell>
          <cell r="Y22">
            <v>556500</v>
          </cell>
          <cell r="Z22">
            <v>556500</v>
          </cell>
          <cell r="AA22">
            <v>556500</v>
          </cell>
          <cell r="AB22">
            <v>556500</v>
          </cell>
          <cell r="AC22">
            <v>556500</v>
          </cell>
          <cell r="AD22">
            <v>556500</v>
          </cell>
          <cell r="AE22">
            <v>556500</v>
          </cell>
          <cell r="AF22">
            <v>556500</v>
          </cell>
          <cell r="AG22">
            <v>556500</v>
          </cell>
          <cell r="AH22">
            <v>556500</v>
          </cell>
          <cell r="AI22">
            <v>556500</v>
          </cell>
          <cell r="AJ22">
            <v>556500</v>
          </cell>
          <cell r="AK22">
            <v>556500</v>
          </cell>
          <cell r="AL22">
            <v>556500</v>
          </cell>
          <cell r="AM22">
            <v>556500</v>
          </cell>
          <cell r="AN22">
            <v>556500</v>
          </cell>
          <cell r="AO22">
            <v>556500</v>
          </cell>
          <cell r="AP22">
            <v>556500</v>
          </cell>
          <cell r="AQ22">
            <v>556500</v>
          </cell>
          <cell r="AR22">
            <v>556500</v>
          </cell>
          <cell r="AS22">
            <v>556500</v>
          </cell>
          <cell r="AT22">
            <v>556500</v>
          </cell>
          <cell r="AU22">
            <v>556500</v>
          </cell>
          <cell r="AV22">
            <v>556500</v>
          </cell>
          <cell r="AW22">
            <v>556500</v>
          </cell>
          <cell r="AX22">
            <v>556500</v>
          </cell>
          <cell r="AY22">
            <v>556500</v>
          </cell>
          <cell r="AZ22">
            <v>556500</v>
          </cell>
          <cell r="BA22">
            <v>556500</v>
          </cell>
          <cell r="BB22">
            <v>556500</v>
          </cell>
        </row>
        <row r="23">
          <cell r="A23" t="str">
            <v>TELE</v>
          </cell>
          <cell r="B23">
            <v>1060574.7</v>
          </cell>
          <cell r="C23">
            <v>1030667.77</v>
          </cell>
          <cell r="D23">
            <v>1057498.05</v>
          </cell>
          <cell r="E23">
            <v>1154170.05</v>
          </cell>
          <cell r="F23">
            <v>1236893.21</v>
          </cell>
          <cell r="G23">
            <v>1154943.1100000001</v>
          </cell>
          <cell r="H23">
            <v>1094425.6399999999</v>
          </cell>
          <cell r="I23">
            <v>1125331.44</v>
          </cell>
          <cell r="J23">
            <v>1174665.6000000001</v>
          </cell>
          <cell r="K23">
            <v>1048932.27</v>
          </cell>
          <cell r="L23">
            <v>1037771.53</v>
          </cell>
          <cell r="M23">
            <v>1003821.03</v>
          </cell>
          <cell r="N23">
            <v>1164819.67</v>
          </cell>
          <cell r="O23">
            <v>1097366.23</v>
          </cell>
          <cell r="P23">
            <v>1050309.3400000001</v>
          </cell>
          <cell r="Q23">
            <v>1023111.64</v>
          </cell>
          <cell r="R23">
            <v>1141871.3500000001</v>
          </cell>
          <cell r="S23">
            <v>1173459.32</v>
          </cell>
          <cell r="T23">
            <v>1129341.73</v>
          </cell>
          <cell r="U23">
            <v>1133856.3999999999</v>
          </cell>
          <cell r="V23">
            <v>1101982.5900000001</v>
          </cell>
          <cell r="W23">
            <v>1271527</v>
          </cell>
          <cell r="X23">
            <v>1158095.42</v>
          </cell>
          <cell r="Y23">
            <v>1161147.22</v>
          </cell>
        </row>
        <row r="24">
          <cell r="A24" t="str">
            <v>ptd</v>
          </cell>
          <cell r="B24">
            <v>1060574.7</v>
          </cell>
          <cell r="C24">
            <v>2091242.47</v>
          </cell>
          <cell r="D24">
            <v>3148740.52</v>
          </cell>
          <cell r="E24">
            <v>4302910.57</v>
          </cell>
          <cell r="F24">
            <v>1236893.21</v>
          </cell>
          <cell r="G24">
            <v>2391836.3200000003</v>
          </cell>
          <cell r="H24">
            <v>3486261.96</v>
          </cell>
          <cell r="I24">
            <v>4611593.4000000004</v>
          </cell>
          <cell r="J24">
            <v>1174665.6000000001</v>
          </cell>
          <cell r="K24">
            <v>2223597.87</v>
          </cell>
          <cell r="L24">
            <v>3261369.4000000004</v>
          </cell>
          <cell r="M24">
            <v>4265190.4300000006</v>
          </cell>
          <cell r="N24">
            <v>1164819.67</v>
          </cell>
          <cell r="O24">
            <v>2262185.9</v>
          </cell>
          <cell r="P24">
            <v>3312495.24</v>
          </cell>
          <cell r="Q24">
            <v>4335606.88</v>
          </cell>
          <cell r="R24">
            <v>1141871.3500000001</v>
          </cell>
          <cell r="S24">
            <v>2315330.67</v>
          </cell>
          <cell r="T24">
            <v>3444672.4</v>
          </cell>
          <cell r="U24">
            <v>4578528.8</v>
          </cell>
          <cell r="V24">
            <v>1101982.5900000001</v>
          </cell>
          <cell r="W24">
            <v>2373509.59</v>
          </cell>
          <cell r="X24">
            <v>3531605.01</v>
          </cell>
          <cell r="Y24">
            <v>4692752.2299999995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</row>
        <row r="25">
          <cell r="A25" t="str">
            <v>qtd</v>
          </cell>
          <cell r="B25">
            <v>1060574.7</v>
          </cell>
          <cell r="C25">
            <v>2091242.47</v>
          </cell>
          <cell r="D25">
            <v>3148740.52</v>
          </cell>
          <cell r="E25">
            <v>4302910.57</v>
          </cell>
          <cell r="F25">
            <v>5539803.7800000003</v>
          </cell>
          <cell r="G25">
            <v>6694746.8900000006</v>
          </cell>
          <cell r="H25">
            <v>7789172.5300000003</v>
          </cell>
          <cell r="I25">
            <v>8914503.9700000007</v>
          </cell>
          <cell r="J25">
            <v>10089169.57</v>
          </cell>
          <cell r="K25">
            <v>11138101.84</v>
          </cell>
          <cell r="L25">
            <v>12175873.369999999</v>
          </cell>
          <cell r="M25">
            <v>13179694.399999999</v>
          </cell>
          <cell r="N25">
            <v>1164819.67</v>
          </cell>
          <cell r="O25">
            <v>2262185.9</v>
          </cell>
          <cell r="P25">
            <v>3312495.24</v>
          </cell>
          <cell r="Q25">
            <v>4335606.88</v>
          </cell>
          <cell r="R25">
            <v>5477478.2300000004</v>
          </cell>
          <cell r="S25">
            <v>6650937.5500000007</v>
          </cell>
          <cell r="T25">
            <v>7780279.2800000012</v>
          </cell>
          <cell r="U25">
            <v>8914135.6800000016</v>
          </cell>
          <cell r="V25">
            <v>10016118.270000001</v>
          </cell>
          <cell r="W25">
            <v>11287645.270000001</v>
          </cell>
          <cell r="X25">
            <v>12445740.690000001</v>
          </cell>
          <cell r="Y25">
            <v>13606887.910000002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</row>
        <row r="26">
          <cell r="A26" t="str">
            <v>ytd</v>
          </cell>
          <cell r="B26">
            <v>1060574.7</v>
          </cell>
          <cell r="C26">
            <v>2091242.47</v>
          </cell>
          <cell r="D26">
            <v>3148740.52</v>
          </cell>
          <cell r="E26">
            <v>4302910.57</v>
          </cell>
          <cell r="F26">
            <v>5539803.7800000003</v>
          </cell>
          <cell r="G26">
            <v>6694746.8900000006</v>
          </cell>
          <cell r="H26">
            <v>7789172.5300000003</v>
          </cell>
          <cell r="I26">
            <v>8914503.9700000007</v>
          </cell>
          <cell r="J26">
            <v>10089169.57</v>
          </cell>
          <cell r="K26">
            <v>11138101.84</v>
          </cell>
          <cell r="L26">
            <v>12175873.369999999</v>
          </cell>
          <cell r="M26">
            <v>13179694.399999999</v>
          </cell>
          <cell r="N26">
            <v>14344514.069999998</v>
          </cell>
          <cell r="O26">
            <v>15441880.299999999</v>
          </cell>
          <cell r="P26">
            <v>16492189.639999999</v>
          </cell>
          <cell r="Q26">
            <v>17515301.279999997</v>
          </cell>
          <cell r="R26">
            <v>18657172.629999999</v>
          </cell>
          <cell r="S26">
            <v>19830631.949999999</v>
          </cell>
          <cell r="T26">
            <v>20959973.68</v>
          </cell>
          <cell r="U26">
            <v>22093830.079999998</v>
          </cell>
          <cell r="V26">
            <v>23195812.669999998</v>
          </cell>
          <cell r="W26">
            <v>24467339.669999998</v>
          </cell>
          <cell r="X26">
            <v>25625435.089999996</v>
          </cell>
          <cell r="Y26">
            <v>26786582.309999995</v>
          </cell>
          <cell r="Z26">
            <v>26786582.309999995</v>
          </cell>
          <cell r="AA26">
            <v>26786582.309999995</v>
          </cell>
          <cell r="AB26">
            <v>26786582.309999995</v>
          </cell>
          <cell r="AC26">
            <v>26786582.309999995</v>
          </cell>
          <cell r="AD26">
            <v>26786582.309999995</v>
          </cell>
          <cell r="AE26">
            <v>26786582.309999995</v>
          </cell>
          <cell r="AF26">
            <v>26786582.309999995</v>
          </cell>
          <cell r="AG26">
            <v>26786582.309999995</v>
          </cell>
          <cell r="AH26">
            <v>26786582.309999995</v>
          </cell>
          <cell r="AI26">
            <v>26786582.309999995</v>
          </cell>
          <cell r="AJ26">
            <v>26786582.309999995</v>
          </cell>
          <cell r="AK26">
            <v>26786582.309999995</v>
          </cell>
          <cell r="AL26">
            <v>26786582.309999995</v>
          </cell>
          <cell r="AM26">
            <v>26786582.309999995</v>
          </cell>
          <cell r="AN26">
            <v>26786582.309999995</v>
          </cell>
          <cell r="AO26">
            <v>26786582.309999995</v>
          </cell>
          <cell r="AP26">
            <v>26786582.309999995</v>
          </cell>
          <cell r="AQ26">
            <v>26786582.309999995</v>
          </cell>
          <cell r="AR26">
            <v>26786582.309999995</v>
          </cell>
          <cell r="AS26">
            <v>26786582.309999995</v>
          </cell>
          <cell r="AT26">
            <v>26786582.309999995</v>
          </cell>
          <cell r="AU26">
            <v>26786582.309999995</v>
          </cell>
          <cell r="AV26">
            <v>26786582.309999995</v>
          </cell>
          <cell r="AW26">
            <v>26786582.309999995</v>
          </cell>
          <cell r="AX26">
            <v>26786582.309999995</v>
          </cell>
          <cell r="AY26">
            <v>26786582.309999995</v>
          </cell>
          <cell r="AZ26">
            <v>26786582.309999995</v>
          </cell>
          <cell r="BA26">
            <v>26786582.309999995</v>
          </cell>
          <cell r="BB26">
            <v>26786582.309999995</v>
          </cell>
        </row>
        <row r="27">
          <cell r="A27" t="str">
            <v>TICK</v>
          </cell>
          <cell r="B27">
            <v>26239.96</v>
          </cell>
          <cell r="C27">
            <v>34009.96</v>
          </cell>
          <cell r="D27">
            <v>37315.910000000003</v>
          </cell>
          <cell r="E27">
            <v>45432.79</v>
          </cell>
          <cell r="F27">
            <v>36705.910000000003</v>
          </cell>
          <cell r="G27">
            <v>60944.66</v>
          </cell>
          <cell r="H27">
            <v>61387.93</v>
          </cell>
          <cell r="I27">
            <v>57823.78</v>
          </cell>
          <cell r="J27">
            <v>65490.7</v>
          </cell>
          <cell r="K27">
            <v>75724.479999999996</v>
          </cell>
          <cell r="L27">
            <v>111234.79</v>
          </cell>
          <cell r="M27">
            <v>103239.66</v>
          </cell>
          <cell r="N27">
            <v>104248.21</v>
          </cell>
          <cell r="O27">
            <v>154893.25</v>
          </cell>
          <cell r="P27">
            <v>154199.4</v>
          </cell>
          <cell r="Q27">
            <v>181748.36</v>
          </cell>
          <cell r="R27">
            <v>138888.10999999999</v>
          </cell>
          <cell r="S27">
            <v>166017.37</v>
          </cell>
          <cell r="T27">
            <v>173071.47</v>
          </cell>
          <cell r="U27">
            <v>270506.52</v>
          </cell>
          <cell r="V27">
            <v>370177.73</v>
          </cell>
          <cell r="W27">
            <v>494520.7</v>
          </cell>
          <cell r="X27">
            <v>651405.59</v>
          </cell>
          <cell r="Y27">
            <v>799119.44</v>
          </cell>
        </row>
        <row r="28">
          <cell r="A28" t="str">
            <v>ptd</v>
          </cell>
          <cell r="B28">
            <v>26239.96</v>
          </cell>
          <cell r="C28">
            <v>60249.919999999998</v>
          </cell>
          <cell r="D28">
            <v>97565.83</v>
          </cell>
          <cell r="E28">
            <v>142998.62</v>
          </cell>
          <cell r="F28">
            <v>36705.910000000003</v>
          </cell>
          <cell r="G28">
            <v>97650.57</v>
          </cell>
          <cell r="H28">
            <v>159038.5</v>
          </cell>
          <cell r="I28">
            <v>216862.28</v>
          </cell>
          <cell r="J28">
            <v>65490.7</v>
          </cell>
          <cell r="K28">
            <v>141215.18</v>
          </cell>
          <cell r="L28">
            <v>252449.96999999997</v>
          </cell>
          <cell r="M28">
            <v>355689.63</v>
          </cell>
          <cell r="N28">
            <v>104248.21</v>
          </cell>
          <cell r="O28">
            <v>259141.46000000002</v>
          </cell>
          <cell r="P28">
            <v>413340.86</v>
          </cell>
          <cell r="Q28">
            <v>595089.22</v>
          </cell>
          <cell r="R28">
            <v>138888.10999999999</v>
          </cell>
          <cell r="S28">
            <v>304905.48</v>
          </cell>
          <cell r="T28">
            <v>477976.94999999995</v>
          </cell>
          <cell r="U28">
            <v>748483.47</v>
          </cell>
          <cell r="V28">
            <v>370177.73</v>
          </cell>
          <cell r="W28">
            <v>864698.42999999993</v>
          </cell>
          <cell r="X28">
            <v>1516104.02</v>
          </cell>
          <cell r="Y28">
            <v>2315223.46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</row>
        <row r="29">
          <cell r="A29" t="str">
            <v>qtd</v>
          </cell>
          <cell r="B29">
            <v>26239.96</v>
          </cell>
          <cell r="C29">
            <v>60249.919999999998</v>
          </cell>
          <cell r="D29">
            <v>97565.83</v>
          </cell>
          <cell r="E29">
            <v>142998.62</v>
          </cell>
          <cell r="F29">
            <v>179704.53</v>
          </cell>
          <cell r="G29">
            <v>240649.19</v>
          </cell>
          <cell r="H29">
            <v>302037.12</v>
          </cell>
          <cell r="I29">
            <v>359860.9</v>
          </cell>
          <cell r="J29">
            <v>425351.60000000003</v>
          </cell>
          <cell r="K29">
            <v>501076.08</v>
          </cell>
          <cell r="L29">
            <v>612310.87</v>
          </cell>
          <cell r="M29">
            <v>715550.53</v>
          </cell>
          <cell r="N29">
            <v>104248.21</v>
          </cell>
          <cell r="O29">
            <v>259141.46000000002</v>
          </cell>
          <cell r="P29">
            <v>413340.86</v>
          </cell>
          <cell r="Q29">
            <v>595089.22</v>
          </cell>
          <cell r="R29">
            <v>733977.33</v>
          </cell>
          <cell r="S29">
            <v>899994.7</v>
          </cell>
          <cell r="T29">
            <v>1073066.17</v>
          </cell>
          <cell r="U29">
            <v>1343572.69</v>
          </cell>
          <cell r="V29">
            <v>1713750.42</v>
          </cell>
          <cell r="W29">
            <v>2208271.12</v>
          </cell>
          <cell r="X29">
            <v>2859676.71</v>
          </cell>
          <cell r="Y29">
            <v>3658796.15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</row>
        <row r="30">
          <cell r="A30" t="str">
            <v>ytd</v>
          </cell>
          <cell r="B30">
            <v>26239.96</v>
          </cell>
          <cell r="C30">
            <v>60249.919999999998</v>
          </cell>
          <cell r="D30">
            <v>97565.83</v>
          </cell>
          <cell r="E30">
            <v>142998.62</v>
          </cell>
          <cell r="F30">
            <v>179704.53</v>
          </cell>
          <cell r="G30">
            <v>240649.19</v>
          </cell>
          <cell r="H30">
            <v>302037.12</v>
          </cell>
          <cell r="I30">
            <v>359860.9</v>
          </cell>
          <cell r="J30">
            <v>425351.60000000003</v>
          </cell>
          <cell r="K30">
            <v>501076.08</v>
          </cell>
          <cell r="L30">
            <v>612310.87</v>
          </cell>
          <cell r="M30">
            <v>715550.53</v>
          </cell>
          <cell r="N30">
            <v>819798.74</v>
          </cell>
          <cell r="O30">
            <v>974691.99</v>
          </cell>
          <cell r="P30">
            <v>1128891.3899999999</v>
          </cell>
          <cell r="Q30">
            <v>1310639.75</v>
          </cell>
          <cell r="R30">
            <v>1449527.8599999999</v>
          </cell>
          <cell r="S30">
            <v>1615545.23</v>
          </cell>
          <cell r="T30">
            <v>1788616.7</v>
          </cell>
          <cell r="U30">
            <v>2059123.22</v>
          </cell>
          <cell r="V30">
            <v>2429300.9500000002</v>
          </cell>
          <cell r="W30">
            <v>2923821.6500000004</v>
          </cell>
          <cell r="X30">
            <v>3575227.24</v>
          </cell>
          <cell r="Y30">
            <v>4374346.68</v>
          </cell>
          <cell r="Z30">
            <v>4374346.68</v>
          </cell>
          <cell r="AA30">
            <v>4374346.68</v>
          </cell>
          <cell r="AB30">
            <v>4374346.68</v>
          </cell>
          <cell r="AC30">
            <v>4374346.68</v>
          </cell>
          <cell r="AD30">
            <v>4374346.68</v>
          </cell>
          <cell r="AE30">
            <v>4374346.68</v>
          </cell>
          <cell r="AF30">
            <v>4374346.68</v>
          </cell>
          <cell r="AG30">
            <v>4374346.68</v>
          </cell>
          <cell r="AH30">
            <v>4374346.68</v>
          </cell>
          <cell r="AI30">
            <v>4374346.68</v>
          </cell>
          <cell r="AJ30">
            <v>4374346.68</v>
          </cell>
          <cell r="AK30">
            <v>4374346.68</v>
          </cell>
          <cell r="AL30">
            <v>4374346.68</v>
          </cell>
          <cell r="AM30">
            <v>4374346.68</v>
          </cell>
          <cell r="AN30">
            <v>4374346.68</v>
          </cell>
          <cell r="AO30">
            <v>4374346.68</v>
          </cell>
          <cell r="AP30">
            <v>4374346.68</v>
          </cell>
          <cell r="AQ30">
            <v>4374346.68</v>
          </cell>
          <cell r="AR30">
            <v>4374346.68</v>
          </cell>
          <cell r="AS30">
            <v>4374346.68</v>
          </cell>
          <cell r="AT30">
            <v>4374346.68</v>
          </cell>
          <cell r="AU30">
            <v>4374346.68</v>
          </cell>
          <cell r="AV30">
            <v>4374346.68</v>
          </cell>
          <cell r="AW30">
            <v>4374346.68</v>
          </cell>
          <cell r="AX30">
            <v>4374346.68</v>
          </cell>
          <cell r="AY30">
            <v>4374346.68</v>
          </cell>
          <cell r="AZ30">
            <v>4374346.68</v>
          </cell>
          <cell r="BA30">
            <v>4374346.68</v>
          </cell>
          <cell r="BB30">
            <v>4374346.68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6561067.0100000007</v>
          </cell>
          <cell r="C35">
            <v>6117870.4100000001</v>
          </cell>
          <cell r="D35">
            <v>5997537.5</v>
          </cell>
          <cell r="E35">
            <v>6164423.25</v>
          </cell>
          <cell r="F35">
            <v>6806372.9300000006</v>
          </cell>
          <cell r="G35">
            <v>9806097.1899999995</v>
          </cell>
          <cell r="H35">
            <v>6321725.0499999998</v>
          </cell>
          <cell r="I35">
            <v>6564405.9299999997</v>
          </cell>
          <cell r="J35">
            <v>6763617.7400000002</v>
          </cell>
          <cell r="K35">
            <v>6457396.5500000007</v>
          </cell>
          <cell r="L35">
            <v>6139906.3300000001</v>
          </cell>
          <cell r="M35">
            <v>5886206.8100000005</v>
          </cell>
          <cell r="N35">
            <v>6426826.9699999997</v>
          </cell>
          <cell r="O35">
            <v>9052900.6400000006</v>
          </cell>
          <cell r="P35">
            <v>6077602.4400000004</v>
          </cell>
          <cell r="Q35">
            <v>6698179.0099999998</v>
          </cell>
          <cell r="R35">
            <v>6604304.9700000007</v>
          </cell>
          <cell r="S35">
            <v>11767047.810000001</v>
          </cell>
          <cell r="T35">
            <v>8950587.0500000007</v>
          </cell>
          <cell r="U35">
            <v>8076907.6600000001</v>
          </cell>
          <cell r="V35">
            <v>7915974.6799999997</v>
          </cell>
          <cell r="W35">
            <v>8841583.2600000016</v>
          </cell>
          <cell r="X35">
            <v>8640526.9600000009</v>
          </cell>
          <cell r="Y35">
            <v>12655314.720000001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</row>
        <row r="36">
          <cell r="A36" t="str">
            <v>ptd</v>
          </cell>
          <cell r="B36">
            <v>6561067.0100000007</v>
          </cell>
          <cell r="C36">
            <v>12678937.420000002</v>
          </cell>
          <cell r="D36">
            <v>18676474.920000002</v>
          </cell>
          <cell r="E36">
            <v>24840898.170000002</v>
          </cell>
          <cell r="F36">
            <v>6806372.9300000006</v>
          </cell>
          <cell r="G36">
            <v>16612470.120000001</v>
          </cell>
          <cell r="H36">
            <v>22934195.170000002</v>
          </cell>
          <cell r="I36">
            <v>29498601.100000001</v>
          </cell>
          <cell r="J36">
            <v>6763617.7400000002</v>
          </cell>
          <cell r="K36">
            <v>13221014.290000001</v>
          </cell>
          <cell r="L36">
            <v>19360920.620000001</v>
          </cell>
          <cell r="M36">
            <v>25247127.43</v>
          </cell>
          <cell r="N36">
            <v>6426826.9699999997</v>
          </cell>
          <cell r="O36">
            <v>15479727.609999999</v>
          </cell>
          <cell r="P36">
            <v>21557330.050000001</v>
          </cell>
          <cell r="Q36">
            <v>28255509.060000002</v>
          </cell>
          <cell r="R36">
            <v>6604304.9700000007</v>
          </cell>
          <cell r="S36">
            <v>18371352.780000001</v>
          </cell>
          <cell r="T36">
            <v>27321939.830000002</v>
          </cell>
          <cell r="U36">
            <v>35398847.490000002</v>
          </cell>
          <cell r="V36">
            <v>7915974.6799999997</v>
          </cell>
          <cell r="W36">
            <v>16757557.940000001</v>
          </cell>
          <cell r="X36">
            <v>25398084.900000002</v>
          </cell>
          <cell r="Y36">
            <v>38053399.620000005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</row>
        <row r="37">
          <cell r="A37" t="str">
            <v>qtd</v>
          </cell>
          <cell r="B37">
            <v>6561067.0100000007</v>
          </cell>
          <cell r="C37">
            <v>12678937.420000002</v>
          </cell>
          <cell r="D37">
            <v>18676474.920000002</v>
          </cell>
          <cell r="E37">
            <v>24840898.170000002</v>
          </cell>
          <cell r="F37">
            <v>31647271.100000001</v>
          </cell>
          <cell r="G37">
            <v>41453368.289999999</v>
          </cell>
          <cell r="H37">
            <v>47775093.339999996</v>
          </cell>
          <cell r="I37">
            <v>54339499.269999996</v>
          </cell>
          <cell r="J37">
            <v>61103117.009999998</v>
          </cell>
          <cell r="K37">
            <v>67560513.560000002</v>
          </cell>
          <cell r="L37">
            <v>73700419.890000001</v>
          </cell>
          <cell r="M37">
            <v>79586626.700000003</v>
          </cell>
          <cell r="N37">
            <v>6426826.9699999997</v>
          </cell>
          <cell r="O37">
            <v>15479727.609999999</v>
          </cell>
          <cell r="P37">
            <v>21557330.050000001</v>
          </cell>
          <cell r="Q37">
            <v>28255509.060000002</v>
          </cell>
          <cell r="R37">
            <v>34859814.030000001</v>
          </cell>
          <cell r="S37">
            <v>46626861.840000004</v>
          </cell>
          <cell r="T37">
            <v>55577448.890000001</v>
          </cell>
          <cell r="U37">
            <v>63654356.549999997</v>
          </cell>
          <cell r="V37">
            <v>71570331.229999989</v>
          </cell>
          <cell r="W37">
            <v>80411914.489999995</v>
          </cell>
          <cell r="X37">
            <v>89052441.449999988</v>
          </cell>
          <cell r="Y37">
            <v>101707756.16999999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</row>
        <row r="38">
          <cell r="A38" t="str">
            <v>ytd</v>
          </cell>
          <cell r="B38">
            <v>6561067.0100000007</v>
          </cell>
          <cell r="C38">
            <v>12678937.420000002</v>
          </cell>
          <cell r="D38">
            <v>18676474.920000002</v>
          </cell>
          <cell r="E38">
            <v>24840898.170000002</v>
          </cell>
          <cell r="F38">
            <v>31647271.100000001</v>
          </cell>
          <cell r="G38">
            <v>41453368.289999999</v>
          </cell>
          <cell r="H38">
            <v>47775093.339999996</v>
          </cell>
          <cell r="I38">
            <v>54339499.269999996</v>
          </cell>
          <cell r="J38">
            <v>61103117.009999998</v>
          </cell>
          <cell r="K38">
            <v>67560513.560000002</v>
          </cell>
          <cell r="L38">
            <v>73700419.890000001</v>
          </cell>
          <cell r="M38">
            <v>79586626.700000003</v>
          </cell>
          <cell r="N38">
            <v>86013453.670000002</v>
          </cell>
          <cell r="O38">
            <v>95066354.310000002</v>
          </cell>
          <cell r="P38">
            <v>101143956.75</v>
          </cell>
          <cell r="Q38">
            <v>107842135.76000001</v>
          </cell>
          <cell r="R38">
            <v>114446440.73</v>
          </cell>
          <cell r="S38">
            <v>126213488.54000001</v>
          </cell>
          <cell r="T38">
            <v>135164075.59</v>
          </cell>
          <cell r="U38">
            <v>143240983.25</v>
          </cell>
          <cell r="V38">
            <v>151156957.93000001</v>
          </cell>
          <cell r="W38">
            <v>159998541.19</v>
          </cell>
          <cell r="X38">
            <v>168639068.15000001</v>
          </cell>
          <cell r="Y38">
            <v>181294382.87</v>
          </cell>
          <cell r="Z38">
            <v>181294382.87</v>
          </cell>
          <cell r="AA38">
            <v>181294382.87</v>
          </cell>
          <cell r="AB38">
            <v>181294382.87</v>
          </cell>
          <cell r="AC38">
            <v>181294382.87</v>
          </cell>
          <cell r="AD38">
            <v>181294382.87</v>
          </cell>
          <cell r="AE38">
            <v>181294382.87</v>
          </cell>
          <cell r="AF38">
            <v>181294382.87</v>
          </cell>
          <cell r="AG38">
            <v>181294382.87</v>
          </cell>
          <cell r="AH38">
            <v>181294382.87</v>
          </cell>
          <cell r="AI38">
            <v>181294382.87</v>
          </cell>
          <cell r="AJ38">
            <v>181294382.87</v>
          </cell>
          <cell r="AK38">
            <v>181294382.87</v>
          </cell>
          <cell r="AL38">
            <v>181294382.87</v>
          </cell>
          <cell r="AM38">
            <v>181294382.87</v>
          </cell>
          <cell r="AN38">
            <v>181294382.87</v>
          </cell>
          <cell r="AO38">
            <v>181294382.87</v>
          </cell>
          <cell r="AP38">
            <v>181294382.87</v>
          </cell>
          <cell r="AQ38">
            <v>181294382.87</v>
          </cell>
          <cell r="AR38">
            <v>181294382.87</v>
          </cell>
          <cell r="AS38">
            <v>181294382.87</v>
          </cell>
          <cell r="AT38">
            <v>181294382.87</v>
          </cell>
          <cell r="AU38">
            <v>181294382.87</v>
          </cell>
          <cell r="AV38">
            <v>181294382.87</v>
          </cell>
          <cell r="AW38">
            <v>181294382.87</v>
          </cell>
          <cell r="AX38">
            <v>181294382.87</v>
          </cell>
          <cell r="AY38">
            <v>181294382.87</v>
          </cell>
          <cell r="AZ38">
            <v>181294382.87</v>
          </cell>
          <cell r="BA38">
            <v>181294382.87</v>
          </cell>
          <cell r="BB38">
            <v>181294382.87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140925</v>
          </cell>
          <cell r="C41">
            <v>144950</v>
          </cell>
          <cell r="D41">
            <v>163125</v>
          </cell>
          <cell r="E41">
            <v>148400</v>
          </cell>
          <cell r="F41">
            <v>168450</v>
          </cell>
          <cell r="G41">
            <v>242775</v>
          </cell>
          <cell r="H41">
            <v>201825</v>
          </cell>
          <cell r="I41">
            <v>246700</v>
          </cell>
          <cell r="J41">
            <v>243675</v>
          </cell>
          <cell r="K41">
            <v>185400</v>
          </cell>
          <cell r="L41">
            <v>190525</v>
          </cell>
          <cell r="M41">
            <v>189925</v>
          </cell>
          <cell r="N41">
            <v>205250</v>
          </cell>
          <cell r="O41">
            <v>279800</v>
          </cell>
          <cell r="P41">
            <v>189775</v>
          </cell>
          <cell r="Q41">
            <v>233875</v>
          </cell>
          <cell r="R41">
            <v>212650</v>
          </cell>
          <cell r="S41">
            <v>354400</v>
          </cell>
          <cell r="T41">
            <v>262750</v>
          </cell>
          <cell r="U41">
            <v>225650</v>
          </cell>
          <cell r="V41">
            <v>228100</v>
          </cell>
          <cell r="W41">
            <v>259550</v>
          </cell>
          <cell r="X41">
            <v>252875</v>
          </cell>
          <cell r="Y41">
            <v>342100</v>
          </cell>
        </row>
        <row r="42">
          <cell r="A42" t="str">
            <v>ptd</v>
          </cell>
          <cell r="B42">
            <v>140925</v>
          </cell>
          <cell r="C42">
            <v>285875</v>
          </cell>
          <cell r="D42">
            <v>449000</v>
          </cell>
          <cell r="E42">
            <v>597400</v>
          </cell>
          <cell r="F42">
            <v>168450</v>
          </cell>
          <cell r="G42">
            <v>411225</v>
          </cell>
          <cell r="H42">
            <v>613050</v>
          </cell>
          <cell r="I42">
            <v>859750</v>
          </cell>
          <cell r="J42">
            <v>243675</v>
          </cell>
          <cell r="K42">
            <v>429075</v>
          </cell>
          <cell r="L42">
            <v>619600</v>
          </cell>
          <cell r="M42">
            <v>809525</v>
          </cell>
          <cell r="N42">
            <v>205250</v>
          </cell>
          <cell r="O42">
            <v>485050</v>
          </cell>
          <cell r="P42">
            <v>674825</v>
          </cell>
          <cell r="Q42">
            <v>908700</v>
          </cell>
          <cell r="R42">
            <v>212650</v>
          </cell>
          <cell r="S42">
            <v>567050</v>
          </cell>
          <cell r="T42">
            <v>829800</v>
          </cell>
          <cell r="U42">
            <v>1055450</v>
          </cell>
          <cell r="V42">
            <v>228100</v>
          </cell>
          <cell r="W42">
            <v>487650</v>
          </cell>
          <cell r="X42">
            <v>740525</v>
          </cell>
          <cell r="Y42">
            <v>1082625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</row>
        <row r="43">
          <cell r="A43" t="str">
            <v>qtd</v>
          </cell>
          <cell r="B43">
            <v>140925</v>
          </cell>
          <cell r="C43">
            <v>285875</v>
          </cell>
          <cell r="D43">
            <v>449000</v>
          </cell>
          <cell r="E43">
            <v>597400</v>
          </cell>
          <cell r="F43">
            <v>765850</v>
          </cell>
          <cell r="G43">
            <v>1008625</v>
          </cell>
          <cell r="H43">
            <v>1210450</v>
          </cell>
          <cell r="I43">
            <v>1457150</v>
          </cell>
          <cell r="J43">
            <v>1700825</v>
          </cell>
          <cell r="K43">
            <v>1886225</v>
          </cell>
          <cell r="L43">
            <v>2076750</v>
          </cell>
          <cell r="M43">
            <v>2266675</v>
          </cell>
          <cell r="N43">
            <v>205250</v>
          </cell>
          <cell r="O43">
            <v>485050</v>
          </cell>
          <cell r="P43">
            <v>674825</v>
          </cell>
          <cell r="Q43">
            <v>908700</v>
          </cell>
          <cell r="R43">
            <v>1121350</v>
          </cell>
          <cell r="S43">
            <v>1475750</v>
          </cell>
          <cell r="T43">
            <v>1738500</v>
          </cell>
          <cell r="U43">
            <v>1964150</v>
          </cell>
          <cell r="V43">
            <v>2192250</v>
          </cell>
          <cell r="W43">
            <v>2451800</v>
          </cell>
          <cell r="X43">
            <v>2704675</v>
          </cell>
          <cell r="Y43">
            <v>3046775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</row>
        <row r="44">
          <cell r="A44" t="str">
            <v>ytd</v>
          </cell>
          <cell r="B44">
            <v>140925</v>
          </cell>
          <cell r="C44">
            <v>285875</v>
          </cell>
          <cell r="D44">
            <v>449000</v>
          </cell>
          <cell r="E44">
            <v>597400</v>
          </cell>
          <cell r="F44">
            <v>765850</v>
          </cell>
          <cell r="G44">
            <v>1008625</v>
          </cell>
          <cell r="H44">
            <v>1210450</v>
          </cell>
          <cell r="I44">
            <v>1457150</v>
          </cell>
          <cell r="J44">
            <v>1700825</v>
          </cell>
          <cell r="K44">
            <v>1886225</v>
          </cell>
          <cell r="L44">
            <v>2076750</v>
          </cell>
          <cell r="M44">
            <v>2266675</v>
          </cell>
          <cell r="N44">
            <v>2471925</v>
          </cell>
          <cell r="O44">
            <v>2751725</v>
          </cell>
          <cell r="P44">
            <v>2941500</v>
          </cell>
          <cell r="Q44">
            <v>3175375</v>
          </cell>
          <cell r="R44">
            <v>3388025</v>
          </cell>
          <cell r="S44">
            <v>3742425</v>
          </cell>
          <cell r="T44">
            <v>4005175</v>
          </cell>
          <cell r="U44">
            <v>4230825</v>
          </cell>
          <cell r="V44">
            <v>4458925</v>
          </cell>
          <cell r="W44">
            <v>4718475</v>
          </cell>
          <cell r="X44">
            <v>4971350</v>
          </cell>
          <cell r="Y44">
            <v>5313450</v>
          </cell>
          <cell r="Z44">
            <v>5313450</v>
          </cell>
          <cell r="AA44">
            <v>5313450</v>
          </cell>
          <cell r="AB44">
            <v>5313450</v>
          </cell>
          <cell r="AC44">
            <v>5313450</v>
          </cell>
          <cell r="AD44">
            <v>5313450</v>
          </cell>
          <cell r="AE44">
            <v>5313450</v>
          </cell>
          <cell r="AF44">
            <v>5313450</v>
          </cell>
          <cell r="AG44">
            <v>5313450</v>
          </cell>
          <cell r="AH44">
            <v>5313450</v>
          </cell>
          <cell r="AI44">
            <v>5313450</v>
          </cell>
          <cell r="AJ44">
            <v>5313450</v>
          </cell>
          <cell r="AK44">
            <v>5313450</v>
          </cell>
          <cell r="AL44">
            <v>5313450</v>
          </cell>
          <cell r="AM44">
            <v>5313450</v>
          </cell>
          <cell r="AN44">
            <v>5313450</v>
          </cell>
          <cell r="AO44">
            <v>5313450</v>
          </cell>
          <cell r="AP44">
            <v>5313450</v>
          </cell>
          <cell r="AQ44">
            <v>5313450</v>
          </cell>
          <cell r="AR44">
            <v>5313450</v>
          </cell>
          <cell r="AS44">
            <v>5313450</v>
          </cell>
          <cell r="AT44">
            <v>5313450</v>
          </cell>
          <cell r="AU44">
            <v>5313450</v>
          </cell>
          <cell r="AV44">
            <v>5313450</v>
          </cell>
          <cell r="AW44">
            <v>5313450</v>
          </cell>
          <cell r="AX44">
            <v>5313450</v>
          </cell>
          <cell r="AY44">
            <v>5313450</v>
          </cell>
          <cell r="AZ44">
            <v>5313450</v>
          </cell>
          <cell r="BA44">
            <v>5313450</v>
          </cell>
          <cell r="BB44">
            <v>5313450</v>
          </cell>
        </row>
        <row r="45">
          <cell r="A45" t="str">
            <v>PART</v>
          </cell>
          <cell r="B45">
            <v>6254809.9800000004</v>
          </cell>
          <cell r="C45">
            <v>6342774.9900000002</v>
          </cell>
          <cell r="D45">
            <v>6438025</v>
          </cell>
          <cell r="E45">
            <v>6229945</v>
          </cell>
          <cell r="F45">
            <v>6475235</v>
          </cell>
          <cell r="G45">
            <v>8100485</v>
          </cell>
          <cell r="H45">
            <v>8466575</v>
          </cell>
          <cell r="I45">
            <v>9734955</v>
          </cell>
          <cell r="J45">
            <v>10427740</v>
          </cell>
          <cell r="K45">
            <v>7912820</v>
          </cell>
          <cell r="L45">
            <v>8042775</v>
          </cell>
          <cell r="M45">
            <v>8226495</v>
          </cell>
          <cell r="N45">
            <v>9362905</v>
          </cell>
          <cell r="O45">
            <v>10510180</v>
          </cell>
          <cell r="P45">
            <v>7852230</v>
          </cell>
          <cell r="Q45">
            <v>9650005</v>
          </cell>
          <cell r="R45">
            <v>10063055</v>
          </cell>
          <cell r="S45">
            <v>12159095</v>
          </cell>
          <cell r="T45">
            <v>9894340</v>
          </cell>
          <cell r="U45">
            <v>10264965</v>
          </cell>
          <cell r="V45">
            <v>9956735</v>
          </cell>
          <cell r="W45">
            <v>10520860</v>
          </cell>
          <cell r="X45">
            <v>10438900</v>
          </cell>
          <cell r="Y45">
            <v>12674900</v>
          </cell>
        </row>
        <row r="46">
          <cell r="A46" t="str">
            <v>ptd</v>
          </cell>
          <cell r="B46">
            <v>6254809.9800000004</v>
          </cell>
          <cell r="C46">
            <v>12597584.970000001</v>
          </cell>
          <cell r="D46">
            <v>19035609.969999999</v>
          </cell>
          <cell r="E46">
            <v>25265554.969999999</v>
          </cell>
          <cell r="F46">
            <v>6475235</v>
          </cell>
          <cell r="G46">
            <v>14575720</v>
          </cell>
          <cell r="H46">
            <v>23042295</v>
          </cell>
          <cell r="I46">
            <v>32777250</v>
          </cell>
          <cell r="J46">
            <v>10427740</v>
          </cell>
          <cell r="K46">
            <v>18340560</v>
          </cell>
          <cell r="L46">
            <v>26383335</v>
          </cell>
          <cell r="M46">
            <v>34609830</v>
          </cell>
          <cell r="N46">
            <v>9362905</v>
          </cell>
          <cell r="O46">
            <v>19873085</v>
          </cell>
          <cell r="P46">
            <v>27725315</v>
          </cell>
          <cell r="Q46">
            <v>37375320</v>
          </cell>
          <cell r="R46">
            <v>10063055</v>
          </cell>
          <cell r="S46">
            <v>22222150</v>
          </cell>
          <cell r="T46">
            <v>32116490</v>
          </cell>
          <cell r="U46">
            <v>42381455</v>
          </cell>
          <cell r="V46">
            <v>9956735</v>
          </cell>
          <cell r="W46">
            <v>20477595</v>
          </cell>
          <cell r="X46">
            <v>30916495</v>
          </cell>
          <cell r="Y46">
            <v>43591395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</row>
        <row r="47">
          <cell r="A47" t="str">
            <v>qtd</v>
          </cell>
          <cell r="B47">
            <v>6254809.9800000004</v>
          </cell>
          <cell r="C47">
            <v>12597584.970000001</v>
          </cell>
          <cell r="D47">
            <v>19035609.969999999</v>
          </cell>
          <cell r="E47">
            <v>25265554.969999999</v>
          </cell>
          <cell r="F47">
            <v>31740789.969999999</v>
          </cell>
          <cell r="G47">
            <v>39841274.969999999</v>
          </cell>
          <cell r="H47">
            <v>48307849.969999999</v>
          </cell>
          <cell r="I47">
            <v>58042804.969999999</v>
          </cell>
          <cell r="J47">
            <v>68470544.969999999</v>
          </cell>
          <cell r="K47">
            <v>76383364.969999999</v>
          </cell>
          <cell r="L47">
            <v>84426139.969999999</v>
          </cell>
          <cell r="M47">
            <v>92652634.969999999</v>
          </cell>
          <cell r="N47">
            <v>9362905</v>
          </cell>
          <cell r="O47">
            <v>19873085</v>
          </cell>
          <cell r="P47">
            <v>27725315</v>
          </cell>
          <cell r="Q47">
            <v>37375320</v>
          </cell>
          <cell r="R47">
            <v>47438375</v>
          </cell>
          <cell r="S47">
            <v>59597470</v>
          </cell>
          <cell r="T47">
            <v>69491810</v>
          </cell>
          <cell r="U47">
            <v>79756775</v>
          </cell>
          <cell r="V47">
            <v>89713510</v>
          </cell>
          <cell r="W47">
            <v>100234370</v>
          </cell>
          <cell r="X47">
            <v>110673270</v>
          </cell>
          <cell r="Y47">
            <v>123348170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</row>
        <row r="48">
          <cell r="A48" t="str">
            <v>ytd</v>
          </cell>
          <cell r="B48">
            <v>6254809.9800000004</v>
          </cell>
          <cell r="C48">
            <v>12597584.970000001</v>
          </cell>
          <cell r="D48">
            <v>19035609.969999999</v>
          </cell>
          <cell r="E48">
            <v>25265554.969999999</v>
          </cell>
          <cell r="F48">
            <v>31740789.969999999</v>
          </cell>
          <cell r="G48">
            <v>39841274.969999999</v>
          </cell>
          <cell r="H48">
            <v>48307849.969999999</v>
          </cell>
          <cell r="I48">
            <v>58042804.969999999</v>
          </cell>
          <cell r="J48">
            <v>68470544.969999999</v>
          </cell>
          <cell r="K48">
            <v>76383364.969999999</v>
          </cell>
          <cell r="L48">
            <v>84426139.969999999</v>
          </cell>
          <cell r="M48">
            <v>92652634.969999999</v>
          </cell>
          <cell r="N48">
            <v>102015539.97</v>
          </cell>
          <cell r="O48">
            <v>112525719.97</v>
          </cell>
          <cell r="P48">
            <v>120377949.97</v>
          </cell>
          <cell r="Q48">
            <v>130027954.97</v>
          </cell>
          <cell r="R48">
            <v>140091009.97</v>
          </cell>
          <cell r="S48">
            <v>152250104.97</v>
          </cell>
          <cell r="T48">
            <v>162144444.97</v>
          </cell>
          <cell r="U48">
            <v>172409409.97</v>
          </cell>
          <cell r="V48">
            <v>182366144.97</v>
          </cell>
          <cell r="W48">
            <v>192887004.97</v>
          </cell>
          <cell r="X48">
            <v>203325904.97</v>
          </cell>
          <cell r="Y48">
            <v>216000804.97</v>
          </cell>
          <cell r="Z48">
            <v>216000804.97</v>
          </cell>
          <cell r="AA48">
            <v>216000804.97</v>
          </cell>
          <cell r="AB48">
            <v>216000804.97</v>
          </cell>
          <cell r="AC48">
            <v>216000804.97</v>
          </cell>
          <cell r="AD48">
            <v>216000804.97</v>
          </cell>
          <cell r="AE48">
            <v>216000804.97</v>
          </cell>
          <cell r="AF48">
            <v>216000804.97</v>
          </cell>
          <cell r="AG48">
            <v>216000804.97</v>
          </cell>
          <cell r="AH48">
            <v>216000804.97</v>
          </cell>
          <cell r="AI48">
            <v>216000804.97</v>
          </cell>
          <cell r="AJ48">
            <v>216000804.97</v>
          </cell>
          <cell r="AK48">
            <v>216000804.97</v>
          </cell>
          <cell r="AL48">
            <v>216000804.97</v>
          </cell>
          <cell r="AM48">
            <v>216000804.97</v>
          </cell>
          <cell r="AN48">
            <v>216000804.97</v>
          </cell>
          <cell r="AO48">
            <v>216000804.97</v>
          </cell>
          <cell r="AP48">
            <v>216000804.97</v>
          </cell>
          <cell r="AQ48">
            <v>216000804.97</v>
          </cell>
          <cell r="AR48">
            <v>216000804.97</v>
          </cell>
          <cell r="AS48">
            <v>216000804.97</v>
          </cell>
          <cell r="AT48">
            <v>216000804.97</v>
          </cell>
          <cell r="AU48">
            <v>216000804.97</v>
          </cell>
          <cell r="AV48">
            <v>216000804.97</v>
          </cell>
          <cell r="AW48">
            <v>216000804.97</v>
          </cell>
          <cell r="AX48">
            <v>216000804.97</v>
          </cell>
          <cell r="AY48">
            <v>216000804.97</v>
          </cell>
          <cell r="AZ48">
            <v>216000804.97</v>
          </cell>
          <cell r="BA48">
            <v>216000804.97</v>
          </cell>
          <cell r="BB48">
            <v>216000804.97</v>
          </cell>
        </row>
        <row r="49">
          <cell r="A49" t="str">
            <v>PRED</v>
          </cell>
          <cell r="B49">
            <v>235501.85</v>
          </cell>
          <cell r="C49">
            <v>236383.65</v>
          </cell>
          <cell r="D49">
            <v>238185.55</v>
          </cell>
          <cell r="E49">
            <v>243470.64</v>
          </cell>
          <cell r="F49">
            <v>199254.82</v>
          </cell>
          <cell r="G49">
            <v>128694.74</v>
          </cell>
          <cell r="H49">
            <v>141925.4</v>
          </cell>
          <cell r="I49">
            <v>266448.53000000003</v>
          </cell>
          <cell r="J49">
            <v>167480.22</v>
          </cell>
          <cell r="K49">
            <v>148715.84</v>
          </cell>
          <cell r="L49">
            <v>234576.15</v>
          </cell>
          <cell r="M49">
            <v>155862.07999999999</v>
          </cell>
          <cell r="N49">
            <v>186499.27</v>
          </cell>
          <cell r="O49">
            <v>192577.35</v>
          </cell>
          <cell r="P49">
            <v>177332.22</v>
          </cell>
          <cell r="Q49">
            <v>236540.15</v>
          </cell>
          <cell r="R49">
            <v>193815.11</v>
          </cell>
          <cell r="S49">
            <v>198122.08</v>
          </cell>
          <cell r="T49">
            <v>153933.99</v>
          </cell>
          <cell r="U49">
            <v>176007.91</v>
          </cell>
          <cell r="V49">
            <v>181903.09</v>
          </cell>
          <cell r="W49">
            <v>153220.76999999999</v>
          </cell>
          <cell r="X49">
            <v>199653.61</v>
          </cell>
          <cell r="Y49">
            <v>199682.02</v>
          </cell>
        </row>
        <row r="50">
          <cell r="A50" t="str">
            <v>ptd</v>
          </cell>
          <cell r="B50">
            <v>235501.85</v>
          </cell>
          <cell r="C50">
            <v>471885.5</v>
          </cell>
          <cell r="D50">
            <v>710071.05</v>
          </cell>
          <cell r="E50">
            <v>953541.69000000006</v>
          </cell>
          <cell r="F50">
            <v>199254.82</v>
          </cell>
          <cell r="G50">
            <v>327949.56</v>
          </cell>
          <cell r="H50">
            <v>469874.95999999996</v>
          </cell>
          <cell r="I50">
            <v>736323.49</v>
          </cell>
          <cell r="J50">
            <v>167480.22</v>
          </cell>
          <cell r="K50">
            <v>316196.06</v>
          </cell>
          <cell r="L50">
            <v>550772.21</v>
          </cell>
          <cell r="M50">
            <v>706634.28999999992</v>
          </cell>
          <cell r="N50">
            <v>186499.27</v>
          </cell>
          <cell r="O50">
            <v>379076.62</v>
          </cell>
          <cell r="P50">
            <v>556408.84</v>
          </cell>
          <cell r="Q50">
            <v>792948.99</v>
          </cell>
          <cell r="R50">
            <v>193815.11</v>
          </cell>
          <cell r="S50">
            <v>391937.18999999994</v>
          </cell>
          <cell r="T50">
            <v>545871.17999999993</v>
          </cell>
          <cell r="U50">
            <v>721879.09</v>
          </cell>
          <cell r="V50">
            <v>181903.09</v>
          </cell>
          <cell r="W50">
            <v>335123.86</v>
          </cell>
          <cell r="X50">
            <v>534777.47</v>
          </cell>
          <cell r="Y50">
            <v>734459.49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</row>
        <row r="51">
          <cell r="A51" t="str">
            <v>qtd</v>
          </cell>
          <cell r="B51">
            <v>235501.85</v>
          </cell>
          <cell r="C51">
            <v>471885.5</v>
          </cell>
          <cell r="D51">
            <v>710071.05</v>
          </cell>
          <cell r="E51">
            <v>953541.69000000006</v>
          </cell>
          <cell r="F51">
            <v>1152796.51</v>
          </cell>
          <cell r="G51">
            <v>1281491.25</v>
          </cell>
          <cell r="H51">
            <v>1423416.65</v>
          </cell>
          <cell r="I51">
            <v>1689865.18</v>
          </cell>
          <cell r="J51">
            <v>1857345.4</v>
          </cell>
          <cell r="K51">
            <v>2006061.24</v>
          </cell>
          <cell r="L51">
            <v>2240637.39</v>
          </cell>
          <cell r="M51">
            <v>2396499.4700000002</v>
          </cell>
          <cell r="N51">
            <v>186499.27</v>
          </cell>
          <cell r="O51">
            <v>379076.62</v>
          </cell>
          <cell r="P51">
            <v>556408.84</v>
          </cell>
          <cell r="Q51">
            <v>792948.99</v>
          </cell>
          <cell r="R51">
            <v>986764.1</v>
          </cell>
          <cell r="S51">
            <v>1184886.18</v>
          </cell>
          <cell r="T51">
            <v>1338820.17</v>
          </cell>
          <cell r="U51">
            <v>1514828.0799999998</v>
          </cell>
          <cell r="V51">
            <v>1696731.17</v>
          </cell>
          <cell r="W51">
            <v>1849951.94</v>
          </cell>
          <cell r="X51">
            <v>2049605.5499999998</v>
          </cell>
          <cell r="Y51">
            <v>2249287.5699999998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</row>
        <row r="52">
          <cell r="A52" t="str">
            <v>ytd</v>
          </cell>
          <cell r="B52">
            <v>235501.85</v>
          </cell>
          <cell r="C52">
            <v>471885.5</v>
          </cell>
          <cell r="D52">
            <v>710071.05</v>
          </cell>
          <cell r="E52">
            <v>953541.69000000006</v>
          </cell>
          <cell r="F52">
            <v>1152796.51</v>
          </cell>
          <cell r="G52">
            <v>1281491.25</v>
          </cell>
          <cell r="H52">
            <v>1423416.65</v>
          </cell>
          <cell r="I52">
            <v>1689865.18</v>
          </cell>
          <cell r="J52">
            <v>1857345.4</v>
          </cell>
          <cell r="K52">
            <v>2006061.24</v>
          </cell>
          <cell r="L52">
            <v>2240637.39</v>
          </cell>
          <cell r="M52">
            <v>2396499.4700000002</v>
          </cell>
          <cell r="N52">
            <v>2582998.7400000002</v>
          </cell>
          <cell r="O52">
            <v>2775576.0900000003</v>
          </cell>
          <cell r="P52">
            <v>2952908.3100000005</v>
          </cell>
          <cell r="Q52">
            <v>3189448.4600000004</v>
          </cell>
          <cell r="R52">
            <v>3383263.5700000003</v>
          </cell>
          <cell r="S52">
            <v>3581385.6500000004</v>
          </cell>
          <cell r="T52">
            <v>3735319.6400000006</v>
          </cell>
          <cell r="U52">
            <v>3911327.5500000007</v>
          </cell>
          <cell r="V52">
            <v>4093230.6400000006</v>
          </cell>
          <cell r="W52">
            <v>4246451.41</v>
          </cell>
          <cell r="X52">
            <v>4446105.0200000005</v>
          </cell>
          <cell r="Y52">
            <v>4645787.04</v>
          </cell>
          <cell r="Z52">
            <v>4645787.04</v>
          </cell>
          <cell r="AA52">
            <v>4645787.04</v>
          </cell>
          <cell r="AB52">
            <v>4645787.04</v>
          </cell>
          <cell r="AC52">
            <v>4645787.04</v>
          </cell>
          <cell r="AD52">
            <v>4645787.04</v>
          </cell>
          <cell r="AE52">
            <v>4645787.04</v>
          </cell>
          <cell r="AF52">
            <v>4645787.04</v>
          </cell>
          <cell r="AG52">
            <v>4645787.04</v>
          </cell>
          <cell r="AH52">
            <v>4645787.04</v>
          </cell>
          <cell r="AI52">
            <v>4645787.04</v>
          </cell>
          <cell r="AJ52">
            <v>4645787.04</v>
          </cell>
          <cell r="AK52">
            <v>4645787.04</v>
          </cell>
          <cell r="AL52">
            <v>4645787.04</v>
          </cell>
          <cell r="AM52">
            <v>4645787.04</v>
          </cell>
          <cell r="AN52">
            <v>4645787.04</v>
          </cell>
          <cell r="AO52">
            <v>4645787.04</v>
          </cell>
          <cell r="AP52">
            <v>4645787.04</v>
          </cell>
          <cell r="AQ52">
            <v>4645787.04</v>
          </cell>
          <cell r="AR52">
            <v>4645787.04</v>
          </cell>
          <cell r="AS52">
            <v>4645787.04</v>
          </cell>
          <cell r="AT52">
            <v>4645787.04</v>
          </cell>
          <cell r="AU52">
            <v>4645787.04</v>
          </cell>
          <cell r="AV52">
            <v>4645787.04</v>
          </cell>
          <cell r="AW52">
            <v>4645787.04</v>
          </cell>
          <cell r="AX52">
            <v>4645787.04</v>
          </cell>
          <cell r="AY52">
            <v>4645787.04</v>
          </cell>
          <cell r="AZ52">
            <v>4645787.04</v>
          </cell>
          <cell r="BA52">
            <v>4645787.04</v>
          </cell>
          <cell r="BB52">
            <v>4645787.04</v>
          </cell>
        </row>
        <row r="53">
          <cell r="A53" t="str">
            <v>PREG</v>
          </cell>
          <cell r="B53">
            <v>259275</v>
          </cell>
          <cell r="C53">
            <v>261675</v>
          </cell>
          <cell r="D53">
            <v>301075</v>
          </cell>
          <cell r="E53">
            <v>271450</v>
          </cell>
          <cell r="F53">
            <v>255575</v>
          </cell>
          <cell r="G53">
            <v>251550</v>
          </cell>
          <cell r="H53">
            <v>245150</v>
          </cell>
          <cell r="I53">
            <v>283675</v>
          </cell>
          <cell r="J53">
            <v>271550</v>
          </cell>
          <cell r="K53">
            <v>260050</v>
          </cell>
          <cell r="L53">
            <v>265825</v>
          </cell>
          <cell r="M53">
            <v>246850</v>
          </cell>
          <cell r="N53">
            <v>292000</v>
          </cell>
          <cell r="O53">
            <v>379600</v>
          </cell>
          <cell r="P53">
            <v>262400</v>
          </cell>
          <cell r="Q53">
            <v>297425</v>
          </cell>
          <cell r="R53">
            <v>279775</v>
          </cell>
          <cell r="S53">
            <v>398275</v>
          </cell>
          <cell r="T53">
            <v>363275</v>
          </cell>
          <cell r="U53">
            <v>322900</v>
          </cell>
          <cell r="V53">
            <v>328050</v>
          </cell>
          <cell r="W53">
            <v>403175</v>
          </cell>
          <cell r="X53">
            <v>389525</v>
          </cell>
          <cell r="Y53">
            <v>446525</v>
          </cell>
        </row>
        <row r="54">
          <cell r="A54" t="str">
            <v>ptd</v>
          </cell>
          <cell r="B54">
            <v>259275</v>
          </cell>
          <cell r="C54">
            <v>520950</v>
          </cell>
          <cell r="D54">
            <v>822025</v>
          </cell>
          <cell r="E54">
            <v>1093475</v>
          </cell>
          <cell r="F54">
            <v>255575</v>
          </cell>
          <cell r="G54">
            <v>507125</v>
          </cell>
          <cell r="H54">
            <v>752275</v>
          </cell>
          <cell r="I54">
            <v>1035950</v>
          </cell>
          <cell r="J54">
            <v>271550</v>
          </cell>
          <cell r="K54">
            <v>531600</v>
          </cell>
          <cell r="L54">
            <v>797425</v>
          </cell>
          <cell r="M54">
            <v>1044275</v>
          </cell>
          <cell r="N54">
            <v>292000</v>
          </cell>
          <cell r="O54">
            <v>671600</v>
          </cell>
          <cell r="P54">
            <v>934000</v>
          </cell>
          <cell r="Q54">
            <v>1231425</v>
          </cell>
          <cell r="R54">
            <v>279775</v>
          </cell>
          <cell r="S54">
            <v>678050</v>
          </cell>
          <cell r="T54">
            <v>1041325</v>
          </cell>
          <cell r="U54">
            <v>1364225</v>
          </cell>
          <cell r="V54">
            <v>328050</v>
          </cell>
          <cell r="W54">
            <v>731225</v>
          </cell>
          <cell r="X54">
            <v>1120750</v>
          </cell>
          <cell r="Y54">
            <v>1567275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</row>
        <row r="55">
          <cell r="A55" t="str">
            <v>qtd</v>
          </cell>
          <cell r="B55">
            <v>259275</v>
          </cell>
          <cell r="C55">
            <v>520950</v>
          </cell>
          <cell r="D55">
            <v>822025</v>
          </cell>
          <cell r="E55">
            <v>1093475</v>
          </cell>
          <cell r="F55">
            <v>1349050</v>
          </cell>
          <cell r="G55">
            <v>1600600</v>
          </cell>
          <cell r="H55">
            <v>1845750</v>
          </cell>
          <cell r="I55">
            <v>2129425</v>
          </cell>
          <cell r="J55">
            <v>2400975</v>
          </cell>
          <cell r="K55">
            <v>2661025</v>
          </cell>
          <cell r="L55">
            <v>2926850</v>
          </cell>
          <cell r="M55">
            <v>3173700</v>
          </cell>
          <cell r="N55">
            <v>292000</v>
          </cell>
          <cell r="O55">
            <v>671600</v>
          </cell>
          <cell r="P55">
            <v>934000</v>
          </cell>
          <cell r="Q55">
            <v>1231425</v>
          </cell>
          <cell r="R55">
            <v>1511200</v>
          </cell>
          <cell r="S55">
            <v>1909475</v>
          </cell>
          <cell r="T55">
            <v>2272750</v>
          </cell>
          <cell r="U55">
            <v>2595650</v>
          </cell>
          <cell r="V55">
            <v>2923700</v>
          </cell>
          <cell r="W55">
            <v>3326875</v>
          </cell>
          <cell r="X55">
            <v>3716400</v>
          </cell>
          <cell r="Y55">
            <v>4162925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</row>
        <row r="56">
          <cell r="A56" t="str">
            <v>ytd</v>
          </cell>
          <cell r="B56">
            <v>259275</v>
          </cell>
          <cell r="C56">
            <v>520950</v>
          </cell>
          <cell r="D56">
            <v>822025</v>
          </cell>
          <cell r="E56">
            <v>1093475</v>
          </cell>
          <cell r="F56">
            <v>1349050</v>
          </cell>
          <cell r="G56">
            <v>1600600</v>
          </cell>
          <cell r="H56">
            <v>1845750</v>
          </cell>
          <cell r="I56">
            <v>2129425</v>
          </cell>
          <cell r="J56">
            <v>2400975</v>
          </cell>
          <cell r="K56">
            <v>2661025</v>
          </cell>
          <cell r="L56">
            <v>2926850</v>
          </cell>
          <cell r="M56">
            <v>3173700</v>
          </cell>
          <cell r="N56">
            <v>3465700</v>
          </cell>
          <cell r="O56">
            <v>3845300</v>
          </cell>
          <cell r="P56">
            <v>4107700</v>
          </cell>
          <cell r="Q56">
            <v>4405125</v>
          </cell>
          <cell r="R56">
            <v>4684900</v>
          </cell>
          <cell r="S56">
            <v>5083175</v>
          </cell>
          <cell r="T56">
            <v>5446450</v>
          </cell>
          <cell r="U56">
            <v>5769350</v>
          </cell>
          <cell r="V56">
            <v>6097400</v>
          </cell>
          <cell r="W56">
            <v>6500575</v>
          </cell>
          <cell r="X56">
            <v>6890100</v>
          </cell>
          <cell r="Y56">
            <v>7336625</v>
          </cell>
          <cell r="Z56">
            <v>7336625</v>
          </cell>
          <cell r="AA56">
            <v>7336625</v>
          </cell>
          <cell r="AB56">
            <v>7336625</v>
          </cell>
          <cell r="AC56">
            <v>7336625</v>
          </cell>
          <cell r="AD56">
            <v>7336625</v>
          </cell>
          <cell r="AE56">
            <v>7336625</v>
          </cell>
          <cell r="AF56">
            <v>7336625</v>
          </cell>
          <cell r="AG56">
            <v>7336625</v>
          </cell>
          <cell r="AH56">
            <v>7336625</v>
          </cell>
          <cell r="AI56">
            <v>7336625</v>
          </cell>
          <cell r="AJ56">
            <v>7336625</v>
          </cell>
          <cell r="AK56">
            <v>7336625</v>
          </cell>
          <cell r="AL56">
            <v>7336625</v>
          </cell>
          <cell r="AM56">
            <v>7336625</v>
          </cell>
          <cell r="AN56">
            <v>7336625</v>
          </cell>
          <cell r="AO56">
            <v>7336625</v>
          </cell>
          <cell r="AP56">
            <v>7336625</v>
          </cell>
          <cell r="AQ56">
            <v>7336625</v>
          </cell>
          <cell r="AR56">
            <v>7336625</v>
          </cell>
          <cell r="AS56">
            <v>7336625</v>
          </cell>
          <cell r="AT56">
            <v>7336625</v>
          </cell>
          <cell r="AU56">
            <v>7336625</v>
          </cell>
          <cell r="AV56">
            <v>7336625</v>
          </cell>
          <cell r="AW56">
            <v>7336625</v>
          </cell>
          <cell r="AX56">
            <v>7336625</v>
          </cell>
          <cell r="AY56">
            <v>7336625</v>
          </cell>
          <cell r="AZ56">
            <v>7336625</v>
          </cell>
          <cell r="BA56">
            <v>7336625</v>
          </cell>
          <cell r="BB56">
            <v>7336625</v>
          </cell>
        </row>
        <row r="57">
          <cell r="A57" t="str">
            <v>SPRT</v>
          </cell>
          <cell r="B57">
            <v>31175</v>
          </cell>
          <cell r="C57">
            <v>36600</v>
          </cell>
          <cell r="D57">
            <v>35900</v>
          </cell>
          <cell r="E57">
            <v>35850</v>
          </cell>
          <cell r="F57">
            <v>51200</v>
          </cell>
          <cell r="G57">
            <v>63875</v>
          </cell>
          <cell r="H57">
            <v>49800</v>
          </cell>
          <cell r="I57">
            <v>69350</v>
          </cell>
          <cell r="J57">
            <v>67175</v>
          </cell>
          <cell r="K57">
            <v>44525</v>
          </cell>
          <cell r="L57">
            <v>53550</v>
          </cell>
          <cell r="M57">
            <v>46525</v>
          </cell>
          <cell r="N57">
            <v>58275</v>
          </cell>
          <cell r="O57">
            <v>77450</v>
          </cell>
          <cell r="P57">
            <v>44800</v>
          </cell>
          <cell r="Q57">
            <v>47375</v>
          </cell>
          <cell r="R57">
            <v>47300</v>
          </cell>
          <cell r="S57">
            <v>60100</v>
          </cell>
          <cell r="T57">
            <v>46775</v>
          </cell>
          <cell r="U57">
            <v>40000</v>
          </cell>
          <cell r="V57">
            <v>43475</v>
          </cell>
          <cell r="W57">
            <v>45325</v>
          </cell>
          <cell r="X57">
            <v>47650</v>
          </cell>
          <cell r="Y57">
            <v>84200</v>
          </cell>
        </row>
        <row r="58">
          <cell r="A58" t="str">
            <v>ptd</v>
          </cell>
          <cell r="B58">
            <v>31175</v>
          </cell>
          <cell r="C58">
            <v>67775</v>
          </cell>
          <cell r="D58">
            <v>103675</v>
          </cell>
          <cell r="E58">
            <v>139525</v>
          </cell>
          <cell r="F58">
            <v>51200</v>
          </cell>
          <cell r="G58">
            <v>115075</v>
          </cell>
          <cell r="H58">
            <v>164875</v>
          </cell>
          <cell r="I58">
            <v>234225</v>
          </cell>
          <cell r="J58">
            <v>67175</v>
          </cell>
          <cell r="K58">
            <v>111700</v>
          </cell>
          <cell r="L58">
            <v>165250</v>
          </cell>
          <cell r="M58">
            <v>211775</v>
          </cell>
          <cell r="N58">
            <v>58275</v>
          </cell>
          <cell r="O58">
            <v>135725</v>
          </cell>
          <cell r="P58">
            <v>180525</v>
          </cell>
          <cell r="Q58">
            <v>227900</v>
          </cell>
          <cell r="R58">
            <v>47300</v>
          </cell>
          <cell r="S58">
            <v>107400</v>
          </cell>
          <cell r="T58">
            <v>154175</v>
          </cell>
          <cell r="U58">
            <v>194175</v>
          </cell>
          <cell r="V58">
            <v>43475</v>
          </cell>
          <cell r="W58">
            <v>88800</v>
          </cell>
          <cell r="X58">
            <v>136450</v>
          </cell>
          <cell r="Y58">
            <v>220650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</row>
        <row r="59">
          <cell r="A59" t="str">
            <v>qtd</v>
          </cell>
          <cell r="B59">
            <v>31175</v>
          </cell>
          <cell r="C59">
            <v>67775</v>
          </cell>
          <cell r="D59">
            <v>103675</v>
          </cell>
          <cell r="E59">
            <v>139525</v>
          </cell>
          <cell r="F59">
            <v>190725</v>
          </cell>
          <cell r="G59">
            <v>254600</v>
          </cell>
          <cell r="H59">
            <v>304400</v>
          </cell>
          <cell r="I59">
            <v>373750</v>
          </cell>
          <cell r="J59">
            <v>440925</v>
          </cell>
          <cell r="K59">
            <v>485450</v>
          </cell>
          <cell r="L59">
            <v>539000</v>
          </cell>
          <cell r="M59">
            <v>585525</v>
          </cell>
          <cell r="N59">
            <v>58275</v>
          </cell>
          <cell r="O59">
            <v>135725</v>
          </cell>
          <cell r="P59">
            <v>180525</v>
          </cell>
          <cell r="Q59">
            <v>227900</v>
          </cell>
          <cell r="R59">
            <v>275200</v>
          </cell>
          <cell r="S59">
            <v>335300</v>
          </cell>
          <cell r="T59">
            <v>382075</v>
          </cell>
          <cell r="U59">
            <v>422075</v>
          </cell>
          <cell r="V59">
            <v>465550</v>
          </cell>
          <cell r="W59">
            <v>510875</v>
          </cell>
          <cell r="X59">
            <v>558525</v>
          </cell>
          <cell r="Y59">
            <v>642725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</row>
        <row r="60">
          <cell r="A60" t="str">
            <v>ytd</v>
          </cell>
          <cell r="B60">
            <v>31175</v>
          </cell>
          <cell r="C60">
            <v>67775</v>
          </cell>
          <cell r="D60">
            <v>103675</v>
          </cell>
          <cell r="E60">
            <v>139525</v>
          </cell>
          <cell r="F60">
            <v>190725</v>
          </cell>
          <cell r="G60">
            <v>254600</v>
          </cell>
          <cell r="H60">
            <v>304400</v>
          </cell>
          <cell r="I60">
            <v>373750</v>
          </cell>
          <cell r="J60">
            <v>440925</v>
          </cell>
          <cell r="K60">
            <v>485450</v>
          </cell>
          <cell r="L60">
            <v>539000</v>
          </cell>
          <cell r="M60">
            <v>585525</v>
          </cell>
          <cell r="N60">
            <v>643800</v>
          </cell>
          <cell r="O60">
            <v>721250</v>
          </cell>
          <cell r="P60">
            <v>766050</v>
          </cell>
          <cell r="Q60">
            <v>813425</v>
          </cell>
          <cell r="R60">
            <v>860725</v>
          </cell>
          <cell r="S60">
            <v>920825</v>
          </cell>
          <cell r="T60">
            <v>967600</v>
          </cell>
          <cell r="U60">
            <v>1007600</v>
          </cell>
          <cell r="V60">
            <v>1051075</v>
          </cell>
          <cell r="W60">
            <v>1096400</v>
          </cell>
          <cell r="X60">
            <v>1144050</v>
          </cell>
          <cell r="Y60">
            <v>1228250</v>
          </cell>
          <cell r="Z60">
            <v>1228250</v>
          </cell>
          <cell r="AA60">
            <v>1228250</v>
          </cell>
          <cell r="AB60">
            <v>1228250</v>
          </cell>
          <cell r="AC60">
            <v>1228250</v>
          </cell>
          <cell r="AD60">
            <v>1228250</v>
          </cell>
          <cell r="AE60">
            <v>1228250</v>
          </cell>
          <cell r="AF60">
            <v>1228250</v>
          </cell>
          <cell r="AG60">
            <v>1228250</v>
          </cell>
          <cell r="AH60">
            <v>1228250</v>
          </cell>
          <cell r="AI60">
            <v>1228250</v>
          </cell>
          <cell r="AJ60">
            <v>1228250</v>
          </cell>
          <cell r="AK60">
            <v>1228250</v>
          </cell>
          <cell r="AL60">
            <v>1228250</v>
          </cell>
          <cell r="AM60">
            <v>1228250</v>
          </cell>
          <cell r="AN60">
            <v>1228250</v>
          </cell>
          <cell r="AO60">
            <v>1228250</v>
          </cell>
          <cell r="AP60">
            <v>1228250</v>
          </cell>
          <cell r="AQ60">
            <v>1228250</v>
          </cell>
          <cell r="AR60">
            <v>1228250</v>
          </cell>
          <cell r="AS60">
            <v>1228250</v>
          </cell>
          <cell r="AT60">
            <v>1228250</v>
          </cell>
          <cell r="AU60">
            <v>1228250</v>
          </cell>
          <cell r="AV60">
            <v>1228250</v>
          </cell>
          <cell r="AW60">
            <v>1228250</v>
          </cell>
          <cell r="AX60">
            <v>1228250</v>
          </cell>
          <cell r="AY60">
            <v>1228250</v>
          </cell>
          <cell r="AZ60">
            <v>1228250</v>
          </cell>
          <cell r="BA60">
            <v>1228250</v>
          </cell>
          <cell r="BB60">
            <v>1228250</v>
          </cell>
        </row>
        <row r="61">
          <cell r="A61" t="str">
            <v>TELE</v>
          </cell>
          <cell r="B61">
            <v>180460.79999999999</v>
          </cell>
          <cell r="C61">
            <v>184724.49</v>
          </cell>
          <cell r="D61">
            <v>184109.76</v>
          </cell>
          <cell r="E61">
            <v>197783.67</v>
          </cell>
          <cell r="F61">
            <v>210731.24</v>
          </cell>
          <cell r="G61">
            <v>204100.22</v>
          </cell>
          <cell r="H61">
            <v>199272.19</v>
          </cell>
          <cell r="I61">
            <v>217194.97</v>
          </cell>
          <cell r="J61">
            <v>214189.96</v>
          </cell>
          <cell r="K61">
            <v>189178.64</v>
          </cell>
          <cell r="L61">
            <v>184549.18</v>
          </cell>
          <cell r="M61">
            <v>188343.61</v>
          </cell>
          <cell r="N61">
            <v>215363.25</v>
          </cell>
          <cell r="O61">
            <v>213404.02</v>
          </cell>
          <cell r="P61">
            <v>180469.21</v>
          </cell>
          <cell r="Q61">
            <v>186119.34</v>
          </cell>
          <cell r="R61">
            <v>211259.28</v>
          </cell>
          <cell r="S61">
            <v>216683.09</v>
          </cell>
          <cell r="T61">
            <v>202511.11</v>
          </cell>
          <cell r="U61">
            <v>199900.29</v>
          </cell>
          <cell r="V61">
            <v>190627.69</v>
          </cell>
          <cell r="W61">
            <v>211919.61</v>
          </cell>
          <cell r="X61">
            <v>204199.96</v>
          </cell>
          <cell r="Y61">
            <v>212112.84</v>
          </cell>
        </row>
        <row r="62">
          <cell r="A62" t="str">
            <v>ptd</v>
          </cell>
          <cell r="B62">
            <v>180460.79999999999</v>
          </cell>
          <cell r="C62">
            <v>365185.29</v>
          </cell>
          <cell r="D62">
            <v>549295.05000000005</v>
          </cell>
          <cell r="E62">
            <v>747078.72000000009</v>
          </cell>
          <cell r="F62">
            <v>210731.24</v>
          </cell>
          <cell r="G62">
            <v>414831.45999999996</v>
          </cell>
          <cell r="H62">
            <v>614103.64999999991</v>
          </cell>
          <cell r="I62">
            <v>831298.61999999988</v>
          </cell>
          <cell r="J62">
            <v>214189.96</v>
          </cell>
          <cell r="K62">
            <v>403368.6</v>
          </cell>
          <cell r="L62">
            <v>587917.78</v>
          </cell>
          <cell r="M62">
            <v>776261.39</v>
          </cell>
          <cell r="N62">
            <v>215363.25</v>
          </cell>
          <cell r="O62">
            <v>428767.27</v>
          </cell>
          <cell r="P62">
            <v>609236.47999999998</v>
          </cell>
          <cell r="Q62">
            <v>795355.82</v>
          </cell>
          <cell r="R62">
            <v>211259.28</v>
          </cell>
          <cell r="S62">
            <v>427942.37</v>
          </cell>
          <cell r="T62">
            <v>630453.48</v>
          </cell>
          <cell r="U62">
            <v>830353.77</v>
          </cell>
          <cell r="V62">
            <v>190627.69</v>
          </cell>
          <cell r="W62">
            <v>402547.3</v>
          </cell>
          <cell r="X62">
            <v>606747.26</v>
          </cell>
          <cell r="Y62">
            <v>818860.1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</row>
        <row r="63">
          <cell r="A63" t="str">
            <v>qtd</v>
          </cell>
          <cell r="B63">
            <v>180460.79999999999</v>
          </cell>
          <cell r="C63">
            <v>365185.29</v>
          </cell>
          <cell r="D63">
            <v>549295.05000000005</v>
          </cell>
          <cell r="E63">
            <v>747078.72000000009</v>
          </cell>
          <cell r="F63">
            <v>957809.96000000008</v>
          </cell>
          <cell r="G63">
            <v>1161910.1800000002</v>
          </cell>
          <cell r="H63">
            <v>1361182.37</v>
          </cell>
          <cell r="I63">
            <v>1578377.34</v>
          </cell>
          <cell r="J63">
            <v>1792567.3</v>
          </cell>
          <cell r="K63">
            <v>1981745.94</v>
          </cell>
          <cell r="L63">
            <v>2166295.12</v>
          </cell>
          <cell r="M63">
            <v>2354638.73</v>
          </cell>
          <cell r="N63">
            <v>215363.25</v>
          </cell>
          <cell r="O63">
            <v>428767.27</v>
          </cell>
          <cell r="P63">
            <v>609236.47999999998</v>
          </cell>
          <cell r="Q63">
            <v>795355.82</v>
          </cell>
          <cell r="R63">
            <v>1006615.1</v>
          </cell>
          <cell r="S63">
            <v>1223298.19</v>
          </cell>
          <cell r="T63">
            <v>1425809.2999999998</v>
          </cell>
          <cell r="U63">
            <v>1625709.5899999999</v>
          </cell>
          <cell r="V63">
            <v>1816337.2799999998</v>
          </cell>
          <cell r="W63">
            <v>2028256.8899999997</v>
          </cell>
          <cell r="X63">
            <v>2232456.8499999996</v>
          </cell>
          <cell r="Y63">
            <v>2444569.6899999995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</row>
        <row r="64">
          <cell r="A64" t="str">
            <v>ytd</v>
          </cell>
          <cell r="B64">
            <v>180460.79999999999</v>
          </cell>
          <cell r="C64">
            <v>365185.29</v>
          </cell>
          <cell r="D64">
            <v>549295.05000000005</v>
          </cell>
          <cell r="E64">
            <v>747078.72000000009</v>
          </cell>
          <cell r="F64">
            <v>957809.96000000008</v>
          </cell>
          <cell r="G64">
            <v>1161910.1800000002</v>
          </cell>
          <cell r="H64">
            <v>1361182.37</v>
          </cell>
          <cell r="I64">
            <v>1578377.34</v>
          </cell>
          <cell r="J64">
            <v>1792567.3</v>
          </cell>
          <cell r="K64">
            <v>1981745.94</v>
          </cell>
          <cell r="L64">
            <v>2166295.12</v>
          </cell>
          <cell r="M64">
            <v>2354638.73</v>
          </cell>
          <cell r="N64">
            <v>2570001.98</v>
          </cell>
          <cell r="O64">
            <v>2783406</v>
          </cell>
          <cell r="P64">
            <v>2963875.21</v>
          </cell>
          <cell r="Q64">
            <v>3149994.55</v>
          </cell>
          <cell r="R64">
            <v>3361253.8299999996</v>
          </cell>
          <cell r="S64">
            <v>3577936.9199999995</v>
          </cell>
          <cell r="T64">
            <v>3780448.0299999993</v>
          </cell>
          <cell r="U64">
            <v>3980348.3199999994</v>
          </cell>
          <cell r="V64">
            <v>4170976.0099999993</v>
          </cell>
          <cell r="W64">
            <v>4382895.6199999992</v>
          </cell>
          <cell r="X64">
            <v>4587095.5799999991</v>
          </cell>
          <cell r="Y64">
            <v>4799208.419999999</v>
          </cell>
          <cell r="Z64">
            <v>4799208.419999999</v>
          </cell>
          <cell r="AA64">
            <v>4799208.419999999</v>
          </cell>
          <cell r="AB64">
            <v>4799208.419999999</v>
          </cell>
          <cell r="AC64">
            <v>4799208.419999999</v>
          </cell>
          <cell r="AD64">
            <v>4799208.419999999</v>
          </cell>
          <cell r="AE64">
            <v>4799208.419999999</v>
          </cell>
          <cell r="AF64">
            <v>4799208.419999999</v>
          </cell>
          <cell r="AG64">
            <v>4799208.419999999</v>
          </cell>
          <cell r="AH64">
            <v>4799208.419999999</v>
          </cell>
          <cell r="AI64">
            <v>4799208.419999999</v>
          </cell>
          <cell r="AJ64">
            <v>4799208.419999999</v>
          </cell>
          <cell r="AK64">
            <v>4799208.419999999</v>
          </cell>
          <cell r="AL64">
            <v>4799208.419999999</v>
          </cell>
          <cell r="AM64">
            <v>4799208.419999999</v>
          </cell>
          <cell r="AN64">
            <v>4799208.419999999</v>
          </cell>
          <cell r="AO64">
            <v>4799208.419999999</v>
          </cell>
          <cell r="AP64">
            <v>4799208.419999999</v>
          </cell>
          <cell r="AQ64">
            <v>4799208.419999999</v>
          </cell>
          <cell r="AR64">
            <v>4799208.419999999</v>
          </cell>
          <cell r="AS64">
            <v>4799208.419999999</v>
          </cell>
          <cell r="AT64">
            <v>4799208.419999999</v>
          </cell>
          <cell r="AU64">
            <v>4799208.419999999</v>
          </cell>
          <cell r="AV64">
            <v>4799208.419999999</v>
          </cell>
          <cell r="AW64">
            <v>4799208.419999999</v>
          </cell>
          <cell r="AX64">
            <v>4799208.419999999</v>
          </cell>
          <cell r="AY64">
            <v>4799208.419999999</v>
          </cell>
          <cell r="AZ64">
            <v>4799208.419999999</v>
          </cell>
          <cell r="BA64">
            <v>4799208.419999999</v>
          </cell>
          <cell r="BB64">
            <v>4799208.419999999</v>
          </cell>
        </row>
        <row r="65">
          <cell r="A65" t="str">
            <v>TICK</v>
          </cell>
          <cell r="B65">
            <v>600</v>
          </cell>
          <cell r="C65">
            <v>1700</v>
          </cell>
          <cell r="D65">
            <v>700</v>
          </cell>
          <cell r="E65">
            <v>1075</v>
          </cell>
          <cell r="F65">
            <v>1975</v>
          </cell>
          <cell r="G65">
            <v>3350</v>
          </cell>
          <cell r="H65">
            <v>2625</v>
          </cell>
          <cell r="I65">
            <v>5250</v>
          </cell>
          <cell r="J65">
            <v>6450</v>
          </cell>
          <cell r="K65">
            <v>1675</v>
          </cell>
          <cell r="L65">
            <v>3250</v>
          </cell>
          <cell r="M65">
            <v>1450</v>
          </cell>
          <cell r="N65">
            <v>4600</v>
          </cell>
          <cell r="O65">
            <v>8050</v>
          </cell>
          <cell r="P65">
            <v>725</v>
          </cell>
          <cell r="Q65">
            <v>2025</v>
          </cell>
          <cell r="R65">
            <v>2250</v>
          </cell>
          <cell r="S65">
            <v>2075</v>
          </cell>
          <cell r="T65">
            <v>1275</v>
          </cell>
          <cell r="U65">
            <v>950</v>
          </cell>
          <cell r="V65">
            <v>1625</v>
          </cell>
          <cell r="W65">
            <v>3625</v>
          </cell>
          <cell r="X65">
            <v>4725</v>
          </cell>
          <cell r="Y65">
            <v>3325</v>
          </cell>
        </row>
        <row r="66">
          <cell r="A66" t="str">
            <v>ptd</v>
          </cell>
          <cell r="B66">
            <v>600</v>
          </cell>
          <cell r="C66">
            <v>2300</v>
          </cell>
          <cell r="D66">
            <v>3000</v>
          </cell>
          <cell r="E66">
            <v>4075</v>
          </cell>
          <cell r="F66">
            <v>1975</v>
          </cell>
          <cell r="G66">
            <v>5325</v>
          </cell>
          <cell r="H66">
            <v>7950</v>
          </cell>
          <cell r="I66">
            <v>13200</v>
          </cell>
          <cell r="J66">
            <v>6450</v>
          </cell>
          <cell r="K66">
            <v>8125</v>
          </cell>
          <cell r="L66">
            <v>11375</v>
          </cell>
          <cell r="M66">
            <v>12825</v>
          </cell>
          <cell r="N66">
            <v>4600</v>
          </cell>
          <cell r="O66">
            <v>12650</v>
          </cell>
          <cell r="P66">
            <v>13375</v>
          </cell>
          <cell r="Q66">
            <v>15400</v>
          </cell>
          <cell r="R66">
            <v>2250</v>
          </cell>
          <cell r="S66">
            <v>4325</v>
          </cell>
          <cell r="T66">
            <v>5600</v>
          </cell>
          <cell r="U66">
            <v>6550</v>
          </cell>
          <cell r="V66">
            <v>1625</v>
          </cell>
          <cell r="W66">
            <v>5250</v>
          </cell>
          <cell r="X66">
            <v>9975</v>
          </cell>
          <cell r="Y66">
            <v>13300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</row>
        <row r="67">
          <cell r="A67" t="str">
            <v>qtd</v>
          </cell>
          <cell r="B67">
            <v>600</v>
          </cell>
          <cell r="C67">
            <v>2300</v>
          </cell>
          <cell r="D67">
            <v>3000</v>
          </cell>
          <cell r="E67">
            <v>4075</v>
          </cell>
          <cell r="F67">
            <v>6050</v>
          </cell>
          <cell r="G67">
            <v>9400</v>
          </cell>
          <cell r="H67">
            <v>12025</v>
          </cell>
          <cell r="I67">
            <v>17275</v>
          </cell>
          <cell r="J67">
            <v>23725</v>
          </cell>
          <cell r="K67">
            <v>25400</v>
          </cell>
          <cell r="L67">
            <v>28650</v>
          </cell>
          <cell r="M67">
            <v>30100</v>
          </cell>
          <cell r="N67">
            <v>4600</v>
          </cell>
          <cell r="O67">
            <v>12650</v>
          </cell>
          <cell r="P67">
            <v>13375</v>
          </cell>
          <cell r="Q67">
            <v>15400</v>
          </cell>
          <cell r="R67">
            <v>17650</v>
          </cell>
          <cell r="S67">
            <v>19725</v>
          </cell>
          <cell r="T67">
            <v>21000</v>
          </cell>
          <cell r="U67">
            <v>21950</v>
          </cell>
          <cell r="V67">
            <v>23575</v>
          </cell>
          <cell r="W67">
            <v>27200</v>
          </cell>
          <cell r="X67">
            <v>31925</v>
          </cell>
          <cell r="Y67">
            <v>35250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</row>
        <row r="68">
          <cell r="A68" t="str">
            <v>ytd</v>
          </cell>
          <cell r="B68">
            <v>600</v>
          </cell>
          <cell r="C68">
            <v>2300</v>
          </cell>
          <cell r="D68">
            <v>3000</v>
          </cell>
          <cell r="E68">
            <v>4075</v>
          </cell>
          <cell r="F68">
            <v>6050</v>
          </cell>
          <cell r="G68">
            <v>9400</v>
          </cell>
          <cell r="H68">
            <v>12025</v>
          </cell>
          <cell r="I68">
            <v>17275</v>
          </cell>
          <cell r="J68">
            <v>23725</v>
          </cell>
          <cell r="K68">
            <v>25400</v>
          </cell>
          <cell r="L68">
            <v>28650</v>
          </cell>
          <cell r="M68">
            <v>30100</v>
          </cell>
          <cell r="N68">
            <v>34700</v>
          </cell>
          <cell r="O68">
            <v>42750</v>
          </cell>
          <cell r="P68">
            <v>43475</v>
          </cell>
          <cell r="Q68">
            <v>45500</v>
          </cell>
          <cell r="R68">
            <v>47750</v>
          </cell>
          <cell r="S68">
            <v>49825</v>
          </cell>
          <cell r="T68">
            <v>51100</v>
          </cell>
          <cell r="U68">
            <v>52050</v>
          </cell>
          <cell r="V68">
            <v>53675</v>
          </cell>
          <cell r="W68">
            <v>57300</v>
          </cell>
          <cell r="X68">
            <v>62025</v>
          </cell>
          <cell r="Y68">
            <v>65350</v>
          </cell>
          <cell r="Z68">
            <v>65350</v>
          </cell>
          <cell r="AA68">
            <v>65350</v>
          </cell>
          <cell r="AB68">
            <v>65350</v>
          </cell>
          <cell r="AC68">
            <v>65350</v>
          </cell>
          <cell r="AD68">
            <v>65350</v>
          </cell>
          <cell r="AE68">
            <v>65350</v>
          </cell>
          <cell r="AF68">
            <v>65350</v>
          </cell>
          <cell r="AG68">
            <v>65350</v>
          </cell>
          <cell r="AH68">
            <v>65350</v>
          </cell>
          <cell r="AI68">
            <v>65350</v>
          </cell>
          <cell r="AJ68">
            <v>65350</v>
          </cell>
          <cell r="AK68">
            <v>65350</v>
          </cell>
          <cell r="AL68">
            <v>65350</v>
          </cell>
          <cell r="AM68">
            <v>65350</v>
          </cell>
          <cell r="AN68">
            <v>65350</v>
          </cell>
          <cell r="AO68">
            <v>65350</v>
          </cell>
          <cell r="AP68">
            <v>65350</v>
          </cell>
          <cell r="AQ68">
            <v>65350</v>
          </cell>
          <cell r="AR68">
            <v>65350</v>
          </cell>
          <cell r="AS68">
            <v>65350</v>
          </cell>
          <cell r="AT68">
            <v>65350</v>
          </cell>
          <cell r="AU68">
            <v>65350</v>
          </cell>
          <cell r="AV68">
            <v>65350</v>
          </cell>
          <cell r="AW68">
            <v>65350</v>
          </cell>
          <cell r="AX68">
            <v>65350</v>
          </cell>
          <cell r="AY68">
            <v>65350</v>
          </cell>
          <cell r="AZ68">
            <v>65350</v>
          </cell>
          <cell r="BA68">
            <v>65350</v>
          </cell>
          <cell r="BB68">
            <v>65350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7102747.6300000008</v>
          </cell>
          <cell r="C73">
            <v>7208808.1299999999</v>
          </cell>
          <cell r="D73">
            <v>7361120.3100000005</v>
          </cell>
          <cell r="E73">
            <v>7127974.3100000005</v>
          </cell>
          <cell r="F73">
            <v>7362421.0600000005</v>
          </cell>
          <cell r="G73">
            <v>8994829.9600000009</v>
          </cell>
          <cell r="H73">
            <v>9307172.5899999999</v>
          </cell>
          <cell r="I73">
            <v>10823573.5</v>
          </cell>
          <cell r="J73">
            <v>11398260.18</v>
          </cell>
          <cell r="K73">
            <v>8742364.4800000004</v>
          </cell>
          <cell r="L73">
            <v>8975050.3300000001</v>
          </cell>
          <cell r="M73">
            <v>9055450.6899999995</v>
          </cell>
          <cell r="N73">
            <v>10324892.52</v>
          </cell>
          <cell r="O73">
            <v>11661061.369999999</v>
          </cell>
          <cell r="P73">
            <v>8707731.4299999997</v>
          </cell>
          <cell r="Q73">
            <v>10653364.49</v>
          </cell>
          <cell r="R73">
            <v>11010104.390000001</v>
          </cell>
          <cell r="S73">
            <v>13388750.17</v>
          </cell>
          <cell r="T73">
            <v>10924860.1</v>
          </cell>
          <cell r="U73">
            <v>11230373.199999999</v>
          </cell>
          <cell r="V73">
            <v>10930515.779999999</v>
          </cell>
          <cell r="W73">
            <v>11597675.380000001</v>
          </cell>
          <cell r="X73">
            <v>11537528.57</v>
          </cell>
          <cell r="Y73">
            <v>13962844.859999999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</row>
        <row r="74">
          <cell r="A74" t="str">
            <v>ptd</v>
          </cell>
          <cell r="B74">
            <v>7102747.6300000008</v>
          </cell>
          <cell r="C74">
            <v>14311555.760000002</v>
          </cell>
          <cell r="D74">
            <v>21672676.07</v>
          </cell>
          <cell r="E74">
            <v>28800650.380000003</v>
          </cell>
          <cell r="F74">
            <v>7362421.0600000005</v>
          </cell>
          <cell r="G74">
            <v>16357251.020000001</v>
          </cell>
          <cell r="H74">
            <v>25664423.609999999</v>
          </cell>
          <cell r="I74">
            <v>36487997.109999999</v>
          </cell>
          <cell r="J74">
            <v>11398260.18</v>
          </cell>
          <cell r="K74">
            <v>20140624.66</v>
          </cell>
          <cell r="L74">
            <v>29115674.990000002</v>
          </cell>
          <cell r="M74">
            <v>38171125.68</v>
          </cell>
          <cell r="N74">
            <v>10324892.52</v>
          </cell>
          <cell r="O74">
            <v>21985953.890000001</v>
          </cell>
          <cell r="P74">
            <v>30693685.32</v>
          </cell>
          <cell r="Q74">
            <v>41347049.810000002</v>
          </cell>
          <cell r="R74">
            <v>11010104.390000001</v>
          </cell>
          <cell r="S74">
            <v>24398854.560000002</v>
          </cell>
          <cell r="T74">
            <v>35323714.660000004</v>
          </cell>
          <cell r="U74">
            <v>46554087.859999999</v>
          </cell>
          <cell r="V74">
            <v>10930515.779999999</v>
          </cell>
          <cell r="W74">
            <v>22528191.16</v>
          </cell>
          <cell r="X74">
            <v>34065719.730000004</v>
          </cell>
          <cell r="Y74">
            <v>48028564.590000004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</row>
        <row r="75">
          <cell r="A75" t="str">
            <v>qtd</v>
          </cell>
          <cell r="B75">
            <v>7102747.6300000008</v>
          </cell>
          <cell r="C75">
            <v>14311555.760000002</v>
          </cell>
          <cell r="D75">
            <v>21672676.07</v>
          </cell>
          <cell r="E75">
            <v>28800650.380000003</v>
          </cell>
          <cell r="F75">
            <v>36163071.440000005</v>
          </cell>
          <cell r="G75">
            <v>45157901.400000006</v>
          </cell>
          <cell r="H75">
            <v>54465073.99000001</v>
          </cell>
          <cell r="I75">
            <v>65288647.49000001</v>
          </cell>
          <cell r="J75">
            <v>76686907.670000017</v>
          </cell>
          <cell r="K75">
            <v>85429272.150000021</v>
          </cell>
          <cell r="L75">
            <v>94404322.480000019</v>
          </cell>
          <cell r="M75">
            <v>103459773.17000002</v>
          </cell>
          <cell r="N75">
            <v>10324892.52</v>
          </cell>
          <cell r="O75">
            <v>21985953.890000001</v>
          </cell>
          <cell r="P75">
            <v>30693685.32</v>
          </cell>
          <cell r="Q75">
            <v>41347049.810000002</v>
          </cell>
          <cell r="R75">
            <v>52357154.200000003</v>
          </cell>
          <cell r="S75">
            <v>65745904.370000005</v>
          </cell>
          <cell r="T75">
            <v>76670764.469999999</v>
          </cell>
          <cell r="U75">
            <v>87901137.670000002</v>
          </cell>
          <cell r="V75">
            <v>98831653.450000003</v>
          </cell>
          <cell r="W75">
            <v>110429328.83</v>
          </cell>
          <cell r="X75">
            <v>121966857.40000001</v>
          </cell>
          <cell r="Y75">
            <v>135929702.25999999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</row>
        <row r="76">
          <cell r="A76" t="str">
            <v>ytd</v>
          </cell>
          <cell r="B76">
            <v>7102747.6300000008</v>
          </cell>
          <cell r="C76">
            <v>14311555.760000002</v>
          </cell>
          <cell r="D76">
            <v>21672676.07</v>
          </cell>
          <cell r="E76">
            <v>28800650.380000003</v>
          </cell>
          <cell r="F76">
            <v>36163071.440000005</v>
          </cell>
          <cell r="G76">
            <v>45157901.400000006</v>
          </cell>
          <cell r="H76">
            <v>54465073.99000001</v>
          </cell>
          <cell r="I76">
            <v>65288647.49000001</v>
          </cell>
          <cell r="J76">
            <v>76686907.670000017</v>
          </cell>
          <cell r="K76">
            <v>85429272.150000021</v>
          </cell>
          <cell r="L76">
            <v>94404322.480000019</v>
          </cell>
          <cell r="M76">
            <v>103459773.17000002</v>
          </cell>
          <cell r="N76">
            <v>113784665.69000001</v>
          </cell>
          <cell r="O76">
            <v>125445727.06000002</v>
          </cell>
          <cell r="P76">
            <v>134153458.49000001</v>
          </cell>
          <cell r="Q76">
            <v>144806822.98000002</v>
          </cell>
          <cell r="R76">
            <v>155816927.37</v>
          </cell>
          <cell r="S76">
            <v>169205677.53999999</v>
          </cell>
          <cell r="T76">
            <v>180130537.63999999</v>
          </cell>
          <cell r="U76">
            <v>191360910.83999997</v>
          </cell>
          <cell r="V76">
            <v>202291426.61999997</v>
          </cell>
          <cell r="W76">
            <v>213889101.99999997</v>
          </cell>
          <cell r="X76">
            <v>225426630.56999996</v>
          </cell>
          <cell r="Y76">
            <v>239389475.42999995</v>
          </cell>
          <cell r="Z76">
            <v>239389475.42999995</v>
          </cell>
          <cell r="AA76">
            <v>239389475.42999995</v>
          </cell>
          <cell r="AB76">
            <v>239389475.42999995</v>
          </cell>
          <cell r="AC76">
            <v>239389475.42999995</v>
          </cell>
          <cell r="AD76">
            <v>239389475.42999995</v>
          </cell>
          <cell r="AE76">
            <v>239389475.42999995</v>
          </cell>
          <cell r="AF76">
            <v>239389475.42999995</v>
          </cell>
          <cell r="AG76">
            <v>239389475.42999995</v>
          </cell>
          <cell r="AH76">
            <v>239389475.42999995</v>
          </cell>
          <cell r="AI76">
            <v>239389475.42999995</v>
          </cell>
          <cell r="AJ76">
            <v>239389475.42999995</v>
          </cell>
          <cell r="AK76">
            <v>239389475.42999995</v>
          </cell>
          <cell r="AL76">
            <v>239389475.42999995</v>
          </cell>
          <cell r="AM76">
            <v>239389475.42999995</v>
          </cell>
          <cell r="AN76">
            <v>239389475.42999995</v>
          </cell>
          <cell r="AO76">
            <v>239389475.42999995</v>
          </cell>
          <cell r="AP76">
            <v>239389475.42999995</v>
          </cell>
          <cell r="AQ76">
            <v>239389475.42999995</v>
          </cell>
          <cell r="AR76">
            <v>239389475.42999995</v>
          </cell>
          <cell r="AS76">
            <v>239389475.42999995</v>
          </cell>
          <cell r="AT76">
            <v>239389475.42999995</v>
          </cell>
          <cell r="AU76">
            <v>239389475.42999995</v>
          </cell>
          <cell r="AV76">
            <v>239389475.42999995</v>
          </cell>
          <cell r="AW76">
            <v>239389475.42999995</v>
          </cell>
          <cell r="AX76">
            <v>239389475.42999995</v>
          </cell>
          <cell r="AY76">
            <v>239389475.42999995</v>
          </cell>
          <cell r="AZ76">
            <v>239389475.42999995</v>
          </cell>
          <cell r="BA76">
            <v>239389475.42999995</v>
          </cell>
          <cell r="BB76">
            <v>239389475.42999995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166075.85</v>
          </cell>
          <cell r="C79">
            <v>151208.45000000001</v>
          </cell>
          <cell r="D79">
            <v>148984.20000000001</v>
          </cell>
          <cell r="E79">
            <v>156822.13</v>
          </cell>
          <cell r="F79">
            <v>175293.59</v>
          </cell>
          <cell r="G79">
            <v>312831.96999999997</v>
          </cell>
          <cell r="H79">
            <v>166318.26</v>
          </cell>
          <cell r="I79">
            <v>178328.52</v>
          </cell>
          <cell r="J79">
            <v>174738.84</v>
          </cell>
          <cell r="K79">
            <v>179392.51</v>
          </cell>
          <cell r="L79">
            <v>176753.77</v>
          </cell>
          <cell r="M79">
            <v>178177.08</v>
          </cell>
          <cell r="N79">
            <v>194753.13</v>
          </cell>
          <cell r="O79">
            <v>332965.40999999997</v>
          </cell>
          <cell r="P79">
            <v>178052.34</v>
          </cell>
          <cell r="Q79">
            <v>199817.94</v>
          </cell>
          <cell r="R79">
            <v>188443.99</v>
          </cell>
          <cell r="S79">
            <v>358886.1</v>
          </cell>
          <cell r="T79">
            <v>294897.05</v>
          </cell>
          <cell r="U79">
            <v>252614.11</v>
          </cell>
          <cell r="V79">
            <v>265750.09999999998</v>
          </cell>
          <cell r="W79">
            <v>326190.40000000002</v>
          </cell>
          <cell r="X79">
            <v>375533.05</v>
          </cell>
          <cell r="Y79">
            <v>478045</v>
          </cell>
        </row>
        <row r="80">
          <cell r="A80" t="str">
            <v>ptd</v>
          </cell>
          <cell r="B80">
            <v>166075.85</v>
          </cell>
          <cell r="C80">
            <v>317284.30000000005</v>
          </cell>
          <cell r="D80">
            <v>466268.50000000006</v>
          </cell>
          <cell r="E80">
            <v>623090.63000000012</v>
          </cell>
          <cell r="F80">
            <v>175293.59</v>
          </cell>
          <cell r="G80">
            <v>488125.55999999994</v>
          </cell>
          <cell r="H80">
            <v>654443.81999999995</v>
          </cell>
          <cell r="I80">
            <v>832772.34</v>
          </cell>
          <cell r="J80">
            <v>174738.84</v>
          </cell>
          <cell r="K80">
            <v>354131.35</v>
          </cell>
          <cell r="L80">
            <v>530885.12</v>
          </cell>
          <cell r="M80">
            <v>709062.2</v>
          </cell>
          <cell r="N80">
            <v>194753.13</v>
          </cell>
          <cell r="O80">
            <v>527718.54</v>
          </cell>
          <cell r="P80">
            <v>705770.88</v>
          </cell>
          <cell r="Q80">
            <v>905588.82000000007</v>
          </cell>
          <cell r="R80">
            <v>188443.99</v>
          </cell>
          <cell r="S80">
            <v>547330.09</v>
          </cell>
          <cell r="T80">
            <v>842227.1399999999</v>
          </cell>
          <cell r="U80">
            <v>1094841.25</v>
          </cell>
          <cell r="V80">
            <v>265750.09999999998</v>
          </cell>
          <cell r="W80">
            <v>591940.5</v>
          </cell>
          <cell r="X80">
            <v>967473.55</v>
          </cell>
          <cell r="Y80">
            <v>1445518.55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</row>
        <row r="81">
          <cell r="A81" t="str">
            <v>qtd</v>
          </cell>
          <cell r="B81">
            <v>166075.85</v>
          </cell>
          <cell r="C81">
            <v>317284.30000000005</v>
          </cell>
          <cell r="D81">
            <v>466268.50000000006</v>
          </cell>
          <cell r="E81">
            <v>623090.63000000012</v>
          </cell>
          <cell r="F81">
            <v>798384.22000000009</v>
          </cell>
          <cell r="G81">
            <v>1111216.19</v>
          </cell>
          <cell r="H81">
            <v>1277534.45</v>
          </cell>
          <cell r="I81">
            <v>1455862.97</v>
          </cell>
          <cell r="J81">
            <v>1630601.81</v>
          </cell>
          <cell r="K81">
            <v>1809994.32</v>
          </cell>
          <cell r="L81">
            <v>1986748.09</v>
          </cell>
          <cell r="M81">
            <v>2164925.17</v>
          </cell>
          <cell r="N81">
            <v>194753.13</v>
          </cell>
          <cell r="O81">
            <v>527718.54</v>
          </cell>
          <cell r="P81">
            <v>705770.88</v>
          </cell>
          <cell r="Q81">
            <v>905588.82000000007</v>
          </cell>
          <cell r="R81">
            <v>1094032.81</v>
          </cell>
          <cell r="S81">
            <v>1452918.9100000001</v>
          </cell>
          <cell r="T81">
            <v>1747815.9600000002</v>
          </cell>
          <cell r="U81">
            <v>2000430.0700000003</v>
          </cell>
          <cell r="V81">
            <v>2266180.1700000004</v>
          </cell>
          <cell r="W81">
            <v>2592370.5700000003</v>
          </cell>
          <cell r="X81">
            <v>2967903.62</v>
          </cell>
          <cell r="Y81">
            <v>3445948.62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</row>
        <row r="82">
          <cell r="A82" t="str">
            <v>ytd</v>
          </cell>
          <cell r="B82">
            <v>166075.85</v>
          </cell>
          <cell r="C82">
            <v>317284.30000000005</v>
          </cell>
          <cell r="D82">
            <v>466268.50000000006</v>
          </cell>
          <cell r="E82">
            <v>623090.63000000012</v>
          </cell>
          <cell r="F82">
            <v>798384.22000000009</v>
          </cell>
          <cell r="G82">
            <v>1111216.19</v>
          </cell>
          <cell r="H82">
            <v>1277534.45</v>
          </cell>
          <cell r="I82">
            <v>1455862.97</v>
          </cell>
          <cell r="J82">
            <v>1630601.81</v>
          </cell>
          <cell r="K82">
            <v>1809994.32</v>
          </cell>
          <cell r="L82">
            <v>1986748.09</v>
          </cell>
          <cell r="M82">
            <v>2164925.17</v>
          </cell>
          <cell r="N82">
            <v>2359678.2999999998</v>
          </cell>
          <cell r="O82">
            <v>2692643.71</v>
          </cell>
          <cell r="P82">
            <v>2870696.05</v>
          </cell>
          <cell r="Q82">
            <v>3070513.9899999998</v>
          </cell>
          <cell r="R82">
            <v>3258957.9799999995</v>
          </cell>
          <cell r="S82">
            <v>3617844.0799999996</v>
          </cell>
          <cell r="T82">
            <v>3912741.1299999994</v>
          </cell>
          <cell r="U82">
            <v>4165355.2399999993</v>
          </cell>
          <cell r="V82">
            <v>4431105.3399999989</v>
          </cell>
          <cell r="W82">
            <v>4757295.7399999993</v>
          </cell>
          <cell r="X82">
            <v>5132828.7899999991</v>
          </cell>
          <cell r="Y82">
            <v>5610873.7899999991</v>
          </cell>
          <cell r="Z82">
            <v>5610873.7899999991</v>
          </cell>
          <cell r="AA82">
            <v>5610873.7899999991</v>
          </cell>
          <cell r="AB82">
            <v>5610873.7899999991</v>
          </cell>
          <cell r="AC82">
            <v>5610873.7899999991</v>
          </cell>
          <cell r="AD82">
            <v>5610873.7899999991</v>
          </cell>
          <cell r="AE82">
            <v>5610873.7899999991</v>
          </cell>
          <cell r="AF82">
            <v>5610873.7899999991</v>
          </cell>
          <cell r="AG82">
            <v>5610873.7899999991</v>
          </cell>
          <cell r="AH82">
            <v>5610873.7899999991</v>
          </cell>
          <cell r="AI82">
            <v>5610873.7899999991</v>
          </cell>
          <cell r="AJ82">
            <v>5610873.7899999991</v>
          </cell>
          <cell r="AK82">
            <v>5610873.7899999991</v>
          </cell>
          <cell r="AL82">
            <v>5610873.7899999991</v>
          </cell>
          <cell r="AM82">
            <v>5610873.7899999991</v>
          </cell>
          <cell r="AN82">
            <v>5610873.7899999991</v>
          </cell>
          <cell r="AO82">
            <v>5610873.7899999991</v>
          </cell>
          <cell r="AP82">
            <v>5610873.7899999991</v>
          </cell>
          <cell r="AQ82">
            <v>5610873.7899999991</v>
          </cell>
          <cell r="AR82">
            <v>5610873.7899999991</v>
          </cell>
          <cell r="AS82">
            <v>5610873.7899999991</v>
          </cell>
          <cell r="AT82">
            <v>5610873.7899999991</v>
          </cell>
          <cell r="AU82">
            <v>5610873.7899999991</v>
          </cell>
          <cell r="AV82">
            <v>5610873.7899999991</v>
          </cell>
          <cell r="AW82">
            <v>5610873.7899999991</v>
          </cell>
          <cell r="AX82">
            <v>5610873.7899999991</v>
          </cell>
          <cell r="AY82">
            <v>5610873.7899999991</v>
          </cell>
          <cell r="AZ82">
            <v>5610873.7899999991</v>
          </cell>
          <cell r="BA82">
            <v>5610873.7899999991</v>
          </cell>
          <cell r="BB82">
            <v>5610873.7899999991</v>
          </cell>
        </row>
        <row r="83">
          <cell r="A83" t="str">
            <v>PART</v>
          </cell>
          <cell r="B83">
            <v>5216778.28</v>
          </cell>
          <cell r="C83">
            <v>4846090.9800000004</v>
          </cell>
          <cell r="D83">
            <v>4613965.32</v>
          </cell>
          <cell r="E83">
            <v>4850822</v>
          </cell>
          <cell r="F83">
            <v>5162136.1500000004</v>
          </cell>
          <cell r="G83">
            <v>7892017.3600000003</v>
          </cell>
          <cell r="H83">
            <v>4821074.29</v>
          </cell>
          <cell r="I83">
            <v>5116052.83</v>
          </cell>
          <cell r="J83">
            <v>5211098.17</v>
          </cell>
          <cell r="K83">
            <v>5192032.25</v>
          </cell>
          <cell r="L83">
            <v>5143620.13</v>
          </cell>
          <cell r="M83">
            <v>5065562.42</v>
          </cell>
          <cell r="N83">
            <v>5630559.8499999996</v>
          </cell>
          <cell r="O83">
            <v>8072038.2400000002</v>
          </cell>
          <cell r="P83">
            <v>5451660.5999999996</v>
          </cell>
          <cell r="Q83">
            <v>6193166.79</v>
          </cell>
          <cell r="R83">
            <v>5907899.6900000004</v>
          </cell>
          <cell r="S83">
            <v>11081654.619999999</v>
          </cell>
          <cell r="T83">
            <v>8298644.6200000001</v>
          </cell>
          <cell r="U83">
            <v>6816859.1200000001</v>
          </cell>
          <cell r="V83">
            <v>7029688.7000000002</v>
          </cell>
          <cell r="W83">
            <v>8414140.3900000006</v>
          </cell>
          <cell r="X83">
            <v>9216117.1400000006</v>
          </cell>
          <cell r="Y83">
            <v>12710676.77</v>
          </cell>
        </row>
        <row r="84">
          <cell r="A84" t="str">
            <v>ptd</v>
          </cell>
          <cell r="B84">
            <v>5216778.28</v>
          </cell>
          <cell r="C84">
            <v>10062869.260000002</v>
          </cell>
          <cell r="D84">
            <v>14676834.580000002</v>
          </cell>
          <cell r="E84">
            <v>19527656.580000002</v>
          </cell>
          <cell r="F84">
            <v>5162136.1500000004</v>
          </cell>
          <cell r="G84">
            <v>13054153.510000002</v>
          </cell>
          <cell r="H84">
            <v>17875227.800000001</v>
          </cell>
          <cell r="I84">
            <v>22991280.630000003</v>
          </cell>
          <cell r="J84">
            <v>5211098.17</v>
          </cell>
          <cell r="K84">
            <v>10403130.42</v>
          </cell>
          <cell r="L84">
            <v>15546750.550000001</v>
          </cell>
          <cell r="M84">
            <v>20612312.969999999</v>
          </cell>
          <cell r="N84">
            <v>5630559.8499999996</v>
          </cell>
          <cell r="O84">
            <v>13702598.09</v>
          </cell>
          <cell r="P84">
            <v>19154258.689999998</v>
          </cell>
          <cell r="Q84">
            <v>25347425.479999997</v>
          </cell>
          <cell r="R84">
            <v>5907899.6900000004</v>
          </cell>
          <cell r="S84">
            <v>16989554.309999999</v>
          </cell>
          <cell r="T84">
            <v>25288198.93</v>
          </cell>
          <cell r="U84">
            <v>32105058.050000001</v>
          </cell>
          <cell r="V84">
            <v>7029688.7000000002</v>
          </cell>
          <cell r="W84">
            <v>15443829.09</v>
          </cell>
          <cell r="X84">
            <v>24659946.23</v>
          </cell>
          <cell r="Y84">
            <v>37370623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</row>
        <row r="85">
          <cell r="A85" t="str">
            <v>qtd</v>
          </cell>
          <cell r="B85">
            <v>5216778.28</v>
          </cell>
          <cell r="C85">
            <v>10062869.260000002</v>
          </cell>
          <cell r="D85">
            <v>14676834.580000002</v>
          </cell>
          <cell r="E85">
            <v>19527656.580000002</v>
          </cell>
          <cell r="F85">
            <v>24689792.730000004</v>
          </cell>
          <cell r="G85">
            <v>32581810.090000004</v>
          </cell>
          <cell r="H85">
            <v>37402884.380000003</v>
          </cell>
          <cell r="I85">
            <v>42518937.210000001</v>
          </cell>
          <cell r="J85">
            <v>47730035.380000003</v>
          </cell>
          <cell r="K85">
            <v>52922067.630000003</v>
          </cell>
          <cell r="L85">
            <v>58065687.760000005</v>
          </cell>
          <cell r="M85">
            <v>63131250.180000007</v>
          </cell>
          <cell r="N85">
            <v>5630559.8499999996</v>
          </cell>
          <cell r="O85">
            <v>13702598.09</v>
          </cell>
          <cell r="P85">
            <v>19154258.689999998</v>
          </cell>
          <cell r="Q85">
            <v>25347425.479999997</v>
          </cell>
          <cell r="R85">
            <v>31255325.169999998</v>
          </cell>
          <cell r="S85">
            <v>42336979.789999999</v>
          </cell>
          <cell r="T85">
            <v>50635624.409999996</v>
          </cell>
          <cell r="U85">
            <v>57452483.529999994</v>
          </cell>
          <cell r="V85">
            <v>64482172.229999997</v>
          </cell>
          <cell r="W85">
            <v>72896312.620000005</v>
          </cell>
          <cell r="X85">
            <v>82112429.760000005</v>
          </cell>
          <cell r="Y85">
            <v>94823106.530000001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</row>
        <row r="86">
          <cell r="A86" t="str">
            <v>ytd</v>
          </cell>
          <cell r="B86">
            <v>5216778.28</v>
          </cell>
          <cell r="C86">
            <v>10062869.260000002</v>
          </cell>
          <cell r="D86">
            <v>14676834.580000002</v>
          </cell>
          <cell r="E86">
            <v>19527656.580000002</v>
          </cell>
          <cell r="F86">
            <v>24689792.730000004</v>
          </cell>
          <cell r="G86">
            <v>32581810.090000004</v>
          </cell>
          <cell r="H86">
            <v>37402884.380000003</v>
          </cell>
          <cell r="I86">
            <v>42518937.210000001</v>
          </cell>
          <cell r="J86">
            <v>47730035.380000003</v>
          </cell>
          <cell r="K86">
            <v>52922067.630000003</v>
          </cell>
          <cell r="L86">
            <v>58065687.760000005</v>
          </cell>
          <cell r="M86">
            <v>63131250.180000007</v>
          </cell>
          <cell r="N86">
            <v>68761810.030000001</v>
          </cell>
          <cell r="O86">
            <v>76833848.269999996</v>
          </cell>
          <cell r="P86">
            <v>82285508.86999999</v>
          </cell>
          <cell r="Q86">
            <v>88478675.659999996</v>
          </cell>
          <cell r="R86">
            <v>94386575.349999994</v>
          </cell>
          <cell r="S86">
            <v>105468229.97</v>
          </cell>
          <cell r="T86">
            <v>113766874.59</v>
          </cell>
          <cell r="U86">
            <v>120583733.71000001</v>
          </cell>
          <cell r="V86">
            <v>127613422.41000001</v>
          </cell>
          <cell r="W86">
            <v>136027562.80000001</v>
          </cell>
          <cell r="X86">
            <v>145243679.94</v>
          </cell>
          <cell r="Y86">
            <v>157954356.71000001</v>
          </cell>
          <cell r="Z86">
            <v>157954356.71000001</v>
          </cell>
          <cell r="AA86">
            <v>157954356.71000001</v>
          </cell>
          <cell r="AB86">
            <v>157954356.71000001</v>
          </cell>
          <cell r="AC86">
            <v>157954356.71000001</v>
          </cell>
          <cell r="AD86">
            <v>157954356.71000001</v>
          </cell>
          <cell r="AE86">
            <v>157954356.71000001</v>
          </cell>
          <cell r="AF86">
            <v>157954356.71000001</v>
          </cell>
          <cell r="AG86">
            <v>157954356.71000001</v>
          </cell>
          <cell r="AH86">
            <v>157954356.71000001</v>
          </cell>
          <cell r="AI86">
            <v>157954356.71000001</v>
          </cell>
          <cell r="AJ86">
            <v>157954356.71000001</v>
          </cell>
          <cell r="AK86">
            <v>157954356.71000001</v>
          </cell>
          <cell r="AL86">
            <v>157954356.71000001</v>
          </cell>
          <cell r="AM86">
            <v>157954356.71000001</v>
          </cell>
          <cell r="AN86">
            <v>157954356.71000001</v>
          </cell>
          <cell r="AO86">
            <v>157954356.71000001</v>
          </cell>
          <cell r="AP86">
            <v>157954356.71000001</v>
          </cell>
          <cell r="AQ86">
            <v>157954356.71000001</v>
          </cell>
          <cell r="AR86">
            <v>157954356.71000001</v>
          </cell>
          <cell r="AS86">
            <v>157954356.71000001</v>
          </cell>
          <cell r="AT86">
            <v>157954356.71000001</v>
          </cell>
          <cell r="AU86">
            <v>157954356.71000001</v>
          </cell>
          <cell r="AV86">
            <v>157954356.71000001</v>
          </cell>
          <cell r="AW86">
            <v>157954356.71000001</v>
          </cell>
          <cell r="AX86">
            <v>157954356.71000001</v>
          </cell>
          <cell r="AY86">
            <v>157954356.71000001</v>
          </cell>
          <cell r="AZ86">
            <v>157954356.71000001</v>
          </cell>
          <cell r="BA86">
            <v>157954356.71000001</v>
          </cell>
          <cell r="BB86">
            <v>157954356.71000001</v>
          </cell>
        </row>
        <row r="87">
          <cell r="A87" t="str">
            <v>PRED</v>
          </cell>
          <cell r="B87">
            <v>1956195.3</v>
          </cell>
          <cell r="C87">
            <v>1947415.78</v>
          </cell>
          <cell r="D87">
            <v>1971069.16</v>
          </cell>
          <cell r="E87">
            <v>1986992.04</v>
          </cell>
          <cell r="F87">
            <v>2193853.81</v>
          </cell>
          <cell r="G87">
            <v>2104368.61</v>
          </cell>
          <cell r="H87">
            <v>1959762.84</v>
          </cell>
          <cell r="I87">
            <v>2096845.4</v>
          </cell>
          <cell r="J87">
            <v>2157243.0299999998</v>
          </cell>
          <cell r="K87">
            <v>2048421.27</v>
          </cell>
          <cell r="L87">
            <v>2046009.68</v>
          </cell>
          <cell r="M87">
            <v>1862999.6</v>
          </cell>
          <cell r="N87">
            <v>2096692.46</v>
          </cell>
          <cell r="O87">
            <v>1876661.4</v>
          </cell>
          <cell r="P87">
            <v>1846040.66</v>
          </cell>
          <cell r="Q87">
            <v>1813860.79</v>
          </cell>
          <cell r="R87">
            <v>2003430.8</v>
          </cell>
          <cell r="S87">
            <v>1906651.75</v>
          </cell>
          <cell r="T87">
            <v>1820129.17</v>
          </cell>
          <cell r="U87">
            <v>1900189.74</v>
          </cell>
          <cell r="V87">
            <v>1649543.51</v>
          </cell>
          <cell r="W87">
            <v>2084696.18</v>
          </cell>
          <cell r="X87">
            <v>1853221.91</v>
          </cell>
          <cell r="Y87">
            <v>1946576.51</v>
          </cell>
        </row>
        <row r="88">
          <cell r="A88" t="str">
            <v>ptd</v>
          </cell>
          <cell r="B88">
            <v>1956195.3</v>
          </cell>
          <cell r="C88">
            <v>3903611.08</v>
          </cell>
          <cell r="D88">
            <v>5874680.2400000002</v>
          </cell>
          <cell r="E88">
            <v>7861672.2800000003</v>
          </cell>
          <cell r="F88">
            <v>2193853.81</v>
          </cell>
          <cell r="G88">
            <v>4298222.42</v>
          </cell>
          <cell r="H88">
            <v>6257985.2599999998</v>
          </cell>
          <cell r="I88">
            <v>8354830.6600000001</v>
          </cell>
          <cell r="J88">
            <v>2157243.0299999998</v>
          </cell>
          <cell r="K88">
            <v>4205664.3</v>
          </cell>
          <cell r="L88">
            <v>6251673.9799999995</v>
          </cell>
          <cell r="M88">
            <v>8114673.5800000001</v>
          </cell>
          <cell r="N88">
            <v>2096692.46</v>
          </cell>
          <cell r="O88">
            <v>3973353.86</v>
          </cell>
          <cell r="P88">
            <v>5819394.5199999996</v>
          </cell>
          <cell r="Q88">
            <v>7633255.3099999996</v>
          </cell>
          <cell r="R88">
            <v>2003430.8</v>
          </cell>
          <cell r="S88">
            <v>3910082.55</v>
          </cell>
          <cell r="T88">
            <v>5730211.7199999997</v>
          </cell>
          <cell r="U88">
            <v>7630401.46</v>
          </cell>
          <cell r="V88">
            <v>1649543.51</v>
          </cell>
          <cell r="W88">
            <v>3734239.69</v>
          </cell>
          <cell r="X88">
            <v>5587461.5999999996</v>
          </cell>
          <cell r="Y88">
            <v>7534038.1099999994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</row>
        <row r="89">
          <cell r="A89" t="str">
            <v>qtd</v>
          </cell>
          <cell r="B89">
            <v>1956195.3</v>
          </cell>
          <cell r="C89">
            <v>3903611.08</v>
          </cell>
          <cell r="D89">
            <v>5874680.2400000002</v>
          </cell>
          <cell r="E89">
            <v>7861672.2800000003</v>
          </cell>
          <cell r="F89">
            <v>10055526.09</v>
          </cell>
          <cell r="G89">
            <v>12159894.699999999</v>
          </cell>
          <cell r="H89">
            <v>14119657.539999999</v>
          </cell>
          <cell r="I89">
            <v>16216502.939999999</v>
          </cell>
          <cell r="J89">
            <v>18373745.969999999</v>
          </cell>
          <cell r="K89">
            <v>20422167.239999998</v>
          </cell>
          <cell r="L89">
            <v>22468176.919999998</v>
          </cell>
          <cell r="M89">
            <v>24331176.52</v>
          </cell>
          <cell r="N89">
            <v>2096692.46</v>
          </cell>
          <cell r="O89">
            <v>3973353.86</v>
          </cell>
          <cell r="P89">
            <v>5819394.5199999996</v>
          </cell>
          <cell r="Q89">
            <v>7633255.3099999996</v>
          </cell>
          <cell r="R89">
            <v>9636686.1099999994</v>
          </cell>
          <cell r="S89">
            <v>11543337.859999999</v>
          </cell>
          <cell r="T89">
            <v>13363467.029999999</v>
          </cell>
          <cell r="U89">
            <v>15263656.77</v>
          </cell>
          <cell r="V89">
            <v>16913200.280000001</v>
          </cell>
          <cell r="W89">
            <v>18997896.460000001</v>
          </cell>
          <cell r="X89">
            <v>20851118.370000001</v>
          </cell>
          <cell r="Y89">
            <v>22797694.880000003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</row>
        <row r="90">
          <cell r="A90" t="str">
            <v>ytd</v>
          </cell>
          <cell r="B90">
            <v>1956195.3</v>
          </cell>
          <cell r="C90">
            <v>3903611.08</v>
          </cell>
          <cell r="D90">
            <v>5874680.2400000002</v>
          </cell>
          <cell r="E90">
            <v>7861672.2800000003</v>
          </cell>
          <cell r="F90">
            <v>10055526.09</v>
          </cell>
          <cell r="G90">
            <v>12159894.699999999</v>
          </cell>
          <cell r="H90">
            <v>14119657.539999999</v>
          </cell>
          <cell r="I90">
            <v>16216502.939999999</v>
          </cell>
          <cell r="J90">
            <v>18373745.969999999</v>
          </cell>
          <cell r="K90">
            <v>20422167.239999998</v>
          </cell>
          <cell r="L90">
            <v>22468176.919999998</v>
          </cell>
          <cell r="M90">
            <v>24331176.52</v>
          </cell>
          <cell r="N90">
            <v>26427868.98</v>
          </cell>
          <cell r="O90">
            <v>28304530.379999999</v>
          </cell>
          <cell r="P90">
            <v>30150571.039999999</v>
          </cell>
          <cell r="Q90">
            <v>31964431.829999998</v>
          </cell>
          <cell r="R90">
            <v>33967862.629999995</v>
          </cell>
          <cell r="S90">
            <v>35874514.379999995</v>
          </cell>
          <cell r="T90">
            <v>37694643.549999997</v>
          </cell>
          <cell r="U90">
            <v>39594833.289999999</v>
          </cell>
          <cell r="V90">
            <v>41244376.799999997</v>
          </cell>
          <cell r="W90">
            <v>43329072.979999997</v>
          </cell>
          <cell r="X90">
            <v>45182294.889999993</v>
          </cell>
          <cell r="Y90">
            <v>47128871.399999991</v>
          </cell>
          <cell r="Z90">
            <v>47128871.399999991</v>
          </cell>
          <cell r="AA90">
            <v>47128871.399999991</v>
          </cell>
          <cell r="AB90">
            <v>47128871.399999991</v>
          </cell>
          <cell r="AC90">
            <v>47128871.399999991</v>
          </cell>
          <cell r="AD90">
            <v>47128871.399999991</v>
          </cell>
          <cell r="AE90">
            <v>47128871.399999991</v>
          </cell>
          <cell r="AF90">
            <v>47128871.399999991</v>
          </cell>
          <cell r="AG90">
            <v>47128871.399999991</v>
          </cell>
          <cell r="AH90">
            <v>47128871.399999991</v>
          </cell>
          <cell r="AI90">
            <v>47128871.399999991</v>
          </cell>
          <cell r="AJ90">
            <v>47128871.399999991</v>
          </cell>
          <cell r="AK90">
            <v>47128871.399999991</v>
          </cell>
          <cell r="AL90">
            <v>47128871.399999991</v>
          </cell>
          <cell r="AM90">
            <v>47128871.399999991</v>
          </cell>
          <cell r="AN90">
            <v>47128871.399999991</v>
          </cell>
          <cell r="AO90">
            <v>47128871.399999991</v>
          </cell>
          <cell r="AP90">
            <v>47128871.399999991</v>
          </cell>
          <cell r="AQ90">
            <v>47128871.399999991</v>
          </cell>
          <cell r="AR90">
            <v>47128871.399999991</v>
          </cell>
          <cell r="AS90">
            <v>47128871.399999991</v>
          </cell>
          <cell r="AT90">
            <v>47128871.399999991</v>
          </cell>
          <cell r="AU90">
            <v>47128871.399999991</v>
          </cell>
          <cell r="AV90">
            <v>47128871.399999991</v>
          </cell>
          <cell r="AW90">
            <v>47128871.399999991</v>
          </cell>
          <cell r="AX90">
            <v>47128871.399999991</v>
          </cell>
          <cell r="AY90">
            <v>47128871.399999991</v>
          </cell>
          <cell r="AZ90">
            <v>47128871.399999991</v>
          </cell>
          <cell r="BA90">
            <v>47128871.399999991</v>
          </cell>
          <cell r="BB90">
            <v>47128871.399999991</v>
          </cell>
        </row>
        <row r="91">
          <cell r="A91" t="str">
            <v>PREG</v>
          </cell>
          <cell r="B91">
            <v>2936277.27</v>
          </cell>
          <cell r="C91">
            <v>2727925.61</v>
          </cell>
          <cell r="D91">
            <v>2587496.2799999998</v>
          </cell>
          <cell r="E91">
            <v>2660857.9700000002</v>
          </cell>
          <cell r="F91">
            <v>2657559.11</v>
          </cell>
          <cell r="G91">
            <v>3066223.6</v>
          </cell>
          <cell r="H91">
            <v>2464769.23</v>
          </cell>
          <cell r="I91">
            <v>2618992.87</v>
          </cell>
          <cell r="J91">
            <v>2705896.47</v>
          </cell>
          <cell r="K91">
            <v>2653353.2599999998</v>
          </cell>
          <cell r="L91">
            <v>2591744.02</v>
          </cell>
          <cell r="M91">
            <v>2691847.62</v>
          </cell>
          <cell r="N91">
            <v>2879629.28</v>
          </cell>
          <cell r="O91">
            <v>3091367.46</v>
          </cell>
          <cell r="P91">
            <v>2769778.06</v>
          </cell>
          <cell r="Q91">
            <v>3104207.62</v>
          </cell>
          <cell r="R91">
            <v>2946614.22</v>
          </cell>
          <cell r="S91">
            <v>4221482.93</v>
          </cell>
          <cell r="T91">
            <v>3800014.74</v>
          </cell>
          <cell r="U91">
            <v>3770146.26</v>
          </cell>
          <cell r="V91">
            <v>3710831.43</v>
          </cell>
          <cell r="W91">
            <v>4401177.05</v>
          </cell>
          <cell r="X91">
            <v>4594499.33</v>
          </cell>
          <cell r="Y91">
            <v>4436299.62</v>
          </cell>
        </row>
        <row r="92">
          <cell r="A92" t="str">
            <v>ptd</v>
          </cell>
          <cell r="B92">
            <v>2936277.27</v>
          </cell>
          <cell r="C92">
            <v>5664202.8799999999</v>
          </cell>
          <cell r="D92">
            <v>8251699.1600000001</v>
          </cell>
          <cell r="E92">
            <v>10912557.130000001</v>
          </cell>
          <cell r="F92">
            <v>2657559.11</v>
          </cell>
          <cell r="G92">
            <v>5723782.71</v>
          </cell>
          <cell r="H92">
            <v>8188551.9399999995</v>
          </cell>
          <cell r="I92">
            <v>10807544.809999999</v>
          </cell>
          <cell r="J92">
            <v>2705896.47</v>
          </cell>
          <cell r="K92">
            <v>5359249.7300000004</v>
          </cell>
          <cell r="L92">
            <v>7950993.75</v>
          </cell>
          <cell r="M92">
            <v>10642841.370000001</v>
          </cell>
          <cell r="N92">
            <v>2879629.28</v>
          </cell>
          <cell r="O92">
            <v>5970996.7400000002</v>
          </cell>
          <cell r="P92">
            <v>8740774.8000000007</v>
          </cell>
          <cell r="Q92">
            <v>11844982.420000002</v>
          </cell>
          <cell r="R92">
            <v>2946614.22</v>
          </cell>
          <cell r="S92">
            <v>7168097.1500000004</v>
          </cell>
          <cell r="T92">
            <v>10968111.890000001</v>
          </cell>
          <cell r="U92">
            <v>14738258.15</v>
          </cell>
          <cell r="V92">
            <v>3710831.43</v>
          </cell>
          <cell r="W92">
            <v>8112008.4800000004</v>
          </cell>
          <cell r="X92">
            <v>12706507.810000001</v>
          </cell>
          <cell r="Y92">
            <v>17142807.43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</row>
        <row r="93">
          <cell r="A93" t="str">
            <v>qtd</v>
          </cell>
          <cell r="B93">
            <v>2936277.27</v>
          </cell>
          <cell r="C93">
            <v>5664202.8799999999</v>
          </cell>
          <cell r="D93">
            <v>8251699.1600000001</v>
          </cell>
          <cell r="E93">
            <v>10912557.130000001</v>
          </cell>
          <cell r="F93">
            <v>13570116.24</v>
          </cell>
          <cell r="G93">
            <v>16636339.84</v>
          </cell>
          <cell r="H93">
            <v>19101109.07</v>
          </cell>
          <cell r="I93">
            <v>21720101.940000001</v>
          </cell>
          <cell r="J93">
            <v>24425998.41</v>
          </cell>
          <cell r="K93">
            <v>27079351.670000002</v>
          </cell>
          <cell r="L93">
            <v>29671095.690000001</v>
          </cell>
          <cell r="M93">
            <v>32362943.310000002</v>
          </cell>
          <cell r="N93">
            <v>2879629.28</v>
          </cell>
          <cell r="O93">
            <v>5970996.7400000002</v>
          </cell>
          <cell r="P93">
            <v>8740774.8000000007</v>
          </cell>
          <cell r="Q93">
            <v>11844982.420000002</v>
          </cell>
          <cell r="R93">
            <v>14791596.640000002</v>
          </cell>
          <cell r="S93">
            <v>19013079.57</v>
          </cell>
          <cell r="T93">
            <v>22813094.310000002</v>
          </cell>
          <cell r="U93">
            <v>26583240.57</v>
          </cell>
          <cell r="V93">
            <v>30294072</v>
          </cell>
          <cell r="W93">
            <v>34695249.049999997</v>
          </cell>
          <cell r="X93">
            <v>39289748.379999995</v>
          </cell>
          <cell r="Y93">
            <v>43726047.999999993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</row>
        <row r="94">
          <cell r="A94" t="str">
            <v>ytd</v>
          </cell>
          <cell r="B94">
            <v>2936277.27</v>
          </cell>
          <cell r="C94">
            <v>5664202.8799999999</v>
          </cell>
          <cell r="D94">
            <v>8251699.1600000001</v>
          </cell>
          <cell r="E94">
            <v>10912557.130000001</v>
          </cell>
          <cell r="F94">
            <v>13570116.24</v>
          </cell>
          <cell r="G94">
            <v>16636339.84</v>
          </cell>
          <cell r="H94">
            <v>19101109.07</v>
          </cell>
          <cell r="I94">
            <v>21720101.940000001</v>
          </cell>
          <cell r="J94">
            <v>24425998.41</v>
          </cell>
          <cell r="K94">
            <v>27079351.670000002</v>
          </cell>
          <cell r="L94">
            <v>29671095.690000001</v>
          </cell>
          <cell r="M94">
            <v>32362943.310000002</v>
          </cell>
          <cell r="N94">
            <v>35242572.590000004</v>
          </cell>
          <cell r="O94">
            <v>38333940.050000004</v>
          </cell>
          <cell r="P94">
            <v>41103718.110000007</v>
          </cell>
          <cell r="Q94">
            <v>44207925.730000004</v>
          </cell>
          <cell r="R94">
            <v>47154539.950000003</v>
          </cell>
          <cell r="S94">
            <v>51376022.880000003</v>
          </cell>
          <cell r="T94">
            <v>55176037.620000005</v>
          </cell>
          <cell r="U94">
            <v>58946183.880000003</v>
          </cell>
          <cell r="V94">
            <v>62657015.310000002</v>
          </cell>
          <cell r="W94">
            <v>67058192.359999999</v>
          </cell>
          <cell r="X94">
            <v>71652691.689999998</v>
          </cell>
          <cell r="Y94">
            <v>76088991.310000002</v>
          </cell>
          <cell r="Z94">
            <v>76088991.310000002</v>
          </cell>
          <cell r="AA94">
            <v>76088991.310000002</v>
          </cell>
          <cell r="AB94">
            <v>76088991.310000002</v>
          </cell>
          <cell r="AC94">
            <v>76088991.310000002</v>
          </cell>
          <cell r="AD94">
            <v>76088991.310000002</v>
          </cell>
          <cell r="AE94">
            <v>76088991.310000002</v>
          </cell>
          <cell r="AF94">
            <v>76088991.310000002</v>
          </cell>
          <cell r="AG94">
            <v>76088991.310000002</v>
          </cell>
          <cell r="AH94">
            <v>76088991.310000002</v>
          </cell>
          <cell r="AI94">
            <v>76088991.310000002</v>
          </cell>
          <cell r="AJ94">
            <v>76088991.310000002</v>
          </cell>
          <cell r="AK94">
            <v>76088991.310000002</v>
          </cell>
          <cell r="AL94">
            <v>76088991.310000002</v>
          </cell>
          <cell r="AM94">
            <v>76088991.310000002</v>
          </cell>
          <cell r="AN94">
            <v>76088991.310000002</v>
          </cell>
          <cell r="AO94">
            <v>76088991.310000002</v>
          </cell>
          <cell r="AP94">
            <v>76088991.310000002</v>
          </cell>
          <cell r="AQ94">
            <v>76088991.310000002</v>
          </cell>
          <cell r="AR94">
            <v>76088991.310000002</v>
          </cell>
          <cell r="AS94">
            <v>76088991.310000002</v>
          </cell>
          <cell r="AT94">
            <v>76088991.310000002</v>
          </cell>
          <cell r="AU94">
            <v>76088991.310000002</v>
          </cell>
          <cell r="AV94">
            <v>76088991.310000002</v>
          </cell>
          <cell r="AW94">
            <v>76088991.310000002</v>
          </cell>
          <cell r="AX94">
            <v>76088991.310000002</v>
          </cell>
          <cell r="AY94">
            <v>76088991.310000002</v>
          </cell>
          <cell r="AZ94">
            <v>76088991.310000002</v>
          </cell>
          <cell r="BA94">
            <v>76088991.310000002</v>
          </cell>
          <cell r="BB94">
            <v>76088991.310000002</v>
          </cell>
        </row>
        <row r="95">
          <cell r="A95" t="str">
            <v>SPRT</v>
          </cell>
          <cell r="B95">
            <v>32550</v>
          </cell>
          <cell r="C95">
            <v>28475</v>
          </cell>
          <cell r="D95">
            <v>29250</v>
          </cell>
          <cell r="E95">
            <v>27525</v>
          </cell>
          <cell r="F95">
            <v>29361.63</v>
          </cell>
          <cell r="G95">
            <v>51879.12</v>
          </cell>
          <cell r="H95">
            <v>32406.080000000002</v>
          </cell>
          <cell r="I95">
            <v>35736.81</v>
          </cell>
          <cell r="J95">
            <v>33765.589999999997</v>
          </cell>
          <cell r="K95">
            <v>36596.14</v>
          </cell>
          <cell r="L95">
            <v>37480.35</v>
          </cell>
          <cell r="M95">
            <v>39225.71</v>
          </cell>
          <cell r="N95">
            <v>42429.04</v>
          </cell>
          <cell r="O95">
            <v>73212.12</v>
          </cell>
          <cell r="P95">
            <v>49516.63</v>
          </cell>
          <cell r="Q95">
            <v>49698.92</v>
          </cell>
          <cell r="R95">
            <v>47357.81</v>
          </cell>
          <cell r="S95">
            <v>66713.100000000006</v>
          </cell>
          <cell r="T95">
            <v>63556.45</v>
          </cell>
          <cell r="U95">
            <v>55944.85</v>
          </cell>
          <cell r="V95">
            <v>59616.44</v>
          </cell>
          <cell r="W95">
            <v>70628.800000000003</v>
          </cell>
          <cell r="X95">
            <v>79068.3</v>
          </cell>
          <cell r="Y95">
            <v>134304</v>
          </cell>
        </row>
        <row r="96">
          <cell r="A96" t="str">
            <v>ptd</v>
          </cell>
          <cell r="B96">
            <v>32550</v>
          </cell>
          <cell r="C96">
            <v>61025</v>
          </cell>
          <cell r="D96">
            <v>90275</v>
          </cell>
          <cell r="E96">
            <v>117800</v>
          </cell>
          <cell r="F96">
            <v>29361.63</v>
          </cell>
          <cell r="G96">
            <v>81240.75</v>
          </cell>
          <cell r="H96">
            <v>113646.83</v>
          </cell>
          <cell r="I96">
            <v>149383.64000000001</v>
          </cell>
          <cell r="J96">
            <v>33765.589999999997</v>
          </cell>
          <cell r="K96">
            <v>70361.73</v>
          </cell>
          <cell r="L96">
            <v>107842.07999999999</v>
          </cell>
          <cell r="M96">
            <v>147067.78999999998</v>
          </cell>
          <cell r="N96">
            <v>42429.04</v>
          </cell>
          <cell r="O96">
            <v>115641.16</v>
          </cell>
          <cell r="P96">
            <v>165157.79</v>
          </cell>
          <cell r="Q96">
            <v>214856.71000000002</v>
          </cell>
          <cell r="R96">
            <v>47357.81</v>
          </cell>
          <cell r="S96">
            <v>114070.91</v>
          </cell>
          <cell r="T96">
            <v>177627.36</v>
          </cell>
          <cell r="U96">
            <v>233572.21</v>
          </cell>
          <cell r="V96">
            <v>59616.44</v>
          </cell>
          <cell r="W96">
            <v>130245.24</v>
          </cell>
          <cell r="X96">
            <v>209313.54</v>
          </cell>
          <cell r="Y96">
            <v>343617.54000000004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</row>
        <row r="97">
          <cell r="A97" t="str">
            <v>qtd</v>
          </cell>
          <cell r="B97">
            <v>32550</v>
          </cell>
          <cell r="C97">
            <v>61025</v>
          </cell>
          <cell r="D97">
            <v>90275</v>
          </cell>
          <cell r="E97">
            <v>117800</v>
          </cell>
          <cell r="F97">
            <v>147161.63</v>
          </cell>
          <cell r="G97">
            <v>199040.75</v>
          </cell>
          <cell r="H97">
            <v>231446.83000000002</v>
          </cell>
          <cell r="I97">
            <v>267183.64</v>
          </cell>
          <cell r="J97">
            <v>300949.23</v>
          </cell>
          <cell r="K97">
            <v>337545.37</v>
          </cell>
          <cell r="L97">
            <v>375025.72</v>
          </cell>
          <cell r="M97">
            <v>414251.43</v>
          </cell>
          <cell r="N97">
            <v>42429.04</v>
          </cell>
          <cell r="O97">
            <v>115641.16</v>
          </cell>
          <cell r="P97">
            <v>165157.79</v>
          </cell>
          <cell r="Q97">
            <v>214856.71000000002</v>
          </cell>
          <cell r="R97">
            <v>262214.52</v>
          </cell>
          <cell r="S97">
            <v>328927.62</v>
          </cell>
          <cell r="T97">
            <v>392484.07</v>
          </cell>
          <cell r="U97">
            <v>448428.92</v>
          </cell>
          <cell r="V97">
            <v>508045.36</v>
          </cell>
          <cell r="W97">
            <v>578674.16</v>
          </cell>
          <cell r="X97">
            <v>657742.46000000008</v>
          </cell>
          <cell r="Y97">
            <v>792046.46000000008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</row>
        <row r="98">
          <cell r="A98" t="str">
            <v>ytd</v>
          </cell>
          <cell r="B98">
            <v>32550</v>
          </cell>
          <cell r="C98">
            <v>61025</v>
          </cell>
          <cell r="D98">
            <v>90275</v>
          </cell>
          <cell r="E98">
            <v>117800</v>
          </cell>
          <cell r="F98">
            <v>147161.63</v>
          </cell>
          <cell r="G98">
            <v>199040.75</v>
          </cell>
          <cell r="H98">
            <v>231446.83000000002</v>
          </cell>
          <cell r="I98">
            <v>267183.64</v>
          </cell>
          <cell r="J98">
            <v>300949.23</v>
          </cell>
          <cell r="K98">
            <v>337545.37</v>
          </cell>
          <cell r="L98">
            <v>375025.72</v>
          </cell>
          <cell r="M98">
            <v>414251.43</v>
          </cell>
          <cell r="N98">
            <v>456680.47</v>
          </cell>
          <cell r="O98">
            <v>529892.59</v>
          </cell>
          <cell r="P98">
            <v>579409.22</v>
          </cell>
          <cell r="Q98">
            <v>629108.14</v>
          </cell>
          <cell r="R98">
            <v>676465.95</v>
          </cell>
          <cell r="S98">
            <v>743179.04999999993</v>
          </cell>
          <cell r="T98">
            <v>806735.49999999988</v>
          </cell>
          <cell r="U98">
            <v>862680.34999999986</v>
          </cell>
          <cell r="V98">
            <v>922296.7899999998</v>
          </cell>
          <cell r="W98">
            <v>992925.58999999985</v>
          </cell>
          <cell r="X98">
            <v>1071993.8899999999</v>
          </cell>
          <cell r="Y98">
            <v>1206297.8899999999</v>
          </cell>
          <cell r="Z98">
            <v>1206297.8899999999</v>
          </cell>
          <cell r="AA98">
            <v>1206297.8899999999</v>
          </cell>
          <cell r="AB98">
            <v>1206297.8899999999</v>
          </cell>
          <cell r="AC98">
            <v>1206297.8899999999</v>
          </cell>
          <cell r="AD98">
            <v>1206297.8899999999</v>
          </cell>
          <cell r="AE98">
            <v>1206297.8899999999</v>
          </cell>
          <cell r="AF98">
            <v>1206297.8899999999</v>
          </cell>
          <cell r="AG98">
            <v>1206297.8899999999</v>
          </cell>
          <cell r="AH98">
            <v>1206297.8899999999</v>
          </cell>
          <cell r="AI98">
            <v>1206297.8899999999</v>
          </cell>
          <cell r="AJ98">
            <v>1206297.8899999999</v>
          </cell>
          <cell r="AK98">
            <v>1206297.8899999999</v>
          </cell>
          <cell r="AL98">
            <v>1206297.8899999999</v>
          </cell>
          <cell r="AM98">
            <v>1206297.8899999999</v>
          </cell>
          <cell r="AN98">
            <v>1206297.8899999999</v>
          </cell>
          <cell r="AO98">
            <v>1206297.8899999999</v>
          </cell>
          <cell r="AP98">
            <v>1206297.8899999999</v>
          </cell>
          <cell r="AQ98">
            <v>1206297.8899999999</v>
          </cell>
          <cell r="AR98">
            <v>1206297.8899999999</v>
          </cell>
          <cell r="AS98">
            <v>1206297.8899999999</v>
          </cell>
          <cell r="AT98">
            <v>1206297.8899999999</v>
          </cell>
          <cell r="AU98">
            <v>1206297.8899999999</v>
          </cell>
          <cell r="AV98">
            <v>1206297.8899999999</v>
          </cell>
          <cell r="AW98">
            <v>1206297.8899999999</v>
          </cell>
          <cell r="AX98">
            <v>1206297.8899999999</v>
          </cell>
          <cell r="AY98">
            <v>1206297.8899999999</v>
          </cell>
          <cell r="AZ98">
            <v>1206297.8899999999</v>
          </cell>
          <cell r="BA98">
            <v>1206297.8899999999</v>
          </cell>
          <cell r="BB98">
            <v>1206297.8899999999</v>
          </cell>
        </row>
        <row r="99">
          <cell r="A99" t="str">
            <v>TELE</v>
          </cell>
          <cell r="B99">
            <v>871921.17</v>
          </cell>
          <cell r="C99">
            <v>808727.91</v>
          </cell>
          <cell r="D99">
            <v>817645.15</v>
          </cell>
          <cell r="E99">
            <v>860173.16</v>
          </cell>
          <cell r="F99">
            <v>952147.36</v>
          </cell>
          <cell r="G99">
            <v>870094.34</v>
          </cell>
          <cell r="H99">
            <v>824790.48</v>
          </cell>
          <cell r="I99">
            <v>856917.46</v>
          </cell>
          <cell r="J99">
            <v>917957.74</v>
          </cell>
          <cell r="K99">
            <v>828833.45</v>
          </cell>
          <cell r="L99">
            <v>797774.75</v>
          </cell>
          <cell r="M99">
            <v>775861.88</v>
          </cell>
          <cell r="N99">
            <v>917507.7</v>
          </cell>
          <cell r="O99">
            <v>835924.47999999998</v>
          </cell>
          <cell r="P99">
            <v>799307.19</v>
          </cell>
          <cell r="Q99">
            <v>793090.08</v>
          </cell>
          <cell r="R99">
            <v>860813.96</v>
          </cell>
          <cell r="S99">
            <v>876980.07</v>
          </cell>
          <cell r="T99">
            <v>835734.44</v>
          </cell>
          <cell r="U99">
            <v>819096.98</v>
          </cell>
          <cell r="V99">
            <v>791930.89</v>
          </cell>
          <cell r="W99">
            <v>936311.55</v>
          </cell>
          <cell r="X99">
            <v>823201.99</v>
          </cell>
          <cell r="Y99">
            <v>845502.28</v>
          </cell>
        </row>
        <row r="100">
          <cell r="A100" t="str">
            <v>ptd</v>
          </cell>
          <cell r="B100">
            <v>871921.17</v>
          </cell>
          <cell r="C100">
            <v>1680649.08</v>
          </cell>
          <cell r="D100">
            <v>2498294.23</v>
          </cell>
          <cell r="E100">
            <v>3358467.39</v>
          </cell>
          <cell r="F100">
            <v>952147.36</v>
          </cell>
          <cell r="G100">
            <v>1822241.7</v>
          </cell>
          <cell r="H100">
            <v>2647032.1799999997</v>
          </cell>
          <cell r="I100">
            <v>3503949.6399999997</v>
          </cell>
          <cell r="J100">
            <v>917957.74</v>
          </cell>
          <cell r="K100">
            <v>1746791.19</v>
          </cell>
          <cell r="L100">
            <v>2544565.94</v>
          </cell>
          <cell r="M100">
            <v>3320427.82</v>
          </cell>
          <cell r="N100">
            <v>917507.7</v>
          </cell>
          <cell r="O100">
            <v>1753432.18</v>
          </cell>
          <cell r="P100">
            <v>2552739.37</v>
          </cell>
          <cell r="Q100">
            <v>3345829.45</v>
          </cell>
          <cell r="R100">
            <v>860813.96</v>
          </cell>
          <cell r="S100">
            <v>1737794.0299999998</v>
          </cell>
          <cell r="T100">
            <v>2573528.4699999997</v>
          </cell>
          <cell r="U100">
            <v>3392625.4499999997</v>
          </cell>
          <cell r="V100">
            <v>791930.89</v>
          </cell>
          <cell r="W100">
            <v>1728242.44</v>
          </cell>
          <cell r="X100">
            <v>2551444.4299999997</v>
          </cell>
          <cell r="Y100">
            <v>3396946.71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</row>
        <row r="101">
          <cell r="A101" t="str">
            <v>qtd</v>
          </cell>
          <cell r="B101">
            <v>871921.17</v>
          </cell>
          <cell r="C101">
            <v>1680649.08</v>
          </cell>
          <cell r="D101">
            <v>2498294.23</v>
          </cell>
          <cell r="E101">
            <v>3358467.39</v>
          </cell>
          <cell r="F101">
            <v>4310614.75</v>
          </cell>
          <cell r="G101">
            <v>5180709.09</v>
          </cell>
          <cell r="H101">
            <v>6005499.5700000003</v>
          </cell>
          <cell r="I101">
            <v>6862417.0300000003</v>
          </cell>
          <cell r="J101">
            <v>7780374.7700000005</v>
          </cell>
          <cell r="K101">
            <v>8609208.2200000007</v>
          </cell>
          <cell r="L101">
            <v>9406982.9700000007</v>
          </cell>
          <cell r="M101">
            <v>10182844.850000001</v>
          </cell>
          <cell r="N101">
            <v>917507.7</v>
          </cell>
          <cell r="O101">
            <v>1753432.18</v>
          </cell>
          <cell r="P101">
            <v>2552739.37</v>
          </cell>
          <cell r="Q101">
            <v>3345829.45</v>
          </cell>
          <cell r="R101">
            <v>4206643.41</v>
          </cell>
          <cell r="S101">
            <v>5083623.4800000004</v>
          </cell>
          <cell r="T101">
            <v>5919357.9199999999</v>
          </cell>
          <cell r="U101">
            <v>6738454.9000000004</v>
          </cell>
          <cell r="V101">
            <v>7530385.79</v>
          </cell>
          <cell r="W101">
            <v>8466697.3399999999</v>
          </cell>
          <cell r="X101">
            <v>9289899.3300000001</v>
          </cell>
          <cell r="Y101">
            <v>10135401.609999999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</row>
        <row r="102">
          <cell r="A102" t="str">
            <v>ytd</v>
          </cell>
          <cell r="B102">
            <v>871921.17</v>
          </cell>
          <cell r="C102">
            <v>1680649.08</v>
          </cell>
          <cell r="D102">
            <v>2498294.23</v>
          </cell>
          <cell r="E102">
            <v>3358467.39</v>
          </cell>
          <cell r="F102">
            <v>4310614.75</v>
          </cell>
          <cell r="G102">
            <v>5180709.09</v>
          </cell>
          <cell r="H102">
            <v>6005499.5700000003</v>
          </cell>
          <cell r="I102">
            <v>6862417.0300000003</v>
          </cell>
          <cell r="J102">
            <v>7780374.7700000005</v>
          </cell>
          <cell r="K102">
            <v>8609208.2200000007</v>
          </cell>
          <cell r="L102">
            <v>9406982.9700000007</v>
          </cell>
          <cell r="M102">
            <v>10182844.850000001</v>
          </cell>
          <cell r="N102">
            <v>11100352.550000001</v>
          </cell>
          <cell r="O102">
            <v>11936277.030000001</v>
          </cell>
          <cell r="P102">
            <v>12735584.220000001</v>
          </cell>
          <cell r="Q102">
            <v>13528674.300000001</v>
          </cell>
          <cell r="R102">
            <v>14389488.260000002</v>
          </cell>
          <cell r="S102">
            <v>15266468.330000002</v>
          </cell>
          <cell r="T102">
            <v>16102202.770000001</v>
          </cell>
          <cell r="U102">
            <v>16921299.75</v>
          </cell>
          <cell r="V102">
            <v>17713230.640000001</v>
          </cell>
          <cell r="W102">
            <v>18649542.190000001</v>
          </cell>
          <cell r="X102">
            <v>19472744.18</v>
          </cell>
          <cell r="Y102">
            <v>20318246.460000001</v>
          </cell>
          <cell r="Z102">
            <v>20318246.460000001</v>
          </cell>
          <cell r="AA102">
            <v>20318246.460000001</v>
          </cell>
          <cell r="AB102">
            <v>20318246.460000001</v>
          </cell>
          <cell r="AC102">
            <v>20318246.460000001</v>
          </cell>
          <cell r="AD102">
            <v>20318246.460000001</v>
          </cell>
          <cell r="AE102">
            <v>20318246.460000001</v>
          </cell>
          <cell r="AF102">
            <v>20318246.460000001</v>
          </cell>
          <cell r="AG102">
            <v>20318246.460000001</v>
          </cell>
          <cell r="AH102">
            <v>20318246.460000001</v>
          </cell>
          <cell r="AI102">
            <v>20318246.460000001</v>
          </cell>
          <cell r="AJ102">
            <v>20318246.460000001</v>
          </cell>
          <cell r="AK102">
            <v>20318246.460000001</v>
          </cell>
          <cell r="AL102">
            <v>20318246.460000001</v>
          </cell>
          <cell r="AM102">
            <v>20318246.460000001</v>
          </cell>
          <cell r="AN102">
            <v>20318246.460000001</v>
          </cell>
          <cell r="AO102">
            <v>20318246.460000001</v>
          </cell>
          <cell r="AP102">
            <v>20318246.460000001</v>
          </cell>
          <cell r="AQ102">
            <v>20318246.460000001</v>
          </cell>
          <cell r="AR102">
            <v>20318246.460000001</v>
          </cell>
          <cell r="AS102">
            <v>20318246.460000001</v>
          </cell>
          <cell r="AT102">
            <v>20318246.460000001</v>
          </cell>
          <cell r="AU102">
            <v>20318246.460000001</v>
          </cell>
          <cell r="AV102">
            <v>20318246.460000001</v>
          </cell>
          <cell r="AW102">
            <v>20318246.460000001</v>
          </cell>
          <cell r="AX102">
            <v>20318246.460000001</v>
          </cell>
          <cell r="AY102">
            <v>20318246.460000001</v>
          </cell>
          <cell r="AZ102">
            <v>20318246.460000001</v>
          </cell>
          <cell r="BA102">
            <v>20318246.460000001</v>
          </cell>
          <cell r="BB102">
            <v>20318246.460000001</v>
          </cell>
        </row>
        <row r="103">
          <cell r="A103" t="str">
            <v>TICK</v>
          </cell>
          <cell r="B103">
            <v>114154.45</v>
          </cell>
          <cell r="C103">
            <v>213247.5</v>
          </cell>
          <cell r="D103">
            <v>194986.59</v>
          </cell>
          <cell r="E103">
            <v>244944.95</v>
          </cell>
          <cell r="F103">
            <v>212836.99</v>
          </cell>
          <cell r="G103">
            <v>374923.74</v>
          </cell>
          <cell r="H103">
            <v>369974.87</v>
          </cell>
          <cell r="I103">
            <v>343491.87</v>
          </cell>
          <cell r="J103">
            <v>362088.79</v>
          </cell>
          <cell r="K103">
            <v>440511.53</v>
          </cell>
          <cell r="L103">
            <v>529904.59</v>
          </cell>
          <cell r="M103">
            <v>569544.55000000005</v>
          </cell>
          <cell r="N103">
            <v>623507.75</v>
          </cell>
          <cell r="O103">
            <v>784304.01</v>
          </cell>
          <cell r="P103">
            <v>535393.87</v>
          </cell>
          <cell r="Q103">
            <v>332574.74</v>
          </cell>
          <cell r="R103">
            <v>256728.97</v>
          </cell>
          <cell r="S103">
            <v>283538.06</v>
          </cell>
          <cell r="T103">
            <v>335342.83</v>
          </cell>
          <cell r="U103">
            <v>399535.68</v>
          </cell>
          <cell r="V103">
            <v>320367.89</v>
          </cell>
          <cell r="W103">
            <v>294566.33</v>
          </cell>
          <cell r="X103">
            <v>393319.14</v>
          </cell>
          <cell r="Y103">
            <v>430401.17</v>
          </cell>
        </row>
        <row r="104">
          <cell r="A104" t="str">
            <v>ptd</v>
          </cell>
          <cell r="B104">
            <v>114154.45</v>
          </cell>
          <cell r="C104">
            <v>327401.95</v>
          </cell>
          <cell r="D104">
            <v>522388.54000000004</v>
          </cell>
          <cell r="E104">
            <v>767333.49</v>
          </cell>
          <cell r="F104">
            <v>212836.99</v>
          </cell>
          <cell r="G104">
            <v>587760.73</v>
          </cell>
          <cell r="H104">
            <v>957735.6</v>
          </cell>
          <cell r="I104">
            <v>1301227.47</v>
          </cell>
          <cell r="J104">
            <v>362088.79</v>
          </cell>
          <cell r="K104">
            <v>802600.32000000007</v>
          </cell>
          <cell r="L104">
            <v>1332504.9100000001</v>
          </cell>
          <cell r="M104">
            <v>1902049.4600000002</v>
          </cell>
          <cell r="N104">
            <v>623507.75</v>
          </cell>
          <cell r="O104">
            <v>1407811.76</v>
          </cell>
          <cell r="P104">
            <v>1943205.63</v>
          </cell>
          <cell r="Q104">
            <v>2275780.37</v>
          </cell>
          <cell r="R104">
            <v>256728.97</v>
          </cell>
          <cell r="S104">
            <v>540267.03</v>
          </cell>
          <cell r="T104">
            <v>875609.8600000001</v>
          </cell>
          <cell r="U104">
            <v>1275145.54</v>
          </cell>
          <cell r="V104">
            <v>320367.89</v>
          </cell>
          <cell r="W104">
            <v>614934.22</v>
          </cell>
          <cell r="X104">
            <v>1008253.36</v>
          </cell>
          <cell r="Y104">
            <v>1438654.53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</row>
        <row r="105">
          <cell r="A105" t="str">
            <v>qtd</v>
          </cell>
          <cell r="B105">
            <v>114154.45</v>
          </cell>
          <cell r="C105">
            <v>327401.95</v>
          </cell>
          <cell r="D105">
            <v>522388.54000000004</v>
          </cell>
          <cell r="E105">
            <v>767333.49</v>
          </cell>
          <cell r="F105">
            <v>980170.48</v>
          </cell>
          <cell r="G105">
            <v>1355094.22</v>
          </cell>
          <cell r="H105">
            <v>1725069.0899999999</v>
          </cell>
          <cell r="I105">
            <v>2068560.96</v>
          </cell>
          <cell r="J105">
            <v>2430649.75</v>
          </cell>
          <cell r="K105">
            <v>2871161.2800000003</v>
          </cell>
          <cell r="L105">
            <v>3401065.87</v>
          </cell>
          <cell r="M105">
            <v>3970610.42</v>
          </cell>
          <cell r="N105">
            <v>623507.75</v>
          </cell>
          <cell r="O105">
            <v>1407811.76</v>
          </cell>
          <cell r="P105">
            <v>1943205.63</v>
          </cell>
          <cell r="Q105">
            <v>2275780.37</v>
          </cell>
          <cell r="R105">
            <v>2532509.3400000003</v>
          </cell>
          <cell r="S105">
            <v>2816047.4000000004</v>
          </cell>
          <cell r="T105">
            <v>3151390.2300000004</v>
          </cell>
          <cell r="U105">
            <v>3550925.9100000006</v>
          </cell>
          <cell r="V105">
            <v>3871293.8000000007</v>
          </cell>
          <cell r="W105">
            <v>4165860.1300000008</v>
          </cell>
          <cell r="X105">
            <v>4559179.2700000005</v>
          </cell>
          <cell r="Y105">
            <v>4989580.4400000004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</row>
        <row r="106">
          <cell r="A106" t="str">
            <v>ytd</v>
          </cell>
          <cell r="B106">
            <v>114154.45</v>
          </cell>
          <cell r="C106">
            <v>327401.95</v>
          </cell>
          <cell r="D106">
            <v>522388.54000000004</v>
          </cell>
          <cell r="E106">
            <v>767333.49</v>
          </cell>
          <cell r="F106">
            <v>980170.48</v>
          </cell>
          <cell r="G106">
            <v>1355094.22</v>
          </cell>
          <cell r="H106">
            <v>1725069.0899999999</v>
          </cell>
          <cell r="I106">
            <v>2068560.96</v>
          </cell>
          <cell r="J106">
            <v>2430649.75</v>
          </cell>
          <cell r="K106">
            <v>2871161.2800000003</v>
          </cell>
          <cell r="L106">
            <v>3401065.87</v>
          </cell>
          <cell r="M106">
            <v>3970610.42</v>
          </cell>
          <cell r="N106">
            <v>4594118.17</v>
          </cell>
          <cell r="O106">
            <v>5378422.1799999997</v>
          </cell>
          <cell r="P106">
            <v>5913816.0499999998</v>
          </cell>
          <cell r="Q106">
            <v>6246390.79</v>
          </cell>
          <cell r="R106">
            <v>6503119.7599999998</v>
          </cell>
          <cell r="S106">
            <v>6786657.8199999994</v>
          </cell>
          <cell r="T106">
            <v>7122000.6499999994</v>
          </cell>
          <cell r="U106">
            <v>7521536.3299999991</v>
          </cell>
          <cell r="V106">
            <v>7841904.2199999988</v>
          </cell>
          <cell r="W106">
            <v>8136470.5499999989</v>
          </cell>
          <cell r="X106">
            <v>8529789.6899999995</v>
          </cell>
          <cell r="Y106">
            <v>8960190.8599999994</v>
          </cell>
          <cell r="Z106">
            <v>8960190.8599999994</v>
          </cell>
          <cell r="AA106">
            <v>8960190.8599999994</v>
          </cell>
          <cell r="AB106">
            <v>8960190.8599999994</v>
          </cell>
          <cell r="AC106">
            <v>8960190.8599999994</v>
          </cell>
          <cell r="AD106">
            <v>8960190.8599999994</v>
          </cell>
          <cell r="AE106">
            <v>8960190.8599999994</v>
          </cell>
          <cell r="AF106">
            <v>8960190.8599999994</v>
          </cell>
          <cell r="AG106">
            <v>8960190.8599999994</v>
          </cell>
          <cell r="AH106">
            <v>8960190.8599999994</v>
          </cell>
          <cell r="AI106">
            <v>8960190.8599999994</v>
          </cell>
          <cell r="AJ106">
            <v>8960190.8599999994</v>
          </cell>
          <cell r="AK106">
            <v>8960190.8599999994</v>
          </cell>
          <cell r="AL106">
            <v>8960190.8599999994</v>
          </cell>
          <cell r="AM106">
            <v>8960190.8599999994</v>
          </cell>
          <cell r="AN106">
            <v>8960190.8599999994</v>
          </cell>
          <cell r="AO106">
            <v>8960190.8599999994</v>
          </cell>
          <cell r="AP106">
            <v>8960190.8599999994</v>
          </cell>
          <cell r="AQ106">
            <v>8960190.8599999994</v>
          </cell>
          <cell r="AR106">
            <v>8960190.8599999994</v>
          </cell>
          <cell r="AS106">
            <v>8960190.8599999994</v>
          </cell>
          <cell r="AT106">
            <v>8960190.8599999994</v>
          </cell>
          <cell r="AU106">
            <v>8960190.8599999994</v>
          </cell>
          <cell r="AV106">
            <v>8960190.8599999994</v>
          </cell>
          <cell r="AW106">
            <v>8960190.8599999994</v>
          </cell>
          <cell r="AX106">
            <v>8960190.8599999994</v>
          </cell>
          <cell r="AY106">
            <v>8960190.8599999994</v>
          </cell>
          <cell r="AZ106">
            <v>8960190.8599999994</v>
          </cell>
          <cell r="BA106">
            <v>8960190.8599999994</v>
          </cell>
          <cell r="BB106">
            <v>8960190.8599999994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11293952.32</v>
          </cell>
          <cell r="C111">
            <v>10723091.23</v>
          </cell>
          <cell r="D111">
            <v>10363396.699999999</v>
          </cell>
          <cell r="E111">
            <v>10788137.250000002</v>
          </cell>
          <cell r="F111">
            <v>11383188.640000001</v>
          </cell>
          <cell r="G111">
            <v>14672338.74</v>
          </cell>
          <cell r="H111">
            <v>10639096.049999999</v>
          </cell>
          <cell r="I111">
            <v>11246365.76</v>
          </cell>
          <cell r="J111">
            <v>11562788.629999999</v>
          </cell>
          <cell r="K111">
            <v>11379140.41</v>
          </cell>
          <cell r="L111">
            <v>11323287.289999999</v>
          </cell>
          <cell r="M111">
            <v>11183218.860000001</v>
          </cell>
          <cell r="N111">
            <v>12385079.209999999</v>
          </cell>
          <cell r="O111">
            <v>15066473.120000001</v>
          </cell>
          <cell r="P111">
            <v>11629749.35</v>
          </cell>
          <cell r="Q111">
            <v>12486416.879999999</v>
          </cell>
          <cell r="R111">
            <v>12211289.439999999</v>
          </cell>
          <cell r="S111">
            <v>18795906.630000003</v>
          </cell>
          <cell r="T111">
            <v>15448319.300000001</v>
          </cell>
          <cell r="U111">
            <v>14014386.739999998</v>
          </cell>
          <cell r="V111">
            <v>13827728.959999999</v>
          </cell>
          <cell r="W111">
            <v>16527710.700000001</v>
          </cell>
          <cell r="X111">
            <v>17334960.860000003</v>
          </cell>
          <cell r="Y111">
            <v>20981805.350000001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</row>
        <row r="112">
          <cell r="A112" t="str">
            <v>ptd</v>
          </cell>
          <cell r="B112">
            <v>11293952.32</v>
          </cell>
          <cell r="C112">
            <v>22017043.550000001</v>
          </cell>
          <cell r="D112">
            <v>32380440.25</v>
          </cell>
          <cell r="E112">
            <v>43168577.5</v>
          </cell>
          <cell r="F112">
            <v>11383188.640000001</v>
          </cell>
          <cell r="G112">
            <v>26055527.380000003</v>
          </cell>
          <cell r="H112">
            <v>36694623.43</v>
          </cell>
          <cell r="I112">
            <v>47940989.189999998</v>
          </cell>
          <cell r="J112">
            <v>11562788.629999999</v>
          </cell>
          <cell r="K112">
            <v>22941929.039999999</v>
          </cell>
          <cell r="L112">
            <v>34265216.329999998</v>
          </cell>
          <cell r="M112">
            <v>45448435.189999998</v>
          </cell>
          <cell r="N112">
            <v>12385079.209999999</v>
          </cell>
          <cell r="O112">
            <v>27451552.329999998</v>
          </cell>
          <cell r="P112">
            <v>39081301.68</v>
          </cell>
          <cell r="Q112">
            <v>51567718.560000002</v>
          </cell>
          <cell r="R112">
            <v>12211289.439999999</v>
          </cell>
          <cell r="S112">
            <v>31007196.07</v>
          </cell>
          <cell r="T112">
            <v>46455515.370000005</v>
          </cell>
          <cell r="U112">
            <v>60469902.109999999</v>
          </cell>
          <cell r="V112">
            <v>13827728.959999999</v>
          </cell>
          <cell r="W112">
            <v>30355439.66</v>
          </cell>
          <cell r="X112">
            <v>47690400.520000003</v>
          </cell>
          <cell r="Y112">
            <v>68672205.870000005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</row>
        <row r="113">
          <cell r="A113" t="str">
            <v>qtd</v>
          </cell>
          <cell r="B113">
            <v>11293952.32</v>
          </cell>
          <cell r="C113">
            <v>22017043.550000001</v>
          </cell>
          <cell r="D113">
            <v>32380440.25</v>
          </cell>
          <cell r="E113">
            <v>43168577.5</v>
          </cell>
          <cell r="F113">
            <v>54551766.140000001</v>
          </cell>
          <cell r="G113">
            <v>69224104.879999995</v>
          </cell>
          <cell r="H113">
            <v>79863200.929999992</v>
          </cell>
          <cell r="I113">
            <v>91109566.689999998</v>
          </cell>
          <cell r="J113">
            <v>102672355.31999999</v>
          </cell>
          <cell r="K113">
            <v>114051495.72999999</v>
          </cell>
          <cell r="L113">
            <v>125374783.01999998</v>
          </cell>
          <cell r="M113">
            <v>136558001.88</v>
          </cell>
          <cell r="N113">
            <v>12385079.209999999</v>
          </cell>
          <cell r="O113">
            <v>27451552.329999998</v>
          </cell>
          <cell r="P113">
            <v>39081301.68</v>
          </cell>
          <cell r="Q113">
            <v>51567718.560000002</v>
          </cell>
          <cell r="R113">
            <v>63779008</v>
          </cell>
          <cell r="S113">
            <v>82574914.629999995</v>
          </cell>
          <cell r="T113">
            <v>98023233.929999992</v>
          </cell>
          <cell r="U113">
            <v>112037620.66999999</v>
          </cell>
          <cell r="V113">
            <v>125865349.62999998</v>
          </cell>
          <cell r="W113">
            <v>142393060.32999998</v>
          </cell>
          <cell r="X113">
            <v>159728021.19</v>
          </cell>
          <cell r="Y113">
            <v>180709826.53999999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</row>
        <row r="114">
          <cell r="A114" t="str">
            <v>ytd</v>
          </cell>
          <cell r="B114">
            <v>11293952.32</v>
          </cell>
          <cell r="C114">
            <v>22017043.550000001</v>
          </cell>
          <cell r="D114">
            <v>32380440.25</v>
          </cell>
          <cell r="E114">
            <v>43168577.5</v>
          </cell>
          <cell r="F114">
            <v>54551766.140000001</v>
          </cell>
          <cell r="G114">
            <v>69224104.879999995</v>
          </cell>
          <cell r="H114">
            <v>79863200.929999992</v>
          </cell>
          <cell r="I114">
            <v>91109566.689999998</v>
          </cell>
          <cell r="J114">
            <v>102672355.31999999</v>
          </cell>
          <cell r="K114">
            <v>114051495.72999999</v>
          </cell>
          <cell r="L114">
            <v>125374783.01999998</v>
          </cell>
          <cell r="M114">
            <v>136558001.88</v>
          </cell>
          <cell r="N114">
            <v>148943081.09</v>
          </cell>
          <cell r="O114">
            <v>164009554.21000001</v>
          </cell>
          <cell r="P114">
            <v>175639303.56</v>
          </cell>
          <cell r="Q114">
            <v>188125720.44</v>
          </cell>
          <cell r="R114">
            <v>200337009.88</v>
          </cell>
          <cell r="S114">
            <v>219132916.50999999</v>
          </cell>
          <cell r="T114">
            <v>234581235.81</v>
          </cell>
          <cell r="U114">
            <v>248595622.55000001</v>
          </cell>
          <cell r="V114">
            <v>262423351.51000002</v>
          </cell>
          <cell r="W114">
            <v>278951062.21000004</v>
          </cell>
          <cell r="X114">
            <v>296286023.07000005</v>
          </cell>
          <cell r="Y114">
            <v>317267828.42000008</v>
          </cell>
          <cell r="Z114">
            <v>317267828.42000008</v>
          </cell>
          <cell r="AA114">
            <v>317267828.42000008</v>
          </cell>
          <cell r="AB114">
            <v>317267828.42000008</v>
          </cell>
          <cell r="AC114">
            <v>317267828.42000008</v>
          </cell>
          <cell r="AD114">
            <v>317267828.42000008</v>
          </cell>
          <cell r="AE114">
            <v>317267828.42000008</v>
          </cell>
          <cell r="AF114">
            <v>317267828.42000008</v>
          </cell>
          <cell r="AG114">
            <v>317267828.42000008</v>
          </cell>
          <cell r="AH114">
            <v>317267828.42000008</v>
          </cell>
          <cell r="AI114">
            <v>317267828.42000008</v>
          </cell>
          <cell r="AJ114">
            <v>317267828.42000008</v>
          </cell>
          <cell r="AK114">
            <v>317267828.42000008</v>
          </cell>
          <cell r="AL114">
            <v>317267828.42000008</v>
          </cell>
          <cell r="AM114">
            <v>317267828.42000008</v>
          </cell>
          <cell r="AN114">
            <v>317267828.42000008</v>
          </cell>
          <cell r="AO114">
            <v>317267828.42000008</v>
          </cell>
          <cell r="AP114">
            <v>317267828.42000008</v>
          </cell>
          <cell r="AQ114">
            <v>317267828.42000008</v>
          </cell>
          <cell r="AR114">
            <v>317267828.42000008</v>
          </cell>
          <cell r="AS114">
            <v>317267828.42000008</v>
          </cell>
          <cell r="AT114">
            <v>317267828.42000008</v>
          </cell>
          <cell r="AU114">
            <v>317267828.42000008</v>
          </cell>
          <cell r="AV114">
            <v>317267828.42000008</v>
          </cell>
          <cell r="AW114">
            <v>317267828.42000008</v>
          </cell>
          <cell r="AX114">
            <v>317267828.42000008</v>
          </cell>
          <cell r="AY114">
            <v>317267828.42000008</v>
          </cell>
          <cell r="AZ114">
            <v>317267828.42000008</v>
          </cell>
          <cell r="BA114">
            <v>317267828.42000008</v>
          </cell>
          <cell r="BB114">
            <v>317267828.42000008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265059.44</v>
          </cell>
          <cell r="C117">
            <v>235291.95</v>
          </cell>
          <cell r="D117">
            <v>240989.24</v>
          </cell>
          <cell r="E117">
            <v>248712.84</v>
          </cell>
          <cell r="F117">
            <v>277888.89</v>
          </cell>
          <cell r="G117">
            <v>510026.92</v>
          </cell>
          <cell r="H117">
            <v>265815.32</v>
          </cell>
          <cell r="I117">
            <v>279970.78999999998</v>
          </cell>
          <cell r="J117">
            <v>276090.34999999998</v>
          </cell>
          <cell r="K117">
            <v>274298.18</v>
          </cell>
          <cell r="L117">
            <v>272275.5</v>
          </cell>
          <cell r="M117">
            <v>270702.83</v>
          </cell>
          <cell r="N117">
            <v>308789.51</v>
          </cell>
          <cell r="O117">
            <v>571784.74</v>
          </cell>
          <cell r="P117">
            <v>315673</v>
          </cell>
          <cell r="Q117">
            <v>361043.37</v>
          </cell>
          <cell r="R117">
            <v>333582.57</v>
          </cell>
          <cell r="S117">
            <v>689243.14</v>
          </cell>
          <cell r="T117">
            <v>527160.54</v>
          </cell>
          <cell r="U117">
            <v>432343.62</v>
          </cell>
          <cell r="V117">
            <v>457008.38</v>
          </cell>
          <cell r="W117">
            <v>520331.28</v>
          </cell>
          <cell r="X117">
            <v>555327.72</v>
          </cell>
          <cell r="Y117">
            <v>919092.18</v>
          </cell>
        </row>
        <row r="118">
          <cell r="A118" t="str">
            <v>ptd</v>
          </cell>
          <cell r="B118">
            <v>265059.44</v>
          </cell>
          <cell r="C118">
            <v>500351.39</v>
          </cell>
          <cell r="D118">
            <v>741340.63</v>
          </cell>
          <cell r="E118">
            <v>990053.47</v>
          </cell>
          <cell r="F118">
            <v>277888.89</v>
          </cell>
          <cell r="G118">
            <v>787915.81</v>
          </cell>
          <cell r="H118">
            <v>1053731.1300000001</v>
          </cell>
          <cell r="I118">
            <v>1333701.9200000002</v>
          </cell>
          <cell r="J118">
            <v>276090.34999999998</v>
          </cell>
          <cell r="K118">
            <v>550388.53</v>
          </cell>
          <cell r="L118">
            <v>822664.03</v>
          </cell>
          <cell r="M118">
            <v>1093366.8600000001</v>
          </cell>
          <cell r="N118">
            <v>308789.51</v>
          </cell>
          <cell r="O118">
            <v>880574.25</v>
          </cell>
          <cell r="P118">
            <v>1196247.25</v>
          </cell>
          <cell r="Q118">
            <v>1557290.62</v>
          </cell>
          <cell r="R118">
            <v>333582.57</v>
          </cell>
          <cell r="S118">
            <v>1022825.71</v>
          </cell>
          <cell r="T118">
            <v>1549986.25</v>
          </cell>
          <cell r="U118">
            <v>1982329.87</v>
          </cell>
          <cell r="V118">
            <v>457008.38</v>
          </cell>
          <cell r="W118">
            <v>977339.66</v>
          </cell>
          <cell r="X118">
            <v>1532667.38</v>
          </cell>
          <cell r="Y118">
            <v>2451759.56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</row>
        <row r="119">
          <cell r="A119" t="str">
            <v>qtd</v>
          </cell>
          <cell r="B119">
            <v>265059.44</v>
          </cell>
          <cell r="C119">
            <v>500351.39</v>
          </cell>
          <cell r="D119">
            <v>741340.63</v>
          </cell>
          <cell r="E119">
            <v>990053.47</v>
          </cell>
          <cell r="F119">
            <v>1267942.3599999999</v>
          </cell>
          <cell r="G119">
            <v>1777969.2799999998</v>
          </cell>
          <cell r="H119">
            <v>2043784.5999999999</v>
          </cell>
          <cell r="I119">
            <v>2323755.3899999997</v>
          </cell>
          <cell r="J119">
            <v>2599845.7399999998</v>
          </cell>
          <cell r="K119">
            <v>2874143.92</v>
          </cell>
          <cell r="L119">
            <v>3146419.42</v>
          </cell>
          <cell r="M119">
            <v>3417122.25</v>
          </cell>
          <cell r="N119">
            <v>308789.51</v>
          </cell>
          <cell r="O119">
            <v>880574.25</v>
          </cell>
          <cell r="P119">
            <v>1196247.25</v>
          </cell>
          <cell r="Q119">
            <v>1557290.62</v>
          </cell>
          <cell r="R119">
            <v>1890873.1900000002</v>
          </cell>
          <cell r="S119">
            <v>2580116.33</v>
          </cell>
          <cell r="T119">
            <v>3107276.87</v>
          </cell>
          <cell r="U119">
            <v>3539620.49</v>
          </cell>
          <cell r="V119">
            <v>3996628.87</v>
          </cell>
          <cell r="W119">
            <v>4516960.1500000004</v>
          </cell>
          <cell r="X119">
            <v>5072287.87</v>
          </cell>
          <cell r="Y119">
            <v>5991380.0499999998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</row>
        <row r="120">
          <cell r="A120" t="str">
            <v>ytd</v>
          </cell>
          <cell r="B120">
            <v>265059.44</v>
          </cell>
          <cell r="C120">
            <v>500351.39</v>
          </cell>
          <cell r="D120">
            <v>741340.63</v>
          </cell>
          <cell r="E120">
            <v>990053.47</v>
          </cell>
          <cell r="F120">
            <v>1267942.3599999999</v>
          </cell>
          <cell r="G120">
            <v>1777969.2799999998</v>
          </cell>
          <cell r="H120">
            <v>2043784.5999999999</v>
          </cell>
          <cell r="I120">
            <v>2323755.3899999997</v>
          </cell>
          <cell r="J120">
            <v>2599845.7399999998</v>
          </cell>
          <cell r="K120">
            <v>2874143.92</v>
          </cell>
          <cell r="L120">
            <v>3146419.42</v>
          </cell>
          <cell r="M120">
            <v>3417122.25</v>
          </cell>
          <cell r="N120">
            <v>3725911.76</v>
          </cell>
          <cell r="O120">
            <v>4297696.5</v>
          </cell>
          <cell r="P120">
            <v>4613369.5</v>
          </cell>
          <cell r="Q120">
            <v>4974412.87</v>
          </cell>
          <cell r="R120">
            <v>5307995.4400000004</v>
          </cell>
          <cell r="S120">
            <v>5997238.5800000001</v>
          </cell>
          <cell r="T120">
            <v>6524399.1200000001</v>
          </cell>
          <cell r="U120">
            <v>6956742.7400000002</v>
          </cell>
          <cell r="V120">
            <v>7413751.1200000001</v>
          </cell>
          <cell r="W120">
            <v>7934082.4000000004</v>
          </cell>
          <cell r="X120">
            <v>8489410.120000001</v>
          </cell>
          <cell r="Y120">
            <v>9408502.3000000007</v>
          </cell>
          <cell r="Z120">
            <v>9408502.3000000007</v>
          </cell>
          <cell r="AA120">
            <v>9408502.3000000007</v>
          </cell>
          <cell r="AB120">
            <v>9408502.3000000007</v>
          </cell>
          <cell r="AC120">
            <v>9408502.3000000007</v>
          </cell>
          <cell r="AD120">
            <v>9408502.3000000007</v>
          </cell>
          <cell r="AE120">
            <v>9408502.3000000007</v>
          </cell>
          <cell r="AF120">
            <v>9408502.3000000007</v>
          </cell>
          <cell r="AG120">
            <v>9408502.3000000007</v>
          </cell>
          <cell r="AH120">
            <v>9408502.3000000007</v>
          </cell>
          <cell r="AI120">
            <v>9408502.3000000007</v>
          </cell>
          <cell r="AJ120">
            <v>9408502.3000000007</v>
          </cell>
          <cell r="AK120">
            <v>9408502.3000000007</v>
          </cell>
          <cell r="AL120">
            <v>9408502.3000000007</v>
          </cell>
          <cell r="AM120">
            <v>9408502.3000000007</v>
          </cell>
          <cell r="AN120">
            <v>9408502.3000000007</v>
          </cell>
          <cell r="AO120">
            <v>9408502.3000000007</v>
          </cell>
          <cell r="AP120">
            <v>9408502.3000000007</v>
          </cell>
          <cell r="AQ120">
            <v>9408502.3000000007</v>
          </cell>
          <cell r="AR120">
            <v>9408502.3000000007</v>
          </cell>
          <cell r="AS120">
            <v>9408502.3000000007</v>
          </cell>
          <cell r="AT120">
            <v>9408502.3000000007</v>
          </cell>
          <cell r="AU120">
            <v>9408502.3000000007</v>
          </cell>
          <cell r="AV120">
            <v>9408502.3000000007</v>
          </cell>
          <cell r="AW120">
            <v>9408502.3000000007</v>
          </cell>
          <cell r="AX120">
            <v>9408502.3000000007</v>
          </cell>
          <cell r="AY120">
            <v>9408502.3000000007</v>
          </cell>
          <cell r="AZ120">
            <v>9408502.3000000007</v>
          </cell>
          <cell r="BA120">
            <v>9408502.3000000007</v>
          </cell>
          <cell r="BB120">
            <v>9408502.3000000007</v>
          </cell>
        </row>
        <row r="121">
          <cell r="A121" t="str">
            <v>PART</v>
          </cell>
          <cell r="B121">
            <v>14822736.43</v>
          </cell>
          <cell r="C121">
            <v>13663291.23</v>
          </cell>
          <cell r="D121">
            <v>13352289.279999999</v>
          </cell>
          <cell r="E121">
            <v>13633330.449999999</v>
          </cell>
          <cell r="F121">
            <v>14956080.77</v>
          </cell>
          <cell r="G121">
            <v>23953764.98</v>
          </cell>
          <cell r="H121">
            <v>14032131.890000001</v>
          </cell>
          <cell r="I121">
            <v>14349852.539999999</v>
          </cell>
          <cell r="J121">
            <v>14476968.02</v>
          </cell>
          <cell r="K121">
            <v>14644325.060000001</v>
          </cell>
          <cell r="L121">
            <v>14790611.17</v>
          </cell>
          <cell r="M121">
            <v>15070014.439999999</v>
          </cell>
          <cell r="N121">
            <v>16634143.859999999</v>
          </cell>
          <cell r="O121">
            <v>27626854.699999999</v>
          </cell>
          <cell r="P121">
            <v>16589224.32</v>
          </cell>
          <cell r="Q121">
            <v>18919202.109999999</v>
          </cell>
          <cell r="R121">
            <v>18499292.530000001</v>
          </cell>
          <cell r="S121">
            <v>34609701.340000004</v>
          </cell>
          <cell r="T121">
            <v>24939274.050000001</v>
          </cell>
          <cell r="U121">
            <v>20286680.370000001</v>
          </cell>
          <cell r="V121">
            <v>20859102.739999998</v>
          </cell>
          <cell r="W121">
            <v>23893696.280000001</v>
          </cell>
          <cell r="X121">
            <v>23735573.890000001</v>
          </cell>
          <cell r="Y121">
            <v>39341164.189999998</v>
          </cell>
        </row>
        <row r="122">
          <cell r="A122" t="str">
            <v>ptd</v>
          </cell>
          <cell r="B122">
            <v>14822736.43</v>
          </cell>
          <cell r="C122">
            <v>28486027.66</v>
          </cell>
          <cell r="D122">
            <v>41838316.939999998</v>
          </cell>
          <cell r="E122">
            <v>55471647.390000001</v>
          </cell>
          <cell r="F122">
            <v>14956080.77</v>
          </cell>
          <cell r="G122">
            <v>38909845.75</v>
          </cell>
          <cell r="H122">
            <v>52941977.640000001</v>
          </cell>
          <cell r="I122">
            <v>67291830.180000007</v>
          </cell>
          <cell r="J122">
            <v>14476968.02</v>
          </cell>
          <cell r="K122">
            <v>29121293.079999998</v>
          </cell>
          <cell r="L122">
            <v>43911904.25</v>
          </cell>
          <cell r="M122">
            <v>58981918.689999998</v>
          </cell>
          <cell r="N122">
            <v>16634143.859999999</v>
          </cell>
          <cell r="O122">
            <v>44260998.560000002</v>
          </cell>
          <cell r="P122">
            <v>60850222.880000003</v>
          </cell>
          <cell r="Q122">
            <v>79769424.99000001</v>
          </cell>
          <cell r="R122">
            <v>18499292.530000001</v>
          </cell>
          <cell r="S122">
            <v>53108993.870000005</v>
          </cell>
          <cell r="T122">
            <v>78048267.920000002</v>
          </cell>
          <cell r="U122">
            <v>98334948.290000007</v>
          </cell>
          <cell r="V122">
            <v>20859102.739999998</v>
          </cell>
          <cell r="W122">
            <v>44752799.019999996</v>
          </cell>
          <cell r="X122">
            <v>68488372.909999996</v>
          </cell>
          <cell r="Y122">
            <v>107829537.09999999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</row>
        <row r="123">
          <cell r="A123" t="str">
            <v>qtd</v>
          </cell>
          <cell r="B123">
            <v>14822736.43</v>
          </cell>
          <cell r="C123">
            <v>28486027.66</v>
          </cell>
          <cell r="D123">
            <v>41838316.939999998</v>
          </cell>
          <cell r="E123">
            <v>55471647.390000001</v>
          </cell>
          <cell r="F123">
            <v>70427728.159999996</v>
          </cell>
          <cell r="G123">
            <v>94381493.140000001</v>
          </cell>
          <cell r="H123">
            <v>108413625.03</v>
          </cell>
          <cell r="I123">
            <v>122763477.56999999</v>
          </cell>
          <cell r="J123">
            <v>137240445.59</v>
          </cell>
          <cell r="K123">
            <v>151884770.65000001</v>
          </cell>
          <cell r="L123">
            <v>166675381.81999999</v>
          </cell>
          <cell r="M123">
            <v>181745396.25999999</v>
          </cell>
          <cell r="N123">
            <v>16634143.859999999</v>
          </cell>
          <cell r="O123">
            <v>44260998.560000002</v>
          </cell>
          <cell r="P123">
            <v>60850222.880000003</v>
          </cell>
          <cell r="Q123">
            <v>79769424.99000001</v>
          </cell>
          <cell r="R123">
            <v>98268717.520000011</v>
          </cell>
          <cell r="S123">
            <v>132878418.86000001</v>
          </cell>
          <cell r="T123">
            <v>157817692.91000003</v>
          </cell>
          <cell r="U123">
            <v>178104373.28000003</v>
          </cell>
          <cell r="V123">
            <v>198963476.02000004</v>
          </cell>
          <cell r="W123">
            <v>222857172.30000004</v>
          </cell>
          <cell r="X123">
            <v>246592746.19000006</v>
          </cell>
          <cell r="Y123">
            <v>285933910.38000005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</row>
        <row r="124">
          <cell r="A124" t="str">
            <v>ytd</v>
          </cell>
          <cell r="B124">
            <v>14822736.43</v>
          </cell>
          <cell r="C124">
            <v>28486027.66</v>
          </cell>
          <cell r="D124">
            <v>41838316.939999998</v>
          </cell>
          <cell r="E124">
            <v>55471647.390000001</v>
          </cell>
          <cell r="F124">
            <v>70427728.159999996</v>
          </cell>
          <cell r="G124">
            <v>94381493.140000001</v>
          </cell>
          <cell r="H124">
            <v>108413625.03</v>
          </cell>
          <cell r="I124">
            <v>122763477.56999999</v>
          </cell>
          <cell r="J124">
            <v>137240445.59</v>
          </cell>
          <cell r="K124">
            <v>151884770.65000001</v>
          </cell>
          <cell r="L124">
            <v>166675381.81999999</v>
          </cell>
          <cell r="M124">
            <v>181745396.25999999</v>
          </cell>
          <cell r="N124">
            <v>198379540.12</v>
          </cell>
          <cell r="O124">
            <v>226006394.81999999</v>
          </cell>
          <cell r="P124">
            <v>242595619.13999999</v>
          </cell>
          <cell r="Q124">
            <v>261514821.25</v>
          </cell>
          <cell r="R124">
            <v>280014113.77999997</v>
          </cell>
          <cell r="S124">
            <v>314623815.12</v>
          </cell>
          <cell r="T124">
            <v>339563089.17000002</v>
          </cell>
          <cell r="U124">
            <v>359849769.54000002</v>
          </cell>
          <cell r="V124">
            <v>380708872.28000003</v>
          </cell>
          <cell r="W124">
            <v>404602568.56000006</v>
          </cell>
          <cell r="X124">
            <v>428338142.45000005</v>
          </cell>
          <cell r="Y124">
            <v>467679306.64000005</v>
          </cell>
          <cell r="Z124">
            <v>467679306.64000005</v>
          </cell>
          <cell r="AA124">
            <v>467679306.64000005</v>
          </cell>
          <cell r="AB124">
            <v>467679306.64000005</v>
          </cell>
          <cell r="AC124">
            <v>467679306.64000005</v>
          </cell>
          <cell r="AD124">
            <v>467679306.64000005</v>
          </cell>
          <cell r="AE124">
            <v>467679306.64000005</v>
          </cell>
          <cell r="AF124">
            <v>467679306.64000005</v>
          </cell>
          <cell r="AG124">
            <v>467679306.64000005</v>
          </cell>
          <cell r="AH124">
            <v>467679306.64000005</v>
          </cell>
          <cell r="AI124">
            <v>467679306.64000005</v>
          </cell>
          <cell r="AJ124">
            <v>467679306.64000005</v>
          </cell>
          <cell r="AK124">
            <v>467679306.64000005</v>
          </cell>
          <cell r="AL124">
            <v>467679306.64000005</v>
          </cell>
          <cell r="AM124">
            <v>467679306.64000005</v>
          </cell>
          <cell r="AN124">
            <v>467679306.64000005</v>
          </cell>
          <cell r="AO124">
            <v>467679306.64000005</v>
          </cell>
          <cell r="AP124">
            <v>467679306.64000005</v>
          </cell>
          <cell r="AQ124">
            <v>467679306.64000005</v>
          </cell>
          <cell r="AR124">
            <v>467679306.64000005</v>
          </cell>
          <cell r="AS124">
            <v>467679306.64000005</v>
          </cell>
          <cell r="AT124">
            <v>467679306.64000005</v>
          </cell>
          <cell r="AU124">
            <v>467679306.64000005</v>
          </cell>
          <cell r="AV124">
            <v>467679306.64000005</v>
          </cell>
          <cell r="AW124">
            <v>467679306.64000005</v>
          </cell>
          <cell r="AX124">
            <v>467679306.64000005</v>
          </cell>
          <cell r="AY124">
            <v>467679306.64000005</v>
          </cell>
          <cell r="AZ124">
            <v>467679306.64000005</v>
          </cell>
          <cell r="BA124">
            <v>467679306.64000005</v>
          </cell>
          <cell r="BB124">
            <v>467679306.64000005</v>
          </cell>
        </row>
        <row r="125">
          <cell r="A125" t="str">
            <v>PRED</v>
          </cell>
          <cell r="B125">
            <v>356629.25</v>
          </cell>
          <cell r="C125">
            <v>320034.28999999998</v>
          </cell>
          <cell r="D125">
            <v>298586.99</v>
          </cell>
          <cell r="E125">
            <v>320432.59000000003</v>
          </cell>
          <cell r="F125">
            <v>301040.7</v>
          </cell>
          <cell r="G125">
            <v>299670.75</v>
          </cell>
          <cell r="H125">
            <v>286797.09000000003</v>
          </cell>
          <cell r="I125">
            <v>257474.19</v>
          </cell>
          <cell r="J125">
            <v>271884.99</v>
          </cell>
          <cell r="K125">
            <v>252388.94</v>
          </cell>
          <cell r="L125">
            <v>277142.12</v>
          </cell>
          <cell r="M125">
            <v>240416.78</v>
          </cell>
          <cell r="N125">
            <v>312427.15000000002</v>
          </cell>
          <cell r="O125">
            <v>294488.7</v>
          </cell>
          <cell r="P125">
            <v>262820.69</v>
          </cell>
          <cell r="Q125">
            <v>255294.84</v>
          </cell>
          <cell r="R125">
            <v>286570.21000000002</v>
          </cell>
          <cell r="S125">
            <v>269859.45</v>
          </cell>
          <cell r="T125">
            <v>246637.47</v>
          </cell>
          <cell r="U125">
            <v>282697.24</v>
          </cell>
          <cell r="V125">
            <v>278881.78999999998</v>
          </cell>
          <cell r="W125">
            <v>321114.26</v>
          </cell>
          <cell r="X125">
            <v>284809.59000000003</v>
          </cell>
          <cell r="Y125">
            <v>313295.7</v>
          </cell>
        </row>
        <row r="126">
          <cell r="A126" t="str">
            <v>ptd</v>
          </cell>
          <cell r="B126">
            <v>356629.25</v>
          </cell>
          <cell r="C126">
            <v>676663.54</v>
          </cell>
          <cell r="D126">
            <v>975250.53</v>
          </cell>
          <cell r="E126">
            <v>1295683.1200000001</v>
          </cell>
          <cell r="F126">
            <v>301040.7</v>
          </cell>
          <cell r="G126">
            <v>600711.44999999995</v>
          </cell>
          <cell r="H126">
            <v>887508.54</v>
          </cell>
          <cell r="I126">
            <v>1144982.73</v>
          </cell>
          <cell r="J126">
            <v>271884.99</v>
          </cell>
          <cell r="K126">
            <v>524273.93</v>
          </cell>
          <cell r="L126">
            <v>801416.05</v>
          </cell>
          <cell r="M126">
            <v>1041832.8300000001</v>
          </cell>
          <cell r="N126">
            <v>312427.15000000002</v>
          </cell>
          <cell r="O126">
            <v>606915.85000000009</v>
          </cell>
          <cell r="P126">
            <v>869736.54</v>
          </cell>
          <cell r="Q126">
            <v>1125031.3800000001</v>
          </cell>
          <cell r="R126">
            <v>286570.21000000002</v>
          </cell>
          <cell r="S126">
            <v>556429.66</v>
          </cell>
          <cell r="T126">
            <v>803067.13</v>
          </cell>
          <cell r="U126">
            <v>1085764.3700000001</v>
          </cell>
          <cell r="V126">
            <v>278881.78999999998</v>
          </cell>
          <cell r="W126">
            <v>599996.05000000005</v>
          </cell>
          <cell r="X126">
            <v>884805.64000000013</v>
          </cell>
          <cell r="Y126">
            <v>1198101.3400000001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</row>
        <row r="127">
          <cell r="A127" t="str">
            <v>qtd</v>
          </cell>
          <cell r="B127">
            <v>356629.25</v>
          </cell>
          <cell r="C127">
            <v>676663.54</v>
          </cell>
          <cell r="D127">
            <v>975250.53</v>
          </cell>
          <cell r="E127">
            <v>1295683.1200000001</v>
          </cell>
          <cell r="F127">
            <v>1596723.82</v>
          </cell>
          <cell r="G127">
            <v>1896394.57</v>
          </cell>
          <cell r="H127">
            <v>2183191.66</v>
          </cell>
          <cell r="I127">
            <v>2440665.85</v>
          </cell>
          <cell r="J127">
            <v>2712550.84</v>
          </cell>
          <cell r="K127">
            <v>2964939.78</v>
          </cell>
          <cell r="L127">
            <v>3242081.9</v>
          </cell>
          <cell r="M127">
            <v>3482498.6799999997</v>
          </cell>
          <cell r="N127">
            <v>312427.15000000002</v>
          </cell>
          <cell r="O127">
            <v>606915.85000000009</v>
          </cell>
          <cell r="P127">
            <v>869736.54</v>
          </cell>
          <cell r="Q127">
            <v>1125031.3800000001</v>
          </cell>
          <cell r="R127">
            <v>1411601.59</v>
          </cell>
          <cell r="S127">
            <v>1681461.04</v>
          </cell>
          <cell r="T127">
            <v>1928098.51</v>
          </cell>
          <cell r="U127">
            <v>2210795.75</v>
          </cell>
          <cell r="V127">
            <v>2489677.54</v>
          </cell>
          <cell r="W127">
            <v>2810791.8</v>
          </cell>
          <cell r="X127">
            <v>3095601.3899999997</v>
          </cell>
          <cell r="Y127">
            <v>3408897.09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</row>
        <row r="128">
          <cell r="A128" t="str">
            <v>ytd</v>
          </cell>
          <cell r="B128">
            <v>356629.25</v>
          </cell>
          <cell r="C128">
            <v>676663.54</v>
          </cell>
          <cell r="D128">
            <v>975250.53</v>
          </cell>
          <cell r="E128">
            <v>1295683.1200000001</v>
          </cell>
          <cell r="F128">
            <v>1596723.82</v>
          </cell>
          <cell r="G128">
            <v>1896394.57</v>
          </cell>
          <cell r="H128">
            <v>2183191.66</v>
          </cell>
          <cell r="I128">
            <v>2440665.85</v>
          </cell>
          <cell r="J128">
            <v>2712550.84</v>
          </cell>
          <cell r="K128">
            <v>2964939.78</v>
          </cell>
          <cell r="L128">
            <v>3242081.9</v>
          </cell>
          <cell r="M128">
            <v>3482498.6799999997</v>
          </cell>
          <cell r="N128">
            <v>3794925.8299999996</v>
          </cell>
          <cell r="O128">
            <v>4089414.53</v>
          </cell>
          <cell r="P128">
            <v>4352235.22</v>
          </cell>
          <cell r="Q128">
            <v>4607530.0599999996</v>
          </cell>
          <cell r="R128">
            <v>4894100.2699999996</v>
          </cell>
          <cell r="S128">
            <v>5163959.72</v>
          </cell>
          <cell r="T128">
            <v>5410597.1899999995</v>
          </cell>
          <cell r="U128">
            <v>5693294.4299999997</v>
          </cell>
          <cell r="V128">
            <v>5972176.2199999997</v>
          </cell>
          <cell r="W128">
            <v>6293290.4799999995</v>
          </cell>
          <cell r="X128">
            <v>6578100.0699999994</v>
          </cell>
          <cell r="Y128">
            <v>6891395.7699999996</v>
          </cell>
          <cell r="Z128">
            <v>6891395.7699999996</v>
          </cell>
          <cell r="AA128">
            <v>6891395.7699999996</v>
          </cell>
          <cell r="AB128">
            <v>6891395.7699999996</v>
          </cell>
          <cell r="AC128">
            <v>6891395.7699999996</v>
          </cell>
          <cell r="AD128">
            <v>6891395.7699999996</v>
          </cell>
          <cell r="AE128">
            <v>6891395.7699999996</v>
          </cell>
          <cell r="AF128">
            <v>6891395.7699999996</v>
          </cell>
          <cell r="AG128">
            <v>6891395.7699999996</v>
          </cell>
          <cell r="AH128">
            <v>6891395.7699999996</v>
          </cell>
          <cell r="AI128">
            <v>6891395.7699999996</v>
          </cell>
          <cell r="AJ128">
            <v>6891395.7699999996</v>
          </cell>
          <cell r="AK128">
            <v>6891395.7699999996</v>
          </cell>
          <cell r="AL128">
            <v>6891395.7699999996</v>
          </cell>
          <cell r="AM128">
            <v>6891395.7699999996</v>
          </cell>
          <cell r="AN128">
            <v>6891395.7699999996</v>
          </cell>
          <cell r="AO128">
            <v>6891395.7699999996</v>
          </cell>
          <cell r="AP128">
            <v>6891395.7699999996</v>
          </cell>
          <cell r="AQ128">
            <v>6891395.7699999996</v>
          </cell>
          <cell r="AR128">
            <v>6891395.7699999996</v>
          </cell>
          <cell r="AS128">
            <v>6891395.7699999996</v>
          </cell>
          <cell r="AT128">
            <v>6891395.7699999996</v>
          </cell>
          <cell r="AU128">
            <v>6891395.7699999996</v>
          </cell>
          <cell r="AV128">
            <v>6891395.7699999996</v>
          </cell>
          <cell r="AW128">
            <v>6891395.7699999996</v>
          </cell>
          <cell r="AX128">
            <v>6891395.7699999996</v>
          </cell>
          <cell r="AY128">
            <v>6891395.7699999996</v>
          </cell>
          <cell r="AZ128">
            <v>6891395.7699999996</v>
          </cell>
          <cell r="BA128">
            <v>6891395.7699999996</v>
          </cell>
          <cell r="BB128">
            <v>6891395.7699999996</v>
          </cell>
        </row>
        <row r="129">
          <cell r="A129" t="str">
            <v>PREG</v>
          </cell>
          <cell r="B129">
            <v>7609768.6799999997</v>
          </cell>
          <cell r="C129">
            <v>7149835.5300000003</v>
          </cell>
          <cell r="D129">
            <v>6766702.4299999997</v>
          </cell>
          <cell r="E129">
            <v>6811667.0099999998</v>
          </cell>
          <cell r="F129">
            <v>6888785.71</v>
          </cell>
          <cell r="G129">
            <v>7937637.0199999996</v>
          </cell>
          <cell r="H129">
            <v>6535455.5800000001</v>
          </cell>
          <cell r="I129">
            <v>6913484.3899999997</v>
          </cell>
          <cell r="J129">
            <v>7020554.9699999997</v>
          </cell>
          <cell r="K129">
            <v>6797221.7999999998</v>
          </cell>
          <cell r="L129">
            <v>6534134.9299999997</v>
          </cell>
          <cell r="M129">
            <v>6322174.0800000001</v>
          </cell>
          <cell r="N129">
            <v>6525679.2999999998</v>
          </cell>
          <cell r="O129">
            <v>7365230.5700000003</v>
          </cell>
          <cell r="P129">
            <v>6008008.54</v>
          </cell>
          <cell r="Q129">
            <v>7172785.5800000001</v>
          </cell>
          <cell r="R129">
            <v>6706168.6299999999</v>
          </cell>
          <cell r="S129">
            <v>9595655</v>
          </cell>
          <cell r="T129">
            <v>8391881.0700000003</v>
          </cell>
          <cell r="U129">
            <v>7922855.5800000001</v>
          </cell>
          <cell r="V129">
            <v>7704238.4199999999</v>
          </cell>
          <cell r="W129">
            <v>9029699.9700000007</v>
          </cell>
          <cell r="X129">
            <v>9113701.1999999993</v>
          </cell>
          <cell r="Y129">
            <v>10752935.390000001</v>
          </cell>
        </row>
        <row r="130">
          <cell r="A130" t="str">
            <v>ptd</v>
          </cell>
          <cell r="B130">
            <v>7609768.6799999997</v>
          </cell>
          <cell r="C130">
            <v>14759604.210000001</v>
          </cell>
          <cell r="D130">
            <v>21526306.640000001</v>
          </cell>
          <cell r="E130">
            <v>28337973.649999999</v>
          </cell>
          <cell r="F130">
            <v>6888785.71</v>
          </cell>
          <cell r="G130">
            <v>14826422.73</v>
          </cell>
          <cell r="H130">
            <v>21361878.310000002</v>
          </cell>
          <cell r="I130">
            <v>28275362.700000003</v>
          </cell>
          <cell r="J130">
            <v>7020554.9699999997</v>
          </cell>
          <cell r="K130">
            <v>13817776.77</v>
          </cell>
          <cell r="L130">
            <v>20351911.699999999</v>
          </cell>
          <cell r="M130">
            <v>26674085.780000001</v>
          </cell>
          <cell r="N130">
            <v>6525679.2999999998</v>
          </cell>
          <cell r="O130">
            <v>13890909.870000001</v>
          </cell>
          <cell r="P130">
            <v>19898918.41</v>
          </cell>
          <cell r="Q130">
            <v>27071703.990000002</v>
          </cell>
          <cell r="R130">
            <v>6706168.6299999999</v>
          </cell>
          <cell r="S130">
            <v>16301823.629999999</v>
          </cell>
          <cell r="T130">
            <v>24693704.699999999</v>
          </cell>
          <cell r="U130">
            <v>32616560.280000001</v>
          </cell>
          <cell r="V130">
            <v>7704238.4199999999</v>
          </cell>
          <cell r="W130">
            <v>16733938.390000001</v>
          </cell>
          <cell r="X130">
            <v>25847639.59</v>
          </cell>
          <cell r="Y130">
            <v>36600574.980000004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</row>
        <row r="131">
          <cell r="A131" t="str">
            <v>qtd</v>
          </cell>
          <cell r="B131">
            <v>7609768.6799999997</v>
          </cell>
          <cell r="C131">
            <v>14759604.210000001</v>
          </cell>
          <cell r="D131">
            <v>21526306.640000001</v>
          </cell>
          <cell r="E131">
            <v>28337973.649999999</v>
          </cell>
          <cell r="F131">
            <v>35226759.359999999</v>
          </cell>
          <cell r="G131">
            <v>43164396.379999995</v>
          </cell>
          <cell r="H131">
            <v>49699851.959999993</v>
          </cell>
          <cell r="I131">
            <v>56613336.349999994</v>
          </cell>
          <cell r="J131">
            <v>63633891.319999993</v>
          </cell>
          <cell r="K131">
            <v>70431113.11999999</v>
          </cell>
          <cell r="L131">
            <v>76965248.049999982</v>
          </cell>
          <cell r="M131">
            <v>83287422.12999998</v>
          </cell>
          <cell r="N131">
            <v>6525679.2999999998</v>
          </cell>
          <cell r="O131">
            <v>13890909.870000001</v>
          </cell>
          <cell r="P131">
            <v>19898918.41</v>
          </cell>
          <cell r="Q131">
            <v>27071703.990000002</v>
          </cell>
          <cell r="R131">
            <v>33777872.620000005</v>
          </cell>
          <cell r="S131">
            <v>43373527.620000005</v>
          </cell>
          <cell r="T131">
            <v>51765408.690000005</v>
          </cell>
          <cell r="U131">
            <v>59688264.270000003</v>
          </cell>
          <cell r="V131">
            <v>67392502.689999998</v>
          </cell>
          <cell r="W131">
            <v>76422202.659999996</v>
          </cell>
          <cell r="X131">
            <v>85535903.859999999</v>
          </cell>
          <cell r="Y131">
            <v>96288839.25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</row>
        <row r="132">
          <cell r="A132" t="str">
            <v>ytd</v>
          </cell>
          <cell r="B132">
            <v>7609768.6799999997</v>
          </cell>
          <cell r="C132">
            <v>14759604.210000001</v>
          </cell>
          <cell r="D132">
            <v>21526306.640000001</v>
          </cell>
          <cell r="E132">
            <v>28337973.649999999</v>
          </cell>
          <cell r="F132">
            <v>35226759.359999999</v>
          </cell>
          <cell r="G132">
            <v>43164396.379999995</v>
          </cell>
          <cell r="H132">
            <v>49699851.959999993</v>
          </cell>
          <cell r="I132">
            <v>56613336.349999994</v>
          </cell>
          <cell r="J132">
            <v>63633891.319999993</v>
          </cell>
          <cell r="K132">
            <v>70431113.11999999</v>
          </cell>
          <cell r="L132">
            <v>76965248.049999982</v>
          </cell>
          <cell r="M132">
            <v>83287422.12999998</v>
          </cell>
          <cell r="N132">
            <v>89813101.429999977</v>
          </cell>
          <cell r="O132">
            <v>97178331.99999997</v>
          </cell>
          <cell r="P132">
            <v>103186340.53999998</v>
          </cell>
          <cell r="Q132">
            <v>110359126.11999997</v>
          </cell>
          <cell r="R132">
            <v>117065294.74999997</v>
          </cell>
          <cell r="S132">
            <v>126660949.74999997</v>
          </cell>
          <cell r="T132">
            <v>135052830.81999996</v>
          </cell>
          <cell r="U132">
            <v>142975686.39999998</v>
          </cell>
          <cell r="V132">
            <v>150679924.81999996</v>
          </cell>
          <cell r="W132">
            <v>159709624.78999996</v>
          </cell>
          <cell r="X132">
            <v>168823325.98999995</v>
          </cell>
          <cell r="Y132">
            <v>179576261.37999994</v>
          </cell>
          <cell r="Z132">
            <v>179576261.37999994</v>
          </cell>
          <cell r="AA132">
            <v>179576261.37999994</v>
          </cell>
          <cell r="AB132">
            <v>179576261.37999994</v>
          </cell>
          <cell r="AC132">
            <v>179576261.37999994</v>
          </cell>
          <cell r="AD132">
            <v>179576261.37999994</v>
          </cell>
          <cell r="AE132">
            <v>179576261.37999994</v>
          </cell>
          <cell r="AF132">
            <v>179576261.37999994</v>
          </cell>
          <cell r="AG132">
            <v>179576261.37999994</v>
          </cell>
          <cell r="AH132">
            <v>179576261.37999994</v>
          </cell>
          <cell r="AI132">
            <v>179576261.37999994</v>
          </cell>
          <cell r="AJ132">
            <v>179576261.37999994</v>
          </cell>
          <cell r="AK132">
            <v>179576261.37999994</v>
          </cell>
          <cell r="AL132">
            <v>179576261.37999994</v>
          </cell>
          <cell r="AM132">
            <v>179576261.37999994</v>
          </cell>
          <cell r="AN132">
            <v>179576261.37999994</v>
          </cell>
          <cell r="AO132">
            <v>179576261.37999994</v>
          </cell>
          <cell r="AP132">
            <v>179576261.37999994</v>
          </cell>
          <cell r="AQ132">
            <v>179576261.37999994</v>
          </cell>
          <cell r="AR132">
            <v>179576261.37999994</v>
          </cell>
          <cell r="AS132">
            <v>179576261.37999994</v>
          </cell>
          <cell r="AT132">
            <v>179576261.37999994</v>
          </cell>
          <cell r="AU132">
            <v>179576261.37999994</v>
          </cell>
          <cell r="AV132">
            <v>179576261.37999994</v>
          </cell>
          <cell r="AW132">
            <v>179576261.37999994</v>
          </cell>
          <cell r="AX132">
            <v>179576261.37999994</v>
          </cell>
          <cell r="AY132">
            <v>179576261.37999994</v>
          </cell>
          <cell r="AZ132">
            <v>179576261.37999994</v>
          </cell>
          <cell r="BA132">
            <v>179576261.37999994</v>
          </cell>
          <cell r="BB132">
            <v>179576261.37999994</v>
          </cell>
        </row>
        <row r="133">
          <cell r="A133" t="str">
            <v>SPRT</v>
          </cell>
          <cell r="B133">
            <v>150731.49</v>
          </cell>
          <cell r="C133">
            <v>139443.54</v>
          </cell>
          <cell r="D133">
            <v>114846.08</v>
          </cell>
          <cell r="E133">
            <v>145608.76999999999</v>
          </cell>
          <cell r="F133">
            <v>119959.49</v>
          </cell>
          <cell r="G133">
            <v>205536.31</v>
          </cell>
          <cell r="H133">
            <v>115881.41</v>
          </cell>
          <cell r="I133">
            <v>114952.99</v>
          </cell>
          <cell r="J133">
            <v>130538.72</v>
          </cell>
          <cell r="K133">
            <v>134619.47</v>
          </cell>
          <cell r="L133">
            <v>123710.34</v>
          </cell>
          <cell r="M133">
            <v>265102.84999999998</v>
          </cell>
          <cell r="N133">
            <v>405463.97</v>
          </cell>
          <cell r="O133">
            <v>274725.03000000003</v>
          </cell>
          <cell r="P133">
            <v>219175.98</v>
          </cell>
          <cell r="Q133">
            <v>373292.25</v>
          </cell>
          <cell r="R133">
            <v>169961.74</v>
          </cell>
          <cell r="S133">
            <v>195708.63</v>
          </cell>
          <cell r="T133">
            <v>226314.21</v>
          </cell>
          <cell r="U133">
            <v>191113.46</v>
          </cell>
          <cell r="V133">
            <v>193799.99</v>
          </cell>
          <cell r="W133">
            <v>216958.82</v>
          </cell>
          <cell r="X133">
            <v>224169.06</v>
          </cell>
          <cell r="Y133">
            <v>416994.51</v>
          </cell>
        </row>
        <row r="134">
          <cell r="A134" t="str">
            <v>ptd</v>
          </cell>
          <cell r="B134">
            <v>150731.49</v>
          </cell>
          <cell r="C134">
            <v>290175.03000000003</v>
          </cell>
          <cell r="D134">
            <v>405021.11000000004</v>
          </cell>
          <cell r="E134">
            <v>550629.88</v>
          </cell>
          <cell r="F134">
            <v>119959.49</v>
          </cell>
          <cell r="G134">
            <v>325495.8</v>
          </cell>
          <cell r="H134">
            <v>441377.20999999996</v>
          </cell>
          <cell r="I134">
            <v>556330.19999999995</v>
          </cell>
          <cell r="J134">
            <v>130538.72</v>
          </cell>
          <cell r="K134">
            <v>265158.19</v>
          </cell>
          <cell r="L134">
            <v>388868.53</v>
          </cell>
          <cell r="M134">
            <v>653971.38</v>
          </cell>
          <cell r="N134">
            <v>405463.97</v>
          </cell>
          <cell r="O134">
            <v>680189</v>
          </cell>
          <cell r="P134">
            <v>899364.98</v>
          </cell>
          <cell r="Q134">
            <v>1272657.23</v>
          </cell>
          <cell r="R134">
            <v>169961.74</v>
          </cell>
          <cell r="S134">
            <v>365670.37</v>
          </cell>
          <cell r="T134">
            <v>591984.57999999996</v>
          </cell>
          <cell r="U134">
            <v>783098.03999999992</v>
          </cell>
          <cell r="V134">
            <v>193799.99</v>
          </cell>
          <cell r="W134">
            <v>410758.81</v>
          </cell>
          <cell r="X134">
            <v>634927.87</v>
          </cell>
          <cell r="Y134">
            <v>1051922.3799999999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</row>
        <row r="135">
          <cell r="A135" t="str">
            <v>qtd</v>
          </cell>
          <cell r="B135">
            <v>150731.49</v>
          </cell>
          <cell r="C135">
            <v>290175.03000000003</v>
          </cell>
          <cell r="D135">
            <v>405021.11000000004</v>
          </cell>
          <cell r="E135">
            <v>550629.88</v>
          </cell>
          <cell r="F135">
            <v>670589.37</v>
          </cell>
          <cell r="G135">
            <v>876125.67999999993</v>
          </cell>
          <cell r="H135">
            <v>992007.09</v>
          </cell>
          <cell r="I135">
            <v>1106960.08</v>
          </cell>
          <cell r="J135">
            <v>1237498.8</v>
          </cell>
          <cell r="K135">
            <v>1372118.27</v>
          </cell>
          <cell r="L135">
            <v>1495828.61</v>
          </cell>
          <cell r="M135">
            <v>1760931.46</v>
          </cell>
          <cell r="N135">
            <v>405463.97</v>
          </cell>
          <cell r="O135">
            <v>680189</v>
          </cell>
          <cell r="P135">
            <v>899364.98</v>
          </cell>
          <cell r="Q135">
            <v>1272657.23</v>
          </cell>
          <cell r="R135">
            <v>1442618.97</v>
          </cell>
          <cell r="S135">
            <v>1638327.6</v>
          </cell>
          <cell r="T135">
            <v>1864641.81</v>
          </cell>
          <cell r="U135">
            <v>2055755.27</v>
          </cell>
          <cell r="V135">
            <v>2249555.2599999998</v>
          </cell>
          <cell r="W135">
            <v>2466514.0799999996</v>
          </cell>
          <cell r="X135">
            <v>2690683.1399999997</v>
          </cell>
          <cell r="Y135">
            <v>3107677.6499999994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</row>
        <row r="136">
          <cell r="A136" t="str">
            <v>ytd</v>
          </cell>
          <cell r="B136">
            <v>150731.49</v>
          </cell>
          <cell r="C136">
            <v>290175.03000000003</v>
          </cell>
          <cell r="D136">
            <v>405021.11000000004</v>
          </cell>
          <cell r="E136">
            <v>550629.88</v>
          </cell>
          <cell r="F136">
            <v>670589.37</v>
          </cell>
          <cell r="G136">
            <v>876125.67999999993</v>
          </cell>
          <cell r="H136">
            <v>992007.09</v>
          </cell>
          <cell r="I136">
            <v>1106960.08</v>
          </cell>
          <cell r="J136">
            <v>1237498.8</v>
          </cell>
          <cell r="K136">
            <v>1372118.27</v>
          </cell>
          <cell r="L136">
            <v>1495828.61</v>
          </cell>
          <cell r="M136">
            <v>1760931.46</v>
          </cell>
          <cell r="N136">
            <v>2166395.4299999997</v>
          </cell>
          <cell r="O136">
            <v>2441120.46</v>
          </cell>
          <cell r="P136">
            <v>2660296.44</v>
          </cell>
          <cell r="Q136">
            <v>3033588.69</v>
          </cell>
          <cell r="R136">
            <v>3203550.4299999997</v>
          </cell>
          <cell r="S136">
            <v>3399259.0599999996</v>
          </cell>
          <cell r="T136">
            <v>3625573.2699999996</v>
          </cell>
          <cell r="U136">
            <v>3816686.7299999995</v>
          </cell>
          <cell r="V136">
            <v>4010486.7199999997</v>
          </cell>
          <cell r="W136">
            <v>4227445.54</v>
          </cell>
          <cell r="X136">
            <v>4451614.5999999996</v>
          </cell>
          <cell r="Y136">
            <v>4868609.1099999994</v>
          </cell>
          <cell r="Z136">
            <v>4868609.1099999994</v>
          </cell>
          <cell r="AA136">
            <v>4868609.1099999994</v>
          </cell>
          <cell r="AB136">
            <v>4868609.1099999994</v>
          </cell>
          <cell r="AC136">
            <v>4868609.1099999994</v>
          </cell>
          <cell r="AD136">
            <v>4868609.1099999994</v>
          </cell>
          <cell r="AE136">
            <v>4868609.1099999994</v>
          </cell>
          <cell r="AF136">
            <v>4868609.1099999994</v>
          </cell>
          <cell r="AG136">
            <v>4868609.1099999994</v>
          </cell>
          <cell r="AH136">
            <v>4868609.1099999994</v>
          </cell>
          <cell r="AI136">
            <v>4868609.1099999994</v>
          </cell>
          <cell r="AJ136">
            <v>4868609.1099999994</v>
          </cell>
          <cell r="AK136">
            <v>4868609.1099999994</v>
          </cell>
          <cell r="AL136">
            <v>4868609.1099999994</v>
          </cell>
          <cell r="AM136">
            <v>4868609.1099999994</v>
          </cell>
          <cell r="AN136">
            <v>4868609.1099999994</v>
          </cell>
          <cell r="AO136">
            <v>4868609.1099999994</v>
          </cell>
          <cell r="AP136">
            <v>4868609.1099999994</v>
          </cell>
          <cell r="AQ136">
            <v>4868609.1099999994</v>
          </cell>
          <cell r="AR136">
            <v>4868609.1099999994</v>
          </cell>
          <cell r="AS136">
            <v>4868609.1099999994</v>
          </cell>
          <cell r="AT136">
            <v>4868609.1099999994</v>
          </cell>
          <cell r="AU136">
            <v>4868609.1099999994</v>
          </cell>
          <cell r="AV136">
            <v>4868609.1099999994</v>
          </cell>
          <cell r="AW136">
            <v>4868609.1099999994</v>
          </cell>
          <cell r="AX136">
            <v>4868609.1099999994</v>
          </cell>
          <cell r="AY136">
            <v>4868609.1099999994</v>
          </cell>
          <cell r="AZ136">
            <v>4868609.1099999994</v>
          </cell>
          <cell r="BA136">
            <v>4868609.1099999994</v>
          </cell>
          <cell r="BB136">
            <v>4868609.1099999994</v>
          </cell>
        </row>
        <row r="137">
          <cell r="A137" t="str">
            <v>TELE</v>
          </cell>
          <cell r="B137">
            <v>4650654.7699999996</v>
          </cell>
          <cell r="C137">
            <v>4474797.43</v>
          </cell>
          <cell r="D137">
            <v>4559468.2300000004</v>
          </cell>
          <cell r="E137">
            <v>4952903.7300000004</v>
          </cell>
          <cell r="F137">
            <v>5292115.91</v>
          </cell>
          <cell r="G137">
            <v>4978362.6100000003</v>
          </cell>
          <cell r="H137">
            <v>4776632.91</v>
          </cell>
          <cell r="I137">
            <v>4945029.29</v>
          </cell>
          <cell r="J137">
            <v>5105893.99</v>
          </cell>
          <cell r="K137">
            <v>4650010.58</v>
          </cell>
          <cell r="L137">
            <v>4523538.62</v>
          </cell>
          <cell r="M137">
            <v>4426798.3099999996</v>
          </cell>
          <cell r="N137">
            <v>4993930.62</v>
          </cell>
          <cell r="O137">
            <v>4732569.3099999996</v>
          </cell>
          <cell r="P137">
            <v>4492781.83</v>
          </cell>
          <cell r="Q137">
            <v>4550150.47</v>
          </cell>
          <cell r="R137">
            <v>5075228.3</v>
          </cell>
          <cell r="S137">
            <v>5138119.05</v>
          </cell>
          <cell r="T137">
            <v>4954287.6399999997</v>
          </cell>
          <cell r="U137">
            <v>4916056.18</v>
          </cell>
          <cell r="V137">
            <v>4779591.0999999996</v>
          </cell>
          <cell r="W137">
            <v>6296861.5099999998</v>
          </cell>
          <cell r="X137">
            <v>6749103.9199999999</v>
          </cell>
          <cell r="Y137">
            <v>6052736.7000000002</v>
          </cell>
        </row>
        <row r="138">
          <cell r="A138" t="str">
            <v>ptd</v>
          </cell>
          <cell r="B138">
            <v>4650654.7699999996</v>
          </cell>
          <cell r="C138">
            <v>9125452.1999999993</v>
          </cell>
          <cell r="D138">
            <v>13684920.43</v>
          </cell>
          <cell r="E138">
            <v>18637824.16</v>
          </cell>
          <cell r="F138">
            <v>5292115.91</v>
          </cell>
          <cell r="G138">
            <v>10270478.52</v>
          </cell>
          <cell r="H138">
            <v>15047111.43</v>
          </cell>
          <cell r="I138">
            <v>19992140.719999999</v>
          </cell>
          <cell r="J138">
            <v>5105893.99</v>
          </cell>
          <cell r="K138">
            <v>9755904.5700000003</v>
          </cell>
          <cell r="L138">
            <v>14279443.190000001</v>
          </cell>
          <cell r="M138">
            <v>18706241.5</v>
          </cell>
          <cell r="N138">
            <v>4993930.62</v>
          </cell>
          <cell r="O138">
            <v>9726499.9299999997</v>
          </cell>
          <cell r="P138">
            <v>14219281.76</v>
          </cell>
          <cell r="Q138">
            <v>18769432.23</v>
          </cell>
          <cell r="R138">
            <v>5075228.3</v>
          </cell>
          <cell r="S138">
            <v>10213347.35</v>
          </cell>
          <cell r="T138">
            <v>15167634.989999998</v>
          </cell>
          <cell r="U138">
            <v>20083691.169999998</v>
          </cell>
          <cell r="V138">
            <v>4779591.0999999996</v>
          </cell>
          <cell r="W138">
            <v>11076452.609999999</v>
          </cell>
          <cell r="X138">
            <v>17825556.530000001</v>
          </cell>
          <cell r="Y138">
            <v>23878293.23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</row>
        <row r="139">
          <cell r="A139" t="str">
            <v>qtd</v>
          </cell>
          <cell r="B139">
            <v>4650654.7699999996</v>
          </cell>
          <cell r="C139">
            <v>9125452.1999999993</v>
          </cell>
          <cell r="D139">
            <v>13684920.43</v>
          </cell>
          <cell r="E139">
            <v>18637824.16</v>
          </cell>
          <cell r="F139">
            <v>23929940.07</v>
          </cell>
          <cell r="G139">
            <v>28908302.68</v>
          </cell>
          <cell r="H139">
            <v>33684935.590000004</v>
          </cell>
          <cell r="I139">
            <v>38629964.880000003</v>
          </cell>
          <cell r="J139">
            <v>43735858.870000005</v>
          </cell>
          <cell r="K139">
            <v>48385869.450000003</v>
          </cell>
          <cell r="L139">
            <v>52909408.07</v>
          </cell>
          <cell r="M139">
            <v>57336206.380000003</v>
          </cell>
          <cell r="N139">
            <v>4993930.62</v>
          </cell>
          <cell r="O139">
            <v>9726499.9299999997</v>
          </cell>
          <cell r="P139">
            <v>14219281.76</v>
          </cell>
          <cell r="Q139">
            <v>18769432.23</v>
          </cell>
          <cell r="R139">
            <v>23844660.530000001</v>
          </cell>
          <cell r="S139">
            <v>28982779.580000002</v>
          </cell>
          <cell r="T139">
            <v>33937067.219999999</v>
          </cell>
          <cell r="U139">
            <v>38853123.399999999</v>
          </cell>
          <cell r="V139">
            <v>43632714.5</v>
          </cell>
          <cell r="W139">
            <v>49929576.009999998</v>
          </cell>
          <cell r="X139">
            <v>56678679.93</v>
          </cell>
          <cell r="Y139">
            <v>62731416.630000003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</row>
        <row r="140">
          <cell r="A140" t="str">
            <v>ytd</v>
          </cell>
          <cell r="B140">
            <v>4650654.7699999996</v>
          </cell>
          <cell r="C140">
            <v>9125452.1999999993</v>
          </cell>
          <cell r="D140">
            <v>13684920.43</v>
          </cell>
          <cell r="E140">
            <v>18637824.16</v>
          </cell>
          <cell r="F140">
            <v>23929940.07</v>
          </cell>
          <cell r="G140">
            <v>28908302.68</v>
          </cell>
          <cell r="H140">
            <v>33684935.590000004</v>
          </cell>
          <cell r="I140">
            <v>38629964.880000003</v>
          </cell>
          <cell r="J140">
            <v>43735858.870000005</v>
          </cell>
          <cell r="K140">
            <v>48385869.450000003</v>
          </cell>
          <cell r="L140">
            <v>52909408.07</v>
          </cell>
          <cell r="M140">
            <v>57336206.380000003</v>
          </cell>
          <cell r="N140">
            <v>62330137</v>
          </cell>
          <cell r="O140">
            <v>67062706.310000002</v>
          </cell>
          <cell r="P140">
            <v>71555488.140000001</v>
          </cell>
          <cell r="Q140">
            <v>76105638.609999999</v>
          </cell>
          <cell r="R140">
            <v>81180866.909999996</v>
          </cell>
          <cell r="S140">
            <v>86318985.959999993</v>
          </cell>
          <cell r="T140">
            <v>91273273.599999994</v>
          </cell>
          <cell r="U140">
            <v>96189329.780000001</v>
          </cell>
          <cell r="V140">
            <v>100968920.88</v>
          </cell>
          <cell r="W140">
            <v>107265782.39</v>
          </cell>
          <cell r="X140">
            <v>114014886.31</v>
          </cell>
          <cell r="Y140">
            <v>120067623.01000001</v>
          </cell>
          <cell r="Z140">
            <v>120067623.01000001</v>
          </cell>
          <cell r="AA140">
            <v>120067623.01000001</v>
          </cell>
          <cell r="AB140">
            <v>120067623.01000001</v>
          </cell>
          <cell r="AC140">
            <v>120067623.01000001</v>
          </cell>
          <cell r="AD140">
            <v>120067623.01000001</v>
          </cell>
          <cell r="AE140">
            <v>120067623.01000001</v>
          </cell>
          <cell r="AF140">
            <v>120067623.01000001</v>
          </cell>
          <cell r="AG140">
            <v>120067623.01000001</v>
          </cell>
          <cell r="AH140">
            <v>120067623.01000001</v>
          </cell>
          <cell r="AI140">
            <v>120067623.01000001</v>
          </cell>
          <cell r="AJ140">
            <v>120067623.01000001</v>
          </cell>
          <cell r="AK140">
            <v>120067623.01000001</v>
          </cell>
          <cell r="AL140">
            <v>120067623.01000001</v>
          </cell>
          <cell r="AM140">
            <v>120067623.01000001</v>
          </cell>
          <cell r="AN140">
            <v>120067623.01000001</v>
          </cell>
          <cell r="AO140">
            <v>120067623.01000001</v>
          </cell>
          <cell r="AP140">
            <v>120067623.01000001</v>
          </cell>
          <cell r="AQ140">
            <v>120067623.01000001</v>
          </cell>
          <cell r="AR140">
            <v>120067623.01000001</v>
          </cell>
          <cell r="AS140">
            <v>120067623.01000001</v>
          </cell>
          <cell r="AT140">
            <v>120067623.01000001</v>
          </cell>
          <cell r="AU140">
            <v>120067623.01000001</v>
          </cell>
          <cell r="AV140">
            <v>120067623.01000001</v>
          </cell>
          <cell r="AW140">
            <v>120067623.01000001</v>
          </cell>
          <cell r="AX140">
            <v>120067623.01000001</v>
          </cell>
          <cell r="AY140">
            <v>120067623.01000001</v>
          </cell>
          <cell r="AZ140">
            <v>120067623.01000001</v>
          </cell>
          <cell r="BA140">
            <v>120067623.01000001</v>
          </cell>
          <cell r="BB140">
            <v>120067623.01000001</v>
          </cell>
        </row>
        <row r="141">
          <cell r="A141" t="str">
            <v>TICK</v>
          </cell>
          <cell r="B141">
            <v>89184.39</v>
          </cell>
          <cell r="C141">
            <v>113726.34</v>
          </cell>
          <cell r="D141">
            <v>125416.86</v>
          </cell>
          <cell r="E141">
            <v>150689.24</v>
          </cell>
          <cell r="F141">
            <v>167067.17000000001</v>
          </cell>
          <cell r="G141">
            <v>284934.15999999997</v>
          </cell>
          <cell r="H141">
            <v>321561.76</v>
          </cell>
          <cell r="I141">
            <v>276018.98</v>
          </cell>
          <cell r="J141">
            <v>283102.98</v>
          </cell>
          <cell r="K141">
            <v>286814.73</v>
          </cell>
          <cell r="L141">
            <v>357325.51</v>
          </cell>
          <cell r="M141">
            <v>389931.11</v>
          </cell>
          <cell r="N141">
            <v>344300.94</v>
          </cell>
          <cell r="O141">
            <v>512093.12</v>
          </cell>
          <cell r="P141">
            <v>526348.18999999994</v>
          </cell>
          <cell r="Q141">
            <v>633685.67000000004</v>
          </cell>
          <cell r="R141">
            <v>480339.79</v>
          </cell>
          <cell r="S141">
            <v>460998.99</v>
          </cell>
          <cell r="T141">
            <v>532701.92000000004</v>
          </cell>
          <cell r="U141">
            <v>927677.08</v>
          </cell>
          <cell r="V141">
            <v>1110953.1399999999</v>
          </cell>
          <cell r="W141">
            <v>1169834.21</v>
          </cell>
          <cell r="X141">
            <v>1323252.24</v>
          </cell>
          <cell r="Y141">
            <v>1534987.05</v>
          </cell>
        </row>
        <row r="142">
          <cell r="A142" t="str">
            <v>ptd</v>
          </cell>
          <cell r="B142">
            <v>89184.39</v>
          </cell>
          <cell r="C142">
            <v>202910.72999999998</v>
          </cell>
          <cell r="D142">
            <v>328327.58999999997</v>
          </cell>
          <cell r="E142">
            <v>479016.82999999996</v>
          </cell>
          <cell r="F142">
            <v>167067.17000000001</v>
          </cell>
          <cell r="G142">
            <v>452001.32999999996</v>
          </cell>
          <cell r="H142">
            <v>773563.09</v>
          </cell>
          <cell r="I142">
            <v>1049582.0699999998</v>
          </cell>
          <cell r="J142">
            <v>283102.98</v>
          </cell>
          <cell r="K142">
            <v>569917.71</v>
          </cell>
          <cell r="L142">
            <v>927243.22</v>
          </cell>
          <cell r="M142">
            <v>1317174.33</v>
          </cell>
          <cell r="N142">
            <v>344300.94</v>
          </cell>
          <cell r="O142">
            <v>856394.06</v>
          </cell>
          <cell r="P142">
            <v>1382742.25</v>
          </cell>
          <cell r="Q142">
            <v>2016427.92</v>
          </cell>
          <cell r="R142">
            <v>480339.79</v>
          </cell>
          <cell r="S142">
            <v>941338.78</v>
          </cell>
          <cell r="T142">
            <v>1474040.7000000002</v>
          </cell>
          <cell r="U142">
            <v>2401717.7800000003</v>
          </cell>
          <cell r="V142">
            <v>1110953.1399999999</v>
          </cell>
          <cell r="W142">
            <v>2280787.3499999996</v>
          </cell>
          <cell r="X142">
            <v>3604039.59</v>
          </cell>
          <cell r="Y142">
            <v>5139026.6399999997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</row>
        <row r="143">
          <cell r="A143" t="str">
            <v>qtd</v>
          </cell>
          <cell r="B143">
            <v>89184.39</v>
          </cell>
          <cell r="C143">
            <v>202910.72999999998</v>
          </cell>
          <cell r="D143">
            <v>328327.58999999997</v>
          </cell>
          <cell r="E143">
            <v>479016.82999999996</v>
          </cell>
          <cell r="F143">
            <v>646084</v>
          </cell>
          <cell r="G143">
            <v>931018.15999999992</v>
          </cell>
          <cell r="H143">
            <v>1252579.92</v>
          </cell>
          <cell r="I143">
            <v>1528598.9</v>
          </cell>
          <cell r="J143">
            <v>1811701.88</v>
          </cell>
          <cell r="K143">
            <v>2098516.61</v>
          </cell>
          <cell r="L143">
            <v>2455842.12</v>
          </cell>
          <cell r="M143">
            <v>2845773.23</v>
          </cell>
          <cell r="N143">
            <v>344300.94</v>
          </cell>
          <cell r="O143">
            <v>856394.06</v>
          </cell>
          <cell r="P143">
            <v>1382742.25</v>
          </cell>
          <cell r="Q143">
            <v>2016427.92</v>
          </cell>
          <cell r="R143">
            <v>2496767.71</v>
          </cell>
          <cell r="S143">
            <v>2957766.7</v>
          </cell>
          <cell r="T143">
            <v>3490468.62</v>
          </cell>
          <cell r="U143">
            <v>4418145.7</v>
          </cell>
          <cell r="V143">
            <v>5529098.8399999999</v>
          </cell>
          <cell r="W143">
            <v>6698933.0499999998</v>
          </cell>
          <cell r="X143">
            <v>8022185.29</v>
          </cell>
          <cell r="Y143">
            <v>9557172.3399999999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</row>
        <row r="144">
          <cell r="A144" t="str">
            <v>ytd</v>
          </cell>
          <cell r="B144">
            <v>89184.39</v>
          </cell>
          <cell r="C144">
            <v>202910.72999999998</v>
          </cell>
          <cell r="D144">
            <v>328327.58999999997</v>
          </cell>
          <cell r="E144">
            <v>479016.82999999996</v>
          </cell>
          <cell r="F144">
            <v>646084</v>
          </cell>
          <cell r="G144">
            <v>931018.15999999992</v>
          </cell>
          <cell r="H144">
            <v>1252579.92</v>
          </cell>
          <cell r="I144">
            <v>1528598.9</v>
          </cell>
          <cell r="J144">
            <v>1811701.88</v>
          </cell>
          <cell r="K144">
            <v>2098516.61</v>
          </cell>
          <cell r="L144">
            <v>2455842.12</v>
          </cell>
          <cell r="M144">
            <v>2845773.23</v>
          </cell>
          <cell r="N144">
            <v>3190074.17</v>
          </cell>
          <cell r="O144">
            <v>3702167.29</v>
          </cell>
          <cell r="P144">
            <v>4228515.4800000004</v>
          </cell>
          <cell r="Q144">
            <v>4862201.1500000004</v>
          </cell>
          <cell r="R144">
            <v>5342540.9400000004</v>
          </cell>
          <cell r="S144">
            <v>5803539.9300000006</v>
          </cell>
          <cell r="T144">
            <v>6336241.8500000006</v>
          </cell>
          <cell r="U144">
            <v>7263918.9300000006</v>
          </cell>
          <cell r="V144">
            <v>8374872.0700000003</v>
          </cell>
          <cell r="W144">
            <v>9544706.2800000012</v>
          </cell>
          <cell r="X144">
            <v>10867958.520000001</v>
          </cell>
          <cell r="Y144">
            <v>12402945.570000002</v>
          </cell>
          <cell r="Z144">
            <v>12402945.570000002</v>
          </cell>
          <cell r="AA144">
            <v>12402945.570000002</v>
          </cell>
          <cell r="AB144">
            <v>12402945.570000002</v>
          </cell>
          <cell r="AC144">
            <v>12402945.570000002</v>
          </cell>
          <cell r="AD144">
            <v>12402945.570000002</v>
          </cell>
          <cell r="AE144">
            <v>12402945.570000002</v>
          </cell>
          <cell r="AF144">
            <v>12402945.570000002</v>
          </cell>
          <cell r="AG144">
            <v>12402945.570000002</v>
          </cell>
          <cell r="AH144">
            <v>12402945.570000002</v>
          </cell>
          <cell r="AI144">
            <v>12402945.570000002</v>
          </cell>
          <cell r="AJ144">
            <v>12402945.570000002</v>
          </cell>
          <cell r="AK144">
            <v>12402945.570000002</v>
          </cell>
          <cell r="AL144">
            <v>12402945.570000002</v>
          </cell>
          <cell r="AM144">
            <v>12402945.570000002</v>
          </cell>
          <cell r="AN144">
            <v>12402945.570000002</v>
          </cell>
          <cell r="AO144">
            <v>12402945.570000002</v>
          </cell>
          <cell r="AP144">
            <v>12402945.570000002</v>
          </cell>
          <cell r="AQ144">
            <v>12402945.570000002</v>
          </cell>
          <cell r="AR144">
            <v>12402945.570000002</v>
          </cell>
          <cell r="AS144">
            <v>12402945.570000002</v>
          </cell>
          <cell r="AT144">
            <v>12402945.570000002</v>
          </cell>
          <cell r="AU144">
            <v>12402945.570000002</v>
          </cell>
          <cell r="AV144">
            <v>12402945.570000002</v>
          </cell>
          <cell r="AW144">
            <v>12402945.570000002</v>
          </cell>
          <cell r="AX144">
            <v>12402945.570000002</v>
          </cell>
          <cell r="AY144">
            <v>12402945.570000002</v>
          </cell>
          <cell r="AZ144">
            <v>12402945.570000002</v>
          </cell>
          <cell r="BA144">
            <v>12402945.570000002</v>
          </cell>
          <cell r="BB144">
            <v>12402945.570000002</v>
          </cell>
        </row>
        <row r="145">
          <cell r="A145" t="str">
            <v>UNKN</v>
          </cell>
          <cell r="M145">
            <v>25</v>
          </cell>
          <cell r="T145">
            <v>30</v>
          </cell>
          <cell r="U145">
            <v>20</v>
          </cell>
          <cell r="V145">
            <v>40</v>
          </cell>
          <cell r="W145">
            <v>765</v>
          </cell>
          <cell r="X145">
            <v>5425</v>
          </cell>
          <cell r="Y145">
            <v>13155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25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30</v>
          </cell>
          <cell r="U146">
            <v>50</v>
          </cell>
          <cell r="V146">
            <v>40</v>
          </cell>
          <cell r="W146">
            <v>805</v>
          </cell>
          <cell r="X146">
            <v>6230</v>
          </cell>
          <cell r="Y146">
            <v>19385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25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30</v>
          </cell>
          <cell r="U147">
            <v>50</v>
          </cell>
          <cell r="V147">
            <v>90</v>
          </cell>
          <cell r="W147">
            <v>855</v>
          </cell>
          <cell r="X147">
            <v>6280</v>
          </cell>
          <cell r="Y147">
            <v>19435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25</v>
          </cell>
          <cell r="N148">
            <v>25</v>
          </cell>
          <cell r="O148">
            <v>25</v>
          </cell>
          <cell r="P148">
            <v>25</v>
          </cell>
          <cell r="Q148">
            <v>25</v>
          </cell>
          <cell r="R148">
            <v>25</v>
          </cell>
          <cell r="S148">
            <v>25</v>
          </cell>
          <cell r="T148">
            <v>55</v>
          </cell>
          <cell r="U148">
            <v>75</v>
          </cell>
          <cell r="V148">
            <v>115</v>
          </cell>
          <cell r="W148">
            <v>880</v>
          </cell>
          <cell r="X148">
            <v>6305</v>
          </cell>
          <cell r="Y148">
            <v>19460</v>
          </cell>
          <cell r="Z148">
            <v>19460</v>
          </cell>
          <cell r="AA148">
            <v>19460</v>
          </cell>
          <cell r="AB148">
            <v>19460</v>
          </cell>
          <cell r="AC148">
            <v>19460</v>
          </cell>
          <cell r="AD148">
            <v>19460</v>
          </cell>
          <cell r="AE148">
            <v>19460</v>
          </cell>
          <cell r="AF148">
            <v>19460</v>
          </cell>
          <cell r="AG148">
            <v>19460</v>
          </cell>
          <cell r="AH148">
            <v>19460</v>
          </cell>
          <cell r="AI148">
            <v>19460</v>
          </cell>
          <cell r="AJ148">
            <v>19460</v>
          </cell>
          <cell r="AK148">
            <v>19460</v>
          </cell>
          <cell r="AL148">
            <v>19460</v>
          </cell>
          <cell r="AM148">
            <v>19460</v>
          </cell>
          <cell r="AN148">
            <v>19460</v>
          </cell>
          <cell r="AO148">
            <v>19460</v>
          </cell>
          <cell r="AP148">
            <v>19460</v>
          </cell>
          <cell r="AQ148">
            <v>19460</v>
          </cell>
          <cell r="AR148">
            <v>19460</v>
          </cell>
          <cell r="AS148">
            <v>19460</v>
          </cell>
          <cell r="AT148">
            <v>19460</v>
          </cell>
          <cell r="AU148">
            <v>19460</v>
          </cell>
          <cell r="AV148">
            <v>19460</v>
          </cell>
          <cell r="AW148">
            <v>19460</v>
          </cell>
          <cell r="AX148">
            <v>19460</v>
          </cell>
          <cell r="AY148">
            <v>19460</v>
          </cell>
          <cell r="AZ148">
            <v>19460</v>
          </cell>
          <cell r="BA148">
            <v>19460</v>
          </cell>
          <cell r="BB148">
            <v>19460</v>
          </cell>
        </row>
        <row r="149">
          <cell r="A149" t="str">
            <v>TOTAL DISTRIBUTION</v>
          </cell>
          <cell r="B149">
            <v>27944764.449999999</v>
          </cell>
          <cell r="C149">
            <v>26096420.309999999</v>
          </cell>
          <cell r="D149">
            <v>25458299.109999999</v>
          </cell>
          <cell r="E149">
            <v>26263344.629999999</v>
          </cell>
          <cell r="F149">
            <v>28002938.640000001</v>
          </cell>
          <cell r="G149">
            <v>38169932.75</v>
          </cell>
          <cell r="H149">
            <v>26334275.960000001</v>
          </cell>
          <cell r="I149">
            <v>27136783.169999994</v>
          </cell>
          <cell r="J149">
            <v>27565034.020000003</v>
          </cell>
          <cell r="K149">
            <v>27039678.759999998</v>
          </cell>
          <cell r="L149">
            <v>26878738.189999998</v>
          </cell>
          <cell r="M149">
            <v>26985165.399999999</v>
          </cell>
          <cell r="N149">
            <v>29524735.350000001</v>
          </cell>
          <cell r="O149">
            <v>41377746.170000002</v>
          </cell>
          <cell r="P149">
            <v>28414032.549999997</v>
          </cell>
          <cell r="Q149">
            <v>32265454.289999999</v>
          </cell>
          <cell r="R149">
            <v>31551143.770000003</v>
          </cell>
          <cell r="S149">
            <v>50959285.600000001</v>
          </cell>
          <cell r="T149">
            <v>39818286.899999999</v>
          </cell>
          <cell r="U149">
            <v>34959443.530000001</v>
          </cell>
          <cell r="V149">
            <v>35383615.559999995</v>
          </cell>
          <cell r="W149">
            <v>41449261.330000006</v>
          </cell>
          <cell r="X149">
            <v>41991362.619999997</v>
          </cell>
          <cell r="Y149">
            <v>59344360.719999991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</row>
        <row r="150">
          <cell r="A150" t="str">
            <v>ptd</v>
          </cell>
          <cell r="B150">
            <v>27944764.449999999</v>
          </cell>
          <cell r="C150">
            <v>54041184.759999998</v>
          </cell>
          <cell r="D150">
            <v>79499483.870000005</v>
          </cell>
          <cell r="E150">
            <v>105762828.5</v>
          </cell>
          <cell r="F150">
            <v>28002938.640000001</v>
          </cell>
          <cell r="G150">
            <v>66172871.390000001</v>
          </cell>
          <cell r="H150">
            <v>92507147.349999994</v>
          </cell>
          <cell r="I150">
            <v>119643930.51999998</v>
          </cell>
          <cell r="J150">
            <v>27565034.020000003</v>
          </cell>
          <cell r="K150">
            <v>54604712.780000001</v>
          </cell>
          <cell r="L150">
            <v>81483450.969999999</v>
          </cell>
          <cell r="M150">
            <v>108468616.37</v>
          </cell>
          <cell r="N150">
            <v>29524735.350000001</v>
          </cell>
          <cell r="O150">
            <v>70902481.520000011</v>
          </cell>
          <cell r="P150">
            <v>99316514.070000008</v>
          </cell>
          <cell r="Q150">
            <v>131581968.36000001</v>
          </cell>
          <cell r="R150">
            <v>31551143.770000003</v>
          </cell>
          <cell r="S150">
            <v>82510429.370000005</v>
          </cell>
          <cell r="T150">
            <v>122328716.27000001</v>
          </cell>
          <cell r="U150">
            <v>157288159.80000001</v>
          </cell>
          <cell r="V150">
            <v>35383615.559999995</v>
          </cell>
          <cell r="W150">
            <v>76832876.890000001</v>
          </cell>
          <cell r="X150">
            <v>118824239.50999999</v>
          </cell>
          <cell r="Y150">
            <v>178168600.22999999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</row>
        <row r="151">
          <cell r="A151" t="str">
            <v>qtd</v>
          </cell>
          <cell r="B151">
            <v>27944764.449999999</v>
          </cell>
          <cell r="C151">
            <v>54041184.759999998</v>
          </cell>
          <cell r="D151">
            <v>79499483.870000005</v>
          </cell>
          <cell r="E151">
            <v>105762828.5</v>
          </cell>
          <cell r="F151">
            <v>133765767.14</v>
          </cell>
          <cell r="G151">
            <v>171935699.88999999</v>
          </cell>
          <cell r="H151">
            <v>198269975.84999999</v>
          </cell>
          <cell r="I151">
            <v>225406759.01999998</v>
          </cell>
          <cell r="J151">
            <v>252971793.03999999</v>
          </cell>
          <cell r="K151">
            <v>280011471.80000001</v>
          </cell>
          <cell r="L151">
            <v>306890209.99000001</v>
          </cell>
          <cell r="M151">
            <v>333875375.38999999</v>
          </cell>
          <cell r="N151">
            <v>29524735.350000001</v>
          </cell>
          <cell r="O151">
            <v>70902481.520000011</v>
          </cell>
          <cell r="P151">
            <v>99316514.070000008</v>
          </cell>
          <cell r="Q151">
            <v>131581968.36000001</v>
          </cell>
          <cell r="R151">
            <v>163133112.13000003</v>
          </cell>
          <cell r="S151">
            <v>214092397.73000002</v>
          </cell>
          <cell r="T151">
            <v>253910684.63000003</v>
          </cell>
          <cell r="U151">
            <v>288870128.16000003</v>
          </cell>
          <cell r="V151">
            <v>324253743.72000003</v>
          </cell>
          <cell r="W151">
            <v>365703005.05000001</v>
          </cell>
          <cell r="X151">
            <v>407694367.67000002</v>
          </cell>
          <cell r="Y151">
            <v>467038728.38999999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</row>
        <row r="152">
          <cell r="A152" t="str">
            <v>ytd</v>
          </cell>
          <cell r="B152">
            <v>27944764.449999999</v>
          </cell>
          <cell r="C152">
            <v>54041184.759999998</v>
          </cell>
          <cell r="D152">
            <v>79499483.870000005</v>
          </cell>
          <cell r="E152">
            <v>105762828.5</v>
          </cell>
          <cell r="F152">
            <v>133765767.14</v>
          </cell>
          <cell r="G152">
            <v>171935699.88999999</v>
          </cell>
          <cell r="H152">
            <v>198269975.84999999</v>
          </cell>
          <cell r="I152">
            <v>225406759.01999998</v>
          </cell>
          <cell r="J152">
            <v>252971793.03999999</v>
          </cell>
          <cell r="K152">
            <v>280011471.80000001</v>
          </cell>
          <cell r="L152">
            <v>306890209.99000001</v>
          </cell>
          <cell r="M152">
            <v>333875375.38999999</v>
          </cell>
          <cell r="N152">
            <v>363400110.74000001</v>
          </cell>
          <cell r="O152">
            <v>404777856.91000003</v>
          </cell>
          <cell r="P152">
            <v>433191889.46000004</v>
          </cell>
          <cell r="Q152">
            <v>465457343.75000006</v>
          </cell>
          <cell r="R152">
            <v>497008487.52000004</v>
          </cell>
          <cell r="S152">
            <v>547967773.12</v>
          </cell>
          <cell r="T152">
            <v>587786060.01999998</v>
          </cell>
          <cell r="U152">
            <v>622745503.54999995</v>
          </cell>
          <cell r="V152">
            <v>658129119.1099999</v>
          </cell>
          <cell r="W152">
            <v>699578380.43999994</v>
          </cell>
          <cell r="X152">
            <v>741569743.05999994</v>
          </cell>
          <cell r="Y152">
            <v>800914103.77999997</v>
          </cell>
          <cell r="Z152">
            <v>800914103.77999997</v>
          </cell>
          <cell r="AA152">
            <v>800914103.77999997</v>
          </cell>
          <cell r="AB152">
            <v>800914103.77999997</v>
          </cell>
          <cell r="AC152">
            <v>800914103.77999997</v>
          </cell>
          <cell r="AD152">
            <v>800914103.77999997</v>
          </cell>
          <cell r="AE152">
            <v>800914103.77999997</v>
          </cell>
          <cell r="AF152">
            <v>800914103.77999997</v>
          </cell>
          <cell r="AG152">
            <v>800914103.77999997</v>
          </cell>
          <cell r="AH152">
            <v>800914103.77999997</v>
          </cell>
          <cell r="AI152">
            <v>800914103.77999997</v>
          </cell>
          <cell r="AJ152">
            <v>800914103.77999997</v>
          </cell>
          <cell r="AK152">
            <v>800914103.77999997</v>
          </cell>
          <cell r="AL152">
            <v>800914103.77999997</v>
          </cell>
          <cell r="AM152">
            <v>800914103.77999997</v>
          </cell>
          <cell r="AN152">
            <v>800914103.77999997</v>
          </cell>
          <cell r="AO152">
            <v>800914103.77999997</v>
          </cell>
          <cell r="AP152">
            <v>800914103.77999997</v>
          </cell>
          <cell r="AQ152">
            <v>800914103.77999997</v>
          </cell>
          <cell r="AR152">
            <v>800914103.77999997</v>
          </cell>
          <cell r="AS152">
            <v>800914103.77999997</v>
          </cell>
          <cell r="AT152">
            <v>800914103.77999997</v>
          </cell>
          <cell r="AU152">
            <v>800914103.77999997</v>
          </cell>
          <cell r="AV152">
            <v>800914103.77999997</v>
          </cell>
          <cell r="AW152">
            <v>800914103.77999997</v>
          </cell>
          <cell r="AX152">
            <v>800914103.77999997</v>
          </cell>
          <cell r="AY152">
            <v>800914103.77999997</v>
          </cell>
          <cell r="AZ152">
            <v>800914103.77999997</v>
          </cell>
          <cell r="BA152">
            <v>800914103.77999997</v>
          </cell>
          <cell r="BB152">
            <v>800914103.77999997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166592.29999999999</v>
          </cell>
          <cell r="C159">
            <v>157627.98000000001</v>
          </cell>
          <cell r="D159">
            <v>148064.28</v>
          </cell>
          <cell r="E159">
            <v>155063.35</v>
          </cell>
          <cell r="F159">
            <v>165986.65</v>
          </cell>
          <cell r="G159">
            <v>236848.34</v>
          </cell>
          <cell r="H159">
            <v>160325.47</v>
          </cell>
          <cell r="I159">
            <v>180738.93</v>
          </cell>
          <cell r="J159">
            <v>176926.35</v>
          </cell>
          <cell r="K159">
            <v>186317.32</v>
          </cell>
          <cell r="L159">
            <v>247277</v>
          </cell>
          <cell r="M159">
            <v>196185.45</v>
          </cell>
          <cell r="N159">
            <v>184002.49</v>
          </cell>
          <cell r="O159">
            <v>191318.73</v>
          </cell>
          <cell r="P159">
            <v>145805.10999999999</v>
          </cell>
          <cell r="Q159">
            <v>157071.15</v>
          </cell>
          <cell r="R159">
            <v>180069.83</v>
          </cell>
          <cell r="S159">
            <v>175063.37</v>
          </cell>
          <cell r="T159">
            <v>174895.65</v>
          </cell>
          <cell r="U159">
            <v>183427.03</v>
          </cell>
          <cell r="V159">
            <v>178996.41</v>
          </cell>
          <cell r="W159">
            <v>196691.54</v>
          </cell>
          <cell r="X159">
            <v>239442.09</v>
          </cell>
          <cell r="Y159">
            <v>367147.79</v>
          </cell>
        </row>
        <row r="160">
          <cell r="A160" t="str">
            <v>ptd</v>
          </cell>
          <cell r="B160">
            <v>166592.29999999999</v>
          </cell>
          <cell r="C160">
            <v>324220.28000000003</v>
          </cell>
          <cell r="D160">
            <v>472284.56000000006</v>
          </cell>
          <cell r="E160">
            <v>627347.91</v>
          </cell>
          <cell r="F160">
            <v>165986.65</v>
          </cell>
          <cell r="G160">
            <v>402834.99</v>
          </cell>
          <cell r="H160">
            <v>563160.46</v>
          </cell>
          <cell r="I160">
            <v>743899.3899999999</v>
          </cell>
          <cell r="J160">
            <v>176926.35</v>
          </cell>
          <cell r="K160">
            <v>363243.67000000004</v>
          </cell>
          <cell r="L160">
            <v>610520.67000000004</v>
          </cell>
          <cell r="M160">
            <v>806706.12000000011</v>
          </cell>
          <cell r="N160">
            <v>184002.49</v>
          </cell>
          <cell r="O160">
            <v>375321.22</v>
          </cell>
          <cell r="P160">
            <v>521126.32999999996</v>
          </cell>
          <cell r="Q160">
            <v>678197.48</v>
          </cell>
          <cell r="R160">
            <v>180069.83</v>
          </cell>
          <cell r="S160">
            <v>355133.19999999995</v>
          </cell>
          <cell r="T160">
            <v>530028.85</v>
          </cell>
          <cell r="U160">
            <v>713455.88</v>
          </cell>
          <cell r="V160">
            <v>178996.41</v>
          </cell>
          <cell r="W160">
            <v>375687.95</v>
          </cell>
          <cell r="X160">
            <v>615130.04</v>
          </cell>
          <cell r="Y160">
            <v>982277.83000000007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</row>
        <row r="161">
          <cell r="A161" t="str">
            <v>qtd</v>
          </cell>
          <cell r="B161">
            <v>166592.29999999999</v>
          </cell>
          <cell r="C161">
            <v>324220.28000000003</v>
          </cell>
          <cell r="D161">
            <v>472284.56000000006</v>
          </cell>
          <cell r="E161">
            <v>627347.91</v>
          </cell>
          <cell r="F161">
            <v>793334.56</v>
          </cell>
          <cell r="G161">
            <v>1030182.9</v>
          </cell>
          <cell r="H161">
            <v>1190508.3700000001</v>
          </cell>
          <cell r="I161">
            <v>1371247.3</v>
          </cell>
          <cell r="J161">
            <v>1548173.6500000001</v>
          </cell>
          <cell r="K161">
            <v>1734490.9700000002</v>
          </cell>
          <cell r="L161">
            <v>1981767.9700000002</v>
          </cell>
          <cell r="M161">
            <v>2177953.4200000004</v>
          </cell>
          <cell r="N161">
            <v>184002.49</v>
          </cell>
          <cell r="O161">
            <v>375321.22</v>
          </cell>
          <cell r="P161">
            <v>521126.32999999996</v>
          </cell>
          <cell r="Q161">
            <v>678197.48</v>
          </cell>
          <cell r="R161">
            <v>858267.30999999994</v>
          </cell>
          <cell r="S161">
            <v>1033330.6799999999</v>
          </cell>
          <cell r="T161">
            <v>1208226.3299999998</v>
          </cell>
          <cell r="U161">
            <v>1391653.3599999999</v>
          </cell>
          <cell r="V161">
            <v>1570649.7699999998</v>
          </cell>
          <cell r="W161">
            <v>1767341.3099999998</v>
          </cell>
          <cell r="X161">
            <v>2006783.4</v>
          </cell>
          <cell r="Y161">
            <v>2373931.19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</row>
        <row r="162">
          <cell r="A162" t="str">
            <v>ytd</v>
          </cell>
          <cell r="B162">
            <v>166592.29999999999</v>
          </cell>
          <cell r="C162">
            <v>324220.28000000003</v>
          </cell>
          <cell r="D162">
            <v>472284.56000000006</v>
          </cell>
          <cell r="E162">
            <v>627347.91</v>
          </cell>
          <cell r="F162">
            <v>793334.56</v>
          </cell>
          <cell r="G162">
            <v>1030182.9</v>
          </cell>
          <cell r="H162">
            <v>1190508.3700000001</v>
          </cell>
          <cell r="I162">
            <v>1371247.3</v>
          </cell>
          <cell r="J162">
            <v>1548173.6500000001</v>
          </cell>
          <cell r="K162">
            <v>1734490.9700000002</v>
          </cell>
          <cell r="L162">
            <v>1981767.9700000002</v>
          </cell>
          <cell r="M162">
            <v>2177953.4200000004</v>
          </cell>
          <cell r="N162">
            <v>2361955.91</v>
          </cell>
          <cell r="O162">
            <v>2553274.64</v>
          </cell>
          <cell r="P162">
            <v>2699079.75</v>
          </cell>
          <cell r="Q162">
            <v>2856150.9</v>
          </cell>
          <cell r="R162">
            <v>3036220.73</v>
          </cell>
          <cell r="S162">
            <v>3211284.1</v>
          </cell>
          <cell r="T162">
            <v>3386179.75</v>
          </cell>
          <cell r="U162">
            <v>3569606.78</v>
          </cell>
          <cell r="V162">
            <v>3748603.19</v>
          </cell>
          <cell r="W162">
            <v>3945294.73</v>
          </cell>
          <cell r="X162">
            <v>4184736.82</v>
          </cell>
          <cell r="Y162">
            <v>4551884.6099999994</v>
          </cell>
          <cell r="Z162">
            <v>4551884.6099999994</v>
          </cell>
          <cell r="AA162">
            <v>4551884.6099999994</v>
          </cell>
          <cell r="AB162">
            <v>4551884.6099999994</v>
          </cell>
          <cell r="AC162">
            <v>4551884.6099999994</v>
          </cell>
          <cell r="AD162">
            <v>4551884.6099999994</v>
          </cell>
          <cell r="AE162">
            <v>4551884.6099999994</v>
          </cell>
          <cell r="AF162">
            <v>4551884.6099999994</v>
          </cell>
          <cell r="AG162">
            <v>4551884.6099999994</v>
          </cell>
          <cell r="AH162">
            <v>4551884.6099999994</v>
          </cell>
          <cell r="AI162">
            <v>4551884.6099999994</v>
          </cell>
          <cell r="AJ162">
            <v>4551884.6099999994</v>
          </cell>
          <cell r="AK162">
            <v>4551884.6099999994</v>
          </cell>
          <cell r="AL162">
            <v>4551884.6099999994</v>
          </cell>
          <cell r="AM162">
            <v>4551884.6099999994</v>
          </cell>
          <cell r="AN162">
            <v>4551884.6099999994</v>
          </cell>
          <cell r="AO162">
            <v>4551884.6099999994</v>
          </cell>
          <cell r="AP162">
            <v>4551884.6099999994</v>
          </cell>
          <cell r="AQ162">
            <v>4551884.6099999994</v>
          </cell>
          <cell r="AR162">
            <v>4551884.6099999994</v>
          </cell>
          <cell r="AS162">
            <v>4551884.6099999994</v>
          </cell>
          <cell r="AT162">
            <v>4551884.6099999994</v>
          </cell>
          <cell r="AU162">
            <v>4551884.6099999994</v>
          </cell>
          <cell r="AV162">
            <v>4551884.6099999994</v>
          </cell>
          <cell r="AW162">
            <v>4551884.6099999994</v>
          </cell>
          <cell r="AX162">
            <v>4551884.6099999994</v>
          </cell>
          <cell r="AY162">
            <v>4551884.6099999994</v>
          </cell>
          <cell r="AZ162">
            <v>4551884.6099999994</v>
          </cell>
          <cell r="BA162">
            <v>4551884.6099999994</v>
          </cell>
          <cell r="BB162">
            <v>4551884.6099999994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5523.36</v>
          </cell>
          <cell r="C171">
            <v>5670.11</v>
          </cell>
          <cell r="D171">
            <v>5403.79</v>
          </cell>
          <cell r="E171">
            <v>5575.61</v>
          </cell>
          <cell r="F171">
            <v>5383.33</v>
          </cell>
          <cell r="G171">
            <v>5465.44</v>
          </cell>
          <cell r="H171">
            <v>5515.36</v>
          </cell>
          <cell r="I171">
            <v>6343.26</v>
          </cell>
          <cell r="J171">
            <v>6269.47</v>
          </cell>
          <cell r="K171">
            <v>7422.82</v>
          </cell>
          <cell r="L171">
            <v>6018.05</v>
          </cell>
          <cell r="M171">
            <v>5973.77</v>
          </cell>
          <cell r="N171">
            <v>5987.3</v>
          </cell>
          <cell r="O171">
            <v>6317.18</v>
          </cell>
          <cell r="P171">
            <v>3713.07</v>
          </cell>
          <cell r="Q171">
            <v>4820.0200000000004</v>
          </cell>
          <cell r="R171">
            <v>6361.79</v>
          </cell>
          <cell r="S171">
            <v>4644.4799999999996</v>
          </cell>
          <cell r="T171">
            <v>5957.66</v>
          </cell>
          <cell r="U171">
            <v>5559.93</v>
          </cell>
          <cell r="V171">
            <v>5915.53</v>
          </cell>
          <cell r="W171">
            <v>6144.92</v>
          </cell>
          <cell r="X171">
            <v>6539.68</v>
          </cell>
          <cell r="Y171">
            <v>10735.35</v>
          </cell>
        </row>
        <row r="172">
          <cell r="A172" t="str">
            <v>ptd</v>
          </cell>
          <cell r="B172">
            <v>5523.36</v>
          </cell>
          <cell r="C172">
            <v>11193.47</v>
          </cell>
          <cell r="D172">
            <v>16597.259999999998</v>
          </cell>
          <cell r="E172">
            <v>22172.87</v>
          </cell>
          <cell r="F172">
            <v>5383.33</v>
          </cell>
          <cell r="G172">
            <v>10848.77</v>
          </cell>
          <cell r="H172">
            <v>16364.130000000001</v>
          </cell>
          <cell r="I172">
            <v>22707.39</v>
          </cell>
          <cell r="J172">
            <v>6269.47</v>
          </cell>
          <cell r="K172">
            <v>13692.29</v>
          </cell>
          <cell r="L172">
            <v>19710.34</v>
          </cell>
          <cell r="M172">
            <v>25684.11</v>
          </cell>
          <cell r="N172">
            <v>5987.3</v>
          </cell>
          <cell r="O172">
            <v>12304.48</v>
          </cell>
          <cell r="P172">
            <v>16017.55</v>
          </cell>
          <cell r="Q172">
            <v>20837.57</v>
          </cell>
          <cell r="R172">
            <v>6361.79</v>
          </cell>
          <cell r="S172">
            <v>11006.27</v>
          </cell>
          <cell r="T172">
            <v>16963.93</v>
          </cell>
          <cell r="U172">
            <v>22523.86</v>
          </cell>
          <cell r="V172">
            <v>5915.53</v>
          </cell>
          <cell r="W172">
            <v>12060.45</v>
          </cell>
          <cell r="X172">
            <v>18600.13</v>
          </cell>
          <cell r="Y172">
            <v>29335.480000000003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</row>
        <row r="173">
          <cell r="A173" t="str">
            <v>qtd</v>
          </cell>
          <cell r="B173">
            <v>5523.36</v>
          </cell>
          <cell r="C173">
            <v>11193.47</v>
          </cell>
          <cell r="D173">
            <v>16597.259999999998</v>
          </cell>
          <cell r="E173">
            <v>22172.87</v>
          </cell>
          <cell r="F173">
            <v>27556.199999999997</v>
          </cell>
          <cell r="G173">
            <v>33021.64</v>
          </cell>
          <cell r="H173">
            <v>38537</v>
          </cell>
          <cell r="I173">
            <v>44880.26</v>
          </cell>
          <cell r="J173">
            <v>51149.73</v>
          </cell>
          <cell r="K173">
            <v>58572.55</v>
          </cell>
          <cell r="L173">
            <v>64590.600000000006</v>
          </cell>
          <cell r="M173">
            <v>70564.37000000001</v>
          </cell>
          <cell r="N173">
            <v>5987.3</v>
          </cell>
          <cell r="O173">
            <v>12304.48</v>
          </cell>
          <cell r="P173">
            <v>16017.55</v>
          </cell>
          <cell r="Q173">
            <v>20837.57</v>
          </cell>
          <cell r="R173">
            <v>27199.360000000001</v>
          </cell>
          <cell r="S173">
            <v>31843.84</v>
          </cell>
          <cell r="T173">
            <v>37801.5</v>
          </cell>
          <cell r="U173">
            <v>43361.43</v>
          </cell>
          <cell r="V173">
            <v>49276.959999999999</v>
          </cell>
          <cell r="W173">
            <v>55421.88</v>
          </cell>
          <cell r="X173">
            <v>61961.56</v>
          </cell>
          <cell r="Y173">
            <v>72696.91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</row>
        <row r="174">
          <cell r="A174" t="str">
            <v>ytd</v>
          </cell>
          <cell r="B174">
            <v>5523.36</v>
          </cell>
          <cell r="C174">
            <v>11193.47</v>
          </cell>
          <cell r="D174">
            <v>16597.259999999998</v>
          </cell>
          <cell r="E174">
            <v>22172.87</v>
          </cell>
          <cell r="F174">
            <v>27556.199999999997</v>
          </cell>
          <cell r="G174">
            <v>33021.64</v>
          </cell>
          <cell r="H174">
            <v>38537</v>
          </cell>
          <cell r="I174">
            <v>44880.26</v>
          </cell>
          <cell r="J174">
            <v>51149.73</v>
          </cell>
          <cell r="K174">
            <v>58572.55</v>
          </cell>
          <cell r="L174">
            <v>64590.600000000006</v>
          </cell>
          <cell r="M174">
            <v>70564.37000000001</v>
          </cell>
          <cell r="N174">
            <v>76551.670000000013</v>
          </cell>
          <cell r="O174">
            <v>82868.850000000006</v>
          </cell>
          <cell r="P174">
            <v>86581.920000000013</v>
          </cell>
          <cell r="Q174">
            <v>91401.940000000017</v>
          </cell>
          <cell r="R174">
            <v>97763.73000000001</v>
          </cell>
          <cell r="S174">
            <v>102408.21</v>
          </cell>
          <cell r="T174">
            <v>108365.87000000001</v>
          </cell>
          <cell r="U174">
            <v>113925.80000000002</v>
          </cell>
          <cell r="V174">
            <v>119841.33000000002</v>
          </cell>
          <cell r="W174">
            <v>125986.25000000001</v>
          </cell>
          <cell r="X174">
            <v>132525.93000000002</v>
          </cell>
          <cell r="Y174">
            <v>143261.28000000003</v>
          </cell>
          <cell r="Z174">
            <v>143261.28000000003</v>
          </cell>
          <cell r="AA174">
            <v>143261.28000000003</v>
          </cell>
          <cell r="AB174">
            <v>143261.28000000003</v>
          </cell>
          <cell r="AC174">
            <v>143261.28000000003</v>
          </cell>
          <cell r="AD174">
            <v>143261.28000000003</v>
          </cell>
          <cell r="AE174">
            <v>143261.28000000003</v>
          </cell>
          <cell r="AF174">
            <v>143261.28000000003</v>
          </cell>
          <cell r="AG174">
            <v>143261.28000000003</v>
          </cell>
          <cell r="AH174">
            <v>143261.28000000003</v>
          </cell>
          <cell r="AI174">
            <v>143261.28000000003</v>
          </cell>
          <cell r="AJ174">
            <v>143261.28000000003</v>
          </cell>
          <cell r="AK174">
            <v>143261.28000000003</v>
          </cell>
          <cell r="AL174">
            <v>143261.28000000003</v>
          </cell>
          <cell r="AM174">
            <v>143261.28000000003</v>
          </cell>
          <cell r="AN174">
            <v>143261.28000000003</v>
          </cell>
          <cell r="AO174">
            <v>143261.28000000003</v>
          </cell>
          <cell r="AP174">
            <v>143261.28000000003</v>
          </cell>
          <cell r="AQ174">
            <v>143261.28000000003</v>
          </cell>
          <cell r="AR174">
            <v>143261.28000000003</v>
          </cell>
          <cell r="AS174">
            <v>143261.28000000003</v>
          </cell>
          <cell r="AT174">
            <v>143261.28000000003</v>
          </cell>
          <cell r="AU174">
            <v>143261.28000000003</v>
          </cell>
          <cell r="AV174">
            <v>143261.28000000003</v>
          </cell>
          <cell r="AW174">
            <v>143261.28000000003</v>
          </cell>
          <cell r="AX174">
            <v>143261.28000000003</v>
          </cell>
          <cell r="AY174">
            <v>143261.28000000003</v>
          </cell>
          <cell r="AZ174">
            <v>143261.28000000003</v>
          </cell>
          <cell r="BA174">
            <v>143261.28000000003</v>
          </cell>
          <cell r="BB174">
            <v>143261.28000000003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172115.65999999997</v>
          </cell>
          <cell r="C187">
            <v>163298.09</v>
          </cell>
          <cell r="D187">
            <v>153468.07</v>
          </cell>
          <cell r="E187">
            <v>160638.96</v>
          </cell>
          <cell r="F187">
            <v>171369.97999999998</v>
          </cell>
          <cell r="G187">
            <v>242313.78</v>
          </cell>
          <cell r="H187">
            <v>165840.82999999999</v>
          </cell>
          <cell r="I187">
            <v>187082.19</v>
          </cell>
          <cell r="J187">
            <v>183195.82</v>
          </cell>
          <cell r="K187">
            <v>193740.14</v>
          </cell>
          <cell r="L187">
            <v>253295.05</v>
          </cell>
          <cell r="M187">
            <v>202159.22</v>
          </cell>
          <cell r="N187">
            <v>189989.78999999998</v>
          </cell>
          <cell r="O187">
            <v>197635.91</v>
          </cell>
          <cell r="P187">
            <v>149518.18</v>
          </cell>
          <cell r="Q187">
            <v>161891.16999999998</v>
          </cell>
          <cell r="R187">
            <v>186431.62</v>
          </cell>
          <cell r="S187">
            <v>179707.85</v>
          </cell>
          <cell r="T187">
            <v>180853.31</v>
          </cell>
          <cell r="U187">
            <v>188986.96</v>
          </cell>
          <cell r="V187">
            <v>184911.94</v>
          </cell>
          <cell r="W187">
            <v>202836.46000000002</v>
          </cell>
          <cell r="X187">
            <v>245981.77</v>
          </cell>
          <cell r="Y187">
            <v>377883.13999999996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</row>
        <row r="188">
          <cell r="A188" t="str">
            <v>ptd</v>
          </cell>
          <cell r="B188">
            <v>172115.65999999997</v>
          </cell>
          <cell r="C188">
            <v>335413.75</v>
          </cell>
          <cell r="D188">
            <v>488881.82000000007</v>
          </cell>
          <cell r="E188">
            <v>649520.78</v>
          </cell>
          <cell r="F188">
            <v>171369.97999999998</v>
          </cell>
          <cell r="G188">
            <v>413683.76</v>
          </cell>
          <cell r="H188">
            <v>579524.59</v>
          </cell>
          <cell r="I188">
            <v>766606.77999999991</v>
          </cell>
          <cell r="J188">
            <v>183195.82</v>
          </cell>
          <cell r="K188">
            <v>376935.96</v>
          </cell>
          <cell r="L188">
            <v>630231.01</v>
          </cell>
          <cell r="M188">
            <v>832390.2300000001</v>
          </cell>
          <cell r="N188">
            <v>189989.78999999998</v>
          </cell>
          <cell r="O188">
            <v>387625.69999999995</v>
          </cell>
          <cell r="P188">
            <v>537143.88</v>
          </cell>
          <cell r="Q188">
            <v>699035.04999999993</v>
          </cell>
          <cell r="R188">
            <v>186431.62</v>
          </cell>
          <cell r="S188">
            <v>366139.47</v>
          </cell>
          <cell r="T188">
            <v>546992.78</v>
          </cell>
          <cell r="U188">
            <v>735979.74</v>
          </cell>
          <cell r="V188">
            <v>184911.94</v>
          </cell>
          <cell r="W188">
            <v>387748.4</v>
          </cell>
          <cell r="X188">
            <v>633730.17000000004</v>
          </cell>
          <cell r="Y188">
            <v>1011613.31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</row>
        <row r="189">
          <cell r="A189" t="str">
            <v>qtd</v>
          </cell>
          <cell r="B189">
            <v>172115.65999999997</v>
          </cell>
          <cell r="C189">
            <v>335413.75</v>
          </cell>
          <cell r="D189">
            <v>488881.82000000007</v>
          </cell>
          <cell r="E189">
            <v>649520.78</v>
          </cell>
          <cell r="F189">
            <v>820890.76</v>
          </cell>
          <cell r="G189">
            <v>1063204.54</v>
          </cell>
          <cell r="H189">
            <v>1229045.3700000001</v>
          </cell>
          <cell r="I189">
            <v>1416127.56</v>
          </cell>
          <cell r="J189">
            <v>1599323.3800000001</v>
          </cell>
          <cell r="K189">
            <v>1793063.5200000003</v>
          </cell>
          <cell r="L189">
            <v>2046358.5700000003</v>
          </cell>
          <cell r="M189">
            <v>2248517.7900000005</v>
          </cell>
          <cell r="N189">
            <v>189989.78999999998</v>
          </cell>
          <cell r="O189">
            <v>387625.69999999995</v>
          </cell>
          <cell r="P189">
            <v>537143.88</v>
          </cell>
          <cell r="Q189">
            <v>699035.04999999993</v>
          </cell>
          <cell r="R189">
            <v>885466.66999999993</v>
          </cell>
          <cell r="S189">
            <v>1065174.52</v>
          </cell>
          <cell r="T189">
            <v>1246027.8299999998</v>
          </cell>
          <cell r="U189">
            <v>1435014.7899999998</v>
          </cell>
          <cell r="V189">
            <v>1619926.7299999997</v>
          </cell>
          <cell r="W189">
            <v>1822763.1899999997</v>
          </cell>
          <cell r="X189">
            <v>2068744.96</v>
          </cell>
          <cell r="Y189">
            <v>2446628.1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</row>
        <row r="190">
          <cell r="A190" t="str">
            <v>ytd</v>
          </cell>
          <cell r="B190">
            <v>172115.65999999997</v>
          </cell>
          <cell r="C190">
            <v>335413.75</v>
          </cell>
          <cell r="D190">
            <v>488881.82000000007</v>
          </cell>
          <cell r="E190">
            <v>649520.78</v>
          </cell>
          <cell r="F190">
            <v>820890.76</v>
          </cell>
          <cell r="G190">
            <v>1063204.54</v>
          </cell>
          <cell r="H190">
            <v>1229045.3700000001</v>
          </cell>
          <cell r="I190">
            <v>1416127.56</v>
          </cell>
          <cell r="J190">
            <v>1599323.3800000001</v>
          </cell>
          <cell r="K190">
            <v>1793063.5200000003</v>
          </cell>
          <cell r="L190">
            <v>2046358.5700000003</v>
          </cell>
          <cell r="M190">
            <v>2248517.7900000005</v>
          </cell>
          <cell r="N190">
            <v>2438507.58</v>
          </cell>
          <cell r="O190">
            <v>2636143.4900000002</v>
          </cell>
          <cell r="P190">
            <v>2785661.67</v>
          </cell>
          <cell r="Q190">
            <v>2947552.84</v>
          </cell>
          <cell r="R190">
            <v>3133984.46</v>
          </cell>
          <cell r="S190">
            <v>3313692.31</v>
          </cell>
          <cell r="T190">
            <v>3494545.62</v>
          </cell>
          <cell r="U190">
            <v>3683532.5799999996</v>
          </cell>
          <cell r="V190">
            <v>3868444.52</v>
          </cell>
          <cell r="W190">
            <v>4071280.98</v>
          </cell>
          <cell r="X190">
            <v>4317262.75</v>
          </cell>
          <cell r="Y190">
            <v>4695145.8899999997</v>
          </cell>
          <cell r="Z190">
            <v>4695145.8899999997</v>
          </cell>
          <cell r="AA190">
            <v>4695145.8899999997</v>
          </cell>
          <cell r="AB190">
            <v>4695145.8899999997</v>
          </cell>
          <cell r="AC190">
            <v>4695145.8899999997</v>
          </cell>
          <cell r="AD190">
            <v>4695145.8899999997</v>
          </cell>
          <cell r="AE190">
            <v>4695145.8899999997</v>
          </cell>
          <cell r="AF190">
            <v>4695145.8899999997</v>
          </cell>
          <cell r="AG190">
            <v>4695145.8899999997</v>
          </cell>
          <cell r="AH190">
            <v>4695145.8899999997</v>
          </cell>
          <cell r="AI190">
            <v>4695145.8899999997</v>
          </cell>
          <cell r="AJ190">
            <v>4695145.8899999997</v>
          </cell>
          <cell r="AK190">
            <v>4695145.8899999997</v>
          </cell>
          <cell r="AL190">
            <v>4695145.8899999997</v>
          </cell>
          <cell r="AM190">
            <v>4695145.8899999997</v>
          </cell>
          <cell r="AN190">
            <v>4695145.8899999997</v>
          </cell>
          <cell r="AO190">
            <v>4695145.8899999997</v>
          </cell>
          <cell r="AP190">
            <v>4695145.8899999997</v>
          </cell>
          <cell r="AQ190">
            <v>4695145.8899999997</v>
          </cell>
          <cell r="AR190">
            <v>4695145.8899999997</v>
          </cell>
          <cell r="AS190">
            <v>4695145.8899999997</v>
          </cell>
          <cell r="AT190">
            <v>4695145.8899999997</v>
          </cell>
          <cell r="AU190">
            <v>4695145.8899999997</v>
          </cell>
          <cell r="AV190">
            <v>4695145.8899999997</v>
          </cell>
          <cell r="AW190">
            <v>4695145.8899999997</v>
          </cell>
          <cell r="AX190">
            <v>4695145.8899999997</v>
          </cell>
          <cell r="AY190">
            <v>4695145.8899999997</v>
          </cell>
          <cell r="AZ190">
            <v>4695145.8899999997</v>
          </cell>
          <cell r="BA190">
            <v>4695145.8899999997</v>
          </cell>
          <cell r="BB190">
            <v>4695145.8899999997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248246.03</v>
          </cell>
          <cell r="C235">
            <v>215921.61</v>
          </cell>
          <cell r="D235">
            <v>221094.97</v>
          </cell>
          <cell r="E235">
            <v>191413.43</v>
          </cell>
          <cell r="F235">
            <v>214079.4</v>
          </cell>
          <cell r="G235">
            <v>253854.24</v>
          </cell>
          <cell r="H235">
            <v>242115.46</v>
          </cell>
          <cell r="I235">
            <v>274747.28000000003</v>
          </cell>
          <cell r="J235">
            <v>261332.4</v>
          </cell>
          <cell r="K235">
            <v>280963.24</v>
          </cell>
          <cell r="L235">
            <v>289281.37</v>
          </cell>
          <cell r="M235">
            <v>279456.78000000003</v>
          </cell>
          <cell r="N235">
            <v>300676.81</v>
          </cell>
          <cell r="O235">
            <v>308911.39</v>
          </cell>
          <cell r="P235">
            <v>275838.95</v>
          </cell>
          <cell r="Q235">
            <v>272322.33</v>
          </cell>
          <cell r="R235">
            <v>330346.39</v>
          </cell>
          <cell r="S235">
            <v>534369.34</v>
          </cell>
          <cell r="T235">
            <v>342926</v>
          </cell>
          <cell r="U235">
            <v>349452.19</v>
          </cell>
          <cell r="V235">
            <v>382834.17</v>
          </cell>
          <cell r="W235">
            <v>477709.91</v>
          </cell>
          <cell r="X235">
            <v>413831.28</v>
          </cell>
          <cell r="Y235">
            <v>364656.7</v>
          </cell>
        </row>
        <row r="236">
          <cell r="A236" t="str">
            <v>ptd</v>
          </cell>
          <cell r="B236">
            <v>248246.03</v>
          </cell>
          <cell r="C236">
            <v>464167.64</v>
          </cell>
          <cell r="D236">
            <v>685262.61</v>
          </cell>
          <cell r="E236">
            <v>876676.04</v>
          </cell>
          <cell r="F236">
            <v>214079.4</v>
          </cell>
          <cell r="G236">
            <v>467933.64</v>
          </cell>
          <cell r="H236">
            <v>710049.1</v>
          </cell>
          <cell r="I236">
            <v>984796.38</v>
          </cell>
          <cell r="J236">
            <v>261332.4</v>
          </cell>
          <cell r="K236">
            <v>542295.64</v>
          </cell>
          <cell r="L236">
            <v>831577.01</v>
          </cell>
          <cell r="M236">
            <v>1111033.79</v>
          </cell>
          <cell r="N236">
            <v>300676.81</v>
          </cell>
          <cell r="O236">
            <v>609588.19999999995</v>
          </cell>
          <cell r="P236">
            <v>885427.14999999991</v>
          </cell>
          <cell r="Q236">
            <v>1157749.48</v>
          </cell>
          <cell r="R236">
            <v>330346.39</v>
          </cell>
          <cell r="S236">
            <v>864715.73</v>
          </cell>
          <cell r="T236">
            <v>1207641.73</v>
          </cell>
          <cell r="U236">
            <v>1557093.92</v>
          </cell>
          <cell r="V236">
            <v>382834.17</v>
          </cell>
          <cell r="W236">
            <v>860544.08</v>
          </cell>
          <cell r="X236">
            <v>1274375.3599999999</v>
          </cell>
          <cell r="Y236">
            <v>1639032.0599999998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</row>
        <row r="237">
          <cell r="A237" t="str">
            <v>qtd</v>
          </cell>
          <cell r="B237">
            <v>248246.03</v>
          </cell>
          <cell r="C237">
            <v>464167.64</v>
          </cell>
          <cell r="D237">
            <v>685262.61</v>
          </cell>
          <cell r="E237">
            <v>876676.04</v>
          </cell>
          <cell r="F237">
            <v>1090755.44</v>
          </cell>
          <cell r="G237">
            <v>1344609.68</v>
          </cell>
          <cell r="H237">
            <v>1586725.14</v>
          </cell>
          <cell r="I237">
            <v>1861472.42</v>
          </cell>
          <cell r="J237">
            <v>2122804.8199999998</v>
          </cell>
          <cell r="K237">
            <v>2403768.0599999996</v>
          </cell>
          <cell r="L237">
            <v>2693049.4299999997</v>
          </cell>
          <cell r="M237">
            <v>2972506.21</v>
          </cell>
          <cell r="N237">
            <v>300676.81</v>
          </cell>
          <cell r="O237">
            <v>609588.19999999995</v>
          </cell>
          <cell r="P237">
            <v>885427.14999999991</v>
          </cell>
          <cell r="Q237">
            <v>1157749.48</v>
          </cell>
          <cell r="R237">
            <v>1488095.87</v>
          </cell>
          <cell r="S237">
            <v>2022465.21</v>
          </cell>
          <cell r="T237">
            <v>2365391.21</v>
          </cell>
          <cell r="U237">
            <v>2714843.4</v>
          </cell>
          <cell r="V237">
            <v>3097677.57</v>
          </cell>
          <cell r="W237">
            <v>3575387.48</v>
          </cell>
          <cell r="X237">
            <v>3989218.76</v>
          </cell>
          <cell r="Y237">
            <v>4353875.46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</row>
        <row r="238">
          <cell r="A238" t="str">
            <v>ytd</v>
          </cell>
          <cell r="B238">
            <v>248246.03</v>
          </cell>
          <cell r="C238">
            <v>464167.64</v>
          </cell>
          <cell r="D238">
            <v>685262.61</v>
          </cell>
          <cell r="E238">
            <v>876676.04</v>
          </cell>
          <cell r="F238">
            <v>1090755.44</v>
          </cell>
          <cell r="G238">
            <v>1344609.68</v>
          </cell>
          <cell r="H238">
            <v>1586725.14</v>
          </cell>
          <cell r="I238">
            <v>1861472.42</v>
          </cell>
          <cell r="J238">
            <v>2122804.8199999998</v>
          </cell>
          <cell r="K238">
            <v>2403768.0599999996</v>
          </cell>
          <cell r="L238">
            <v>2693049.4299999997</v>
          </cell>
          <cell r="M238">
            <v>2972506.21</v>
          </cell>
          <cell r="N238">
            <v>3273183.02</v>
          </cell>
          <cell r="O238">
            <v>3582094.41</v>
          </cell>
          <cell r="P238">
            <v>3857933.3600000003</v>
          </cell>
          <cell r="Q238">
            <v>4130255.6900000004</v>
          </cell>
          <cell r="R238">
            <v>4460602.08</v>
          </cell>
          <cell r="S238">
            <v>4994971.42</v>
          </cell>
          <cell r="T238">
            <v>5337897.42</v>
          </cell>
          <cell r="U238">
            <v>5687349.6100000003</v>
          </cell>
          <cell r="V238">
            <v>6070183.7800000003</v>
          </cell>
          <cell r="W238">
            <v>6547893.6900000004</v>
          </cell>
          <cell r="X238">
            <v>6961724.9700000007</v>
          </cell>
          <cell r="Y238">
            <v>7326381.6700000009</v>
          </cell>
          <cell r="Z238">
            <v>7326381.6700000009</v>
          </cell>
          <cell r="AA238">
            <v>7326381.6700000009</v>
          </cell>
          <cell r="AB238">
            <v>7326381.6700000009</v>
          </cell>
          <cell r="AC238">
            <v>7326381.6700000009</v>
          </cell>
          <cell r="AD238">
            <v>7326381.6700000009</v>
          </cell>
          <cell r="AE238">
            <v>7326381.6700000009</v>
          </cell>
          <cell r="AF238">
            <v>7326381.6700000009</v>
          </cell>
          <cell r="AG238">
            <v>7326381.6700000009</v>
          </cell>
          <cell r="AH238">
            <v>7326381.6700000009</v>
          </cell>
          <cell r="AI238">
            <v>7326381.6700000009</v>
          </cell>
          <cell r="AJ238">
            <v>7326381.6700000009</v>
          </cell>
          <cell r="AK238">
            <v>7326381.6700000009</v>
          </cell>
          <cell r="AL238">
            <v>7326381.6700000009</v>
          </cell>
          <cell r="AM238">
            <v>7326381.6700000009</v>
          </cell>
          <cell r="AN238">
            <v>7326381.6700000009</v>
          </cell>
          <cell r="AO238">
            <v>7326381.6700000009</v>
          </cell>
          <cell r="AP238">
            <v>7326381.6700000009</v>
          </cell>
          <cell r="AQ238">
            <v>7326381.6700000009</v>
          </cell>
          <cell r="AR238">
            <v>7326381.6700000009</v>
          </cell>
          <cell r="AS238">
            <v>7326381.6700000009</v>
          </cell>
          <cell r="AT238">
            <v>7326381.6700000009</v>
          </cell>
          <cell r="AU238">
            <v>7326381.6700000009</v>
          </cell>
          <cell r="AV238">
            <v>7326381.6700000009</v>
          </cell>
          <cell r="AW238">
            <v>7326381.6700000009</v>
          </cell>
          <cell r="AX238">
            <v>7326381.6700000009</v>
          </cell>
          <cell r="AY238">
            <v>7326381.6700000009</v>
          </cell>
          <cell r="AZ238">
            <v>7326381.6700000009</v>
          </cell>
          <cell r="BA238">
            <v>7326381.6700000009</v>
          </cell>
          <cell r="BB238">
            <v>7326381.6700000009</v>
          </cell>
        </row>
        <row r="239">
          <cell r="A239" t="str">
            <v>PRED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234552.09</v>
          </cell>
          <cell r="C243">
            <v>194430.67</v>
          </cell>
          <cell r="D243">
            <v>189524.04</v>
          </cell>
          <cell r="E243">
            <v>159410</v>
          </cell>
          <cell r="F243">
            <v>191174.64</v>
          </cell>
          <cell r="G243">
            <v>212561.84</v>
          </cell>
          <cell r="H243">
            <v>218004.91</v>
          </cell>
          <cell r="I243">
            <v>260561.9</v>
          </cell>
          <cell r="J243">
            <v>214374.19</v>
          </cell>
          <cell r="K243">
            <v>217462.9</v>
          </cell>
          <cell r="L243">
            <v>241831.64</v>
          </cell>
          <cell r="M243">
            <v>226548.98</v>
          </cell>
          <cell r="N243">
            <v>242696.13</v>
          </cell>
          <cell r="O243">
            <v>247553.73</v>
          </cell>
          <cell r="P243">
            <v>232211.45</v>
          </cell>
          <cell r="Q243">
            <v>224960.38</v>
          </cell>
          <cell r="R243">
            <v>272878.69</v>
          </cell>
          <cell r="S243">
            <v>387818.13</v>
          </cell>
          <cell r="T243">
            <v>285627.65999999997</v>
          </cell>
          <cell r="U243">
            <v>287728.56</v>
          </cell>
          <cell r="V243">
            <v>302315.93</v>
          </cell>
          <cell r="W243">
            <v>339095.9</v>
          </cell>
          <cell r="X243">
            <v>293348.84999999998</v>
          </cell>
          <cell r="Y243">
            <v>324550.21000000002</v>
          </cell>
        </row>
        <row r="244">
          <cell r="A244" t="str">
            <v>ptd</v>
          </cell>
          <cell r="B244">
            <v>234552.09</v>
          </cell>
          <cell r="C244">
            <v>428982.76</v>
          </cell>
          <cell r="D244">
            <v>618506.80000000005</v>
          </cell>
          <cell r="E244">
            <v>777916.8</v>
          </cell>
          <cell r="F244">
            <v>191174.64</v>
          </cell>
          <cell r="G244">
            <v>403736.48</v>
          </cell>
          <cell r="H244">
            <v>621741.39</v>
          </cell>
          <cell r="I244">
            <v>882303.29</v>
          </cell>
          <cell r="J244">
            <v>214374.19</v>
          </cell>
          <cell r="K244">
            <v>431837.08999999997</v>
          </cell>
          <cell r="L244">
            <v>673668.73</v>
          </cell>
          <cell r="M244">
            <v>900217.71</v>
          </cell>
          <cell r="N244">
            <v>242696.13</v>
          </cell>
          <cell r="O244">
            <v>490249.86</v>
          </cell>
          <cell r="P244">
            <v>722461.31</v>
          </cell>
          <cell r="Q244">
            <v>947421.69000000006</v>
          </cell>
          <cell r="R244">
            <v>272878.69</v>
          </cell>
          <cell r="S244">
            <v>660696.82000000007</v>
          </cell>
          <cell r="T244">
            <v>946324.47999999998</v>
          </cell>
          <cell r="U244">
            <v>1234053.04</v>
          </cell>
          <cell r="V244">
            <v>302315.93</v>
          </cell>
          <cell r="W244">
            <v>641411.83000000007</v>
          </cell>
          <cell r="X244">
            <v>934760.68</v>
          </cell>
          <cell r="Y244">
            <v>1259310.8900000001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</row>
        <row r="245">
          <cell r="A245" t="str">
            <v>qtd</v>
          </cell>
          <cell r="B245">
            <v>234552.09</v>
          </cell>
          <cell r="C245">
            <v>428982.76</v>
          </cell>
          <cell r="D245">
            <v>618506.80000000005</v>
          </cell>
          <cell r="E245">
            <v>777916.8</v>
          </cell>
          <cell r="F245">
            <v>969091.44000000006</v>
          </cell>
          <cell r="G245">
            <v>1181653.28</v>
          </cell>
          <cell r="H245">
            <v>1399658.19</v>
          </cell>
          <cell r="I245">
            <v>1660220.0899999999</v>
          </cell>
          <cell r="J245">
            <v>1874594.2799999998</v>
          </cell>
          <cell r="K245">
            <v>2092057.1799999997</v>
          </cell>
          <cell r="L245">
            <v>2333888.8199999998</v>
          </cell>
          <cell r="M245">
            <v>2560437.7999999998</v>
          </cell>
          <cell r="N245">
            <v>242696.13</v>
          </cell>
          <cell r="O245">
            <v>490249.86</v>
          </cell>
          <cell r="P245">
            <v>722461.31</v>
          </cell>
          <cell r="Q245">
            <v>947421.69000000006</v>
          </cell>
          <cell r="R245">
            <v>1220300.3800000001</v>
          </cell>
          <cell r="S245">
            <v>1608118.5100000002</v>
          </cell>
          <cell r="T245">
            <v>1893746.1700000002</v>
          </cell>
          <cell r="U245">
            <v>2181474.73</v>
          </cell>
          <cell r="V245">
            <v>2483790.66</v>
          </cell>
          <cell r="W245">
            <v>2822886.56</v>
          </cell>
          <cell r="X245">
            <v>3116235.41</v>
          </cell>
          <cell r="Y245">
            <v>3440785.62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</row>
        <row r="246">
          <cell r="A246" t="str">
            <v>ytd</v>
          </cell>
          <cell r="B246">
            <v>234552.09</v>
          </cell>
          <cell r="C246">
            <v>428982.76</v>
          </cell>
          <cell r="D246">
            <v>618506.80000000005</v>
          </cell>
          <cell r="E246">
            <v>777916.8</v>
          </cell>
          <cell r="F246">
            <v>969091.44000000006</v>
          </cell>
          <cell r="G246">
            <v>1181653.28</v>
          </cell>
          <cell r="H246">
            <v>1399658.19</v>
          </cell>
          <cell r="I246">
            <v>1660220.0899999999</v>
          </cell>
          <cell r="J246">
            <v>1874594.2799999998</v>
          </cell>
          <cell r="K246">
            <v>2092057.1799999997</v>
          </cell>
          <cell r="L246">
            <v>2333888.8199999998</v>
          </cell>
          <cell r="M246">
            <v>2560437.7999999998</v>
          </cell>
          <cell r="N246">
            <v>2803133.9299999997</v>
          </cell>
          <cell r="O246">
            <v>3050687.6599999997</v>
          </cell>
          <cell r="P246">
            <v>3282899.11</v>
          </cell>
          <cell r="Q246">
            <v>3507859.4899999998</v>
          </cell>
          <cell r="R246">
            <v>3780738.1799999997</v>
          </cell>
          <cell r="S246">
            <v>4168556.3099999996</v>
          </cell>
          <cell r="T246">
            <v>4454183.97</v>
          </cell>
          <cell r="U246">
            <v>4741912.5299999993</v>
          </cell>
          <cell r="V246">
            <v>5044228.459999999</v>
          </cell>
          <cell r="W246">
            <v>5383324.3599999994</v>
          </cell>
          <cell r="X246">
            <v>5676673.209999999</v>
          </cell>
          <cell r="Y246">
            <v>6001223.419999999</v>
          </cell>
          <cell r="Z246">
            <v>6001223.419999999</v>
          </cell>
          <cell r="AA246">
            <v>6001223.419999999</v>
          </cell>
          <cell r="AB246">
            <v>6001223.419999999</v>
          </cell>
          <cell r="AC246">
            <v>6001223.419999999</v>
          </cell>
          <cell r="AD246">
            <v>6001223.419999999</v>
          </cell>
          <cell r="AE246">
            <v>6001223.419999999</v>
          </cell>
          <cell r="AF246">
            <v>6001223.419999999</v>
          </cell>
          <cell r="AG246">
            <v>6001223.419999999</v>
          </cell>
          <cell r="AH246">
            <v>6001223.419999999</v>
          </cell>
          <cell r="AI246">
            <v>6001223.419999999</v>
          </cell>
          <cell r="AJ246">
            <v>6001223.419999999</v>
          </cell>
          <cell r="AK246">
            <v>6001223.419999999</v>
          </cell>
          <cell r="AL246">
            <v>6001223.419999999</v>
          </cell>
          <cell r="AM246">
            <v>6001223.419999999</v>
          </cell>
          <cell r="AN246">
            <v>6001223.419999999</v>
          </cell>
          <cell r="AO246">
            <v>6001223.419999999</v>
          </cell>
          <cell r="AP246">
            <v>6001223.419999999</v>
          </cell>
          <cell r="AQ246">
            <v>6001223.419999999</v>
          </cell>
          <cell r="AR246">
            <v>6001223.419999999</v>
          </cell>
          <cell r="AS246">
            <v>6001223.419999999</v>
          </cell>
          <cell r="AT246">
            <v>6001223.419999999</v>
          </cell>
          <cell r="AU246">
            <v>6001223.419999999</v>
          </cell>
          <cell r="AV246">
            <v>6001223.419999999</v>
          </cell>
          <cell r="AW246">
            <v>6001223.419999999</v>
          </cell>
          <cell r="AX246">
            <v>6001223.419999999</v>
          </cell>
          <cell r="AY246">
            <v>6001223.419999999</v>
          </cell>
          <cell r="AZ246">
            <v>6001223.419999999</v>
          </cell>
          <cell r="BA246">
            <v>6001223.419999999</v>
          </cell>
          <cell r="BB246">
            <v>6001223.419999999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85.52</v>
          </cell>
          <cell r="C251">
            <v>82.79</v>
          </cell>
          <cell r="D251">
            <v>49.57</v>
          </cell>
          <cell r="E251">
            <v>59.45</v>
          </cell>
          <cell r="F251">
            <v>38.46</v>
          </cell>
          <cell r="G251">
            <v>10.130000000000001</v>
          </cell>
          <cell r="H251">
            <v>40.520000000000003</v>
          </cell>
          <cell r="I251">
            <v>40.520000000000003</v>
          </cell>
          <cell r="J251">
            <v>50.65</v>
          </cell>
          <cell r="K251">
            <v>50.65</v>
          </cell>
          <cell r="L251">
            <v>60.78</v>
          </cell>
          <cell r="M251">
            <v>40.520000000000003</v>
          </cell>
          <cell r="N251">
            <v>53.24</v>
          </cell>
          <cell r="O251">
            <v>42.57</v>
          </cell>
          <cell r="P251">
            <v>32.590000000000003</v>
          </cell>
          <cell r="Q251">
            <v>64.72</v>
          </cell>
          <cell r="R251">
            <v>43</v>
          </cell>
          <cell r="S251">
            <v>123.49</v>
          </cell>
          <cell r="T251">
            <v>68.66</v>
          </cell>
          <cell r="U251">
            <v>80.86</v>
          </cell>
          <cell r="V251">
            <v>58.69</v>
          </cell>
          <cell r="W251">
            <v>47.95</v>
          </cell>
          <cell r="X251">
            <v>60.15</v>
          </cell>
          <cell r="Y251">
            <v>59.68</v>
          </cell>
        </row>
        <row r="252">
          <cell r="A252" t="str">
            <v>ptd</v>
          </cell>
          <cell r="B252">
            <v>85.52</v>
          </cell>
          <cell r="C252">
            <v>168.31</v>
          </cell>
          <cell r="D252">
            <v>217.88</v>
          </cell>
          <cell r="E252">
            <v>277.33</v>
          </cell>
          <cell r="F252">
            <v>38.46</v>
          </cell>
          <cell r="G252">
            <v>48.59</v>
          </cell>
          <cell r="H252">
            <v>89.110000000000014</v>
          </cell>
          <cell r="I252">
            <v>129.63000000000002</v>
          </cell>
          <cell r="J252">
            <v>50.65</v>
          </cell>
          <cell r="K252">
            <v>101.3</v>
          </cell>
          <cell r="L252">
            <v>162.07999999999998</v>
          </cell>
          <cell r="M252">
            <v>202.6</v>
          </cell>
          <cell r="N252">
            <v>53.24</v>
          </cell>
          <cell r="O252">
            <v>95.81</v>
          </cell>
          <cell r="P252">
            <v>128.4</v>
          </cell>
          <cell r="Q252">
            <v>193.12</v>
          </cell>
          <cell r="R252">
            <v>43</v>
          </cell>
          <cell r="S252">
            <v>166.49</v>
          </cell>
          <cell r="T252">
            <v>235.15</v>
          </cell>
          <cell r="U252">
            <v>316.01</v>
          </cell>
          <cell r="V252">
            <v>58.69</v>
          </cell>
          <cell r="W252">
            <v>106.64</v>
          </cell>
          <cell r="X252">
            <v>166.79</v>
          </cell>
          <cell r="Y252">
            <v>226.47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</row>
        <row r="253">
          <cell r="A253" t="str">
            <v>qtd</v>
          </cell>
          <cell r="B253">
            <v>85.52</v>
          </cell>
          <cell r="C253">
            <v>168.31</v>
          </cell>
          <cell r="D253">
            <v>217.88</v>
          </cell>
          <cell r="E253">
            <v>277.33</v>
          </cell>
          <cell r="F253">
            <v>315.78999999999996</v>
          </cell>
          <cell r="G253">
            <v>325.91999999999996</v>
          </cell>
          <cell r="H253">
            <v>366.43999999999994</v>
          </cell>
          <cell r="I253">
            <v>406.95999999999992</v>
          </cell>
          <cell r="J253">
            <v>457.6099999999999</v>
          </cell>
          <cell r="K253">
            <v>508.25999999999988</v>
          </cell>
          <cell r="L253">
            <v>569.03999999999985</v>
          </cell>
          <cell r="M253">
            <v>609.55999999999983</v>
          </cell>
          <cell r="N253">
            <v>53.24</v>
          </cell>
          <cell r="O253">
            <v>95.81</v>
          </cell>
          <cell r="P253">
            <v>128.4</v>
          </cell>
          <cell r="Q253">
            <v>193.12</v>
          </cell>
          <cell r="R253">
            <v>236.12</v>
          </cell>
          <cell r="S253">
            <v>359.61</v>
          </cell>
          <cell r="T253">
            <v>428.27</v>
          </cell>
          <cell r="U253">
            <v>509.13</v>
          </cell>
          <cell r="V253">
            <v>567.81999999999994</v>
          </cell>
          <cell r="W253">
            <v>615.77</v>
          </cell>
          <cell r="X253">
            <v>675.92</v>
          </cell>
          <cell r="Y253">
            <v>735.59999999999991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</row>
        <row r="254">
          <cell r="A254" t="str">
            <v>ytd</v>
          </cell>
          <cell r="B254">
            <v>85.52</v>
          </cell>
          <cell r="C254">
            <v>168.31</v>
          </cell>
          <cell r="D254">
            <v>217.88</v>
          </cell>
          <cell r="E254">
            <v>277.33</v>
          </cell>
          <cell r="F254">
            <v>315.78999999999996</v>
          </cell>
          <cell r="G254">
            <v>325.91999999999996</v>
          </cell>
          <cell r="H254">
            <v>366.43999999999994</v>
          </cell>
          <cell r="I254">
            <v>406.95999999999992</v>
          </cell>
          <cell r="J254">
            <v>457.6099999999999</v>
          </cell>
          <cell r="K254">
            <v>508.25999999999988</v>
          </cell>
          <cell r="L254">
            <v>569.03999999999985</v>
          </cell>
          <cell r="M254">
            <v>609.55999999999983</v>
          </cell>
          <cell r="N254">
            <v>662.79999999999984</v>
          </cell>
          <cell r="O254">
            <v>705.36999999999989</v>
          </cell>
          <cell r="P254">
            <v>737.95999999999992</v>
          </cell>
          <cell r="Q254">
            <v>802.68</v>
          </cell>
          <cell r="R254">
            <v>845.68</v>
          </cell>
          <cell r="S254">
            <v>969.17</v>
          </cell>
          <cell r="T254">
            <v>1037.83</v>
          </cell>
          <cell r="U254">
            <v>1118.6899999999998</v>
          </cell>
          <cell r="V254">
            <v>1177.3799999999999</v>
          </cell>
          <cell r="W254">
            <v>1225.33</v>
          </cell>
          <cell r="X254">
            <v>1285.48</v>
          </cell>
          <cell r="Y254">
            <v>1345.16</v>
          </cell>
          <cell r="Z254">
            <v>1345.16</v>
          </cell>
          <cell r="AA254">
            <v>1345.16</v>
          </cell>
          <cell r="AB254">
            <v>1345.16</v>
          </cell>
          <cell r="AC254">
            <v>1345.16</v>
          </cell>
          <cell r="AD254">
            <v>1345.16</v>
          </cell>
          <cell r="AE254">
            <v>1345.16</v>
          </cell>
          <cell r="AF254">
            <v>1345.16</v>
          </cell>
          <cell r="AG254">
            <v>1345.16</v>
          </cell>
          <cell r="AH254">
            <v>1345.16</v>
          </cell>
          <cell r="AI254">
            <v>1345.16</v>
          </cell>
          <cell r="AJ254">
            <v>1345.16</v>
          </cell>
          <cell r="AK254">
            <v>1345.16</v>
          </cell>
          <cell r="AL254">
            <v>1345.16</v>
          </cell>
          <cell r="AM254">
            <v>1345.16</v>
          </cell>
          <cell r="AN254">
            <v>1345.16</v>
          </cell>
          <cell r="AO254">
            <v>1345.16</v>
          </cell>
          <cell r="AP254">
            <v>1345.16</v>
          </cell>
          <cell r="AQ254">
            <v>1345.16</v>
          </cell>
          <cell r="AR254">
            <v>1345.16</v>
          </cell>
          <cell r="AS254">
            <v>1345.16</v>
          </cell>
          <cell r="AT254">
            <v>1345.16</v>
          </cell>
          <cell r="AU254">
            <v>1345.16</v>
          </cell>
          <cell r="AV254">
            <v>1345.16</v>
          </cell>
          <cell r="AW254">
            <v>1345.16</v>
          </cell>
          <cell r="AX254">
            <v>1345.16</v>
          </cell>
          <cell r="AY254">
            <v>1345.16</v>
          </cell>
          <cell r="AZ254">
            <v>1345.16</v>
          </cell>
          <cell r="BA254">
            <v>1345.16</v>
          </cell>
          <cell r="BB254">
            <v>1345.16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482883.64</v>
          </cell>
          <cell r="C263">
            <v>410435.07</v>
          </cell>
          <cell r="D263">
            <v>410668.58</v>
          </cell>
          <cell r="E263">
            <v>350882.88</v>
          </cell>
          <cell r="F263">
            <v>405292.5</v>
          </cell>
          <cell r="G263">
            <v>466426.20999999996</v>
          </cell>
          <cell r="H263">
            <v>460160.89</v>
          </cell>
          <cell r="I263">
            <v>535349.69999999995</v>
          </cell>
          <cell r="J263">
            <v>475757.24</v>
          </cell>
          <cell r="K263">
            <v>498476.79</v>
          </cell>
          <cell r="L263">
            <v>531173.79</v>
          </cell>
          <cell r="M263">
            <v>506046.28</v>
          </cell>
          <cell r="N263">
            <v>543426.17999999993</v>
          </cell>
          <cell r="O263">
            <v>556507.69000000006</v>
          </cell>
          <cell r="P263">
            <v>508082.99</v>
          </cell>
          <cell r="Q263">
            <v>497347.43000000005</v>
          </cell>
          <cell r="R263">
            <v>603268.08000000007</v>
          </cell>
          <cell r="S263">
            <v>922310.96</v>
          </cell>
          <cell r="T263">
            <v>628622.31999999995</v>
          </cell>
          <cell r="U263">
            <v>637261.61</v>
          </cell>
          <cell r="V263">
            <v>685208.79</v>
          </cell>
          <cell r="W263">
            <v>816853.76</v>
          </cell>
          <cell r="X263">
            <v>707240.28</v>
          </cell>
          <cell r="Y263">
            <v>689266.59000000008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</row>
        <row r="264">
          <cell r="A264" t="str">
            <v>ptd</v>
          </cell>
          <cell r="B264">
            <v>482883.64</v>
          </cell>
          <cell r="C264">
            <v>893318.71</v>
          </cell>
          <cell r="D264">
            <v>1303987.29</v>
          </cell>
          <cell r="E264">
            <v>1654870.17</v>
          </cell>
          <cell r="F264">
            <v>405292.5</v>
          </cell>
          <cell r="G264">
            <v>871718.71</v>
          </cell>
          <cell r="H264">
            <v>1331879.6000000001</v>
          </cell>
          <cell r="I264">
            <v>1867229.3</v>
          </cell>
          <cell r="J264">
            <v>475757.24</v>
          </cell>
          <cell r="K264">
            <v>974234.03</v>
          </cell>
          <cell r="L264">
            <v>1505407.8199999998</v>
          </cell>
          <cell r="M264">
            <v>2011454.1</v>
          </cell>
          <cell r="N264">
            <v>543426.17999999993</v>
          </cell>
          <cell r="O264">
            <v>1099933.8699999999</v>
          </cell>
          <cell r="P264">
            <v>1608016.8599999999</v>
          </cell>
          <cell r="Q264">
            <v>2105364.29</v>
          </cell>
          <cell r="R264">
            <v>603268.08000000007</v>
          </cell>
          <cell r="S264">
            <v>1525579.04</v>
          </cell>
          <cell r="T264">
            <v>2154201.36</v>
          </cell>
          <cell r="U264">
            <v>2791462.9699999997</v>
          </cell>
          <cell r="V264">
            <v>685208.79</v>
          </cell>
          <cell r="W264">
            <v>1502062.55</v>
          </cell>
          <cell r="X264">
            <v>2209302.83</v>
          </cell>
          <cell r="Y264">
            <v>2898569.42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</row>
        <row r="265">
          <cell r="A265" t="str">
            <v>qtd</v>
          </cell>
          <cell r="B265">
            <v>482883.64</v>
          </cell>
          <cell r="C265">
            <v>893318.71</v>
          </cell>
          <cell r="D265">
            <v>1303987.29</v>
          </cell>
          <cell r="E265">
            <v>1654870.17</v>
          </cell>
          <cell r="F265">
            <v>2060162.67</v>
          </cell>
          <cell r="G265">
            <v>2526588.88</v>
          </cell>
          <cell r="H265">
            <v>2986749.7699999996</v>
          </cell>
          <cell r="I265">
            <v>3522099.4699999997</v>
          </cell>
          <cell r="J265">
            <v>3997856.71</v>
          </cell>
          <cell r="K265">
            <v>4496333.4999999991</v>
          </cell>
          <cell r="L265">
            <v>5027507.2899999991</v>
          </cell>
          <cell r="M265">
            <v>5533553.5700000003</v>
          </cell>
          <cell r="N265">
            <v>543426.17999999993</v>
          </cell>
          <cell r="O265">
            <v>1099933.8699999999</v>
          </cell>
          <cell r="P265">
            <v>1608016.8599999999</v>
          </cell>
          <cell r="Q265">
            <v>2105364.29</v>
          </cell>
          <cell r="R265">
            <v>2708632.37</v>
          </cell>
          <cell r="S265">
            <v>3630943.33</v>
          </cell>
          <cell r="T265">
            <v>4259565.6500000004</v>
          </cell>
          <cell r="U265">
            <v>4896827.26</v>
          </cell>
          <cell r="V265">
            <v>5582036.0499999998</v>
          </cell>
          <cell r="W265">
            <v>6398889.8100000005</v>
          </cell>
          <cell r="X265">
            <v>7106130.0899999999</v>
          </cell>
          <cell r="Y265">
            <v>7795396.6799999997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</row>
        <row r="266">
          <cell r="A266" t="str">
            <v>ytd</v>
          </cell>
          <cell r="B266">
            <v>482883.64</v>
          </cell>
          <cell r="C266">
            <v>893318.71</v>
          </cell>
          <cell r="D266">
            <v>1303987.29</v>
          </cell>
          <cell r="E266">
            <v>1654870.17</v>
          </cell>
          <cell r="F266">
            <v>2060162.67</v>
          </cell>
          <cell r="G266">
            <v>2526588.88</v>
          </cell>
          <cell r="H266">
            <v>2986749.7699999996</v>
          </cell>
          <cell r="I266">
            <v>3522099.4699999997</v>
          </cell>
          <cell r="J266">
            <v>3997856.71</v>
          </cell>
          <cell r="K266">
            <v>4496333.4999999991</v>
          </cell>
          <cell r="L266">
            <v>5027507.2899999991</v>
          </cell>
          <cell r="M266">
            <v>5533553.5700000003</v>
          </cell>
          <cell r="N266">
            <v>6076979.75</v>
          </cell>
          <cell r="O266">
            <v>6633487.4399999995</v>
          </cell>
          <cell r="P266">
            <v>7141570.4299999997</v>
          </cell>
          <cell r="Q266">
            <v>7638917.8600000003</v>
          </cell>
          <cell r="R266">
            <v>8242185.9399999995</v>
          </cell>
          <cell r="S266">
            <v>9164496.8999999985</v>
          </cell>
          <cell r="T266">
            <v>9793119.2199999988</v>
          </cell>
          <cell r="U266">
            <v>10430380.83</v>
          </cell>
          <cell r="V266">
            <v>11115589.619999999</v>
          </cell>
          <cell r="W266">
            <v>11932443.379999999</v>
          </cell>
          <cell r="X266">
            <v>12639683.66</v>
          </cell>
          <cell r="Y266">
            <v>13328950.25</v>
          </cell>
          <cell r="Z266">
            <v>13328950.25</v>
          </cell>
          <cell r="AA266">
            <v>13328950.25</v>
          </cell>
          <cell r="AB266">
            <v>13328950.25</v>
          </cell>
          <cell r="AC266">
            <v>13328950.25</v>
          </cell>
          <cell r="AD266">
            <v>13328950.25</v>
          </cell>
          <cell r="AE266">
            <v>13328950.25</v>
          </cell>
          <cell r="AF266">
            <v>13328950.25</v>
          </cell>
          <cell r="AG266">
            <v>13328950.25</v>
          </cell>
          <cell r="AH266">
            <v>13328950.25</v>
          </cell>
          <cell r="AI266">
            <v>13328950.25</v>
          </cell>
          <cell r="AJ266">
            <v>13328950.25</v>
          </cell>
          <cell r="AK266">
            <v>13328950.25</v>
          </cell>
          <cell r="AL266">
            <v>13328950.25</v>
          </cell>
          <cell r="AM266">
            <v>13328950.25</v>
          </cell>
          <cell r="AN266">
            <v>13328950.25</v>
          </cell>
          <cell r="AO266">
            <v>13328950.25</v>
          </cell>
          <cell r="AP266">
            <v>13328950.25</v>
          </cell>
          <cell r="AQ266">
            <v>13328950.25</v>
          </cell>
          <cell r="AR266">
            <v>13328950.25</v>
          </cell>
          <cell r="AS266">
            <v>13328950.25</v>
          </cell>
          <cell r="AT266">
            <v>13328950.25</v>
          </cell>
          <cell r="AU266">
            <v>13328950.25</v>
          </cell>
          <cell r="AV266">
            <v>13328950.25</v>
          </cell>
          <cell r="AW266">
            <v>13328950.25</v>
          </cell>
          <cell r="AX266">
            <v>13328950.25</v>
          </cell>
          <cell r="AY266">
            <v>13328950.25</v>
          </cell>
          <cell r="AZ266">
            <v>13328950.25</v>
          </cell>
          <cell r="BA266">
            <v>13328950.25</v>
          </cell>
          <cell r="BB266">
            <v>13328950.25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31644.19</v>
          </cell>
          <cell r="C273">
            <v>23273.79</v>
          </cell>
          <cell r="D273">
            <v>24107.64</v>
          </cell>
          <cell r="E273">
            <v>25278.28</v>
          </cell>
          <cell r="F273">
            <v>22140.28</v>
          </cell>
          <cell r="G273">
            <v>34678.99</v>
          </cell>
          <cell r="H273">
            <v>22712.48</v>
          </cell>
          <cell r="I273">
            <v>23269.16</v>
          </cell>
          <cell r="J273">
            <v>26048.01</v>
          </cell>
          <cell r="K273">
            <v>25485.62</v>
          </cell>
          <cell r="L273">
            <v>22943.85</v>
          </cell>
          <cell r="M273">
            <v>22917.02</v>
          </cell>
          <cell r="N273">
            <v>26684.46</v>
          </cell>
          <cell r="O273">
            <v>32187.89</v>
          </cell>
          <cell r="P273">
            <v>25144.560000000001</v>
          </cell>
          <cell r="Q273">
            <v>25388.560000000001</v>
          </cell>
          <cell r="R273">
            <v>25709.4</v>
          </cell>
          <cell r="S273">
            <v>27558.48</v>
          </cell>
          <cell r="T273">
            <v>31731.41</v>
          </cell>
          <cell r="U273">
            <v>30192.86</v>
          </cell>
          <cell r="V273">
            <v>47495.74</v>
          </cell>
          <cell r="W273">
            <v>93291.21</v>
          </cell>
          <cell r="X273">
            <v>48922.73</v>
          </cell>
          <cell r="Y273">
            <v>53121.120000000003</v>
          </cell>
        </row>
        <row r="274">
          <cell r="A274" t="str">
            <v>ptd</v>
          </cell>
          <cell r="B274">
            <v>31644.19</v>
          </cell>
          <cell r="C274">
            <v>54917.979999999996</v>
          </cell>
          <cell r="D274">
            <v>79025.62</v>
          </cell>
          <cell r="E274">
            <v>104303.9</v>
          </cell>
          <cell r="F274">
            <v>22140.28</v>
          </cell>
          <cell r="G274">
            <v>56819.27</v>
          </cell>
          <cell r="H274">
            <v>79531.75</v>
          </cell>
          <cell r="I274">
            <v>102800.91</v>
          </cell>
          <cell r="J274">
            <v>26048.01</v>
          </cell>
          <cell r="K274">
            <v>51533.63</v>
          </cell>
          <cell r="L274">
            <v>74477.48</v>
          </cell>
          <cell r="M274">
            <v>97394.5</v>
          </cell>
          <cell r="N274">
            <v>26684.46</v>
          </cell>
          <cell r="O274">
            <v>58872.35</v>
          </cell>
          <cell r="P274">
            <v>84016.91</v>
          </cell>
          <cell r="Q274">
            <v>109405.47</v>
          </cell>
          <cell r="R274">
            <v>25709.4</v>
          </cell>
          <cell r="S274">
            <v>53267.880000000005</v>
          </cell>
          <cell r="T274">
            <v>84999.290000000008</v>
          </cell>
          <cell r="U274">
            <v>115192.15000000001</v>
          </cell>
          <cell r="V274">
            <v>47495.74</v>
          </cell>
          <cell r="W274">
            <v>140786.95000000001</v>
          </cell>
          <cell r="X274">
            <v>189709.68000000002</v>
          </cell>
          <cell r="Y274">
            <v>242830.80000000002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</row>
        <row r="275">
          <cell r="A275" t="str">
            <v>qtd</v>
          </cell>
          <cell r="B275">
            <v>31644.19</v>
          </cell>
          <cell r="C275">
            <v>54917.979999999996</v>
          </cell>
          <cell r="D275">
            <v>79025.62</v>
          </cell>
          <cell r="E275">
            <v>104303.9</v>
          </cell>
          <cell r="F275">
            <v>126444.18</v>
          </cell>
          <cell r="G275">
            <v>161123.16999999998</v>
          </cell>
          <cell r="H275">
            <v>183835.65</v>
          </cell>
          <cell r="I275">
            <v>207104.81</v>
          </cell>
          <cell r="J275">
            <v>233152.82</v>
          </cell>
          <cell r="K275">
            <v>258638.44</v>
          </cell>
          <cell r="L275">
            <v>281582.28999999998</v>
          </cell>
          <cell r="M275">
            <v>304499.31</v>
          </cell>
          <cell r="N275">
            <v>26684.46</v>
          </cell>
          <cell r="O275">
            <v>58872.35</v>
          </cell>
          <cell r="P275">
            <v>84016.91</v>
          </cell>
          <cell r="Q275">
            <v>109405.47</v>
          </cell>
          <cell r="R275">
            <v>135114.87</v>
          </cell>
          <cell r="S275">
            <v>162673.35</v>
          </cell>
          <cell r="T275">
            <v>194404.76</v>
          </cell>
          <cell r="U275">
            <v>224597.62</v>
          </cell>
          <cell r="V275">
            <v>272093.36</v>
          </cell>
          <cell r="W275">
            <v>365384.57</v>
          </cell>
          <cell r="X275">
            <v>414307.3</v>
          </cell>
          <cell r="Y275">
            <v>467428.42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</row>
        <row r="276">
          <cell r="A276" t="str">
            <v>ytd</v>
          </cell>
          <cell r="B276">
            <v>31644.19</v>
          </cell>
          <cell r="C276">
            <v>54917.979999999996</v>
          </cell>
          <cell r="D276">
            <v>79025.62</v>
          </cell>
          <cell r="E276">
            <v>104303.9</v>
          </cell>
          <cell r="F276">
            <v>126444.18</v>
          </cell>
          <cell r="G276">
            <v>161123.16999999998</v>
          </cell>
          <cell r="H276">
            <v>183835.65</v>
          </cell>
          <cell r="I276">
            <v>207104.81</v>
          </cell>
          <cell r="J276">
            <v>233152.82</v>
          </cell>
          <cell r="K276">
            <v>258638.44</v>
          </cell>
          <cell r="L276">
            <v>281582.28999999998</v>
          </cell>
          <cell r="M276">
            <v>304499.31</v>
          </cell>
          <cell r="N276">
            <v>331183.77</v>
          </cell>
          <cell r="O276">
            <v>363371.66000000003</v>
          </cell>
          <cell r="P276">
            <v>388516.22000000003</v>
          </cell>
          <cell r="Q276">
            <v>413904.78</v>
          </cell>
          <cell r="R276">
            <v>439614.18000000005</v>
          </cell>
          <cell r="S276">
            <v>467172.66000000003</v>
          </cell>
          <cell r="T276">
            <v>498904.07</v>
          </cell>
          <cell r="U276">
            <v>529096.93000000005</v>
          </cell>
          <cell r="V276">
            <v>576592.67000000004</v>
          </cell>
          <cell r="W276">
            <v>669883.88</v>
          </cell>
          <cell r="X276">
            <v>718806.61</v>
          </cell>
          <cell r="Y276">
            <v>771927.73</v>
          </cell>
          <cell r="Z276">
            <v>771927.73</v>
          </cell>
          <cell r="AA276">
            <v>771927.73</v>
          </cell>
          <cell r="AB276">
            <v>771927.73</v>
          </cell>
          <cell r="AC276">
            <v>771927.73</v>
          </cell>
          <cell r="AD276">
            <v>771927.73</v>
          </cell>
          <cell r="AE276">
            <v>771927.73</v>
          </cell>
          <cell r="AF276">
            <v>771927.73</v>
          </cell>
          <cell r="AG276">
            <v>771927.73</v>
          </cell>
          <cell r="AH276">
            <v>771927.73</v>
          </cell>
          <cell r="AI276">
            <v>771927.73</v>
          </cell>
          <cell r="AJ276">
            <v>771927.73</v>
          </cell>
          <cell r="AK276">
            <v>771927.73</v>
          </cell>
          <cell r="AL276">
            <v>771927.73</v>
          </cell>
          <cell r="AM276">
            <v>771927.73</v>
          </cell>
          <cell r="AN276">
            <v>771927.73</v>
          </cell>
          <cell r="AO276">
            <v>771927.73</v>
          </cell>
          <cell r="AP276">
            <v>771927.73</v>
          </cell>
          <cell r="AQ276">
            <v>771927.73</v>
          </cell>
          <cell r="AR276">
            <v>771927.73</v>
          </cell>
          <cell r="AS276">
            <v>771927.73</v>
          </cell>
          <cell r="AT276">
            <v>771927.73</v>
          </cell>
          <cell r="AU276">
            <v>771927.73</v>
          </cell>
          <cell r="AV276">
            <v>771927.73</v>
          </cell>
          <cell r="AW276">
            <v>771927.73</v>
          </cell>
          <cell r="AX276">
            <v>771927.73</v>
          </cell>
          <cell r="AY276">
            <v>771927.73</v>
          </cell>
          <cell r="AZ276">
            <v>771927.73</v>
          </cell>
          <cell r="BA276">
            <v>771927.73</v>
          </cell>
          <cell r="BB276">
            <v>771927.73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31644.19</v>
          </cell>
          <cell r="C301">
            <v>23273.79</v>
          </cell>
          <cell r="D301">
            <v>24107.64</v>
          </cell>
          <cell r="E301">
            <v>25278.28</v>
          </cell>
          <cell r="F301">
            <v>22140.28</v>
          </cell>
          <cell r="G301">
            <v>34678.99</v>
          </cell>
          <cell r="H301">
            <v>22712.48</v>
          </cell>
          <cell r="I301">
            <v>23269.16</v>
          </cell>
          <cell r="J301">
            <v>26048.01</v>
          </cell>
          <cell r="K301">
            <v>25485.62</v>
          </cell>
          <cell r="L301">
            <v>22943.85</v>
          </cell>
          <cell r="M301">
            <v>22917.02</v>
          </cell>
          <cell r="N301">
            <v>26684.46</v>
          </cell>
          <cell r="O301">
            <v>32187.89</v>
          </cell>
          <cell r="P301">
            <v>25144.560000000001</v>
          </cell>
          <cell r="Q301">
            <v>25388.560000000001</v>
          </cell>
          <cell r="R301">
            <v>25709.4</v>
          </cell>
          <cell r="S301">
            <v>27558.48</v>
          </cell>
          <cell r="T301">
            <v>31731.41</v>
          </cell>
          <cell r="U301">
            <v>30192.86</v>
          </cell>
          <cell r="V301">
            <v>47495.74</v>
          </cell>
          <cell r="W301">
            <v>93291.21</v>
          </cell>
          <cell r="X301">
            <v>48922.73</v>
          </cell>
          <cell r="Y301">
            <v>53121.120000000003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</row>
        <row r="302">
          <cell r="A302" t="str">
            <v>ptd</v>
          </cell>
          <cell r="B302">
            <v>31644.19</v>
          </cell>
          <cell r="C302">
            <v>54917.979999999996</v>
          </cell>
          <cell r="D302">
            <v>79025.62</v>
          </cell>
          <cell r="E302">
            <v>104303.9</v>
          </cell>
          <cell r="F302">
            <v>22140.28</v>
          </cell>
          <cell r="G302">
            <v>56819.27</v>
          </cell>
          <cell r="H302">
            <v>79531.75</v>
          </cell>
          <cell r="I302">
            <v>102800.91</v>
          </cell>
          <cell r="J302">
            <v>26048.01</v>
          </cell>
          <cell r="K302">
            <v>51533.63</v>
          </cell>
          <cell r="L302">
            <v>74477.48</v>
          </cell>
          <cell r="M302">
            <v>97394.5</v>
          </cell>
          <cell r="N302">
            <v>26684.46</v>
          </cell>
          <cell r="O302">
            <v>58872.35</v>
          </cell>
          <cell r="P302">
            <v>84016.91</v>
          </cell>
          <cell r="Q302">
            <v>109405.47</v>
          </cell>
          <cell r="R302">
            <v>25709.4</v>
          </cell>
          <cell r="S302">
            <v>53267.880000000005</v>
          </cell>
          <cell r="T302">
            <v>84999.290000000008</v>
          </cell>
          <cell r="U302">
            <v>115192.15000000001</v>
          </cell>
          <cell r="V302">
            <v>47495.74</v>
          </cell>
          <cell r="W302">
            <v>140786.95000000001</v>
          </cell>
          <cell r="X302">
            <v>189709.68000000002</v>
          </cell>
          <cell r="Y302">
            <v>242830.80000000002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</row>
        <row r="303">
          <cell r="A303" t="str">
            <v>qtd</v>
          </cell>
          <cell r="B303">
            <v>31644.19</v>
          </cell>
          <cell r="C303">
            <v>54917.979999999996</v>
          </cell>
          <cell r="D303">
            <v>79025.62</v>
          </cell>
          <cell r="E303">
            <v>104303.9</v>
          </cell>
          <cell r="F303">
            <v>126444.18</v>
          </cell>
          <cell r="G303">
            <v>161123.16999999998</v>
          </cell>
          <cell r="H303">
            <v>183835.65</v>
          </cell>
          <cell r="I303">
            <v>207104.81</v>
          </cell>
          <cell r="J303">
            <v>233152.82</v>
          </cell>
          <cell r="K303">
            <v>258638.44</v>
          </cell>
          <cell r="L303">
            <v>281582.28999999998</v>
          </cell>
          <cell r="M303">
            <v>304499.31</v>
          </cell>
          <cell r="N303">
            <v>26684.46</v>
          </cell>
          <cell r="O303">
            <v>58872.35</v>
          </cell>
          <cell r="P303">
            <v>84016.91</v>
          </cell>
          <cell r="Q303">
            <v>109405.47</v>
          </cell>
          <cell r="R303">
            <v>135114.87</v>
          </cell>
          <cell r="S303">
            <v>162673.35</v>
          </cell>
          <cell r="T303">
            <v>194404.76</v>
          </cell>
          <cell r="U303">
            <v>224597.62</v>
          </cell>
          <cell r="V303">
            <v>272093.36</v>
          </cell>
          <cell r="W303">
            <v>365384.57</v>
          </cell>
          <cell r="X303">
            <v>414307.3</v>
          </cell>
          <cell r="Y303">
            <v>467428.42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</row>
        <row r="304">
          <cell r="A304" t="str">
            <v>ytd</v>
          </cell>
          <cell r="B304">
            <v>31644.19</v>
          </cell>
          <cell r="C304">
            <v>54917.979999999996</v>
          </cell>
          <cell r="D304">
            <v>79025.62</v>
          </cell>
          <cell r="E304">
            <v>104303.9</v>
          </cell>
          <cell r="F304">
            <v>126444.18</v>
          </cell>
          <cell r="G304">
            <v>161123.16999999998</v>
          </cell>
          <cell r="H304">
            <v>183835.65</v>
          </cell>
          <cell r="I304">
            <v>207104.81</v>
          </cell>
          <cell r="J304">
            <v>233152.82</v>
          </cell>
          <cell r="K304">
            <v>258638.44</v>
          </cell>
          <cell r="L304">
            <v>281582.28999999998</v>
          </cell>
          <cell r="M304">
            <v>304499.31</v>
          </cell>
          <cell r="N304">
            <v>331183.77</v>
          </cell>
          <cell r="O304">
            <v>363371.66000000003</v>
          </cell>
          <cell r="P304">
            <v>388516.22000000003</v>
          </cell>
          <cell r="Q304">
            <v>413904.78</v>
          </cell>
          <cell r="R304">
            <v>439614.18000000005</v>
          </cell>
          <cell r="S304">
            <v>467172.66000000003</v>
          </cell>
          <cell r="T304">
            <v>498904.07</v>
          </cell>
          <cell r="U304">
            <v>529096.93000000005</v>
          </cell>
          <cell r="V304">
            <v>576592.67000000004</v>
          </cell>
          <cell r="W304">
            <v>669883.88</v>
          </cell>
          <cell r="X304">
            <v>718806.61</v>
          </cell>
          <cell r="Y304">
            <v>771927.73</v>
          </cell>
          <cell r="Z304">
            <v>771927.73</v>
          </cell>
          <cell r="AA304">
            <v>771927.73</v>
          </cell>
          <cell r="AB304">
            <v>771927.73</v>
          </cell>
          <cell r="AC304">
            <v>771927.73</v>
          </cell>
          <cell r="AD304">
            <v>771927.73</v>
          </cell>
          <cell r="AE304">
            <v>771927.73</v>
          </cell>
          <cell r="AF304">
            <v>771927.73</v>
          </cell>
          <cell r="AG304">
            <v>771927.73</v>
          </cell>
          <cell r="AH304">
            <v>771927.73</v>
          </cell>
          <cell r="AI304">
            <v>771927.73</v>
          </cell>
          <cell r="AJ304">
            <v>771927.73</v>
          </cell>
          <cell r="AK304">
            <v>771927.73</v>
          </cell>
          <cell r="AL304">
            <v>771927.73</v>
          </cell>
          <cell r="AM304">
            <v>771927.73</v>
          </cell>
          <cell r="AN304">
            <v>771927.73</v>
          </cell>
          <cell r="AO304">
            <v>771927.73</v>
          </cell>
          <cell r="AP304">
            <v>771927.73</v>
          </cell>
          <cell r="AQ304">
            <v>771927.73</v>
          </cell>
          <cell r="AR304">
            <v>771927.73</v>
          </cell>
          <cell r="AS304">
            <v>771927.73</v>
          </cell>
          <cell r="AT304">
            <v>771927.73</v>
          </cell>
          <cell r="AU304">
            <v>771927.73</v>
          </cell>
          <cell r="AV304">
            <v>771927.73</v>
          </cell>
          <cell r="AW304">
            <v>771927.73</v>
          </cell>
          <cell r="AX304">
            <v>771927.73</v>
          </cell>
          <cell r="AY304">
            <v>771927.73</v>
          </cell>
          <cell r="AZ304">
            <v>771927.73</v>
          </cell>
          <cell r="BA304">
            <v>771927.73</v>
          </cell>
          <cell r="BB304">
            <v>771927.73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446482.51999999996</v>
          </cell>
          <cell r="C425">
            <v>396823.37999999995</v>
          </cell>
          <cell r="D425">
            <v>393266.89</v>
          </cell>
          <cell r="E425">
            <v>371755.06000000006</v>
          </cell>
          <cell r="F425">
            <v>402206.32999999996</v>
          </cell>
          <cell r="G425">
            <v>525381.56999999995</v>
          </cell>
          <cell r="H425">
            <v>425153.41</v>
          </cell>
          <cell r="I425">
            <v>478755.37</v>
          </cell>
          <cell r="J425">
            <v>464306.76</v>
          </cell>
          <cell r="K425">
            <v>492766.18</v>
          </cell>
          <cell r="L425">
            <v>559502.22</v>
          </cell>
          <cell r="M425">
            <v>498559.25000000006</v>
          </cell>
          <cell r="N425">
            <v>511363.76</v>
          </cell>
          <cell r="O425">
            <v>532418.01</v>
          </cell>
          <cell r="P425">
            <v>446788.62</v>
          </cell>
          <cell r="Q425">
            <v>454782.04</v>
          </cell>
          <cell r="R425">
            <v>536125.62</v>
          </cell>
          <cell r="S425">
            <v>736991.19</v>
          </cell>
          <cell r="T425">
            <v>549553.06000000006</v>
          </cell>
          <cell r="U425">
            <v>563072.07999999996</v>
          </cell>
          <cell r="V425">
            <v>609326.31999999995</v>
          </cell>
          <cell r="W425">
            <v>767692.65999999992</v>
          </cell>
          <cell r="X425">
            <v>702196.1</v>
          </cell>
          <cell r="Y425">
            <v>784925.61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</row>
        <row r="426">
          <cell r="A426" t="str">
            <v>ptd</v>
          </cell>
          <cell r="B426">
            <v>446482.51999999996</v>
          </cell>
          <cell r="C426">
            <v>843305.89999999991</v>
          </cell>
          <cell r="D426">
            <v>1236572.79</v>
          </cell>
          <cell r="E426">
            <v>1608327.85</v>
          </cell>
          <cell r="F426">
            <v>402206.32999999996</v>
          </cell>
          <cell r="G426">
            <v>927587.89999999991</v>
          </cell>
          <cell r="H426">
            <v>1352741.3099999998</v>
          </cell>
          <cell r="I426">
            <v>1831496.6799999997</v>
          </cell>
          <cell r="J426">
            <v>464306.76</v>
          </cell>
          <cell r="K426">
            <v>957072.94</v>
          </cell>
          <cell r="L426">
            <v>1516575.16</v>
          </cell>
          <cell r="M426">
            <v>2015134.41</v>
          </cell>
          <cell r="N426">
            <v>511363.76</v>
          </cell>
          <cell r="O426">
            <v>1043781.77</v>
          </cell>
          <cell r="P426">
            <v>1490570.3900000001</v>
          </cell>
          <cell r="Q426">
            <v>1945352.4300000002</v>
          </cell>
          <cell r="R426">
            <v>536125.62</v>
          </cell>
          <cell r="S426">
            <v>1273116.81</v>
          </cell>
          <cell r="T426">
            <v>1822669.87</v>
          </cell>
          <cell r="U426">
            <v>2385741.9500000002</v>
          </cell>
          <cell r="V426">
            <v>609326.31999999995</v>
          </cell>
          <cell r="W426">
            <v>1377018.98</v>
          </cell>
          <cell r="X426">
            <v>2079215.08</v>
          </cell>
          <cell r="Y426">
            <v>2864140.69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</row>
        <row r="427">
          <cell r="A427" t="str">
            <v>qtd</v>
          </cell>
          <cell r="B427">
            <v>446482.51999999996</v>
          </cell>
          <cell r="C427">
            <v>843305.89999999991</v>
          </cell>
          <cell r="D427">
            <v>1236572.79</v>
          </cell>
          <cell r="E427">
            <v>1608327.85</v>
          </cell>
          <cell r="F427">
            <v>2010534.1800000002</v>
          </cell>
          <cell r="G427">
            <v>2535915.75</v>
          </cell>
          <cell r="H427">
            <v>2961069.16</v>
          </cell>
          <cell r="I427">
            <v>3439824.5300000003</v>
          </cell>
          <cell r="J427">
            <v>3904131.29</v>
          </cell>
          <cell r="K427">
            <v>4396897.47</v>
          </cell>
          <cell r="L427">
            <v>4956399.6899999995</v>
          </cell>
          <cell r="M427">
            <v>5454958.9399999995</v>
          </cell>
          <cell r="N427">
            <v>511363.76</v>
          </cell>
          <cell r="O427">
            <v>1043781.77</v>
          </cell>
          <cell r="P427">
            <v>1490570.3900000001</v>
          </cell>
          <cell r="Q427">
            <v>1945352.4300000002</v>
          </cell>
          <cell r="R427">
            <v>2481478.0500000003</v>
          </cell>
          <cell r="S427">
            <v>3218469.24</v>
          </cell>
          <cell r="T427">
            <v>3768022.3000000003</v>
          </cell>
          <cell r="U427">
            <v>4331094.38</v>
          </cell>
          <cell r="V427">
            <v>4940420.7</v>
          </cell>
          <cell r="W427">
            <v>5708113.3600000003</v>
          </cell>
          <cell r="X427">
            <v>6410309.46</v>
          </cell>
          <cell r="Y427">
            <v>7195235.0700000003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</row>
        <row r="428">
          <cell r="A428" t="str">
            <v>ytd</v>
          </cell>
          <cell r="B428">
            <v>446482.51999999996</v>
          </cell>
          <cell r="C428">
            <v>843305.89999999991</v>
          </cell>
          <cell r="D428">
            <v>1236572.79</v>
          </cell>
          <cell r="E428">
            <v>1608327.85</v>
          </cell>
          <cell r="F428">
            <v>2010534.1800000002</v>
          </cell>
          <cell r="G428">
            <v>2535915.75</v>
          </cell>
          <cell r="H428">
            <v>2961069.16</v>
          </cell>
          <cell r="I428">
            <v>3439824.5300000003</v>
          </cell>
          <cell r="J428">
            <v>3904131.29</v>
          </cell>
          <cell r="K428">
            <v>4396897.47</v>
          </cell>
          <cell r="L428">
            <v>4956399.6899999995</v>
          </cell>
          <cell r="M428">
            <v>5454958.9399999995</v>
          </cell>
          <cell r="N428">
            <v>5966322.6999999993</v>
          </cell>
          <cell r="O428">
            <v>6498740.709999999</v>
          </cell>
          <cell r="P428">
            <v>6945529.3299999991</v>
          </cell>
          <cell r="Q428">
            <v>7400311.3699999992</v>
          </cell>
          <cell r="R428">
            <v>7936436.9899999993</v>
          </cell>
          <cell r="S428">
            <v>8673428.1799999997</v>
          </cell>
          <cell r="T428">
            <v>9222981.2400000002</v>
          </cell>
          <cell r="U428">
            <v>9786053.3200000003</v>
          </cell>
          <cell r="V428">
            <v>10395379.640000001</v>
          </cell>
          <cell r="W428">
            <v>11163072.300000001</v>
          </cell>
          <cell r="X428">
            <v>11865268.4</v>
          </cell>
          <cell r="Y428">
            <v>12650194.01</v>
          </cell>
          <cell r="Z428">
            <v>12650194.01</v>
          </cell>
          <cell r="AA428">
            <v>12650194.01</v>
          </cell>
          <cell r="AB428">
            <v>12650194.01</v>
          </cell>
          <cell r="AC428">
            <v>12650194.01</v>
          </cell>
          <cell r="AD428">
            <v>12650194.01</v>
          </cell>
          <cell r="AE428">
            <v>12650194.01</v>
          </cell>
          <cell r="AF428">
            <v>12650194.01</v>
          </cell>
          <cell r="AG428">
            <v>12650194.01</v>
          </cell>
          <cell r="AH428">
            <v>12650194.01</v>
          </cell>
          <cell r="AI428">
            <v>12650194.01</v>
          </cell>
          <cell r="AJ428">
            <v>12650194.01</v>
          </cell>
          <cell r="AK428">
            <v>12650194.01</v>
          </cell>
          <cell r="AL428">
            <v>12650194.01</v>
          </cell>
          <cell r="AM428">
            <v>12650194.01</v>
          </cell>
          <cell r="AN428">
            <v>12650194.01</v>
          </cell>
          <cell r="AO428">
            <v>12650194.01</v>
          </cell>
          <cell r="AP428">
            <v>12650194.01</v>
          </cell>
          <cell r="AQ428">
            <v>12650194.01</v>
          </cell>
          <cell r="AR428">
            <v>12650194.01</v>
          </cell>
          <cell r="AS428">
            <v>12650194.01</v>
          </cell>
          <cell r="AT428">
            <v>12650194.01</v>
          </cell>
          <cell r="AU428">
            <v>12650194.01</v>
          </cell>
          <cell r="AV428">
            <v>12650194.01</v>
          </cell>
          <cell r="AW428">
            <v>12650194.01</v>
          </cell>
          <cell r="AX428">
            <v>12650194.01</v>
          </cell>
          <cell r="AY428">
            <v>12650194.01</v>
          </cell>
          <cell r="AZ428">
            <v>12650194.01</v>
          </cell>
          <cell r="BA428">
            <v>12650194.01</v>
          </cell>
          <cell r="BB428">
            <v>12650194.01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234552.09</v>
          </cell>
          <cell r="C433">
            <v>194430.67</v>
          </cell>
          <cell r="D433">
            <v>189524.04</v>
          </cell>
          <cell r="E433">
            <v>159410</v>
          </cell>
          <cell r="F433">
            <v>191174.64</v>
          </cell>
          <cell r="G433">
            <v>212561.84</v>
          </cell>
          <cell r="H433">
            <v>218004.91</v>
          </cell>
          <cell r="I433">
            <v>260561.9</v>
          </cell>
          <cell r="J433">
            <v>214374.19</v>
          </cell>
          <cell r="K433">
            <v>217462.9</v>
          </cell>
          <cell r="L433">
            <v>241831.64</v>
          </cell>
          <cell r="M433">
            <v>226548.98</v>
          </cell>
          <cell r="N433">
            <v>242696.13</v>
          </cell>
          <cell r="O433">
            <v>247553.73</v>
          </cell>
          <cell r="P433">
            <v>232211.45</v>
          </cell>
          <cell r="Q433">
            <v>224960.38</v>
          </cell>
          <cell r="R433">
            <v>272878.69</v>
          </cell>
          <cell r="S433">
            <v>387818.13</v>
          </cell>
          <cell r="T433">
            <v>285627.65999999997</v>
          </cell>
          <cell r="U433">
            <v>287728.56</v>
          </cell>
          <cell r="V433">
            <v>302315.93</v>
          </cell>
          <cell r="W433">
            <v>339095.9</v>
          </cell>
          <cell r="X433">
            <v>293348.84999999998</v>
          </cell>
          <cell r="Y433">
            <v>324550.21000000002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</row>
        <row r="434">
          <cell r="A434" t="str">
            <v>ptd</v>
          </cell>
          <cell r="B434">
            <v>234552.09</v>
          </cell>
          <cell r="C434">
            <v>428982.76</v>
          </cell>
          <cell r="D434">
            <v>618506.80000000005</v>
          </cell>
          <cell r="E434">
            <v>777916.8</v>
          </cell>
          <cell r="F434">
            <v>191174.64</v>
          </cell>
          <cell r="G434">
            <v>403736.48</v>
          </cell>
          <cell r="H434">
            <v>621741.39</v>
          </cell>
          <cell r="I434">
            <v>882303.29</v>
          </cell>
          <cell r="J434">
            <v>214374.19</v>
          </cell>
          <cell r="K434">
            <v>431837.08999999997</v>
          </cell>
          <cell r="L434">
            <v>673668.73</v>
          </cell>
          <cell r="M434">
            <v>900217.71</v>
          </cell>
          <cell r="N434">
            <v>242696.13</v>
          </cell>
          <cell r="O434">
            <v>490249.86</v>
          </cell>
          <cell r="P434">
            <v>722461.31</v>
          </cell>
          <cell r="Q434">
            <v>947421.69000000006</v>
          </cell>
          <cell r="R434">
            <v>272878.69</v>
          </cell>
          <cell r="S434">
            <v>660696.82000000007</v>
          </cell>
          <cell r="T434">
            <v>946324.47999999998</v>
          </cell>
          <cell r="U434">
            <v>1234053.04</v>
          </cell>
          <cell r="V434">
            <v>302315.93</v>
          </cell>
          <cell r="W434">
            <v>641411.83000000007</v>
          </cell>
          <cell r="X434">
            <v>934760.68</v>
          </cell>
          <cell r="Y434">
            <v>1259310.8900000001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</row>
        <row r="435">
          <cell r="A435" t="str">
            <v>qtd</v>
          </cell>
          <cell r="B435">
            <v>234552.09</v>
          </cell>
          <cell r="C435">
            <v>428982.76</v>
          </cell>
          <cell r="D435">
            <v>618506.80000000005</v>
          </cell>
          <cell r="E435">
            <v>777916.8</v>
          </cell>
          <cell r="F435">
            <v>969091.44000000006</v>
          </cell>
          <cell r="G435">
            <v>1181653.28</v>
          </cell>
          <cell r="H435">
            <v>1399658.19</v>
          </cell>
          <cell r="I435">
            <v>1660220.0899999999</v>
          </cell>
          <cell r="J435">
            <v>1874594.2799999998</v>
          </cell>
          <cell r="K435">
            <v>2092057.1799999997</v>
          </cell>
          <cell r="L435">
            <v>2333888.8199999998</v>
          </cell>
          <cell r="M435">
            <v>2560437.7999999998</v>
          </cell>
          <cell r="N435">
            <v>242696.13</v>
          </cell>
          <cell r="O435">
            <v>490249.86</v>
          </cell>
          <cell r="P435">
            <v>722461.31</v>
          </cell>
          <cell r="Q435">
            <v>947421.69000000006</v>
          </cell>
          <cell r="R435">
            <v>1220300.3800000001</v>
          </cell>
          <cell r="S435">
            <v>1608118.5100000002</v>
          </cell>
          <cell r="T435">
            <v>1893746.1700000002</v>
          </cell>
          <cell r="U435">
            <v>2181474.73</v>
          </cell>
          <cell r="V435">
            <v>2483790.66</v>
          </cell>
          <cell r="W435">
            <v>2822886.56</v>
          </cell>
          <cell r="X435">
            <v>3116235.41</v>
          </cell>
          <cell r="Y435">
            <v>3440785.62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</row>
        <row r="436">
          <cell r="A436" t="str">
            <v>ytd</v>
          </cell>
          <cell r="B436">
            <v>234552.09</v>
          </cell>
          <cell r="C436">
            <v>428982.76</v>
          </cell>
          <cell r="D436">
            <v>618506.80000000005</v>
          </cell>
          <cell r="E436">
            <v>777916.8</v>
          </cell>
          <cell r="F436">
            <v>969091.44000000006</v>
          </cell>
          <cell r="G436">
            <v>1181653.28</v>
          </cell>
          <cell r="H436">
            <v>1399658.19</v>
          </cell>
          <cell r="I436">
            <v>1660220.0899999999</v>
          </cell>
          <cell r="J436">
            <v>1874594.2799999998</v>
          </cell>
          <cell r="K436">
            <v>2092057.1799999997</v>
          </cell>
          <cell r="L436">
            <v>2333888.8199999998</v>
          </cell>
          <cell r="M436">
            <v>2560437.7999999998</v>
          </cell>
          <cell r="N436">
            <v>2803133.9299999997</v>
          </cell>
          <cell r="O436">
            <v>3050687.6599999997</v>
          </cell>
          <cell r="P436">
            <v>3282899.11</v>
          </cell>
          <cell r="Q436">
            <v>3507859.4899999998</v>
          </cell>
          <cell r="R436">
            <v>3780738.1799999997</v>
          </cell>
          <cell r="S436">
            <v>4168556.3099999996</v>
          </cell>
          <cell r="T436">
            <v>4454183.97</v>
          </cell>
          <cell r="U436">
            <v>4741912.5299999993</v>
          </cell>
          <cell r="V436">
            <v>5044228.459999999</v>
          </cell>
          <cell r="W436">
            <v>5383324.3599999994</v>
          </cell>
          <cell r="X436">
            <v>5676673.209999999</v>
          </cell>
          <cell r="Y436">
            <v>6001223.419999999</v>
          </cell>
          <cell r="Z436">
            <v>6001223.419999999</v>
          </cell>
          <cell r="AA436">
            <v>6001223.419999999</v>
          </cell>
          <cell r="AB436">
            <v>6001223.419999999</v>
          </cell>
          <cell r="AC436">
            <v>6001223.419999999</v>
          </cell>
          <cell r="AD436">
            <v>6001223.419999999</v>
          </cell>
          <cell r="AE436">
            <v>6001223.419999999</v>
          </cell>
          <cell r="AF436">
            <v>6001223.419999999</v>
          </cell>
          <cell r="AG436">
            <v>6001223.419999999</v>
          </cell>
          <cell r="AH436">
            <v>6001223.419999999</v>
          </cell>
          <cell r="AI436">
            <v>6001223.419999999</v>
          </cell>
          <cell r="AJ436">
            <v>6001223.419999999</v>
          </cell>
          <cell r="AK436">
            <v>6001223.419999999</v>
          </cell>
          <cell r="AL436">
            <v>6001223.419999999</v>
          </cell>
          <cell r="AM436">
            <v>6001223.419999999</v>
          </cell>
          <cell r="AN436">
            <v>6001223.419999999</v>
          </cell>
          <cell r="AO436">
            <v>6001223.419999999</v>
          </cell>
          <cell r="AP436">
            <v>6001223.419999999</v>
          </cell>
          <cell r="AQ436">
            <v>6001223.419999999</v>
          </cell>
          <cell r="AR436">
            <v>6001223.419999999</v>
          </cell>
          <cell r="AS436">
            <v>6001223.419999999</v>
          </cell>
          <cell r="AT436">
            <v>6001223.419999999</v>
          </cell>
          <cell r="AU436">
            <v>6001223.419999999</v>
          </cell>
          <cell r="AV436">
            <v>6001223.419999999</v>
          </cell>
          <cell r="AW436">
            <v>6001223.419999999</v>
          </cell>
          <cell r="AX436">
            <v>6001223.419999999</v>
          </cell>
          <cell r="AY436">
            <v>6001223.419999999</v>
          </cell>
          <cell r="AZ436">
            <v>6001223.419999999</v>
          </cell>
          <cell r="BA436">
            <v>6001223.419999999</v>
          </cell>
          <cell r="BB436">
            <v>6001223.419999999</v>
          </cell>
        </row>
        <row r="437">
          <cell r="A437" t="str">
            <v>SPRT</v>
          </cell>
          <cell r="B437">
            <v>5523.36</v>
          </cell>
          <cell r="C437">
            <v>5670.11</v>
          </cell>
          <cell r="D437">
            <v>5403.79</v>
          </cell>
          <cell r="E437">
            <v>5575.61</v>
          </cell>
          <cell r="F437">
            <v>5383.33</v>
          </cell>
          <cell r="G437">
            <v>5465.44</v>
          </cell>
          <cell r="H437">
            <v>5515.36</v>
          </cell>
          <cell r="I437">
            <v>6343.26</v>
          </cell>
          <cell r="J437">
            <v>6269.47</v>
          </cell>
          <cell r="K437">
            <v>7422.82</v>
          </cell>
          <cell r="L437">
            <v>6018.05</v>
          </cell>
          <cell r="M437">
            <v>5973.77</v>
          </cell>
          <cell r="N437">
            <v>5987.3</v>
          </cell>
          <cell r="O437">
            <v>6317.18</v>
          </cell>
          <cell r="P437">
            <v>3713.07</v>
          </cell>
          <cell r="Q437">
            <v>4820.0200000000004</v>
          </cell>
          <cell r="R437">
            <v>6361.79</v>
          </cell>
          <cell r="S437">
            <v>4644.4799999999996</v>
          </cell>
          <cell r="T437">
            <v>5957.66</v>
          </cell>
          <cell r="U437">
            <v>5559.93</v>
          </cell>
          <cell r="V437">
            <v>5915.53</v>
          </cell>
          <cell r="W437">
            <v>6144.92</v>
          </cell>
          <cell r="X437">
            <v>6539.68</v>
          </cell>
          <cell r="Y437">
            <v>10735.35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</row>
        <row r="438">
          <cell r="A438" t="str">
            <v>ptd</v>
          </cell>
          <cell r="B438">
            <v>5523.36</v>
          </cell>
          <cell r="C438">
            <v>11193.47</v>
          </cell>
          <cell r="D438">
            <v>16597.259999999998</v>
          </cell>
          <cell r="E438">
            <v>22172.87</v>
          </cell>
          <cell r="F438">
            <v>5383.33</v>
          </cell>
          <cell r="G438">
            <v>10848.77</v>
          </cell>
          <cell r="H438">
            <v>16364.130000000001</v>
          </cell>
          <cell r="I438">
            <v>22707.39</v>
          </cell>
          <cell r="J438">
            <v>6269.47</v>
          </cell>
          <cell r="K438">
            <v>13692.29</v>
          </cell>
          <cell r="L438">
            <v>19710.34</v>
          </cell>
          <cell r="M438">
            <v>25684.11</v>
          </cell>
          <cell r="N438">
            <v>5987.3</v>
          </cell>
          <cell r="O438">
            <v>12304.48</v>
          </cell>
          <cell r="P438">
            <v>16017.55</v>
          </cell>
          <cell r="Q438">
            <v>20837.57</v>
          </cell>
          <cell r="R438">
            <v>6361.79</v>
          </cell>
          <cell r="S438">
            <v>11006.27</v>
          </cell>
          <cell r="T438">
            <v>16963.93</v>
          </cell>
          <cell r="U438">
            <v>22523.86</v>
          </cell>
          <cell r="V438">
            <v>5915.53</v>
          </cell>
          <cell r="W438">
            <v>12060.45</v>
          </cell>
          <cell r="X438">
            <v>18600.13</v>
          </cell>
          <cell r="Y438">
            <v>29335.480000000003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</row>
        <row r="439">
          <cell r="A439" t="str">
            <v>qtd</v>
          </cell>
          <cell r="B439">
            <v>5523.36</v>
          </cell>
          <cell r="C439">
            <v>11193.47</v>
          </cell>
          <cell r="D439">
            <v>16597.259999999998</v>
          </cell>
          <cell r="E439">
            <v>22172.87</v>
          </cell>
          <cell r="F439">
            <v>27556.199999999997</v>
          </cell>
          <cell r="G439">
            <v>33021.64</v>
          </cell>
          <cell r="H439">
            <v>38537</v>
          </cell>
          <cell r="I439">
            <v>44880.26</v>
          </cell>
          <cell r="J439">
            <v>51149.73</v>
          </cell>
          <cell r="K439">
            <v>58572.55</v>
          </cell>
          <cell r="L439">
            <v>64590.600000000006</v>
          </cell>
          <cell r="M439">
            <v>70564.37000000001</v>
          </cell>
          <cell r="N439">
            <v>5987.3</v>
          </cell>
          <cell r="O439">
            <v>12304.48</v>
          </cell>
          <cell r="P439">
            <v>16017.55</v>
          </cell>
          <cell r="Q439">
            <v>20837.57</v>
          </cell>
          <cell r="R439">
            <v>27199.360000000001</v>
          </cell>
          <cell r="S439">
            <v>31843.84</v>
          </cell>
          <cell r="T439">
            <v>37801.5</v>
          </cell>
          <cell r="U439">
            <v>43361.43</v>
          </cell>
          <cell r="V439">
            <v>49276.959999999999</v>
          </cell>
          <cell r="W439">
            <v>55421.88</v>
          </cell>
          <cell r="X439">
            <v>61961.56</v>
          </cell>
          <cell r="Y439">
            <v>72696.91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</row>
        <row r="440">
          <cell r="A440" t="str">
            <v>ytd</v>
          </cell>
          <cell r="B440">
            <v>5523.36</v>
          </cell>
          <cell r="C440">
            <v>11193.47</v>
          </cell>
          <cell r="D440">
            <v>16597.259999999998</v>
          </cell>
          <cell r="E440">
            <v>22172.87</v>
          </cell>
          <cell r="F440">
            <v>27556.199999999997</v>
          </cell>
          <cell r="G440">
            <v>33021.64</v>
          </cell>
          <cell r="H440">
            <v>38537</v>
          </cell>
          <cell r="I440">
            <v>44880.26</v>
          </cell>
          <cell r="J440">
            <v>51149.73</v>
          </cell>
          <cell r="K440">
            <v>58572.55</v>
          </cell>
          <cell r="L440">
            <v>64590.600000000006</v>
          </cell>
          <cell r="M440">
            <v>70564.37000000001</v>
          </cell>
          <cell r="N440">
            <v>76551.670000000013</v>
          </cell>
          <cell r="O440">
            <v>82868.850000000006</v>
          </cell>
          <cell r="P440">
            <v>86581.920000000013</v>
          </cell>
          <cell r="Q440">
            <v>91401.940000000017</v>
          </cell>
          <cell r="R440">
            <v>97763.73000000001</v>
          </cell>
          <cell r="S440">
            <v>102408.21</v>
          </cell>
          <cell r="T440">
            <v>108365.87000000001</v>
          </cell>
          <cell r="U440">
            <v>113925.80000000002</v>
          </cell>
          <cell r="V440">
            <v>119841.33000000002</v>
          </cell>
          <cell r="W440">
            <v>125986.25000000001</v>
          </cell>
          <cell r="X440">
            <v>132525.93000000002</v>
          </cell>
          <cell r="Y440">
            <v>143261.28000000003</v>
          </cell>
          <cell r="Z440">
            <v>143261.28000000003</v>
          </cell>
          <cell r="AA440">
            <v>143261.28000000003</v>
          </cell>
          <cell r="AB440">
            <v>143261.28000000003</v>
          </cell>
          <cell r="AC440">
            <v>143261.28000000003</v>
          </cell>
          <cell r="AD440">
            <v>143261.28000000003</v>
          </cell>
          <cell r="AE440">
            <v>143261.28000000003</v>
          </cell>
          <cell r="AF440">
            <v>143261.28000000003</v>
          </cell>
          <cell r="AG440">
            <v>143261.28000000003</v>
          </cell>
          <cell r="AH440">
            <v>143261.28000000003</v>
          </cell>
          <cell r="AI440">
            <v>143261.28000000003</v>
          </cell>
          <cell r="AJ440">
            <v>143261.28000000003</v>
          </cell>
          <cell r="AK440">
            <v>143261.28000000003</v>
          </cell>
          <cell r="AL440">
            <v>143261.28000000003</v>
          </cell>
          <cell r="AM440">
            <v>143261.28000000003</v>
          </cell>
          <cell r="AN440">
            <v>143261.28000000003</v>
          </cell>
          <cell r="AO440">
            <v>143261.28000000003</v>
          </cell>
          <cell r="AP440">
            <v>143261.28000000003</v>
          </cell>
          <cell r="AQ440">
            <v>143261.28000000003</v>
          </cell>
          <cell r="AR440">
            <v>143261.28000000003</v>
          </cell>
          <cell r="AS440">
            <v>143261.28000000003</v>
          </cell>
          <cell r="AT440">
            <v>143261.28000000003</v>
          </cell>
          <cell r="AU440">
            <v>143261.28000000003</v>
          </cell>
          <cell r="AV440">
            <v>143261.28000000003</v>
          </cell>
          <cell r="AW440">
            <v>143261.28000000003</v>
          </cell>
          <cell r="AX440">
            <v>143261.28000000003</v>
          </cell>
          <cell r="AY440">
            <v>143261.28000000003</v>
          </cell>
          <cell r="AZ440">
            <v>143261.28000000003</v>
          </cell>
          <cell r="BA440">
            <v>143261.28000000003</v>
          </cell>
          <cell r="BB440">
            <v>143261.28000000003</v>
          </cell>
        </row>
        <row r="441">
          <cell r="A441" t="str">
            <v>TELE</v>
          </cell>
          <cell r="B441">
            <v>85.52</v>
          </cell>
          <cell r="C441">
            <v>82.79</v>
          </cell>
          <cell r="D441">
            <v>49.57</v>
          </cell>
          <cell r="E441">
            <v>59.45</v>
          </cell>
          <cell r="F441">
            <v>38.46</v>
          </cell>
          <cell r="G441">
            <v>10.130000000000001</v>
          </cell>
          <cell r="H441">
            <v>40.520000000000003</v>
          </cell>
          <cell r="I441">
            <v>40.520000000000003</v>
          </cell>
          <cell r="J441">
            <v>50.65</v>
          </cell>
          <cell r="K441">
            <v>50.65</v>
          </cell>
          <cell r="L441">
            <v>60.78</v>
          </cell>
          <cell r="M441">
            <v>40.520000000000003</v>
          </cell>
          <cell r="N441">
            <v>53.24</v>
          </cell>
          <cell r="O441">
            <v>42.57</v>
          </cell>
          <cell r="P441">
            <v>32.590000000000003</v>
          </cell>
          <cell r="Q441">
            <v>64.72</v>
          </cell>
          <cell r="R441">
            <v>43</v>
          </cell>
          <cell r="S441">
            <v>123.49</v>
          </cell>
          <cell r="T441">
            <v>68.66</v>
          </cell>
          <cell r="U441">
            <v>80.86</v>
          </cell>
          <cell r="V441">
            <v>58.69</v>
          </cell>
          <cell r="W441">
            <v>47.95</v>
          </cell>
          <cell r="X441">
            <v>60.15</v>
          </cell>
          <cell r="Y441">
            <v>59.68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</row>
        <row r="442">
          <cell r="A442" t="str">
            <v>ptd</v>
          </cell>
          <cell r="B442">
            <v>85.52</v>
          </cell>
          <cell r="C442">
            <v>168.31</v>
          </cell>
          <cell r="D442">
            <v>217.88</v>
          </cell>
          <cell r="E442">
            <v>277.33</v>
          </cell>
          <cell r="F442">
            <v>38.46</v>
          </cell>
          <cell r="G442">
            <v>48.59</v>
          </cell>
          <cell r="H442">
            <v>89.110000000000014</v>
          </cell>
          <cell r="I442">
            <v>129.63000000000002</v>
          </cell>
          <cell r="J442">
            <v>50.65</v>
          </cell>
          <cell r="K442">
            <v>101.3</v>
          </cell>
          <cell r="L442">
            <v>162.07999999999998</v>
          </cell>
          <cell r="M442">
            <v>202.6</v>
          </cell>
          <cell r="N442">
            <v>53.24</v>
          </cell>
          <cell r="O442">
            <v>95.81</v>
          </cell>
          <cell r="P442">
            <v>128.4</v>
          </cell>
          <cell r="Q442">
            <v>193.12</v>
          </cell>
          <cell r="R442">
            <v>43</v>
          </cell>
          <cell r="S442">
            <v>166.49</v>
          </cell>
          <cell r="T442">
            <v>235.15</v>
          </cell>
          <cell r="U442">
            <v>316.01</v>
          </cell>
          <cell r="V442">
            <v>58.69</v>
          </cell>
          <cell r="W442">
            <v>106.64</v>
          </cell>
          <cell r="X442">
            <v>166.79</v>
          </cell>
          <cell r="Y442">
            <v>226.47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</row>
        <row r="443">
          <cell r="A443" t="str">
            <v>qtd</v>
          </cell>
          <cell r="B443">
            <v>85.52</v>
          </cell>
          <cell r="C443">
            <v>168.31</v>
          </cell>
          <cell r="D443">
            <v>217.88</v>
          </cell>
          <cell r="E443">
            <v>277.33</v>
          </cell>
          <cell r="F443">
            <v>315.78999999999996</v>
          </cell>
          <cell r="G443">
            <v>325.91999999999996</v>
          </cell>
          <cell r="H443">
            <v>366.43999999999994</v>
          </cell>
          <cell r="I443">
            <v>406.95999999999992</v>
          </cell>
          <cell r="J443">
            <v>457.6099999999999</v>
          </cell>
          <cell r="K443">
            <v>508.25999999999988</v>
          </cell>
          <cell r="L443">
            <v>569.03999999999985</v>
          </cell>
          <cell r="M443">
            <v>609.55999999999983</v>
          </cell>
          <cell r="N443">
            <v>53.24</v>
          </cell>
          <cell r="O443">
            <v>95.81</v>
          </cell>
          <cell r="P443">
            <v>128.4</v>
          </cell>
          <cell r="Q443">
            <v>193.12</v>
          </cell>
          <cell r="R443">
            <v>236.12</v>
          </cell>
          <cell r="S443">
            <v>359.61</v>
          </cell>
          <cell r="T443">
            <v>428.27</v>
          </cell>
          <cell r="U443">
            <v>509.13</v>
          </cell>
          <cell r="V443">
            <v>567.81999999999994</v>
          </cell>
          <cell r="W443">
            <v>615.77</v>
          </cell>
          <cell r="X443">
            <v>675.92</v>
          </cell>
          <cell r="Y443">
            <v>735.59999999999991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</row>
        <row r="444">
          <cell r="A444" t="str">
            <v>ytd</v>
          </cell>
          <cell r="B444">
            <v>85.52</v>
          </cell>
          <cell r="C444">
            <v>168.31</v>
          </cell>
          <cell r="D444">
            <v>217.88</v>
          </cell>
          <cell r="E444">
            <v>277.33</v>
          </cell>
          <cell r="F444">
            <v>315.78999999999996</v>
          </cell>
          <cell r="G444">
            <v>325.91999999999996</v>
          </cell>
          <cell r="H444">
            <v>366.43999999999994</v>
          </cell>
          <cell r="I444">
            <v>406.95999999999992</v>
          </cell>
          <cell r="J444">
            <v>457.6099999999999</v>
          </cell>
          <cell r="K444">
            <v>508.25999999999988</v>
          </cell>
          <cell r="L444">
            <v>569.03999999999985</v>
          </cell>
          <cell r="M444">
            <v>609.55999999999983</v>
          </cell>
          <cell r="N444">
            <v>662.79999999999984</v>
          </cell>
          <cell r="O444">
            <v>705.36999999999989</v>
          </cell>
          <cell r="P444">
            <v>737.95999999999992</v>
          </cell>
          <cell r="Q444">
            <v>802.68</v>
          </cell>
          <cell r="R444">
            <v>845.68</v>
          </cell>
          <cell r="S444">
            <v>969.17</v>
          </cell>
          <cell r="T444">
            <v>1037.83</v>
          </cell>
          <cell r="U444">
            <v>1118.6899999999998</v>
          </cell>
          <cell r="V444">
            <v>1177.3799999999999</v>
          </cell>
          <cell r="W444">
            <v>1225.33</v>
          </cell>
          <cell r="X444">
            <v>1285.48</v>
          </cell>
          <cell r="Y444">
            <v>1345.16</v>
          </cell>
          <cell r="Z444">
            <v>1345.16</v>
          </cell>
          <cell r="AA444">
            <v>1345.16</v>
          </cell>
          <cell r="AB444">
            <v>1345.16</v>
          </cell>
          <cell r="AC444">
            <v>1345.16</v>
          </cell>
          <cell r="AD444">
            <v>1345.16</v>
          </cell>
          <cell r="AE444">
            <v>1345.16</v>
          </cell>
          <cell r="AF444">
            <v>1345.16</v>
          </cell>
          <cell r="AG444">
            <v>1345.16</v>
          </cell>
          <cell r="AH444">
            <v>1345.16</v>
          </cell>
          <cell r="AI444">
            <v>1345.16</v>
          </cell>
          <cell r="AJ444">
            <v>1345.16</v>
          </cell>
          <cell r="AK444">
            <v>1345.16</v>
          </cell>
          <cell r="AL444">
            <v>1345.16</v>
          </cell>
          <cell r="AM444">
            <v>1345.16</v>
          </cell>
          <cell r="AN444">
            <v>1345.16</v>
          </cell>
          <cell r="AO444">
            <v>1345.16</v>
          </cell>
          <cell r="AP444">
            <v>1345.16</v>
          </cell>
          <cell r="AQ444">
            <v>1345.16</v>
          </cell>
          <cell r="AR444">
            <v>1345.16</v>
          </cell>
          <cell r="AS444">
            <v>1345.16</v>
          </cell>
          <cell r="AT444">
            <v>1345.16</v>
          </cell>
          <cell r="AU444">
            <v>1345.16</v>
          </cell>
          <cell r="AV444">
            <v>1345.16</v>
          </cell>
          <cell r="AW444">
            <v>1345.16</v>
          </cell>
          <cell r="AX444">
            <v>1345.16</v>
          </cell>
          <cell r="AY444">
            <v>1345.16</v>
          </cell>
          <cell r="AZ444">
            <v>1345.16</v>
          </cell>
          <cell r="BA444">
            <v>1345.16</v>
          </cell>
          <cell r="BB444">
            <v>1345.16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686643.49</v>
          </cell>
          <cell r="C453">
            <v>597006.95000000007</v>
          </cell>
          <cell r="D453">
            <v>588244.29</v>
          </cell>
          <cell r="E453">
            <v>536800.12</v>
          </cell>
          <cell r="F453">
            <v>598802.76</v>
          </cell>
          <cell r="G453">
            <v>743418.98</v>
          </cell>
          <cell r="H453">
            <v>648714.19999999995</v>
          </cell>
          <cell r="I453">
            <v>745701.04999999993</v>
          </cell>
          <cell r="J453">
            <v>685001.07000000007</v>
          </cell>
          <cell r="K453">
            <v>717702.54999999993</v>
          </cell>
          <cell r="L453">
            <v>807412.69000000006</v>
          </cell>
          <cell r="M453">
            <v>731122.52</v>
          </cell>
          <cell r="N453">
            <v>760100.42999999993</v>
          </cell>
          <cell r="O453">
            <v>786331.49000000011</v>
          </cell>
          <cell r="P453">
            <v>682745.73</v>
          </cell>
          <cell r="Q453">
            <v>684627.16000000015</v>
          </cell>
          <cell r="R453">
            <v>815409.10000000009</v>
          </cell>
          <cell r="S453">
            <v>1129577.29</v>
          </cell>
          <cell r="T453">
            <v>841207.03999999992</v>
          </cell>
          <cell r="U453">
            <v>856441.42999999993</v>
          </cell>
          <cell r="V453">
            <v>917616.47</v>
          </cell>
          <cell r="W453">
            <v>1112981.43</v>
          </cell>
          <cell r="X453">
            <v>1002144.78</v>
          </cell>
          <cell r="Y453">
            <v>1120270.8500000001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</row>
        <row r="454">
          <cell r="A454" t="str">
            <v>ptd</v>
          </cell>
          <cell r="B454">
            <v>686643.49</v>
          </cell>
          <cell r="C454">
            <v>1283650.44</v>
          </cell>
          <cell r="D454">
            <v>1871894.73</v>
          </cell>
          <cell r="E454">
            <v>2408694.85</v>
          </cell>
          <cell r="F454">
            <v>598802.76</v>
          </cell>
          <cell r="G454">
            <v>1342221.7399999998</v>
          </cell>
          <cell r="H454">
            <v>1990935.94</v>
          </cell>
          <cell r="I454">
            <v>2736636.9899999998</v>
          </cell>
          <cell r="J454">
            <v>685001.07000000007</v>
          </cell>
          <cell r="K454">
            <v>1402703.6199999999</v>
          </cell>
          <cell r="L454">
            <v>2210116.31</v>
          </cell>
          <cell r="M454">
            <v>2941238.83</v>
          </cell>
          <cell r="N454">
            <v>760100.43</v>
          </cell>
          <cell r="O454">
            <v>1546431.92</v>
          </cell>
          <cell r="P454">
            <v>2229177.6500000004</v>
          </cell>
          <cell r="Q454">
            <v>2913804.81</v>
          </cell>
          <cell r="R454">
            <v>815409.1</v>
          </cell>
          <cell r="S454">
            <v>1944986.3900000001</v>
          </cell>
          <cell r="T454">
            <v>2786193.43</v>
          </cell>
          <cell r="U454">
            <v>3642634.8600000003</v>
          </cell>
          <cell r="V454">
            <v>917616.47</v>
          </cell>
          <cell r="W454">
            <v>2030597.9</v>
          </cell>
          <cell r="X454">
            <v>3032742.68</v>
          </cell>
          <cell r="Y454">
            <v>4153013.5300000003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</row>
        <row r="455">
          <cell r="A455" t="str">
            <v>qtd</v>
          </cell>
          <cell r="B455">
            <v>686643.49</v>
          </cell>
          <cell r="C455">
            <v>1283650.44</v>
          </cell>
          <cell r="D455">
            <v>1871894.73</v>
          </cell>
          <cell r="E455">
            <v>2408694.85</v>
          </cell>
          <cell r="F455">
            <v>3007497.6100000003</v>
          </cell>
          <cell r="G455">
            <v>3750916.59</v>
          </cell>
          <cell r="H455">
            <v>4399630.79</v>
          </cell>
          <cell r="I455">
            <v>5145331.84</v>
          </cell>
          <cell r="J455">
            <v>5830332.9100000001</v>
          </cell>
          <cell r="K455">
            <v>6548035.459999999</v>
          </cell>
          <cell r="L455">
            <v>7355448.1499999994</v>
          </cell>
          <cell r="M455">
            <v>8086570.6699999999</v>
          </cell>
          <cell r="N455">
            <v>760100.43</v>
          </cell>
          <cell r="O455">
            <v>1546431.92</v>
          </cell>
          <cell r="P455">
            <v>2229177.6500000004</v>
          </cell>
          <cell r="Q455">
            <v>2913804.81</v>
          </cell>
          <cell r="R455">
            <v>3729213.91</v>
          </cell>
          <cell r="S455">
            <v>4858791.2</v>
          </cell>
          <cell r="T455">
            <v>5699998.2400000002</v>
          </cell>
          <cell r="U455">
            <v>6556439.6699999999</v>
          </cell>
          <cell r="V455">
            <v>7474056.1400000006</v>
          </cell>
          <cell r="W455">
            <v>8587037.5700000003</v>
          </cell>
          <cell r="X455">
            <v>9589182.3499999996</v>
          </cell>
          <cell r="Y455">
            <v>10709453.199999999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</row>
        <row r="456">
          <cell r="A456" t="str">
            <v>ytd</v>
          </cell>
          <cell r="B456">
            <v>686643.49</v>
          </cell>
          <cell r="C456">
            <v>1283650.44</v>
          </cell>
          <cell r="D456">
            <v>1871894.73</v>
          </cell>
          <cell r="E456">
            <v>2408694.85</v>
          </cell>
          <cell r="F456">
            <v>3007497.6100000003</v>
          </cell>
          <cell r="G456">
            <v>3750916.59</v>
          </cell>
          <cell r="H456">
            <v>4399630.79</v>
          </cell>
          <cell r="I456">
            <v>5145331.84</v>
          </cell>
          <cell r="J456">
            <v>5830332.9100000001</v>
          </cell>
          <cell r="K456">
            <v>6548035.459999999</v>
          </cell>
          <cell r="L456">
            <v>7355448.1499999994</v>
          </cell>
          <cell r="M456">
            <v>8086570.6699999999</v>
          </cell>
          <cell r="N456">
            <v>8846671.0999999996</v>
          </cell>
          <cell r="O456">
            <v>9633002.5899999999</v>
          </cell>
          <cell r="P456">
            <v>10315748.319999998</v>
          </cell>
          <cell r="Q456">
            <v>11000375.479999999</v>
          </cell>
          <cell r="R456">
            <v>11815784.579999998</v>
          </cell>
          <cell r="S456">
            <v>12945361.869999999</v>
          </cell>
          <cell r="T456">
            <v>13786568.91</v>
          </cell>
          <cell r="U456">
            <v>14643010.34</v>
          </cell>
          <cell r="V456">
            <v>15560626.809999999</v>
          </cell>
          <cell r="W456">
            <v>16673608.24</v>
          </cell>
          <cell r="X456">
            <v>17675753.02</v>
          </cell>
          <cell r="Y456">
            <v>18796023.869999997</v>
          </cell>
          <cell r="Z456">
            <v>18796023.869999997</v>
          </cell>
          <cell r="AA456">
            <v>18796023.869999997</v>
          </cell>
          <cell r="AB456">
            <v>18796023.869999997</v>
          </cell>
          <cell r="AC456">
            <v>18796023.869999997</v>
          </cell>
          <cell r="AD456">
            <v>18796023.869999997</v>
          </cell>
          <cell r="AE456">
            <v>18796023.869999997</v>
          </cell>
          <cell r="AF456">
            <v>18796023.869999997</v>
          </cell>
          <cell r="AG456">
            <v>18796023.869999997</v>
          </cell>
          <cell r="AH456">
            <v>18796023.869999997</v>
          </cell>
          <cell r="AI456">
            <v>18796023.869999997</v>
          </cell>
          <cell r="AJ456">
            <v>18796023.869999997</v>
          </cell>
          <cell r="AK456">
            <v>18796023.869999997</v>
          </cell>
          <cell r="AL456">
            <v>18796023.869999997</v>
          </cell>
          <cell r="AM456">
            <v>18796023.869999997</v>
          </cell>
          <cell r="AN456">
            <v>18796023.869999997</v>
          </cell>
          <cell r="AO456">
            <v>18796023.869999997</v>
          </cell>
          <cell r="AP456">
            <v>18796023.869999997</v>
          </cell>
          <cell r="AQ456">
            <v>18796023.869999997</v>
          </cell>
          <cell r="AR456">
            <v>18796023.869999997</v>
          </cell>
          <cell r="AS456">
            <v>18796023.869999997</v>
          </cell>
          <cell r="AT456">
            <v>18796023.869999997</v>
          </cell>
          <cell r="AU456">
            <v>18796023.869999997</v>
          </cell>
          <cell r="AV456">
            <v>18796023.869999997</v>
          </cell>
          <cell r="AW456">
            <v>18796023.869999997</v>
          </cell>
          <cell r="AX456">
            <v>18796023.869999997</v>
          </cell>
          <cell r="AY456">
            <v>18796023.869999997</v>
          </cell>
          <cell r="AZ456">
            <v>18796023.869999997</v>
          </cell>
          <cell r="BA456">
            <v>18796023.869999997</v>
          </cell>
          <cell r="BB456">
            <v>18796023.869999997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572060.29</v>
          </cell>
          <cell r="C460">
            <v>531450.4</v>
          </cell>
          <cell r="D460">
            <v>553098.43999999994</v>
          </cell>
          <cell r="E460">
            <v>553934.97</v>
          </cell>
          <cell r="F460">
            <v>621632.48</v>
          </cell>
          <cell r="G460">
            <v>1065633.8899999999</v>
          </cell>
          <cell r="H460">
            <v>633958.58000000007</v>
          </cell>
          <cell r="I460">
            <v>704999.31</v>
          </cell>
          <cell r="J460">
            <v>694504.19</v>
          </cell>
          <cell r="K460">
            <v>639090.68999999994</v>
          </cell>
          <cell r="L460">
            <v>639554.27</v>
          </cell>
          <cell r="M460">
            <v>638804.90999999992</v>
          </cell>
          <cell r="N460">
            <v>708792.64</v>
          </cell>
          <cell r="O460">
            <v>1184550.1499999999</v>
          </cell>
          <cell r="P460">
            <v>683500.34</v>
          </cell>
          <cell r="Q460">
            <v>794736.31</v>
          </cell>
          <cell r="R460">
            <v>734676.56</v>
          </cell>
          <cell r="S460">
            <v>1402529.24</v>
          </cell>
          <cell r="T460">
            <v>1084807.5900000001</v>
          </cell>
          <cell r="U460">
            <v>910607.73</v>
          </cell>
          <cell r="V460">
            <v>950858.48</v>
          </cell>
          <cell r="W460">
            <v>1106071.6800000002</v>
          </cell>
          <cell r="X460">
            <v>1183735.77</v>
          </cell>
          <cell r="Y460">
            <v>1739237.1800000002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</row>
        <row r="461">
          <cell r="A461" t="str">
            <v>ptd</v>
          </cell>
          <cell r="B461">
            <v>572060.29</v>
          </cell>
          <cell r="C461">
            <v>1103510.69</v>
          </cell>
          <cell r="D461">
            <v>1656609.13</v>
          </cell>
          <cell r="E461">
            <v>2210544.0999999996</v>
          </cell>
          <cell r="F461">
            <v>621632.48</v>
          </cell>
          <cell r="G461">
            <v>1687266.3699999999</v>
          </cell>
          <cell r="H461">
            <v>2321224.9500000002</v>
          </cell>
          <cell r="I461">
            <v>3026224.2600000002</v>
          </cell>
          <cell r="J461">
            <v>694504.19</v>
          </cell>
          <cell r="K461">
            <v>1333594.8799999999</v>
          </cell>
          <cell r="L461">
            <v>1973149.15</v>
          </cell>
          <cell r="M461">
            <v>2611954.0599999996</v>
          </cell>
          <cell r="N461">
            <v>708792.64</v>
          </cell>
          <cell r="O461">
            <v>1893342.79</v>
          </cell>
          <cell r="P461">
            <v>2576843.13</v>
          </cell>
          <cell r="Q461">
            <v>3371579.44</v>
          </cell>
          <cell r="R461">
            <v>734676.56</v>
          </cell>
          <cell r="S461">
            <v>2137205.7999999998</v>
          </cell>
          <cell r="T461">
            <v>3222013.3899999997</v>
          </cell>
          <cell r="U461">
            <v>4132621.1199999996</v>
          </cell>
          <cell r="V461">
            <v>950858.48</v>
          </cell>
          <cell r="W461">
            <v>2056930.1600000001</v>
          </cell>
          <cell r="X461">
            <v>3240665.93</v>
          </cell>
          <cell r="Y461">
            <v>4979903.1100000003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</row>
        <row r="462">
          <cell r="A462" t="str">
            <v>qtd</v>
          </cell>
          <cell r="B462">
            <v>572060.29</v>
          </cell>
          <cell r="C462">
            <v>1103510.69</v>
          </cell>
          <cell r="D462">
            <v>1656609.13</v>
          </cell>
          <cell r="E462">
            <v>2210544.0999999996</v>
          </cell>
          <cell r="F462">
            <v>2832176.5799999996</v>
          </cell>
          <cell r="G462">
            <v>3897810.4699999997</v>
          </cell>
          <cell r="H462">
            <v>4531769.05</v>
          </cell>
          <cell r="I462">
            <v>5236768.3599999994</v>
          </cell>
          <cell r="J462">
            <v>5931272.5499999989</v>
          </cell>
          <cell r="K462">
            <v>6570363.2399999984</v>
          </cell>
          <cell r="L462">
            <v>7209917.5099999979</v>
          </cell>
          <cell r="M462">
            <v>7848722.4199999981</v>
          </cell>
          <cell r="N462">
            <v>708792.64</v>
          </cell>
          <cell r="O462">
            <v>1893342.79</v>
          </cell>
          <cell r="P462">
            <v>2576843.13</v>
          </cell>
          <cell r="Q462">
            <v>3371579.44</v>
          </cell>
          <cell r="R462">
            <v>4106256</v>
          </cell>
          <cell r="S462">
            <v>5508785.2400000002</v>
          </cell>
          <cell r="T462">
            <v>6593592.8300000001</v>
          </cell>
          <cell r="U462">
            <v>7504200.5600000005</v>
          </cell>
          <cell r="V462">
            <v>8455059.040000001</v>
          </cell>
          <cell r="W462">
            <v>9561130.7200000007</v>
          </cell>
          <cell r="X462">
            <v>10744866.49</v>
          </cell>
          <cell r="Y462">
            <v>12484103.67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</row>
        <row r="463">
          <cell r="A463" t="str">
            <v>ytd</v>
          </cell>
          <cell r="B463">
            <v>572060.29</v>
          </cell>
          <cell r="C463">
            <v>1103510.69</v>
          </cell>
          <cell r="D463">
            <v>1656609.13</v>
          </cell>
          <cell r="E463">
            <v>2210544.0999999996</v>
          </cell>
          <cell r="F463">
            <v>2832176.5799999996</v>
          </cell>
          <cell r="G463">
            <v>3897810.4699999997</v>
          </cell>
          <cell r="H463">
            <v>4531769.05</v>
          </cell>
          <cell r="I463">
            <v>5236768.3599999994</v>
          </cell>
          <cell r="J463">
            <v>5931272.5499999989</v>
          </cell>
          <cell r="K463">
            <v>6570363.2399999984</v>
          </cell>
          <cell r="L463">
            <v>7209917.5099999979</v>
          </cell>
          <cell r="M463">
            <v>7848722.4199999981</v>
          </cell>
          <cell r="N463">
            <v>8557515.0599999987</v>
          </cell>
          <cell r="O463">
            <v>9742065.209999999</v>
          </cell>
          <cell r="P463">
            <v>10425565.549999999</v>
          </cell>
          <cell r="Q463">
            <v>11220301.859999999</v>
          </cell>
          <cell r="R463">
            <v>11954978.42</v>
          </cell>
          <cell r="S463">
            <v>13357507.66</v>
          </cell>
          <cell r="T463">
            <v>14442315.25</v>
          </cell>
          <cell r="U463">
            <v>15352922.98</v>
          </cell>
          <cell r="V463">
            <v>16303781.460000001</v>
          </cell>
          <cell r="W463">
            <v>17409853.140000001</v>
          </cell>
          <cell r="X463">
            <v>18593588.91</v>
          </cell>
          <cell r="Y463">
            <v>20332826.09</v>
          </cell>
          <cell r="Z463">
            <v>20332826.09</v>
          </cell>
          <cell r="AA463">
            <v>20332826.09</v>
          </cell>
          <cell r="AB463">
            <v>20332826.09</v>
          </cell>
          <cell r="AC463">
            <v>20332826.09</v>
          </cell>
          <cell r="AD463">
            <v>20332826.09</v>
          </cell>
          <cell r="AE463">
            <v>20332826.09</v>
          </cell>
          <cell r="AF463">
            <v>20332826.09</v>
          </cell>
          <cell r="AG463">
            <v>20332826.09</v>
          </cell>
          <cell r="AH463">
            <v>20332826.09</v>
          </cell>
          <cell r="AI463">
            <v>20332826.09</v>
          </cell>
          <cell r="AJ463">
            <v>20332826.09</v>
          </cell>
          <cell r="AK463">
            <v>20332826.09</v>
          </cell>
          <cell r="AL463">
            <v>20332826.09</v>
          </cell>
          <cell r="AM463">
            <v>20332826.09</v>
          </cell>
          <cell r="AN463">
            <v>20332826.09</v>
          </cell>
          <cell r="AO463">
            <v>20332826.09</v>
          </cell>
          <cell r="AP463">
            <v>20332826.09</v>
          </cell>
          <cell r="AQ463">
            <v>20332826.09</v>
          </cell>
          <cell r="AR463">
            <v>20332826.09</v>
          </cell>
          <cell r="AS463">
            <v>20332826.09</v>
          </cell>
          <cell r="AT463">
            <v>20332826.09</v>
          </cell>
          <cell r="AU463">
            <v>20332826.09</v>
          </cell>
          <cell r="AV463">
            <v>20332826.09</v>
          </cell>
          <cell r="AW463">
            <v>20332826.09</v>
          </cell>
          <cell r="AX463">
            <v>20332826.09</v>
          </cell>
          <cell r="AY463">
            <v>20332826.09</v>
          </cell>
          <cell r="AZ463">
            <v>20332826.09</v>
          </cell>
          <cell r="BA463">
            <v>20332826.09</v>
          </cell>
          <cell r="BB463">
            <v>20332826.09</v>
          </cell>
        </row>
        <row r="464">
          <cell r="A464" t="str">
            <v>PART</v>
          </cell>
          <cell r="B464">
            <v>26740807.210000001</v>
          </cell>
          <cell r="C464">
            <v>25248980.580000002</v>
          </cell>
          <cell r="D464">
            <v>24797546.490000002</v>
          </cell>
          <cell r="E464">
            <v>25085852.509999998</v>
          </cell>
          <cell r="F464">
            <v>26995658.25</v>
          </cell>
          <cell r="G464">
            <v>40471648.910000004</v>
          </cell>
          <cell r="H464">
            <v>27744934.59</v>
          </cell>
          <cell r="I464">
            <v>29679615.739999998</v>
          </cell>
          <cell r="J464">
            <v>30580112.949999999</v>
          </cell>
          <cell r="K464">
            <v>28241943.490000002</v>
          </cell>
          <cell r="L464">
            <v>28536508.519999996</v>
          </cell>
          <cell r="M464">
            <v>28860631.109999999</v>
          </cell>
          <cell r="N464">
            <v>32138972.470000003</v>
          </cell>
          <cell r="O464">
            <v>46741490.949999996</v>
          </cell>
          <cell r="P464">
            <v>30339903.540000003</v>
          </cell>
          <cell r="Q464">
            <v>35217155.939999998</v>
          </cell>
          <cell r="R464">
            <v>35006372.839999996</v>
          </cell>
          <cell r="S464">
            <v>58587442.149999999</v>
          </cell>
          <cell r="T464">
            <v>43681811.730000004</v>
          </cell>
          <cell r="U464">
            <v>37931576.57</v>
          </cell>
          <cell r="V464">
            <v>38454852.759999998</v>
          </cell>
          <cell r="W464">
            <v>43596389.329999998</v>
          </cell>
          <cell r="X464">
            <v>44092787.130000003</v>
          </cell>
          <cell r="Y464">
            <v>65511666.569999993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</row>
        <row r="465">
          <cell r="A465" t="str">
            <v>ptd</v>
          </cell>
          <cell r="B465">
            <v>26740807.210000001</v>
          </cell>
          <cell r="C465">
            <v>51989787.790000007</v>
          </cell>
          <cell r="D465">
            <v>76787334.280000001</v>
          </cell>
          <cell r="E465">
            <v>101873186.78999999</v>
          </cell>
          <cell r="F465">
            <v>26995658.25</v>
          </cell>
          <cell r="G465">
            <v>67467307.159999996</v>
          </cell>
          <cell r="H465">
            <v>95212241.75</v>
          </cell>
          <cell r="I465">
            <v>124891857.48999999</v>
          </cell>
          <cell r="J465">
            <v>30580112.949999999</v>
          </cell>
          <cell r="K465">
            <v>58822056.439999998</v>
          </cell>
          <cell r="L465">
            <v>87358564.959999993</v>
          </cell>
          <cell r="M465">
            <v>116219196.06999999</v>
          </cell>
          <cell r="N465">
            <v>32138972.470000003</v>
          </cell>
          <cell r="O465">
            <v>78880463.420000002</v>
          </cell>
          <cell r="P465">
            <v>109220366.96000001</v>
          </cell>
          <cell r="Q465">
            <v>144437522.90000001</v>
          </cell>
          <cell r="R465">
            <v>35006372.839999996</v>
          </cell>
          <cell r="S465">
            <v>93593814.989999995</v>
          </cell>
          <cell r="T465">
            <v>137275626.72</v>
          </cell>
          <cell r="U465">
            <v>175207203.28999999</v>
          </cell>
          <cell r="V465">
            <v>38454852.759999998</v>
          </cell>
          <cell r="W465">
            <v>82051242.090000004</v>
          </cell>
          <cell r="X465">
            <v>126144029.22</v>
          </cell>
          <cell r="Y465">
            <v>191655695.78999999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</row>
        <row r="466">
          <cell r="A466" t="str">
            <v>qtd</v>
          </cell>
          <cell r="B466">
            <v>26740807.210000001</v>
          </cell>
          <cell r="C466">
            <v>51989787.790000007</v>
          </cell>
          <cell r="D466">
            <v>76787334.280000001</v>
          </cell>
          <cell r="E466">
            <v>101873186.78999999</v>
          </cell>
          <cell r="F466">
            <v>128868845.03999999</v>
          </cell>
          <cell r="G466">
            <v>169340493.94999999</v>
          </cell>
          <cell r="H466">
            <v>197085428.53999999</v>
          </cell>
          <cell r="I466">
            <v>226765044.28</v>
          </cell>
          <cell r="J466">
            <v>257345157.22999999</v>
          </cell>
          <cell r="K466">
            <v>285587100.71999997</v>
          </cell>
          <cell r="L466">
            <v>314123609.23999995</v>
          </cell>
          <cell r="M466">
            <v>342984240.34999996</v>
          </cell>
          <cell r="N466">
            <v>32138972.470000003</v>
          </cell>
          <cell r="O466">
            <v>78880463.420000002</v>
          </cell>
          <cell r="P466">
            <v>109220366.96000001</v>
          </cell>
          <cell r="Q466">
            <v>144437522.90000001</v>
          </cell>
          <cell r="R466">
            <v>179443895.74000001</v>
          </cell>
          <cell r="S466">
            <v>238031337.89000002</v>
          </cell>
          <cell r="T466">
            <v>281713149.62</v>
          </cell>
          <cell r="U466">
            <v>319644726.19</v>
          </cell>
          <cell r="V466">
            <v>358099578.94999999</v>
          </cell>
          <cell r="W466">
            <v>401695968.27999997</v>
          </cell>
          <cell r="X466">
            <v>445788755.40999997</v>
          </cell>
          <cell r="Y466">
            <v>511300421.97999996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</row>
        <row r="467">
          <cell r="A467" t="str">
            <v>ytd</v>
          </cell>
          <cell r="B467">
            <v>26740807.210000001</v>
          </cell>
          <cell r="C467">
            <v>51989787.790000007</v>
          </cell>
          <cell r="D467">
            <v>76787334.280000001</v>
          </cell>
          <cell r="E467">
            <v>101873186.78999999</v>
          </cell>
          <cell r="F467">
            <v>128868845.03999999</v>
          </cell>
          <cell r="G467">
            <v>169340493.94999999</v>
          </cell>
          <cell r="H467">
            <v>197085428.53999999</v>
          </cell>
          <cell r="I467">
            <v>226765044.28</v>
          </cell>
          <cell r="J467">
            <v>257345157.22999999</v>
          </cell>
          <cell r="K467">
            <v>285587100.71999997</v>
          </cell>
          <cell r="L467">
            <v>314123609.23999995</v>
          </cell>
          <cell r="M467">
            <v>342984240.34999996</v>
          </cell>
          <cell r="N467">
            <v>375123212.81999999</v>
          </cell>
          <cell r="O467">
            <v>421864703.76999998</v>
          </cell>
          <cell r="P467">
            <v>452204607.31</v>
          </cell>
          <cell r="Q467">
            <v>487421763.25</v>
          </cell>
          <cell r="R467">
            <v>522428136.08999997</v>
          </cell>
          <cell r="S467">
            <v>581015578.24000001</v>
          </cell>
          <cell r="T467">
            <v>624697389.97000003</v>
          </cell>
          <cell r="U467">
            <v>662628966.54000008</v>
          </cell>
          <cell r="V467">
            <v>701083819.30000007</v>
          </cell>
          <cell r="W467">
            <v>744680208.63000011</v>
          </cell>
          <cell r="X467">
            <v>788772995.76000011</v>
          </cell>
          <cell r="Y467">
            <v>854284662.33000016</v>
          </cell>
          <cell r="Z467">
            <v>854284662.33000016</v>
          </cell>
          <cell r="AA467">
            <v>854284662.33000016</v>
          </cell>
          <cell r="AB467">
            <v>854284662.33000016</v>
          </cell>
          <cell r="AC467">
            <v>854284662.33000016</v>
          </cell>
          <cell r="AD467">
            <v>854284662.33000016</v>
          </cell>
          <cell r="AE467">
            <v>854284662.33000016</v>
          </cell>
          <cell r="AF467">
            <v>854284662.33000016</v>
          </cell>
          <cell r="AG467">
            <v>854284662.33000016</v>
          </cell>
          <cell r="AH467">
            <v>854284662.33000016</v>
          </cell>
          <cell r="AI467">
            <v>854284662.33000016</v>
          </cell>
          <cell r="AJ467">
            <v>854284662.33000016</v>
          </cell>
          <cell r="AK467">
            <v>854284662.33000016</v>
          </cell>
          <cell r="AL467">
            <v>854284662.33000016</v>
          </cell>
          <cell r="AM467">
            <v>854284662.33000016</v>
          </cell>
          <cell r="AN467">
            <v>854284662.33000016</v>
          </cell>
          <cell r="AO467">
            <v>854284662.33000016</v>
          </cell>
          <cell r="AP467">
            <v>854284662.33000016</v>
          </cell>
          <cell r="AQ467">
            <v>854284662.33000016</v>
          </cell>
          <cell r="AR467">
            <v>854284662.33000016</v>
          </cell>
          <cell r="AS467">
            <v>854284662.33000016</v>
          </cell>
          <cell r="AT467">
            <v>854284662.33000016</v>
          </cell>
          <cell r="AU467">
            <v>854284662.33000016</v>
          </cell>
          <cell r="AV467">
            <v>854284662.33000016</v>
          </cell>
          <cell r="AW467">
            <v>854284662.33000016</v>
          </cell>
          <cell r="AX467">
            <v>854284662.33000016</v>
          </cell>
          <cell r="AY467">
            <v>854284662.33000016</v>
          </cell>
          <cell r="AZ467">
            <v>854284662.33000016</v>
          </cell>
          <cell r="BA467">
            <v>854284662.33000016</v>
          </cell>
          <cell r="BB467">
            <v>854284662.33000016</v>
          </cell>
        </row>
        <row r="468">
          <cell r="A468" t="str">
            <v>PRED</v>
          </cell>
          <cell r="B468">
            <v>2548326.3999999999</v>
          </cell>
          <cell r="C468">
            <v>2503833.7200000002</v>
          </cell>
          <cell r="D468">
            <v>2507841.7000000002</v>
          </cell>
          <cell r="E468">
            <v>2550895.27</v>
          </cell>
          <cell r="F468">
            <v>2694149.33</v>
          </cell>
          <cell r="G468">
            <v>2532734.1</v>
          </cell>
          <cell r="H468">
            <v>2388485.33</v>
          </cell>
          <cell r="I468">
            <v>2620768.1199999996</v>
          </cell>
          <cell r="J468">
            <v>2596608.2400000002</v>
          </cell>
          <cell r="K468">
            <v>2449526.0499999998</v>
          </cell>
          <cell r="L468">
            <v>2557727.9500000002</v>
          </cell>
          <cell r="M468">
            <v>2259278.46</v>
          </cell>
          <cell r="N468">
            <v>2595618.88</v>
          </cell>
          <cell r="O468">
            <v>2363727.4500000002</v>
          </cell>
          <cell r="P468">
            <v>2286193.5699999998</v>
          </cell>
          <cell r="Q468">
            <v>2305695.7799999998</v>
          </cell>
          <cell r="R468">
            <v>2483816.12</v>
          </cell>
          <cell r="S468">
            <v>2374633.2800000003</v>
          </cell>
          <cell r="T468">
            <v>2220700.63</v>
          </cell>
          <cell r="U468">
            <v>2358894.8899999997</v>
          </cell>
          <cell r="V468">
            <v>2110328.39</v>
          </cell>
          <cell r="W468">
            <v>2559031.21</v>
          </cell>
          <cell r="X468">
            <v>2337685.11</v>
          </cell>
          <cell r="Y468">
            <v>2459554.23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</row>
        <row r="469">
          <cell r="A469" t="str">
            <v>ptd</v>
          </cell>
          <cell r="B469">
            <v>2548326.3999999999</v>
          </cell>
          <cell r="C469">
            <v>5052160.12</v>
          </cell>
          <cell r="D469">
            <v>7560001.8200000003</v>
          </cell>
          <cell r="E469">
            <v>10110897.09</v>
          </cell>
          <cell r="F469">
            <v>2694149.33</v>
          </cell>
          <cell r="G469">
            <v>5226883.43</v>
          </cell>
          <cell r="H469">
            <v>7615368.7599999998</v>
          </cell>
          <cell r="I469">
            <v>10236136.879999999</v>
          </cell>
          <cell r="J469">
            <v>2596608.2400000002</v>
          </cell>
          <cell r="K469">
            <v>5046134.29</v>
          </cell>
          <cell r="L469">
            <v>7603862.2400000002</v>
          </cell>
          <cell r="M469">
            <v>9863140.6999999993</v>
          </cell>
          <cell r="N469">
            <v>2595618.88</v>
          </cell>
          <cell r="O469">
            <v>4959346.33</v>
          </cell>
          <cell r="P469">
            <v>7245539.9000000004</v>
          </cell>
          <cell r="Q469">
            <v>9551235.6799999997</v>
          </cell>
          <cell r="R469">
            <v>2483816.12</v>
          </cell>
          <cell r="S469">
            <v>4858449.4000000004</v>
          </cell>
          <cell r="T469">
            <v>7079150.0300000003</v>
          </cell>
          <cell r="U469">
            <v>9438044.9199999999</v>
          </cell>
          <cell r="V469">
            <v>2110328.39</v>
          </cell>
          <cell r="W469">
            <v>4669359.5999999996</v>
          </cell>
          <cell r="X469">
            <v>7007044.709999999</v>
          </cell>
          <cell r="Y469">
            <v>9466598.9399999995</v>
          </cell>
          <cell r="Z469">
            <v>0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</row>
        <row r="470">
          <cell r="A470" t="str">
            <v>qtd</v>
          </cell>
          <cell r="B470">
            <v>2548326.3999999999</v>
          </cell>
          <cell r="C470">
            <v>5052160.12</v>
          </cell>
          <cell r="D470">
            <v>7560001.8200000003</v>
          </cell>
          <cell r="E470">
            <v>10110897.09</v>
          </cell>
          <cell r="F470">
            <v>12805046.42</v>
          </cell>
          <cell r="G470">
            <v>15337780.52</v>
          </cell>
          <cell r="H470">
            <v>17726265.850000001</v>
          </cell>
          <cell r="I470">
            <v>20347033.970000003</v>
          </cell>
          <cell r="J470">
            <v>22943642.210000001</v>
          </cell>
          <cell r="K470">
            <v>25393168.260000002</v>
          </cell>
          <cell r="L470">
            <v>27950896.210000001</v>
          </cell>
          <cell r="M470">
            <v>30210174.670000002</v>
          </cell>
          <cell r="N470">
            <v>2595618.88</v>
          </cell>
          <cell r="O470">
            <v>4959346.33</v>
          </cell>
          <cell r="P470">
            <v>7245539.9000000004</v>
          </cell>
          <cell r="Q470">
            <v>9551235.6799999997</v>
          </cell>
          <cell r="R470">
            <v>12035051.800000001</v>
          </cell>
          <cell r="S470">
            <v>14409685.080000002</v>
          </cell>
          <cell r="T470">
            <v>16630385.710000001</v>
          </cell>
          <cell r="U470">
            <v>18989280.600000001</v>
          </cell>
          <cell r="V470">
            <v>21099608.990000002</v>
          </cell>
          <cell r="W470">
            <v>23658640.200000003</v>
          </cell>
          <cell r="X470">
            <v>25996325.310000002</v>
          </cell>
          <cell r="Y470">
            <v>28455879.540000003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</row>
        <row r="471">
          <cell r="A471" t="str">
            <v>ytd</v>
          </cell>
          <cell r="B471">
            <v>2548326.3999999999</v>
          </cell>
          <cell r="C471">
            <v>5052160.12</v>
          </cell>
          <cell r="D471">
            <v>7560001.8200000003</v>
          </cell>
          <cell r="E471">
            <v>10110897.09</v>
          </cell>
          <cell r="F471">
            <v>12805046.42</v>
          </cell>
          <cell r="G471">
            <v>15337780.52</v>
          </cell>
          <cell r="H471">
            <v>17726265.850000001</v>
          </cell>
          <cell r="I471">
            <v>20347033.970000003</v>
          </cell>
          <cell r="J471">
            <v>22943642.210000001</v>
          </cell>
          <cell r="K471">
            <v>25393168.260000002</v>
          </cell>
          <cell r="L471">
            <v>27950896.210000001</v>
          </cell>
          <cell r="M471">
            <v>30210174.670000002</v>
          </cell>
          <cell r="N471">
            <v>32805793.550000001</v>
          </cell>
          <cell r="O471">
            <v>35169521</v>
          </cell>
          <cell r="P471">
            <v>37455714.57</v>
          </cell>
          <cell r="Q471">
            <v>39761410.350000001</v>
          </cell>
          <cell r="R471">
            <v>42245226.469999999</v>
          </cell>
          <cell r="S471">
            <v>44619859.75</v>
          </cell>
          <cell r="T471">
            <v>46840560.380000003</v>
          </cell>
          <cell r="U471">
            <v>49199455.270000003</v>
          </cell>
          <cell r="V471">
            <v>51309783.660000004</v>
          </cell>
          <cell r="W471">
            <v>53868814.870000005</v>
          </cell>
          <cell r="X471">
            <v>56206499.980000004</v>
          </cell>
          <cell r="Y471">
            <v>58666054.210000001</v>
          </cell>
          <cell r="Z471">
            <v>58666054.210000001</v>
          </cell>
          <cell r="AA471">
            <v>58666054.210000001</v>
          </cell>
          <cell r="AB471">
            <v>58666054.210000001</v>
          </cell>
          <cell r="AC471">
            <v>58666054.210000001</v>
          </cell>
          <cell r="AD471">
            <v>58666054.210000001</v>
          </cell>
          <cell r="AE471">
            <v>58666054.210000001</v>
          </cell>
          <cell r="AF471">
            <v>58666054.210000001</v>
          </cell>
          <cell r="AG471">
            <v>58666054.210000001</v>
          </cell>
          <cell r="AH471">
            <v>58666054.210000001</v>
          </cell>
          <cell r="AI471">
            <v>58666054.210000001</v>
          </cell>
          <cell r="AJ471">
            <v>58666054.210000001</v>
          </cell>
          <cell r="AK471">
            <v>58666054.210000001</v>
          </cell>
          <cell r="AL471">
            <v>58666054.210000001</v>
          </cell>
          <cell r="AM471">
            <v>58666054.210000001</v>
          </cell>
          <cell r="AN471">
            <v>58666054.210000001</v>
          </cell>
          <cell r="AO471">
            <v>58666054.210000001</v>
          </cell>
          <cell r="AP471">
            <v>58666054.210000001</v>
          </cell>
          <cell r="AQ471">
            <v>58666054.210000001</v>
          </cell>
          <cell r="AR471">
            <v>58666054.210000001</v>
          </cell>
          <cell r="AS471">
            <v>58666054.210000001</v>
          </cell>
          <cell r="AT471">
            <v>58666054.210000001</v>
          </cell>
          <cell r="AU471">
            <v>58666054.210000001</v>
          </cell>
          <cell r="AV471">
            <v>58666054.210000001</v>
          </cell>
          <cell r="AW471">
            <v>58666054.210000001</v>
          </cell>
          <cell r="AX471">
            <v>58666054.210000001</v>
          </cell>
          <cell r="AY471">
            <v>58666054.210000001</v>
          </cell>
          <cell r="AZ471">
            <v>58666054.210000001</v>
          </cell>
          <cell r="BA471">
            <v>58666054.210000001</v>
          </cell>
          <cell r="BB471">
            <v>58666054.210000001</v>
          </cell>
        </row>
        <row r="472">
          <cell r="A472" t="str">
            <v>PREG</v>
          </cell>
          <cell r="B472">
            <v>11039873.039999999</v>
          </cell>
          <cell r="C472">
            <v>10333866.810000001</v>
          </cell>
          <cell r="D472">
            <v>9844797.7499999981</v>
          </cell>
          <cell r="E472">
            <v>9903384.9800000004</v>
          </cell>
          <cell r="F472">
            <v>9993094.4600000009</v>
          </cell>
          <cell r="G472">
            <v>11467972.459999999</v>
          </cell>
          <cell r="H472">
            <v>9463379.7200000007</v>
          </cell>
          <cell r="I472">
            <v>10076714.16</v>
          </cell>
          <cell r="J472">
            <v>10212375.629999999</v>
          </cell>
          <cell r="K472">
            <v>9928087.959999999</v>
          </cell>
          <cell r="L472">
            <v>9633535.5899999999</v>
          </cell>
          <cell r="M472">
            <v>9487420.6799999997</v>
          </cell>
          <cell r="N472">
            <v>9940004.7100000009</v>
          </cell>
          <cell r="O472">
            <v>11083751.760000002</v>
          </cell>
          <cell r="P472">
            <v>9272398.0499999989</v>
          </cell>
          <cell r="Q472">
            <v>10799378.58</v>
          </cell>
          <cell r="R472">
            <v>10205436.539999999</v>
          </cell>
          <cell r="S472">
            <v>14603231.060000001</v>
          </cell>
          <cell r="T472">
            <v>12840798.470000001</v>
          </cell>
          <cell r="U472">
            <v>12303630.4</v>
          </cell>
          <cell r="V472">
            <v>12045435.779999999</v>
          </cell>
          <cell r="W472">
            <v>14173147.92</v>
          </cell>
          <cell r="X472">
            <v>14391074.379999999</v>
          </cell>
          <cell r="Y472">
            <v>15960310.220000003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</row>
        <row r="473">
          <cell r="A473" t="str">
            <v>ptd</v>
          </cell>
          <cell r="B473">
            <v>11039873.039999999</v>
          </cell>
          <cell r="C473">
            <v>21373739.850000001</v>
          </cell>
          <cell r="D473">
            <v>31218537.600000001</v>
          </cell>
          <cell r="E473">
            <v>41121922.579999998</v>
          </cell>
          <cell r="F473">
            <v>9993094.4600000009</v>
          </cell>
          <cell r="G473">
            <v>21461066.920000002</v>
          </cell>
          <cell r="H473">
            <v>30924446.640000001</v>
          </cell>
          <cell r="I473">
            <v>41001160.799999997</v>
          </cell>
          <cell r="J473">
            <v>10212375.629999999</v>
          </cell>
          <cell r="K473">
            <v>20140463.589999996</v>
          </cell>
          <cell r="L473">
            <v>29773999.179999996</v>
          </cell>
          <cell r="M473">
            <v>39261419.859999999</v>
          </cell>
          <cell r="N473">
            <v>9940004.7100000009</v>
          </cell>
          <cell r="O473">
            <v>21023756.470000003</v>
          </cell>
          <cell r="P473">
            <v>30296154.520000003</v>
          </cell>
          <cell r="Q473">
            <v>41095533.100000001</v>
          </cell>
          <cell r="R473">
            <v>10205436.539999999</v>
          </cell>
          <cell r="S473">
            <v>24808667.600000001</v>
          </cell>
          <cell r="T473">
            <v>37649466.07</v>
          </cell>
          <cell r="U473">
            <v>49953096.469999999</v>
          </cell>
          <cell r="V473">
            <v>12045435.779999999</v>
          </cell>
          <cell r="W473">
            <v>26218583.699999999</v>
          </cell>
          <cell r="X473">
            <v>40609658.079999998</v>
          </cell>
          <cell r="Y473">
            <v>56569968.299999997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</row>
        <row r="474">
          <cell r="A474" t="str">
            <v>qtd</v>
          </cell>
          <cell r="B474">
            <v>11039873.039999999</v>
          </cell>
          <cell r="C474">
            <v>21373739.850000001</v>
          </cell>
          <cell r="D474">
            <v>31218537.600000001</v>
          </cell>
          <cell r="E474">
            <v>41121922.579999998</v>
          </cell>
          <cell r="F474">
            <v>51115017.039999999</v>
          </cell>
          <cell r="G474">
            <v>62582989.5</v>
          </cell>
          <cell r="H474">
            <v>72046369.219999999</v>
          </cell>
          <cell r="I474">
            <v>82123083.379999995</v>
          </cell>
          <cell r="J474">
            <v>92335459.00999999</v>
          </cell>
          <cell r="K474">
            <v>102263546.96999998</v>
          </cell>
          <cell r="L474">
            <v>111897082.55999999</v>
          </cell>
          <cell r="M474">
            <v>121384503.23999998</v>
          </cell>
          <cell r="N474">
            <v>9940004.7100000009</v>
          </cell>
          <cell r="O474">
            <v>21023756.470000003</v>
          </cell>
          <cell r="P474">
            <v>30296154.520000003</v>
          </cell>
          <cell r="Q474">
            <v>41095533.100000001</v>
          </cell>
          <cell r="R474">
            <v>51300969.640000001</v>
          </cell>
          <cell r="S474">
            <v>65904200.700000003</v>
          </cell>
          <cell r="T474">
            <v>78744999.170000002</v>
          </cell>
          <cell r="U474">
            <v>91048629.570000008</v>
          </cell>
          <cell r="V474">
            <v>103094065.35000001</v>
          </cell>
          <cell r="W474">
            <v>117267213.27000001</v>
          </cell>
          <cell r="X474">
            <v>131658287.65000001</v>
          </cell>
          <cell r="Y474">
            <v>147618597.87</v>
          </cell>
          <cell r="Z474">
            <v>0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</row>
        <row r="475">
          <cell r="A475" t="str">
            <v>ytd</v>
          </cell>
          <cell r="B475">
            <v>11039873.039999999</v>
          </cell>
          <cell r="C475">
            <v>21373739.850000001</v>
          </cell>
          <cell r="D475">
            <v>31218537.600000001</v>
          </cell>
          <cell r="E475">
            <v>41121922.579999998</v>
          </cell>
          <cell r="F475">
            <v>51115017.039999999</v>
          </cell>
          <cell r="G475">
            <v>62582989.5</v>
          </cell>
          <cell r="H475">
            <v>72046369.219999999</v>
          </cell>
          <cell r="I475">
            <v>82123083.379999995</v>
          </cell>
          <cell r="J475">
            <v>92335459.00999999</v>
          </cell>
          <cell r="K475">
            <v>102263546.96999998</v>
          </cell>
          <cell r="L475">
            <v>111897082.55999999</v>
          </cell>
          <cell r="M475">
            <v>121384503.23999998</v>
          </cell>
          <cell r="N475">
            <v>131324507.94999999</v>
          </cell>
          <cell r="O475">
            <v>142408259.70999998</v>
          </cell>
          <cell r="P475">
            <v>151680657.75999999</v>
          </cell>
          <cell r="Q475">
            <v>162480036.34</v>
          </cell>
          <cell r="R475">
            <v>172685472.88</v>
          </cell>
          <cell r="S475">
            <v>187288703.94</v>
          </cell>
          <cell r="T475">
            <v>200129502.41</v>
          </cell>
          <cell r="U475">
            <v>212433132.81</v>
          </cell>
          <cell r="V475">
            <v>224478568.59</v>
          </cell>
          <cell r="W475">
            <v>238651716.50999999</v>
          </cell>
          <cell r="X475">
            <v>253042790.88999999</v>
          </cell>
          <cell r="Y475">
            <v>269003101.11000001</v>
          </cell>
          <cell r="Z475">
            <v>269003101.11000001</v>
          </cell>
          <cell r="AA475">
            <v>269003101.11000001</v>
          </cell>
          <cell r="AB475">
            <v>269003101.11000001</v>
          </cell>
          <cell r="AC475">
            <v>269003101.11000001</v>
          </cell>
          <cell r="AD475">
            <v>269003101.11000001</v>
          </cell>
          <cell r="AE475">
            <v>269003101.11000001</v>
          </cell>
          <cell r="AF475">
            <v>269003101.11000001</v>
          </cell>
          <cell r="AG475">
            <v>269003101.11000001</v>
          </cell>
          <cell r="AH475">
            <v>269003101.11000001</v>
          </cell>
          <cell r="AI475">
            <v>269003101.11000001</v>
          </cell>
          <cell r="AJ475">
            <v>269003101.11000001</v>
          </cell>
          <cell r="AK475">
            <v>269003101.11000001</v>
          </cell>
          <cell r="AL475">
            <v>269003101.11000001</v>
          </cell>
          <cell r="AM475">
            <v>269003101.11000001</v>
          </cell>
          <cell r="AN475">
            <v>269003101.11000001</v>
          </cell>
          <cell r="AO475">
            <v>269003101.11000001</v>
          </cell>
          <cell r="AP475">
            <v>269003101.11000001</v>
          </cell>
          <cell r="AQ475">
            <v>269003101.11000001</v>
          </cell>
          <cell r="AR475">
            <v>269003101.11000001</v>
          </cell>
          <cell r="AS475">
            <v>269003101.11000001</v>
          </cell>
          <cell r="AT475">
            <v>269003101.11000001</v>
          </cell>
          <cell r="AU475">
            <v>269003101.11000001</v>
          </cell>
          <cell r="AV475">
            <v>269003101.11000001</v>
          </cell>
          <cell r="AW475">
            <v>269003101.11000001</v>
          </cell>
          <cell r="AX475">
            <v>269003101.11000001</v>
          </cell>
          <cell r="AY475">
            <v>269003101.11000001</v>
          </cell>
          <cell r="AZ475">
            <v>269003101.11000001</v>
          </cell>
          <cell r="BA475">
            <v>269003101.11000001</v>
          </cell>
          <cell r="BB475">
            <v>269003101.11000001</v>
          </cell>
        </row>
        <row r="476">
          <cell r="A476" t="str">
            <v>SPRT</v>
          </cell>
          <cell r="B476">
            <v>219979.84999999998</v>
          </cell>
          <cell r="C476">
            <v>210188.65</v>
          </cell>
          <cell r="D476">
            <v>185399.87000000002</v>
          </cell>
          <cell r="E476">
            <v>214559.37999999998</v>
          </cell>
          <cell r="F476">
            <v>205904.44999999998</v>
          </cell>
          <cell r="G476">
            <v>326755.87</v>
          </cell>
          <cell r="H476">
            <v>203602.84999999998</v>
          </cell>
          <cell r="I476">
            <v>226383.06</v>
          </cell>
          <cell r="J476">
            <v>237748.78</v>
          </cell>
          <cell r="K476">
            <v>223163.43</v>
          </cell>
          <cell r="L476">
            <v>220758.74</v>
          </cell>
          <cell r="M476">
            <v>356827.32999999996</v>
          </cell>
          <cell r="N476">
            <v>512155.31</v>
          </cell>
          <cell r="O476">
            <v>431704.33</v>
          </cell>
          <cell r="P476">
            <v>317205.68</v>
          </cell>
          <cell r="Q476">
            <v>475186.19</v>
          </cell>
          <cell r="R476">
            <v>270981.33999999997</v>
          </cell>
          <cell r="S476">
            <v>327166.20999999996</v>
          </cell>
          <cell r="T476">
            <v>342603.31999999995</v>
          </cell>
          <cell r="U476">
            <v>292618.23999999999</v>
          </cell>
          <cell r="V476">
            <v>302806.96000000002</v>
          </cell>
          <cell r="W476">
            <v>339057.54</v>
          </cell>
          <cell r="X476">
            <v>357427.04</v>
          </cell>
          <cell r="Y476">
            <v>646233.86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</row>
        <row r="477">
          <cell r="A477" t="str">
            <v>ptd</v>
          </cell>
          <cell r="B477">
            <v>219979.84999999998</v>
          </cell>
          <cell r="C477">
            <v>430168.5</v>
          </cell>
          <cell r="D477">
            <v>615568.37</v>
          </cell>
          <cell r="E477">
            <v>830127.75</v>
          </cell>
          <cell r="F477">
            <v>205904.44999999998</v>
          </cell>
          <cell r="G477">
            <v>532660.31999999995</v>
          </cell>
          <cell r="H477">
            <v>736263.16999999993</v>
          </cell>
          <cell r="I477">
            <v>962646.23</v>
          </cell>
          <cell r="J477">
            <v>237748.78</v>
          </cell>
          <cell r="K477">
            <v>460912.20999999996</v>
          </cell>
          <cell r="L477">
            <v>681670.95</v>
          </cell>
          <cell r="M477">
            <v>1038498.2799999999</v>
          </cell>
          <cell r="N477">
            <v>512155.31</v>
          </cell>
          <cell r="O477">
            <v>943859.64</v>
          </cell>
          <cell r="P477">
            <v>1261065.32</v>
          </cell>
          <cell r="Q477">
            <v>1736251.51</v>
          </cell>
          <cell r="R477">
            <v>270981.33999999997</v>
          </cell>
          <cell r="S477">
            <v>598147.54999999993</v>
          </cell>
          <cell r="T477">
            <v>940750.86999999988</v>
          </cell>
          <cell r="U477">
            <v>1233369.1099999999</v>
          </cell>
          <cell r="V477">
            <v>302806.96000000002</v>
          </cell>
          <cell r="W477">
            <v>641864.5</v>
          </cell>
          <cell r="X477">
            <v>999291.54</v>
          </cell>
          <cell r="Y477">
            <v>1645525.4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</row>
        <row r="478">
          <cell r="A478" t="str">
            <v>qtd</v>
          </cell>
          <cell r="B478">
            <v>219979.84999999998</v>
          </cell>
          <cell r="C478">
            <v>430168.5</v>
          </cell>
          <cell r="D478">
            <v>615568.37</v>
          </cell>
          <cell r="E478">
            <v>830127.75</v>
          </cell>
          <cell r="F478">
            <v>1036032.2</v>
          </cell>
          <cell r="G478">
            <v>1362788.0699999998</v>
          </cell>
          <cell r="H478">
            <v>1566390.92</v>
          </cell>
          <cell r="I478">
            <v>1792773.98</v>
          </cell>
          <cell r="J478">
            <v>2030522.76</v>
          </cell>
          <cell r="K478">
            <v>2253686.19</v>
          </cell>
          <cell r="L478">
            <v>2474444.9299999997</v>
          </cell>
          <cell r="M478">
            <v>2831272.26</v>
          </cell>
          <cell r="N478">
            <v>512155.31</v>
          </cell>
          <cell r="O478">
            <v>943859.64</v>
          </cell>
          <cell r="P478">
            <v>1261065.32</v>
          </cell>
          <cell r="Q478">
            <v>1736251.51</v>
          </cell>
          <cell r="R478">
            <v>2007232.85</v>
          </cell>
          <cell r="S478">
            <v>2334399.06</v>
          </cell>
          <cell r="T478">
            <v>2677002.38</v>
          </cell>
          <cell r="U478">
            <v>2969620.62</v>
          </cell>
          <cell r="V478">
            <v>3272427.58</v>
          </cell>
          <cell r="W478">
            <v>3611485.12</v>
          </cell>
          <cell r="X478">
            <v>3968912.16</v>
          </cell>
          <cell r="Y478">
            <v>4615146.0200000005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</row>
        <row r="479">
          <cell r="A479" t="str">
            <v>ytd</v>
          </cell>
          <cell r="B479">
            <v>219979.84999999998</v>
          </cell>
          <cell r="C479">
            <v>430168.5</v>
          </cell>
          <cell r="D479">
            <v>615568.37</v>
          </cell>
          <cell r="E479">
            <v>830127.75</v>
          </cell>
          <cell r="F479">
            <v>1036032.2</v>
          </cell>
          <cell r="G479">
            <v>1362788.0699999998</v>
          </cell>
          <cell r="H479">
            <v>1566390.92</v>
          </cell>
          <cell r="I479">
            <v>1792773.98</v>
          </cell>
          <cell r="J479">
            <v>2030522.76</v>
          </cell>
          <cell r="K479">
            <v>2253686.19</v>
          </cell>
          <cell r="L479">
            <v>2474444.9299999997</v>
          </cell>
          <cell r="M479">
            <v>2831272.26</v>
          </cell>
          <cell r="N479">
            <v>3343427.57</v>
          </cell>
          <cell r="O479">
            <v>3775131.9</v>
          </cell>
          <cell r="P479">
            <v>4092337.58</v>
          </cell>
          <cell r="Q479">
            <v>4567523.7700000005</v>
          </cell>
          <cell r="R479">
            <v>4838505.1100000003</v>
          </cell>
          <cell r="S479">
            <v>5165671.32</v>
          </cell>
          <cell r="T479">
            <v>5508274.6400000006</v>
          </cell>
          <cell r="U479">
            <v>5800892.8800000008</v>
          </cell>
          <cell r="V479">
            <v>6103699.8400000008</v>
          </cell>
          <cell r="W479">
            <v>6442757.3800000008</v>
          </cell>
          <cell r="X479">
            <v>6800184.4200000009</v>
          </cell>
          <cell r="Y479">
            <v>7446418.2800000012</v>
          </cell>
          <cell r="Z479">
            <v>7446418.2800000012</v>
          </cell>
          <cell r="AA479">
            <v>7446418.2800000012</v>
          </cell>
          <cell r="AB479">
            <v>7446418.2800000012</v>
          </cell>
          <cell r="AC479">
            <v>7446418.2800000012</v>
          </cell>
          <cell r="AD479">
            <v>7446418.2800000012</v>
          </cell>
          <cell r="AE479">
            <v>7446418.2800000012</v>
          </cell>
          <cell r="AF479">
            <v>7446418.2800000012</v>
          </cell>
          <cell r="AG479">
            <v>7446418.2800000012</v>
          </cell>
          <cell r="AH479">
            <v>7446418.2800000012</v>
          </cell>
          <cell r="AI479">
            <v>7446418.2800000012</v>
          </cell>
          <cell r="AJ479">
            <v>7446418.2800000012</v>
          </cell>
          <cell r="AK479">
            <v>7446418.2800000012</v>
          </cell>
          <cell r="AL479">
            <v>7446418.2800000012</v>
          </cell>
          <cell r="AM479">
            <v>7446418.2800000012</v>
          </cell>
          <cell r="AN479">
            <v>7446418.2800000012</v>
          </cell>
          <cell r="AO479">
            <v>7446418.2800000012</v>
          </cell>
          <cell r="AP479">
            <v>7446418.2800000012</v>
          </cell>
          <cell r="AQ479">
            <v>7446418.2800000012</v>
          </cell>
          <cell r="AR479">
            <v>7446418.2800000012</v>
          </cell>
          <cell r="AS479">
            <v>7446418.2800000012</v>
          </cell>
          <cell r="AT479">
            <v>7446418.2800000012</v>
          </cell>
          <cell r="AU479">
            <v>7446418.2800000012</v>
          </cell>
          <cell r="AV479">
            <v>7446418.2800000012</v>
          </cell>
          <cell r="AW479">
            <v>7446418.2800000012</v>
          </cell>
          <cell r="AX479">
            <v>7446418.2800000012</v>
          </cell>
          <cell r="AY479">
            <v>7446418.2800000012</v>
          </cell>
          <cell r="AZ479">
            <v>7446418.2800000012</v>
          </cell>
          <cell r="BA479">
            <v>7446418.2800000012</v>
          </cell>
          <cell r="BB479">
            <v>7446418.2800000012</v>
          </cell>
        </row>
        <row r="480">
          <cell r="A480" t="str">
            <v>TELE</v>
          </cell>
          <cell r="B480">
            <v>5703122.2599999988</v>
          </cell>
          <cell r="C480">
            <v>5468332.6200000001</v>
          </cell>
          <cell r="D480">
            <v>5561272.7100000009</v>
          </cell>
          <cell r="E480">
            <v>6010920.0100000007</v>
          </cell>
          <cell r="F480">
            <v>6455032.9699999997</v>
          </cell>
          <cell r="G480">
            <v>6052567.2999999998</v>
          </cell>
          <cell r="H480">
            <v>5800736.0999999996</v>
          </cell>
          <cell r="I480">
            <v>6019182.2399999993</v>
          </cell>
          <cell r="J480">
            <v>6238092.3400000008</v>
          </cell>
          <cell r="K480">
            <v>5668073.3200000003</v>
          </cell>
          <cell r="L480">
            <v>5505923.3300000001</v>
          </cell>
          <cell r="M480">
            <v>5391044.3199999994</v>
          </cell>
          <cell r="N480">
            <v>6126854.8100000005</v>
          </cell>
          <cell r="O480">
            <v>5781940.3799999999</v>
          </cell>
          <cell r="P480">
            <v>5472590.8200000003</v>
          </cell>
          <cell r="Q480">
            <v>5529424.6099999994</v>
          </cell>
          <cell r="R480">
            <v>6147344.54</v>
          </cell>
          <cell r="S480">
            <v>6231905.7000000002</v>
          </cell>
          <cell r="T480">
            <v>5992601.8499999996</v>
          </cell>
          <cell r="U480">
            <v>5935134.3099999996</v>
          </cell>
          <cell r="V480">
            <v>5762208.3700000001</v>
          </cell>
          <cell r="W480">
            <v>7445140.6200000001</v>
          </cell>
          <cell r="X480">
            <v>7776566.0200000005</v>
          </cell>
          <cell r="Y480">
            <v>7110411.5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</row>
        <row r="481">
          <cell r="A481" t="str">
            <v>ptd</v>
          </cell>
          <cell r="B481">
            <v>5703122.2599999988</v>
          </cell>
          <cell r="C481">
            <v>11171454.879999999</v>
          </cell>
          <cell r="D481">
            <v>16732727.59</v>
          </cell>
          <cell r="E481">
            <v>22743647.600000001</v>
          </cell>
          <cell r="F481">
            <v>6455032.9699999997</v>
          </cell>
          <cell r="G481">
            <v>12507600.27</v>
          </cell>
          <cell r="H481">
            <v>18308336.369999997</v>
          </cell>
          <cell r="I481">
            <v>24327518.609999996</v>
          </cell>
          <cell r="J481">
            <v>6238092.3400000008</v>
          </cell>
          <cell r="K481">
            <v>11906165.66</v>
          </cell>
          <cell r="L481">
            <v>17412088.990000002</v>
          </cell>
          <cell r="M481">
            <v>22803133.310000002</v>
          </cell>
          <cell r="N481">
            <v>6126854.8100000005</v>
          </cell>
          <cell r="O481">
            <v>11908795.190000001</v>
          </cell>
          <cell r="P481">
            <v>17381386.010000002</v>
          </cell>
          <cell r="Q481">
            <v>22910810.620000001</v>
          </cell>
          <cell r="R481">
            <v>6147344.54</v>
          </cell>
          <cell r="S481">
            <v>12379250.24</v>
          </cell>
          <cell r="T481">
            <v>18371852.09</v>
          </cell>
          <cell r="U481">
            <v>24306986.399999999</v>
          </cell>
          <cell r="V481">
            <v>5762208.3700000001</v>
          </cell>
          <cell r="W481">
            <v>13207348.99</v>
          </cell>
          <cell r="X481">
            <v>20983915.010000002</v>
          </cell>
          <cell r="Y481">
            <v>28094326.510000002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</row>
        <row r="482">
          <cell r="A482" t="str">
            <v>qtd</v>
          </cell>
          <cell r="B482">
            <v>5703122.2599999988</v>
          </cell>
          <cell r="C482">
            <v>11171454.879999999</v>
          </cell>
          <cell r="D482">
            <v>16732727.59</v>
          </cell>
          <cell r="E482">
            <v>22743647.600000001</v>
          </cell>
          <cell r="F482">
            <v>29198680.57</v>
          </cell>
          <cell r="G482">
            <v>35251247.869999997</v>
          </cell>
          <cell r="H482">
            <v>41051983.969999999</v>
          </cell>
          <cell r="I482">
            <v>47071166.210000001</v>
          </cell>
          <cell r="J482">
            <v>53309258.550000004</v>
          </cell>
          <cell r="K482">
            <v>58977331.870000005</v>
          </cell>
          <cell r="L482">
            <v>64483255.200000003</v>
          </cell>
          <cell r="M482">
            <v>69874299.519999996</v>
          </cell>
          <cell r="N482">
            <v>6126854.8100000005</v>
          </cell>
          <cell r="O482">
            <v>11908795.190000001</v>
          </cell>
          <cell r="P482">
            <v>17381386.010000002</v>
          </cell>
          <cell r="Q482">
            <v>22910810.620000001</v>
          </cell>
          <cell r="R482">
            <v>29058155.16</v>
          </cell>
          <cell r="S482">
            <v>35290060.859999999</v>
          </cell>
          <cell r="T482">
            <v>41282662.710000001</v>
          </cell>
          <cell r="U482">
            <v>47217797.020000003</v>
          </cell>
          <cell r="V482">
            <v>52980005.390000001</v>
          </cell>
          <cell r="W482">
            <v>60425146.009999998</v>
          </cell>
          <cell r="X482">
            <v>68201712.030000001</v>
          </cell>
          <cell r="Y482">
            <v>75312123.530000001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</row>
        <row r="483">
          <cell r="A483" t="str">
            <v>ytd</v>
          </cell>
          <cell r="B483">
            <v>5703122.2599999988</v>
          </cell>
          <cell r="C483">
            <v>11171454.879999999</v>
          </cell>
          <cell r="D483">
            <v>16732727.59</v>
          </cell>
          <cell r="E483">
            <v>22743647.600000001</v>
          </cell>
          <cell r="F483">
            <v>29198680.57</v>
          </cell>
          <cell r="G483">
            <v>35251247.869999997</v>
          </cell>
          <cell r="H483">
            <v>41051983.969999999</v>
          </cell>
          <cell r="I483">
            <v>47071166.210000001</v>
          </cell>
          <cell r="J483">
            <v>53309258.550000004</v>
          </cell>
          <cell r="K483">
            <v>58977331.870000005</v>
          </cell>
          <cell r="L483">
            <v>64483255.200000003</v>
          </cell>
          <cell r="M483">
            <v>69874299.519999996</v>
          </cell>
          <cell r="N483">
            <v>76001154.329999998</v>
          </cell>
          <cell r="O483">
            <v>81783094.709999993</v>
          </cell>
          <cell r="P483">
            <v>87255685.530000001</v>
          </cell>
          <cell r="Q483">
            <v>92785110.140000001</v>
          </cell>
          <cell r="R483">
            <v>98932454.680000007</v>
          </cell>
          <cell r="S483">
            <v>105164360.38000001</v>
          </cell>
          <cell r="T483">
            <v>111156962.23</v>
          </cell>
          <cell r="U483">
            <v>117092096.54000001</v>
          </cell>
          <cell r="V483">
            <v>122854304.91000001</v>
          </cell>
          <cell r="W483">
            <v>130299445.53000002</v>
          </cell>
          <cell r="X483">
            <v>138076011.55000001</v>
          </cell>
          <cell r="Y483">
            <v>145186423.05000001</v>
          </cell>
          <cell r="Z483">
            <v>145186423.05000001</v>
          </cell>
          <cell r="AA483">
            <v>145186423.05000001</v>
          </cell>
          <cell r="AB483">
            <v>145186423.05000001</v>
          </cell>
          <cell r="AC483">
            <v>145186423.05000001</v>
          </cell>
          <cell r="AD483">
            <v>145186423.05000001</v>
          </cell>
          <cell r="AE483">
            <v>145186423.05000001</v>
          </cell>
          <cell r="AF483">
            <v>145186423.05000001</v>
          </cell>
          <cell r="AG483">
            <v>145186423.05000001</v>
          </cell>
          <cell r="AH483">
            <v>145186423.05000001</v>
          </cell>
          <cell r="AI483">
            <v>145186423.05000001</v>
          </cell>
          <cell r="AJ483">
            <v>145186423.05000001</v>
          </cell>
          <cell r="AK483">
            <v>145186423.05000001</v>
          </cell>
          <cell r="AL483">
            <v>145186423.05000001</v>
          </cell>
          <cell r="AM483">
            <v>145186423.05000001</v>
          </cell>
          <cell r="AN483">
            <v>145186423.05000001</v>
          </cell>
          <cell r="AO483">
            <v>145186423.05000001</v>
          </cell>
          <cell r="AP483">
            <v>145186423.05000001</v>
          </cell>
          <cell r="AQ483">
            <v>145186423.05000001</v>
          </cell>
          <cell r="AR483">
            <v>145186423.05000001</v>
          </cell>
          <cell r="AS483">
            <v>145186423.05000001</v>
          </cell>
          <cell r="AT483">
            <v>145186423.05000001</v>
          </cell>
          <cell r="AU483">
            <v>145186423.05000001</v>
          </cell>
          <cell r="AV483">
            <v>145186423.05000001</v>
          </cell>
          <cell r="AW483">
            <v>145186423.05000001</v>
          </cell>
          <cell r="AX483">
            <v>145186423.05000001</v>
          </cell>
          <cell r="AY483">
            <v>145186423.05000001</v>
          </cell>
          <cell r="AZ483">
            <v>145186423.05000001</v>
          </cell>
          <cell r="BA483">
            <v>145186423.05000001</v>
          </cell>
          <cell r="BB483">
            <v>145186423.05000001</v>
          </cell>
        </row>
        <row r="484">
          <cell r="A484" t="str">
            <v>TICK</v>
          </cell>
          <cell r="B484">
            <v>203938.84</v>
          </cell>
          <cell r="C484">
            <v>328673.83999999997</v>
          </cell>
          <cell r="D484">
            <v>321103.45</v>
          </cell>
          <cell r="E484">
            <v>396709.19</v>
          </cell>
          <cell r="F484">
            <v>381879.16000000003</v>
          </cell>
          <cell r="G484">
            <v>663207.89999999991</v>
          </cell>
          <cell r="H484">
            <v>694161.63</v>
          </cell>
          <cell r="I484">
            <v>624760.85</v>
          </cell>
          <cell r="J484">
            <v>651641.77</v>
          </cell>
          <cell r="K484">
            <v>729001.26</v>
          </cell>
          <cell r="L484">
            <v>890480.1</v>
          </cell>
          <cell r="M484">
            <v>960925.66</v>
          </cell>
          <cell r="N484">
            <v>972408.69</v>
          </cell>
          <cell r="O484">
            <v>1304447.1299999999</v>
          </cell>
          <cell r="P484">
            <v>1062467.06</v>
          </cell>
          <cell r="Q484">
            <v>968285.41</v>
          </cell>
          <cell r="R484">
            <v>739318.76</v>
          </cell>
          <cell r="S484">
            <v>746612.05</v>
          </cell>
          <cell r="T484">
            <v>869319.75</v>
          </cell>
          <cell r="U484">
            <v>1328162.76</v>
          </cell>
          <cell r="V484">
            <v>1432946.0299999998</v>
          </cell>
          <cell r="W484">
            <v>1468025.54</v>
          </cell>
          <cell r="X484">
            <v>1721296.38</v>
          </cell>
          <cell r="Y484">
            <v>1968713.22</v>
          </cell>
          <cell r="Z484">
            <v>0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</row>
        <row r="485">
          <cell r="A485" t="str">
            <v>ptd</v>
          </cell>
          <cell r="B485">
            <v>203938.84</v>
          </cell>
          <cell r="C485">
            <v>532612.67999999993</v>
          </cell>
          <cell r="D485">
            <v>853716.12999999989</v>
          </cell>
          <cell r="E485">
            <v>1250425.3199999998</v>
          </cell>
          <cell r="F485">
            <v>381879.16000000003</v>
          </cell>
          <cell r="G485">
            <v>1045087.0599999999</v>
          </cell>
          <cell r="H485">
            <v>1739248.69</v>
          </cell>
          <cell r="I485">
            <v>2364009.54</v>
          </cell>
          <cell r="J485">
            <v>651641.77</v>
          </cell>
          <cell r="K485">
            <v>1380643.03</v>
          </cell>
          <cell r="L485">
            <v>2271123.13</v>
          </cell>
          <cell r="M485">
            <v>3232048.79</v>
          </cell>
          <cell r="N485">
            <v>972408.69</v>
          </cell>
          <cell r="O485">
            <v>2276855.8199999998</v>
          </cell>
          <cell r="P485">
            <v>3339322.88</v>
          </cell>
          <cell r="Q485">
            <v>4307608.29</v>
          </cell>
          <cell r="R485">
            <v>739318.76</v>
          </cell>
          <cell r="S485">
            <v>1485930.81</v>
          </cell>
          <cell r="T485">
            <v>2355250.56</v>
          </cell>
          <cell r="U485">
            <v>3683413.3200000003</v>
          </cell>
          <cell r="V485">
            <v>1432946.0299999998</v>
          </cell>
          <cell r="W485">
            <v>2900971.57</v>
          </cell>
          <cell r="X485">
            <v>4622267.9499999993</v>
          </cell>
          <cell r="Y485">
            <v>6590981.169999999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</row>
        <row r="486">
          <cell r="A486" t="str">
            <v>qtd</v>
          </cell>
          <cell r="B486">
            <v>203938.84</v>
          </cell>
          <cell r="C486">
            <v>532612.67999999993</v>
          </cell>
          <cell r="D486">
            <v>853716.12999999989</v>
          </cell>
          <cell r="E486">
            <v>1250425.3199999998</v>
          </cell>
          <cell r="F486">
            <v>1632304.48</v>
          </cell>
          <cell r="G486">
            <v>2295512.38</v>
          </cell>
          <cell r="H486">
            <v>2989674.01</v>
          </cell>
          <cell r="I486">
            <v>3614434.86</v>
          </cell>
          <cell r="J486">
            <v>4266076.63</v>
          </cell>
          <cell r="K486">
            <v>4995077.8899999997</v>
          </cell>
          <cell r="L486">
            <v>5885557.9899999993</v>
          </cell>
          <cell r="M486">
            <v>6846483.6499999994</v>
          </cell>
          <cell r="N486">
            <v>972408.69</v>
          </cell>
          <cell r="O486">
            <v>2276855.8199999998</v>
          </cell>
          <cell r="P486">
            <v>3339322.88</v>
          </cell>
          <cell r="Q486">
            <v>4307608.29</v>
          </cell>
          <cell r="R486">
            <v>5046927.05</v>
          </cell>
          <cell r="S486">
            <v>5793539.0999999996</v>
          </cell>
          <cell r="T486">
            <v>6662858.8499999996</v>
          </cell>
          <cell r="U486">
            <v>7991021.6099999994</v>
          </cell>
          <cell r="V486">
            <v>9423967.6399999987</v>
          </cell>
          <cell r="W486">
            <v>10891993.18</v>
          </cell>
          <cell r="X486">
            <v>12613289.559999999</v>
          </cell>
          <cell r="Y486">
            <v>14582002.779999999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</row>
        <row r="487">
          <cell r="A487" t="str">
            <v>ytd</v>
          </cell>
          <cell r="B487">
            <v>203938.84</v>
          </cell>
          <cell r="C487">
            <v>532612.67999999993</v>
          </cell>
          <cell r="D487">
            <v>853716.12999999989</v>
          </cell>
          <cell r="E487">
            <v>1250425.3199999998</v>
          </cell>
          <cell r="F487">
            <v>1632304.48</v>
          </cell>
          <cell r="G487">
            <v>2295512.38</v>
          </cell>
          <cell r="H487">
            <v>2989674.01</v>
          </cell>
          <cell r="I487">
            <v>3614434.86</v>
          </cell>
          <cell r="J487">
            <v>4266076.63</v>
          </cell>
          <cell r="K487">
            <v>4995077.8899999997</v>
          </cell>
          <cell r="L487">
            <v>5885557.9899999993</v>
          </cell>
          <cell r="M487">
            <v>6846483.6499999994</v>
          </cell>
          <cell r="N487">
            <v>7818892.3399999999</v>
          </cell>
          <cell r="O487">
            <v>9123339.4699999988</v>
          </cell>
          <cell r="P487">
            <v>10185806.529999999</v>
          </cell>
          <cell r="Q487">
            <v>11154091.939999999</v>
          </cell>
          <cell r="R487">
            <v>11893410.699999999</v>
          </cell>
          <cell r="S487">
            <v>12640022.75</v>
          </cell>
          <cell r="T487">
            <v>13509342.5</v>
          </cell>
          <cell r="U487">
            <v>14837505.26</v>
          </cell>
          <cell r="V487">
            <v>16270451.289999999</v>
          </cell>
          <cell r="W487">
            <v>17738476.829999998</v>
          </cell>
          <cell r="X487">
            <v>19459773.209999997</v>
          </cell>
          <cell r="Y487">
            <v>21428486.429999996</v>
          </cell>
          <cell r="Z487">
            <v>21428486.429999996</v>
          </cell>
          <cell r="AA487">
            <v>21428486.429999996</v>
          </cell>
          <cell r="AB487">
            <v>21428486.429999996</v>
          </cell>
          <cell r="AC487">
            <v>21428486.429999996</v>
          </cell>
          <cell r="AD487">
            <v>21428486.429999996</v>
          </cell>
          <cell r="AE487">
            <v>21428486.429999996</v>
          </cell>
          <cell r="AF487">
            <v>21428486.429999996</v>
          </cell>
          <cell r="AG487">
            <v>21428486.429999996</v>
          </cell>
          <cell r="AH487">
            <v>21428486.429999996</v>
          </cell>
          <cell r="AI487">
            <v>21428486.429999996</v>
          </cell>
          <cell r="AJ487">
            <v>21428486.429999996</v>
          </cell>
          <cell r="AK487">
            <v>21428486.429999996</v>
          </cell>
          <cell r="AL487">
            <v>21428486.429999996</v>
          </cell>
          <cell r="AM487">
            <v>21428486.429999996</v>
          </cell>
          <cell r="AN487">
            <v>21428486.429999996</v>
          </cell>
          <cell r="AO487">
            <v>21428486.429999996</v>
          </cell>
          <cell r="AP487">
            <v>21428486.429999996</v>
          </cell>
          <cell r="AQ487">
            <v>21428486.429999996</v>
          </cell>
          <cell r="AR487">
            <v>21428486.429999996</v>
          </cell>
          <cell r="AS487">
            <v>21428486.429999996</v>
          </cell>
          <cell r="AT487">
            <v>21428486.429999996</v>
          </cell>
          <cell r="AU487">
            <v>21428486.429999996</v>
          </cell>
          <cell r="AV487">
            <v>21428486.429999996</v>
          </cell>
          <cell r="AW487">
            <v>21428486.429999996</v>
          </cell>
          <cell r="AX487">
            <v>21428486.429999996</v>
          </cell>
          <cell r="AY487">
            <v>21428486.429999996</v>
          </cell>
          <cell r="AZ487">
            <v>21428486.429999996</v>
          </cell>
          <cell r="BA487">
            <v>21428486.429999996</v>
          </cell>
          <cell r="BB487">
            <v>21428486.429999996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25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30</v>
          </cell>
          <cell r="U488">
            <v>20</v>
          </cell>
          <cell r="V488">
            <v>40</v>
          </cell>
          <cell r="W488">
            <v>765</v>
          </cell>
          <cell r="X488">
            <v>5425</v>
          </cell>
          <cell r="Y488">
            <v>13155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25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30</v>
          </cell>
          <cell r="U489">
            <v>50</v>
          </cell>
          <cell r="V489">
            <v>40</v>
          </cell>
          <cell r="W489">
            <v>805</v>
          </cell>
          <cell r="X489">
            <v>6230</v>
          </cell>
          <cell r="Y489">
            <v>19385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25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30</v>
          </cell>
          <cell r="U490">
            <v>50</v>
          </cell>
          <cell r="V490">
            <v>90</v>
          </cell>
          <cell r="W490">
            <v>855</v>
          </cell>
          <cell r="X490">
            <v>6280</v>
          </cell>
          <cell r="Y490">
            <v>19435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25</v>
          </cell>
          <cell r="N491">
            <v>25</v>
          </cell>
          <cell r="O491">
            <v>25</v>
          </cell>
          <cell r="P491">
            <v>25</v>
          </cell>
          <cell r="Q491">
            <v>25</v>
          </cell>
          <cell r="R491">
            <v>25</v>
          </cell>
          <cell r="S491">
            <v>25</v>
          </cell>
          <cell r="T491">
            <v>55</v>
          </cell>
          <cell r="U491">
            <v>75</v>
          </cell>
          <cell r="V491">
            <v>115</v>
          </cell>
          <cell r="W491">
            <v>880</v>
          </cell>
          <cell r="X491">
            <v>6305</v>
          </cell>
          <cell r="Y491">
            <v>19460</v>
          </cell>
          <cell r="Z491">
            <v>19460</v>
          </cell>
          <cell r="AA491">
            <v>19460</v>
          </cell>
          <cell r="AB491">
            <v>19460</v>
          </cell>
          <cell r="AC491">
            <v>19460</v>
          </cell>
          <cell r="AD491">
            <v>19460</v>
          </cell>
          <cell r="AE491">
            <v>19460</v>
          </cell>
          <cell r="AF491">
            <v>19460</v>
          </cell>
          <cell r="AG491">
            <v>19460</v>
          </cell>
          <cell r="AH491">
            <v>19460</v>
          </cell>
          <cell r="AI491">
            <v>19460</v>
          </cell>
          <cell r="AJ491">
            <v>19460</v>
          </cell>
          <cell r="AK491">
            <v>19460</v>
          </cell>
          <cell r="AL491">
            <v>19460</v>
          </cell>
          <cell r="AM491">
            <v>19460</v>
          </cell>
          <cell r="AN491">
            <v>19460</v>
          </cell>
          <cell r="AO491">
            <v>19460</v>
          </cell>
          <cell r="AP491">
            <v>19460</v>
          </cell>
          <cell r="AQ491">
            <v>19460</v>
          </cell>
          <cell r="AR491">
            <v>19460</v>
          </cell>
          <cell r="AS491">
            <v>19460</v>
          </cell>
          <cell r="AT491">
            <v>19460</v>
          </cell>
          <cell r="AU491">
            <v>19460</v>
          </cell>
          <cell r="AV491">
            <v>19460</v>
          </cell>
          <cell r="AW491">
            <v>19460</v>
          </cell>
          <cell r="AX491">
            <v>19460</v>
          </cell>
          <cell r="AY491">
            <v>19460</v>
          </cell>
          <cell r="AZ491">
            <v>19460</v>
          </cell>
          <cell r="BA491">
            <v>19460</v>
          </cell>
          <cell r="BB491">
            <v>19460</v>
          </cell>
        </row>
        <row r="492">
          <cell r="A492" t="str">
            <v>TOTAL</v>
          </cell>
          <cell r="B492">
            <v>47028107.890000008</v>
          </cell>
          <cell r="C492">
            <v>44625326.620000005</v>
          </cell>
          <cell r="D492">
            <v>43771060.409999996</v>
          </cell>
          <cell r="E492">
            <v>44716256.309999995</v>
          </cell>
          <cell r="F492">
            <v>47347351.100000001</v>
          </cell>
          <cell r="G492">
            <v>62580520.43</v>
          </cell>
          <cell r="H492">
            <v>46929258.800000004</v>
          </cell>
          <cell r="I492">
            <v>49952423.479999989</v>
          </cell>
          <cell r="J492">
            <v>51211083.899999999</v>
          </cell>
          <cell r="K492">
            <v>47878886.199999996</v>
          </cell>
          <cell r="L492">
            <v>47984488.499999993</v>
          </cell>
          <cell r="M492">
            <v>47954957.470000006</v>
          </cell>
          <cell r="N492">
            <v>52994807.509999998</v>
          </cell>
          <cell r="O492">
            <v>68891612.149999991</v>
          </cell>
          <cell r="P492">
            <v>49434259.059999995</v>
          </cell>
          <cell r="Q492">
            <v>56089862.819999993</v>
          </cell>
          <cell r="R492">
            <v>55587946.700000003</v>
          </cell>
          <cell r="S492">
            <v>84273519.690000013</v>
          </cell>
          <cell r="T492">
            <v>67032673.339999996</v>
          </cell>
          <cell r="U492">
            <v>61060644.899999999</v>
          </cell>
          <cell r="V492">
            <v>61059476.769999996</v>
          </cell>
          <cell r="W492">
            <v>70687628.840000018</v>
          </cell>
          <cell r="X492">
            <v>71865996.829999998</v>
          </cell>
          <cell r="Y492">
            <v>95409281.779999986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</row>
        <row r="493">
          <cell r="A493" t="str">
            <v>ptd</v>
          </cell>
          <cell r="B493">
            <v>47028107.889999993</v>
          </cell>
          <cell r="C493">
            <v>91653434.510000005</v>
          </cell>
          <cell r="D493">
            <v>135424494.91999999</v>
          </cell>
          <cell r="E493">
            <v>180140751.22999999</v>
          </cell>
          <cell r="F493">
            <v>47347351.099999994</v>
          </cell>
          <cell r="G493">
            <v>109927871.53</v>
          </cell>
          <cell r="H493">
            <v>156857130.32999998</v>
          </cell>
          <cell r="I493">
            <v>206809553.80999997</v>
          </cell>
          <cell r="J493">
            <v>51211083.899999991</v>
          </cell>
          <cell r="K493">
            <v>99089970.099999994</v>
          </cell>
          <cell r="L493">
            <v>147074458.59999999</v>
          </cell>
          <cell r="M493">
            <v>195029416.06999999</v>
          </cell>
          <cell r="N493">
            <v>52994807.510000005</v>
          </cell>
          <cell r="O493">
            <v>121886419.66000001</v>
          </cell>
          <cell r="P493">
            <v>171320678.72</v>
          </cell>
          <cell r="Q493">
            <v>227410541.54000002</v>
          </cell>
          <cell r="R493">
            <v>55587946.700000003</v>
          </cell>
          <cell r="S493">
            <v>139861466.39000002</v>
          </cell>
          <cell r="T493">
            <v>206894139.72999999</v>
          </cell>
          <cell r="U493">
            <v>267954784.63</v>
          </cell>
          <cell r="V493">
            <v>61059476.769999996</v>
          </cell>
          <cell r="W493">
            <v>131747105.61</v>
          </cell>
          <cell r="X493">
            <v>203613102.44</v>
          </cell>
          <cell r="Y493">
            <v>299022384.22000003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</row>
        <row r="494">
          <cell r="A494" t="str">
            <v>qtd</v>
          </cell>
          <cell r="B494">
            <v>47028107.889999993</v>
          </cell>
          <cell r="C494">
            <v>91653434.510000005</v>
          </cell>
          <cell r="D494">
            <v>135424494.91999999</v>
          </cell>
          <cell r="E494">
            <v>180140751.22999999</v>
          </cell>
          <cell r="F494">
            <v>227488102.33000001</v>
          </cell>
          <cell r="G494">
            <v>290068622.75999999</v>
          </cell>
          <cell r="H494">
            <v>336997881.56</v>
          </cell>
          <cell r="I494">
            <v>386950305.04000002</v>
          </cell>
          <cell r="J494">
            <v>438161388.94</v>
          </cell>
          <cell r="K494">
            <v>486040275.13999999</v>
          </cell>
          <cell r="L494">
            <v>534024763.63999999</v>
          </cell>
          <cell r="M494">
            <v>581979721.1099999</v>
          </cell>
          <cell r="N494">
            <v>52994807.510000005</v>
          </cell>
          <cell r="O494">
            <v>121886419.66000001</v>
          </cell>
          <cell r="P494">
            <v>171320678.72</v>
          </cell>
          <cell r="Q494">
            <v>227410541.54000002</v>
          </cell>
          <cell r="R494">
            <v>282998488.24000001</v>
          </cell>
          <cell r="S494">
            <v>367272007.93000001</v>
          </cell>
          <cell r="T494">
            <v>434304681.27000004</v>
          </cell>
          <cell r="U494">
            <v>495365326.17000002</v>
          </cell>
          <cell r="V494">
            <v>556424802.93999994</v>
          </cell>
          <cell r="W494">
            <v>627112431.77999997</v>
          </cell>
          <cell r="X494">
            <v>698978428.61000001</v>
          </cell>
          <cell r="Y494">
            <v>794387710.38999999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</row>
        <row r="495">
          <cell r="A495" t="str">
            <v>ytd</v>
          </cell>
          <cell r="B495">
            <v>47028107.889999993</v>
          </cell>
          <cell r="C495">
            <v>91653434.510000005</v>
          </cell>
          <cell r="D495">
            <v>135424494.91999999</v>
          </cell>
          <cell r="E495">
            <v>180140751.22999999</v>
          </cell>
          <cell r="F495">
            <v>227488102.33000001</v>
          </cell>
          <cell r="G495">
            <v>290068622.75999999</v>
          </cell>
          <cell r="H495">
            <v>336997881.56</v>
          </cell>
          <cell r="I495">
            <v>386950305.04000002</v>
          </cell>
          <cell r="J495">
            <v>438161388.94</v>
          </cell>
          <cell r="K495">
            <v>486040275.13999999</v>
          </cell>
          <cell r="L495">
            <v>534024763.63999999</v>
          </cell>
          <cell r="M495">
            <v>581979721.1099999</v>
          </cell>
          <cell r="N495">
            <v>634974528.61999989</v>
          </cell>
          <cell r="O495">
            <v>703866140.76999998</v>
          </cell>
          <cell r="P495">
            <v>753300399.82999992</v>
          </cell>
          <cell r="Q495">
            <v>809390262.64999998</v>
          </cell>
          <cell r="R495">
            <v>864978209.35000002</v>
          </cell>
          <cell r="S495">
            <v>949251729.03999996</v>
          </cell>
          <cell r="T495">
            <v>1016284402.38</v>
          </cell>
          <cell r="U495">
            <v>1077345047.28</v>
          </cell>
          <cell r="V495">
            <v>1138404524.0500002</v>
          </cell>
          <cell r="W495">
            <v>1209092152.8900001</v>
          </cell>
          <cell r="X495">
            <v>1280958149.7200003</v>
          </cell>
          <cell r="Y495">
            <v>1376367431.5</v>
          </cell>
          <cell r="Z495">
            <v>1376367431.5</v>
          </cell>
          <cell r="AA495">
            <v>1376367431.5</v>
          </cell>
          <cell r="AB495">
            <v>1376367431.5</v>
          </cell>
          <cell r="AC495">
            <v>1376367431.5</v>
          </cell>
          <cell r="AD495">
            <v>1376367431.5</v>
          </cell>
          <cell r="AE495">
            <v>1376367431.5</v>
          </cell>
          <cell r="AF495">
            <v>1376367431.5</v>
          </cell>
          <cell r="AG495">
            <v>1376367431.5</v>
          </cell>
          <cell r="AH495">
            <v>1376367431.5</v>
          </cell>
          <cell r="AI495">
            <v>1376367431.5</v>
          </cell>
          <cell r="AJ495">
            <v>1376367431.5</v>
          </cell>
          <cell r="AK495">
            <v>1376367431.5</v>
          </cell>
          <cell r="AL495">
            <v>1376367431.5</v>
          </cell>
          <cell r="AM495">
            <v>1376367431.5</v>
          </cell>
          <cell r="AN495">
            <v>1376367431.5</v>
          </cell>
          <cell r="AO495">
            <v>1376367431.5</v>
          </cell>
          <cell r="AP495">
            <v>1376367431.5</v>
          </cell>
          <cell r="AQ495">
            <v>1376367431.5</v>
          </cell>
          <cell r="AR495">
            <v>1376367431.5</v>
          </cell>
          <cell r="AS495">
            <v>1376367431.5</v>
          </cell>
          <cell r="AT495">
            <v>1376367431.5</v>
          </cell>
          <cell r="AU495">
            <v>1376367431.5</v>
          </cell>
          <cell r="AV495">
            <v>1376367431.5</v>
          </cell>
          <cell r="AW495">
            <v>1376367431.5</v>
          </cell>
          <cell r="AX495">
            <v>1376367431.5</v>
          </cell>
          <cell r="AY495">
            <v>1376367431.5</v>
          </cell>
          <cell r="AZ495">
            <v>1376367431.5</v>
          </cell>
          <cell r="BA495">
            <v>1376367431.5</v>
          </cell>
          <cell r="BB495">
            <v>1376367431.5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6561067.0100000007</v>
          </cell>
          <cell r="C498">
            <v>6117870.4100000001</v>
          </cell>
          <cell r="D498">
            <v>5997537.5</v>
          </cell>
          <cell r="E498">
            <v>6164423.25</v>
          </cell>
          <cell r="F498">
            <v>6806372.9300000006</v>
          </cell>
          <cell r="G498">
            <v>9806097.1899999995</v>
          </cell>
          <cell r="H498">
            <v>6321725.0499999998</v>
          </cell>
          <cell r="I498">
            <v>6564405.9299999997</v>
          </cell>
          <cell r="J498">
            <v>6763617.7400000002</v>
          </cell>
          <cell r="K498">
            <v>6457396.5500000007</v>
          </cell>
          <cell r="L498">
            <v>6139906.3300000001</v>
          </cell>
          <cell r="M498">
            <v>5886206.8100000005</v>
          </cell>
          <cell r="N498">
            <v>6426826.9699999997</v>
          </cell>
          <cell r="O498">
            <v>9052900.6400000006</v>
          </cell>
          <cell r="P498">
            <v>6077602.4400000004</v>
          </cell>
          <cell r="Q498">
            <v>6698179.0099999998</v>
          </cell>
          <cell r="R498">
            <v>6604304.9700000007</v>
          </cell>
          <cell r="S498">
            <v>11767047.810000001</v>
          </cell>
          <cell r="T498">
            <v>8950587.0500000007</v>
          </cell>
          <cell r="U498">
            <v>8076907.6600000001</v>
          </cell>
          <cell r="V498">
            <v>7915974.6799999997</v>
          </cell>
          <cell r="W498">
            <v>8841583.2600000016</v>
          </cell>
          <cell r="X498">
            <v>8640526.9600000009</v>
          </cell>
          <cell r="Y498">
            <v>12655314.720000001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</row>
        <row r="499">
          <cell r="A499" t="str">
            <v>GE</v>
          </cell>
          <cell r="B499">
            <v>7102747.6300000008</v>
          </cell>
          <cell r="C499">
            <v>7208808.1299999999</v>
          </cell>
          <cell r="D499">
            <v>7361120.3100000005</v>
          </cell>
          <cell r="E499">
            <v>7127974.3100000005</v>
          </cell>
          <cell r="F499">
            <v>7362421.0600000005</v>
          </cell>
          <cell r="G499">
            <v>8994829.9600000009</v>
          </cell>
          <cell r="H499">
            <v>9307172.5899999999</v>
          </cell>
          <cell r="I499">
            <v>10823573.5</v>
          </cell>
          <cell r="J499">
            <v>11398260.18</v>
          </cell>
          <cell r="K499">
            <v>8742364.4800000004</v>
          </cell>
          <cell r="L499">
            <v>8975050.3300000001</v>
          </cell>
          <cell r="M499">
            <v>9055450.6899999995</v>
          </cell>
          <cell r="N499">
            <v>10324892.52</v>
          </cell>
          <cell r="O499">
            <v>11661061.369999999</v>
          </cell>
          <cell r="P499">
            <v>8707731.4299999997</v>
          </cell>
          <cell r="Q499">
            <v>10653364.49</v>
          </cell>
          <cell r="R499">
            <v>11010104.390000001</v>
          </cell>
          <cell r="S499">
            <v>13388750.17</v>
          </cell>
          <cell r="T499">
            <v>10924860.1</v>
          </cell>
          <cell r="U499">
            <v>11230373.199999999</v>
          </cell>
          <cell r="V499">
            <v>10930515.779999999</v>
          </cell>
          <cell r="W499">
            <v>11597675.380000001</v>
          </cell>
          <cell r="X499">
            <v>11537528.57</v>
          </cell>
          <cell r="Y499">
            <v>13962844.859999999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</row>
        <row r="500">
          <cell r="A500" t="str">
            <v>SWY</v>
          </cell>
          <cell r="B500">
            <v>11293952.32</v>
          </cell>
          <cell r="C500">
            <v>10723091.23</v>
          </cell>
          <cell r="D500">
            <v>10363396.699999999</v>
          </cell>
          <cell r="E500">
            <v>10788137.250000002</v>
          </cell>
          <cell r="F500">
            <v>11383188.640000001</v>
          </cell>
          <cell r="G500">
            <v>14672338.74</v>
          </cell>
          <cell r="H500">
            <v>10639096.049999999</v>
          </cell>
          <cell r="I500">
            <v>11246365.76</v>
          </cell>
          <cell r="J500">
            <v>11562788.629999999</v>
          </cell>
          <cell r="K500">
            <v>11379140.41</v>
          </cell>
          <cell r="L500">
            <v>11323287.289999999</v>
          </cell>
          <cell r="M500">
            <v>11183218.860000001</v>
          </cell>
          <cell r="N500">
            <v>12385079.209999999</v>
          </cell>
          <cell r="O500">
            <v>15066473.120000001</v>
          </cell>
          <cell r="P500">
            <v>11629749.35</v>
          </cell>
          <cell r="Q500">
            <v>12486416.879999999</v>
          </cell>
          <cell r="R500">
            <v>12211289.439999999</v>
          </cell>
          <cell r="S500">
            <v>18795906.630000003</v>
          </cell>
          <cell r="T500">
            <v>15448319.300000001</v>
          </cell>
          <cell r="U500">
            <v>14014386.739999998</v>
          </cell>
          <cell r="V500">
            <v>13827728.959999999</v>
          </cell>
          <cell r="W500">
            <v>16527710.700000001</v>
          </cell>
          <cell r="X500">
            <v>17334960.860000003</v>
          </cell>
          <cell r="Y500">
            <v>20981805.350000001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</row>
        <row r="501">
          <cell r="A501" t="str">
            <v>DIST</v>
          </cell>
          <cell r="B501">
            <v>35047512.079999998</v>
          </cell>
          <cell r="C501">
            <v>33305228.439999998</v>
          </cell>
          <cell r="D501">
            <v>32819419.420000002</v>
          </cell>
          <cell r="E501">
            <v>33391318.939999998</v>
          </cell>
          <cell r="F501">
            <v>35365359.700000003</v>
          </cell>
          <cell r="G501">
            <v>47164762.710000001</v>
          </cell>
          <cell r="H501">
            <v>35641448.549999997</v>
          </cell>
          <cell r="I501">
            <v>37960356.669999994</v>
          </cell>
          <cell r="J501">
            <v>38963294.200000003</v>
          </cell>
          <cell r="K501">
            <v>35782043.239999995</v>
          </cell>
          <cell r="L501">
            <v>35853788.519999996</v>
          </cell>
          <cell r="M501">
            <v>36040616.089999996</v>
          </cell>
          <cell r="N501">
            <v>39849627.870000005</v>
          </cell>
          <cell r="O501">
            <v>53038807.539999999</v>
          </cell>
          <cell r="P501">
            <v>37121763.979999997</v>
          </cell>
          <cell r="Q501">
            <v>42918818.780000001</v>
          </cell>
          <cell r="R501">
            <v>42561248.160000004</v>
          </cell>
          <cell r="S501">
            <v>64348035.770000003</v>
          </cell>
          <cell r="T501">
            <v>50743147</v>
          </cell>
          <cell r="U501">
            <v>46189816.730000004</v>
          </cell>
          <cell r="V501">
            <v>46314131.339999996</v>
          </cell>
          <cell r="W501">
            <v>53046936.710000008</v>
          </cell>
          <cell r="X501">
            <v>53528891.189999998</v>
          </cell>
          <cell r="Y501">
            <v>73307205.579999983</v>
          </cell>
          <cell r="Z501">
            <v>0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</row>
        <row r="502">
          <cell r="A502" t="str">
            <v>INTL</v>
          </cell>
          <cell r="B502">
            <v>686643.49</v>
          </cell>
          <cell r="C502">
            <v>597006.95000000007</v>
          </cell>
          <cell r="D502">
            <v>588244.29</v>
          </cell>
          <cell r="E502">
            <v>536800.12</v>
          </cell>
          <cell r="F502">
            <v>598802.76</v>
          </cell>
          <cell r="G502">
            <v>743418.98</v>
          </cell>
          <cell r="H502">
            <v>648714.19999999995</v>
          </cell>
          <cell r="I502">
            <v>745701.04999999993</v>
          </cell>
          <cell r="J502">
            <v>685001.07000000007</v>
          </cell>
          <cell r="K502">
            <v>717702.54999999993</v>
          </cell>
          <cell r="L502">
            <v>807412.69000000006</v>
          </cell>
          <cell r="M502">
            <v>731122.52</v>
          </cell>
          <cell r="N502">
            <v>760100.42999999993</v>
          </cell>
          <cell r="O502">
            <v>786331.49000000011</v>
          </cell>
          <cell r="P502">
            <v>682745.73</v>
          </cell>
          <cell r="Q502">
            <v>684627.16000000015</v>
          </cell>
          <cell r="R502">
            <v>815409.10000000009</v>
          </cell>
          <cell r="S502">
            <v>1129577.29</v>
          </cell>
          <cell r="T502">
            <v>841207.03999999992</v>
          </cell>
          <cell r="U502">
            <v>856441.42999999993</v>
          </cell>
          <cell r="V502">
            <v>917616.47</v>
          </cell>
          <cell r="W502">
            <v>1112981.43</v>
          </cell>
          <cell r="X502">
            <v>1002144.78</v>
          </cell>
          <cell r="Y502">
            <v>1120270.8500000001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</row>
        <row r="509">
          <cell r="A509" t="str">
            <v>SAFEWAY</v>
          </cell>
          <cell r="B509">
            <v>20981805.350000001</v>
          </cell>
          <cell r="C509">
            <v>68672205.870000005</v>
          </cell>
          <cell r="D509">
            <v>180709826.53999999</v>
          </cell>
          <cell r="E509">
            <v>317267828.42000002</v>
          </cell>
        </row>
        <row r="510">
          <cell r="A510" t="str">
            <v>GIANT EAGLE</v>
          </cell>
          <cell r="B510">
            <v>13962844.859999999</v>
          </cell>
          <cell r="C510">
            <v>48028564.590000004</v>
          </cell>
          <cell r="D510">
            <v>135929702.25999999</v>
          </cell>
          <cell r="E510">
            <v>239389475.43000001</v>
          </cell>
        </row>
        <row r="511">
          <cell r="A511" t="str">
            <v>KROGER</v>
          </cell>
          <cell r="B511">
            <v>12655314.720000001</v>
          </cell>
          <cell r="C511">
            <v>38053399.619999997</v>
          </cell>
          <cell r="D511">
            <v>101707756.17</v>
          </cell>
          <cell r="E511">
            <v>181294382.87</v>
          </cell>
        </row>
        <row r="512">
          <cell r="A512" t="str">
            <v>PUBLIX</v>
          </cell>
          <cell r="B512">
            <v>4628169.93</v>
          </cell>
          <cell r="C512">
            <v>15005287.789999999</v>
          </cell>
          <cell r="D512">
            <v>42410307.780000001</v>
          </cell>
          <cell r="E512">
            <v>71785781.760000005</v>
          </cell>
        </row>
        <row r="513">
          <cell r="A513" t="str">
            <v>ALBERTSONS</v>
          </cell>
          <cell r="B513">
            <v>4831837.63</v>
          </cell>
          <cell r="C513">
            <v>14899410.67</v>
          </cell>
          <cell r="D513">
            <v>37989889.590000004</v>
          </cell>
          <cell r="E513">
            <v>64245361</v>
          </cell>
        </row>
        <row r="514">
          <cell r="A514" t="str">
            <v>AHOLD</v>
          </cell>
          <cell r="B514">
            <v>5789370.6900000004</v>
          </cell>
          <cell r="C514">
            <v>16045936.640000001</v>
          </cell>
          <cell r="D514">
            <v>38720372.490000002</v>
          </cell>
          <cell r="E514">
            <v>64066010.25</v>
          </cell>
        </row>
        <row r="515">
          <cell r="A515" t="str">
            <v>CVS PHARMACY</v>
          </cell>
          <cell r="B515">
            <v>4153330</v>
          </cell>
          <cell r="C515">
            <v>10775640</v>
          </cell>
          <cell r="D515">
            <v>28342740</v>
          </cell>
          <cell r="E515">
            <v>47120470</v>
          </cell>
        </row>
        <row r="516">
          <cell r="A516" t="str">
            <v>STAPLES</v>
          </cell>
          <cell r="B516">
            <v>1473692.59</v>
          </cell>
          <cell r="C516">
            <v>5173381.53</v>
          </cell>
          <cell r="D516">
            <v>13748773.800000001</v>
          </cell>
          <cell r="E516">
            <v>25644221.260000002</v>
          </cell>
        </row>
        <row r="517">
          <cell r="A517" t="str">
            <v>KMART</v>
          </cell>
          <cell r="B517">
            <v>1508098.35</v>
          </cell>
          <cell r="C517">
            <v>4667093.01</v>
          </cell>
          <cell r="D517">
            <v>12791590.939999999</v>
          </cell>
          <cell r="E517">
            <v>24144279.969999999</v>
          </cell>
        </row>
        <row r="518">
          <cell r="A518" t="str">
            <v>WAWA</v>
          </cell>
          <cell r="B518">
            <v>1120949.04</v>
          </cell>
          <cell r="C518">
            <v>3639538</v>
          </cell>
          <cell r="D518">
            <v>10018792.33</v>
          </cell>
          <cell r="E518">
            <v>18593002.140000001</v>
          </cell>
        </row>
        <row r="519">
          <cell r="A519" t="str">
            <v>A &amp; P</v>
          </cell>
          <cell r="B519">
            <v>1333911.97</v>
          </cell>
          <cell r="C519">
            <v>3595998.38</v>
          </cell>
          <cell r="D519">
            <v>8909037.0999999996</v>
          </cell>
          <cell r="E519">
            <v>15149784.140000001</v>
          </cell>
        </row>
        <row r="520">
          <cell r="A520" t="str">
            <v>FOOD LION</v>
          </cell>
          <cell r="B520">
            <v>1309773.33</v>
          </cell>
          <cell r="C520">
            <v>4112589.24</v>
          </cell>
          <cell r="D520">
            <v>9864142.7300000004</v>
          </cell>
          <cell r="E520">
            <v>15111511.779999999</v>
          </cell>
        </row>
        <row r="521">
          <cell r="A521" t="str">
            <v>WAKEFERN</v>
          </cell>
          <cell r="B521">
            <v>1335627.8999999999</v>
          </cell>
          <cell r="C521">
            <v>3372761.33</v>
          </cell>
          <cell r="D521">
            <v>8390287.5999999996</v>
          </cell>
          <cell r="E521">
            <v>14412760.75</v>
          </cell>
        </row>
        <row r="522">
          <cell r="A522" t="str">
            <v>KROGER C</v>
          </cell>
          <cell r="B522">
            <v>540750.68000000005</v>
          </cell>
          <cell r="C522">
            <v>2104332.04</v>
          </cell>
          <cell r="D522">
            <v>6577883.4500000002</v>
          </cell>
          <cell r="E522">
            <v>13260191.130000001</v>
          </cell>
        </row>
        <row r="523">
          <cell r="A523" t="str">
            <v>WEGMANS</v>
          </cell>
          <cell r="B523">
            <v>1011494.95</v>
          </cell>
          <cell r="C523">
            <v>2684612</v>
          </cell>
          <cell r="D523">
            <v>7156812.6699999999</v>
          </cell>
          <cell r="E523">
            <v>12044505.710000001</v>
          </cell>
        </row>
        <row r="524">
          <cell r="A524" t="str">
            <v>STATER BROS</v>
          </cell>
          <cell r="B524">
            <v>851143.13</v>
          </cell>
          <cell r="C524">
            <v>2519158.9700000002</v>
          </cell>
          <cell r="D524">
            <v>6251531.6900000004</v>
          </cell>
          <cell r="E524">
            <v>10603314.529999999</v>
          </cell>
        </row>
        <row r="525">
          <cell r="A525" t="str">
            <v>MEIJER</v>
          </cell>
          <cell r="B525">
            <v>791890</v>
          </cell>
          <cell r="C525">
            <v>2261190</v>
          </cell>
          <cell r="D525">
            <v>5773510</v>
          </cell>
          <cell r="E525">
            <v>9934590</v>
          </cell>
        </row>
        <row r="526">
          <cell r="A526" t="str">
            <v>AUSTRALIAN POST</v>
          </cell>
          <cell r="B526">
            <v>490080.12</v>
          </cell>
          <cell r="C526">
            <v>1876771.73</v>
          </cell>
          <cell r="D526">
            <v>5568169.9299999997</v>
          </cell>
          <cell r="E526">
            <v>9878291.4199999999</v>
          </cell>
        </row>
        <row r="527">
          <cell r="A527" t="str">
            <v>SOBEYS</v>
          </cell>
          <cell r="B527">
            <v>767150.01</v>
          </cell>
          <cell r="C527">
            <v>2231062.0699999998</v>
          </cell>
          <cell r="D527">
            <v>5782392.8799999999</v>
          </cell>
          <cell r="E527">
            <v>9811181.2799999993</v>
          </cell>
        </row>
        <row r="528">
          <cell r="A528" t="str">
            <v>ALBERTSONS LLC</v>
          </cell>
          <cell r="B528">
            <v>617392.97</v>
          </cell>
          <cell r="C528">
            <v>1970074.94</v>
          </cell>
          <cell r="D528">
            <v>5647199.9699999997</v>
          </cell>
          <cell r="E528">
            <v>9642809.0600000005</v>
          </cell>
        </row>
        <row r="529">
          <cell r="A529" t="str">
            <v>SVU CORPORATE 30</v>
          </cell>
          <cell r="B529">
            <v>590705.76</v>
          </cell>
          <cell r="C529">
            <v>2576294.29</v>
          </cell>
          <cell r="D529">
            <v>5530121.2199999997</v>
          </cell>
          <cell r="E529">
            <v>9044663.0399999991</v>
          </cell>
        </row>
        <row r="530">
          <cell r="A530" t="str">
            <v>HY-VEE</v>
          </cell>
          <cell r="B530">
            <v>576870.15</v>
          </cell>
          <cell r="C530">
            <v>1825831.07</v>
          </cell>
          <cell r="D530">
            <v>4873103.2699999996</v>
          </cell>
          <cell r="E530">
            <v>8499704.0299999993</v>
          </cell>
        </row>
        <row r="531">
          <cell r="A531" t="str">
            <v>SAVE MART</v>
          </cell>
          <cell r="B531">
            <v>591234.29</v>
          </cell>
          <cell r="C531">
            <v>2131138.38</v>
          </cell>
          <cell r="D531">
            <v>5089568.63</v>
          </cell>
          <cell r="E531">
            <v>8482668.6300000008</v>
          </cell>
        </row>
        <row r="532">
          <cell r="A532" t="str">
            <v>KOHLS</v>
          </cell>
          <cell r="B532">
            <v>832835</v>
          </cell>
          <cell r="C532">
            <v>2015620</v>
          </cell>
          <cell r="D532">
            <v>4963320</v>
          </cell>
          <cell r="E532">
            <v>8257230</v>
          </cell>
        </row>
        <row r="533">
          <cell r="A533" t="str">
            <v>OFFICE MAX</v>
          </cell>
          <cell r="B533">
            <v>571869.4</v>
          </cell>
          <cell r="C533">
            <v>1646398.1</v>
          </cell>
          <cell r="D533">
            <v>4765165.0999999996</v>
          </cell>
          <cell r="E533">
            <v>8097395.25</v>
          </cell>
        </row>
        <row r="534">
          <cell r="A534" t="str">
            <v>HARRIS TEETER</v>
          </cell>
          <cell r="B534">
            <v>274795</v>
          </cell>
          <cell r="C534">
            <v>795785</v>
          </cell>
          <cell r="D534">
            <v>6433530</v>
          </cell>
          <cell r="E534">
            <v>7500890</v>
          </cell>
        </row>
        <row r="535">
          <cell r="A535" t="str">
            <v>HANNAFORD</v>
          </cell>
          <cell r="B535">
            <v>549894.51</v>
          </cell>
          <cell r="C535">
            <v>1532535.49</v>
          </cell>
          <cell r="D535">
            <v>4065582.36</v>
          </cell>
          <cell r="E535">
            <v>7056419.0899999999</v>
          </cell>
        </row>
        <row r="536">
          <cell r="A536" t="str">
            <v>LOBLAWS - CANADA</v>
          </cell>
          <cell r="B536">
            <v>673803.98</v>
          </cell>
          <cell r="C536">
            <v>1759476.33</v>
          </cell>
          <cell r="D536">
            <v>4330183.32</v>
          </cell>
          <cell r="E536">
            <v>6502310.6399999997</v>
          </cell>
        </row>
        <row r="537">
          <cell r="A537" t="str">
            <v>ROUNDYS</v>
          </cell>
          <cell r="B537">
            <v>446926.85</v>
          </cell>
          <cell r="C537">
            <v>1526396.19</v>
          </cell>
          <cell r="D537">
            <v>3774894.49</v>
          </cell>
          <cell r="E537">
            <v>6461202.4299999997</v>
          </cell>
        </row>
        <row r="538">
          <cell r="A538" t="str">
            <v>PRICE CHOPPER</v>
          </cell>
          <cell r="B538">
            <v>395880.12</v>
          </cell>
          <cell r="C538">
            <v>1150492.8400000001</v>
          </cell>
          <cell r="D538">
            <v>3188546.73</v>
          </cell>
          <cell r="E538">
            <v>5804858.6799999997</v>
          </cell>
        </row>
        <row r="539">
          <cell r="A539" t="str">
            <v>BI LO</v>
          </cell>
          <cell r="B539">
            <v>306188.07</v>
          </cell>
          <cell r="C539">
            <v>986268.34</v>
          </cell>
          <cell r="D539">
            <v>2835339.44</v>
          </cell>
          <cell r="E539">
            <v>5291138.05</v>
          </cell>
        </row>
        <row r="540">
          <cell r="A540" t="str">
            <v>PATHMARK</v>
          </cell>
          <cell r="B540">
            <v>422288.24</v>
          </cell>
          <cell r="C540">
            <v>1196161.52</v>
          </cell>
          <cell r="D540">
            <v>3281546.83</v>
          </cell>
          <cell r="E540">
            <v>5275825.3</v>
          </cell>
        </row>
        <row r="541">
          <cell r="A541" t="str">
            <v>SVU INDEPENDENT 5/25</v>
          </cell>
          <cell r="B541">
            <v>257784.4</v>
          </cell>
          <cell r="C541">
            <v>842617.76</v>
          </cell>
          <cell r="D541">
            <v>2650636.27</v>
          </cell>
          <cell r="E541">
            <v>4556616.3099999996</v>
          </cell>
        </row>
        <row r="542">
          <cell r="A542" t="str">
            <v>AWG - DIVISIONS</v>
          </cell>
          <cell r="B542">
            <v>316437.90000000002</v>
          </cell>
          <cell r="C542">
            <v>1128888.96</v>
          </cell>
          <cell r="D542">
            <v>2821265.26</v>
          </cell>
          <cell r="E542">
            <v>4471291.2300000004</v>
          </cell>
        </row>
        <row r="543">
          <cell r="A543" t="str">
            <v>WEIS MARKET</v>
          </cell>
          <cell r="B543">
            <v>327545.03000000003</v>
          </cell>
          <cell r="C543">
            <v>1001100.9</v>
          </cell>
          <cell r="D543">
            <v>2598115.36</v>
          </cell>
          <cell r="E543">
            <v>4367223.1100000003</v>
          </cell>
        </row>
        <row r="544">
          <cell r="A544" t="str">
            <v>MORRISONS</v>
          </cell>
          <cell r="B544">
            <v>351843.09</v>
          </cell>
          <cell r="C544">
            <v>921838.38</v>
          </cell>
          <cell r="D544">
            <v>2200373.5499999998</v>
          </cell>
          <cell r="E544">
            <v>4179572.55</v>
          </cell>
        </row>
        <row r="545">
          <cell r="A545" t="str">
            <v>PAYGO</v>
          </cell>
          <cell r="B545">
            <v>1068580.27</v>
          </cell>
          <cell r="C545">
            <v>2990281.84</v>
          </cell>
          <cell r="D545">
            <v>3301886.52</v>
          </cell>
          <cell r="E545">
            <v>3739037.82</v>
          </cell>
        </row>
        <row r="546">
          <cell r="A546" t="str">
            <v>BIG Y</v>
          </cell>
          <cell r="B546">
            <v>310400.05</v>
          </cell>
          <cell r="C546">
            <v>946724.27</v>
          </cell>
          <cell r="D546">
            <v>2505228.86</v>
          </cell>
          <cell r="E546">
            <v>3580274.45</v>
          </cell>
        </row>
        <row r="547">
          <cell r="A547" t="str">
            <v>KATZ</v>
          </cell>
          <cell r="B547">
            <v>277862.06</v>
          </cell>
          <cell r="C547">
            <v>785135.01</v>
          </cell>
          <cell r="D547">
            <v>1863992.05</v>
          </cell>
          <cell r="E547">
            <v>3098083.61</v>
          </cell>
        </row>
        <row r="548">
          <cell r="A548" t="str">
            <v>METRO ONTARIO - CANADA</v>
          </cell>
          <cell r="B548">
            <v>261537.58</v>
          </cell>
          <cell r="C548">
            <v>693147.15</v>
          </cell>
          <cell r="D548">
            <v>1679534.52</v>
          </cell>
          <cell r="E548">
            <v>2814481.35</v>
          </cell>
        </row>
        <row r="549">
          <cell r="A549" t="str">
            <v>SCHNUCKS</v>
          </cell>
          <cell r="B549">
            <v>225320.78</v>
          </cell>
          <cell r="C549">
            <v>673943.34</v>
          </cell>
          <cell r="D549">
            <v>1905459.45</v>
          </cell>
          <cell r="E549">
            <v>2766439.8</v>
          </cell>
        </row>
        <row r="550">
          <cell r="A550" t="str">
            <v>SVU INDEPENDENT 10/25</v>
          </cell>
          <cell r="B550">
            <v>204588.11</v>
          </cell>
          <cell r="C550">
            <v>622949.43000000005</v>
          </cell>
          <cell r="D550">
            <v>1644852.25</v>
          </cell>
          <cell r="E550">
            <v>2760977.48</v>
          </cell>
        </row>
        <row r="551">
          <cell r="A551" t="str">
            <v>UG MERCHANTS</v>
          </cell>
          <cell r="B551">
            <v>149236.45000000001</v>
          </cell>
          <cell r="C551">
            <v>581416.68000000005</v>
          </cell>
          <cell r="D551">
            <v>1452066.24</v>
          </cell>
          <cell r="E551">
            <v>2729871.24</v>
          </cell>
        </row>
        <row r="552">
          <cell r="A552" t="str">
            <v>QUICK CHECK</v>
          </cell>
          <cell r="B552">
            <v>156452.16</v>
          </cell>
          <cell r="C552">
            <v>460813.46</v>
          </cell>
          <cell r="D552">
            <v>1325606.8600000001</v>
          </cell>
          <cell r="E552">
            <v>2644678.39</v>
          </cell>
        </row>
        <row r="553">
          <cell r="A553" t="str">
            <v>LOWES</v>
          </cell>
          <cell r="B553">
            <v>197168.55</v>
          </cell>
          <cell r="C553">
            <v>629485.44999999995</v>
          </cell>
          <cell r="D553">
            <v>1603628.75</v>
          </cell>
          <cell r="E553">
            <v>2636353.54</v>
          </cell>
        </row>
        <row r="554">
          <cell r="A554" t="str">
            <v>TOYS R US</v>
          </cell>
          <cell r="B554">
            <v>155686.25</v>
          </cell>
          <cell r="C554">
            <v>484587.15</v>
          </cell>
          <cell r="D554">
            <v>1451806.71</v>
          </cell>
          <cell r="E554">
            <v>2571661.11</v>
          </cell>
        </row>
        <row r="555">
          <cell r="A555" t="str">
            <v>KING KULLEN</v>
          </cell>
          <cell r="B555">
            <v>233394.82</v>
          </cell>
          <cell r="C555">
            <v>585674.54</v>
          </cell>
          <cell r="D555">
            <v>1438453.33</v>
          </cell>
          <cell r="E555">
            <v>2439838.5</v>
          </cell>
        </row>
        <row r="556">
          <cell r="A556" t="str">
            <v>MACS OF CANADA</v>
          </cell>
          <cell r="B556">
            <v>254354.25</v>
          </cell>
          <cell r="C556">
            <v>805350.19</v>
          </cell>
          <cell r="D556">
            <v>1567345.13</v>
          </cell>
          <cell r="E556">
            <v>2353923.09</v>
          </cell>
        </row>
        <row r="557">
          <cell r="A557" t="str">
            <v>FEDERATED CO-OP - CANADA</v>
          </cell>
          <cell r="B557">
            <v>193333.85</v>
          </cell>
          <cell r="C557">
            <v>594141.93000000005</v>
          </cell>
          <cell r="D557">
            <v>1416818.99</v>
          </cell>
          <cell r="E557">
            <v>2341904.6</v>
          </cell>
        </row>
        <row r="558">
          <cell r="A558" t="str">
            <v>INGLES MARKETS</v>
          </cell>
          <cell r="B558">
            <v>142923.72</v>
          </cell>
          <cell r="C558">
            <v>451848.79</v>
          </cell>
          <cell r="D558">
            <v>1264625.73</v>
          </cell>
          <cell r="E558">
            <v>2320506.83</v>
          </cell>
        </row>
        <row r="559">
          <cell r="A559" t="str">
            <v>CIRCLE K</v>
          </cell>
          <cell r="B559">
            <v>75850</v>
          </cell>
          <cell r="C559">
            <v>291630</v>
          </cell>
          <cell r="D559">
            <v>1015615</v>
          </cell>
          <cell r="E559">
            <v>2137635</v>
          </cell>
        </row>
        <row r="560">
          <cell r="A560" t="str">
            <v>UNITED</v>
          </cell>
          <cell r="B560">
            <v>138489.37</v>
          </cell>
          <cell r="C560">
            <v>462700.03</v>
          </cell>
          <cell r="D560">
            <v>1209287.07</v>
          </cell>
          <cell r="E560">
            <v>2083499.42</v>
          </cell>
        </row>
        <row r="561">
          <cell r="A561" t="str">
            <v>DW - PETRO CANADA</v>
          </cell>
          <cell r="B561">
            <v>118614.33</v>
          </cell>
          <cell r="C561">
            <v>382508.08</v>
          </cell>
          <cell r="D561">
            <v>1070078.8799999999</v>
          </cell>
          <cell r="E561">
            <v>2073427.52</v>
          </cell>
        </row>
        <row r="562">
          <cell r="A562" t="str">
            <v>JB HI-FI - AUS</v>
          </cell>
          <cell r="B562">
            <v>88853.02</v>
          </cell>
          <cell r="C562">
            <v>492767.69</v>
          </cell>
          <cell r="D562">
            <v>1191448.24</v>
          </cell>
          <cell r="E562">
            <v>2010642.78</v>
          </cell>
        </row>
        <row r="563">
          <cell r="A563" t="str">
            <v>BASHAS</v>
          </cell>
          <cell r="B563">
            <v>104385</v>
          </cell>
          <cell r="C563">
            <v>340453</v>
          </cell>
          <cell r="D563">
            <v>1049474</v>
          </cell>
          <cell r="E563">
            <v>1774264</v>
          </cell>
        </row>
        <row r="564">
          <cell r="A564" t="str">
            <v>KVAT - FOOD CITY</v>
          </cell>
          <cell r="B564">
            <v>107201.26</v>
          </cell>
          <cell r="C564">
            <v>333557.98</v>
          </cell>
          <cell r="D564">
            <v>934883.32</v>
          </cell>
          <cell r="E564">
            <v>1740925.46</v>
          </cell>
        </row>
        <row r="565">
          <cell r="A565" t="str">
            <v>OVERWAITEA FOOD GROUP</v>
          </cell>
          <cell r="B565">
            <v>149537.07</v>
          </cell>
          <cell r="C565">
            <v>428620.14</v>
          </cell>
          <cell r="D565">
            <v>1042566.03</v>
          </cell>
          <cell r="E565">
            <v>1718981.57</v>
          </cell>
        </row>
        <row r="566">
          <cell r="A566" t="str">
            <v>UKROPS</v>
          </cell>
          <cell r="B566">
            <v>123276.76</v>
          </cell>
          <cell r="C566">
            <v>399999.32</v>
          </cell>
          <cell r="D566">
            <v>1041025.9</v>
          </cell>
          <cell r="E566">
            <v>1657079.64</v>
          </cell>
        </row>
        <row r="567">
          <cell r="A567" t="str">
            <v>AWI - CORPORATE</v>
          </cell>
          <cell r="B567">
            <v>125732.66</v>
          </cell>
          <cell r="C567">
            <v>367801.62</v>
          </cell>
          <cell r="D567">
            <v>947194.56</v>
          </cell>
          <cell r="E567">
            <v>1625506.68</v>
          </cell>
        </row>
        <row r="568">
          <cell r="A568" t="str">
            <v>BARTELL</v>
          </cell>
          <cell r="B568">
            <v>95330.9</v>
          </cell>
          <cell r="C568">
            <v>319266.26</v>
          </cell>
          <cell r="D568">
            <v>848604.95</v>
          </cell>
          <cell r="E568">
            <v>1557117.74</v>
          </cell>
        </row>
        <row r="569">
          <cell r="A569" t="str">
            <v>KASH AND KARRY</v>
          </cell>
          <cell r="B569">
            <v>85929.3</v>
          </cell>
          <cell r="C569">
            <v>303755.58</v>
          </cell>
          <cell r="D569">
            <v>848723.09</v>
          </cell>
          <cell r="E569">
            <v>1518992.21</v>
          </cell>
        </row>
        <row r="570">
          <cell r="A570" t="str">
            <v>SHOPKO</v>
          </cell>
          <cell r="B570">
            <v>130114.41</v>
          </cell>
          <cell r="C570">
            <v>342867.56</v>
          </cell>
          <cell r="D570">
            <v>860994.46</v>
          </cell>
          <cell r="E570">
            <v>1448374.95</v>
          </cell>
        </row>
        <row r="571">
          <cell r="A571" t="str">
            <v>HARMON CITY</v>
          </cell>
          <cell r="B571">
            <v>122439.14</v>
          </cell>
          <cell r="C571">
            <v>337278.3</v>
          </cell>
          <cell r="D571">
            <v>875135.07</v>
          </cell>
          <cell r="E571">
            <v>1437727.52</v>
          </cell>
        </row>
        <row r="572">
          <cell r="A572" t="str">
            <v>KINGS SUPERMARKET</v>
          </cell>
          <cell r="B572">
            <v>144015.88</v>
          </cell>
          <cell r="C572">
            <v>398506.57</v>
          </cell>
          <cell r="D572">
            <v>886575.45</v>
          </cell>
          <cell r="E572">
            <v>1436363.84</v>
          </cell>
        </row>
        <row r="573">
          <cell r="A573" t="str">
            <v>AFS</v>
          </cell>
          <cell r="B573">
            <v>114620.63</v>
          </cell>
          <cell r="C573">
            <v>318962.96000000002</v>
          </cell>
          <cell r="D573">
            <v>817678.33</v>
          </cell>
          <cell r="E573">
            <v>1434675.1</v>
          </cell>
        </row>
        <row r="574">
          <cell r="A574" t="str">
            <v>BUEHLERS</v>
          </cell>
          <cell r="B574">
            <v>80812.039999999994</v>
          </cell>
          <cell r="C574">
            <v>320865.82</v>
          </cell>
          <cell r="D574">
            <v>792216.99</v>
          </cell>
          <cell r="E574">
            <v>1397107.09</v>
          </cell>
        </row>
        <row r="575">
          <cell r="A575" t="str">
            <v>PENN TRAFFIC</v>
          </cell>
          <cell r="B575">
            <v>85691.92</v>
          </cell>
          <cell r="C575">
            <v>245175.02</v>
          </cell>
          <cell r="D575">
            <v>706183.56</v>
          </cell>
          <cell r="E575">
            <v>1321709.98</v>
          </cell>
        </row>
        <row r="576">
          <cell r="A576" t="str">
            <v>MONEY TREE</v>
          </cell>
          <cell r="B576">
            <v>54628.44</v>
          </cell>
          <cell r="C576">
            <v>219303.19</v>
          </cell>
          <cell r="D576">
            <v>645944.81000000006</v>
          </cell>
          <cell r="E576">
            <v>1256427.83</v>
          </cell>
        </row>
        <row r="577">
          <cell r="A577" t="str">
            <v>HAGGEN</v>
          </cell>
          <cell r="B577">
            <v>93044.72</v>
          </cell>
          <cell r="C577">
            <v>271160.09000000003</v>
          </cell>
          <cell r="D577">
            <v>711184.02</v>
          </cell>
          <cell r="E577">
            <v>1250966.4099999999</v>
          </cell>
        </row>
        <row r="578">
          <cell r="A578" t="str">
            <v>MARSH</v>
          </cell>
          <cell r="B578">
            <v>83916.26</v>
          </cell>
          <cell r="C578">
            <v>268063.26</v>
          </cell>
          <cell r="D578">
            <v>735628.87</v>
          </cell>
          <cell r="E578">
            <v>1242336.1200000001</v>
          </cell>
        </row>
        <row r="579">
          <cell r="A579" t="str">
            <v>UG - GELSONS</v>
          </cell>
          <cell r="B579">
            <v>80155.86</v>
          </cell>
          <cell r="C579">
            <v>269205.46999999997</v>
          </cell>
          <cell r="D579">
            <v>652711.80000000005</v>
          </cell>
          <cell r="E579">
            <v>1136793.94</v>
          </cell>
        </row>
        <row r="580">
          <cell r="A580" t="str">
            <v>MACS</v>
          </cell>
          <cell r="B580">
            <v>46070</v>
          </cell>
          <cell r="C580">
            <v>162600</v>
          </cell>
          <cell r="D580">
            <v>498560</v>
          </cell>
          <cell r="E580">
            <v>1115880</v>
          </cell>
        </row>
        <row r="581">
          <cell r="A581" t="str">
            <v>ROCHE BROS.</v>
          </cell>
          <cell r="B581">
            <v>97894.57</v>
          </cell>
          <cell r="C581">
            <v>264003.39</v>
          </cell>
          <cell r="D581">
            <v>610309.98</v>
          </cell>
          <cell r="E581">
            <v>1053655.92</v>
          </cell>
        </row>
        <row r="582">
          <cell r="A582" t="str">
            <v>UG - NORTHWEST</v>
          </cell>
          <cell r="B582">
            <v>58067.03</v>
          </cell>
          <cell r="C582">
            <v>208442.94</v>
          </cell>
          <cell r="D582">
            <v>562834.75</v>
          </cell>
          <cell r="E582">
            <v>1021590.24</v>
          </cell>
        </row>
        <row r="583">
          <cell r="A583" t="str">
            <v>NASH FINCH</v>
          </cell>
          <cell r="B583">
            <v>59783.8</v>
          </cell>
          <cell r="C583">
            <v>188862.17</v>
          </cell>
          <cell r="D583">
            <v>540691.07999999996</v>
          </cell>
          <cell r="E583">
            <v>985217.8</v>
          </cell>
        </row>
        <row r="584">
          <cell r="A584" t="str">
            <v>METRO - CANADA</v>
          </cell>
          <cell r="B584">
            <v>50735.98</v>
          </cell>
          <cell r="C584">
            <v>160283.51</v>
          </cell>
          <cell r="D584">
            <v>448345.08</v>
          </cell>
          <cell r="E584">
            <v>824420.7</v>
          </cell>
        </row>
        <row r="585">
          <cell r="A585" t="str">
            <v>7-11 - AUS</v>
          </cell>
          <cell r="B585">
            <v>26824.47</v>
          </cell>
          <cell r="C585">
            <v>115592.68</v>
          </cell>
          <cell r="D585">
            <v>380954.13</v>
          </cell>
          <cell r="E585">
            <v>761737.51</v>
          </cell>
        </row>
        <row r="586">
          <cell r="A586" t="str">
            <v>KEY FOODS</v>
          </cell>
          <cell r="B586">
            <v>51457.69</v>
          </cell>
          <cell r="C586">
            <v>140056.67000000001</v>
          </cell>
          <cell r="D586">
            <v>367190.78</v>
          </cell>
          <cell r="E586">
            <v>724998.57</v>
          </cell>
        </row>
        <row r="587">
          <cell r="A587" t="str">
            <v>BROOKSHIRE GROCERY</v>
          </cell>
          <cell r="B587">
            <v>96796.87</v>
          </cell>
          <cell r="C587">
            <v>288601.76</v>
          </cell>
          <cell r="D587">
            <v>541971.16</v>
          </cell>
          <cell r="E587">
            <v>723674.01</v>
          </cell>
        </row>
        <row r="588">
          <cell r="A588" t="str">
            <v>CHS INC</v>
          </cell>
          <cell r="B588">
            <v>27086.880000000001</v>
          </cell>
          <cell r="C588">
            <v>113801.19</v>
          </cell>
          <cell r="D588">
            <v>392726.89</v>
          </cell>
          <cell r="E588">
            <v>718144.78</v>
          </cell>
        </row>
        <row r="589">
          <cell r="A589" t="str">
            <v>CASINO - FRANCE</v>
          </cell>
          <cell r="B589">
            <v>46409</v>
          </cell>
          <cell r="C589">
            <v>223976.09</v>
          </cell>
          <cell r="D589">
            <v>428196.24</v>
          </cell>
          <cell r="E589">
            <v>701571.55</v>
          </cell>
        </row>
        <row r="590">
          <cell r="A590" t="str">
            <v>PIGGLY WIGGLY</v>
          </cell>
          <cell r="B590">
            <v>37773.67</v>
          </cell>
          <cell r="C590">
            <v>134746.26999999999</v>
          </cell>
          <cell r="D590">
            <v>379484.63</v>
          </cell>
          <cell r="E590">
            <v>695639.13</v>
          </cell>
        </row>
        <row r="591">
          <cell r="A591" t="str">
            <v>MCKESSON - ABC PHARMACY</v>
          </cell>
          <cell r="B591">
            <v>48822.78</v>
          </cell>
          <cell r="C591">
            <v>149052.19</v>
          </cell>
          <cell r="D591">
            <v>397054.86</v>
          </cell>
          <cell r="E591">
            <v>694461.7</v>
          </cell>
        </row>
        <row r="592">
          <cell r="A592" t="str">
            <v>HARPS</v>
          </cell>
          <cell r="B592">
            <v>35624.65</v>
          </cell>
          <cell r="C592">
            <v>121731.41</v>
          </cell>
          <cell r="D592">
            <v>360666.48</v>
          </cell>
          <cell r="E592">
            <v>687430.39</v>
          </cell>
        </row>
        <row r="593">
          <cell r="A593" t="str">
            <v>REASORS</v>
          </cell>
          <cell r="B593">
            <v>43156.87</v>
          </cell>
          <cell r="C593">
            <v>125318.99</v>
          </cell>
          <cell r="D593">
            <v>377617.69</v>
          </cell>
          <cell r="E593">
            <v>661826.75</v>
          </cell>
        </row>
        <row r="594">
          <cell r="A594" t="str">
            <v>FRESH BRANDS</v>
          </cell>
          <cell r="B594">
            <v>42059.34</v>
          </cell>
          <cell r="C594">
            <v>134321.49</v>
          </cell>
          <cell r="D594">
            <v>370949.39</v>
          </cell>
          <cell r="E594">
            <v>652221.78</v>
          </cell>
        </row>
        <row r="595">
          <cell r="A595" t="str">
            <v>IDT</v>
          </cell>
          <cell r="B595">
            <v>38835</v>
          </cell>
          <cell r="C595">
            <v>117210</v>
          </cell>
          <cell r="D595">
            <v>335850</v>
          </cell>
          <cell r="E595">
            <v>637185</v>
          </cell>
        </row>
        <row r="596">
          <cell r="A596" t="str">
            <v>C AND S</v>
          </cell>
          <cell r="B596">
            <v>46787.72</v>
          </cell>
          <cell r="C596">
            <v>163177.70000000001</v>
          </cell>
          <cell r="D596">
            <v>386902.62</v>
          </cell>
          <cell r="E596">
            <v>616956.64</v>
          </cell>
        </row>
        <row r="597">
          <cell r="A597" t="str">
            <v>COSTCO</v>
          </cell>
          <cell r="B597">
            <v>15000</v>
          </cell>
          <cell r="C597">
            <v>27000</v>
          </cell>
          <cell r="D597">
            <v>378336.1</v>
          </cell>
          <cell r="E597">
            <v>598211.61</v>
          </cell>
        </row>
        <row r="598">
          <cell r="A598" t="str">
            <v>MCKEEVERS</v>
          </cell>
          <cell r="B598">
            <v>50316.15</v>
          </cell>
          <cell r="C598">
            <v>186593.71</v>
          </cell>
          <cell r="D598">
            <v>395960.6</v>
          </cell>
          <cell r="E598">
            <v>548502.54</v>
          </cell>
        </row>
        <row r="599">
          <cell r="A599" t="str">
            <v>GSI COMMERCE</v>
          </cell>
          <cell r="B599">
            <v>14010</v>
          </cell>
          <cell r="C599">
            <v>43270</v>
          </cell>
          <cell r="D599">
            <v>363560</v>
          </cell>
          <cell r="E599">
            <v>507910</v>
          </cell>
        </row>
        <row r="600">
          <cell r="A600" t="str">
            <v>ESSO</v>
          </cell>
          <cell r="B600">
            <v>31859.14</v>
          </cell>
          <cell r="C600">
            <v>99794.61</v>
          </cell>
          <cell r="D600">
            <v>278685.67</v>
          </cell>
          <cell r="E600">
            <v>493553.2</v>
          </cell>
        </row>
        <row r="601">
          <cell r="A601" t="str">
            <v>ROUSES</v>
          </cell>
          <cell r="B601">
            <v>31323.52</v>
          </cell>
          <cell r="C601">
            <v>92681.31</v>
          </cell>
          <cell r="D601">
            <v>278622.15000000002</v>
          </cell>
          <cell r="E601">
            <v>488599.33</v>
          </cell>
        </row>
        <row r="602">
          <cell r="A602" t="str">
            <v>SHELL OIL OF CANADA</v>
          </cell>
          <cell r="B602">
            <v>38488.449999999997</v>
          </cell>
          <cell r="C602">
            <v>113315.4</v>
          </cell>
          <cell r="D602">
            <v>276277.78000000003</v>
          </cell>
          <cell r="E602">
            <v>470403.19</v>
          </cell>
        </row>
        <row r="603">
          <cell r="A603" t="str">
            <v>FOOD LAND GROCERY</v>
          </cell>
          <cell r="B603">
            <v>21405</v>
          </cell>
          <cell r="C603">
            <v>85408</v>
          </cell>
          <cell r="D603">
            <v>246603</v>
          </cell>
          <cell r="E603">
            <v>453760.97</v>
          </cell>
        </row>
        <row r="604">
          <cell r="A604" t="str">
            <v>ROSAUERS</v>
          </cell>
          <cell r="B604">
            <v>31822.66</v>
          </cell>
          <cell r="C604">
            <v>100167.53</v>
          </cell>
          <cell r="D604">
            <v>252818.04</v>
          </cell>
          <cell r="E604">
            <v>434786.8</v>
          </cell>
        </row>
        <row r="605">
          <cell r="A605" t="str">
            <v>HEINEN</v>
          </cell>
          <cell r="B605">
            <v>28770</v>
          </cell>
          <cell r="C605">
            <v>99568.95</v>
          </cell>
          <cell r="D605">
            <v>257935.9</v>
          </cell>
          <cell r="E605">
            <v>431799.69</v>
          </cell>
        </row>
        <row r="606">
          <cell r="A606" t="str">
            <v>SODEXO</v>
          </cell>
          <cell r="B606">
            <v>28185</v>
          </cell>
          <cell r="C606">
            <v>74070</v>
          </cell>
          <cell r="D606">
            <v>219330</v>
          </cell>
          <cell r="E606">
            <v>431780</v>
          </cell>
        </row>
        <row r="607">
          <cell r="A607" t="str">
            <v>WOOLWORTHS - AUS</v>
          </cell>
          <cell r="B607">
            <v>56190.5</v>
          </cell>
          <cell r="C607">
            <v>280388.78999999998</v>
          </cell>
          <cell r="D607">
            <v>414416.14</v>
          </cell>
          <cell r="E607">
            <v>414416.14</v>
          </cell>
        </row>
        <row r="608">
          <cell r="A608" t="str">
            <v>HARVEYS</v>
          </cell>
          <cell r="B608">
            <v>22998.33</v>
          </cell>
          <cell r="C608">
            <v>75459.19</v>
          </cell>
          <cell r="D608">
            <v>202734.22</v>
          </cell>
          <cell r="E608">
            <v>366561.59</v>
          </cell>
        </row>
        <row r="609">
          <cell r="A609" t="str">
            <v>PAYSPOT</v>
          </cell>
          <cell r="B609">
            <v>24285</v>
          </cell>
          <cell r="C609">
            <v>70035</v>
          </cell>
          <cell r="D609">
            <v>194685</v>
          </cell>
          <cell r="E609">
            <v>359780</v>
          </cell>
        </row>
        <row r="610">
          <cell r="A610" t="str">
            <v>ALEX LEE</v>
          </cell>
          <cell r="B610">
            <v>16201.38</v>
          </cell>
          <cell r="C610">
            <v>62647.03</v>
          </cell>
          <cell r="D610">
            <v>180867.44</v>
          </cell>
          <cell r="E610">
            <v>350708.38</v>
          </cell>
        </row>
        <row r="611">
          <cell r="A611" t="str">
            <v>MAJOR LEAGUE BASEBALL</v>
          </cell>
          <cell r="B611">
            <v>18650</v>
          </cell>
          <cell r="C611">
            <v>87600</v>
          </cell>
          <cell r="D611">
            <v>244975</v>
          </cell>
          <cell r="E611">
            <v>349450</v>
          </cell>
        </row>
        <row r="612">
          <cell r="A612" t="str">
            <v>BHN NES ACTIVATIONS</v>
          </cell>
          <cell r="B612">
            <v>30830</v>
          </cell>
          <cell r="C612">
            <v>180705</v>
          </cell>
          <cell r="D612">
            <v>196755</v>
          </cell>
          <cell r="E612">
            <v>347767.5</v>
          </cell>
        </row>
        <row r="613">
          <cell r="A613" t="str">
            <v>SVU INDEPENDENT 30</v>
          </cell>
          <cell r="B613">
            <v>22498.6</v>
          </cell>
          <cell r="C613">
            <v>71976.77</v>
          </cell>
          <cell r="D613">
            <v>180099.09</v>
          </cell>
          <cell r="E613">
            <v>318658.15000000002</v>
          </cell>
        </row>
        <row r="614">
          <cell r="A614" t="str">
            <v>B &amp; R STORES</v>
          </cell>
          <cell r="B614">
            <v>21876.99</v>
          </cell>
          <cell r="C614">
            <v>63956.18</v>
          </cell>
          <cell r="D614">
            <v>181373.41</v>
          </cell>
          <cell r="E614">
            <v>313410.02</v>
          </cell>
        </row>
        <row r="615">
          <cell r="A615" t="str">
            <v>WOODMANS</v>
          </cell>
          <cell r="B615">
            <v>20989.61</v>
          </cell>
          <cell r="C615">
            <v>61238.05</v>
          </cell>
          <cell r="D615">
            <v>166893.74</v>
          </cell>
          <cell r="E615">
            <v>299800.96000000002</v>
          </cell>
        </row>
        <row r="616">
          <cell r="A616" t="str">
            <v>RIDLEY FAMILY MARKETS</v>
          </cell>
          <cell r="B616">
            <v>16249.79</v>
          </cell>
          <cell r="C616">
            <v>56329.24</v>
          </cell>
          <cell r="D616">
            <v>149253.95000000001</v>
          </cell>
          <cell r="E616">
            <v>272928.08</v>
          </cell>
        </row>
        <row r="617">
          <cell r="A617" t="str">
            <v>GERLANDS</v>
          </cell>
          <cell r="B617">
            <v>14670.25</v>
          </cell>
          <cell r="C617">
            <v>54496.9</v>
          </cell>
          <cell r="D617">
            <v>152446.82999999999</v>
          </cell>
          <cell r="E617">
            <v>265883.65000000002</v>
          </cell>
        </row>
        <row r="618">
          <cell r="A618" t="str">
            <v>TIMES SUPERMARKET</v>
          </cell>
          <cell r="B618">
            <v>12982.87</v>
          </cell>
          <cell r="C618">
            <v>51615</v>
          </cell>
          <cell r="D618">
            <v>145737.39000000001</v>
          </cell>
          <cell r="E618">
            <v>265354.21999999997</v>
          </cell>
        </row>
        <row r="619">
          <cell r="A619" t="str">
            <v>SOUTHERN FAMILY</v>
          </cell>
          <cell r="B619">
            <v>17490.5</v>
          </cell>
          <cell r="C619">
            <v>48036.17</v>
          </cell>
          <cell r="D619">
            <v>138475.94</v>
          </cell>
          <cell r="E619">
            <v>249076.72</v>
          </cell>
        </row>
        <row r="620">
          <cell r="A620" t="str">
            <v>BORDERS UK</v>
          </cell>
          <cell r="B620">
            <v>17015.77</v>
          </cell>
          <cell r="C620">
            <v>49317.54</v>
          </cell>
          <cell r="D620">
            <v>117829.27</v>
          </cell>
          <cell r="E620">
            <v>238006.82</v>
          </cell>
        </row>
        <row r="621">
          <cell r="A621" t="str">
            <v>SNYDER DRUG</v>
          </cell>
          <cell r="B621">
            <v>11273.34</v>
          </cell>
          <cell r="C621">
            <v>41834.26</v>
          </cell>
          <cell r="D621">
            <v>114325.93</v>
          </cell>
          <cell r="E621">
            <v>236565.83</v>
          </cell>
        </row>
        <row r="622">
          <cell r="A622" t="str">
            <v>DW - COUCHE TARDE - CANADA</v>
          </cell>
          <cell r="B622">
            <v>11525.14</v>
          </cell>
          <cell r="C622">
            <v>39394.49</v>
          </cell>
          <cell r="D622">
            <v>114528.92</v>
          </cell>
          <cell r="E622">
            <v>226118.23</v>
          </cell>
        </row>
        <row r="623">
          <cell r="A623" t="str">
            <v>ERRAND SOLUTIONS</v>
          </cell>
          <cell r="B623">
            <v>8119.05</v>
          </cell>
          <cell r="C623">
            <v>37615</v>
          </cell>
          <cell r="D623">
            <v>123110.9</v>
          </cell>
          <cell r="E623">
            <v>204800.9</v>
          </cell>
        </row>
        <row r="624">
          <cell r="A624" t="str">
            <v>GIFT CARD MALL</v>
          </cell>
          <cell r="B624">
            <v>6198</v>
          </cell>
          <cell r="C624">
            <v>31269</v>
          </cell>
          <cell r="D624">
            <v>96026</v>
          </cell>
          <cell r="E624">
            <v>203031</v>
          </cell>
        </row>
        <row r="625">
          <cell r="A625" t="str">
            <v>BEVERAGES AND MORE</v>
          </cell>
          <cell r="B625">
            <v>19995</v>
          </cell>
          <cell r="C625">
            <v>60995</v>
          </cell>
          <cell r="D625">
            <v>105455</v>
          </cell>
          <cell r="E625">
            <v>197890.58</v>
          </cell>
        </row>
        <row r="626">
          <cell r="A626" t="str">
            <v>DAVES SUPERMARKETS</v>
          </cell>
          <cell r="B626">
            <v>9099.83</v>
          </cell>
          <cell r="C626">
            <v>32359.53</v>
          </cell>
          <cell r="D626">
            <v>90421.72</v>
          </cell>
          <cell r="E626">
            <v>193011.67</v>
          </cell>
        </row>
        <row r="627">
          <cell r="A627" t="str">
            <v>RIESBECKS FOODS</v>
          </cell>
          <cell r="B627">
            <v>13709.21</v>
          </cell>
          <cell r="C627">
            <v>41248.97</v>
          </cell>
          <cell r="D627">
            <v>110043.84</v>
          </cell>
          <cell r="E627">
            <v>191511.66</v>
          </cell>
        </row>
        <row r="628">
          <cell r="A628" t="str">
            <v>PEAPOD</v>
          </cell>
          <cell r="B628">
            <v>9420</v>
          </cell>
          <cell r="C628">
            <v>34400</v>
          </cell>
          <cell r="D628">
            <v>110370</v>
          </cell>
          <cell r="E628">
            <v>186530</v>
          </cell>
        </row>
        <row r="629">
          <cell r="A629" t="str">
            <v>24 HOUR FITNESS</v>
          </cell>
          <cell r="B629">
            <v>11556.67</v>
          </cell>
          <cell r="C629">
            <v>43692.58</v>
          </cell>
          <cell r="D629">
            <v>95476.53</v>
          </cell>
          <cell r="E629">
            <v>183981.39</v>
          </cell>
        </row>
        <row r="630">
          <cell r="A630" t="str">
            <v>DAGOSTINO</v>
          </cell>
          <cell r="B630">
            <v>11040.93</v>
          </cell>
          <cell r="C630">
            <v>36222.78</v>
          </cell>
          <cell r="D630">
            <v>93800.53</v>
          </cell>
          <cell r="E630">
            <v>172512.13</v>
          </cell>
        </row>
        <row r="631">
          <cell r="A631" t="str">
            <v>THRIFTY</v>
          </cell>
          <cell r="B631">
            <v>14756.38</v>
          </cell>
          <cell r="C631">
            <v>39748.589999999997</v>
          </cell>
          <cell r="D631">
            <v>87998.75</v>
          </cell>
          <cell r="E631">
            <v>159774.07</v>
          </cell>
        </row>
        <row r="632">
          <cell r="A632" t="str">
            <v>MARTIN MCCOLLS</v>
          </cell>
          <cell r="B632">
            <v>5406.21</v>
          </cell>
          <cell r="C632">
            <v>21199.19</v>
          </cell>
          <cell r="D632">
            <v>63687.75</v>
          </cell>
          <cell r="E632">
            <v>138839.72</v>
          </cell>
        </row>
        <row r="633">
          <cell r="A633" t="str">
            <v>GIFT CARDS DIRECT - AUS</v>
          </cell>
          <cell r="B633">
            <v>3315.41</v>
          </cell>
          <cell r="C633">
            <v>75670.23</v>
          </cell>
          <cell r="D633">
            <v>130886.67</v>
          </cell>
          <cell r="E633">
            <v>136623.65</v>
          </cell>
        </row>
        <row r="634">
          <cell r="A634" t="str">
            <v>BUTERA</v>
          </cell>
          <cell r="B634">
            <v>9243.81</v>
          </cell>
          <cell r="C634">
            <v>29378.39</v>
          </cell>
          <cell r="D634">
            <v>78536.11</v>
          </cell>
          <cell r="E634">
            <v>135275.44</v>
          </cell>
        </row>
        <row r="635">
          <cell r="A635" t="str">
            <v>FELKER</v>
          </cell>
          <cell r="B635">
            <v>6930.4</v>
          </cell>
          <cell r="C635">
            <v>20594.78</v>
          </cell>
          <cell r="D635">
            <v>60455.22</v>
          </cell>
          <cell r="E635">
            <v>111965.75</v>
          </cell>
        </row>
        <row r="636">
          <cell r="A636" t="str">
            <v>AFS2 - LITTLE ROCK</v>
          </cell>
          <cell r="B636">
            <v>874.99</v>
          </cell>
          <cell r="C636">
            <v>6864.94</v>
          </cell>
          <cell r="D636">
            <v>40508.79</v>
          </cell>
          <cell r="E636">
            <v>103025.60000000001</v>
          </cell>
        </row>
        <row r="637">
          <cell r="A637" t="str">
            <v>ARGOS - UK</v>
          </cell>
          <cell r="B637">
            <v>653.89</v>
          </cell>
          <cell r="C637">
            <v>8061.3</v>
          </cell>
          <cell r="D637">
            <v>40996.720000000001</v>
          </cell>
          <cell r="E637">
            <v>91877.33</v>
          </cell>
        </row>
        <row r="638">
          <cell r="A638" t="str">
            <v>NATIONAL BASKETBALL ASSOCIATION</v>
          </cell>
          <cell r="B638">
            <v>4470</v>
          </cell>
          <cell r="C638">
            <v>10164.65</v>
          </cell>
          <cell r="D638">
            <v>58714.080000000002</v>
          </cell>
          <cell r="E638">
            <v>82204.59</v>
          </cell>
        </row>
        <row r="639">
          <cell r="A639" t="str">
            <v>DRAKE SUPERMARKETS - AUS</v>
          </cell>
          <cell r="B639">
            <v>9815.58</v>
          </cell>
          <cell r="C639">
            <v>37678.26</v>
          </cell>
          <cell r="D639">
            <v>75881.570000000007</v>
          </cell>
          <cell r="E639">
            <v>81418.75</v>
          </cell>
        </row>
        <row r="640">
          <cell r="A640" t="str">
            <v>BOULANGER</v>
          </cell>
          <cell r="B640">
            <v>6712.12</v>
          </cell>
          <cell r="C640">
            <v>18854.71</v>
          </cell>
          <cell r="D640">
            <v>39232.18</v>
          </cell>
          <cell r="E640">
            <v>70356.179999999993</v>
          </cell>
        </row>
        <row r="641">
          <cell r="A641" t="str">
            <v>FOODMASTERS</v>
          </cell>
          <cell r="B641">
            <v>7572.5</v>
          </cell>
          <cell r="C641">
            <v>17821.95</v>
          </cell>
          <cell r="D641">
            <v>41212.699999999997</v>
          </cell>
          <cell r="E641">
            <v>68357.7</v>
          </cell>
        </row>
        <row r="642">
          <cell r="A642" t="str">
            <v>TOYS R US - CAN</v>
          </cell>
          <cell r="B642">
            <v>3588.86</v>
          </cell>
          <cell r="C642">
            <v>11496.12</v>
          </cell>
          <cell r="D642">
            <v>32201.71</v>
          </cell>
          <cell r="E642">
            <v>64776.05</v>
          </cell>
        </row>
        <row r="643">
          <cell r="A643" t="str">
            <v>MLB - SF GIANTS</v>
          </cell>
          <cell r="B643">
            <v>9225</v>
          </cell>
          <cell r="C643">
            <v>22711.93</v>
          </cell>
          <cell r="D643">
            <v>46199.93</v>
          </cell>
          <cell r="E643">
            <v>59501.93</v>
          </cell>
        </row>
        <row r="644">
          <cell r="A644" t="str">
            <v>MINYARDS</v>
          </cell>
          <cell r="B644">
            <v>1155</v>
          </cell>
          <cell r="C644">
            <v>7295</v>
          </cell>
          <cell r="D644">
            <v>32160</v>
          </cell>
          <cell r="E644">
            <v>58290</v>
          </cell>
        </row>
        <row r="645">
          <cell r="A645" t="str">
            <v>AG - BATON ROUGE</v>
          </cell>
          <cell r="B645">
            <v>6320</v>
          </cell>
          <cell r="C645">
            <v>14985</v>
          </cell>
          <cell r="D645">
            <v>34264.99</v>
          </cell>
          <cell r="E645">
            <v>57271.98</v>
          </cell>
        </row>
        <row r="646">
          <cell r="A646" t="str">
            <v>MLB - MINNESOTA TWINS</v>
          </cell>
          <cell r="B646">
            <v>7350</v>
          </cell>
          <cell r="C646">
            <v>17320</v>
          </cell>
          <cell r="D646">
            <v>35570</v>
          </cell>
          <cell r="E646">
            <v>49745</v>
          </cell>
        </row>
        <row r="647">
          <cell r="A647" t="str">
            <v>BRUNET - CANADA</v>
          </cell>
          <cell r="B647">
            <v>6017.71</v>
          </cell>
          <cell r="C647">
            <v>16565.87</v>
          </cell>
          <cell r="D647">
            <v>34148.47</v>
          </cell>
          <cell r="E647">
            <v>48809.08</v>
          </cell>
        </row>
        <row r="648">
          <cell r="A648" t="str">
            <v>WELCOME BREAK - UK</v>
          </cell>
          <cell r="B648">
            <v>1761.14</v>
          </cell>
          <cell r="C648">
            <v>8308.2099999999991</v>
          </cell>
          <cell r="D648">
            <v>19329.09</v>
          </cell>
          <cell r="E648">
            <v>39455.440000000002</v>
          </cell>
        </row>
        <row r="649">
          <cell r="A649" t="str">
            <v>GGP MERCHANTS</v>
          </cell>
          <cell r="B649">
            <v>100</v>
          </cell>
          <cell r="C649">
            <v>100</v>
          </cell>
          <cell r="D649">
            <v>15264.92</v>
          </cell>
          <cell r="E649">
            <v>37549.69</v>
          </cell>
        </row>
        <row r="650">
          <cell r="A650" t="str">
            <v>NFL - PITTSBURGH STEELERS</v>
          </cell>
          <cell r="B650">
            <v>1172.06</v>
          </cell>
          <cell r="C650">
            <v>3473.1</v>
          </cell>
          <cell r="D650">
            <v>10274.379999999999</v>
          </cell>
          <cell r="E650">
            <v>36465.99</v>
          </cell>
        </row>
        <row r="651">
          <cell r="A651" t="str">
            <v>MLB - KANSAS CITY ROYALS</v>
          </cell>
          <cell r="B651">
            <v>2825</v>
          </cell>
          <cell r="C651">
            <v>9520</v>
          </cell>
          <cell r="D651">
            <v>23160</v>
          </cell>
          <cell r="E651">
            <v>34510</v>
          </cell>
        </row>
        <row r="652">
          <cell r="A652" t="str">
            <v>DRUG TRADING</v>
          </cell>
          <cell r="B652">
            <v>4330.97</v>
          </cell>
          <cell r="C652">
            <v>11297.69</v>
          </cell>
          <cell r="D652">
            <v>23106.54</v>
          </cell>
          <cell r="E652">
            <v>34303.69</v>
          </cell>
        </row>
        <row r="653">
          <cell r="A653" t="str">
            <v>BLACKHAWK CORP OPERATIONS</v>
          </cell>
          <cell r="B653">
            <v>1662.97</v>
          </cell>
          <cell r="C653">
            <v>4638.3500000000004</v>
          </cell>
          <cell r="D653">
            <v>19057.240000000002</v>
          </cell>
          <cell r="E653">
            <v>31634.560000000001</v>
          </cell>
        </row>
        <row r="654">
          <cell r="A654" t="str">
            <v>PIONEER PETROLEUM</v>
          </cell>
          <cell r="B654">
            <v>2839.1</v>
          </cell>
          <cell r="C654">
            <v>6920.47</v>
          </cell>
          <cell r="D654">
            <v>16948.79</v>
          </cell>
          <cell r="E654">
            <v>31356.21</v>
          </cell>
        </row>
        <row r="655">
          <cell r="A655" t="str">
            <v>WINKLER WHOLESALE GROCERS</v>
          </cell>
          <cell r="B655">
            <v>2114.83</v>
          </cell>
          <cell r="C655">
            <v>6664.49</v>
          </cell>
          <cell r="D655">
            <v>17517.63</v>
          </cell>
          <cell r="E655">
            <v>31290.2</v>
          </cell>
        </row>
        <row r="656">
          <cell r="A656" t="str">
            <v>TAFMO - AUS</v>
          </cell>
          <cell r="B656">
            <v>1551.93</v>
          </cell>
          <cell r="C656">
            <v>5816.54</v>
          </cell>
          <cell r="D656">
            <v>17495.150000000001</v>
          </cell>
          <cell r="E656">
            <v>28936.65</v>
          </cell>
        </row>
        <row r="657">
          <cell r="A657" t="str">
            <v>DALLAS COWBOYS</v>
          </cell>
          <cell r="B657">
            <v>2021.21</v>
          </cell>
          <cell r="C657">
            <v>3674.7</v>
          </cell>
          <cell r="D657">
            <v>9205.33</v>
          </cell>
          <cell r="E657">
            <v>22132.9</v>
          </cell>
        </row>
        <row r="658">
          <cell r="A658" t="str">
            <v>ASSOC GROCERS OF THE SOUTH</v>
          </cell>
          <cell r="B658">
            <v>889.98</v>
          </cell>
          <cell r="C658">
            <v>4473.93</v>
          </cell>
          <cell r="D658">
            <v>11448.88</v>
          </cell>
          <cell r="E658">
            <v>20968.84</v>
          </cell>
        </row>
        <row r="659">
          <cell r="A659" t="str">
            <v>ENCOMPASS</v>
          </cell>
          <cell r="B659">
            <v>400</v>
          </cell>
          <cell r="C659">
            <v>4900</v>
          </cell>
          <cell r="D659">
            <v>14525</v>
          </cell>
          <cell r="E659">
            <v>20015</v>
          </cell>
        </row>
        <row r="660">
          <cell r="A660" t="str">
            <v>EWI - INTERCOMPANY</v>
          </cell>
          <cell r="B660">
            <v>1415</v>
          </cell>
          <cell r="C660">
            <v>5850</v>
          </cell>
          <cell r="D660">
            <v>17786</v>
          </cell>
          <cell r="E660">
            <v>18036</v>
          </cell>
        </row>
        <row r="661">
          <cell r="A661" t="str">
            <v>BHN OPERATIONS - AUSTRALIA</v>
          </cell>
          <cell r="B661">
            <v>12635.56</v>
          </cell>
          <cell r="C661">
            <v>13883.5</v>
          </cell>
          <cell r="D661">
            <v>16144.85</v>
          </cell>
          <cell r="E661">
            <v>16849.580000000002</v>
          </cell>
        </row>
        <row r="662">
          <cell r="A662" t="str">
            <v>EDMONTON OILERS NHL (CAN)</v>
          </cell>
          <cell r="B662">
            <v>22.5</v>
          </cell>
          <cell r="C662">
            <v>66.349999999999994</v>
          </cell>
          <cell r="D662">
            <v>8822.32</v>
          </cell>
          <cell r="E662">
            <v>16391.22</v>
          </cell>
        </row>
        <row r="663">
          <cell r="A663" t="str">
            <v>DW - AVONDALE FOODS - CANADA</v>
          </cell>
          <cell r="B663">
            <v>222.82</v>
          </cell>
          <cell r="C663">
            <v>2170.73</v>
          </cell>
          <cell r="D663">
            <v>5243.62</v>
          </cell>
          <cell r="E663">
            <v>15853.67</v>
          </cell>
        </row>
        <row r="664">
          <cell r="A664" t="str">
            <v>NFL - KANSAS CITY CHIEFS</v>
          </cell>
          <cell r="B664">
            <v>100</v>
          </cell>
          <cell r="C664">
            <v>400</v>
          </cell>
          <cell r="D664">
            <v>15850</v>
          </cell>
          <cell r="E664">
            <v>15850</v>
          </cell>
        </row>
        <row r="665">
          <cell r="A665" t="str">
            <v>PHILADELPHIA EAGLES</v>
          </cell>
          <cell r="B665">
            <v>725</v>
          </cell>
          <cell r="C665">
            <v>2975</v>
          </cell>
          <cell r="D665">
            <v>4375</v>
          </cell>
          <cell r="E665">
            <v>14400</v>
          </cell>
        </row>
        <row r="666">
          <cell r="A666" t="str">
            <v>CLEVELAND INDIANS - MLB</v>
          </cell>
          <cell r="B666">
            <v>1100</v>
          </cell>
          <cell r="C666">
            <v>3975</v>
          </cell>
          <cell r="D666">
            <v>8750</v>
          </cell>
          <cell r="E666">
            <v>13725</v>
          </cell>
        </row>
        <row r="667">
          <cell r="A667" t="str">
            <v>NFL - SEATTLE SEAHAWKS</v>
          </cell>
          <cell r="B667">
            <v>353.8</v>
          </cell>
          <cell r="C667">
            <v>2480.5100000000002</v>
          </cell>
          <cell r="D667">
            <v>6860.9</v>
          </cell>
          <cell r="E667">
            <v>12579.31</v>
          </cell>
        </row>
        <row r="668">
          <cell r="A668" t="str">
            <v>ATLANTA BRAVES</v>
          </cell>
          <cell r="B668">
            <v>50</v>
          </cell>
          <cell r="C668">
            <v>3617.75</v>
          </cell>
          <cell r="D668">
            <v>9538.25</v>
          </cell>
          <cell r="E668">
            <v>11063.25</v>
          </cell>
        </row>
        <row r="669">
          <cell r="A669" t="str">
            <v>DIS CARTEL - ULTRAMAR - CANADA</v>
          </cell>
          <cell r="B669">
            <v>571.29999999999995</v>
          </cell>
          <cell r="C669">
            <v>1902.3</v>
          </cell>
          <cell r="D669">
            <v>5493.5</v>
          </cell>
          <cell r="E669">
            <v>11052.23</v>
          </cell>
        </row>
        <row r="670">
          <cell r="A670" t="str">
            <v>BHN OPS - CANADA/US</v>
          </cell>
          <cell r="B670">
            <v>265.64</v>
          </cell>
          <cell r="C670">
            <v>3758.73</v>
          </cell>
          <cell r="D670">
            <v>8633.8700000000008</v>
          </cell>
          <cell r="E670">
            <v>10721.52</v>
          </cell>
        </row>
        <row r="671">
          <cell r="A671" t="str">
            <v>EAGLERIDER INC.</v>
          </cell>
          <cell r="B671">
            <v>875</v>
          </cell>
          <cell r="C671">
            <v>1601.79</v>
          </cell>
          <cell r="D671">
            <v>5307</v>
          </cell>
          <cell r="E671">
            <v>10036.200000000001</v>
          </cell>
        </row>
        <row r="672">
          <cell r="A672" t="str">
            <v>WASHINGTON REDSKINS</v>
          </cell>
          <cell r="B672">
            <v>450</v>
          </cell>
          <cell r="C672">
            <v>850</v>
          </cell>
          <cell r="D672">
            <v>2200</v>
          </cell>
          <cell r="E672">
            <v>10025</v>
          </cell>
        </row>
        <row r="673">
          <cell r="A673" t="str">
            <v>MLB - TEXAS RANGERS</v>
          </cell>
          <cell r="B673">
            <v>1425</v>
          </cell>
          <cell r="C673">
            <v>3000</v>
          </cell>
          <cell r="D673">
            <v>8575</v>
          </cell>
          <cell r="E673">
            <v>9525</v>
          </cell>
        </row>
        <row r="674">
          <cell r="A674" t="str">
            <v>CANADIAN TIRE</v>
          </cell>
          <cell r="B674">
            <v>852.3</v>
          </cell>
          <cell r="C674">
            <v>1856.01</v>
          </cell>
          <cell r="D674">
            <v>5419.16</v>
          </cell>
          <cell r="E674">
            <v>9120.48</v>
          </cell>
        </row>
        <row r="675">
          <cell r="A675" t="str">
            <v>LOS ANGELES ANGELS OF ANAHEIM</v>
          </cell>
          <cell r="B675">
            <v>352.5</v>
          </cell>
          <cell r="C675">
            <v>877.5</v>
          </cell>
          <cell r="D675">
            <v>6518</v>
          </cell>
          <cell r="E675">
            <v>9093</v>
          </cell>
        </row>
        <row r="676">
          <cell r="A676" t="str">
            <v>UNKNOWN COMPANY</v>
          </cell>
          <cell r="B676">
            <v>7258</v>
          </cell>
          <cell r="C676">
            <v>8948</v>
          </cell>
          <cell r="D676">
            <v>8948</v>
          </cell>
          <cell r="E676">
            <v>8948</v>
          </cell>
        </row>
        <row r="677">
          <cell r="A677" t="str">
            <v>STAPLES - CANADA</v>
          </cell>
          <cell r="B677">
            <v>5838.48</v>
          </cell>
          <cell r="C677">
            <v>7652.72</v>
          </cell>
          <cell r="D677">
            <v>8590.61</v>
          </cell>
          <cell r="E677">
            <v>8590.61</v>
          </cell>
        </row>
        <row r="678">
          <cell r="A678" t="str">
            <v>CLEVELAND CAVALIERS</v>
          </cell>
          <cell r="B678">
            <v>50</v>
          </cell>
          <cell r="C678">
            <v>700</v>
          </cell>
          <cell r="D678">
            <v>4925</v>
          </cell>
          <cell r="E678">
            <v>7550</v>
          </cell>
        </row>
        <row r="679">
          <cell r="A679" t="str">
            <v>TAMPA BAY RAYS</v>
          </cell>
          <cell r="B679">
            <v>525</v>
          </cell>
          <cell r="C679">
            <v>1600</v>
          </cell>
          <cell r="D679">
            <v>4562</v>
          </cell>
          <cell r="E679">
            <v>6412</v>
          </cell>
        </row>
        <row r="680">
          <cell r="A680" t="str">
            <v>MLB - PITTSBURGH PIRATES</v>
          </cell>
          <cell r="B680">
            <v>300</v>
          </cell>
          <cell r="C680">
            <v>1735</v>
          </cell>
          <cell r="D680">
            <v>4810</v>
          </cell>
          <cell r="E680">
            <v>5785</v>
          </cell>
        </row>
        <row r="681">
          <cell r="A681" t="str">
            <v>COLUMBUS BLUE JACKETS</v>
          </cell>
          <cell r="B681">
            <v>75</v>
          </cell>
          <cell r="C681">
            <v>459.5</v>
          </cell>
          <cell r="D681">
            <v>2084.15</v>
          </cell>
          <cell r="E681">
            <v>5646</v>
          </cell>
        </row>
        <row r="682">
          <cell r="A682" t="str">
            <v>GATEWAY NEWSTANDS</v>
          </cell>
          <cell r="B682">
            <v>118.28</v>
          </cell>
          <cell r="C682">
            <v>1003.86</v>
          </cell>
          <cell r="D682">
            <v>2738.9</v>
          </cell>
          <cell r="E682">
            <v>5511.04</v>
          </cell>
        </row>
        <row r="683">
          <cell r="A683" t="str">
            <v>COLORADO ROCKIES - MLB</v>
          </cell>
          <cell r="B683">
            <v>503.84</v>
          </cell>
          <cell r="C683">
            <v>1062.53</v>
          </cell>
          <cell r="D683">
            <v>3047.53</v>
          </cell>
          <cell r="E683">
            <v>4349.8999999999996</v>
          </cell>
        </row>
        <row r="684">
          <cell r="A684" t="str">
            <v>TOTAL UK</v>
          </cell>
          <cell r="B684">
            <v>188.41</v>
          </cell>
          <cell r="C684">
            <v>464.39</v>
          </cell>
          <cell r="D684">
            <v>1597.75</v>
          </cell>
          <cell r="E684">
            <v>3768.57</v>
          </cell>
        </row>
        <row r="685">
          <cell r="A685" t="str">
            <v>ANAHEIM DUCKS</v>
          </cell>
          <cell r="B685">
            <v>25</v>
          </cell>
          <cell r="C685">
            <v>400</v>
          </cell>
          <cell r="D685">
            <v>1025</v>
          </cell>
          <cell r="E685">
            <v>2850</v>
          </cell>
        </row>
        <row r="686">
          <cell r="A686" t="str">
            <v>NFL - NEW YORK JETS</v>
          </cell>
          <cell r="B686">
            <v>550</v>
          </cell>
          <cell r="C686">
            <v>605.5</v>
          </cell>
          <cell r="D686">
            <v>1300.8599999999999</v>
          </cell>
          <cell r="E686">
            <v>2520.1799999999998</v>
          </cell>
        </row>
        <row r="687">
          <cell r="A687" t="str">
            <v>CHICAGO BEARS</v>
          </cell>
          <cell r="B687">
            <v>250</v>
          </cell>
          <cell r="C687">
            <v>625</v>
          </cell>
          <cell r="D687">
            <v>675</v>
          </cell>
          <cell r="E687">
            <v>2325</v>
          </cell>
        </row>
        <row r="688">
          <cell r="A688" t="str">
            <v>NBA - MIAMI HEAT</v>
          </cell>
          <cell r="B688">
            <v>25</v>
          </cell>
          <cell r="C688">
            <v>214.98</v>
          </cell>
          <cell r="D688">
            <v>1090.8800000000001</v>
          </cell>
          <cell r="E688">
            <v>2126.7199999999998</v>
          </cell>
        </row>
        <row r="689">
          <cell r="A689" t="str">
            <v>NBA - GOLDEN STATE WARRIORS</v>
          </cell>
          <cell r="B689">
            <v>200</v>
          </cell>
          <cell r="C689">
            <v>250</v>
          </cell>
          <cell r="D689">
            <v>750</v>
          </cell>
          <cell r="E689">
            <v>1625</v>
          </cell>
        </row>
        <row r="690">
          <cell r="A690" t="str">
            <v>BHN AST BACKSTAGE</v>
          </cell>
          <cell r="B690">
            <v>100</v>
          </cell>
          <cell r="C690">
            <v>250</v>
          </cell>
          <cell r="D690">
            <v>1169</v>
          </cell>
          <cell r="E690">
            <v>1169</v>
          </cell>
        </row>
        <row r="691">
          <cell r="A691" t="str">
            <v>THE CO-OPERATIVE - UK</v>
          </cell>
          <cell r="B691">
            <v>957.48</v>
          </cell>
          <cell r="C691">
            <v>957.48</v>
          </cell>
          <cell r="D691">
            <v>972.52</v>
          </cell>
          <cell r="E691">
            <v>972.52</v>
          </cell>
        </row>
        <row r="692">
          <cell r="A692" t="str">
            <v>NEW ORLEANS HORNETS</v>
          </cell>
          <cell r="B692">
            <v>100</v>
          </cell>
          <cell r="C692">
            <v>225</v>
          </cell>
          <cell r="D692">
            <v>550</v>
          </cell>
          <cell r="E692">
            <v>800</v>
          </cell>
        </row>
        <row r="693">
          <cell r="A693" t="str">
            <v>AVENANCE UK</v>
          </cell>
          <cell r="B693">
            <v>16.22</v>
          </cell>
          <cell r="C693">
            <v>113.67</v>
          </cell>
          <cell r="D693">
            <v>218.45</v>
          </cell>
          <cell r="E693">
            <v>785.11</v>
          </cell>
        </row>
        <row r="694">
          <cell r="A694" t="str">
            <v>NORTHCLIFFE</v>
          </cell>
          <cell r="B694">
            <v>40.93</v>
          </cell>
          <cell r="C694">
            <v>88.82</v>
          </cell>
          <cell r="D694">
            <v>358.67</v>
          </cell>
          <cell r="E694">
            <v>603.5</v>
          </cell>
        </row>
        <row r="695">
          <cell r="A695" t="str">
            <v>SMITH DRUG COMPANY</v>
          </cell>
          <cell r="B695">
            <v>350</v>
          </cell>
          <cell r="C695">
            <v>400</v>
          </cell>
          <cell r="D695">
            <v>400</v>
          </cell>
          <cell r="E695">
            <v>400</v>
          </cell>
        </row>
        <row r="696">
          <cell r="A696" t="str">
            <v>SUPER SAGAMI - QUE - CANADA</v>
          </cell>
          <cell r="B696">
            <v>45.8</v>
          </cell>
          <cell r="C696">
            <v>180.29</v>
          </cell>
          <cell r="D696">
            <v>288.54000000000002</v>
          </cell>
          <cell r="E696">
            <v>288.54000000000002</v>
          </cell>
        </row>
        <row r="697">
          <cell r="A697" t="str">
            <v>SEARS</v>
          </cell>
          <cell r="B697">
            <v>29.99</v>
          </cell>
          <cell r="C697">
            <v>109.98</v>
          </cell>
          <cell r="D697">
            <v>109.98</v>
          </cell>
          <cell r="E697">
            <v>109.98</v>
          </cell>
        </row>
        <row r="698">
          <cell r="A698" t="str">
            <v>Total</v>
          </cell>
          <cell r="B698">
            <v>95409281.780000001</v>
          </cell>
          <cell r="C698">
            <v>299015789.85000002</v>
          </cell>
          <cell r="D698">
            <v>794360727.23000002</v>
          </cell>
          <cell r="E698">
            <v>1376015213.3900001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"/>
      <sheetName val="Links"/>
      <sheetName val="0. Consolidation"/>
      <sheetName val="1. US Reconciliation"/>
      <sheetName val="2. Outstanding Checks Testing"/>
      <sheetName val="3. Other Subtractive Testing"/>
      <sheetName val="4. Additive Testing"/>
      <sheetName val="5. Subsequent Deposit Testing"/>
      <sheetName val="6. ST Investments"/>
      <sheetName val="7. CND Cash Testing"/>
      <sheetName val="8. France Cash Testing"/>
      <sheetName val="9. Div 68 UK Cash Testing"/>
      <sheetName val="XREF"/>
      <sheetName val="Tickmarks"/>
      <sheetName val="Menu"/>
      <sheetName val=".6 ST Investments"/>
      <sheetName val="SOFTWARE AMORT."/>
    </sheetNames>
    <sheetDataSet>
      <sheetData sheetId="0">
        <row r="2">
          <cell r="F2" t="str">
            <v>Preliminary</v>
          </cell>
          <cell r="J2" t="str">
            <v>AJE</v>
          </cell>
          <cell r="M2" t="str">
            <v>Adjusted</v>
          </cell>
          <cell r="N2" t="str">
            <v>RJE</v>
          </cell>
          <cell r="O2" t="str">
            <v>Final</v>
          </cell>
          <cell r="Q2" t="str">
            <v>2007</v>
          </cell>
          <cell r="R2">
            <v>0.2</v>
          </cell>
          <cell r="S2">
            <v>309400</v>
          </cell>
        </row>
        <row r="4">
          <cell r="F4">
            <v>809</v>
          </cell>
          <cell r="J4">
            <v>0</v>
          </cell>
          <cell r="M4">
            <v>809</v>
          </cell>
          <cell r="N4">
            <v>0</v>
          </cell>
          <cell r="O4">
            <v>809</v>
          </cell>
          <cell r="Q4">
            <v>998</v>
          </cell>
        </row>
        <row r="5">
          <cell r="F5">
            <v>0</v>
          </cell>
          <cell r="J5">
            <v>0</v>
          </cell>
          <cell r="M5">
            <v>0</v>
          </cell>
          <cell r="N5">
            <v>0</v>
          </cell>
          <cell r="O5">
            <v>0</v>
          </cell>
          <cell r="Q5">
            <v>0</v>
          </cell>
        </row>
        <row r="6">
          <cell r="F6">
            <v>11134</v>
          </cell>
          <cell r="J6">
            <v>0</v>
          </cell>
          <cell r="M6">
            <v>11134</v>
          </cell>
          <cell r="N6">
            <v>0</v>
          </cell>
          <cell r="O6">
            <v>11134</v>
          </cell>
          <cell r="Q6">
            <v>10976</v>
          </cell>
        </row>
        <row r="7">
          <cell r="F7">
            <v>11424386</v>
          </cell>
          <cell r="J7">
            <v>-242</v>
          </cell>
          <cell r="M7">
            <v>11424144</v>
          </cell>
          <cell r="N7">
            <v>0</v>
          </cell>
          <cell r="O7">
            <v>11424144</v>
          </cell>
          <cell r="Q7">
            <v>8877098</v>
          </cell>
        </row>
        <row r="8">
          <cell r="F8">
            <v>13643449</v>
          </cell>
          <cell r="J8">
            <v>0</v>
          </cell>
          <cell r="M8">
            <v>13643449</v>
          </cell>
          <cell r="N8">
            <v>0</v>
          </cell>
          <cell r="O8">
            <v>13643449</v>
          </cell>
          <cell r="Q8">
            <v>8992865</v>
          </cell>
        </row>
        <row r="9">
          <cell r="F9">
            <v>-97371538</v>
          </cell>
          <cell r="J9">
            <v>99458268</v>
          </cell>
          <cell r="M9">
            <v>2086730</v>
          </cell>
          <cell r="N9">
            <v>0</v>
          </cell>
          <cell r="O9">
            <v>2086730</v>
          </cell>
          <cell r="Q9">
            <v>4611293</v>
          </cell>
        </row>
        <row r="10">
          <cell r="F10">
            <v>160992</v>
          </cell>
          <cell r="J10">
            <v>0</v>
          </cell>
          <cell r="M10">
            <v>160992</v>
          </cell>
          <cell r="N10">
            <v>0</v>
          </cell>
          <cell r="O10">
            <v>160992</v>
          </cell>
          <cell r="Q10">
            <v>0</v>
          </cell>
        </row>
        <row r="11">
          <cell r="F11">
            <v>7996</v>
          </cell>
          <cell r="J11">
            <v>0</v>
          </cell>
          <cell r="M11">
            <v>7996</v>
          </cell>
          <cell r="N11">
            <v>0</v>
          </cell>
          <cell r="O11">
            <v>7996</v>
          </cell>
          <cell r="Q11">
            <v>0</v>
          </cell>
        </row>
        <row r="12">
          <cell r="F12">
            <v>0</v>
          </cell>
          <cell r="J12">
            <v>0</v>
          </cell>
          <cell r="M12">
            <v>0</v>
          </cell>
          <cell r="N12">
            <v>0</v>
          </cell>
          <cell r="O12">
            <v>0</v>
          </cell>
          <cell r="Q12">
            <v>0</v>
          </cell>
        </row>
        <row r="13">
          <cell r="F13">
            <v>0</v>
          </cell>
          <cell r="J13">
            <v>0</v>
          </cell>
          <cell r="M13">
            <v>0</v>
          </cell>
          <cell r="N13">
            <v>0</v>
          </cell>
          <cell r="O13">
            <v>0</v>
          </cell>
          <cell r="Q13">
            <v>6503542</v>
          </cell>
        </row>
        <row r="14">
          <cell r="F14">
            <v>0</v>
          </cell>
          <cell r="J14">
            <v>0</v>
          </cell>
          <cell r="M14">
            <v>0</v>
          </cell>
          <cell r="N14">
            <v>0</v>
          </cell>
          <cell r="O14">
            <v>0</v>
          </cell>
          <cell r="Q14">
            <v>0</v>
          </cell>
        </row>
        <row r="15">
          <cell r="F15">
            <v>0</v>
          </cell>
          <cell r="J15">
            <v>0</v>
          </cell>
          <cell r="M15">
            <v>0</v>
          </cell>
          <cell r="N15">
            <v>0</v>
          </cell>
          <cell r="O15">
            <v>0</v>
          </cell>
          <cell r="Q15">
            <v>0</v>
          </cell>
        </row>
        <row r="16">
          <cell r="F16">
            <v>-72122772</v>
          </cell>
          <cell r="J16">
            <v>99458026</v>
          </cell>
          <cell r="M16">
            <v>27335254</v>
          </cell>
          <cell r="N16">
            <v>0</v>
          </cell>
          <cell r="O16">
            <v>27335254</v>
          </cell>
          <cell r="Q16">
            <v>28996772</v>
          </cell>
        </row>
        <row r="18">
          <cell r="F18">
            <v>181467713</v>
          </cell>
          <cell r="J18">
            <v>0</v>
          </cell>
          <cell r="M18">
            <v>181467713</v>
          </cell>
          <cell r="N18">
            <v>0</v>
          </cell>
          <cell r="O18">
            <v>181467713</v>
          </cell>
          <cell r="Q18">
            <v>1139000</v>
          </cell>
        </row>
        <row r="19">
          <cell r="F19">
            <v>181467713</v>
          </cell>
          <cell r="J19">
            <v>0</v>
          </cell>
          <cell r="M19">
            <v>181467713</v>
          </cell>
          <cell r="N19">
            <v>0</v>
          </cell>
          <cell r="O19">
            <v>181467713</v>
          </cell>
          <cell r="Q19">
            <v>1139000</v>
          </cell>
        </row>
        <row r="20">
          <cell r="F20">
            <v>109344941</v>
          </cell>
          <cell r="J20">
            <v>99458026</v>
          </cell>
          <cell r="M20">
            <v>208802967</v>
          </cell>
          <cell r="N20">
            <v>0</v>
          </cell>
          <cell r="O20">
            <v>208802967</v>
          </cell>
          <cell r="Q20">
            <v>30135772</v>
          </cell>
        </row>
      </sheetData>
      <sheetData sheetId="1">
        <row r="1">
          <cell r="F1" t="str">
            <v>Preliminary</v>
          </cell>
          <cell r="G1" t="str">
            <v>AJE</v>
          </cell>
          <cell r="H1" t="str">
            <v>Adjusted</v>
          </cell>
          <cell r="I1" t="str">
            <v>RJE</v>
          </cell>
          <cell r="J1" t="str">
            <v>Final</v>
          </cell>
          <cell r="K1" t="str">
            <v>'2007</v>
          </cell>
        </row>
        <row r="3">
          <cell r="F3">
            <v>809</v>
          </cell>
          <cell r="G3">
            <v>0</v>
          </cell>
          <cell r="H3">
            <v>809</v>
          </cell>
          <cell r="I3">
            <v>0</v>
          </cell>
          <cell r="J3">
            <v>809</v>
          </cell>
          <cell r="K3">
            <v>998</v>
          </cell>
        </row>
        <row r="4"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</row>
        <row r="5">
          <cell r="F5">
            <v>11134</v>
          </cell>
          <cell r="G5">
            <v>0</v>
          </cell>
          <cell r="H5">
            <v>11134</v>
          </cell>
          <cell r="I5">
            <v>0</v>
          </cell>
          <cell r="J5">
            <v>11134</v>
          </cell>
          <cell r="K5">
            <v>10976</v>
          </cell>
        </row>
        <row r="6">
          <cell r="F6">
            <v>11424386</v>
          </cell>
          <cell r="G6">
            <v>-242</v>
          </cell>
          <cell r="H6">
            <v>11424144</v>
          </cell>
          <cell r="I6">
            <v>0</v>
          </cell>
          <cell r="J6">
            <v>11424144</v>
          </cell>
          <cell r="K6">
            <v>8877098</v>
          </cell>
        </row>
        <row r="7">
          <cell r="F7">
            <v>13643449</v>
          </cell>
          <cell r="G7">
            <v>0</v>
          </cell>
          <cell r="H7">
            <v>13643449</v>
          </cell>
          <cell r="I7">
            <v>0</v>
          </cell>
          <cell r="J7">
            <v>13643449</v>
          </cell>
          <cell r="K7">
            <v>8992865</v>
          </cell>
        </row>
        <row r="8">
          <cell r="F8">
            <v>-97371538</v>
          </cell>
          <cell r="G8">
            <v>99458268</v>
          </cell>
          <cell r="H8">
            <v>2086730</v>
          </cell>
          <cell r="I8">
            <v>0</v>
          </cell>
          <cell r="J8">
            <v>2086730</v>
          </cell>
          <cell r="K8">
            <v>4611293</v>
          </cell>
        </row>
        <row r="9">
          <cell r="F9">
            <v>160992</v>
          </cell>
          <cell r="G9">
            <v>0</v>
          </cell>
          <cell r="H9">
            <v>160992</v>
          </cell>
          <cell r="I9">
            <v>0</v>
          </cell>
          <cell r="J9">
            <v>160992</v>
          </cell>
          <cell r="K9">
            <v>0</v>
          </cell>
        </row>
        <row r="10">
          <cell r="F10">
            <v>7996</v>
          </cell>
          <cell r="G10">
            <v>0</v>
          </cell>
          <cell r="H10">
            <v>7996</v>
          </cell>
          <cell r="I10">
            <v>0</v>
          </cell>
          <cell r="J10">
            <v>7996</v>
          </cell>
          <cell r="K10">
            <v>0</v>
          </cell>
        </row>
        <row r="11"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</row>
        <row r="12"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6503542</v>
          </cell>
        </row>
        <row r="13"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4"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</row>
        <row r="15">
          <cell r="F15">
            <v>-72122772</v>
          </cell>
          <cell r="G15">
            <v>99458026</v>
          </cell>
          <cell r="H15">
            <v>27335254</v>
          </cell>
          <cell r="I15">
            <v>0</v>
          </cell>
          <cell r="J15">
            <v>27335254</v>
          </cell>
          <cell r="K15">
            <v>28996772</v>
          </cell>
        </row>
        <row r="17">
          <cell r="F17">
            <v>181467713</v>
          </cell>
          <cell r="G17">
            <v>0</v>
          </cell>
          <cell r="H17">
            <v>181467713</v>
          </cell>
          <cell r="I17">
            <v>0</v>
          </cell>
          <cell r="J17">
            <v>181467713</v>
          </cell>
          <cell r="K17">
            <v>1139000</v>
          </cell>
        </row>
        <row r="18">
          <cell r="F18">
            <v>181467713</v>
          </cell>
          <cell r="G18">
            <v>0</v>
          </cell>
          <cell r="H18">
            <v>181467713</v>
          </cell>
          <cell r="I18">
            <v>0</v>
          </cell>
          <cell r="J18">
            <v>181467713</v>
          </cell>
          <cell r="K18">
            <v>1139000</v>
          </cell>
        </row>
        <row r="19">
          <cell r="F19">
            <v>109344941</v>
          </cell>
          <cell r="G19">
            <v>99458026</v>
          </cell>
          <cell r="H19">
            <v>208802967</v>
          </cell>
          <cell r="I19">
            <v>0</v>
          </cell>
          <cell r="J19">
            <v>208802967</v>
          </cell>
          <cell r="K19">
            <v>30135772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Recon to Dec"/>
      <sheetName val="Other US"/>
      <sheetName val="International Summary Adjust"/>
      <sheetName val="International Summ recon to Dec"/>
      <sheetName val="SG&amp;A recon"/>
      <sheetName val="Recon to Dec Margin"/>
      <sheetName val="Recon to Dec"/>
      <sheetName val="SG&amp;A YOY"/>
      <sheetName val="YOY Total"/>
      <sheetName val="Summary by Country"/>
      <sheetName val="YOY Margin"/>
      <sheetName val="Summary by Product"/>
      <sheetName val="SG&amp;A by Period"/>
      <sheetName val="SG&amp;A Summary YOY"/>
      <sheetName val="YOY Total Old"/>
      <sheetName val="Total Summary  YOY"/>
      <sheetName val="Total BHN"/>
      <sheetName val="COR and Prog Exp YOY"/>
      <sheetName val="CAO group"/>
      <sheetName val="SG&amp;A YOY with est"/>
      <sheetName val="Headcount YOY"/>
      <sheetName val="RFT Schedule"/>
      <sheetName val="Contractor Schedule"/>
      <sheetName val="2011 Est Summary"/>
      <sheetName val="US Summary YOY"/>
      <sheetName val="YOY US"/>
      <sheetName val="Summary by Region"/>
      <sheetName val="Summary US"/>
      <sheetName val="SG&amp;A vs Guideline"/>
      <sheetName val="Other COR and Other Rev detail"/>
      <sheetName val="Talbott's SG&amp;A"/>
      <sheetName val="Comp Benf Detail"/>
      <sheetName val="Cost Center"/>
      <sheetName val="Capitalized labor "/>
      <sheetName val="Cardpool"/>
      <sheetName val="Closed Gift US"/>
      <sheetName val="Open Gift US"/>
      <sheetName val="Fin Svcs US"/>
      <sheetName val="Telecom POSA US"/>
      <sheetName val="Telecom ASP"/>
      <sheetName val="Online"/>
      <sheetName val="Incentives"/>
      <sheetName val="US Indirect COR and Prog Exp"/>
      <sheetName val="Total International"/>
      <sheetName val="Intl Admin"/>
      <sheetName val="Summary Canada"/>
      <sheetName val="Summary Mexico"/>
      <sheetName val="Brazil"/>
      <sheetName val="Total Europe"/>
      <sheetName val="Int Corporate for Europe"/>
      <sheetName val="Summary UK"/>
      <sheetName val="Summary France"/>
      <sheetName val="Summary Germany"/>
      <sheetName val="Summary Belgium"/>
      <sheetName val="Summary Netherlands"/>
      <sheetName val="Spain"/>
      <sheetName val="Czech Rep"/>
      <sheetName val="Poland"/>
      <sheetName val="Summary Switzerland"/>
      <sheetName val="Summary Ireland"/>
      <sheetName val="Summary Denmark"/>
      <sheetName val="Summary Finland"/>
      <sheetName val="Summary Norway"/>
      <sheetName val="Summary Sweden"/>
      <sheetName val="Italy"/>
      <sheetName val="Summary ASIAPAC"/>
      <sheetName val="Summary Australia"/>
      <sheetName val="Summary Japan"/>
      <sheetName val="Summary New Zealand"/>
      <sheetName val="Summary China"/>
      <sheetName val="Summary S Korea"/>
      <sheetName val="Total BHN by Region"/>
      <sheetName val="Recon to Dec SG&amp;A"/>
      <sheetName val="Other COR"/>
      <sheetName val="Other Ops Rev detail"/>
      <sheetName val="Occupancy Summary"/>
      <sheetName val="HC Schedule"/>
      <sheetName val="Contractors Schedule"/>
      <sheetName val="SG&amp;A YOY Talbott"/>
      <sheetName val="SG&amp;A YOY Jerry"/>
      <sheetName val="SG&amp;A YOY Int'l"/>
      <sheetName val="Legal Expense by Country"/>
      <sheetName val="HC YOY"/>
      <sheetName val="FX"/>
      <sheetName val="Bonus Seasonality"/>
      <sheetName val="Comp and Benf Detail"/>
      <sheetName val="Assumption"/>
      <sheetName val="Charitable Contri in US Allianc"/>
      <sheetName val="PLB Build Out"/>
      <sheetName val="YOY"/>
      <sheetName val="Total YOY"/>
      <sheetName val="Total US"/>
      <sheetName val="Switzerland"/>
      <sheetName val="Ireland"/>
      <sheetName val="Denmark"/>
      <sheetName val="Finland"/>
      <sheetName val="Norway"/>
      <sheetName val="Sweden"/>
      <sheetName val="China"/>
      <sheetName val="S Korea"/>
      <sheetName val="2011 &amp; 2012 US &amp; Intl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>
        <row r="66">
          <cell r="C66">
            <v>0.7215923761246833</v>
          </cell>
        </row>
        <row r="67">
          <cell r="C67">
            <v>0.15800221626297176</v>
          </cell>
        </row>
        <row r="68">
          <cell r="C68">
            <v>5.8306009757870647E-2</v>
          </cell>
        </row>
        <row r="69">
          <cell r="C69">
            <v>4.9764749423212913E-2</v>
          </cell>
        </row>
        <row r="70">
          <cell r="C70">
            <v>1.2334648431261438E-2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TS Consolidated"/>
      <sheetName val="FATS Consolidated-Continuing"/>
      <sheetName val="FATS Texas"/>
      <sheetName val="Summary Tied to GL"/>
      <sheetName val="Summ Consol - Continuing"/>
      <sheetName val="Unused"/>
      <sheetName val="Reclass"/>
      <sheetName val="1101"/>
      <sheetName val="1301"/>
      <sheetName val="1501"/>
      <sheetName val="1502"/>
      <sheetName val="1510"/>
      <sheetName val="Division 20 Company 1101"/>
      <sheetName val="Reclass_Texas"/>
      <sheetName val="Purchases"/>
      <sheetName val="9-6-86 Depr"/>
      <sheetName val="Input sheet"/>
      <sheetName val="LawsonDrillInfo"/>
      <sheetName val="JE - 1101"/>
      <sheetName val="JE - 1301"/>
      <sheetName val="JE - 1501"/>
      <sheetName val="JE - 1502"/>
      <sheetName val="JE - 1510"/>
      <sheetName val="JE - DIV20"/>
      <sheetName val="Reclass_disposals"/>
      <sheetName val="Reclass_adjustments"/>
      <sheetName val="Reclass_disposals_div20"/>
      <sheetName val="Reclass_addjustments_DIV20"/>
      <sheetName val="FATS_GL_ALL"/>
      <sheetName val="MergeCo Cap T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>
        <row r="4">
          <cell r="CE4" t="str">
            <v>Sum of AMT</v>
          </cell>
          <cell r="CG4" t="str">
            <v>SOURCE_CODE</v>
          </cell>
        </row>
        <row r="5">
          <cell r="CE5" t="str">
            <v>TO_COMPANY</v>
          </cell>
          <cell r="CF5" t="str">
            <v>ACCOUNT</v>
          </cell>
          <cell r="CG5" t="str">
            <v>AA</v>
          </cell>
          <cell r="CH5" t="str">
            <v>AD</v>
          </cell>
          <cell r="CI5" t="str">
            <v>AS</v>
          </cell>
          <cell r="CJ5" t="str">
            <v>AT</v>
          </cell>
          <cell r="CK5" t="str">
            <v>DE</v>
          </cell>
          <cell r="CL5" t="str">
            <v>DI</v>
          </cell>
          <cell r="CM5" t="str">
            <v>JE</v>
          </cell>
          <cell r="CN5" t="str">
            <v>CL</v>
          </cell>
        </row>
        <row r="6">
          <cell r="CE6">
            <v>1510</v>
          </cell>
          <cell r="CF6">
            <v>180467</v>
          </cell>
          <cell r="CG6">
            <v>5422199.9300000025</v>
          </cell>
          <cell r="CI6">
            <v>661868.28</v>
          </cell>
          <cell r="CJ6">
            <v>-2305286</v>
          </cell>
          <cell r="CL6">
            <v>-66707.34</v>
          </cell>
          <cell r="CM6">
            <v>1661756.46</v>
          </cell>
        </row>
        <row r="7">
          <cell r="CF7">
            <v>181567</v>
          </cell>
          <cell r="CI7">
            <v>-121812.33</v>
          </cell>
          <cell r="CJ7">
            <v>23103.49</v>
          </cell>
          <cell r="CK7">
            <v>-576619.30000000005</v>
          </cell>
          <cell r="CL7">
            <v>140.62</v>
          </cell>
          <cell r="CM7">
            <v>-887615.79</v>
          </cell>
        </row>
        <row r="8">
          <cell r="CF8">
            <v>182667</v>
          </cell>
          <cell r="CG8">
            <v>-5422199.9300000025</v>
          </cell>
          <cell r="CH8">
            <v>4397820.08</v>
          </cell>
          <cell r="CI8">
            <v>-661868.28</v>
          </cell>
          <cell r="CL8">
            <v>66684.34</v>
          </cell>
          <cell r="CM8">
            <v>4218225</v>
          </cell>
          <cell r="CN8">
            <v>44837.79</v>
          </cell>
        </row>
        <row r="9">
          <cell r="CF9">
            <v>360727</v>
          </cell>
          <cell r="CI9">
            <v>121812.33</v>
          </cell>
          <cell r="CK9">
            <v>576619.30000000005</v>
          </cell>
          <cell r="CL9">
            <v>-140.62</v>
          </cell>
          <cell r="CM9">
            <v>97030.05</v>
          </cell>
        </row>
        <row r="10">
          <cell r="CF10">
            <v>383930</v>
          </cell>
          <cell r="CL10">
            <v>23</v>
          </cell>
        </row>
        <row r="11">
          <cell r="CF11">
            <v>180466</v>
          </cell>
          <cell r="CG11">
            <v>55361.16</v>
          </cell>
          <cell r="CI11">
            <v>0</v>
          </cell>
          <cell r="CJ11">
            <v>50196.51</v>
          </cell>
          <cell r="CM11">
            <v>-8.1428197518107481E-12</v>
          </cell>
        </row>
        <row r="12">
          <cell r="CF12">
            <v>181566</v>
          </cell>
          <cell r="CI12">
            <v>-5240.609999999986</v>
          </cell>
          <cell r="CK12">
            <v>-303533.23</v>
          </cell>
        </row>
        <row r="13">
          <cell r="CF13">
            <v>360726</v>
          </cell>
          <cell r="CI13">
            <v>5240.6099999999997</v>
          </cell>
          <cell r="CK13">
            <v>303533.23</v>
          </cell>
          <cell r="CM13">
            <v>-3.637978807091713E-11</v>
          </cell>
        </row>
        <row r="14">
          <cell r="CF14">
            <v>182666</v>
          </cell>
          <cell r="CG14">
            <v>-55361.16</v>
          </cell>
          <cell r="CH14">
            <v>55361.16</v>
          </cell>
        </row>
      </sheetData>
      <sheetData sheetId="2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cation"/>
      <sheetName val="VesselsOperating"/>
      <sheetName val="OP OH"/>
      <sheetName val="VesselsOverhead"/>
      <sheetName val="DEPR"/>
      <sheetName val="G&amp;A"/>
      <sheetName val="CSXLStore"/>
      <sheetName val="MIS"/>
      <sheetName val="MNC"/>
      <sheetName val="HI"/>
      <sheetName val="Guam"/>
      <sheetName val="MPS"/>
      <sheetName val="Charter"/>
      <sheetName val="Oth Inc &amp; Exp"/>
      <sheetName val="Vessel OH"/>
      <sheetName val="MTI"/>
    </sheetNames>
    <sheetDataSet>
      <sheetData sheetId="0" refreshError="1">
        <row r="7">
          <cell r="AA7" t="str">
            <v>Accounting Periods Year</v>
          </cell>
          <cell r="AB7" t="str">
            <v>2003</v>
          </cell>
        </row>
        <row r="8">
          <cell r="AA8" t="str">
            <v>Version</v>
          </cell>
          <cell r="AB8" t="str">
            <v>Operating Plan</v>
          </cell>
        </row>
      </sheetData>
      <sheetData sheetId="1" refreshError="1"/>
      <sheetData sheetId="2" refreshError="1">
        <row r="10">
          <cell r="AL10" t="str">
            <v>Entity</v>
          </cell>
          <cell r="AM10" t="str">
            <v>Total Income from Ops-All Services</v>
          </cell>
        </row>
        <row r="30">
          <cell r="AL30" t="str">
            <v>Accounting Periods Year</v>
          </cell>
          <cell r="AM30" t="str">
            <v>2003</v>
          </cell>
        </row>
        <row r="31">
          <cell r="AL31" t="str">
            <v>Version</v>
          </cell>
          <cell r="AM31" t="str">
            <v>Operating Plan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2008 SG&amp;A Assumptions"/>
      <sheetName val="YTD P6 Act+Fcst"/>
      <sheetName val="WR15289"/>
      <sheetName val="Revenue Recognition"/>
    </sheetNames>
    <sheetDataSet>
      <sheetData sheetId="0" refreshError="1">
        <row r="19">
          <cell r="B19">
            <v>350</v>
          </cell>
          <cell r="C19">
            <v>125</v>
          </cell>
          <cell r="D19">
            <v>50</v>
          </cell>
          <cell r="E19">
            <v>25</v>
          </cell>
        </row>
        <row r="20">
          <cell r="B20">
            <v>8000</v>
          </cell>
          <cell r="C20">
            <v>350</v>
          </cell>
          <cell r="D20">
            <v>100</v>
          </cell>
          <cell r="E20">
            <v>75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Product"/>
      <sheetName val="Department"/>
      <sheetName val="Project"/>
      <sheetName val="mkt"/>
      <sheetName val="#Lookup"/>
      <sheetName val="BH Payroll"/>
      <sheetName val="RJ 252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">
          <cell r="A2" t="str">
            <v>000::Channel</v>
          </cell>
          <cell r="B2" t="str">
            <v>000::No</v>
          </cell>
        </row>
        <row r="3">
          <cell r="A3" t="str">
            <v>001::Product Group</v>
          </cell>
          <cell r="B3" t="str">
            <v>001::Yes</v>
          </cell>
        </row>
        <row r="4">
          <cell r="A4" t="str">
            <v>002::Department</v>
          </cell>
        </row>
        <row r="5">
          <cell r="A5" t="str">
            <v>003::Project</v>
          </cell>
        </row>
        <row r="6">
          <cell r="A6" t="str">
            <v>004::State/Prov.</v>
          </cell>
        </row>
      </sheetData>
      <sheetData sheetId="6" refreshError="1"/>
      <sheetData sheetId="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Data"/>
      <sheetName val="Setup"/>
      <sheetName val="User Sheet"/>
    </sheetNames>
    <sheetDataSet>
      <sheetData sheetId="0" refreshError="1"/>
      <sheetData sheetId="1" refreshError="1"/>
      <sheetData sheetId="2" refreshError="1">
        <row r="2">
          <cell r="K2" t="str">
            <v>FC</v>
          </cell>
        </row>
        <row r="3">
          <cell r="K3" t="str">
            <v>RJC-COMPANY</v>
          </cell>
        </row>
        <row r="4">
          <cell r="K4" t="str">
            <v>RJC-JE-TYPE</v>
          </cell>
        </row>
        <row r="5">
          <cell r="K5" t="str">
            <v>RJC-REC-GROUP</v>
          </cell>
        </row>
        <row r="6">
          <cell r="K6" t="str">
            <v>PT-RJT-LINE-NBR</v>
          </cell>
        </row>
        <row r="7">
          <cell r="K7" t="str">
            <v>LINE-FC</v>
          </cell>
        </row>
        <row r="8">
          <cell r="K8" t="str">
            <v>RJT-TO-COMPANY</v>
          </cell>
        </row>
        <row r="9">
          <cell r="K9" t="str">
            <v>RJT-ACCT-UNIT</v>
          </cell>
        </row>
        <row r="10">
          <cell r="K10" t="str">
            <v>RJT-ACCOUNT</v>
          </cell>
        </row>
        <row r="11">
          <cell r="K11" t="str">
            <v>RJT-SUB-ACCOUNT</v>
          </cell>
        </row>
        <row r="12">
          <cell r="K12" t="str">
            <v>RJT-SEGMENT-BLOCK</v>
          </cell>
        </row>
        <row r="13">
          <cell r="K13" t="str">
            <v>RJT-ACTIVITY</v>
          </cell>
        </row>
        <row r="14">
          <cell r="K14" t="str">
            <v>RJT-ACCT-CATEGORY</v>
          </cell>
        </row>
        <row r="15">
          <cell r="K15" t="str">
            <v>RJT-TRAN-AMOUNT</v>
          </cell>
        </row>
        <row r="16">
          <cell r="K16" t="str">
            <v>RJT-UNITS-AMOUNT</v>
          </cell>
        </row>
        <row r="17">
          <cell r="K17" t="str">
            <v>RJT-DESCRIPTION</v>
          </cell>
        </row>
      </sheetData>
      <sheetData sheetId="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D"/>
      <sheetName val="Readme"/>
      <sheetName val="Gegenkonto"/>
      <sheetName val="Kontolauf"/>
      <sheetName val="BNP"/>
      <sheetName val="Setup"/>
    </sheetNames>
    <sheetDataSet>
      <sheetData sheetId="0" refreshError="1"/>
      <sheetData sheetId="1" refreshError="1"/>
      <sheetData sheetId="2" refreshError="1">
        <row r="8">
          <cell r="C8">
            <v>1780</v>
          </cell>
          <cell r="D8" t="str">
            <v>USt VZ</v>
          </cell>
        </row>
        <row r="9">
          <cell r="C9">
            <v>1791</v>
          </cell>
          <cell r="D9" t="str">
            <v>RK Eberle</v>
          </cell>
        </row>
        <row r="10">
          <cell r="C10">
            <v>1792</v>
          </cell>
          <cell r="D10" t="str">
            <v>RK Nies</v>
          </cell>
        </row>
        <row r="11">
          <cell r="C11">
            <v>1793</v>
          </cell>
          <cell r="D11" t="str">
            <v>RK Ertl-Nies</v>
          </cell>
        </row>
        <row r="12">
          <cell r="C12">
            <v>1794</v>
          </cell>
          <cell r="D12" t="str">
            <v>RK Schroeter</v>
          </cell>
        </row>
        <row r="13">
          <cell r="C13">
            <v>2100</v>
          </cell>
          <cell r="D13" t="str">
            <v>Zinsen u.ä.</v>
          </cell>
        </row>
        <row r="14">
          <cell r="C14">
            <v>2110</v>
          </cell>
          <cell r="D14" t="str">
            <v>Zins kf. Verb.</v>
          </cell>
        </row>
        <row r="15">
          <cell r="C15">
            <v>2140</v>
          </cell>
          <cell r="D15" t="str">
            <v>Zinsähnliche</v>
          </cell>
        </row>
        <row r="16">
          <cell r="C16">
            <v>3735</v>
          </cell>
          <cell r="D16" t="str">
            <v>Erh. Skonti 16%</v>
          </cell>
        </row>
        <row r="17">
          <cell r="C17">
            <v>2650</v>
          </cell>
          <cell r="D17" t="str">
            <v>Zinsen u.ä.</v>
          </cell>
        </row>
        <row r="18">
          <cell r="C18">
            <v>4210</v>
          </cell>
          <cell r="D18" t="str">
            <v>Miete</v>
          </cell>
        </row>
        <row r="19">
          <cell r="C19">
            <v>4240</v>
          </cell>
          <cell r="D19" t="str">
            <v>GasStromWasser</v>
          </cell>
        </row>
        <row r="20">
          <cell r="C20">
            <v>4615</v>
          </cell>
          <cell r="D20" t="str">
            <v>Wettbewerbe</v>
          </cell>
        </row>
        <row r="21">
          <cell r="C21">
            <v>4927</v>
          </cell>
          <cell r="D21" t="str">
            <v>GEZ</v>
          </cell>
        </row>
        <row r="22">
          <cell r="C22">
            <v>4970</v>
          </cell>
          <cell r="D22" t="str">
            <v>NK Geldverkehr</v>
          </cell>
        </row>
        <row r="23">
          <cell r="C23">
            <v>1590</v>
          </cell>
          <cell r="D23" t="str">
            <v>Durchl. Posten</v>
          </cell>
        </row>
        <row r="24">
          <cell r="C24">
            <v>4999</v>
          </cell>
          <cell r="D24" t="str">
            <v>Weiß nicht</v>
          </cell>
        </row>
        <row r="25">
          <cell r="C25">
            <v>70001</v>
          </cell>
          <cell r="D25" t="str">
            <v>A.K.</v>
          </cell>
        </row>
        <row r="26">
          <cell r="C26">
            <v>70002</v>
          </cell>
          <cell r="D26" t="str">
            <v>Assek.</v>
          </cell>
        </row>
        <row r="27">
          <cell r="C27">
            <v>70101</v>
          </cell>
          <cell r="D27" t="str">
            <v>Bertel</v>
          </cell>
        </row>
        <row r="28">
          <cell r="C28">
            <v>70102</v>
          </cell>
          <cell r="D28" t="str">
            <v>BuhaW</v>
          </cell>
        </row>
        <row r="29">
          <cell r="C29">
            <v>70103</v>
          </cell>
          <cell r="D29" t="str">
            <v>BauNet</v>
          </cell>
        </row>
        <row r="30">
          <cell r="C30">
            <v>70201</v>
          </cell>
          <cell r="D30" t="str">
            <v>CAD</v>
          </cell>
        </row>
        <row r="31">
          <cell r="C31">
            <v>70301</v>
          </cell>
          <cell r="D31" t="str">
            <v>Dahmen</v>
          </cell>
        </row>
        <row r="32">
          <cell r="C32">
            <v>70302</v>
          </cell>
          <cell r="D32" t="str">
            <v>Dahlke</v>
          </cell>
        </row>
        <row r="33">
          <cell r="C33">
            <v>70303</v>
          </cell>
          <cell r="D33" t="str">
            <v>DVA</v>
          </cell>
        </row>
        <row r="34">
          <cell r="C34">
            <v>70399</v>
          </cell>
          <cell r="D34" t="str">
            <v>Divers</v>
          </cell>
        </row>
        <row r="35">
          <cell r="C35">
            <v>70501</v>
          </cell>
          <cell r="D35" t="str">
            <v>Feucht</v>
          </cell>
        </row>
        <row r="36">
          <cell r="C36">
            <v>70601</v>
          </cell>
          <cell r="D36" t="str">
            <v>GEZ</v>
          </cell>
        </row>
        <row r="37">
          <cell r="C37">
            <v>70701</v>
          </cell>
          <cell r="D37" t="str">
            <v>Hauser</v>
          </cell>
        </row>
        <row r="38">
          <cell r="C38">
            <v>70702</v>
          </cell>
          <cell r="D38" t="str">
            <v>Hoof</v>
          </cell>
        </row>
        <row r="39">
          <cell r="C39">
            <v>70801</v>
          </cell>
          <cell r="D39" t="str">
            <v>IKEA</v>
          </cell>
        </row>
        <row r="40">
          <cell r="C40">
            <v>70802</v>
          </cell>
          <cell r="D40" t="str">
            <v>Intine</v>
          </cell>
        </row>
        <row r="41">
          <cell r="C41">
            <v>70803</v>
          </cell>
          <cell r="D41" t="str">
            <v>Indoku</v>
          </cell>
        </row>
        <row r="42">
          <cell r="C42">
            <v>71001</v>
          </cell>
          <cell r="D42" t="str">
            <v>Kaufhf</v>
          </cell>
        </row>
        <row r="43">
          <cell r="C43">
            <v>71002</v>
          </cell>
          <cell r="D43" t="str">
            <v>Karst</v>
          </cell>
        </row>
        <row r="44">
          <cell r="C44">
            <v>71201</v>
          </cell>
          <cell r="D44" t="str">
            <v>Memo</v>
          </cell>
        </row>
        <row r="45">
          <cell r="C45">
            <v>71202</v>
          </cell>
          <cell r="D45" t="str">
            <v>Müller</v>
          </cell>
        </row>
        <row r="46">
          <cell r="C46">
            <v>71203</v>
          </cell>
          <cell r="D46" t="str">
            <v>Mayer</v>
          </cell>
        </row>
        <row r="47">
          <cell r="C47">
            <v>71204</v>
          </cell>
          <cell r="D47" t="str">
            <v>Möbel</v>
          </cell>
        </row>
        <row r="48">
          <cell r="C48">
            <v>71301</v>
          </cell>
          <cell r="D48" t="str">
            <v>NurNat</v>
          </cell>
        </row>
        <row r="49">
          <cell r="C49">
            <v>71302</v>
          </cell>
          <cell r="D49" t="str">
            <v>NeuTec</v>
          </cell>
        </row>
        <row r="50">
          <cell r="C50">
            <v>71401</v>
          </cell>
          <cell r="D50" t="str">
            <v>OBI</v>
          </cell>
        </row>
        <row r="51">
          <cell r="C51">
            <v>71402</v>
          </cell>
          <cell r="D51" t="str">
            <v>Ober</v>
          </cell>
        </row>
        <row r="52">
          <cell r="C52">
            <v>71501</v>
          </cell>
          <cell r="D52" t="str">
            <v>Prakt</v>
          </cell>
        </row>
        <row r="53">
          <cell r="C53">
            <v>71701</v>
          </cell>
          <cell r="D53" t="str">
            <v>Riess</v>
          </cell>
        </row>
        <row r="54">
          <cell r="C54">
            <v>71702</v>
          </cell>
          <cell r="D54" t="str">
            <v>Reform</v>
          </cell>
        </row>
        <row r="55">
          <cell r="C55">
            <v>71801</v>
          </cell>
          <cell r="D55" t="str">
            <v>Saturn</v>
          </cell>
        </row>
        <row r="56">
          <cell r="C56">
            <v>71901</v>
          </cell>
          <cell r="D56" t="str">
            <v>Schörg</v>
          </cell>
        </row>
        <row r="57">
          <cell r="C57">
            <v>72101</v>
          </cell>
          <cell r="D57" t="str">
            <v>Tsomp</v>
          </cell>
        </row>
        <row r="58">
          <cell r="C58">
            <v>72102</v>
          </cell>
          <cell r="D58" t="str">
            <v>Tele</v>
          </cell>
        </row>
        <row r="59">
          <cell r="C59">
            <v>72401</v>
          </cell>
          <cell r="D59" t="str">
            <v>Wernik</v>
          </cell>
        </row>
        <row r="60">
          <cell r="C60">
            <v>72402</v>
          </cell>
          <cell r="D60" t="str">
            <v>Wenzel</v>
          </cell>
        </row>
        <row r="61">
          <cell r="C61">
            <v>72403</v>
          </cell>
          <cell r="D61" t="str">
            <v>Wettbe</v>
          </cell>
        </row>
        <row r="62">
          <cell r="C62">
            <v>71801</v>
          </cell>
          <cell r="D62" t="str">
            <v>Saturn</v>
          </cell>
        </row>
        <row r="63">
          <cell r="C63">
            <v>71901</v>
          </cell>
          <cell r="D63" t="str">
            <v>Schörg</v>
          </cell>
        </row>
        <row r="64">
          <cell r="C64">
            <v>72101</v>
          </cell>
          <cell r="D64" t="str">
            <v>Tsomp</v>
          </cell>
        </row>
        <row r="65">
          <cell r="C65">
            <v>72102</v>
          </cell>
          <cell r="D65" t="str">
            <v>Tele</v>
          </cell>
        </row>
        <row r="66">
          <cell r="C66">
            <v>72401</v>
          </cell>
          <cell r="D66" t="str">
            <v>Wernik</v>
          </cell>
        </row>
        <row r="67">
          <cell r="C67">
            <v>72402</v>
          </cell>
          <cell r="D67" t="str">
            <v>Wenzel</v>
          </cell>
        </row>
        <row r="68">
          <cell r="C68">
            <v>72403</v>
          </cell>
          <cell r="D68" t="str">
            <v>Wettbe</v>
          </cell>
        </row>
        <row r="69">
          <cell r="C69">
            <v>10301</v>
          </cell>
          <cell r="D69" t="str">
            <v>Diez</v>
          </cell>
        </row>
        <row r="70">
          <cell r="C70">
            <v>10601</v>
          </cell>
          <cell r="D70" t="str">
            <v>Genn</v>
          </cell>
        </row>
        <row r="71">
          <cell r="C71">
            <v>11201</v>
          </cell>
          <cell r="D71" t="str">
            <v>Marx</v>
          </cell>
        </row>
        <row r="72">
          <cell r="C72">
            <v>11501</v>
          </cell>
          <cell r="D72" t="str">
            <v>PGM</v>
          </cell>
        </row>
        <row r="73">
          <cell r="C73">
            <v>12301</v>
          </cell>
          <cell r="D73" t="str">
            <v>VHBA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onten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Current E&amp;P Calc"/>
      <sheetName val="Weekly Flash Report Wk 12 200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71639</v>
          </cell>
          <cell r="C3">
            <v>60783</v>
          </cell>
          <cell r="D3">
            <v>60392</v>
          </cell>
          <cell r="E3">
            <v>57699</v>
          </cell>
          <cell r="F3">
            <v>65547</v>
          </cell>
          <cell r="G3">
            <v>80927</v>
          </cell>
          <cell r="H3">
            <v>137322</v>
          </cell>
          <cell r="I3">
            <v>60339</v>
          </cell>
          <cell r="J3">
            <v>67816</v>
          </cell>
          <cell r="K3">
            <v>67713</v>
          </cell>
          <cell r="L3">
            <v>77704</v>
          </cell>
          <cell r="M3">
            <v>133752</v>
          </cell>
          <cell r="N3">
            <v>69145</v>
          </cell>
          <cell r="O3">
            <v>67561</v>
          </cell>
          <cell r="P3">
            <v>65551</v>
          </cell>
          <cell r="Q3">
            <v>76319</v>
          </cell>
          <cell r="R3">
            <v>90972</v>
          </cell>
          <cell r="S3">
            <v>84167</v>
          </cell>
          <cell r="T3">
            <v>142041</v>
          </cell>
          <cell r="U3">
            <v>112651</v>
          </cell>
          <cell r="V3">
            <v>116546.87</v>
          </cell>
          <cell r="W3">
            <v>130791.66</v>
          </cell>
          <cell r="X3">
            <v>154358.73000000001</v>
          </cell>
          <cell r="Y3">
            <v>274696.19</v>
          </cell>
          <cell r="Z3">
            <v>200375.91</v>
          </cell>
          <cell r="AA3">
            <v>118718.76</v>
          </cell>
          <cell r="AB3">
            <v>118583.59</v>
          </cell>
          <cell r="AC3">
            <v>127865.43</v>
          </cell>
          <cell r="AD3">
            <v>144280.03</v>
          </cell>
          <cell r="AE3">
            <v>140343.62</v>
          </cell>
          <cell r="AF3">
            <v>154138.54999999999</v>
          </cell>
          <cell r="AG3">
            <v>129756.62</v>
          </cell>
          <cell r="AH3">
            <v>125342.52</v>
          </cell>
          <cell r="AI3">
            <v>116246.61</v>
          </cell>
          <cell r="AJ3">
            <v>100556.25</v>
          </cell>
          <cell r="AK3">
            <v>92621.64</v>
          </cell>
          <cell r="AL3">
            <v>94042.19</v>
          </cell>
          <cell r="AM3">
            <v>93509.97</v>
          </cell>
          <cell r="AN3">
            <v>100043.87</v>
          </cell>
          <cell r="AO3">
            <v>105380.11</v>
          </cell>
          <cell r="AP3">
            <v>102132</v>
          </cell>
          <cell r="AQ3">
            <v>130720.49</v>
          </cell>
          <cell r="AR3">
            <v>129976.09</v>
          </cell>
          <cell r="AS3">
            <v>142868.89000000001</v>
          </cell>
          <cell r="AT3">
            <v>150601.32</v>
          </cell>
          <cell r="AU3">
            <v>165850.49</v>
          </cell>
          <cell r="AV3">
            <v>184143.06</v>
          </cell>
          <cell r="AW3">
            <v>229419.06</v>
          </cell>
          <cell r="AX3">
            <v>380035.01</v>
          </cell>
          <cell r="AY3">
            <v>724054.71</v>
          </cell>
          <cell r="AZ3">
            <v>1673196.55</v>
          </cell>
          <cell r="BA3">
            <v>2091201.39</v>
          </cell>
          <cell r="BB3">
            <v>195846.65</v>
          </cell>
        </row>
        <row r="4">
          <cell r="A4" t="str">
            <v>ptd</v>
          </cell>
          <cell r="B4">
            <v>71639</v>
          </cell>
          <cell r="C4">
            <v>132422</v>
          </cell>
          <cell r="D4">
            <v>192814</v>
          </cell>
          <cell r="E4">
            <v>250513</v>
          </cell>
          <cell r="F4">
            <v>65547</v>
          </cell>
          <cell r="G4">
            <v>146474</v>
          </cell>
          <cell r="H4">
            <v>283796</v>
          </cell>
          <cell r="I4">
            <v>344135</v>
          </cell>
          <cell r="J4">
            <v>67816</v>
          </cell>
          <cell r="K4">
            <v>135529</v>
          </cell>
          <cell r="L4">
            <v>213233</v>
          </cell>
          <cell r="M4">
            <v>346985</v>
          </cell>
          <cell r="N4">
            <v>69145</v>
          </cell>
          <cell r="O4">
            <v>136706</v>
          </cell>
          <cell r="P4">
            <v>202257</v>
          </cell>
          <cell r="Q4">
            <v>278576</v>
          </cell>
          <cell r="R4">
            <v>90972</v>
          </cell>
          <cell r="S4">
            <v>175139</v>
          </cell>
          <cell r="T4">
            <v>317180</v>
          </cell>
          <cell r="U4">
            <v>429831</v>
          </cell>
          <cell r="V4">
            <v>116546.87</v>
          </cell>
          <cell r="W4">
            <v>247338.53</v>
          </cell>
          <cell r="X4">
            <v>401697.26</v>
          </cell>
          <cell r="Y4">
            <v>676393.45</v>
          </cell>
          <cell r="Z4">
            <v>200375.91</v>
          </cell>
          <cell r="AA4">
            <v>319094.67</v>
          </cell>
          <cell r="AB4">
            <v>437678.26</v>
          </cell>
          <cell r="AC4">
            <v>565543.68999999994</v>
          </cell>
          <cell r="AD4">
            <v>144280.03</v>
          </cell>
          <cell r="AE4">
            <v>284623.65000000002</v>
          </cell>
          <cell r="AF4">
            <v>438762.2</v>
          </cell>
          <cell r="AG4">
            <v>568518.82000000007</v>
          </cell>
          <cell r="AH4">
            <v>125342.52</v>
          </cell>
          <cell r="AI4">
            <v>241589.13</v>
          </cell>
          <cell r="AJ4">
            <v>342145.38</v>
          </cell>
          <cell r="AK4">
            <v>434767.02</v>
          </cell>
          <cell r="AL4">
            <v>94042.19</v>
          </cell>
          <cell r="AM4">
            <v>187552.16</v>
          </cell>
          <cell r="AN4">
            <v>287596.03000000003</v>
          </cell>
          <cell r="AO4">
            <v>392976.14</v>
          </cell>
          <cell r="AP4">
            <v>102132</v>
          </cell>
          <cell r="AQ4">
            <v>232852.49</v>
          </cell>
          <cell r="AR4">
            <v>362828.57999999996</v>
          </cell>
          <cell r="AS4">
            <v>505697.47</v>
          </cell>
          <cell r="AT4">
            <v>150601.32</v>
          </cell>
          <cell r="AU4">
            <v>316451.81</v>
          </cell>
          <cell r="AV4">
            <v>500594.87</v>
          </cell>
          <cell r="AW4">
            <v>730013.92999999993</v>
          </cell>
          <cell r="AX4">
            <v>380035.01</v>
          </cell>
          <cell r="AY4">
            <v>1104089.72</v>
          </cell>
          <cell r="AZ4">
            <v>2777286.27</v>
          </cell>
          <cell r="BA4">
            <v>4868487.66</v>
          </cell>
          <cell r="BB4">
            <v>5064334.3100000005</v>
          </cell>
        </row>
        <row r="5">
          <cell r="A5" t="str">
            <v>qtd</v>
          </cell>
          <cell r="B5">
            <v>71639</v>
          </cell>
          <cell r="C5">
            <v>132422</v>
          </cell>
          <cell r="D5">
            <v>192814</v>
          </cell>
          <cell r="E5">
            <v>250513</v>
          </cell>
          <cell r="F5">
            <v>316060</v>
          </cell>
          <cell r="G5">
            <v>396987</v>
          </cell>
          <cell r="H5">
            <v>534309</v>
          </cell>
          <cell r="I5">
            <v>594648</v>
          </cell>
          <cell r="J5">
            <v>662464</v>
          </cell>
          <cell r="K5">
            <v>730177</v>
          </cell>
          <cell r="L5">
            <v>807881</v>
          </cell>
          <cell r="M5">
            <v>941633</v>
          </cell>
          <cell r="N5">
            <v>69145</v>
          </cell>
          <cell r="O5">
            <v>136706</v>
          </cell>
          <cell r="P5">
            <v>202257</v>
          </cell>
          <cell r="Q5">
            <v>278576</v>
          </cell>
          <cell r="R5">
            <v>369548</v>
          </cell>
          <cell r="S5">
            <v>453715</v>
          </cell>
          <cell r="T5">
            <v>595756</v>
          </cell>
          <cell r="U5">
            <v>708407</v>
          </cell>
          <cell r="V5">
            <v>824953.87</v>
          </cell>
          <cell r="W5">
            <v>955745.53</v>
          </cell>
          <cell r="X5">
            <v>1110104.26</v>
          </cell>
          <cell r="Y5">
            <v>1384800.45</v>
          </cell>
          <cell r="Z5">
            <v>200375.91</v>
          </cell>
          <cell r="AA5">
            <v>319094.67</v>
          </cell>
          <cell r="AB5">
            <v>437678.26</v>
          </cell>
          <cell r="AC5">
            <v>565543.68999999994</v>
          </cell>
          <cell r="AD5">
            <v>709823.72</v>
          </cell>
          <cell r="AE5">
            <v>850167.34</v>
          </cell>
          <cell r="AF5">
            <v>1004305.8899999999</v>
          </cell>
          <cell r="AG5">
            <v>1134062.5099999998</v>
          </cell>
          <cell r="AH5">
            <v>1259405.0299999998</v>
          </cell>
          <cell r="AI5">
            <v>1375651.64</v>
          </cell>
          <cell r="AJ5">
            <v>1476207.89</v>
          </cell>
          <cell r="AK5">
            <v>1568829.5299999998</v>
          </cell>
          <cell r="AL5">
            <v>94042.19</v>
          </cell>
          <cell r="AM5">
            <v>187552.16</v>
          </cell>
          <cell r="AN5">
            <v>287596.03000000003</v>
          </cell>
          <cell r="AO5">
            <v>392976.14</v>
          </cell>
          <cell r="AP5">
            <v>495108.14</v>
          </cell>
          <cell r="AQ5">
            <v>625828.63</v>
          </cell>
          <cell r="AR5">
            <v>755804.72</v>
          </cell>
          <cell r="AS5">
            <v>898673.61</v>
          </cell>
          <cell r="AT5">
            <v>1049274.93</v>
          </cell>
          <cell r="AU5">
            <v>1215125.42</v>
          </cell>
          <cell r="AV5">
            <v>1399268.48</v>
          </cell>
          <cell r="AW5">
            <v>1628687.54</v>
          </cell>
          <cell r="AX5">
            <v>2008722.55</v>
          </cell>
          <cell r="AY5">
            <v>2732777.26</v>
          </cell>
          <cell r="AZ5">
            <v>4405973.8099999996</v>
          </cell>
          <cell r="BA5">
            <v>6497175.1999999993</v>
          </cell>
          <cell r="BB5">
            <v>6693021.8499999996</v>
          </cell>
        </row>
        <row r="6">
          <cell r="A6" t="str">
            <v>ytd</v>
          </cell>
          <cell r="B6">
            <v>71639</v>
          </cell>
          <cell r="C6">
            <v>132422</v>
          </cell>
          <cell r="D6">
            <v>192814</v>
          </cell>
          <cell r="E6">
            <v>250513</v>
          </cell>
          <cell r="F6">
            <v>316060</v>
          </cell>
          <cell r="G6">
            <v>396987</v>
          </cell>
          <cell r="H6">
            <v>534309</v>
          </cell>
          <cell r="I6">
            <v>594648</v>
          </cell>
          <cell r="J6">
            <v>662464</v>
          </cell>
          <cell r="K6">
            <v>730177</v>
          </cell>
          <cell r="L6">
            <v>807881</v>
          </cell>
          <cell r="M6">
            <v>941633</v>
          </cell>
          <cell r="N6">
            <v>1010778</v>
          </cell>
          <cell r="O6">
            <v>1078339</v>
          </cell>
          <cell r="P6">
            <v>1143890</v>
          </cell>
          <cell r="Q6">
            <v>1220209</v>
          </cell>
          <cell r="R6">
            <v>1311181</v>
          </cell>
          <cell r="S6">
            <v>1395348</v>
          </cell>
          <cell r="T6">
            <v>1537389</v>
          </cell>
          <cell r="U6">
            <v>1650040</v>
          </cell>
          <cell r="V6">
            <v>1766586.87</v>
          </cell>
          <cell r="W6">
            <v>1897378.53</v>
          </cell>
          <cell r="X6">
            <v>2051737.26</v>
          </cell>
          <cell r="Y6">
            <v>2326433.4500000002</v>
          </cell>
          <cell r="Z6">
            <v>2526809.3600000003</v>
          </cell>
          <cell r="AA6">
            <v>2645528.12</v>
          </cell>
          <cell r="AB6">
            <v>2764111.71</v>
          </cell>
          <cell r="AC6">
            <v>2891977.14</v>
          </cell>
          <cell r="AD6">
            <v>3036257.17</v>
          </cell>
          <cell r="AE6">
            <v>3176600.79</v>
          </cell>
          <cell r="AF6">
            <v>3330739.34</v>
          </cell>
          <cell r="AG6">
            <v>3460495.96</v>
          </cell>
          <cell r="AH6">
            <v>3585838.48</v>
          </cell>
          <cell r="AI6">
            <v>3702085.09</v>
          </cell>
          <cell r="AJ6">
            <v>3802641.34</v>
          </cell>
          <cell r="AK6">
            <v>3895262.98</v>
          </cell>
          <cell r="AL6">
            <v>3989305.17</v>
          </cell>
          <cell r="AM6">
            <v>4082815.14</v>
          </cell>
          <cell r="AN6">
            <v>4182859.0100000002</v>
          </cell>
          <cell r="AO6">
            <v>4288239.12</v>
          </cell>
          <cell r="AP6">
            <v>4390371.12</v>
          </cell>
          <cell r="AQ6">
            <v>4521091.6100000003</v>
          </cell>
          <cell r="AR6">
            <v>4651067.7</v>
          </cell>
          <cell r="AS6">
            <v>4793936.59</v>
          </cell>
          <cell r="AT6">
            <v>4944537.91</v>
          </cell>
          <cell r="AU6">
            <v>5110388.4000000004</v>
          </cell>
          <cell r="AV6">
            <v>5294531.46</v>
          </cell>
          <cell r="AW6">
            <v>5523950.5199999996</v>
          </cell>
          <cell r="AX6">
            <v>5903985.5299999993</v>
          </cell>
          <cell r="AY6">
            <v>6628040.2399999993</v>
          </cell>
          <cell r="AZ6">
            <v>8301236.7899999991</v>
          </cell>
          <cell r="BA6">
            <v>10392438.18</v>
          </cell>
          <cell r="BB6">
            <v>10588284.83</v>
          </cell>
        </row>
        <row r="7">
          <cell r="A7" t="str">
            <v>PART</v>
          </cell>
          <cell r="B7">
            <v>2594920</v>
          </cell>
          <cell r="C7">
            <v>2070295</v>
          </cell>
          <cell r="D7">
            <v>1981410</v>
          </cell>
          <cell r="E7">
            <v>1932090</v>
          </cell>
          <cell r="F7">
            <v>2096210</v>
          </cell>
          <cell r="G7">
            <v>2407595</v>
          </cell>
          <cell r="H7">
            <v>3891600</v>
          </cell>
          <cell r="I7">
            <v>2114685</v>
          </cell>
          <cell r="J7">
            <v>2244950</v>
          </cell>
          <cell r="K7">
            <v>2234725</v>
          </cell>
          <cell r="L7">
            <v>2506405</v>
          </cell>
          <cell r="M7">
            <v>3697145</v>
          </cell>
          <cell r="N7">
            <v>2361290</v>
          </cell>
          <cell r="O7">
            <v>2364320</v>
          </cell>
          <cell r="P7">
            <v>2297670</v>
          </cell>
          <cell r="Q7">
            <v>2506430</v>
          </cell>
          <cell r="R7">
            <v>3076320</v>
          </cell>
          <cell r="S7">
            <v>3161465</v>
          </cell>
          <cell r="T7">
            <v>6479650</v>
          </cell>
          <cell r="U7">
            <v>4691680</v>
          </cell>
          <cell r="V7">
            <v>4140295</v>
          </cell>
          <cell r="W7">
            <v>3983910</v>
          </cell>
          <cell r="X7">
            <v>4428660</v>
          </cell>
          <cell r="Y7">
            <v>7571621</v>
          </cell>
          <cell r="Z7">
            <v>5088198.3099999996</v>
          </cell>
          <cell r="AA7">
            <v>3153250</v>
          </cell>
          <cell r="AB7">
            <v>2940690</v>
          </cell>
          <cell r="AC7">
            <v>2929445</v>
          </cell>
          <cell r="AD7">
            <v>3052290</v>
          </cell>
          <cell r="AE7">
            <v>2962680</v>
          </cell>
          <cell r="AF7">
            <v>3193605</v>
          </cell>
          <cell r="AG7">
            <v>3004375</v>
          </cell>
          <cell r="AH7">
            <v>3017570</v>
          </cell>
          <cell r="AI7">
            <v>3048805</v>
          </cell>
          <cell r="AJ7">
            <v>2905865</v>
          </cell>
          <cell r="AK7">
            <v>2883120</v>
          </cell>
          <cell r="AL7">
            <v>2879350</v>
          </cell>
          <cell r="AM7">
            <v>2829745</v>
          </cell>
          <cell r="AN7">
            <v>2837955</v>
          </cell>
          <cell r="AO7">
            <v>2929340</v>
          </cell>
          <cell r="AP7">
            <v>2939375</v>
          </cell>
          <cell r="AQ7">
            <v>3374465</v>
          </cell>
          <cell r="AR7">
            <v>3174070</v>
          </cell>
          <cell r="AS7">
            <v>3424570</v>
          </cell>
          <cell r="AT7">
            <v>3700240</v>
          </cell>
          <cell r="AU7">
            <v>4160755</v>
          </cell>
          <cell r="AV7">
            <v>5123440</v>
          </cell>
          <cell r="AW7">
            <v>6694729.9000000004</v>
          </cell>
          <cell r="AX7">
            <v>10548399.74</v>
          </cell>
          <cell r="AY7">
            <v>19520313.760000002</v>
          </cell>
          <cell r="AZ7">
            <v>42704624.380000003</v>
          </cell>
          <cell r="BA7">
            <v>52702468.289999999</v>
          </cell>
          <cell r="BB7">
            <v>5302356.68</v>
          </cell>
        </row>
        <row r="8">
          <cell r="A8" t="str">
            <v>ptd</v>
          </cell>
          <cell r="B8">
            <v>2594920</v>
          </cell>
          <cell r="C8">
            <v>4665215</v>
          </cell>
          <cell r="D8">
            <v>6646625</v>
          </cell>
          <cell r="E8">
            <v>8578715</v>
          </cell>
          <cell r="F8">
            <v>2096210</v>
          </cell>
          <cell r="G8">
            <v>4503805</v>
          </cell>
          <cell r="H8">
            <v>8395405</v>
          </cell>
          <cell r="I8">
            <v>10510090</v>
          </cell>
          <cell r="J8">
            <v>2244950</v>
          </cell>
          <cell r="K8">
            <v>4479675</v>
          </cell>
          <cell r="L8">
            <v>6986080</v>
          </cell>
          <cell r="M8">
            <v>10683225</v>
          </cell>
          <cell r="N8">
            <v>2361290</v>
          </cell>
          <cell r="O8">
            <v>4725610</v>
          </cell>
          <cell r="P8">
            <v>7023280</v>
          </cell>
          <cell r="Q8">
            <v>9529710</v>
          </cell>
          <cell r="R8">
            <v>3076320</v>
          </cell>
          <cell r="S8">
            <v>6237785</v>
          </cell>
          <cell r="T8">
            <v>12717435</v>
          </cell>
          <cell r="U8">
            <v>17409115</v>
          </cell>
          <cell r="V8">
            <v>4140295</v>
          </cell>
          <cell r="W8">
            <v>8124205</v>
          </cell>
          <cell r="X8">
            <v>12552865</v>
          </cell>
          <cell r="Y8">
            <v>20124486</v>
          </cell>
          <cell r="Z8">
            <v>5088198.3099999996</v>
          </cell>
          <cell r="AA8">
            <v>8241448.3099999996</v>
          </cell>
          <cell r="AB8">
            <v>11182138.309999999</v>
          </cell>
          <cell r="AC8">
            <v>14111583.309999999</v>
          </cell>
          <cell r="AD8">
            <v>3052290</v>
          </cell>
          <cell r="AE8">
            <v>6014970</v>
          </cell>
          <cell r="AF8">
            <v>9208575</v>
          </cell>
          <cell r="AG8">
            <v>12212950</v>
          </cell>
          <cell r="AH8">
            <v>3017570</v>
          </cell>
          <cell r="AI8">
            <v>6066375</v>
          </cell>
          <cell r="AJ8">
            <v>8972240</v>
          </cell>
          <cell r="AK8">
            <v>11855360</v>
          </cell>
          <cell r="AL8">
            <v>2879350</v>
          </cell>
          <cell r="AM8">
            <v>5709095</v>
          </cell>
          <cell r="AN8">
            <v>8547050</v>
          </cell>
          <cell r="AO8">
            <v>11476390</v>
          </cell>
          <cell r="AP8">
            <v>2939375</v>
          </cell>
          <cell r="AQ8">
            <v>6313840</v>
          </cell>
          <cell r="AR8">
            <v>9487910</v>
          </cell>
          <cell r="AS8">
            <v>12912480</v>
          </cell>
          <cell r="AT8">
            <v>3700240</v>
          </cell>
          <cell r="AU8">
            <v>7860995</v>
          </cell>
          <cell r="AV8">
            <v>12984435</v>
          </cell>
          <cell r="AW8">
            <v>19679164.899999999</v>
          </cell>
          <cell r="AX8">
            <v>10548399.74</v>
          </cell>
          <cell r="AY8">
            <v>30068713.5</v>
          </cell>
          <cell r="AZ8">
            <v>72773337.879999995</v>
          </cell>
          <cell r="BA8">
            <v>125475806.16999999</v>
          </cell>
          <cell r="BB8">
            <v>130778162.84999999</v>
          </cell>
        </row>
        <row r="9">
          <cell r="A9" t="str">
            <v>qtd</v>
          </cell>
          <cell r="B9">
            <v>2594920</v>
          </cell>
          <cell r="C9">
            <v>4665215</v>
          </cell>
          <cell r="D9">
            <v>6646625</v>
          </cell>
          <cell r="E9">
            <v>8578715</v>
          </cell>
          <cell r="F9">
            <v>10674925</v>
          </cell>
          <cell r="G9">
            <v>13082520</v>
          </cell>
          <cell r="H9">
            <v>16974120</v>
          </cell>
          <cell r="I9">
            <v>19088805</v>
          </cell>
          <cell r="J9">
            <v>21333755</v>
          </cell>
          <cell r="K9">
            <v>23568480</v>
          </cell>
          <cell r="L9">
            <v>26074885</v>
          </cell>
          <cell r="M9">
            <v>29772030</v>
          </cell>
          <cell r="N9">
            <v>2361290</v>
          </cell>
          <cell r="O9">
            <v>4725610</v>
          </cell>
          <cell r="P9">
            <v>7023280</v>
          </cell>
          <cell r="Q9">
            <v>9529710</v>
          </cell>
          <cell r="R9">
            <v>12606030</v>
          </cell>
          <cell r="S9">
            <v>15767495</v>
          </cell>
          <cell r="T9">
            <v>22247145</v>
          </cell>
          <cell r="U9">
            <v>26938825</v>
          </cell>
          <cell r="V9">
            <v>31079120</v>
          </cell>
          <cell r="W9">
            <v>35063030</v>
          </cell>
          <cell r="X9">
            <v>39491690</v>
          </cell>
          <cell r="Y9">
            <v>47063311</v>
          </cell>
          <cell r="Z9">
            <v>5088198.3099999996</v>
          </cell>
          <cell r="AA9">
            <v>8241448.3099999996</v>
          </cell>
          <cell r="AB9">
            <v>11182138.309999999</v>
          </cell>
          <cell r="AC9">
            <v>14111583.309999999</v>
          </cell>
          <cell r="AD9">
            <v>17163873.309999999</v>
          </cell>
          <cell r="AE9">
            <v>20126553.309999999</v>
          </cell>
          <cell r="AF9">
            <v>23320158.309999999</v>
          </cell>
          <cell r="AG9">
            <v>26324533.309999999</v>
          </cell>
          <cell r="AH9">
            <v>29342103.309999999</v>
          </cell>
          <cell r="AI9">
            <v>32390908.309999999</v>
          </cell>
          <cell r="AJ9">
            <v>35296773.310000002</v>
          </cell>
          <cell r="AK9">
            <v>38179893.310000002</v>
          </cell>
          <cell r="AL9">
            <v>2879350</v>
          </cell>
          <cell r="AM9">
            <v>5709095</v>
          </cell>
          <cell r="AN9">
            <v>8547050</v>
          </cell>
          <cell r="AO9">
            <v>11476390</v>
          </cell>
          <cell r="AP9">
            <v>14415765</v>
          </cell>
          <cell r="AQ9">
            <v>17790230</v>
          </cell>
          <cell r="AR9">
            <v>20964300</v>
          </cell>
          <cell r="AS9">
            <v>24388870</v>
          </cell>
          <cell r="AT9">
            <v>28089110</v>
          </cell>
          <cell r="AU9">
            <v>32249865</v>
          </cell>
          <cell r="AV9">
            <v>37373305</v>
          </cell>
          <cell r="AW9">
            <v>44068034.899999999</v>
          </cell>
          <cell r="AX9">
            <v>54616434.640000001</v>
          </cell>
          <cell r="AY9">
            <v>74136748.400000006</v>
          </cell>
          <cell r="AZ9">
            <v>116841372.78</v>
          </cell>
          <cell r="BA9">
            <v>169543841.06999999</v>
          </cell>
          <cell r="BB9">
            <v>174846197.75</v>
          </cell>
        </row>
        <row r="10">
          <cell r="A10" t="str">
            <v>ytd</v>
          </cell>
          <cell r="B10">
            <v>2594920</v>
          </cell>
          <cell r="C10">
            <v>4665215</v>
          </cell>
          <cell r="D10">
            <v>6646625</v>
          </cell>
          <cell r="E10">
            <v>8578715</v>
          </cell>
          <cell r="F10">
            <v>10674925</v>
          </cell>
          <cell r="G10">
            <v>13082520</v>
          </cell>
          <cell r="H10">
            <v>16974120</v>
          </cell>
          <cell r="I10">
            <v>19088805</v>
          </cell>
          <cell r="J10">
            <v>21333755</v>
          </cell>
          <cell r="K10">
            <v>23568480</v>
          </cell>
          <cell r="L10">
            <v>26074885</v>
          </cell>
          <cell r="M10">
            <v>29772030</v>
          </cell>
          <cell r="N10">
            <v>32133320</v>
          </cell>
          <cell r="O10">
            <v>34497640</v>
          </cell>
          <cell r="P10">
            <v>36795310</v>
          </cell>
          <cell r="Q10">
            <v>39301740</v>
          </cell>
          <cell r="R10">
            <v>42378060</v>
          </cell>
          <cell r="S10">
            <v>45539525</v>
          </cell>
          <cell r="T10">
            <v>52019175</v>
          </cell>
          <cell r="U10">
            <v>56710855</v>
          </cell>
          <cell r="V10">
            <v>60851150</v>
          </cell>
          <cell r="W10">
            <v>64835060</v>
          </cell>
          <cell r="X10">
            <v>69263720</v>
          </cell>
          <cell r="Y10">
            <v>76835341</v>
          </cell>
          <cell r="Z10">
            <v>81923539.310000002</v>
          </cell>
          <cell r="AA10">
            <v>85076789.310000002</v>
          </cell>
          <cell r="AB10">
            <v>88017479.310000002</v>
          </cell>
          <cell r="AC10">
            <v>90946924.310000002</v>
          </cell>
          <cell r="AD10">
            <v>93999214.310000002</v>
          </cell>
          <cell r="AE10">
            <v>96961894.310000002</v>
          </cell>
          <cell r="AF10">
            <v>100155499.31</v>
          </cell>
          <cell r="AG10">
            <v>103159874.31</v>
          </cell>
          <cell r="AH10">
            <v>106177444.31</v>
          </cell>
          <cell r="AI10">
            <v>109226249.31</v>
          </cell>
          <cell r="AJ10">
            <v>112132114.31</v>
          </cell>
          <cell r="AK10">
            <v>115015234.31</v>
          </cell>
          <cell r="AL10">
            <v>117894584.31</v>
          </cell>
          <cell r="AM10">
            <v>120724329.31</v>
          </cell>
          <cell r="AN10">
            <v>123562284.31</v>
          </cell>
          <cell r="AO10">
            <v>126491624.31</v>
          </cell>
          <cell r="AP10">
            <v>129430999.31</v>
          </cell>
          <cell r="AQ10">
            <v>132805464.31</v>
          </cell>
          <cell r="AR10">
            <v>135979534.31</v>
          </cell>
          <cell r="AS10">
            <v>139404104.31</v>
          </cell>
          <cell r="AT10">
            <v>143104344.31</v>
          </cell>
          <cell r="AU10">
            <v>147265099.31</v>
          </cell>
          <cell r="AV10">
            <v>152388539.31</v>
          </cell>
          <cell r="AW10">
            <v>159083269.21000001</v>
          </cell>
          <cell r="AX10">
            <v>169631668.95000002</v>
          </cell>
          <cell r="AY10">
            <v>189151982.71000001</v>
          </cell>
          <cell r="AZ10">
            <v>231856607.09</v>
          </cell>
          <cell r="BA10">
            <v>284559075.38</v>
          </cell>
          <cell r="BB10">
            <v>289861432.06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AX15">
            <v>414050</v>
          </cell>
          <cell r="AY15">
            <v>4571675</v>
          </cell>
          <cell r="AZ15">
            <v>13081225</v>
          </cell>
          <cell r="BA15">
            <v>16260500</v>
          </cell>
          <cell r="BB15">
            <v>2016950</v>
          </cell>
        </row>
        <row r="16">
          <cell r="A16" t="str">
            <v>ptd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414050</v>
          </cell>
          <cell r="AY16">
            <v>4985725</v>
          </cell>
          <cell r="AZ16">
            <v>18066950</v>
          </cell>
          <cell r="BA16">
            <v>34327450</v>
          </cell>
          <cell r="BB16">
            <v>36344400</v>
          </cell>
        </row>
        <row r="17">
          <cell r="A17" t="str">
            <v>qtd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414050</v>
          </cell>
          <cell r="AY17">
            <v>4985725</v>
          </cell>
          <cell r="AZ17">
            <v>18066950</v>
          </cell>
          <cell r="BA17">
            <v>34327450</v>
          </cell>
          <cell r="BB17">
            <v>36344400</v>
          </cell>
        </row>
        <row r="18">
          <cell r="A18" t="str">
            <v>ytd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414050</v>
          </cell>
          <cell r="AY18">
            <v>4985725</v>
          </cell>
          <cell r="AZ18">
            <v>18066950</v>
          </cell>
          <cell r="BA18">
            <v>34327450</v>
          </cell>
          <cell r="BB18">
            <v>36344400</v>
          </cell>
        </row>
        <row r="19">
          <cell r="A19" t="str">
            <v>SPRT</v>
          </cell>
          <cell r="B19">
            <v>19025</v>
          </cell>
          <cell r="C19">
            <v>15350</v>
          </cell>
          <cell r="D19">
            <v>16475</v>
          </cell>
          <cell r="E19">
            <v>13275</v>
          </cell>
          <cell r="F19">
            <v>14575</v>
          </cell>
          <cell r="G19">
            <v>16225</v>
          </cell>
          <cell r="H19">
            <v>32675</v>
          </cell>
          <cell r="I19">
            <v>14750</v>
          </cell>
          <cell r="J19">
            <v>14725</v>
          </cell>
          <cell r="K19">
            <v>15825</v>
          </cell>
          <cell r="L19">
            <v>17025</v>
          </cell>
          <cell r="M19">
            <v>29625</v>
          </cell>
          <cell r="N19">
            <v>16900</v>
          </cell>
          <cell r="O19">
            <v>15300</v>
          </cell>
          <cell r="P19">
            <v>14800</v>
          </cell>
          <cell r="Q19">
            <v>17025</v>
          </cell>
          <cell r="R19">
            <v>18025</v>
          </cell>
          <cell r="S19">
            <v>19025</v>
          </cell>
          <cell r="T19">
            <v>29050</v>
          </cell>
          <cell r="U19">
            <v>26600</v>
          </cell>
          <cell r="V19">
            <v>28250</v>
          </cell>
          <cell r="W19">
            <v>32650</v>
          </cell>
          <cell r="X19">
            <v>31450</v>
          </cell>
          <cell r="Y19">
            <v>70275</v>
          </cell>
          <cell r="Z19">
            <v>46350</v>
          </cell>
          <cell r="AA19">
            <v>18800</v>
          </cell>
          <cell r="AB19">
            <v>19625</v>
          </cell>
          <cell r="AC19">
            <v>17675</v>
          </cell>
          <cell r="AD19">
            <v>20150</v>
          </cell>
          <cell r="AE19">
            <v>17625</v>
          </cell>
          <cell r="AF19">
            <v>20975</v>
          </cell>
          <cell r="AG19">
            <v>21875</v>
          </cell>
          <cell r="AH19">
            <v>21225</v>
          </cell>
          <cell r="AI19">
            <v>19975</v>
          </cell>
          <cell r="AJ19">
            <v>20150</v>
          </cell>
          <cell r="AK19">
            <v>20075</v>
          </cell>
          <cell r="AL19">
            <v>22650</v>
          </cell>
          <cell r="AM19">
            <v>22275</v>
          </cell>
          <cell r="AN19">
            <v>21000</v>
          </cell>
          <cell r="AO19">
            <v>19175</v>
          </cell>
          <cell r="AP19">
            <v>19350</v>
          </cell>
          <cell r="AQ19">
            <v>23475</v>
          </cell>
          <cell r="AR19">
            <v>18750</v>
          </cell>
          <cell r="AS19">
            <v>20250</v>
          </cell>
          <cell r="AT19">
            <v>23025</v>
          </cell>
          <cell r="AU19">
            <v>25150</v>
          </cell>
          <cell r="AV19">
            <v>26050</v>
          </cell>
          <cell r="AW19">
            <v>33475</v>
          </cell>
          <cell r="AX19">
            <v>54625</v>
          </cell>
          <cell r="AY19">
            <v>102475</v>
          </cell>
          <cell r="AZ19">
            <v>241150</v>
          </cell>
          <cell r="BA19">
            <v>367425</v>
          </cell>
          <cell r="BB19">
            <v>34850</v>
          </cell>
        </row>
        <row r="20">
          <cell r="A20" t="str">
            <v>ptd</v>
          </cell>
          <cell r="B20">
            <v>19025</v>
          </cell>
          <cell r="C20">
            <v>34375</v>
          </cell>
          <cell r="D20">
            <v>50850</v>
          </cell>
          <cell r="E20">
            <v>64125</v>
          </cell>
          <cell r="F20">
            <v>14575</v>
          </cell>
          <cell r="G20">
            <v>30800</v>
          </cell>
          <cell r="H20">
            <v>63475</v>
          </cell>
          <cell r="I20">
            <v>78225</v>
          </cell>
          <cell r="J20">
            <v>14725</v>
          </cell>
          <cell r="K20">
            <v>30550</v>
          </cell>
          <cell r="L20">
            <v>47575</v>
          </cell>
          <cell r="M20">
            <v>77200</v>
          </cell>
          <cell r="N20">
            <v>16900</v>
          </cell>
          <cell r="O20">
            <v>32200</v>
          </cell>
          <cell r="P20">
            <v>47000</v>
          </cell>
          <cell r="Q20">
            <v>64025</v>
          </cell>
          <cell r="R20">
            <v>18025</v>
          </cell>
          <cell r="S20">
            <v>37050</v>
          </cell>
          <cell r="T20">
            <v>66100</v>
          </cell>
          <cell r="U20">
            <v>92700</v>
          </cell>
          <cell r="V20">
            <v>28250</v>
          </cell>
          <cell r="W20">
            <v>60900</v>
          </cell>
          <cell r="X20">
            <v>92350</v>
          </cell>
          <cell r="Y20">
            <v>162625</v>
          </cell>
          <cell r="Z20">
            <v>46350</v>
          </cell>
          <cell r="AA20">
            <v>65150</v>
          </cell>
          <cell r="AB20">
            <v>84775</v>
          </cell>
          <cell r="AC20">
            <v>102450</v>
          </cell>
          <cell r="AD20">
            <v>20150</v>
          </cell>
          <cell r="AE20">
            <v>37775</v>
          </cell>
          <cell r="AF20">
            <v>58750</v>
          </cell>
          <cell r="AG20">
            <v>80625</v>
          </cell>
          <cell r="AH20">
            <v>21225</v>
          </cell>
          <cell r="AI20">
            <v>41200</v>
          </cell>
          <cell r="AJ20">
            <v>61350</v>
          </cell>
          <cell r="AK20">
            <v>81425</v>
          </cell>
          <cell r="AL20">
            <v>22650</v>
          </cell>
          <cell r="AM20">
            <v>44925</v>
          </cell>
          <cell r="AN20">
            <v>65925</v>
          </cell>
          <cell r="AO20">
            <v>85100</v>
          </cell>
          <cell r="AP20">
            <v>19350</v>
          </cell>
          <cell r="AQ20">
            <v>42825</v>
          </cell>
          <cell r="AR20">
            <v>61575</v>
          </cell>
          <cell r="AS20">
            <v>81825</v>
          </cell>
          <cell r="AT20">
            <v>23025</v>
          </cell>
          <cell r="AU20">
            <v>48175</v>
          </cell>
          <cell r="AV20">
            <v>74225</v>
          </cell>
          <cell r="AW20">
            <v>107700</v>
          </cell>
          <cell r="AX20">
            <v>54625</v>
          </cell>
          <cell r="AY20">
            <v>157100</v>
          </cell>
          <cell r="AZ20">
            <v>398250</v>
          </cell>
          <cell r="BA20">
            <v>765675</v>
          </cell>
          <cell r="BB20">
            <v>800525</v>
          </cell>
        </row>
        <row r="21">
          <cell r="A21" t="str">
            <v>qtd</v>
          </cell>
          <cell r="B21">
            <v>19025</v>
          </cell>
          <cell r="C21">
            <v>34375</v>
          </cell>
          <cell r="D21">
            <v>50850</v>
          </cell>
          <cell r="E21">
            <v>64125</v>
          </cell>
          <cell r="F21">
            <v>78700</v>
          </cell>
          <cell r="G21">
            <v>94925</v>
          </cell>
          <cell r="H21">
            <v>127600</v>
          </cell>
          <cell r="I21">
            <v>142350</v>
          </cell>
          <cell r="J21">
            <v>157075</v>
          </cell>
          <cell r="K21">
            <v>172900</v>
          </cell>
          <cell r="L21">
            <v>189925</v>
          </cell>
          <cell r="M21">
            <v>219550</v>
          </cell>
          <cell r="N21">
            <v>16900</v>
          </cell>
          <cell r="O21">
            <v>32200</v>
          </cell>
          <cell r="P21">
            <v>47000</v>
          </cell>
          <cell r="Q21">
            <v>64025</v>
          </cell>
          <cell r="R21">
            <v>82050</v>
          </cell>
          <cell r="S21">
            <v>101075</v>
          </cell>
          <cell r="T21">
            <v>130125</v>
          </cell>
          <cell r="U21">
            <v>156725</v>
          </cell>
          <cell r="V21">
            <v>184975</v>
          </cell>
          <cell r="W21">
            <v>217625</v>
          </cell>
          <cell r="X21">
            <v>249075</v>
          </cell>
          <cell r="Y21">
            <v>319350</v>
          </cell>
          <cell r="Z21">
            <v>46350</v>
          </cell>
          <cell r="AA21">
            <v>65150</v>
          </cell>
          <cell r="AB21">
            <v>84775</v>
          </cell>
          <cell r="AC21">
            <v>102450</v>
          </cell>
          <cell r="AD21">
            <v>122600</v>
          </cell>
          <cell r="AE21">
            <v>140225</v>
          </cell>
          <cell r="AF21">
            <v>161200</v>
          </cell>
          <cell r="AG21">
            <v>183075</v>
          </cell>
          <cell r="AH21">
            <v>204300</v>
          </cell>
          <cell r="AI21">
            <v>224275</v>
          </cell>
          <cell r="AJ21">
            <v>244425</v>
          </cell>
          <cell r="AK21">
            <v>264500</v>
          </cell>
          <cell r="AL21">
            <v>22650</v>
          </cell>
          <cell r="AM21">
            <v>44925</v>
          </cell>
          <cell r="AN21">
            <v>65925</v>
          </cell>
          <cell r="AO21">
            <v>85100</v>
          </cell>
          <cell r="AP21">
            <v>104450</v>
          </cell>
          <cell r="AQ21">
            <v>127925</v>
          </cell>
          <cell r="AR21">
            <v>146675</v>
          </cell>
          <cell r="AS21">
            <v>166925</v>
          </cell>
          <cell r="AT21">
            <v>189950</v>
          </cell>
          <cell r="AU21">
            <v>215100</v>
          </cell>
          <cell r="AV21">
            <v>241150</v>
          </cell>
          <cell r="AW21">
            <v>274625</v>
          </cell>
          <cell r="AX21">
            <v>329250</v>
          </cell>
          <cell r="AY21">
            <v>431725</v>
          </cell>
          <cell r="AZ21">
            <v>672875</v>
          </cell>
          <cell r="BA21">
            <v>1040300</v>
          </cell>
          <cell r="BB21">
            <v>1075150</v>
          </cell>
        </row>
        <row r="22">
          <cell r="A22" t="str">
            <v>ytd</v>
          </cell>
          <cell r="B22">
            <v>19025</v>
          </cell>
          <cell r="C22">
            <v>34375</v>
          </cell>
          <cell r="D22">
            <v>50850</v>
          </cell>
          <cell r="E22">
            <v>64125</v>
          </cell>
          <cell r="F22">
            <v>78700</v>
          </cell>
          <cell r="G22">
            <v>94925</v>
          </cell>
          <cell r="H22">
            <v>127600</v>
          </cell>
          <cell r="I22">
            <v>142350</v>
          </cell>
          <cell r="J22">
            <v>157075</v>
          </cell>
          <cell r="K22">
            <v>172900</v>
          </cell>
          <cell r="L22">
            <v>189925</v>
          </cell>
          <cell r="M22">
            <v>219550</v>
          </cell>
          <cell r="N22">
            <v>236450</v>
          </cell>
          <cell r="O22">
            <v>251750</v>
          </cell>
          <cell r="P22">
            <v>266550</v>
          </cell>
          <cell r="Q22">
            <v>283575</v>
          </cell>
          <cell r="R22">
            <v>301600</v>
          </cell>
          <cell r="S22">
            <v>320625</v>
          </cell>
          <cell r="T22">
            <v>349675</v>
          </cell>
          <cell r="U22">
            <v>376275</v>
          </cell>
          <cell r="V22">
            <v>404525</v>
          </cell>
          <cell r="W22">
            <v>437175</v>
          </cell>
          <cell r="X22">
            <v>468625</v>
          </cell>
          <cell r="Y22">
            <v>538900</v>
          </cell>
          <cell r="Z22">
            <v>585250</v>
          </cell>
          <cell r="AA22">
            <v>604050</v>
          </cell>
          <cell r="AB22">
            <v>623675</v>
          </cell>
          <cell r="AC22">
            <v>641350</v>
          </cell>
          <cell r="AD22">
            <v>661500</v>
          </cell>
          <cell r="AE22">
            <v>679125</v>
          </cell>
          <cell r="AF22">
            <v>700100</v>
          </cell>
          <cell r="AG22">
            <v>721975</v>
          </cell>
          <cell r="AH22">
            <v>743200</v>
          </cell>
          <cell r="AI22">
            <v>763175</v>
          </cell>
          <cell r="AJ22">
            <v>783325</v>
          </cell>
          <cell r="AK22">
            <v>803400</v>
          </cell>
          <cell r="AL22">
            <v>826050</v>
          </cell>
          <cell r="AM22">
            <v>848325</v>
          </cell>
          <cell r="AN22">
            <v>869325</v>
          </cell>
          <cell r="AO22">
            <v>888500</v>
          </cell>
          <cell r="AP22">
            <v>907850</v>
          </cell>
          <cell r="AQ22">
            <v>931325</v>
          </cell>
          <cell r="AR22">
            <v>950075</v>
          </cell>
          <cell r="AS22">
            <v>970325</v>
          </cell>
          <cell r="AT22">
            <v>993350</v>
          </cell>
          <cell r="AU22">
            <v>1018500</v>
          </cell>
          <cell r="AV22">
            <v>1044550</v>
          </cell>
          <cell r="AW22">
            <v>1078025</v>
          </cell>
          <cell r="AX22">
            <v>1132650</v>
          </cell>
          <cell r="AY22">
            <v>1235125</v>
          </cell>
          <cell r="AZ22">
            <v>1476275</v>
          </cell>
          <cell r="BA22">
            <v>1843700</v>
          </cell>
          <cell r="BB22">
            <v>1878550</v>
          </cell>
        </row>
        <row r="23">
          <cell r="A23" t="str">
            <v>TELE</v>
          </cell>
          <cell r="B23">
            <v>90</v>
          </cell>
          <cell r="AK23">
            <v>20</v>
          </cell>
          <cell r="AM23">
            <v>65</v>
          </cell>
          <cell r="AN23">
            <v>869.98</v>
          </cell>
          <cell r="AO23">
            <v>83085</v>
          </cell>
          <cell r="AP23">
            <v>350708.33</v>
          </cell>
          <cell r="AQ23">
            <v>594508.79</v>
          </cell>
          <cell r="AR23">
            <v>677276.5</v>
          </cell>
          <cell r="AS23">
            <v>785636.04</v>
          </cell>
          <cell r="AT23">
            <v>907813.62</v>
          </cell>
          <cell r="AU23">
            <v>885361.24</v>
          </cell>
          <cell r="AV23">
            <v>935632.87</v>
          </cell>
          <cell r="AW23">
            <v>976498.92</v>
          </cell>
          <cell r="AX23">
            <v>1103556.17</v>
          </cell>
          <cell r="AY23">
            <v>1054046.52</v>
          </cell>
          <cell r="AZ23">
            <v>1165692.04</v>
          </cell>
          <cell r="BA23">
            <v>1185169.44</v>
          </cell>
          <cell r="BB23">
            <v>1210055.6299999999</v>
          </cell>
        </row>
        <row r="24">
          <cell r="A24" t="str">
            <v>ptd</v>
          </cell>
          <cell r="B24">
            <v>90</v>
          </cell>
          <cell r="C24">
            <v>90</v>
          </cell>
          <cell r="D24">
            <v>90</v>
          </cell>
          <cell r="E24">
            <v>90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20</v>
          </cell>
          <cell r="AL24">
            <v>0</v>
          </cell>
          <cell r="AM24">
            <v>65</v>
          </cell>
          <cell r="AN24">
            <v>934.98</v>
          </cell>
          <cell r="AO24">
            <v>84019.98</v>
          </cell>
          <cell r="AP24">
            <v>350708.33</v>
          </cell>
          <cell r="AQ24">
            <v>945217.12000000011</v>
          </cell>
          <cell r="AR24">
            <v>1622493.62</v>
          </cell>
          <cell r="AS24">
            <v>2408129.66</v>
          </cell>
          <cell r="AT24">
            <v>907813.62</v>
          </cell>
          <cell r="AU24">
            <v>1793174.8599999999</v>
          </cell>
          <cell r="AV24">
            <v>2728807.73</v>
          </cell>
          <cell r="AW24">
            <v>3705306.65</v>
          </cell>
          <cell r="AX24">
            <v>1103556.17</v>
          </cell>
          <cell r="AY24">
            <v>2157602.69</v>
          </cell>
          <cell r="AZ24">
            <v>3323294.73</v>
          </cell>
          <cell r="BA24">
            <v>4508464.17</v>
          </cell>
          <cell r="BB24">
            <v>5718519.7999999998</v>
          </cell>
        </row>
        <row r="25">
          <cell r="A25" t="str">
            <v>qtd</v>
          </cell>
          <cell r="B25">
            <v>90</v>
          </cell>
          <cell r="C25">
            <v>90</v>
          </cell>
          <cell r="D25">
            <v>90</v>
          </cell>
          <cell r="E25">
            <v>90</v>
          </cell>
          <cell r="F25">
            <v>90</v>
          </cell>
          <cell r="G25">
            <v>90</v>
          </cell>
          <cell r="H25">
            <v>90</v>
          </cell>
          <cell r="I25">
            <v>90</v>
          </cell>
          <cell r="J25">
            <v>90</v>
          </cell>
          <cell r="K25">
            <v>90</v>
          </cell>
          <cell r="L25">
            <v>90</v>
          </cell>
          <cell r="M25">
            <v>90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20</v>
          </cell>
          <cell r="AL25">
            <v>0</v>
          </cell>
          <cell r="AM25">
            <v>65</v>
          </cell>
          <cell r="AN25">
            <v>934.98</v>
          </cell>
          <cell r="AO25">
            <v>84019.98</v>
          </cell>
          <cell r="AP25">
            <v>434728.31</v>
          </cell>
          <cell r="AQ25">
            <v>1029237.1000000001</v>
          </cell>
          <cell r="AR25">
            <v>1706513.6</v>
          </cell>
          <cell r="AS25">
            <v>2492149.64</v>
          </cell>
          <cell r="AT25">
            <v>3399963.2600000002</v>
          </cell>
          <cell r="AU25">
            <v>4285324.5</v>
          </cell>
          <cell r="AV25">
            <v>5220957.37</v>
          </cell>
          <cell r="AW25">
            <v>6197456.29</v>
          </cell>
          <cell r="AX25">
            <v>7301012.46</v>
          </cell>
          <cell r="AY25">
            <v>8355058.9800000004</v>
          </cell>
          <cell r="AZ25">
            <v>9520751.0199999996</v>
          </cell>
          <cell r="BA25">
            <v>10705920.459999999</v>
          </cell>
          <cell r="BB25">
            <v>11915976.09</v>
          </cell>
        </row>
        <row r="26">
          <cell r="A26" t="str">
            <v>ytd</v>
          </cell>
          <cell r="B26">
            <v>90</v>
          </cell>
          <cell r="C26">
            <v>90</v>
          </cell>
          <cell r="D26">
            <v>90</v>
          </cell>
          <cell r="E26">
            <v>90</v>
          </cell>
          <cell r="F26">
            <v>90</v>
          </cell>
          <cell r="G26">
            <v>90</v>
          </cell>
          <cell r="H26">
            <v>90</v>
          </cell>
          <cell r="I26">
            <v>90</v>
          </cell>
          <cell r="J26">
            <v>90</v>
          </cell>
          <cell r="K26">
            <v>90</v>
          </cell>
          <cell r="L26">
            <v>90</v>
          </cell>
          <cell r="M26">
            <v>90</v>
          </cell>
          <cell r="N26">
            <v>90</v>
          </cell>
          <cell r="O26">
            <v>90</v>
          </cell>
          <cell r="P26">
            <v>90</v>
          </cell>
          <cell r="Q26">
            <v>90</v>
          </cell>
          <cell r="R26">
            <v>90</v>
          </cell>
          <cell r="S26">
            <v>90</v>
          </cell>
          <cell r="T26">
            <v>90</v>
          </cell>
          <cell r="U26">
            <v>90</v>
          </cell>
          <cell r="V26">
            <v>90</v>
          </cell>
          <cell r="W26">
            <v>90</v>
          </cell>
          <cell r="X26">
            <v>90</v>
          </cell>
          <cell r="Y26">
            <v>90</v>
          </cell>
          <cell r="Z26">
            <v>90</v>
          </cell>
          <cell r="AA26">
            <v>90</v>
          </cell>
          <cell r="AB26">
            <v>90</v>
          </cell>
          <cell r="AC26">
            <v>90</v>
          </cell>
          <cell r="AD26">
            <v>90</v>
          </cell>
          <cell r="AE26">
            <v>90</v>
          </cell>
          <cell r="AF26">
            <v>90</v>
          </cell>
          <cell r="AG26">
            <v>90</v>
          </cell>
          <cell r="AH26">
            <v>90</v>
          </cell>
          <cell r="AI26">
            <v>90</v>
          </cell>
          <cell r="AJ26">
            <v>90</v>
          </cell>
          <cell r="AK26">
            <v>110</v>
          </cell>
          <cell r="AL26">
            <v>110</v>
          </cell>
          <cell r="AM26">
            <v>175</v>
          </cell>
          <cell r="AN26">
            <v>1044.98</v>
          </cell>
          <cell r="AO26">
            <v>84129.98</v>
          </cell>
          <cell r="AP26">
            <v>434838.31</v>
          </cell>
          <cell r="AQ26">
            <v>1029347.1000000001</v>
          </cell>
          <cell r="AR26">
            <v>1706623.6</v>
          </cell>
          <cell r="AS26">
            <v>2492259.64</v>
          </cell>
          <cell r="AT26">
            <v>3400073.2600000002</v>
          </cell>
          <cell r="AU26">
            <v>4285434.5</v>
          </cell>
          <cell r="AV26">
            <v>5221067.37</v>
          </cell>
          <cell r="AW26">
            <v>6197566.29</v>
          </cell>
          <cell r="AX26">
            <v>7301122.46</v>
          </cell>
          <cell r="AY26">
            <v>8355168.9800000004</v>
          </cell>
          <cell r="AZ26">
            <v>9520861.0199999996</v>
          </cell>
          <cell r="BA26">
            <v>10706030.459999999</v>
          </cell>
          <cell r="BB26">
            <v>11916086.09</v>
          </cell>
        </row>
        <row r="27">
          <cell r="A27" t="str">
            <v>TICK</v>
          </cell>
          <cell r="B27">
            <v>13019</v>
          </cell>
          <cell r="C27">
            <v>8725</v>
          </cell>
          <cell r="D27">
            <v>7126</v>
          </cell>
          <cell r="E27">
            <v>7954.68</v>
          </cell>
          <cell r="F27">
            <v>4604</v>
          </cell>
          <cell r="G27">
            <v>8190</v>
          </cell>
          <cell r="H27">
            <v>12615</v>
          </cell>
          <cell r="I27">
            <v>7750</v>
          </cell>
          <cell r="J27">
            <v>6490</v>
          </cell>
          <cell r="K27">
            <v>9199.9699999999993</v>
          </cell>
          <cell r="L27">
            <v>10628.67</v>
          </cell>
          <cell r="M27">
            <v>12170</v>
          </cell>
          <cell r="N27">
            <v>7260.89</v>
          </cell>
          <cell r="O27">
            <v>22269.14</v>
          </cell>
          <cell r="P27">
            <v>25957.599999999999</v>
          </cell>
          <cell r="Q27">
            <v>59133.9</v>
          </cell>
          <cell r="R27">
            <v>109304.04</v>
          </cell>
          <cell r="S27">
            <v>129443.86</v>
          </cell>
          <cell r="T27">
            <v>257597.22</v>
          </cell>
          <cell r="U27">
            <v>215002.74</v>
          </cell>
          <cell r="V27">
            <v>420445.39</v>
          </cell>
          <cell r="W27">
            <v>697885.04</v>
          </cell>
          <cell r="X27">
            <v>597280.92000000004</v>
          </cell>
          <cell r="Y27">
            <v>886885.03</v>
          </cell>
          <cell r="Z27">
            <v>654541.24</v>
          </cell>
          <cell r="AA27">
            <v>655218.63</v>
          </cell>
          <cell r="AB27">
            <v>848937.34</v>
          </cell>
          <cell r="AC27">
            <v>841940.09</v>
          </cell>
          <cell r="AD27">
            <v>901651.25</v>
          </cell>
          <cell r="AE27">
            <v>840506.48</v>
          </cell>
          <cell r="AF27">
            <v>861415.71</v>
          </cell>
          <cell r="AG27">
            <v>804154.94</v>
          </cell>
          <cell r="AH27">
            <v>625154.19999999995</v>
          </cell>
          <cell r="AI27">
            <v>444160.41</v>
          </cell>
          <cell r="AJ27">
            <v>267851.77</v>
          </cell>
          <cell r="AK27">
            <v>96634.79</v>
          </cell>
          <cell r="AL27">
            <v>25397.8</v>
          </cell>
          <cell r="AM27">
            <v>56365.02</v>
          </cell>
          <cell r="AN27">
            <v>67221.600000000006</v>
          </cell>
          <cell r="AO27">
            <v>237031.41</v>
          </cell>
          <cell r="AP27">
            <v>439863.45</v>
          </cell>
          <cell r="AQ27">
            <v>723461.3</v>
          </cell>
          <cell r="AR27">
            <v>881608.12</v>
          </cell>
          <cell r="AS27">
            <v>364773.63</v>
          </cell>
          <cell r="AT27">
            <v>24746.53</v>
          </cell>
          <cell r="AU27">
            <v>23048.87</v>
          </cell>
          <cell r="AV27">
            <v>27853.79</v>
          </cell>
          <cell r="AW27">
            <v>36838.86</v>
          </cell>
          <cell r="AX27">
            <v>47759.72</v>
          </cell>
          <cell r="AY27">
            <v>66224.399999999994</v>
          </cell>
          <cell r="AZ27">
            <v>120579.98</v>
          </cell>
          <cell r="BA27">
            <v>169800.64</v>
          </cell>
          <cell r="BB27">
            <v>48732.85</v>
          </cell>
        </row>
        <row r="28">
          <cell r="A28" t="str">
            <v>ptd</v>
          </cell>
          <cell r="B28">
            <v>13019</v>
          </cell>
          <cell r="C28">
            <v>21744</v>
          </cell>
          <cell r="D28">
            <v>28870</v>
          </cell>
          <cell r="E28">
            <v>36824.68</v>
          </cell>
          <cell r="F28">
            <v>4604</v>
          </cell>
          <cell r="G28">
            <v>12794</v>
          </cell>
          <cell r="H28">
            <v>25409</v>
          </cell>
          <cell r="I28">
            <v>33159</v>
          </cell>
          <cell r="J28">
            <v>6490</v>
          </cell>
          <cell r="K28">
            <v>15689.97</v>
          </cell>
          <cell r="L28">
            <v>26318.639999999999</v>
          </cell>
          <cell r="M28">
            <v>38488.639999999999</v>
          </cell>
          <cell r="N28">
            <v>7260.89</v>
          </cell>
          <cell r="O28">
            <v>29530.03</v>
          </cell>
          <cell r="P28">
            <v>55487.63</v>
          </cell>
          <cell r="Q28">
            <v>114621.53</v>
          </cell>
          <cell r="R28">
            <v>109304.04</v>
          </cell>
          <cell r="S28">
            <v>238747.9</v>
          </cell>
          <cell r="T28">
            <v>496345.12</v>
          </cell>
          <cell r="U28">
            <v>711347.86</v>
          </cell>
          <cell r="V28">
            <v>420445.39</v>
          </cell>
          <cell r="W28">
            <v>1118330.4300000002</v>
          </cell>
          <cell r="X28">
            <v>1715611.35</v>
          </cell>
          <cell r="Y28">
            <v>2602496.38</v>
          </cell>
          <cell r="Z28">
            <v>654541.24</v>
          </cell>
          <cell r="AA28">
            <v>1309759.8700000001</v>
          </cell>
          <cell r="AB28">
            <v>2158697.21</v>
          </cell>
          <cell r="AC28">
            <v>3000637.3</v>
          </cell>
          <cell r="AD28">
            <v>901651.25</v>
          </cell>
          <cell r="AE28">
            <v>1742157.73</v>
          </cell>
          <cell r="AF28">
            <v>2603573.44</v>
          </cell>
          <cell r="AG28">
            <v>3407728.38</v>
          </cell>
          <cell r="AH28">
            <v>625154.19999999995</v>
          </cell>
          <cell r="AI28">
            <v>1069314.6099999999</v>
          </cell>
          <cell r="AJ28">
            <v>1337166.3799999999</v>
          </cell>
          <cell r="AK28">
            <v>1433801.17</v>
          </cell>
          <cell r="AL28">
            <v>25397.8</v>
          </cell>
          <cell r="AM28">
            <v>81762.819999999992</v>
          </cell>
          <cell r="AN28">
            <v>148984.41999999998</v>
          </cell>
          <cell r="AO28">
            <v>386015.82999999996</v>
          </cell>
          <cell r="AP28">
            <v>439863.45</v>
          </cell>
          <cell r="AQ28">
            <v>1163324.75</v>
          </cell>
          <cell r="AR28">
            <v>2044932.87</v>
          </cell>
          <cell r="AS28">
            <v>2409706.5</v>
          </cell>
          <cell r="AT28">
            <v>24746.53</v>
          </cell>
          <cell r="AU28">
            <v>47795.399999999994</v>
          </cell>
          <cell r="AV28">
            <v>75649.19</v>
          </cell>
          <cell r="AW28">
            <v>112488.05</v>
          </cell>
          <cell r="AX28">
            <v>47759.72</v>
          </cell>
          <cell r="AY28">
            <v>113984.12</v>
          </cell>
          <cell r="AZ28">
            <v>234564.09999999998</v>
          </cell>
          <cell r="BA28">
            <v>404364.74</v>
          </cell>
          <cell r="BB28">
            <v>453097.58999999997</v>
          </cell>
        </row>
        <row r="29">
          <cell r="A29" t="str">
            <v>qtd</v>
          </cell>
          <cell r="B29">
            <v>13019</v>
          </cell>
          <cell r="C29">
            <v>21744</v>
          </cell>
          <cell r="D29">
            <v>28870</v>
          </cell>
          <cell r="E29">
            <v>36824.68</v>
          </cell>
          <cell r="F29">
            <v>41428.68</v>
          </cell>
          <cell r="G29">
            <v>49618.68</v>
          </cell>
          <cell r="H29">
            <v>62233.68</v>
          </cell>
          <cell r="I29">
            <v>69983.679999999993</v>
          </cell>
          <cell r="J29">
            <v>76473.679999999993</v>
          </cell>
          <cell r="K29">
            <v>85673.65</v>
          </cell>
          <cell r="L29">
            <v>96302.319999999992</v>
          </cell>
          <cell r="M29">
            <v>108472.31999999999</v>
          </cell>
          <cell r="N29">
            <v>7260.89</v>
          </cell>
          <cell r="O29">
            <v>29530.03</v>
          </cell>
          <cell r="P29">
            <v>55487.63</v>
          </cell>
          <cell r="Q29">
            <v>114621.53</v>
          </cell>
          <cell r="R29">
            <v>223925.57</v>
          </cell>
          <cell r="S29">
            <v>353369.43</v>
          </cell>
          <cell r="T29">
            <v>610966.65</v>
          </cell>
          <cell r="U29">
            <v>825969.39</v>
          </cell>
          <cell r="V29">
            <v>1246414.78</v>
          </cell>
          <cell r="W29">
            <v>1944299.82</v>
          </cell>
          <cell r="X29">
            <v>2541580.7400000002</v>
          </cell>
          <cell r="Y29">
            <v>3428465.7700000005</v>
          </cell>
          <cell r="Z29">
            <v>654541.24</v>
          </cell>
          <cell r="AA29">
            <v>1309759.8700000001</v>
          </cell>
          <cell r="AB29">
            <v>2158697.21</v>
          </cell>
          <cell r="AC29">
            <v>3000637.3</v>
          </cell>
          <cell r="AD29">
            <v>3902288.55</v>
          </cell>
          <cell r="AE29">
            <v>4742795.0299999993</v>
          </cell>
          <cell r="AF29">
            <v>5604210.7399999993</v>
          </cell>
          <cell r="AG29">
            <v>6408365.6799999997</v>
          </cell>
          <cell r="AH29">
            <v>7033519.8799999999</v>
          </cell>
          <cell r="AI29">
            <v>7477680.29</v>
          </cell>
          <cell r="AJ29">
            <v>7745532.0600000005</v>
          </cell>
          <cell r="AK29">
            <v>7842166.8500000006</v>
          </cell>
          <cell r="AL29">
            <v>25397.8</v>
          </cell>
          <cell r="AM29">
            <v>81762.819999999992</v>
          </cell>
          <cell r="AN29">
            <v>148984.41999999998</v>
          </cell>
          <cell r="AO29">
            <v>386015.82999999996</v>
          </cell>
          <cell r="AP29">
            <v>825879.28</v>
          </cell>
          <cell r="AQ29">
            <v>1549340.58</v>
          </cell>
          <cell r="AR29">
            <v>2430948.7000000002</v>
          </cell>
          <cell r="AS29">
            <v>2795722.33</v>
          </cell>
          <cell r="AT29">
            <v>2820468.86</v>
          </cell>
          <cell r="AU29">
            <v>2843517.73</v>
          </cell>
          <cell r="AV29">
            <v>2871371.52</v>
          </cell>
          <cell r="AW29">
            <v>2908210.38</v>
          </cell>
          <cell r="AX29">
            <v>2955970.1</v>
          </cell>
          <cell r="AY29">
            <v>3022194.5</v>
          </cell>
          <cell r="AZ29">
            <v>3142774.48</v>
          </cell>
          <cell r="BA29">
            <v>3312575.12</v>
          </cell>
          <cell r="BB29">
            <v>3361307.97</v>
          </cell>
        </row>
        <row r="30">
          <cell r="A30" t="str">
            <v>ytd</v>
          </cell>
          <cell r="B30">
            <v>13019</v>
          </cell>
          <cell r="C30">
            <v>21744</v>
          </cell>
          <cell r="D30">
            <v>28870</v>
          </cell>
          <cell r="E30">
            <v>36824.68</v>
          </cell>
          <cell r="F30">
            <v>41428.68</v>
          </cell>
          <cell r="G30">
            <v>49618.68</v>
          </cell>
          <cell r="H30">
            <v>62233.68</v>
          </cell>
          <cell r="I30">
            <v>69983.679999999993</v>
          </cell>
          <cell r="J30">
            <v>76473.679999999993</v>
          </cell>
          <cell r="K30">
            <v>85673.65</v>
          </cell>
          <cell r="L30">
            <v>96302.319999999992</v>
          </cell>
          <cell r="M30">
            <v>108472.31999999999</v>
          </cell>
          <cell r="N30">
            <v>115733.20999999999</v>
          </cell>
          <cell r="O30">
            <v>138002.34999999998</v>
          </cell>
          <cell r="P30">
            <v>163959.94999999998</v>
          </cell>
          <cell r="Q30">
            <v>223093.84999999998</v>
          </cell>
          <cell r="R30">
            <v>332397.88999999996</v>
          </cell>
          <cell r="S30">
            <v>461841.74999999994</v>
          </cell>
          <cell r="T30">
            <v>719438.97</v>
          </cell>
          <cell r="U30">
            <v>934441.71</v>
          </cell>
          <cell r="V30">
            <v>1354887.1</v>
          </cell>
          <cell r="W30">
            <v>2052772.1400000001</v>
          </cell>
          <cell r="X30">
            <v>2650053.06</v>
          </cell>
          <cell r="Y30">
            <v>3536938.09</v>
          </cell>
          <cell r="Z30">
            <v>4191479.33</v>
          </cell>
          <cell r="AA30">
            <v>4846697.96</v>
          </cell>
          <cell r="AB30">
            <v>5695635.2999999998</v>
          </cell>
          <cell r="AC30">
            <v>6537575.3899999997</v>
          </cell>
          <cell r="AD30">
            <v>7439226.6399999997</v>
          </cell>
          <cell r="AE30">
            <v>8279733.1199999992</v>
          </cell>
          <cell r="AF30">
            <v>9141148.8299999982</v>
          </cell>
          <cell r="AG30">
            <v>9945303.7699999977</v>
          </cell>
          <cell r="AH30">
            <v>10570457.969999997</v>
          </cell>
          <cell r="AI30">
            <v>11014618.379999997</v>
          </cell>
          <cell r="AJ30">
            <v>11282470.149999997</v>
          </cell>
          <cell r="AK30">
            <v>11379104.939999996</v>
          </cell>
          <cell r="AL30">
            <v>11404502.739999996</v>
          </cell>
          <cell r="AM30">
            <v>11460867.759999996</v>
          </cell>
          <cell r="AN30">
            <v>11528089.359999996</v>
          </cell>
          <cell r="AO30">
            <v>11765120.769999996</v>
          </cell>
          <cell r="AP30">
            <v>12204984.219999995</v>
          </cell>
          <cell r="AQ30">
            <v>12928445.519999996</v>
          </cell>
          <cell r="AR30">
            <v>13810053.639999995</v>
          </cell>
          <cell r="AS30">
            <v>14174827.269999996</v>
          </cell>
          <cell r="AT30">
            <v>14199573.799999995</v>
          </cell>
          <cell r="AU30">
            <v>14222622.669999994</v>
          </cell>
          <cell r="AV30">
            <v>14250476.459999993</v>
          </cell>
          <cell r="AW30">
            <v>14287315.319999993</v>
          </cell>
          <cell r="AX30">
            <v>14335075.039999994</v>
          </cell>
          <cell r="AY30">
            <v>14401299.439999994</v>
          </cell>
          <cell r="AZ30">
            <v>14521879.419999994</v>
          </cell>
          <cell r="BA30">
            <v>14691680.059999995</v>
          </cell>
          <cell r="BB30">
            <v>14740412.909999995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2698693</v>
          </cell>
          <cell r="C35">
            <v>2155153</v>
          </cell>
          <cell r="D35">
            <v>2065403</v>
          </cell>
          <cell r="E35">
            <v>2011018.68</v>
          </cell>
          <cell r="F35">
            <v>2180936</v>
          </cell>
          <cell r="G35">
            <v>2512937</v>
          </cell>
          <cell r="H35">
            <v>4074212</v>
          </cell>
          <cell r="I35">
            <v>2197524</v>
          </cell>
          <cell r="J35">
            <v>2333981</v>
          </cell>
          <cell r="K35">
            <v>2327462.9700000002</v>
          </cell>
          <cell r="L35">
            <v>2611762.67</v>
          </cell>
          <cell r="M35">
            <v>3872692</v>
          </cell>
          <cell r="N35">
            <v>2454595.89</v>
          </cell>
          <cell r="O35">
            <v>2469450.14</v>
          </cell>
          <cell r="P35">
            <v>2403978.6</v>
          </cell>
          <cell r="Q35">
            <v>2658907.9</v>
          </cell>
          <cell r="R35">
            <v>3294621.04</v>
          </cell>
          <cell r="S35">
            <v>3394100.86</v>
          </cell>
          <cell r="T35">
            <v>6908338.2199999997</v>
          </cell>
          <cell r="U35">
            <v>5045933.74</v>
          </cell>
          <cell r="V35">
            <v>4705537.26</v>
          </cell>
          <cell r="W35">
            <v>4845236.7</v>
          </cell>
          <cell r="X35">
            <v>5211749.6500000004</v>
          </cell>
          <cell r="Y35">
            <v>8803477.2200000007</v>
          </cell>
          <cell r="Z35">
            <v>5989465.46</v>
          </cell>
          <cell r="AA35">
            <v>3945987.3899999997</v>
          </cell>
          <cell r="AB35">
            <v>3927835.9299999997</v>
          </cell>
          <cell r="AC35">
            <v>3916925.52</v>
          </cell>
          <cell r="AD35">
            <v>4118371.28</v>
          </cell>
          <cell r="AE35">
            <v>3961155.1</v>
          </cell>
          <cell r="AF35">
            <v>4230134.26</v>
          </cell>
          <cell r="AG35">
            <v>3960161.56</v>
          </cell>
          <cell r="AH35">
            <v>3789291.7199999997</v>
          </cell>
          <cell r="AI35">
            <v>3629187.02</v>
          </cell>
          <cell r="AJ35">
            <v>3294423.02</v>
          </cell>
          <cell r="AK35">
            <v>3092471.43</v>
          </cell>
          <cell r="AL35">
            <v>3021439.9899999998</v>
          </cell>
          <cell r="AM35">
            <v>3001959.99</v>
          </cell>
          <cell r="AN35">
            <v>3027090.45</v>
          </cell>
          <cell r="AO35">
            <v>3374011.52</v>
          </cell>
          <cell r="AP35">
            <v>3851428.7800000003</v>
          </cell>
          <cell r="AQ35">
            <v>4846630.58</v>
          </cell>
          <cell r="AR35">
            <v>4881680.71</v>
          </cell>
          <cell r="AS35">
            <v>4738098.5600000005</v>
          </cell>
          <cell r="AT35">
            <v>4806426.47</v>
          </cell>
          <cell r="AU35">
            <v>5260165.6000000006</v>
          </cell>
          <cell r="AV35">
            <v>6297119.7199999997</v>
          </cell>
          <cell r="AW35">
            <v>7970961.7400000002</v>
          </cell>
          <cell r="AX35">
            <v>12548425.640000001</v>
          </cell>
          <cell r="AY35">
            <v>26038789.390000001</v>
          </cell>
          <cell r="AZ35">
            <v>58986467.949999996</v>
          </cell>
          <cell r="BA35">
            <v>72776564.75999999</v>
          </cell>
          <cell r="BB35">
            <v>8808791.8099999987</v>
          </cell>
        </row>
        <row r="36">
          <cell r="A36" t="str">
            <v>ptd</v>
          </cell>
          <cell r="B36">
            <v>2698693</v>
          </cell>
          <cell r="C36">
            <v>4853846</v>
          </cell>
          <cell r="D36">
            <v>6919249</v>
          </cell>
          <cell r="E36">
            <v>8930267.6799999997</v>
          </cell>
          <cell r="F36">
            <v>2180936</v>
          </cell>
          <cell r="G36">
            <v>4693873</v>
          </cell>
          <cell r="H36">
            <v>8768085</v>
          </cell>
          <cell r="I36">
            <v>10965609</v>
          </cell>
          <cell r="J36">
            <v>2333981</v>
          </cell>
          <cell r="K36">
            <v>4661443.9700000007</v>
          </cell>
          <cell r="L36">
            <v>7273206.6400000006</v>
          </cell>
          <cell r="M36">
            <v>11145898.640000001</v>
          </cell>
          <cell r="N36">
            <v>2454595.89</v>
          </cell>
          <cell r="O36">
            <v>4924046.03</v>
          </cell>
          <cell r="P36">
            <v>7328024.6300000008</v>
          </cell>
          <cell r="Q36">
            <v>9986932.5300000012</v>
          </cell>
          <cell r="R36">
            <v>3294621.04</v>
          </cell>
          <cell r="S36">
            <v>6688721.9000000004</v>
          </cell>
          <cell r="T36">
            <v>13597060.120000001</v>
          </cell>
          <cell r="U36">
            <v>18642993.859999999</v>
          </cell>
          <cell r="V36">
            <v>4705537.26</v>
          </cell>
          <cell r="W36">
            <v>9550773.9600000009</v>
          </cell>
          <cell r="X36">
            <v>14762523.610000001</v>
          </cell>
          <cell r="Y36">
            <v>23566000.830000002</v>
          </cell>
          <cell r="Z36">
            <v>5989465.46</v>
          </cell>
          <cell r="AA36">
            <v>9935452.8499999996</v>
          </cell>
          <cell r="AB36">
            <v>13863288.779999999</v>
          </cell>
          <cell r="AC36">
            <v>17780214.300000001</v>
          </cell>
          <cell r="AD36">
            <v>4118371.28</v>
          </cell>
          <cell r="AE36">
            <v>8079526.3799999999</v>
          </cell>
          <cell r="AF36">
            <v>12309660.640000001</v>
          </cell>
          <cell r="AG36">
            <v>16269822.200000001</v>
          </cell>
          <cell r="AH36">
            <v>3789291.7199999997</v>
          </cell>
          <cell r="AI36">
            <v>7418478.7400000002</v>
          </cell>
          <cell r="AJ36">
            <v>10712901.76</v>
          </cell>
          <cell r="AK36">
            <v>13805373.189999999</v>
          </cell>
          <cell r="AL36">
            <v>3021439.9899999998</v>
          </cell>
          <cell r="AM36">
            <v>6023399.9800000004</v>
          </cell>
          <cell r="AN36">
            <v>9050490.4299999997</v>
          </cell>
          <cell r="AO36">
            <v>12424501.949999999</v>
          </cell>
          <cell r="AP36">
            <v>3851428.7800000003</v>
          </cell>
          <cell r="AQ36">
            <v>8698059.3599999994</v>
          </cell>
          <cell r="AR36">
            <v>13579740.07</v>
          </cell>
          <cell r="AS36">
            <v>18317838.630000003</v>
          </cell>
          <cell r="AT36">
            <v>4806426.47</v>
          </cell>
          <cell r="AU36">
            <v>10066592.07</v>
          </cell>
          <cell r="AV36">
            <v>16363711.789999999</v>
          </cell>
          <cell r="AW36">
            <v>24334673.530000001</v>
          </cell>
          <cell r="AX36">
            <v>12548425.640000001</v>
          </cell>
          <cell r="AY36">
            <v>38587215.030000001</v>
          </cell>
          <cell r="AZ36">
            <v>97573682.979999989</v>
          </cell>
          <cell r="BA36">
            <v>170350247.73999998</v>
          </cell>
          <cell r="BB36">
            <v>179159039.54999998</v>
          </cell>
        </row>
        <row r="37">
          <cell r="A37" t="str">
            <v>qtd</v>
          </cell>
          <cell r="B37">
            <v>2698693</v>
          </cell>
          <cell r="C37">
            <v>4853846</v>
          </cell>
          <cell r="D37">
            <v>6919249</v>
          </cell>
          <cell r="E37">
            <v>8930267.6799999997</v>
          </cell>
          <cell r="F37">
            <v>11111203.68</v>
          </cell>
          <cell r="G37">
            <v>13624140.68</v>
          </cell>
          <cell r="H37">
            <v>17698352.68</v>
          </cell>
          <cell r="I37">
            <v>19895876.68</v>
          </cell>
          <cell r="J37">
            <v>22229857.68</v>
          </cell>
          <cell r="K37">
            <v>24557320.649999999</v>
          </cell>
          <cell r="L37">
            <v>27169083.32</v>
          </cell>
          <cell r="M37">
            <v>31041775.32</v>
          </cell>
          <cell r="N37">
            <v>2454595.89</v>
          </cell>
          <cell r="O37">
            <v>4924046.03</v>
          </cell>
          <cell r="P37">
            <v>7328024.6300000008</v>
          </cell>
          <cell r="Q37">
            <v>9986932.5300000012</v>
          </cell>
          <cell r="R37">
            <v>13281553.57</v>
          </cell>
          <cell r="S37">
            <v>16675654.43</v>
          </cell>
          <cell r="T37">
            <v>23583992.649999999</v>
          </cell>
          <cell r="U37">
            <v>28629926.390000001</v>
          </cell>
          <cell r="V37">
            <v>33335463.649999999</v>
          </cell>
          <cell r="W37">
            <v>38180700.350000001</v>
          </cell>
          <cell r="X37">
            <v>43392450</v>
          </cell>
          <cell r="Y37">
            <v>52195927.219999999</v>
          </cell>
          <cell r="Z37">
            <v>5989465.46</v>
          </cell>
          <cell r="AA37">
            <v>9935452.8499999996</v>
          </cell>
          <cell r="AB37">
            <v>13863288.779999999</v>
          </cell>
          <cell r="AC37">
            <v>17780214.300000001</v>
          </cell>
          <cell r="AD37">
            <v>21898585.580000002</v>
          </cell>
          <cell r="AE37">
            <v>25859740.680000003</v>
          </cell>
          <cell r="AF37">
            <v>30089874.940000005</v>
          </cell>
          <cell r="AG37">
            <v>34050036.500000007</v>
          </cell>
          <cell r="AH37">
            <v>37839328.220000006</v>
          </cell>
          <cell r="AI37">
            <v>41468515.24000001</v>
          </cell>
          <cell r="AJ37">
            <v>44762938.260000013</v>
          </cell>
          <cell r="AK37">
            <v>47855409.690000013</v>
          </cell>
          <cell r="AL37">
            <v>3021439.9899999998</v>
          </cell>
          <cell r="AM37">
            <v>6023399.9800000004</v>
          </cell>
          <cell r="AN37">
            <v>9050490.4299999997</v>
          </cell>
          <cell r="AO37">
            <v>12424501.949999999</v>
          </cell>
          <cell r="AP37">
            <v>16275930.73</v>
          </cell>
          <cell r="AQ37">
            <v>21122561.310000002</v>
          </cell>
          <cell r="AR37">
            <v>26004242.020000003</v>
          </cell>
          <cell r="AS37">
            <v>30742340.580000006</v>
          </cell>
          <cell r="AT37">
            <v>35548767.050000004</v>
          </cell>
          <cell r="AU37">
            <v>40808932.650000006</v>
          </cell>
          <cell r="AV37">
            <v>47106052.370000005</v>
          </cell>
          <cell r="AW37">
            <v>55077014.110000007</v>
          </cell>
          <cell r="AX37">
            <v>67625439.75</v>
          </cell>
          <cell r="AY37">
            <v>93664229.140000001</v>
          </cell>
          <cell r="AZ37">
            <v>152650697.09</v>
          </cell>
          <cell r="BA37">
            <v>225427261.84999999</v>
          </cell>
          <cell r="BB37">
            <v>234236053.66</v>
          </cell>
        </row>
        <row r="38">
          <cell r="A38" t="str">
            <v>ytd</v>
          </cell>
          <cell r="B38">
            <v>2698693</v>
          </cell>
          <cell r="C38">
            <v>4853846</v>
          </cell>
          <cell r="D38">
            <v>6919249</v>
          </cell>
          <cell r="E38">
            <v>8930267.6799999997</v>
          </cell>
          <cell r="F38">
            <v>11111203.68</v>
          </cell>
          <cell r="G38">
            <v>13624140.68</v>
          </cell>
          <cell r="H38">
            <v>17698352.68</v>
          </cell>
          <cell r="I38">
            <v>19895876.68</v>
          </cell>
          <cell r="J38">
            <v>22229857.68</v>
          </cell>
          <cell r="K38">
            <v>24557320.649999999</v>
          </cell>
          <cell r="L38">
            <v>27169083.32</v>
          </cell>
          <cell r="M38">
            <v>31041775.32</v>
          </cell>
          <cell r="N38">
            <v>33496371.210000001</v>
          </cell>
          <cell r="O38">
            <v>35965821.350000001</v>
          </cell>
          <cell r="P38">
            <v>38369799.950000003</v>
          </cell>
          <cell r="Q38">
            <v>41028707.850000001</v>
          </cell>
          <cell r="R38">
            <v>44323328.890000001</v>
          </cell>
          <cell r="S38">
            <v>47717429.75</v>
          </cell>
          <cell r="T38">
            <v>54625767.969999999</v>
          </cell>
          <cell r="U38">
            <v>59671701.710000001</v>
          </cell>
          <cell r="V38">
            <v>64377238.969999999</v>
          </cell>
          <cell r="W38">
            <v>69222475.670000002</v>
          </cell>
          <cell r="X38">
            <v>74434225.320000008</v>
          </cell>
          <cell r="Y38">
            <v>83237702.540000007</v>
          </cell>
          <cell r="Z38">
            <v>89227168</v>
          </cell>
          <cell r="AA38">
            <v>93173155.390000001</v>
          </cell>
          <cell r="AB38">
            <v>97100991.319999993</v>
          </cell>
          <cell r="AC38">
            <v>101017916.83999999</v>
          </cell>
          <cell r="AD38">
            <v>105136288.11999999</v>
          </cell>
          <cell r="AE38">
            <v>109097443.21999998</v>
          </cell>
          <cell r="AF38">
            <v>113327577.47999999</v>
          </cell>
          <cell r="AG38">
            <v>117287739.03999999</v>
          </cell>
          <cell r="AH38">
            <v>121077030.75999999</v>
          </cell>
          <cell r="AI38">
            <v>124706217.77999999</v>
          </cell>
          <cell r="AJ38">
            <v>128000640.79999998</v>
          </cell>
          <cell r="AK38">
            <v>131093112.22999999</v>
          </cell>
          <cell r="AL38">
            <v>134114552.21999998</v>
          </cell>
          <cell r="AM38">
            <v>137116512.20999998</v>
          </cell>
          <cell r="AN38">
            <v>140143602.65999997</v>
          </cell>
          <cell r="AO38">
            <v>143517614.17999998</v>
          </cell>
          <cell r="AP38">
            <v>147369042.95999998</v>
          </cell>
          <cell r="AQ38">
            <v>152215673.53999999</v>
          </cell>
          <cell r="AR38">
            <v>157097354.25</v>
          </cell>
          <cell r="AS38">
            <v>161835452.81</v>
          </cell>
          <cell r="AT38">
            <v>166641879.28</v>
          </cell>
          <cell r="AU38">
            <v>171902044.88</v>
          </cell>
          <cell r="AV38">
            <v>178199164.59999999</v>
          </cell>
          <cell r="AW38">
            <v>186170126.34</v>
          </cell>
          <cell r="AX38">
            <v>198718551.98000002</v>
          </cell>
          <cell r="AY38">
            <v>224757341.37</v>
          </cell>
          <cell r="AZ38">
            <v>283743809.31999999</v>
          </cell>
          <cell r="BA38">
            <v>356520374.07999998</v>
          </cell>
          <cell r="BB38">
            <v>365329165.88999999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171210</v>
          </cell>
          <cell r="C41">
            <v>164910</v>
          </cell>
          <cell r="D41">
            <v>241985</v>
          </cell>
          <cell r="E41">
            <v>276690</v>
          </cell>
          <cell r="F41">
            <v>282610</v>
          </cell>
          <cell r="G41">
            <v>303145</v>
          </cell>
          <cell r="H41">
            <v>242425</v>
          </cell>
          <cell r="I41">
            <v>198200</v>
          </cell>
          <cell r="J41">
            <v>215925</v>
          </cell>
          <cell r="K41">
            <v>201025</v>
          </cell>
          <cell r="L41">
            <v>256945</v>
          </cell>
          <cell r="M41">
            <v>330850</v>
          </cell>
          <cell r="N41">
            <v>215095</v>
          </cell>
          <cell r="O41">
            <v>237195</v>
          </cell>
          <cell r="P41">
            <v>246485</v>
          </cell>
          <cell r="Q41">
            <v>252160</v>
          </cell>
          <cell r="R41">
            <v>306270</v>
          </cell>
          <cell r="S41">
            <v>326600</v>
          </cell>
          <cell r="T41">
            <v>522020</v>
          </cell>
          <cell r="U41">
            <v>403485</v>
          </cell>
          <cell r="V41">
            <v>355710</v>
          </cell>
          <cell r="W41">
            <v>369130</v>
          </cell>
          <cell r="X41">
            <v>432135</v>
          </cell>
          <cell r="Y41">
            <v>547785</v>
          </cell>
          <cell r="Z41">
            <v>403075</v>
          </cell>
          <cell r="AA41">
            <v>363595</v>
          </cell>
          <cell r="AB41">
            <v>341520</v>
          </cell>
          <cell r="AC41">
            <v>338465</v>
          </cell>
          <cell r="AD41">
            <v>347220</v>
          </cell>
          <cell r="AE41">
            <v>346425</v>
          </cell>
          <cell r="AF41">
            <v>325065</v>
          </cell>
          <cell r="AG41">
            <v>420675</v>
          </cell>
          <cell r="AH41">
            <v>394405</v>
          </cell>
          <cell r="AI41">
            <v>297825</v>
          </cell>
          <cell r="AJ41">
            <v>334025</v>
          </cell>
          <cell r="AK41">
            <v>196250</v>
          </cell>
          <cell r="AL41">
            <v>204800</v>
          </cell>
          <cell r="AM41">
            <v>186350</v>
          </cell>
          <cell r="AN41">
            <v>197050</v>
          </cell>
          <cell r="AO41">
            <v>195225</v>
          </cell>
          <cell r="AP41">
            <v>190775</v>
          </cell>
          <cell r="AQ41">
            <v>252025</v>
          </cell>
          <cell r="AR41">
            <v>258275</v>
          </cell>
          <cell r="AS41">
            <v>280375</v>
          </cell>
          <cell r="AT41">
            <v>316350</v>
          </cell>
          <cell r="AU41">
            <v>377675</v>
          </cell>
          <cell r="AV41">
            <v>403775</v>
          </cell>
          <cell r="AW41">
            <v>478675</v>
          </cell>
          <cell r="AX41">
            <v>566200</v>
          </cell>
          <cell r="AY41">
            <v>952125</v>
          </cell>
          <cell r="AZ41">
            <v>1422850</v>
          </cell>
          <cell r="BA41">
            <v>1525975</v>
          </cell>
          <cell r="BB41">
            <v>258150</v>
          </cell>
        </row>
        <row r="42">
          <cell r="A42" t="str">
            <v>ptd</v>
          </cell>
          <cell r="B42">
            <v>171210</v>
          </cell>
          <cell r="C42">
            <v>336120</v>
          </cell>
          <cell r="D42">
            <v>578105</v>
          </cell>
          <cell r="E42">
            <v>854795</v>
          </cell>
          <cell r="F42">
            <v>282610</v>
          </cell>
          <cell r="G42">
            <v>585755</v>
          </cell>
          <cell r="H42">
            <v>828180</v>
          </cell>
          <cell r="I42">
            <v>1026380</v>
          </cell>
          <cell r="J42">
            <v>215925</v>
          </cell>
          <cell r="K42">
            <v>416950</v>
          </cell>
          <cell r="L42">
            <v>673895</v>
          </cell>
          <cell r="M42">
            <v>1004745</v>
          </cell>
          <cell r="N42">
            <v>215095</v>
          </cell>
          <cell r="O42">
            <v>452290</v>
          </cell>
          <cell r="P42">
            <v>698775</v>
          </cell>
          <cell r="Q42">
            <v>950935</v>
          </cell>
          <cell r="R42">
            <v>306270</v>
          </cell>
          <cell r="S42">
            <v>632870</v>
          </cell>
          <cell r="T42">
            <v>1154890</v>
          </cell>
          <cell r="U42">
            <v>1558375</v>
          </cell>
          <cell r="V42">
            <v>355710</v>
          </cell>
          <cell r="W42">
            <v>724840</v>
          </cell>
          <cell r="X42">
            <v>1156975</v>
          </cell>
          <cell r="Y42">
            <v>1704760</v>
          </cell>
          <cell r="Z42">
            <v>403075</v>
          </cell>
          <cell r="AA42">
            <v>766670</v>
          </cell>
          <cell r="AB42">
            <v>1108190</v>
          </cell>
          <cell r="AC42">
            <v>1446655</v>
          </cell>
          <cell r="AD42">
            <v>347220</v>
          </cell>
          <cell r="AE42">
            <v>693645</v>
          </cell>
          <cell r="AF42">
            <v>1018710</v>
          </cell>
          <cell r="AG42">
            <v>1439385</v>
          </cell>
          <cell r="AH42">
            <v>394405</v>
          </cell>
          <cell r="AI42">
            <v>692230</v>
          </cell>
          <cell r="AJ42">
            <v>1026255</v>
          </cell>
          <cell r="AK42">
            <v>1222505</v>
          </cell>
          <cell r="AL42">
            <v>204800</v>
          </cell>
          <cell r="AM42">
            <v>391150</v>
          </cell>
          <cell r="AN42">
            <v>588200</v>
          </cell>
          <cell r="AO42">
            <v>783425</v>
          </cell>
          <cell r="AP42">
            <v>190775</v>
          </cell>
          <cell r="AQ42">
            <v>442800</v>
          </cell>
          <cell r="AR42">
            <v>701075</v>
          </cell>
          <cell r="AS42">
            <v>981450</v>
          </cell>
          <cell r="AT42">
            <v>316350</v>
          </cell>
          <cell r="AU42">
            <v>694025</v>
          </cell>
          <cell r="AV42">
            <v>1097800</v>
          </cell>
          <cell r="AW42">
            <v>1576475</v>
          </cell>
          <cell r="AX42">
            <v>566200</v>
          </cell>
          <cell r="AY42">
            <v>1518325</v>
          </cell>
          <cell r="AZ42">
            <v>2941175</v>
          </cell>
          <cell r="BA42">
            <v>4467150</v>
          </cell>
          <cell r="BB42">
            <v>4725300</v>
          </cell>
        </row>
        <row r="43">
          <cell r="A43" t="str">
            <v>qtd</v>
          </cell>
          <cell r="B43">
            <v>171210</v>
          </cell>
          <cell r="C43">
            <v>336120</v>
          </cell>
          <cell r="D43">
            <v>578105</v>
          </cell>
          <cell r="E43">
            <v>854795</v>
          </cell>
          <cell r="F43">
            <v>1137405</v>
          </cell>
          <cell r="G43">
            <v>1440550</v>
          </cell>
          <cell r="H43">
            <v>1682975</v>
          </cell>
          <cell r="I43">
            <v>1881175</v>
          </cell>
          <cell r="J43">
            <v>2097100</v>
          </cell>
          <cell r="K43">
            <v>2298125</v>
          </cell>
          <cell r="L43">
            <v>2555070</v>
          </cell>
          <cell r="M43">
            <v>2885920</v>
          </cell>
          <cell r="N43">
            <v>215095</v>
          </cell>
          <cell r="O43">
            <v>452290</v>
          </cell>
          <cell r="P43">
            <v>698775</v>
          </cell>
          <cell r="Q43">
            <v>950935</v>
          </cell>
          <cell r="R43">
            <v>1257205</v>
          </cell>
          <cell r="S43">
            <v>1583805</v>
          </cell>
          <cell r="T43">
            <v>2105825</v>
          </cell>
          <cell r="U43">
            <v>2509310</v>
          </cell>
          <cell r="V43">
            <v>2865020</v>
          </cell>
          <cell r="W43">
            <v>3234150</v>
          </cell>
          <cell r="X43">
            <v>3666285</v>
          </cell>
          <cell r="Y43">
            <v>4214070</v>
          </cell>
          <cell r="Z43">
            <v>403075</v>
          </cell>
          <cell r="AA43">
            <v>766670</v>
          </cell>
          <cell r="AB43">
            <v>1108190</v>
          </cell>
          <cell r="AC43">
            <v>1446655</v>
          </cell>
          <cell r="AD43">
            <v>1793875</v>
          </cell>
          <cell r="AE43">
            <v>2140300</v>
          </cell>
          <cell r="AF43">
            <v>2465365</v>
          </cell>
          <cell r="AG43">
            <v>2886040</v>
          </cell>
          <cell r="AH43">
            <v>3280445</v>
          </cell>
          <cell r="AI43">
            <v>3578270</v>
          </cell>
          <cell r="AJ43">
            <v>3912295</v>
          </cell>
          <cell r="AK43">
            <v>4108545</v>
          </cell>
          <cell r="AL43">
            <v>204800</v>
          </cell>
          <cell r="AM43">
            <v>391150</v>
          </cell>
          <cell r="AN43">
            <v>588200</v>
          </cell>
          <cell r="AO43">
            <v>783425</v>
          </cell>
          <cell r="AP43">
            <v>974200</v>
          </cell>
          <cell r="AQ43">
            <v>1226225</v>
          </cell>
          <cell r="AR43">
            <v>1484500</v>
          </cell>
          <cell r="AS43">
            <v>1764875</v>
          </cell>
          <cell r="AT43">
            <v>2081225</v>
          </cell>
          <cell r="AU43">
            <v>2458900</v>
          </cell>
          <cell r="AV43">
            <v>2862675</v>
          </cell>
          <cell r="AW43">
            <v>3341350</v>
          </cell>
          <cell r="AX43">
            <v>3907550</v>
          </cell>
          <cell r="AY43">
            <v>4859675</v>
          </cell>
          <cell r="AZ43">
            <v>6282525</v>
          </cell>
          <cell r="BA43">
            <v>7808500</v>
          </cell>
          <cell r="BB43">
            <v>8066650</v>
          </cell>
        </row>
        <row r="44">
          <cell r="A44" t="str">
            <v>ytd</v>
          </cell>
          <cell r="B44">
            <v>171210</v>
          </cell>
          <cell r="C44">
            <v>336120</v>
          </cell>
          <cell r="D44">
            <v>578105</v>
          </cell>
          <cell r="E44">
            <v>854795</v>
          </cell>
          <cell r="F44">
            <v>1137405</v>
          </cell>
          <cell r="G44">
            <v>1440550</v>
          </cell>
          <cell r="H44">
            <v>1682975</v>
          </cell>
          <cell r="I44">
            <v>1881175</v>
          </cell>
          <cell r="J44">
            <v>2097100</v>
          </cell>
          <cell r="K44">
            <v>2298125</v>
          </cell>
          <cell r="L44">
            <v>2555070</v>
          </cell>
          <cell r="M44">
            <v>2885920</v>
          </cell>
          <cell r="N44">
            <v>3101015</v>
          </cell>
          <cell r="O44">
            <v>3338210</v>
          </cell>
          <cell r="P44">
            <v>3584695</v>
          </cell>
          <cell r="Q44">
            <v>3836855</v>
          </cell>
          <cell r="R44">
            <v>4143125</v>
          </cell>
          <cell r="S44">
            <v>4469725</v>
          </cell>
          <cell r="T44">
            <v>4991745</v>
          </cell>
          <cell r="U44">
            <v>5395230</v>
          </cell>
          <cell r="V44">
            <v>5750940</v>
          </cell>
          <cell r="W44">
            <v>6120070</v>
          </cell>
          <cell r="X44">
            <v>6552205</v>
          </cell>
          <cell r="Y44">
            <v>7099990</v>
          </cell>
          <cell r="Z44">
            <v>7503065</v>
          </cell>
          <cell r="AA44">
            <v>7866660</v>
          </cell>
          <cell r="AB44">
            <v>8208180</v>
          </cell>
          <cell r="AC44">
            <v>8546645</v>
          </cell>
          <cell r="AD44">
            <v>8893865</v>
          </cell>
          <cell r="AE44">
            <v>9240290</v>
          </cell>
          <cell r="AF44">
            <v>9565355</v>
          </cell>
          <cell r="AG44">
            <v>9986030</v>
          </cell>
          <cell r="AH44">
            <v>10380435</v>
          </cell>
          <cell r="AI44">
            <v>10678260</v>
          </cell>
          <cell r="AJ44">
            <v>11012285</v>
          </cell>
          <cell r="AK44">
            <v>11208535</v>
          </cell>
          <cell r="AL44">
            <v>11413335</v>
          </cell>
          <cell r="AM44">
            <v>11599685</v>
          </cell>
          <cell r="AN44">
            <v>11796735</v>
          </cell>
          <cell r="AO44">
            <v>11991960</v>
          </cell>
          <cell r="AP44">
            <v>12182735</v>
          </cell>
          <cell r="AQ44">
            <v>12434760</v>
          </cell>
          <cell r="AR44">
            <v>12693035</v>
          </cell>
          <cell r="AS44">
            <v>12973410</v>
          </cell>
          <cell r="AT44">
            <v>13289760</v>
          </cell>
          <cell r="AU44">
            <v>13667435</v>
          </cell>
          <cell r="AV44">
            <v>14071210</v>
          </cell>
          <cell r="AW44">
            <v>14549885</v>
          </cell>
          <cell r="AX44">
            <v>15116085</v>
          </cell>
          <cell r="AY44">
            <v>16068210</v>
          </cell>
          <cell r="AZ44">
            <v>17491060</v>
          </cell>
          <cell r="BA44">
            <v>19017035</v>
          </cell>
          <cell r="BB44">
            <v>19275185</v>
          </cell>
        </row>
        <row r="45">
          <cell r="A45" t="str">
            <v>PART</v>
          </cell>
          <cell r="B45">
            <v>5084520</v>
          </cell>
          <cell r="C45">
            <v>5021964.9800000004</v>
          </cell>
          <cell r="D45">
            <v>5671154.9699999997</v>
          </cell>
          <cell r="E45">
            <v>5878554.96</v>
          </cell>
          <cell r="F45">
            <v>5933664.9800000004</v>
          </cell>
          <cell r="G45">
            <v>6111519.8799999999</v>
          </cell>
          <cell r="H45">
            <v>6257789.8700000001</v>
          </cell>
          <cell r="I45">
            <v>5803909.9800000004</v>
          </cell>
          <cell r="J45">
            <v>5473844.96</v>
          </cell>
          <cell r="K45">
            <v>5285319.99</v>
          </cell>
          <cell r="L45">
            <v>6869729.9900000002</v>
          </cell>
          <cell r="M45">
            <v>8165539.9900000002</v>
          </cell>
          <cell r="N45">
            <v>6220740</v>
          </cell>
          <cell r="O45">
            <v>7599155</v>
          </cell>
          <cell r="P45">
            <v>7893190</v>
          </cell>
          <cell r="Q45">
            <v>8614384.9900000002</v>
          </cell>
          <cell r="R45">
            <v>10000125</v>
          </cell>
          <cell r="S45">
            <v>10058515</v>
          </cell>
          <cell r="T45">
            <v>12827729.99</v>
          </cell>
          <cell r="U45">
            <v>11197640</v>
          </cell>
          <cell r="V45">
            <v>11806144.99</v>
          </cell>
          <cell r="W45">
            <v>11542785</v>
          </cell>
          <cell r="X45">
            <v>12319195</v>
          </cell>
          <cell r="Y45">
            <v>14580965</v>
          </cell>
          <cell r="Z45">
            <v>11754100</v>
          </cell>
          <cell r="AA45">
            <v>11580680</v>
          </cell>
          <cell r="AB45">
            <v>11416775</v>
          </cell>
          <cell r="AC45">
            <v>10807340</v>
          </cell>
          <cell r="AD45">
            <v>11002165</v>
          </cell>
          <cell r="AE45">
            <v>10583690</v>
          </cell>
          <cell r="AF45">
            <v>10396420</v>
          </cell>
          <cell r="AG45">
            <v>12389705</v>
          </cell>
          <cell r="AH45">
            <v>13707890.51</v>
          </cell>
          <cell r="AI45">
            <v>14506755</v>
          </cell>
          <cell r="AJ45">
            <v>15160040</v>
          </cell>
          <cell r="AK45">
            <v>9506080</v>
          </cell>
          <cell r="AL45">
            <v>9266990</v>
          </cell>
          <cell r="AM45">
            <v>9140145</v>
          </cell>
          <cell r="AN45">
            <v>9367225</v>
          </cell>
          <cell r="AO45">
            <v>9494115</v>
          </cell>
          <cell r="AP45">
            <v>8978739.9800000004</v>
          </cell>
          <cell r="AQ45">
            <v>10350855</v>
          </cell>
          <cell r="AR45">
            <v>10685040</v>
          </cell>
          <cell r="AS45">
            <v>10983620</v>
          </cell>
          <cell r="AT45">
            <v>11004314.960000001</v>
          </cell>
          <cell r="AU45">
            <v>13076439.9</v>
          </cell>
          <cell r="AV45">
            <v>14693349.84</v>
          </cell>
          <cell r="AW45">
            <v>18507789.829999998</v>
          </cell>
          <cell r="AX45">
            <v>19530004.850000001</v>
          </cell>
          <cell r="AY45">
            <v>30762574.780000001</v>
          </cell>
          <cell r="AZ45">
            <v>38766654.659999996</v>
          </cell>
          <cell r="BA45">
            <v>36457089.700000003</v>
          </cell>
          <cell r="BB45">
            <v>8721509.9900000002</v>
          </cell>
        </row>
        <row r="46">
          <cell r="A46" t="str">
            <v>ptd</v>
          </cell>
          <cell r="B46">
            <v>5084520</v>
          </cell>
          <cell r="C46">
            <v>10106484.98</v>
          </cell>
          <cell r="D46">
            <v>15777639.949999999</v>
          </cell>
          <cell r="E46">
            <v>21656194.91</v>
          </cell>
          <cell r="F46">
            <v>5933664.9800000004</v>
          </cell>
          <cell r="G46">
            <v>12045184.859999999</v>
          </cell>
          <cell r="H46">
            <v>18302974.73</v>
          </cell>
          <cell r="I46">
            <v>24106884.710000001</v>
          </cell>
          <cell r="J46">
            <v>5473844.96</v>
          </cell>
          <cell r="K46">
            <v>10759164.949999999</v>
          </cell>
          <cell r="L46">
            <v>17628894.939999998</v>
          </cell>
          <cell r="M46">
            <v>25794434.93</v>
          </cell>
          <cell r="N46">
            <v>6220740</v>
          </cell>
          <cell r="O46">
            <v>13819895</v>
          </cell>
          <cell r="P46">
            <v>21713085</v>
          </cell>
          <cell r="Q46">
            <v>30327469.990000002</v>
          </cell>
          <cell r="R46">
            <v>10000125</v>
          </cell>
          <cell r="S46">
            <v>20058640</v>
          </cell>
          <cell r="T46">
            <v>32886369.990000002</v>
          </cell>
          <cell r="U46">
            <v>44084009.990000002</v>
          </cell>
          <cell r="V46">
            <v>11806144.99</v>
          </cell>
          <cell r="W46">
            <v>23348929.990000002</v>
          </cell>
          <cell r="X46">
            <v>35668124.990000002</v>
          </cell>
          <cell r="Y46">
            <v>50249089.990000002</v>
          </cell>
          <cell r="Z46">
            <v>11754100</v>
          </cell>
          <cell r="AA46">
            <v>23334780</v>
          </cell>
          <cell r="AB46">
            <v>34751555</v>
          </cell>
          <cell r="AC46">
            <v>45558895</v>
          </cell>
          <cell r="AD46">
            <v>11002165</v>
          </cell>
          <cell r="AE46">
            <v>21585855</v>
          </cell>
          <cell r="AF46">
            <v>31982275</v>
          </cell>
          <cell r="AG46">
            <v>44371980</v>
          </cell>
          <cell r="AH46">
            <v>13707890.51</v>
          </cell>
          <cell r="AI46">
            <v>28214645.509999998</v>
          </cell>
          <cell r="AJ46">
            <v>43374685.509999998</v>
          </cell>
          <cell r="AK46">
            <v>52880765.509999998</v>
          </cell>
          <cell r="AL46">
            <v>9266990</v>
          </cell>
          <cell r="AM46">
            <v>18407135</v>
          </cell>
          <cell r="AN46">
            <v>27774360</v>
          </cell>
          <cell r="AO46">
            <v>37268475</v>
          </cell>
          <cell r="AP46">
            <v>8978739.9800000004</v>
          </cell>
          <cell r="AQ46">
            <v>19329594.98</v>
          </cell>
          <cell r="AR46">
            <v>30014634.98</v>
          </cell>
          <cell r="AS46">
            <v>40998254.980000004</v>
          </cell>
          <cell r="AT46">
            <v>11004314.960000001</v>
          </cell>
          <cell r="AU46">
            <v>24080754.859999999</v>
          </cell>
          <cell r="AV46">
            <v>38774104.700000003</v>
          </cell>
          <cell r="AW46">
            <v>57281894.530000001</v>
          </cell>
          <cell r="AX46">
            <v>19530004.850000001</v>
          </cell>
          <cell r="AY46">
            <v>50292579.630000003</v>
          </cell>
          <cell r="AZ46">
            <v>89059234.289999992</v>
          </cell>
          <cell r="BA46">
            <v>125516323.98999999</v>
          </cell>
          <cell r="BB46">
            <v>134237833.97999999</v>
          </cell>
        </row>
        <row r="47">
          <cell r="A47" t="str">
            <v>qtd</v>
          </cell>
          <cell r="B47">
            <v>5084520</v>
          </cell>
          <cell r="C47">
            <v>10106484.98</v>
          </cell>
          <cell r="D47">
            <v>15777639.949999999</v>
          </cell>
          <cell r="E47">
            <v>21656194.91</v>
          </cell>
          <cell r="F47">
            <v>27589859.890000001</v>
          </cell>
          <cell r="G47">
            <v>33701379.770000003</v>
          </cell>
          <cell r="H47">
            <v>39959169.640000001</v>
          </cell>
          <cell r="I47">
            <v>45763079.620000005</v>
          </cell>
          <cell r="J47">
            <v>51236924.580000006</v>
          </cell>
          <cell r="K47">
            <v>56522244.570000008</v>
          </cell>
          <cell r="L47">
            <v>63391974.56000001</v>
          </cell>
          <cell r="M47">
            <v>71557514.550000012</v>
          </cell>
          <cell r="N47">
            <v>6220740</v>
          </cell>
          <cell r="O47">
            <v>13819895</v>
          </cell>
          <cell r="P47">
            <v>21713085</v>
          </cell>
          <cell r="Q47">
            <v>30327469.990000002</v>
          </cell>
          <cell r="R47">
            <v>40327594.990000002</v>
          </cell>
          <cell r="S47">
            <v>50386109.990000002</v>
          </cell>
          <cell r="T47">
            <v>63213839.980000004</v>
          </cell>
          <cell r="U47">
            <v>74411479.980000004</v>
          </cell>
          <cell r="V47">
            <v>86217624.969999999</v>
          </cell>
          <cell r="W47">
            <v>97760409.969999999</v>
          </cell>
          <cell r="X47">
            <v>110079604.97</v>
          </cell>
          <cell r="Y47">
            <v>124660569.97</v>
          </cell>
          <cell r="Z47">
            <v>11754100</v>
          </cell>
          <cell r="AA47">
            <v>23334780</v>
          </cell>
          <cell r="AB47">
            <v>34751555</v>
          </cell>
          <cell r="AC47">
            <v>45558895</v>
          </cell>
          <cell r="AD47">
            <v>56561060</v>
          </cell>
          <cell r="AE47">
            <v>67144750</v>
          </cell>
          <cell r="AF47">
            <v>77541170</v>
          </cell>
          <cell r="AG47">
            <v>89930875</v>
          </cell>
          <cell r="AH47">
            <v>103638765.51000001</v>
          </cell>
          <cell r="AI47">
            <v>118145520.51000001</v>
          </cell>
          <cell r="AJ47">
            <v>133305560.51000001</v>
          </cell>
          <cell r="AK47">
            <v>142811640.50999999</v>
          </cell>
          <cell r="AL47">
            <v>9266990</v>
          </cell>
          <cell r="AM47">
            <v>18407135</v>
          </cell>
          <cell r="AN47">
            <v>27774360</v>
          </cell>
          <cell r="AO47">
            <v>37268475</v>
          </cell>
          <cell r="AP47">
            <v>46247214.980000004</v>
          </cell>
          <cell r="AQ47">
            <v>56598069.980000004</v>
          </cell>
          <cell r="AR47">
            <v>67283109.980000004</v>
          </cell>
          <cell r="AS47">
            <v>78266729.980000004</v>
          </cell>
          <cell r="AT47">
            <v>89271044.939999998</v>
          </cell>
          <cell r="AU47">
            <v>102347484.84</v>
          </cell>
          <cell r="AV47">
            <v>117040834.68000001</v>
          </cell>
          <cell r="AW47">
            <v>135548624.50999999</v>
          </cell>
          <cell r="AX47">
            <v>155078629.35999998</v>
          </cell>
          <cell r="AY47">
            <v>185841204.13999999</v>
          </cell>
          <cell r="AZ47">
            <v>224607858.79999998</v>
          </cell>
          <cell r="BA47">
            <v>261064948.5</v>
          </cell>
          <cell r="BB47">
            <v>269786458.49000001</v>
          </cell>
        </row>
        <row r="48">
          <cell r="A48" t="str">
            <v>ytd</v>
          </cell>
          <cell r="B48">
            <v>5084520</v>
          </cell>
          <cell r="C48">
            <v>10106484.98</v>
          </cell>
          <cell r="D48">
            <v>15777639.949999999</v>
          </cell>
          <cell r="E48">
            <v>21656194.91</v>
          </cell>
          <cell r="F48">
            <v>27589859.890000001</v>
          </cell>
          <cell r="G48">
            <v>33701379.770000003</v>
          </cell>
          <cell r="H48">
            <v>39959169.640000001</v>
          </cell>
          <cell r="I48">
            <v>45763079.620000005</v>
          </cell>
          <cell r="J48">
            <v>51236924.580000006</v>
          </cell>
          <cell r="K48">
            <v>56522244.570000008</v>
          </cell>
          <cell r="L48">
            <v>63391974.56000001</v>
          </cell>
          <cell r="M48">
            <v>71557514.550000012</v>
          </cell>
          <cell r="N48">
            <v>77778254.550000012</v>
          </cell>
          <cell r="O48">
            <v>85377409.550000012</v>
          </cell>
          <cell r="P48">
            <v>93270599.550000012</v>
          </cell>
          <cell r="Q48">
            <v>101884984.54000001</v>
          </cell>
          <cell r="R48">
            <v>111885109.54000001</v>
          </cell>
          <cell r="S48">
            <v>121943624.54000001</v>
          </cell>
          <cell r="T48">
            <v>134771354.53</v>
          </cell>
          <cell r="U48">
            <v>145968994.53</v>
          </cell>
          <cell r="V48">
            <v>157775139.52000001</v>
          </cell>
          <cell r="W48">
            <v>169317924.52000001</v>
          </cell>
          <cell r="X48">
            <v>181637119.52000001</v>
          </cell>
          <cell r="Y48">
            <v>196218084.52000001</v>
          </cell>
          <cell r="Z48">
            <v>207972184.52000001</v>
          </cell>
          <cell r="AA48">
            <v>219552864.52000001</v>
          </cell>
          <cell r="AB48">
            <v>230969639.52000001</v>
          </cell>
          <cell r="AC48">
            <v>241776979.52000001</v>
          </cell>
          <cell r="AD48">
            <v>252779144.52000001</v>
          </cell>
          <cell r="AE48">
            <v>263362834.52000001</v>
          </cell>
          <cell r="AF48">
            <v>273759254.51999998</v>
          </cell>
          <cell r="AG48">
            <v>286148959.51999998</v>
          </cell>
          <cell r="AH48">
            <v>299856850.02999997</v>
          </cell>
          <cell r="AI48">
            <v>314363605.02999997</v>
          </cell>
          <cell r="AJ48">
            <v>329523645.02999997</v>
          </cell>
          <cell r="AK48">
            <v>339029725.02999997</v>
          </cell>
          <cell r="AL48">
            <v>348296715.02999997</v>
          </cell>
          <cell r="AM48">
            <v>357436860.02999997</v>
          </cell>
          <cell r="AN48">
            <v>366804085.02999997</v>
          </cell>
          <cell r="AO48">
            <v>376298200.02999997</v>
          </cell>
          <cell r="AP48">
            <v>385276940.00999999</v>
          </cell>
          <cell r="AQ48">
            <v>395627795.00999999</v>
          </cell>
          <cell r="AR48">
            <v>406312835.00999999</v>
          </cell>
          <cell r="AS48">
            <v>417296455.00999999</v>
          </cell>
          <cell r="AT48">
            <v>428300769.96999997</v>
          </cell>
          <cell r="AU48">
            <v>441377209.86999995</v>
          </cell>
          <cell r="AV48">
            <v>456070559.70999992</v>
          </cell>
          <cell r="AW48">
            <v>474578349.5399999</v>
          </cell>
          <cell r="AX48">
            <v>494108354.38999993</v>
          </cell>
          <cell r="AY48">
            <v>524870929.16999996</v>
          </cell>
          <cell r="AZ48">
            <v>563637583.82999992</v>
          </cell>
          <cell r="BA48">
            <v>600094673.52999997</v>
          </cell>
          <cell r="BB48">
            <v>608816183.51999998</v>
          </cell>
        </row>
        <row r="49">
          <cell r="A49" t="str">
            <v>PRED</v>
          </cell>
          <cell r="B49">
            <v>206720.16</v>
          </cell>
          <cell r="C49">
            <v>211691.56</v>
          </cell>
          <cell r="D49">
            <v>222462.34</v>
          </cell>
          <cell r="E49">
            <v>187464.09</v>
          </cell>
          <cell r="F49">
            <v>248943.87</v>
          </cell>
          <cell r="G49">
            <v>227707.8</v>
          </cell>
          <cell r="H49">
            <v>207761.9</v>
          </cell>
          <cell r="I49">
            <v>230347.75</v>
          </cell>
          <cell r="J49">
            <v>255683.02</v>
          </cell>
          <cell r="K49">
            <v>204369.23</v>
          </cell>
          <cell r="L49">
            <v>218449.63</v>
          </cell>
          <cell r="M49">
            <v>233450.42</v>
          </cell>
          <cell r="N49">
            <v>233884.72</v>
          </cell>
          <cell r="O49">
            <v>208318.47</v>
          </cell>
          <cell r="P49">
            <v>207804.11</v>
          </cell>
          <cell r="Q49">
            <v>229790.42</v>
          </cell>
          <cell r="R49">
            <v>221872.05</v>
          </cell>
          <cell r="S49">
            <v>240321.46</v>
          </cell>
          <cell r="T49">
            <v>239432.09</v>
          </cell>
          <cell r="U49">
            <v>212940.27</v>
          </cell>
          <cell r="V49">
            <v>230697.09</v>
          </cell>
          <cell r="W49">
            <v>219759.32</v>
          </cell>
          <cell r="X49">
            <v>232305.47</v>
          </cell>
          <cell r="Y49">
            <v>210097.81</v>
          </cell>
          <cell r="Z49">
            <v>214147.18</v>
          </cell>
          <cell r="AA49">
            <v>238576.17</v>
          </cell>
          <cell r="AB49">
            <v>289737.46999999997</v>
          </cell>
          <cell r="AC49">
            <v>271003.48</v>
          </cell>
          <cell r="AD49">
            <v>264743.69</v>
          </cell>
          <cell r="AE49">
            <v>217500.46</v>
          </cell>
          <cell r="AF49">
            <v>245409.75</v>
          </cell>
          <cell r="AG49">
            <v>216002.68</v>
          </cell>
          <cell r="AH49">
            <v>220617.36</v>
          </cell>
          <cell r="AI49">
            <v>271260.68</v>
          </cell>
          <cell r="AJ49">
            <v>288336.24</v>
          </cell>
          <cell r="AK49">
            <v>233351.71</v>
          </cell>
          <cell r="AL49">
            <v>253031.05</v>
          </cell>
          <cell r="AM49">
            <v>221084.48</v>
          </cell>
          <cell r="AN49">
            <v>228379.31</v>
          </cell>
          <cell r="AO49">
            <v>262656.14</v>
          </cell>
          <cell r="AP49">
            <v>283552.24</v>
          </cell>
          <cell r="AQ49">
            <v>249283.92</v>
          </cell>
          <cell r="AR49">
            <v>273378.37</v>
          </cell>
          <cell r="AS49">
            <v>271565.44</v>
          </cell>
          <cell r="AT49">
            <v>242221.53</v>
          </cell>
          <cell r="AU49">
            <v>247982.83</v>
          </cell>
          <cell r="AV49">
            <v>396224.76</v>
          </cell>
          <cell r="AW49">
            <v>242982.24</v>
          </cell>
          <cell r="AX49">
            <v>267305.03000000003</v>
          </cell>
          <cell r="AY49">
            <v>266116.59000000003</v>
          </cell>
          <cell r="AZ49">
            <v>411152.31</v>
          </cell>
          <cell r="BA49">
            <v>388259.9</v>
          </cell>
          <cell r="BB49">
            <v>232504.35</v>
          </cell>
        </row>
        <row r="50">
          <cell r="A50" t="str">
            <v>ptd</v>
          </cell>
          <cell r="B50">
            <v>206720.16</v>
          </cell>
          <cell r="C50">
            <v>418411.72</v>
          </cell>
          <cell r="D50">
            <v>640874.05999999994</v>
          </cell>
          <cell r="E50">
            <v>828338.14999999991</v>
          </cell>
          <cell r="F50">
            <v>248943.87</v>
          </cell>
          <cell r="G50">
            <v>476651.67</v>
          </cell>
          <cell r="H50">
            <v>684413.57</v>
          </cell>
          <cell r="I50">
            <v>914761.32</v>
          </cell>
          <cell r="J50">
            <v>255683.02</v>
          </cell>
          <cell r="K50">
            <v>460052.25</v>
          </cell>
          <cell r="L50">
            <v>678501.88</v>
          </cell>
          <cell r="M50">
            <v>911952.3</v>
          </cell>
          <cell r="N50">
            <v>233884.72</v>
          </cell>
          <cell r="O50">
            <v>442203.19</v>
          </cell>
          <cell r="P50">
            <v>650007.30000000005</v>
          </cell>
          <cell r="Q50">
            <v>879797.72000000009</v>
          </cell>
          <cell r="R50">
            <v>221872.05</v>
          </cell>
          <cell r="S50">
            <v>462193.51</v>
          </cell>
          <cell r="T50">
            <v>701625.6</v>
          </cell>
          <cell r="U50">
            <v>914565.87</v>
          </cell>
          <cell r="V50">
            <v>230697.09</v>
          </cell>
          <cell r="W50">
            <v>450456.41000000003</v>
          </cell>
          <cell r="X50">
            <v>682761.88</v>
          </cell>
          <cell r="Y50">
            <v>892859.69</v>
          </cell>
          <cell r="Z50">
            <v>214147.18</v>
          </cell>
          <cell r="AA50">
            <v>452723.35</v>
          </cell>
          <cell r="AB50">
            <v>742460.82</v>
          </cell>
          <cell r="AC50">
            <v>1013464.2999999999</v>
          </cell>
          <cell r="AD50">
            <v>264743.69</v>
          </cell>
          <cell r="AE50">
            <v>482244.15</v>
          </cell>
          <cell r="AF50">
            <v>727653.9</v>
          </cell>
          <cell r="AG50">
            <v>943656.58000000007</v>
          </cell>
          <cell r="AH50">
            <v>220617.36</v>
          </cell>
          <cell r="AI50">
            <v>491878.04</v>
          </cell>
          <cell r="AJ50">
            <v>780214.28</v>
          </cell>
          <cell r="AK50">
            <v>1013565.99</v>
          </cell>
          <cell r="AL50">
            <v>253031.05</v>
          </cell>
          <cell r="AM50">
            <v>474115.53</v>
          </cell>
          <cell r="AN50">
            <v>702494.84000000008</v>
          </cell>
          <cell r="AO50">
            <v>965150.9800000001</v>
          </cell>
          <cell r="AP50">
            <v>283552.24</v>
          </cell>
          <cell r="AQ50">
            <v>532836.16</v>
          </cell>
          <cell r="AR50">
            <v>806214.53</v>
          </cell>
          <cell r="AS50">
            <v>1077779.97</v>
          </cell>
          <cell r="AT50">
            <v>242221.53</v>
          </cell>
          <cell r="AU50">
            <v>490204.36</v>
          </cell>
          <cell r="AV50">
            <v>886429.12</v>
          </cell>
          <cell r="AW50">
            <v>1129411.3599999999</v>
          </cell>
          <cell r="AX50">
            <v>267305.03000000003</v>
          </cell>
          <cell r="AY50">
            <v>533421.62000000011</v>
          </cell>
          <cell r="AZ50">
            <v>944573.93000000017</v>
          </cell>
          <cell r="BA50">
            <v>1332833.83</v>
          </cell>
          <cell r="BB50">
            <v>1565338.1800000002</v>
          </cell>
        </row>
        <row r="51">
          <cell r="A51" t="str">
            <v>qtd</v>
          </cell>
          <cell r="B51">
            <v>206720.16</v>
          </cell>
          <cell r="C51">
            <v>418411.72</v>
          </cell>
          <cell r="D51">
            <v>640874.05999999994</v>
          </cell>
          <cell r="E51">
            <v>828338.14999999991</v>
          </cell>
          <cell r="F51">
            <v>1077282.02</v>
          </cell>
          <cell r="G51">
            <v>1304989.82</v>
          </cell>
          <cell r="H51">
            <v>1512751.72</v>
          </cell>
          <cell r="I51">
            <v>1743099.47</v>
          </cell>
          <cell r="J51">
            <v>1998782.49</v>
          </cell>
          <cell r="K51">
            <v>2203151.7200000002</v>
          </cell>
          <cell r="L51">
            <v>2421601.35</v>
          </cell>
          <cell r="M51">
            <v>2655051.77</v>
          </cell>
          <cell r="N51">
            <v>233884.72</v>
          </cell>
          <cell r="O51">
            <v>442203.19</v>
          </cell>
          <cell r="P51">
            <v>650007.30000000005</v>
          </cell>
          <cell r="Q51">
            <v>879797.72000000009</v>
          </cell>
          <cell r="R51">
            <v>1101669.77</v>
          </cell>
          <cell r="S51">
            <v>1341991.23</v>
          </cell>
          <cell r="T51">
            <v>1581423.32</v>
          </cell>
          <cell r="U51">
            <v>1794363.59</v>
          </cell>
          <cell r="V51">
            <v>2025060.6800000002</v>
          </cell>
          <cell r="W51">
            <v>2244820</v>
          </cell>
          <cell r="X51">
            <v>2477125.4700000002</v>
          </cell>
          <cell r="Y51">
            <v>2687223.2800000003</v>
          </cell>
          <cell r="Z51">
            <v>214147.18</v>
          </cell>
          <cell r="AA51">
            <v>452723.35</v>
          </cell>
          <cell r="AB51">
            <v>742460.82</v>
          </cell>
          <cell r="AC51">
            <v>1013464.2999999999</v>
          </cell>
          <cell r="AD51">
            <v>1278207.99</v>
          </cell>
          <cell r="AE51">
            <v>1495708.45</v>
          </cell>
          <cell r="AF51">
            <v>1741118.2</v>
          </cell>
          <cell r="AG51">
            <v>1957120.88</v>
          </cell>
          <cell r="AH51">
            <v>2177738.2399999998</v>
          </cell>
          <cell r="AI51">
            <v>2448998.92</v>
          </cell>
          <cell r="AJ51">
            <v>2737335.16</v>
          </cell>
          <cell r="AK51">
            <v>2970686.87</v>
          </cell>
          <cell r="AL51">
            <v>253031.05</v>
          </cell>
          <cell r="AM51">
            <v>474115.53</v>
          </cell>
          <cell r="AN51">
            <v>702494.84000000008</v>
          </cell>
          <cell r="AO51">
            <v>965150.9800000001</v>
          </cell>
          <cell r="AP51">
            <v>1248703.2200000002</v>
          </cell>
          <cell r="AQ51">
            <v>1497987.1400000001</v>
          </cell>
          <cell r="AR51">
            <v>1771365.5100000002</v>
          </cell>
          <cell r="AS51">
            <v>2042930.9500000002</v>
          </cell>
          <cell r="AT51">
            <v>2285152.48</v>
          </cell>
          <cell r="AU51">
            <v>2533135.31</v>
          </cell>
          <cell r="AV51">
            <v>2929360.0700000003</v>
          </cell>
          <cell r="AW51">
            <v>3172342.3100000005</v>
          </cell>
          <cell r="AX51">
            <v>3439647.3400000008</v>
          </cell>
          <cell r="AY51">
            <v>3705763.9300000006</v>
          </cell>
          <cell r="AZ51">
            <v>4116916.2400000007</v>
          </cell>
          <cell r="BA51">
            <v>4505176.1400000006</v>
          </cell>
          <cell r="BB51">
            <v>4737680.49</v>
          </cell>
        </row>
        <row r="52">
          <cell r="A52" t="str">
            <v>ytd</v>
          </cell>
          <cell r="B52">
            <v>206720.16</v>
          </cell>
          <cell r="C52">
            <v>418411.72</v>
          </cell>
          <cell r="D52">
            <v>640874.05999999994</v>
          </cell>
          <cell r="E52">
            <v>828338.14999999991</v>
          </cell>
          <cell r="F52">
            <v>1077282.02</v>
          </cell>
          <cell r="G52">
            <v>1304989.82</v>
          </cell>
          <cell r="H52">
            <v>1512751.72</v>
          </cell>
          <cell r="I52">
            <v>1743099.47</v>
          </cell>
          <cell r="J52">
            <v>1998782.49</v>
          </cell>
          <cell r="K52">
            <v>2203151.7200000002</v>
          </cell>
          <cell r="L52">
            <v>2421601.35</v>
          </cell>
          <cell r="M52">
            <v>2655051.77</v>
          </cell>
          <cell r="N52">
            <v>2888936.49</v>
          </cell>
          <cell r="O52">
            <v>3097254.9600000004</v>
          </cell>
          <cell r="P52">
            <v>3305059.0700000003</v>
          </cell>
          <cell r="Q52">
            <v>3534849.49</v>
          </cell>
          <cell r="R52">
            <v>3756721.54</v>
          </cell>
          <cell r="S52">
            <v>3997043</v>
          </cell>
          <cell r="T52">
            <v>4236475.09</v>
          </cell>
          <cell r="U52">
            <v>4449415.3599999994</v>
          </cell>
          <cell r="V52">
            <v>4680112.4499999993</v>
          </cell>
          <cell r="W52">
            <v>4899871.7699999996</v>
          </cell>
          <cell r="X52">
            <v>5132177.2399999993</v>
          </cell>
          <cell r="Y52">
            <v>5342275.0499999989</v>
          </cell>
          <cell r="Z52">
            <v>5556422.2299999986</v>
          </cell>
          <cell r="AA52">
            <v>5794998.3999999985</v>
          </cell>
          <cell r="AB52">
            <v>6084735.8699999982</v>
          </cell>
          <cell r="AC52">
            <v>6355739.3499999978</v>
          </cell>
          <cell r="AD52">
            <v>6620483.0399999982</v>
          </cell>
          <cell r="AE52">
            <v>6837983.4999999981</v>
          </cell>
          <cell r="AF52">
            <v>7083393.2499999981</v>
          </cell>
          <cell r="AG52">
            <v>7299395.9299999978</v>
          </cell>
          <cell r="AH52">
            <v>7520013.2899999982</v>
          </cell>
          <cell r="AI52">
            <v>7791273.9699999979</v>
          </cell>
          <cell r="AJ52">
            <v>8079610.2099999981</v>
          </cell>
          <cell r="AK52">
            <v>8312961.9199999981</v>
          </cell>
          <cell r="AL52">
            <v>8565992.9699999988</v>
          </cell>
          <cell r="AM52">
            <v>8787077.4499999993</v>
          </cell>
          <cell r="AN52">
            <v>9015456.7599999998</v>
          </cell>
          <cell r="AO52">
            <v>9278112.9000000004</v>
          </cell>
          <cell r="AP52">
            <v>9561665.1400000006</v>
          </cell>
          <cell r="AQ52">
            <v>9810949.0600000005</v>
          </cell>
          <cell r="AR52">
            <v>10084327.43</v>
          </cell>
          <cell r="AS52">
            <v>10355892.869999999</v>
          </cell>
          <cell r="AT52">
            <v>10598114.399999999</v>
          </cell>
          <cell r="AU52">
            <v>10846097.229999999</v>
          </cell>
          <cell r="AV52">
            <v>11242321.989999998</v>
          </cell>
          <cell r="AW52">
            <v>11485304.229999999</v>
          </cell>
          <cell r="AX52">
            <v>11752609.259999998</v>
          </cell>
          <cell r="AY52">
            <v>12018725.849999998</v>
          </cell>
          <cell r="AZ52">
            <v>12429878.159999998</v>
          </cell>
          <cell r="BA52">
            <v>12818138.059999999</v>
          </cell>
          <cell r="BB52">
            <v>13050642.409999998</v>
          </cell>
        </row>
        <row r="53">
          <cell r="A53" t="str">
            <v>PREG</v>
          </cell>
          <cell r="B53">
            <v>306350</v>
          </cell>
          <cell r="C53">
            <v>287200</v>
          </cell>
          <cell r="D53">
            <v>306125</v>
          </cell>
          <cell r="E53">
            <v>264075</v>
          </cell>
          <cell r="F53">
            <v>304600</v>
          </cell>
          <cell r="G53">
            <v>296000</v>
          </cell>
          <cell r="H53">
            <v>339725</v>
          </cell>
          <cell r="I53">
            <v>293325</v>
          </cell>
          <cell r="J53">
            <v>332325</v>
          </cell>
          <cell r="K53">
            <v>300350</v>
          </cell>
          <cell r="L53">
            <v>364200</v>
          </cell>
          <cell r="M53">
            <v>468325</v>
          </cell>
          <cell r="N53">
            <v>293500</v>
          </cell>
          <cell r="O53">
            <v>353975</v>
          </cell>
          <cell r="P53">
            <v>336825</v>
          </cell>
          <cell r="Q53">
            <v>363700</v>
          </cell>
          <cell r="R53">
            <v>432800</v>
          </cell>
          <cell r="S53">
            <v>439675</v>
          </cell>
          <cell r="T53">
            <v>582100</v>
          </cell>
          <cell r="U53">
            <v>536125</v>
          </cell>
          <cell r="V53">
            <v>515925</v>
          </cell>
          <cell r="W53">
            <v>546950</v>
          </cell>
          <cell r="X53">
            <v>655925</v>
          </cell>
          <cell r="Y53">
            <v>683525</v>
          </cell>
          <cell r="Z53">
            <v>549750</v>
          </cell>
          <cell r="AA53">
            <v>503950</v>
          </cell>
          <cell r="AB53">
            <v>490150</v>
          </cell>
          <cell r="AC53">
            <v>489550</v>
          </cell>
          <cell r="AD53">
            <v>484800</v>
          </cell>
          <cell r="AE53">
            <v>471450</v>
          </cell>
          <cell r="AF53">
            <v>480600</v>
          </cell>
          <cell r="AG53">
            <v>483850</v>
          </cell>
          <cell r="AH53">
            <v>479600</v>
          </cell>
          <cell r="AI53">
            <v>523625</v>
          </cell>
          <cell r="AJ53">
            <v>497100</v>
          </cell>
          <cell r="AK53">
            <v>423150</v>
          </cell>
          <cell r="AL53">
            <v>472475</v>
          </cell>
          <cell r="AM53">
            <v>430250</v>
          </cell>
          <cell r="AN53">
            <v>427875</v>
          </cell>
          <cell r="AO53">
            <v>407875</v>
          </cell>
          <cell r="AP53">
            <v>425750</v>
          </cell>
          <cell r="AQ53">
            <v>432700</v>
          </cell>
          <cell r="AR53">
            <v>450425</v>
          </cell>
          <cell r="AS53">
            <v>413450</v>
          </cell>
          <cell r="AT53">
            <v>400625</v>
          </cell>
          <cell r="AU53">
            <v>430750</v>
          </cell>
          <cell r="AV53">
            <v>547975</v>
          </cell>
          <cell r="AW53">
            <v>627100</v>
          </cell>
          <cell r="AX53">
            <v>966325</v>
          </cell>
          <cell r="AY53">
            <v>1623975</v>
          </cell>
          <cell r="AZ53">
            <v>2890925</v>
          </cell>
          <cell r="BA53">
            <v>2877050</v>
          </cell>
          <cell r="BB53">
            <v>362175</v>
          </cell>
        </row>
        <row r="54">
          <cell r="A54" t="str">
            <v>ptd</v>
          </cell>
          <cell r="B54">
            <v>306350</v>
          </cell>
          <cell r="C54">
            <v>593550</v>
          </cell>
          <cell r="D54">
            <v>899675</v>
          </cell>
          <cell r="E54">
            <v>1163750</v>
          </cell>
          <cell r="F54">
            <v>304600</v>
          </cell>
          <cell r="G54">
            <v>600600</v>
          </cell>
          <cell r="H54">
            <v>940325</v>
          </cell>
          <cell r="I54">
            <v>1233650</v>
          </cell>
          <cell r="J54">
            <v>332325</v>
          </cell>
          <cell r="K54">
            <v>632675</v>
          </cell>
          <cell r="L54">
            <v>996875</v>
          </cell>
          <cell r="M54">
            <v>1465200</v>
          </cell>
          <cell r="N54">
            <v>293500</v>
          </cell>
          <cell r="O54">
            <v>647475</v>
          </cell>
          <cell r="P54">
            <v>984300</v>
          </cell>
          <cell r="Q54">
            <v>1348000</v>
          </cell>
          <cell r="R54">
            <v>432800</v>
          </cell>
          <cell r="S54">
            <v>872475</v>
          </cell>
          <cell r="T54">
            <v>1454575</v>
          </cell>
          <cell r="U54">
            <v>1990700</v>
          </cell>
          <cell r="V54">
            <v>515925</v>
          </cell>
          <cell r="W54">
            <v>1062875</v>
          </cell>
          <cell r="X54">
            <v>1718800</v>
          </cell>
          <cell r="Y54">
            <v>2402325</v>
          </cell>
          <cell r="Z54">
            <v>549750</v>
          </cell>
          <cell r="AA54">
            <v>1053700</v>
          </cell>
          <cell r="AB54">
            <v>1543850</v>
          </cell>
          <cell r="AC54">
            <v>2033400</v>
          </cell>
          <cell r="AD54">
            <v>484800</v>
          </cell>
          <cell r="AE54">
            <v>956250</v>
          </cell>
          <cell r="AF54">
            <v>1436850</v>
          </cell>
          <cell r="AG54">
            <v>1920700</v>
          </cell>
          <cell r="AH54">
            <v>479600</v>
          </cell>
          <cell r="AI54">
            <v>1003225</v>
          </cell>
          <cell r="AJ54">
            <v>1500325</v>
          </cell>
          <cell r="AK54">
            <v>1923475</v>
          </cell>
          <cell r="AL54">
            <v>472475</v>
          </cell>
          <cell r="AM54">
            <v>902725</v>
          </cell>
          <cell r="AN54">
            <v>1330600</v>
          </cell>
          <cell r="AO54">
            <v>1738475</v>
          </cell>
          <cell r="AP54">
            <v>425750</v>
          </cell>
          <cell r="AQ54">
            <v>858450</v>
          </cell>
          <cell r="AR54">
            <v>1308875</v>
          </cell>
          <cell r="AS54">
            <v>1722325</v>
          </cell>
          <cell r="AT54">
            <v>400625</v>
          </cell>
          <cell r="AU54">
            <v>831375</v>
          </cell>
          <cell r="AV54">
            <v>1379350</v>
          </cell>
          <cell r="AW54">
            <v>2006450</v>
          </cell>
          <cell r="AX54">
            <v>966325</v>
          </cell>
          <cell r="AY54">
            <v>2590300</v>
          </cell>
          <cell r="AZ54">
            <v>5481225</v>
          </cell>
          <cell r="BA54">
            <v>8358275</v>
          </cell>
          <cell r="BB54">
            <v>8720450</v>
          </cell>
        </row>
        <row r="55">
          <cell r="A55" t="str">
            <v>qtd</v>
          </cell>
          <cell r="B55">
            <v>306350</v>
          </cell>
          <cell r="C55">
            <v>593550</v>
          </cell>
          <cell r="D55">
            <v>899675</v>
          </cell>
          <cell r="E55">
            <v>1163750</v>
          </cell>
          <cell r="F55">
            <v>1468350</v>
          </cell>
          <cell r="G55">
            <v>1764350</v>
          </cell>
          <cell r="H55">
            <v>2104075</v>
          </cell>
          <cell r="I55">
            <v>2397400</v>
          </cell>
          <cell r="J55">
            <v>2729725</v>
          </cell>
          <cell r="K55">
            <v>3030075</v>
          </cell>
          <cell r="L55">
            <v>3394275</v>
          </cell>
          <cell r="M55">
            <v>3862600</v>
          </cell>
          <cell r="N55">
            <v>293500</v>
          </cell>
          <cell r="O55">
            <v>647475</v>
          </cell>
          <cell r="P55">
            <v>984300</v>
          </cell>
          <cell r="Q55">
            <v>1348000</v>
          </cell>
          <cell r="R55">
            <v>1780800</v>
          </cell>
          <cell r="S55">
            <v>2220475</v>
          </cell>
          <cell r="T55">
            <v>2802575</v>
          </cell>
          <cell r="U55">
            <v>3338700</v>
          </cell>
          <cell r="V55">
            <v>3854625</v>
          </cell>
          <cell r="W55">
            <v>4401575</v>
          </cell>
          <cell r="X55">
            <v>5057500</v>
          </cell>
          <cell r="Y55">
            <v>5741025</v>
          </cell>
          <cell r="Z55">
            <v>549750</v>
          </cell>
          <cell r="AA55">
            <v>1053700</v>
          </cell>
          <cell r="AB55">
            <v>1543850</v>
          </cell>
          <cell r="AC55">
            <v>2033400</v>
          </cell>
          <cell r="AD55">
            <v>2518200</v>
          </cell>
          <cell r="AE55">
            <v>2989650</v>
          </cell>
          <cell r="AF55">
            <v>3470250</v>
          </cell>
          <cell r="AG55">
            <v>3954100</v>
          </cell>
          <cell r="AH55">
            <v>4433700</v>
          </cell>
          <cell r="AI55">
            <v>4957325</v>
          </cell>
          <cell r="AJ55">
            <v>5454425</v>
          </cell>
          <cell r="AK55">
            <v>5877575</v>
          </cell>
          <cell r="AL55">
            <v>472475</v>
          </cell>
          <cell r="AM55">
            <v>902725</v>
          </cell>
          <cell r="AN55">
            <v>1330600</v>
          </cell>
          <cell r="AO55">
            <v>1738475</v>
          </cell>
          <cell r="AP55">
            <v>2164225</v>
          </cell>
          <cell r="AQ55">
            <v>2596925</v>
          </cell>
          <cell r="AR55">
            <v>3047350</v>
          </cell>
          <cell r="AS55">
            <v>3460800</v>
          </cell>
          <cell r="AT55">
            <v>3861425</v>
          </cell>
          <cell r="AU55">
            <v>4292175</v>
          </cell>
          <cell r="AV55">
            <v>4840150</v>
          </cell>
          <cell r="AW55">
            <v>5467250</v>
          </cell>
          <cell r="AX55">
            <v>6433575</v>
          </cell>
          <cell r="AY55">
            <v>8057550</v>
          </cell>
          <cell r="AZ55">
            <v>10948475</v>
          </cell>
          <cell r="BA55">
            <v>13825525</v>
          </cell>
          <cell r="BB55">
            <v>14187700</v>
          </cell>
        </row>
        <row r="56">
          <cell r="A56" t="str">
            <v>ytd</v>
          </cell>
          <cell r="B56">
            <v>306350</v>
          </cell>
          <cell r="C56">
            <v>593550</v>
          </cell>
          <cell r="D56">
            <v>899675</v>
          </cell>
          <cell r="E56">
            <v>1163750</v>
          </cell>
          <cell r="F56">
            <v>1468350</v>
          </cell>
          <cell r="G56">
            <v>1764350</v>
          </cell>
          <cell r="H56">
            <v>2104075</v>
          </cell>
          <cell r="I56">
            <v>2397400</v>
          </cell>
          <cell r="J56">
            <v>2729725</v>
          </cell>
          <cell r="K56">
            <v>3030075</v>
          </cell>
          <cell r="L56">
            <v>3394275</v>
          </cell>
          <cell r="M56">
            <v>3862600</v>
          </cell>
          <cell r="N56">
            <v>4156100</v>
          </cell>
          <cell r="O56">
            <v>4510075</v>
          </cell>
          <cell r="P56">
            <v>4846900</v>
          </cell>
          <cell r="Q56">
            <v>5210600</v>
          </cell>
          <cell r="R56">
            <v>5643400</v>
          </cell>
          <cell r="S56">
            <v>6083075</v>
          </cell>
          <cell r="T56">
            <v>6665175</v>
          </cell>
          <cell r="U56">
            <v>7201300</v>
          </cell>
          <cell r="V56">
            <v>7717225</v>
          </cell>
          <cell r="W56">
            <v>8264175</v>
          </cell>
          <cell r="X56">
            <v>8920100</v>
          </cell>
          <cell r="Y56">
            <v>9603625</v>
          </cell>
          <cell r="Z56">
            <v>10153375</v>
          </cell>
          <cell r="AA56">
            <v>10657325</v>
          </cell>
          <cell r="AB56">
            <v>11147475</v>
          </cell>
          <cell r="AC56">
            <v>11637025</v>
          </cell>
          <cell r="AD56">
            <v>12121825</v>
          </cell>
          <cell r="AE56">
            <v>12593275</v>
          </cell>
          <cell r="AF56">
            <v>13073875</v>
          </cell>
          <cell r="AG56">
            <v>13557725</v>
          </cell>
          <cell r="AH56">
            <v>14037325</v>
          </cell>
          <cell r="AI56">
            <v>14560950</v>
          </cell>
          <cell r="AJ56">
            <v>15058050</v>
          </cell>
          <cell r="AK56">
            <v>15481200</v>
          </cell>
          <cell r="AL56">
            <v>15953675</v>
          </cell>
          <cell r="AM56">
            <v>16383925</v>
          </cell>
          <cell r="AN56">
            <v>16811800</v>
          </cell>
          <cell r="AO56">
            <v>17219675</v>
          </cell>
          <cell r="AP56">
            <v>17645425</v>
          </cell>
          <cell r="AQ56">
            <v>18078125</v>
          </cell>
          <cell r="AR56">
            <v>18528550</v>
          </cell>
          <cell r="AS56">
            <v>18942000</v>
          </cell>
          <cell r="AT56">
            <v>19342625</v>
          </cell>
          <cell r="AU56">
            <v>19773375</v>
          </cell>
          <cell r="AV56">
            <v>20321350</v>
          </cell>
          <cell r="AW56">
            <v>20948450</v>
          </cell>
          <cell r="AX56">
            <v>21914775</v>
          </cell>
          <cell r="AY56">
            <v>23538750</v>
          </cell>
          <cell r="AZ56">
            <v>26429675</v>
          </cell>
          <cell r="BA56">
            <v>29306725</v>
          </cell>
          <cell r="BB56">
            <v>29668900</v>
          </cell>
        </row>
        <row r="57">
          <cell r="A57" t="str">
            <v>SPRT</v>
          </cell>
          <cell r="B57">
            <v>28675</v>
          </cell>
          <cell r="C57">
            <v>34225</v>
          </cell>
          <cell r="D57">
            <v>24200</v>
          </cell>
          <cell r="E57">
            <v>28850</v>
          </cell>
          <cell r="F57">
            <v>34625</v>
          </cell>
          <cell r="G57">
            <v>49900</v>
          </cell>
          <cell r="H57">
            <v>45325</v>
          </cell>
          <cell r="I57">
            <v>38200</v>
          </cell>
          <cell r="J57">
            <v>39450</v>
          </cell>
          <cell r="K57">
            <v>38950</v>
          </cell>
          <cell r="L57">
            <v>47975</v>
          </cell>
          <cell r="M57">
            <v>60150</v>
          </cell>
          <cell r="N57">
            <v>48525</v>
          </cell>
          <cell r="O57">
            <v>60300</v>
          </cell>
          <cell r="P57">
            <v>49500</v>
          </cell>
          <cell r="Q57">
            <v>49375</v>
          </cell>
          <cell r="R57">
            <v>56700</v>
          </cell>
          <cell r="S57">
            <v>60975</v>
          </cell>
          <cell r="T57">
            <v>87425</v>
          </cell>
          <cell r="U57">
            <v>67175</v>
          </cell>
          <cell r="V57">
            <v>67900</v>
          </cell>
          <cell r="W57">
            <v>64075</v>
          </cell>
          <cell r="X57">
            <v>88150</v>
          </cell>
          <cell r="Y57">
            <v>110275</v>
          </cell>
          <cell r="Z57">
            <v>72675</v>
          </cell>
          <cell r="AA57">
            <v>56750</v>
          </cell>
          <cell r="AB57">
            <v>53775</v>
          </cell>
          <cell r="AC57">
            <v>61600</v>
          </cell>
          <cell r="AD57">
            <v>49650</v>
          </cell>
          <cell r="AE57">
            <v>62600</v>
          </cell>
          <cell r="AF57">
            <v>57775</v>
          </cell>
          <cell r="AG57">
            <v>74050</v>
          </cell>
          <cell r="AH57">
            <v>74425</v>
          </cell>
          <cell r="AI57">
            <v>64100</v>
          </cell>
          <cell r="AJ57">
            <v>72800</v>
          </cell>
          <cell r="AK57">
            <v>41475</v>
          </cell>
          <cell r="AL57">
            <v>59975</v>
          </cell>
          <cell r="AM57">
            <v>52675</v>
          </cell>
          <cell r="AN57">
            <v>37175</v>
          </cell>
          <cell r="AO57">
            <v>38650</v>
          </cell>
          <cell r="AP57">
            <v>39900</v>
          </cell>
          <cell r="AQ57">
            <v>42525</v>
          </cell>
          <cell r="AR57">
            <v>41075</v>
          </cell>
          <cell r="AS57">
            <v>42050</v>
          </cell>
          <cell r="AT57">
            <v>40225</v>
          </cell>
          <cell r="AU57">
            <v>62125</v>
          </cell>
          <cell r="AV57">
            <v>72400</v>
          </cell>
          <cell r="AW57">
            <v>88475</v>
          </cell>
          <cell r="AX57">
            <v>150050</v>
          </cell>
          <cell r="AY57">
            <v>209525</v>
          </cell>
          <cell r="AZ57">
            <v>340400</v>
          </cell>
          <cell r="BA57">
            <v>375100</v>
          </cell>
          <cell r="BB57">
            <v>46700</v>
          </cell>
        </row>
        <row r="58">
          <cell r="A58" t="str">
            <v>ptd</v>
          </cell>
          <cell r="B58">
            <v>28675</v>
          </cell>
          <cell r="C58">
            <v>62900</v>
          </cell>
          <cell r="D58">
            <v>87100</v>
          </cell>
          <cell r="E58">
            <v>115950</v>
          </cell>
          <cell r="F58">
            <v>34625</v>
          </cell>
          <cell r="G58">
            <v>84525</v>
          </cell>
          <cell r="H58">
            <v>129850</v>
          </cell>
          <cell r="I58">
            <v>168050</v>
          </cell>
          <cell r="J58">
            <v>39450</v>
          </cell>
          <cell r="K58">
            <v>78400</v>
          </cell>
          <cell r="L58">
            <v>126375</v>
          </cell>
          <cell r="M58">
            <v>186525</v>
          </cell>
          <cell r="N58">
            <v>48525</v>
          </cell>
          <cell r="O58">
            <v>108825</v>
          </cell>
          <cell r="P58">
            <v>158325</v>
          </cell>
          <cell r="Q58">
            <v>207700</v>
          </cell>
          <cell r="R58">
            <v>56700</v>
          </cell>
          <cell r="S58">
            <v>117675</v>
          </cell>
          <cell r="T58">
            <v>205100</v>
          </cell>
          <cell r="U58">
            <v>272275</v>
          </cell>
          <cell r="V58">
            <v>67900</v>
          </cell>
          <cell r="W58">
            <v>131975</v>
          </cell>
          <cell r="X58">
            <v>220125</v>
          </cell>
          <cell r="Y58">
            <v>330400</v>
          </cell>
          <cell r="Z58">
            <v>72675</v>
          </cell>
          <cell r="AA58">
            <v>129425</v>
          </cell>
          <cell r="AB58">
            <v>183200</v>
          </cell>
          <cell r="AC58">
            <v>244800</v>
          </cell>
          <cell r="AD58">
            <v>49650</v>
          </cell>
          <cell r="AE58">
            <v>112250</v>
          </cell>
          <cell r="AF58">
            <v>170025</v>
          </cell>
          <cell r="AG58">
            <v>244075</v>
          </cell>
          <cell r="AH58">
            <v>74425</v>
          </cell>
          <cell r="AI58">
            <v>138525</v>
          </cell>
          <cell r="AJ58">
            <v>211325</v>
          </cell>
          <cell r="AK58">
            <v>252800</v>
          </cell>
          <cell r="AL58">
            <v>59975</v>
          </cell>
          <cell r="AM58">
            <v>112650</v>
          </cell>
          <cell r="AN58">
            <v>149825</v>
          </cell>
          <cell r="AO58">
            <v>188475</v>
          </cell>
          <cell r="AP58">
            <v>39900</v>
          </cell>
          <cell r="AQ58">
            <v>82425</v>
          </cell>
          <cell r="AR58">
            <v>123500</v>
          </cell>
          <cell r="AS58">
            <v>165550</v>
          </cell>
          <cell r="AT58">
            <v>40225</v>
          </cell>
          <cell r="AU58">
            <v>102350</v>
          </cell>
          <cell r="AV58">
            <v>174750</v>
          </cell>
          <cell r="AW58">
            <v>263225</v>
          </cell>
          <cell r="AX58">
            <v>150050</v>
          </cell>
          <cell r="AY58">
            <v>359575</v>
          </cell>
          <cell r="AZ58">
            <v>699975</v>
          </cell>
          <cell r="BA58">
            <v>1075075</v>
          </cell>
          <cell r="BB58">
            <v>1121775</v>
          </cell>
        </row>
        <row r="59">
          <cell r="A59" t="str">
            <v>qtd</v>
          </cell>
          <cell r="B59">
            <v>28675</v>
          </cell>
          <cell r="C59">
            <v>62900</v>
          </cell>
          <cell r="D59">
            <v>87100</v>
          </cell>
          <cell r="E59">
            <v>115950</v>
          </cell>
          <cell r="F59">
            <v>150575</v>
          </cell>
          <cell r="G59">
            <v>200475</v>
          </cell>
          <cell r="H59">
            <v>245800</v>
          </cell>
          <cell r="I59">
            <v>284000</v>
          </cell>
          <cell r="J59">
            <v>323450</v>
          </cell>
          <cell r="K59">
            <v>362400</v>
          </cell>
          <cell r="L59">
            <v>410375</v>
          </cell>
          <cell r="M59">
            <v>470525</v>
          </cell>
          <cell r="N59">
            <v>48525</v>
          </cell>
          <cell r="O59">
            <v>108825</v>
          </cell>
          <cell r="P59">
            <v>158325</v>
          </cell>
          <cell r="Q59">
            <v>207700</v>
          </cell>
          <cell r="R59">
            <v>264400</v>
          </cell>
          <cell r="S59">
            <v>325375</v>
          </cell>
          <cell r="T59">
            <v>412800</v>
          </cell>
          <cell r="U59">
            <v>479975</v>
          </cell>
          <cell r="V59">
            <v>547875</v>
          </cell>
          <cell r="W59">
            <v>611950</v>
          </cell>
          <cell r="X59">
            <v>700100</v>
          </cell>
          <cell r="Y59">
            <v>810375</v>
          </cell>
          <cell r="Z59">
            <v>72675</v>
          </cell>
          <cell r="AA59">
            <v>129425</v>
          </cell>
          <cell r="AB59">
            <v>183200</v>
          </cell>
          <cell r="AC59">
            <v>244800</v>
          </cell>
          <cell r="AD59">
            <v>294450</v>
          </cell>
          <cell r="AE59">
            <v>357050</v>
          </cell>
          <cell r="AF59">
            <v>414825</v>
          </cell>
          <cell r="AG59">
            <v>488875</v>
          </cell>
          <cell r="AH59">
            <v>563300</v>
          </cell>
          <cell r="AI59">
            <v>627400</v>
          </cell>
          <cell r="AJ59">
            <v>700200</v>
          </cell>
          <cell r="AK59">
            <v>741675</v>
          </cell>
          <cell r="AL59">
            <v>59975</v>
          </cell>
          <cell r="AM59">
            <v>112650</v>
          </cell>
          <cell r="AN59">
            <v>149825</v>
          </cell>
          <cell r="AO59">
            <v>188475</v>
          </cell>
          <cell r="AP59">
            <v>228375</v>
          </cell>
          <cell r="AQ59">
            <v>270900</v>
          </cell>
          <cell r="AR59">
            <v>311975</v>
          </cell>
          <cell r="AS59">
            <v>354025</v>
          </cell>
          <cell r="AT59">
            <v>394250</v>
          </cell>
          <cell r="AU59">
            <v>456375</v>
          </cell>
          <cell r="AV59">
            <v>528775</v>
          </cell>
          <cell r="AW59">
            <v>617250</v>
          </cell>
          <cell r="AX59">
            <v>767300</v>
          </cell>
          <cell r="AY59">
            <v>976825</v>
          </cell>
          <cell r="AZ59">
            <v>1317225</v>
          </cell>
          <cell r="BA59">
            <v>1692325</v>
          </cell>
          <cell r="BB59">
            <v>1739025</v>
          </cell>
        </row>
        <row r="60">
          <cell r="A60" t="str">
            <v>ytd</v>
          </cell>
          <cell r="B60">
            <v>28675</v>
          </cell>
          <cell r="C60">
            <v>62900</v>
          </cell>
          <cell r="D60">
            <v>87100</v>
          </cell>
          <cell r="E60">
            <v>115950</v>
          </cell>
          <cell r="F60">
            <v>150575</v>
          </cell>
          <cell r="G60">
            <v>200475</v>
          </cell>
          <cell r="H60">
            <v>245800</v>
          </cell>
          <cell r="I60">
            <v>284000</v>
          </cell>
          <cell r="J60">
            <v>323450</v>
          </cell>
          <cell r="K60">
            <v>362400</v>
          </cell>
          <cell r="L60">
            <v>410375</v>
          </cell>
          <cell r="M60">
            <v>470525</v>
          </cell>
          <cell r="N60">
            <v>519050</v>
          </cell>
          <cell r="O60">
            <v>579350</v>
          </cell>
          <cell r="P60">
            <v>628850</v>
          </cell>
          <cell r="Q60">
            <v>678225</v>
          </cell>
          <cell r="R60">
            <v>734925</v>
          </cell>
          <cell r="S60">
            <v>795900</v>
          </cell>
          <cell r="T60">
            <v>883325</v>
          </cell>
          <cell r="U60">
            <v>950500</v>
          </cell>
          <cell r="V60">
            <v>1018400</v>
          </cell>
          <cell r="W60">
            <v>1082475</v>
          </cell>
          <cell r="X60">
            <v>1170625</v>
          </cell>
          <cell r="Y60">
            <v>1280900</v>
          </cell>
          <cell r="Z60">
            <v>1353575</v>
          </cell>
          <cell r="AA60">
            <v>1410325</v>
          </cell>
          <cell r="AB60">
            <v>1464100</v>
          </cell>
          <cell r="AC60">
            <v>1525700</v>
          </cell>
          <cell r="AD60">
            <v>1575350</v>
          </cell>
          <cell r="AE60">
            <v>1637950</v>
          </cell>
          <cell r="AF60">
            <v>1695725</v>
          </cell>
          <cell r="AG60">
            <v>1769775</v>
          </cell>
          <cell r="AH60">
            <v>1844200</v>
          </cell>
          <cell r="AI60">
            <v>1908300</v>
          </cell>
          <cell r="AJ60">
            <v>1981100</v>
          </cell>
          <cell r="AK60">
            <v>2022575</v>
          </cell>
          <cell r="AL60">
            <v>2082550</v>
          </cell>
          <cell r="AM60">
            <v>2135225</v>
          </cell>
          <cell r="AN60">
            <v>2172400</v>
          </cell>
          <cell r="AO60">
            <v>2211050</v>
          </cell>
          <cell r="AP60">
            <v>2250950</v>
          </cell>
          <cell r="AQ60">
            <v>2293475</v>
          </cell>
          <cell r="AR60">
            <v>2334550</v>
          </cell>
          <cell r="AS60">
            <v>2376600</v>
          </cell>
          <cell r="AT60">
            <v>2416825</v>
          </cell>
          <cell r="AU60">
            <v>2478950</v>
          </cell>
          <cell r="AV60">
            <v>2551350</v>
          </cell>
          <cell r="AW60">
            <v>2639825</v>
          </cell>
          <cell r="AX60">
            <v>2789875</v>
          </cell>
          <cell r="AY60">
            <v>2999400</v>
          </cell>
          <cell r="AZ60">
            <v>3339800</v>
          </cell>
          <cell r="BA60">
            <v>3714900</v>
          </cell>
          <cell r="BB60">
            <v>3761600</v>
          </cell>
        </row>
        <row r="61">
          <cell r="A61" t="str">
            <v>TELE</v>
          </cell>
          <cell r="B61">
            <v>163321.29</v>
          </cell>
          <cell r="C61">
            <v>156667.44</v>
          </cell>
          <cell r="D61">
            <v>160666.23999999999</v>
          </cell>
          <cell r="E61">
            <v>158111.15</v>
          </cell>
          <cell r="F61">
            <v>177948.26</v>
          </cell>
          <cell r="G61">
            <v>177988.02</v>
          </cell>
          <cell r="H61">
            <v>173318.11</v>
          </cell>
          <cell r="I61">
            <v>168974.33</v>
          </cell>
          <cell r="J61">
            <v>181155.68</v>
          </cell>
          <cell r="K61">
            <v>186090.56</v>
          </cell>
          <cell r="L61">
            <v>193848.92</v>
          </cell>
          <cell r="M61">
            <v>196909.1</v>
          </cell>
          <cell r="N61">
            <v>161565.07</v>
          </cell>
          <cell r="O61">
            <v>194148.72</v>
          </cell>
          <cell r="P61">
            <v>180475.26</v>
          </cell>
          <cell r="Q61">
            <v>179901.5</v>
          </cell>
          <cell r="R61">
            <v>183851.48</v>
          </cell>
          <cell r="S61">
            <v>205083.21</v>
          </cell>
          <cell r="T61">
            <v>206732.94</v>
          </cell>
          <cell r="U61">
            <v>209117.53</v>
          </cell>
          <cell r="V61">
            <v>202533.79</v>
          </cell>
          <cell r="W61">
            <v>203832.82</v>
          </cell>
          <cell r="X61">
            <v>212367.46</v>
          </cell>
          <cell r="Y61">
            <v>216866.33</v>
          </cell>
          <cell r="Z61">
            <v>202729.66</v>
          </cell>
          <cell r="AA61">
            <v>208506.32</v>
          </cell>
          <cell r="AB61">
            <v>222609.98</v>
          </cell>
          <cell r="AC61">
            <v>209873.08</v>
          </cell>
          <cell r="AD61">
            <v>199864.41</v>
          </cell>
          <cell r="AE61">
            <v>198723.68</v>
          </cell>
          <cell r="AF61">
            <v>214112</v>
          </cell>
          <cell r="AG61">
            <v>217686.48</v>
          </cell>
          <cell r="AH61">
            <v>208681.33</v>
          </cell>
          <cell r="AI61">
            <v>219740.03</v>
          </cell>
          <cell r="AJ61">
            <v>224493.66</v>
          </cell>
          <cell r="AK61">
            <v>201622.51</v>
          </cell>
          <cell r="AL61">
            <v>194648.6</v>
          </cell>
          <cell r="AM61">
            <v>214880.01</v>
          </cell>
          <cell r="AN61">
            <v>195333.46</v>
          </cell>
          <cell r="AO61">
            <v>218475.45</v>
          </cell>
          <cell r="AP61">
            <v>197009.13</v>
          </cell>
          <cell r="AQ61">
            <v>209215.58</v>
          </cell>
          <cell r="AR61">
            <v>197243.09</v>
          </cell>
          <cell r="AS61">
            <v>198969.25</v>
          </cell>
          <cell r="AT61">
            <v>210256.95</v>
          </cell>
          <cell r="AU61">
            <v>198467.84</v>
          </cell>
          <cell r="AV61">
            <v>204362.1</v>
          </cell>
          <cell r="AW61">
            <v>213889.18</v>
          </cell>
          <cell r="AX61">
            <v>237018.35</v>
          </cell>
          <cell r="AY61">
            <v>245077.79</v>
          </cell>
          <cell r="AZ61">
            <v>268673.15999999997</v>
          </cell>
          <cell r="BA61">
            <v>255365.9</v>
          </cell>
          <cell r="BB61">
            <v>194628.07</v>
          </cell>
        </row>
        <row r="62">
          <cell r="A62" t="str">
            <v>ptd</v>
          </cell>
          <cell r="B62">
            <v>163321.29</v>
          </cell>
          <cell r="C62">
            <v>319988.73</v>
          </cell>
          <cell r="D62">
            <v>480654.97</v>
          </cell>
          <cell r="E62">
            <v>638766.12</v>
          </cell>
          <cell r="F62">
            <v>177948.26</v>
          </cell>
          <cell r="G62">
            <v>355936.28</v>
          </cell>
          <cell r="H62">
            <v>529254.39</v>
          </cell>
          <cell r="I62">
            <v>698228.72</v>
          </cell>
          <cell r="J62">
            <v>181155.68</v>
          </cell>
          <cell r="K62">
            <v>367246.24</v>
          </cell>
          <cell r="L62">
            <v>561095.16</v>
          </cell>
          <cell r="M62">
            <v>758004.26</v>
          </cell>
          <cell r="N62">
            <v>161565.07</v>
          </cell>
          <cell r="O62">
            <v>355713.79000000004</v>
          </cell>
          <cell r="P62">
            <v>536189.05000000005</v>
          </cell>
          <cell r="Q62">
            <v>716090.55</v>
          </cell>
          <cell r="R62">
            <v>183851.48</v>
          </cell>
          <cell r="S62">
            <v>388934.69</v>
          </cell>
          <cell r="T62">
            <v>595667.63</v>
          </cell>
          <cell r="U62">
            <v>804785.16</v>
          </cell>
          <cell r="V62">
            <v>202533.79</v>
          </cell>
          <cell r="W62">
            <v>406366.61</v>
          </cell>
          <cell r="X62">
            <v>618734.06999999995</v>
          </cell>
          <cell r="Y62">
            <v>835600.39999999991</v>
          </cell>
          <cell r="Z62">
            <v>202729.66</v>
          </cell>
          <cell r="AA62">
            <v>411235.98</v>
          </cell>
          <cell r="AB62">
            <v>633845.96</v>
          </cell>
          <cell r="AC62">
            <v>843719.03999999992</v>
          </cell>
          <cell r="AD62">
            <v>199864.41</v>
          </cell>
          <cell r="AE62">
            <v>398588.08999999997</v>
          </cell>
          <cell r="AF62">
            <v>612700.09</v>
          </cell>
          <cell r="AG62">
            <v>830386.57</v>
          </cell>
          <cell r="AH62">
            <v>208681.33</v>
          </cell>
          <cell r="AI62">
            <v>428421.36</v>
          </cell>
          <cell r="AJ62">
            <v>652915.02</v>
          </cell>
          <cell r="AK62">
            <v>854537.53</v>
          </cell>
          <cell r="AL62">
            <v>194648.6</v>
          </cell>
          <cell r="AM62">
            <v>409528.61</v>
          </cell>
          <cell r="AN62">
            <v>604862.06999999995</v>
          </cell>
          <cell r="AO62">
            <v>823337.52</v>
          </cell>
          <cell r="AP62">
            <v>197009.13</v>
          </cell>
          <cell r="AQ62">
            <v>406224.70999999996</v>
          </cell>
          <cell r="AR62">
            <v>603467.79999999993</v>
          </cell>
          <cell r="AS62">
            <v>802437.04999999993</v>
          </cell>
          <cell r="AT62">
            <v>210256.95</v>
          </cell>
          <cell r="AU62">
            <v>408724.79000000004</v>
          </cell>
          <cell r="AV62">
            <v>613086.89</v>
          </cell>
          <cell r="AW62">
            <v>826976.07000000007</v>
          </cell>
          <cell r="AX62">
            <v>237018.35</v>
          </cell>
          <cell r="AY62">
            <v>482096.14</v>
          </cell>
          <cell r="AZ62">
            <v>750769.3</v>
          </cell>
          <cell r="BA62">
            <v>1006135.2000000001</v>
          </cell>
          <cell r="BB62">
            <v>1200763.27</v>
          </cell>
        </row>
        <row r="63">
          <cell r="A63" t="str">
            <v>qtd</v>
          </cell>
          <cell r="B63">
            <v>163321.29</v>
          </cell>
          <cell r="C63">
            <v>319988.73</v>
          </cell>
          <cell r="D63">
            <v>480654.97</v>
          </cell>
          <cell r="E63">
            <v>638766.12</v>
          </cell>
          <cell r="F63">
            <v>816714.38</v>
          </cell>
          <cell r="G63">
            <v>994702.4</v>
          </cell>
          <cell r="H63">
            <v>1168020.51</v>
          </cell>
          <cell r="I63">
            <v>1336994.8400000001</v>
          </cell>
          <cell r="J63">
            <v>1518150.52</v>
          </cell>
          <cell r="K63">
            <v>1704241.08</v>
          </cell>
          <cell r="L63">
            <v>1898090</v>
          </cell>
          <cell r="M63">
            <v>2094999.1</v>
          </cell>
          <cell r="N63">
            <v>161565.07</v>
          </cell>
          <cell r="O63">
            <v>355713.79000000004</v>
          </cell>
          <cell r="P63">
            <v>536189.05000000005</v>
          </cell>
          <cell r="Q63">
            <v>716090.55</v>
          </cell>
          <cell r="R63">
            <v>899942.03</v>
          </cell>
          <cell r="S63">
            <v>1105025.24</v>
          </cell>
          <cell r="T63">
            <v>1311758.18</v>
          </cell>
          <cell r="U63">
            <v>1520875.71</v>
          </cell>
          <cell r="V63">
            <v>1723409.5</v>
          </cell>
          <cell r="W63">
            <v>1927242.32</v>
          </cell>
          <cell r="X63">
            <v>2139609.7800000003</v>
          </cell>
          <cell r="Y63">
            <v>2356476.1100000003</v>
          </cell>
          <cell r="Z63">
            <v>202729.66</v>
          </cell>
          <cell r="AA63">
            <v>411235.98</v>
          </cell>
          <cell r="AB63">
            <v>633845.96</v>
          </cell>
          <cell r="AC63">
            <v>843719.03999999992</v>
          </cell>
          <cell r="AD63">
            <v>1043583.45</v>
          </cell>
          <cell r="AE63">
            <v>1242307.1299999999</v>
          </cell>
          <cell r="AF63">
            <v>1456419.13</v>
          </cell>
          <cell r="AG63">
            <v>1674105.6099999999</v>
          </cell>
          <cell r="AH63">
            <v>1882786.94</v>
          </cell>
          <cell r="AI63">
            <v>2102526.9699999997</v>
          </cell>
          <cell r="AJ63">
            <v>2327020.63</v>
          </cell>
          <cell r="AK63">
            <v>2528643.1399999997</v>
          </cell>
          <cell r="AL63">
            <v>194648.6</v>
          </cell>
          <cell r="AM63">
            <v>409528.61</v>
          </cell>
          <cell r="AN63">
            <v>604862.06999999995</v>
          </cell>
          <cell r="AO63">
            <v>823337.52</v>
          </cell>
          <cell r="AP63">
            <v>1020346.65</v>
          </cell>
          <cell r="AQ63">
            <v>1229562.23</v>
          </cell>
          <cell r="AR63">
            <v>1426805.32</v>
          </cell>
          <cell r="AS63">
            <v>1625774.57</v>
          </cell>
          <cell r="AT63">
            <v>1836031.52</v>
          </cell>
          <cell r="AU63">
            <v>2034499.36</v>
          </cell>
          <cell r="AV63">
            <v>2238861.46</v>
          </cell>
          <cell r="AW63">
            <v>2452750.64</v>
          </cell>
          <cell r="AX63">
            <v>2689768.99</v>
          </cell>
          <cell r="AY63">
            <v>2934846.7800000003</v>
          </cell>
          <cell r="AZ63">
            <v>3203519.9400000004</v>
          </cell>
          <cell r="BA63">
            <v>3458885.8400000003</v>
          </cell>
          <cell r="BB63">
            <v>3653513.91</v>
          </cell>
        </row>
        <row r="64">
          <cell r="A64" t="str">
            <v>ytd</v>
          </cell>
          <cell r="B64">
            <v>163321.29</v>
          </cell>
          <cell r="C64">
            <v>319988.73</v>
          </cell>
          <cell r="D64">
            <v>480654.97</v>
          </cell>
          <cell r="E64">
            <v>638766.12</v>
          </cell>
          <cell r="F64">
            <v>816714.38</v>
          </cell>
          <cell r="G64">
            <v>994702.4</v>
          </cell>
          <cell r="H64">
            <v>1168020.51</v>
          </cell>
          <cell r="I64">
            <v>1336994.8400000001</v>
          </cell>
          <cell r="J64">
            <v>1518150.52</v>
          </cell>
          <cell r="K64">
            <v>1704241.08</v>
          </cell>
          <cell r="L64">
            <v>1898090</v>
          </cell>
          <cell r="M64">
            <v>2094999.1</v>
          </cell>
          <cell r="N64">
            <v>2256564.17</v>
          </cell>
          <cell r="O64">
            <v>2450712.89</v>
          </cell>
          <cell r="P64">
            <v>2631188.1500000004</v>
          </cell>
          <cell r="Q64">
            <v>2811089.6500000004</v>
          </cell>
          <cell r="R64">
            <v>2994941.1300000004</v>
          </cell>
          <cell r="S64">
            <v>3200024.3400000003</v>
          </cell>
          <cell r="T64">
            <v>3406757.2800000003</v>
          </cell>
          <cell r="U64">
            <v>3615874.81</v>
          </cell>
          <cell r="V64">
            <v>3818408.6</v>
          </cell>
          <cell r="W64">
            <v>4022241.42</v>
          </cell>
          <cell r="X64">
            <v>4234608.88</v>
          </cell>
          <cell r="Y64">
            <v>4451475.21</v>
          </cell>
          <cell r="Z64">
            <v>4654204.87</v>
          </cell>
          <cell r="AA64">
            <v>4862711.1900000004</v>
          </cell>
          <cell r="AB64">
            <v>5085321.1700000009</v>
          </cell>
          <cell r="AC64">
            <v>5295194.2500000009</v>
          </cell>
          <cell r="AD64">
            <v>5495058.6600000011</v>
          </cell>
          <cell r="AE64">
            <v>5693782.3400000008</v>
          </cell>
          <cell r="AF64">
            <v>5907894.3400000008</v>
          </cell>
          <cell r="AG64">
            <v>6125580.8200000012</v>
          </cell>
          <cell r="AH64">
            <v>6334262.1500000013</v>
          </cell>
          <cell r="AI64">
            <v>6554002.1800000016</v>
          </cell>
          <cell r="AJ64">
            <v>6778495.8400000017</v>
          </cell>
          <cell r="AK64">
            <v>6980118.3500000015</v>
          </cell>
          <cell r="AL64">
            <v>7174766.9500000011</v>
          </cell>
          <cell r="AM64">
            <v>7389646.9600000009</v>
          </cell>
          <cell r="AN64">
            <v>7584980.4200000009</v>
          </cell>
          <cell r="AO64">
            <v>7803455.870000001</v>
          </cell>
          <cell r="AP64">
            <v>8000465.0000000009</v>
          </cell>
          <cell r="AQ64">
            <v>8209680.580000001</v>
          </cell>
          <cell r="AR64">
            <v>8406923.6700000018</v>
          </cell>
          <cell r="AS64">
            <v>8605892.9200000018</v>
          </cell>
          <cell r="AT64">
            <v>8816149.870000001</v>
          </cell>
          <cell r="AU64">
            <v>9014617.7100000009</v>
          </cell>
          <cell r="AV64">
            <v>9218979.8100000005</v>
          </cell>
          <cell r="AW64">
            <v>9432868.9900000002</v>
          </cell>
          <cell r="AX64">
            <v>9669887.3399999999</v>
          </cell>
          <cell r="AY64">
            <v>9914965.129999999</v>
          </cell>
          <cell r="AZ64">
            <v>10183638.289999999</v>
          </cell>
          <cell r="BA64">
            <v>10439004.189999999</v>
          </cell>
          <cell r="BB64">
            <v>10633632.26</v>
          </cell>
        </row>
        <row r="65">
          <cell r="A65" t="str">
            <v>TICK</v>
          </cell>
          <cell r="AC65">
            <v>75</v>
          </cell>
          <cell r="AD65">
            <v>1150</v>
          </cell>
          <cell r="AE65">
            <v>1775</v>
          </cell>
          <cell r="AF65">
            <v>1700</v>
          </cell>
          <cell r="AG65">
            <v>2750</v>
          </cell>
          <cell r="AH65">
            <v>3450</v>
          </cell>
          <cell r="AI65">
            <v>2800</v>
          </cell>
          <cell r="AJ65">
            <v>5050</v>
          </cell>
          <cell r="AK65">
            <v>850</v>
          </cell>
          <cell r="AL65">
            <v>1300</v>
          </cell>
          <cell r="AM65">
            <v>1950</v>
          </cell>
          <cell r="AN65">
            <v>2575</v>
          </cell>
          <cell r="AO65">
            <v>1575</v>
          </cell>
          <cell r="AP65">
            <v>2800</v>
          </cell>
          <cell r="AQ65">
            <v>3000</v>
          </cell>
          <cell r="AR65">
            <v>2175</v>
          </cell>
          <cell r="AS65">
            <v>3525</v>
          </cell>
          <cell r="AT65">
            <v>1325</v>
          </cell>
          <cell r="AU65">
            <v>2550</v>
          </cell>
          <cell r="AV65">
            <v>1825</v>
          </cell>
          <cell r="AW65">
            <v>4325</v>
          </cell>
          <cell r="AX65">
            <v>4625</v>
          </cell>
          <cell r="AY65">
            <v>6975</v>
          </cell>
          <cell r="AZ65">
            <v>10100</v>
          </cell>
          <cell r="BA65">
            <v>9825</v>
          </cell>
          <cell r="BB65">
            <v>2575</v>
          </cell>
        </row>
        <row r="66">
          <cell r="A66" t="str">
            <v>ptd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75</v>
          </cell>
          <cell r="AD66">
            <v>1150</v>
          </cell>
          <cell r="AE66">
            <v>2925</v>
          </cell>
          <cell r="AF66">
            <v>4625</v>
          </cell>
          <cell r="AG66">
            <v>7375</v>
          </cell>
          <cell r="AH66">
            <v>3450</v>
          </cell>
          <cell r="AI66">
            <v>6250</v>
          </cell>
          <cell r="AJ66">
            <v>11300</v>
          </cell>
          <cell r="AK66">
            <v>12150</v>
          </cell>
          <cell r="AL66">
            <v>1300</v>
          </cell>
          <cell r="AM66">
            <v>3250</v>
          </cell>
          <cell r="AN66">
            <v>5825</v>
          </cell>
          <cell r="AO66">
            <v>7400</v>
          </cell>
          <cell r="AP66">
            <v>2800</v>
          </cell>
          <cell r="AQ66">
            <v>5800</v>
          </cell>
          <cell r="AR66">
            <v>7975</v>
          </cell>
          <cell r="AS66">
            <v>11500</v>
          </cell>
          <cell r="AT66">
            <v>1325</v>
          </cell>
          <cell r="AU66">
            <v>3875</v>
          </cell>
          <cell r="AV66">
            <v>5700</v>
          </cell>
          <cell r="AW66">
            <v>10025</v>
          </cell>
          <cell r="AX66">
            <v>4625</v>
          </cell>
          <cell r="AY66">
            <v>11600</v>
          </cell>
          <cell r="AZ66">
            <v>21700</v>
          </cell>
          <cell r="BA66">
            <v>31525</v>
          </cell>
          <cell r="BB66">
            <v>34100</v>
          </cell>
        </row>
        <row r="67">
          <cell r="A67" t="str">
            <v>qtd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75</v>
          </cell>
          <cell r="AD67">
            <v>1225</v>
          </cell>
          <cell r="AE67">
            <v>3000</v>
          </cell>
          <cell r="AF67">
            <v>4700</v>
          </cell>
          <cell r="AG67">
            <v>7450</v>
          </cell>
          <cell r="AH67">
            <v>10900</v>
          </cell>
          <cell r="AI67">
            <v>13700</v>
          </cell>
          <cell r="AJ67">
            <v>18750</v>
          </cell>
          <cell r="AK67">
            <v>19600</v>
          </cell>
          <cell r="AL67">
            <v>1300</v>
          </cell>
          <cell r="AM67">
            <v>3250</v>
          </cell>
          <cell r="AN67">
            <v>5825</v>
          </cell>
          <cell r="AO67">
            <v>7400</v>
          </cell>
          <cell r="AP67">
            <v>10200</v>
          </cell>
          <cell r="AQ67">
            <v>13200</v>
          </cell>
          <cell r="AR67">
            <v>15375</v>
          </cell>
          <cell r="AS67">
            <v>18900</v>
          </cell>
          <cell r="AT67">
            <v>20225</v>
          </cell>
          <cell r="AU67">
            <v>22775</v>
          </cell>
          <cell r="AV67">
            <v>24600</v>
          </cell>
          <cell r="AW67">
            <v>28925</v>
          </cell>
          <cell r="AX67">
            <v>33550</v>
          </cell>
          <cell r="AY67">
            <v>40525</v>
          </cell>
          <cell r="AZ67">
            <v>50625</v>
          </cell>
          <cell r="BA67">
            <v>60450</v>
          </cell>
          <cell r="BB67">
            <v>63025</v>
          </cell>
        </row>
        <row r="68">
          <cell r="A68" t="str">
            <v>ytd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75</v>
          </cell>
          <cell r="AD68">
            <v>1225</v>
          </cell>
          <cell r="AE68">
            <v>3000</v>
          </cell>
          <cell r="AF68">
            <v>4700</v>
          </cell>
          <cell r="AG68">
            <v>7450</v>
          </cell>
          <cell r="AH68">
            <v>10900</v>
          </cell>
          <cell r="AI68">
            <v>13700</v>
          </cell>
          <cell r="AJ68">
            <v>18750</v>
          </cell>
          <cell r="AK68">
            <v>19600</v>
          </cell>
          <cell r="AL68">
            <v>20900</v>
          </cell>
          <cell r="AM68">
            <v>22850</v>
          </cell>
          <cell r="AN68">
            <v>25425</v>
          </cell>
          <cell r="AO68">
            <v>27000</v>
          </cell>
          <cell r="AP68">
            <v>29800</v>
          </cell>
          <cell r="AQ68">
            <v>32800</v>
          </cell>
          <cell r="AR68">
            <v>34975</v>
          </cell>
          <cell r="AS68">
            <v>38500</v>
          </cell>
          <cell r="AT68">
            <v>39825</v>
          </cell>
          <cell r="AU68">
            <v>42375</v>
          </cell>
          <cell r="AV68">
            <v>44200</v>
          </cell>
          <cell r="AW68">
            <v>48525</v>
          </cell>
          <cell r="AX68">
            <v>53150</v>
          </cell>
          <cell r="AY68">
            <v>60125</v>
          </cell>
          <cell r="AZ68">
            <v>70225</v>
          </cell>
          <cell r="BA68">
            <v>80050</v>
          </cell>
          <cell r="BB68">
            <v>82625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5960796.4500000002</v>
          </cell>
          <cell r="C73">
            <v>5876658.9800000004</v>
          </cell>
          <cell r="D73">
            <v>6626593.5499999998</v>
          </cell>
          <cell r="E73">
            <v>6793745.2000000002</v>
          </cell>
          <cell r="F73">
            <v>6982392.1100000003</v>
          </cell>
          <cell r="G73">
            <v>7166260.7000000002</v>
          </cell>
          <cell r="H73">
            <v>7266344.8799999999</v>
          </cell>
          <cell r="I73">
            <v>6732957.0600000005</v>
          </cell>
          <cell r="J73">
            <v>6498383.6600000001</v>
          </cell>
          <cell r="K73">
            <v>6216104.7800000003</v>
          </cell>
          <cell r="L73">
            <v>7951148.54</v>
          </cell>
          <cell r="M73">
            <v>9455224.5099999998</v>
          </cell>
          <cell r="N73">
            <v>7173309.79</v>
          </cell>
          <cell r="O73">
            <v>8653092.1899999995</v>
          </cell>
          <cell r="P73">
            <v>8914279.3699999992</v>
          </cell>
          <cell r="Q73">
            <v>9689311.9100000001</v>
          </cell>
          <cell r="R73">
            <v>11201618.529999999</v>
          </cell>
          <cell r="S73">
            <v>11331169.67</v>
          </cell>
          <cell r="T73">
            <v>14465440.02</v>
          </cell>
          <cell r="U73">
            <v>12626482.800000001</v>
          </cell>
          <cell r="V73">
            <v>13178910.870000001</v>
          </cell>
          <cell r="W73">
            <v>12946532.140000001</v>
          </cell>
          <cell r="X73">
            <v>13940077.93</v>
          </cell>
          <cell r="Y73">
            <v>16349514.140000001</v>
          </cell>
          <cell r="Z73">
            <v>13196476.84</v>
          </cell>
          <cell r="AA73">
            <v>12952057.49</v>
          </cell>
          <cell r="AB73">
            <v>12814567.449999999</v>
          </cell>
          <cell r="AC73">
            <v>12177906.560000001</v>
          </cell>
          <cell r="AD73">
            <v>12349593.1</v>
          </cell>
          <cell r="AE73">
            <v>11882164.140000001</v>
          </cell>
          <cell r="AF73">
            <v>11721081.75</v>
          </cell>
          <cell r="AG73">
            <v>13804719.16</v>
          </cell>
          <cell r="AH73">
            <v>15089069.199999999</v>
          </cell>
          <cell r="AI73">
            <v>15886105.710000001</v>
          </cell>
          <cell r="AJ73">
            <v>16581844.9</v>
          </cell>
          <cell r="AK73">
            <v>10602779.220000001</v>
          </cell>
          <cell r="AL73">
            <v>10453219.65</v>
          </cell>
          <cell r="AM73">
            <v>10247334.49</v>
          </cell>
          <cell r="AN73">
            <v>10455612.77</v>
          </cell>
          <cell r="AO73">
            <v>10618571.59</v>
          </cell>
          <cell r="AP73">
            <v>10118526.35</v>
          </cell>
          <cell r="AQ73">
            <v>11539604.5</v>
          </cell>
          <cell r="AR73">
            <v>11907611.460000001</v>
          </cell>
          <cell r="AS73">
            <v>12193554.689999999</v>
          </cell>
          <cell r="AT73">
            <v>12215318.440000001</v>
          </cell>
          <cell r="AU73">
            <v>14395990.57</v>
          </cell>
          <cell r="AV73">
            <v>16319911.699999999</v>
          </cell>
          <cell r="AW73">
            <v>20163236.25</v>
          </cell>
          <cell r="AX73">
            <v>21721528.23</v>
          </cell>
          <cell r="AY73">
            <v>34066369.159999996</v>
          </cell>
          <cell r="AZ73">
            <v>44110755.129999995</v>
          </cell>
          <cell r="BA73">
            <v>41888665.5</v>
          </cell>
          <cell r="BB73">
            <v>9818242.4100000001</v>
          </cell>
        </row>
        <row r="74">
          <cell r="A74" t="str">
            <v>ptd</v>
          </cell>
          <cell r="B74">
            <v>5960796.4500000002</v>
          </cell>
          <cell r="C74">
            <v>11837455.43</v>
          </cell>
          <cell r="D74">
            <v>18464048.98</v>
          </cell>
          <cell r="E74">
            <v>25257794.18</v>
          </cell>
          <cell r="F74">
            <v>6982392.1100000003</v>
          </cell>
          <cell r="G74">
            <v>14148652.810000001</v>
          </cell>
          <cell r="H74">
            <v>21414997.690000001</v>
          </cell>
          <cell r="I74">
            <v>28147954.75</v>
          </cell>
          <cell r="J74">
            <v>6498383.6600000001</v>
          </cell>
          <cell r="K74">
            <v>12714488.440000001</v>
          </cell>
          <cell r="L74">
            <v>20665636.98</v>
          </cell>
          <cell r="M74">
            <v>30120861.490000002</v>
          </cell>
          <cell r="N74">
            <v>7173309.79</v>
          </cell>
          <cell r="O74">
            <v>15826401.98</v>
          </cell>
          <cell r="P74">
            <v>24740681.350000001</v>
          </cell>
          <cell r="Q74">
            <v>34429993.260000005</v>
          </cell>
          <cell r="R74">
            <v>11201618.529999999</v>
          </cell>
          <cell r="S74">
            <v>22532788.199999999</v>
          </cell>
          <cell r="T74">
            <v>36998228.219999999</v>
          </cell>
          <cell r="U74">
            <v>49624711.019999996</v>
          </cell>
          <cell r="V74">
            <v>13178910.870000001</v>
          </cell>
          <cell r="W74">
            <v>26125443.010000002</v>
          </cell>
          <cell r="X74">
            <v>40065520.939999998</v>
          </cell>
          <cell r="Y74">
            <v>56415035.079999998</v>
          </cell>
          <cell r="Z74">
            <v>13196476.84</v>
          </cell>
          <cell r="AA74">
            <v>26148534.329999998</v>
          </cell>
          <cell r="AB74">
            <v>38963101.780000001</v>
          </cell>
          <cell r="AC74">
            <v>51141008.340000004</v>
          </cell>
          <cell r="AD74">
            <v>12349593.1</v>
          </cell>
          <cell r="AE74">
            <v>24231757.240000002</v>
          </cell>
          <cell r="AF74">
            <v>35952838.990000002</v>
          </cell>
          <cell r="AG74">
            <v>49757558.150000006</v>
          </cell>
          <cell r="AH74">
            <v>15089069.199999999</v>
          </cell>
          <cell r="AI74">
            <v>30975174.91</v>
          </cell>
          <cell r="AJ74">
            <v>47557019.810000002</v>
          </cell>
          <cell r="AK74">
            <v>58159799.030000001</v>
          </cell>
          <cell r="AL74">
            <v>10453219.65</v>
          </cell>
          <cell r="AM74">
            <v>20700554.140000001</v>
          </cell>
          <cell r="AN74">
            <v>31156166.91</v>
          </cell>
          <cell r="AO74">
            <v>41774738.5</v>
          </cell>
          <cell r="AP74">
            <v>10118526.35</v>
          </cell>
          <cell r="AQ74">
            <v>21658130.850000001</v>
          </cell>
          <cell r="AR74">
            <v>33565742.310000002</v>
          </cell>
          <cell r="AS74">
            <v>45759297</v>
          </cell>
          <cell r="AT74">
            <v>12215318.440000001</v>
          </cell>
          <cell r="AU74">
            <v>26611309.010000002</v>
          </cell>
          <cell r="AV74">
            <v>42931220.710000001</v>
          </cell>
          <cell r="AW74">
            <v>63094456.960000001</v>
          </cell>
          <cell r="AX74">
            <v>21721528.23</v>
          </cell>
          <cell r="AY74">
            <v>55787897.390000001</v>
          </cell>
          <cell r="AZ74">
            <v>99898652.519999996</v>
          </cell>
          <cell r="BA74">
            <v>141787318.01999998</v>
          </cell>
          <cell r="BB74">
            <v>151605560.42999998</v>
          </cell>
        </row>
        <row r="75">
          <cell r="A75" t="str">
            <v>qtd</v>
          </cell>
          <cell r="B75">
            <v>5960796.4500000002</v>
          </cell>
          <cell r="C75">
            <v>11837455.43</v>
          </cell>
          <cell r="D75">
            <v>18464048.98</v>
          </cell>
          <cell r="E75">
            <v>25257794.18</v>
          </cell>
          <cell r="F75">
            <v>32240186.289999999</v>
          </cell>
          <cell r="G75">
            <v>39406446.990000002</v>
          </cell>
          <cell r="H75">
            <v>46672791.870000005</v>
          </cell>
          <cell r="I75">
            <v>53405748.930000007</v>
          </cell>
          <cell r="J75">
            <v>59904132.590000004</v>
          </cell>
          <cell r="K75">
            <v>66120237.370000005</v>
          </cell>
          <cell r="L75">
            <v>74071385.910000011</v>
          </cell>
          <cell r="M75">
            <v>83526610.420000017</v>
          </cell>
          <cell r="N75">
            <v>7173309.79</v>
          </cell>
          <cell r="O75">
            <v>15826401.98</v>
          </cell>
          <cell r="P75">
            <v>24740681.350000001</v>
          </cell>
          <cell r="Q75">
            <v>34429993.260000005</v>
          </cell>
          <cell r="R75">
            <v>45631611.790000007</v>
          </cell>
          <cell r="S75">
            <v>56962781.460000008</v>
          </cell>
          <cell r="T75">
            <v>71428221.480000004</v>
          </cell>
          <cell r="U75">
            <v>84054704.280000001</v>
          </cell>
          <cell r="V75">
            <v>97233615.150000006</v>
          </cell>
          <cell r="W75">
            <v>110180147.29000001</v>
          </cell>
          <cell r="X75">
            <v>124120225.22</v>
          </cell>
          <cell r="Y75">
            <v>140469739.36000001</v>
          </cell>
          <cell r="Z75">
            <v>13196476.84</v>
          </cell>
          <cell r="AA75">
            <v>26148534.329999998</v>
          </cell>
          <cell r="AB75">
            <v>38963101.780000001</v>
          </cell>
          <cell r="AC75">
            <v>51141008.340000004</v>
          </cell>
          <cell r="AD75">
            <v>63490601.440000005</v>
          </cell>
          <cell r="AE75">
            <v>75372765.580000013</v>
          </cell>
          <cell r="AF75">
            <v>87093847.330000013</v>
          </cell>
          <cell r="AG75">
            <v>100898566.49000001</v>
          </cell>
          <cell r="AH75">
            <v>115987635.69000001</v>
          </cell>
          <cell r="AI75">
            <v>131873741.40000001</v>
          </cell>
          <cell r="AJ75">
            <v>148455586.30000001</v>
          </cell>
          <cell r="AK75">
            <v>159058365.52000001</v>
          </cell>
          <cell r="AL75">
            <v>10453219.65</v>
          </cell>
          <cell r="AM75">
            <v>20700554.140000001</v>
          </cell>
          <cell r="AN75">
            <v>31156166.91</v>
          </cell>
          <cell r="AO75">
            <v>41774738.5</v>
          </cell>
          <cell r="AP75">
            <v>51893264.850000001</v>
          </cell>
          <cell r="AQ75">
            <v>63432869.350000001</v>
          </cell>
          <cell r="AR75">
            <v>75340480.810000002</v>
          </cell>
          <cell r="AS75">
            <v>87534035.5</v>
          </cell>
          <cell r="AT75">
            <v>99749353.939999998</v>
          </cell>
          <cell r="AU75">
            <v>114145344.50999999</v>
          </cell>
          <cell r="AV75">
            <v>130465256.20999999</v>
          </cell>
          <cell r="AW75">
            <v>150628492.45999998</v>
          </cell>
          <cell r="AX75">
            <v>172350020.68999997</v>
          </cell>
          <cell r="AY75">
            <v>206416389.84999996</v>
          </cell>
          <cell r="AZ75">
            <v>250527144.97999996</v>
          </cell>
          <cell r="BA75">
            <v>292415810.47999996</v>
          </cell>
          <cell r="BB75">
            <v>302234052.88999999</v>
          </cell>
        </row>
        <row r="76">
          <cell r="A76" t="str">
            <v>ytd</v>
          </cell>
          <cell r="B76">
            <v>5960796.4500000002</v>
          </cell>
          <cell r="C76">
            <v>11837455.43</v>
          </cell>
          <cell r="D76">
            <v>18464048.98</v>
          </cell>
          <cell r="E76">
            <v>25257794.18</v>
          </cell>
          <cell r="F76">
            <v>32240186.289999999</v>
          </cell>
          <cell r="G76">
            <v>39406446.990000002</v>
          </cell>
          <cell r="H76">
            <v>46672791.870000005</v>
          </cell>
          <cell r="I76">
            <v>53405748.930000007</v>
          </cell>
          <cell r="J76">
            <v>59904132.590000004</v>
          </cell>
          <cell r="K76">
            <v>66120237.370000005</v>
          </cell>
          <cell r="L76">
            <v>74071385.910000011</v>
          </cell>
          <cell r="M76">
            <v>83526610.420000017</v>
          </cell>
          <cell r="N76">
            <v>90699920.210000023</v>
          </cell>
          <cell r="O76">
            <v>99353012.400000021</v>
          </cell>
          <cell r="P76">
            <v>108267291.77000003</v>
          </cell>
          <cell r="Q76">
            <v>117956603.68000002</v>
          </cell>
          <cell r="R76">
            <v>129158222.21000002</v>
          </cell>
          <cell r="S76">
            <v>140489391.88000003</v>
          </cell>
          <cell r="T76">
            <v>154954831.90000004</v>
          </cell>
          <cell r="U76">
            <v>167581314.70000005</v>
          </cell>
          <cell r="V76">
            <v>180760225.57000005</v>
          </cell>
          <cell r="W76">
            <v>193706757.71000004</v>
          </cell>
          <cell r="X76">
            <v>207646835.64000005</v>
          </cell>
          <cell r="Y76">
            <v>223996349.78000003</v>
          </cell>
          <cell r="Z76">
            <v>237192826.62000003</v>
          </cell>
          <cell r="AA76">
            <v>250144884.11000004</v>
          </cell>
          <cell r="AB76">
            <v>262959451.56000003</v>
          </cell>
          <cell r="AC76">
            <v>275137358.12</v>
          </cell>
          <cell r="AD76">
            <v>287486951.22000003</v>
          </cell>
          <cell r="AE76">
            <v>299369115.36000001</v>
          </cell>
          <cell r="AF76">
            <v>311090197.11000001</v>
          </cell>
          <cell r="AG76">
            <v>324894916.27000004</v>
          </cell>
          <cell r="AH76">
            <v>339983985.47000003</v>
          </cell>
          <cell r="AI76">
            <v>355870091.18000001</v>
          </cell>
          <cell r="AJ76">
            <v>372451936.07999998</v>
          </cell>
          <cell r="AK76">
            <v>383054715.30000001</v>
          </cell>
          <cell r="AL76">
            <v>393507934.94999999</v>
          </cell>
          <cell r="AM76">
            <v>403755269.44</v>
          </cell>
          <cell r="AN76">
            <v>414210882.20999998</v>
          </cell>
          <cell r="AO76">
            <v>424829453.79999995</v>
          </cell>
          <cell r="AP76">
            <v>434947980.14999998</v>
          </cell>
          <cell r="AQ76">
            <v>446487584.64999998</v>
          </cell>
          <cell r="AR76">
            <v>458395196.10999995</v>
          </cell>
          <cell r="AS76">
            <v>470588750.79999995</v>
          </cell>
          <cell r="AT76">
            <v>482804069.23999995</v>
          </cell>
          <cell r="AU76">
            <v>497200059.80999994</v>
          </cell>
          <cell r="AV76">
            <v>513519971.50999993</v>
          </cell>
          <cell r="AW76">
            <v>533683207.75999993</v>
          </cell>
          <cell r="AX76">
            <v>555404735.98999989</v>
          </cell>
          <cell r="AY76">
            <v>589471105.14999986</v>
          </cell>
          <cell r="AZ76">
            <v>633581860.27999985</v>
          </cell>
          <cell r="BA76">
            <v>675470525.77999985</v>
          </cell>
          <cell r="BB76">
            <v>685288768.18999982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197124.3</v>
          </cell>
          <cell r="C79">
            <v>159229.25</v>
          </cell>
          <cell r="D79">
            <v>153403.15</v>
          </cell>
          <cell r="E79">
            <v>151737.35</v>
          </cell>
          <cell r="F79">
            <v>160456.4</v>
          </cell>
          <cell r="G79">
            <v>183247.4</v>
          </cell>
          <cell r="H79">
            <v>361811.9</v>
          </cell>
          <cell r="I79">
            <v>160554.35</v>
          </cell>
          <cell r="J79">
            <v>174391.85</v>
          </cell>
          <cell r="K79">
            <v>186226.4</v>
          </cell>
          <cell r="L79">
            <v>207769.3</v>
          </cell>
          <cell r="M79">
            <v>360223.65</v>
          </cell>
          <cell r="N79">
            <v>195979.51</v>
          </cell>
          <cell r="O79">
            <v>178938.63</v>
          </cell>
          <cell r="P79">
            <v>180305.95</v>
          </cell>
          <cell r="Q79">
            <v>192590.76</v>
          </cell>
          <cell r="R79">
            <v>226414.85</v>
          </cell>
          <cell r="S79">
            <v>221240.5</v>
          </cell>
          <cell r="T79">
            <v>388310.15</v>
          </cell>
          <cell r="U79">
            <v>305174.65000000002</v>
          </cell>
          <cell r="V79">
            <v>277962.09999999998</v>
          </cell>
          <cell r="W79">
            <v>296092.25</v>
          </cell>
          <cell r="X79">
            <v>368557.15</v>
          </cell>
          <cell r="Y79">
            <v>636373.85</v>
          </cell>
          <cell r="Z79">
            <v>409891.9</v>
          </cell>
          <cell r="AA79">
            <v>260188</v>
          </cell>
          <cell r="AB79">
            <v>232397.7</v>
          </cell>
          <cell r="AC79">
            <v>247272.1</v>
          </cell>
          <cell r="AD79">
            <v>228716.25</v>
          </cell>
          <cell r="AE79">
            <v>226900.65</v>
          </cell>
          <cell r="AF79">
            <v>228481.5</v>
          </cell>
          <cell r="AG79">
            <v>230151.6</v>
          </cell>
          <cell r="AH79">
            <v>219289.15</v>
          </cell>
          <cell r="AI79">
            <v>233245.1</v>
          </cell>
          <cell r="AJ79">
            <v>220951.4</v>
          </cell>
          <cell r="AK79">
            <v>205788.5</v>
          </cell>
          <cell r="AL79">
            <v>211861.3</v>
          </cell>
          <cell r="AM79">
            <v>206881.7</v>
          </cell>
          <cell r="AN79">
            <v>209231.3</v>
          </cell>
          <cell r="AO79">
            <v>205268.25</v>
          </cell>
          <cell r="AP79">
            <v>197083.1</v>
          </cell>
          <cell r="AQ79">
            <v>217214.1</v>
          </cell>
          <cell r="AR79">
            <v>202490.05</v>
          </cell>
          <cell r="AS79">
            <v>215552.8</v>
          </cell>
          <cell r="AT79">
            <v>222956.77</v>
          </cell>
          <cell r="AU79">
            <v>242318.81</v>
          </cell>
          <cell r="AV79">
            <v>256430.36</v>
          </cell>
          <cell r="AW79">
            <v>275345.38</v>
          </cell>
          <cell r="AX79">
            <v>455887.1</v>
          </cell>
          <cell r="AY79">
            <v>898629.89</v>
          </cell>
          <cell r="AZ79">
            <v>2163096.85</v>
          </cell>
          <cell r="BA79">
            <v>2800787.27</v>
          </cell>
          <cell r="BB79">
            <v>254976.35</v>
          </cell>
        </row>
        <row r="80">
          <cell r="A80" t="str">
            <v>ptd</v>
          </cell>
          <cell r="B80">
            <v>197124.3</v>
          </cell>
          <cell r="C80">
            <v>356353.55</v>
          </cell>
          <cell r="D80">
            <v>509756.69999999995</v>
          </cell>
          <cell r="E80">
            <v>661494.04999999993</v>
          </cell>
          <cell r="F80">
            <v>160456.4</v>
          </cell>
          <cell r="G80">
            <v>343703.8</v>
          </cell>
          <cell r="H80">
            <v>705515.7</v>
          </cell>
          <cell r="I80">
            <v>866070.04999999993</v>
          </cell>
          <cell r="J80">
            <v>174391.85</v>
          </cell>
          <cell r="K80">
            <v>360618.25</v>
          </cell>
          <cell r="L80">
            <v>568387.55000000005</v>
          </cell>
          <cell r="M80">
            <v>928611.20000000007</v>
          </cell>
          <cell r="N80">
            <v>195979.51</v>
          </cell>
          <cell r="O80">
            <v>374918.14</v>
          </cell>
          <cell r="P80">
            <v>555224.09000000008</v>
          </cell>
          <cell r="Q80">
            <v>747814.85000000009</v>
          </cell>
          <cell r="R80">
            <v>226414.85</v>
          </cell>
          <cell r="S80">
            <v>447655.35</v>
          </cell>
          <cell r="T80">
            <v>835965.5</v>
          </cell>
          <cell r="U80">
            <v>1141140.1499999999</v>
          </cell>
          <cell r="V80">
            <v>277962.09999999998</v>
          </cell>
          <cell r="W80">
            <v>574054.35</v>
          </cell>
          <cell r="X80">
            <v>942611.5</v>
          </cell>
          <cell r="Y80">
            <v>1578985.35</v>
          </cell>
          <cell r="Z80">
            <v>409891.9</v>
          </cell>
          <cell r="AA80">
            <v>670079.9</v>
          </cell>
          <cell r="AB80">
            <v>902477.60000000009</v>
          </cell>
          <cell r="AC80">
            <v>1149749.7000000002</v>
          </cell>
          <cell r="AD80">
            <v>228716.25</v>
          </cell>
          <cell r="AE80">
            <v>455616.9</v>
          </cell>
          <cell r="AF80">
            <v>684098.4</v>
          </cell>
          <cell r="AG80">
            <v>914250</v>
          </cell>
          <cell r="AH80">
            <v>219289.15</v>
          </cell>
          <cell r="AI80">
            <v>452534.25</v>
          </cell>
          <cell r="AJ80">
            <v>673485.65</v>
          </cell>
          <cell r="AK80">
            <v>879274.15</v>
          </cell>
          <cell r="AL80">
            <v>211861.3</v>
          </cell>
          <cell r="AM80">
            <v>418743</v>
          </cell>
          <cell r="AN80">
            <v>627974.30000000005</v>
          </cell>
          <cell r="AO80">
            <v>833242.55</v>
          </cell>
          <cell r="AP80">
            <v>197083.1</v>
          </cell>
          <cell r="AQ80">
            <v>414297.2</v>
          </cell>
          <cell r="AR80">
            <v>616787.25</v>
          </cell>
          <cell r="AS80">
            <v>832340.05</v>
          </cell>
          <cell r="AT80">
            <v>222956.77</v>
          </cell>
          <cell r="AU80">
            <v>465275.57999999996</v>
          </cell>
          <cell r="AV80">
            <v>721705.94</v>
          </cell>
          <cell r="AW80">
            <v>997051.32</v>
          </cell>
          <cell r="AX80">
            <v>455887.1</v>
          </cell>
          <cell r="AY80">
            <v>1354516.99</v>
          </cell>
          <cell r="AZ80">
            <v>3517613.84</v>
          </cell>
          <cell r="BA80">
            <v>6318401.1099999994</v>
          </cell>
          <cell r="BB80">
            <v>6573377.459999999</v>
          </cell>
        </row>
        <row r="81">
          <cell r="A81" t="str">
            <v>qtd</v>
          </cell>
          <cell r="B81">
            <v>197124.3</v>
          </cell>
          <cell r="C81">
            <v>356353.55</v>
          </cell>
          <cell r="D81">
            <v>509756.69999999995</v>
          </cell>
          <cell r="E81">
            <v>661494.04999999993</v>
          </cell>
          <cell r="F81">
            <v>821950.45</v>
          </cell>
          <cell r="G81">
            <v>1005197.85</v>
          </cell>
          <cell r="H81">
            <v>1367009.75</v>
          </cell>
          <cell r="I81">
            <v>1527564.1</v>
          </cell>
          <cell r="J81">
            <v>1701955.9500000002</v>
          </cell>
          <cell r="K81">
            <v>1888182.35</v>
          </cell>
          <cell r="L81">
            <v>2095951.6500000001</v>
          </cell>
          <cell r="M81">
            <v>2456175.3000000003</v>
          </cell>
          <cell r="N81">
            <v>195979.51</v>
          </cell>
          <cell r="O81">
            <v>374918.14</v>
          </cell>
          <cell r="P81">
            <v>555224.09000000008</v>
          </cell>
          <cell r="Q81">
            <v>747814.85000000009</v>
          </cell>
          <cell r="R81">
            <v>974229.70000000007</v>
          </cell>
          <cell r="S81">
            <v>1195470.2000000002</v>
          </cell>
          <cell r="T81">
            <v>1583780.35</v>
          </cell>
          <cell r="U81">
            <v>1888955</v>
          </cell>
          <cell r="V81">
            <v>2166917.1</v>
          </cell>
          <cell r="W81">
            <v>2463009.35</v>
          </cell>
          <cell r="X81">
            <v>2831566.5</v>
          </cell>
          <cell r="Y81">
            <v>3467940.35</v>
          </cell>
          <cell r="Z81">
            <v>409891.9</v>
          </cell>
          <cell r="AA81">
            <v>670079.9</v>
          </cell>
          <cell r="AB81">
            <v>902477.60000000009</v>
          </cell>
          <cell r="AC81">
            <v>1149749.7000000002</v>
          </cell>
          <cell r="AD81">
            <v>1378465.9500000002</v>
          </cell>
          <cell r="AE81">
            <v>1605366.6</v>
          </cell>
          <cell r="AF81">
            <v>1833848.1</v>
          </cell>
          <cell r="AG81">
            <v>2063999.7000000002</v>
          </cell>
          <cell r="AH81">
            <v>2283288.85</v>
          </cell>
          <cell r="AI81">
            <v>2516533.9500000002</v>
          </cell>
          <cell r="AJ81">
            <v>2737485.35</v>
          </cell>
          <cell r="AK81">
            <v>2943273.85</v>
          </cell>
          <cell r="AL81">
            <v>211861.3</v>
          </cell>
          <cell r="AM81">
            <v>418743</v>
          </cell>
          <cell r="AN81">
            <v>627974.30000000005</v>
          </cell>
          <cell r="AO81">
            <v>833242.55</v>
          </cell>
          <cell r="AP81">
            <v>1030325.65</v>
          </cell>
          <cell r="AQ81">
            <v>1247539.75</v>
          </cell>
          <cell r="AR81">
            <v>1450029.8</v>
          </cell>
          <cell r="AS81">
            <v>1665582.6</v>
          </cell>
          <cell r="AT81">
            <v>1888539.37</v>
          </cell>
          <cell r="AU81">
            <v>2130858.1800000002</v>
          </cell>
          <cell r="AV81">
            <v>2387288.54</v>
          </cell>
          <cell r="AW81">
            <v>2662633.92</v>
          </cell>
          <cell r="AX81">
            <v>3118521.02</v>
          </cell>
          <cell r="AY81">
            <v>4017150.91</v>
          </cell>
          <cell r="AZ81">
            <v>6180247.7599999998</v>
          </cell>
          <cell r="BA81">
            <v>8981035.0299999993</v>
          </cell>
          <cell r="BB81">
            <v>9236011.379999999</v>
          </cell>
        </row>
        <row r="82">
          <cell r="A82" t="str">
            <v>ytd</v>
          </cell>
          <cell r="B82">
            <v>197124.3</v>
          </cell>
          <cell r="C82">
            <v>356353.55</v>
          </cell>
          <cell r="D82">
            <v>509756.69999999995</v>
          </cell>
          <cell r="E82">
            <v>661494.04999999993</v>
          </cell>
          <cell r="F82">
            <v>821950.45</v>
          </cell>
          <cell r="G82">
            <v>1005197.85</v>
          </cell>
          <cell r="H82">
            <v>1367009.75</v>
          </cell>
          <cell r="I82">
            <v>1527564.1</v>
          </cell>
          <cell r="J82">
            <v>1701955.9500000002</v>
          </cell>
          <cell r="K82">
            <v>1888182.35</v>
          </cell>
          <cell r="L82">
            <v>2095951.6500000001</v>
          </cell>
          <cell r="M82">
            <v>2456175.3000000003</v>
          </cell>
          <cell r="N82">
            <v>2652154.8100000005</v>
          </cell>
          <cell r="O82">
            <v>2831093.4400000004</v>
          </cell>
          <cell r="P82">
            <v>3011399.3900000006</v>
          </cell>
          <cell r="Q82">
            <v>3203990.1500000004</v>
          </cell>
          <cell r="R82">
            <v>3430405.0000000005</v>
          </cell>
          <cell r="S82">
            <v>3651645.5000000005</v>
          </cell>
          <cell r="T82">
            <v>4039955.6500000004</v>
          </cell>
          <cell r="U82">
            <v>4345130.3000000007</v>
          </cell>
          <cell r="V82">
            <v>4623092.4000000004</v>
          </cell>
          <cell r="W82">
            <v>4919184.6500000004</v>
          </cell>
          <cell r="X82">
            <v>5287741.8000000007</v>
          </cell>
          <cell r="Y82">
            <v>5924115.6500000004</v>
          </cell>
          <cell r="Z82">
            <v>6334007.5500000007</v>
          </cell>
          <cell r="AA82">
            <v>6594195.5500000007</v>
          </cell>
          <cell r="AB82">
            <v>6826593.2500000009</v>
          </cell>
          <cell r="AC82">
            <v>7073865.3500000006</v>
          </cell>
          <cell r="AD82">
            <v>7302581.6000000006</v>
          </cell>
          <cell r="AE82">
            <v>7529482.2500000009</v>
          </cell>
          <cell r="AF82">
            <v>7757963.7500000009</v>
          </cell>
          <cell r="AG82">
            <v>7988115.3500000006</v>
          </cell>
          <cell r="AH82">
            <v>8207404.5000000009</v>
          </cell>
          <cell r="AI82">
            <v>8440649.6000000015</v>
          </cell>
          <cell r="AJ82">
            <v>8661601.0000000019</v>
          </cell>
          <cell r="AK82">
            <v>8867389.5000000019</v>
          </cell>
          <cell r="AL82">
            <v>9079250.8000000026</v>
          </cell>
          <cell r="AM82">
            <v>9286132.5000000019</v>
          </cell>
          <cell r="AN82">
            <v>9495363.8000000026</v>
          </cell>
          <cell r="AO82">
            <v>9700632.0500000026</v>
          </cell>
          <cell r="AP82">
            <v>9897715.1500000022</v>
          </cell>
          <cell r="AQ82">
            <v>10114929.250000002</v>
          </cell>
          <cell r="AR82">
            <v>10317419.300000003</v>
          </cell>
          <cell r="AS82">
            <v>10532972.100000003</v>
          </cell>
          <cell r="AT82">
            <v>10755928.870000003</v>
          </cell>
          <cell r="AU82">
            <v>10998247.680000003</v>
          </cell>
          <cell r="AV82">
            <v>11254678.040000003</v>
          </cell>
          <cell r="AW82">
            <v>11530023.420000004</v>
          </cell>
          <cell r="AX82">
            <v>11985910.520000003</v>
          </cell>
          <cell r="AY82">
            <v>12884540.410000004</v>
          </cell>
          <cell r="AZ82">
            <v>15047637.260000004</v>
          </cell>
          <cell r="BA82">
            <v>17848424.530000005</v>
          </cell>
          <cell r="BB82">
            <v>18103400.880000006</v>
          </cell>
        </row>
        <row r="83">
          <cell r="A83" t="str">
            <v>PART</v>
          </cell>
          <cell r="B83">
            <v>5215602.22</v>
          </cell>
          <cell r="C83">
            <v>4381382.88</v>
          </cell>
          <cell r="D83">
            <v>4229716.45</v>
          </cell>
          <cell r="E83">
            <v>4162208.48</v>
          </cell>
          <cell r="F83">
            <v>4303465.55</v>
          </cell>
          <cell r="G83">
            <v>4778849.91</v>
          </cell>
          <cell r="H83">
            <v>7561097.8600000003</v>
          </cell>
          <cell r="I83">
            <v>4263254.4000000004</v>
          </cell>
          <cell r="J83">
            <v>4362225.34</v>
          </cell>
          <cell r="K83">
            <v>4656074.21</v>
          </cell>
          <cell r="L83">
            <v>4893819.0999999996</v>
          </cell>
          <cell r="M83">
            <v>7028107.25</v>
          </cell>
          <cell r="N83">
            <v>4783202.6399999997</v>
          </cell>
          <cell r="O83">
            <v>4638498.7699999996</v>
          </cell>
          <cell r="P83">
            <v>4612695.7</v>
          </cell>
          <cell r="Q83">
            <v>4924205.34</v>
          </cell>
          <cell r="R83">
            <v>5793059.7699999996</v>
          </cell>
          <cell r="S83">
            <v>5604222.0499999998</v>
          </cell>
          <cell r="T83">
            <v>10538639.77</v>
          </cell>
          <cell r="U83">
            <v>7744897.6500000004</v>
          </cell>
          <cell r="V83">
            <v>6621367.2000000002</v>
          </cell>
          <cell r="W83">
            <v>6949144.6200000001</v>
          </cell>
          <cell r="X83">
            <v>8617955.8300000001</v>
          </cell>
          <cell r="Y83">
            <v>13408676.449999999</v>
          </cell>
          <cell r="Z83">
            <v>8937729.0700000003</v>
          </cell>
          <cell r="AA83">
            <v>6102386.1799999997</v>
          </cell>
          <cell r="AB83">
            <v>5130477.12</v>
          </cell>
          <cell r="AC83">
            <v>5227436.26</v>
          </cell>
          <cell r="AD83">
            <v>5569244.3799999999</v>
          </cell>
          <cell r="AE83">
            <v>5395155.2800000003</v>
          </cell>
          <cell r="AF83">
            <v>5534616.6799999997</v>
          </cell>
          <cell r="AG83">
            <v>5488039.2699999996</v>
          </cell>
          <cell r="AH83">
            <v>5619932.21</v>
          </cell>
          <cell r="AI83">
            <v>5990189.3200000003</v>
          </cell>
          <cell r="AJ83">
            <v>5412380.1100000003</v>
          </cell>
          <cell r="AK83">
            <v>5460358.3300000001</v>
          </cell>
          <cell r="AL83">
            <v>5479935.1900000004</v>
          </cell>
          <cell r="AM83">
            <v>5543843.5300000003</v>
          </cell>
          <cell r="AN83">
            <v>5293379</v>
          </cell>
          <cell r="AO83">
            <v>5491684.0700000003</v>
          </cell>
          <cell r="AP83">
            <v>5310341.26</v>
          </cell>
          <cell r="AQ83">
            <v>5584389.2000000002</v>
          </cell>
          <cell r="AR83">
            <v>5396323.96</v>
          </cell>
          <cell r="AS83">
            <v>5621434.4500000002</v>
          </cell>
          <cell r="AT83">
            <v>6293560.9699999997</v>
          </cell>
          <cell r="AU83">
            <v>6871847.75</v>
          </cell>
          <cell r="AV83">
            <v>7829067.9000000004</v>
          </cell>
          <cell r="AW83">
            <v>9309924.3300000001</v>
          </cell>
          <cell r="AX83">
            <v>14510518.859999999</v>
          </cell>
          <cell r="AY83">
            <v>27449874.539999999</v>
          </cell>
          <cell r="AZ83">
            <v>61595184.659999996</v>
          </cell>
          <cell r="BA83">
            <v>73080022.060000002</v>
          </cell>
          <cell r="BB83">
            <v>7318920.9699999997</v>
          </cell>
        </row>
        <row r="84">
          <cell r="A84" t="str">
            <v>ptd</v>
          </cell>
          <cell r="B84">
            <v>5215602.22</v>
          </cell>
          <cell r="C84">
            <v>9596985.0999999996</v>
          </cell>
          <cell r="D84">
            <v>13826701.550000001</v>
          </cell>
          <cell r="E84">
            <v>17988910.030000001</v>
          </cell>
          <cell r="F84">
            <v>4303465.55</v>
          </cell>
          <cell r="G84">
            <v>9082315.4600000009</v>
          </cell>
          <cell r="H84">
            <v>16643413.32</v>
          </cell>
          <cell r="I84">
            <v>20906667.719999999</v>
          </cell>
          <cell r="J84">
            <v>4362225.34</v>
          </cell>
          <cell r="K84">
            <v>9018299.5500000007</v>
          </cell>
          <cell r="L84">
            <v>13912118.65</v>
          </cell>
          <cell r="M84">
            <v>20940225.899999999</v>
          </cell>
          <cell r="N84">
            <v>4783202.6399999997</v>
          </cell>
          <cell r="O84">
            <v>9421701.4100000001</v>
          </cell>
          <cell r="P84">
            <v>14034397.109999999</v>
          </cell>
          <cell r="Q84">
            <v>18958602.449999999</v>
          </cell>
          <cell r="R84">
            <v>5793059.7699999996</v>
          </cell>
          <cell r="S84">
            <v>11397281.82</v>
          </cell>
          <cell r="T84">
            <v>21935921.59</v>
          </cell>
          <cell r="U84">
            <v>29680819.240000002</v>
          </cell>
          <cell r="V84">
            <v>6621367.2000000002</v>
          </cell>
          <cell r="W84">
            <v>13570511.82</v>
          </cell>
          <cell r="X84">
            <v>22188467.649999999</v>
          </cell>
          <cell r="Y84">
            <v>35597144.099999994</v>
          </cell>
          <cell r="Z84">
            <v>8937729.0700000003</v>
          </cell>
          <cell r="AA84">
            <v>15040115.25</v>
          </cell>
          <cell r="AB84">
            <v>20170592.370000001</v>
          </cell>
          <cell r="AC84">
            <v>25398028.630000003</v>
          </cell>
          <cell r="AD84">
            <v>5569244.3799999999</v>
          </cell>
          <cell r="AE84">
            <v>10964399.66</v>
          </cell>
          <cell r="AF84">
            <v>16499016.34</v>
          </cell>
          <cell r="AG84">
            <v>21987055.609999999</v>
          </cell>
          <cell r="AH84">
            <v>5619932.21</v>
          </cell>
          <cell r="AI84">
            <v>11610121.530000001</v>
          </cell>
          <cell r="AJ84">
            <v>17022501.640000001</v>
          </cell>
          <cell r="AK84">
            <v>22482859.969999999</v>
          </cell>
          <cell r="AL84">
            <v>5479935.1900000004</v>
          </cell>
          <cell r="AM84">
            <v>11023778.720000001</v>
          </cell>
          <cell r="AN84">
            <v>16317157.720000001</v>
          </cell>
          <cell r="AO84">
            <v>21808841.789999999</v>
          </cell>
          <cell r="AP84">
            <v>5310341.26</v>
          </cell>
          <cell r="AQ84">
            <v>10894730.460000001</v>
          </cell>
          <cell r="AR84">
            <v>16291054.420000002</v>
          </cell>
          <cell r="AS84">
            <v>21912488.870000001</v>
          </cell>
          <cell r="AT84">
            <v>6293560.9699999997</v>
          </cell>
          <cell r="AU84">
            <v>13165408.719999999</v>
          </cell>
          <cell r="AV84">
            <v>20994476.619999997</v>
          </cell>
          <cell r="AW84">
            <v>30304400.949999996</v>
          </cell>
          <cell r="AX84">
            <v>14510518.859999999</v>
          </cell>
          <cell r="AY84">
            <v>41960393.399999999</v>
          </cell>
          <cell r="AZ84">
            <v>103555578.06</v>
          </cell>
          <cell r="BA84">
            <v>176635600.12</v>
          </cell>
          <cell r="BB84">
            <v>183954521.09</v>
          </cell>
        </row>
        <row r="85">
          <cell r="A85" t="str">
            <v>qtd</v>
          </cell>
          <cell r="B85">
            <v>5215602.22</v>
          </cell>
          <cell r="C85">
            <v>9596985.0999999996</v>
          </cell>
          <cell r="D85">
            <v>13826701.550000001</v>
          </cell>
          <cell r="E85">
            <v>17988910.030000001</v>
          </cell>
          <cell r="F85">
            <v>22292375.580000002</v>
          </cell>
          <cell r="G85">
            <v>27071225.490000002</v>
          </cell>
          <cell r="H85">
            <v>34632323.350000001</v>
          </cell>
          <cell r="I85">
            <v>38895577.75</v>
          </cell>
          <cell r="J85">
            <v>43257803.090000004</v>
          </cell>
          <cell r="K85">
            <v>47913877.300000004</v>
          </cell>
          <cell r="L85">
            <v>52807696.400000006</v>
          </cell>
          <cell r="M85">
            <v>59835803.650000006</v>
          </cell>
          <cell r="N85">
            <v>4783202.6399999997</v>
          </cell>
          <cell r="O85">
            <v>9421701.4100000001</v>
          </cell>
          <cell r="P85">
            <v>14034397.109999999</v>
          </cell>
          <cell r="Q85">
            <v>18958602.449999999</v>
          </cell>
          <cell r="R85">
            <v>24751662.219999999</v>
          </cell>
          <cell r="S85">
            <v>30355884.27</v>
          </cell>
          <cell r="T85">
            <v>40894524.039999999</v>
          </cell>
          <cell r="U85">
            <v>48639421.689999998</v>
          </cell>
          <cell r="V85">
            <v>55260788.890000001</v>
          </cell>
          <cell r="W85">
            <v>62209933.509999998</v>
          </cell>
          <cell r="X85">
            <v>70827889.340000004</v>
          </cell>
          <cell r="Y85">
            <v>84236565.790000007</v>
          </cell>
          <cell r="Z85">
            <v>8937729.0700000003</v>
          </cell>
          <cell r="AA85">
            <v>15040115.25</v>
          </cell>
          <cell r="AB85">
            <v>20170592.370000001</v>
          </cell>
          <cell r="AC85">
            <v>25398028.630000003</v>
          </cell>
          <cell r="AD85">
            <v>30967273.010000002</v>
          </cell>
          <cell r="AE85">
            <v>36362428.289999999</v>
          </cell>
          <cell r="AF85">
            <v>41897044.969999999</v>
          </cell>
          <cell r="AG85">
            <v>47385084.239999995</v>
          </cell>
          <cell r="AH85">
            <v>53005016.449999996</v>
          </cell>
          <cell r="AI85">
            <v>58995205.769999996</v>
          </cell>
          <cell r="AJ85">
            <v>64407585.879999995</v>
          </cell>
          <cell r="AK85">
            <v>69867944.209999993</v>
          </cell>
          <cell r="AL85">
            <v>5479935.1900000004</v>
          </cell>
          <cell r="AM85">
            <v>11023778.720000001</v>
          </cell>
          <cell r="AN85">
            <v>16317157.720000001</v>
          </cell>
          <cell r="AO85">
            <v>21808841.789999999</v>
          </cell>
          <cell r="AP85">
            <v>27119183.049999997</v>
          </cell>
          <cell r="AQ85">
            <v>32703572.249999996</v>
          </cell>
          <cell r="AR85">
            <v>38099896.209999993</v>
          </cell>
          <cell r="AS85">
            <v>43721330.659999996</v>
          </cell>
          <cell r="AT85">
            <v>50014891.629999995</v>
          </cell>
          <cell r="AU85">
            <v>56886739.379999995</v>
          </cell>
          <cell r="AV85">
            <v>64715807.279999994</v>
          </cell>
          <cell r="AW85">
            <v>74025731.609999999</v>
          </cell>
          <cell r="AX85">
            <v>88536250.469999999</v>
          </cell>
          <cell r="AY85">
            <v>115986125.00999999</v>
          </cell>
          <cell r="AZ85">
            <v>177581309.66999999</v>
          </cell>
          <cell r="BA85">
            <v>250661331.72999999</v>
          </cell>
          <cell r="BB85">
            <v>257980252.69999999</v>
          </cell>
        </row>
        <row r="86">
          <cell r="A86" t="str">
            <v>ytd</v>
          </cell>
          <cell r="B86">
            <v>5215602.22</v>
          </cell>
          <cell r="C86">
            <v>9596985.0999999996</v>
          </cell>
          <cell r="D86">
            <v>13826701.550000001</v>
          </cell>
          <cell r="E86">
            <v>17988910.030000001</v>
          </cell>
          <cell r="F86">
            <v>22292375.580000002</v>
          </cell>
          <cell r="G86">
            <v>27071225.490000002</v>
          </cell>
          <cell r="H86">
            <v>34632323.350000001</v>
          </cell>
          <cell r="I86">
            <v>38895577.75</v>
          </cell>
          <cell r="J86">
            <v>43257803.090000004</v>
          </cell>
          <cell r="K86">
            <v>47913877.300000004</v>
          </cell>
          <cell r="L86">
            <v>52807696.400000006</v>
          </cell>
          <cell r="M86">
            <v>59835803.650000006</v>
          </cell>
          <cell r="N86">
            <v>64619006.290000007</v>
          </cell>
          <cell r="O86">
            <v>69257505.060000002</v>
          </cell>
          <cell r="P86">
            <v>73870200.760000005</v>
          </cell>
          <cell r="Q86">
            <v>78794406.100000009</v>
          </cell>
          <cell r="R86">
            <v>84587465.870000005</v>
          </cell>
          <cell r="S86">
            <v>90191687.920000002</v>
          </cell>
          <cell r="T86">
            <v>100730327.69</v>
          </cell>
          <cell r="U86">
            <v>108475225.34</v>
          </cell>
          <cell r="V86">
            <v>115096592.54000001</v>
          </cell>
          <cell r="W86">
            <v>122045737.16000001</v>
          </cell>
          <cell r="X86">
            <v>130663692.99000001</v>
          </cell>
          <cell r="Y86">
            <v>144072369.44</v>
          </cell>
          <cell r="Z86">
            <v>153010098.50999999</v>
          </cell>
          <cell r="AA86">
            <v>159112484.69</v>
          </cell>
          <cell r="AB86">
            <v>164242961.81</v>
          </cell>
          <cell r="AC86">
            <v>169470398.06999999</v>
          </cell>
          <cell r="AD86">
            <v>175039642.44999999</v>
          </cell>
          <cell r="AE86">
            <v>180434797.72999999</v>
          </cell>
          <cell r="AF86">
            <v>185969414.41</v>
          </cell>
          <cell r="AG86">
            <v>191457453.68000001</v>
          </cell>
          <cell r="AH86">
            <v>197077385.89000002</v>
          </cell>
          <cell r="AI86">
            <v>203067575.21000001</v>
          </cell>
          <cell r="AJ86">
            <v>208479955.32000002</v>
          </cell>
          <cell r="AK86">
            <v>213940313.65000004</v>
          </cell>
          <cell r="AL86">
            <v>219420248.84000003</v>
          </cell>
          <cell r="AM86">
            <v>224964092.37000003</v>
          </cell>
          <cell r="AN86">
            <v>230257471.37000003</v>
          </cell>
          <cell r="AO86">
            <v>235749155.44000003</v>
          </cell>
          <cell r="AP86">
            <v>241059496.70000002</v>
          </cell>
          <cell r="AQ86">
            <v>246643885.90000001</v>
          </cell>
          <cell r="AR86">
            <v>252040209.86000001</v>
          </cell>
          <cell r="AS86">
            <v>257661644.31</v>
          </cell>
          <cell r="AT86">
            <v>263955205.28</v>
          </cell>
          <cell r="AU86">
            <v>270827053.02999997</v>
          </cell>
          <cell r="AV86">
            <v>278656120.92999995</v>
          </cell>
          <cell r="AW86">
            <v>287966045.25999993</v>
          </cell>
          <cell r="AX86">
            <v>302476564.11999995</v>
          </cell>
          <cell r="AY86">
            <v>329926438.65999997</v>
          </cell>
          <cell r="AZ86">
            <v>391521623.31999993</v>
          </cell>
          <cell r="BA86">
            <v>464601645.37999994</v>
          </cell>
          <cell r="BB86">
            <v>471920566.34999996</v>
          </cell>
        </row>
        <row r="87">
          <cell r="A87" t="str">
            <v>PRED</v>
          </cell>
          <cell r="B87">
            <v>1880317.55</v>
          </cell>
          <cell r="C87">
            <v>1734234.06</v>
          </cell>
          <cell r="D87">
            <v>1873963.72</v>
          </cell>
          <cell r="E87">
            <v>1760734.32</v>
          </cell>
          <cell r="F87">
            <v>2077800.12</v>
          </cell>
          <cell r="G87">
            <v>2078695.45</v>
          </cell>
          <cell r="H87">
            <v>2054303.27</v>
          </cell>
          <cell r="I87">
            <v>1998057.18</v>
          </cell>
          <cell r="J87">
            <v>2136138.2200000002</v>
          </cell>
          <cell r="K87">
            <v>2192833.14</v>
          </cell>
          <cell r="L87">
            <v>2163185.4300000002</v>
          </cell>
          <cell r="M87">
            <v>2071559.63</v>
          </cell>
          <cell r="N87">
            <v>1861795.13</v>
          </cell>
          <cell r="O87">
            <v>2214338.7000000002</v>
          </cell>
          <cell r="P87">
            <v>1832161.12</v>
          </cell>
          <cell r="Q87">
            <v>1923050.07</v>
          </cell>
          <cell r="R87">
            <v>1834237.12</v>
          </cell>
          <cell r="S87">
            <v>2026807.29</v>
          </cell>
          <cell r="T87">
            <v>1914621.31</v>
          </cell>
          <cell r="U87">
            <v>1898969.74</v>
          </cell>
          <cell r="V87">
            <v>1975484.49</v>
          </cell>
          <cell r="W87">
            <v>1953031.69</v>
          </cell>
          <cell r="X87">
            <v>2314630.23</v>
          </cell>
          <cell r="Y87">
            <v>2138006.37</v>
          </cell>
          <cell r="Z87">
            <v>2147922.2799999998</v>
          </cell>
          <cell r="AA87">
            <v>2074131.05</v>
          </cell>
          <cell r="AB87">
            <v>2282252.66</v>
          </cell>
          <cell r="AC87">
            <v>2102662.27</v>
          </cell>
          <cell r="AD87">
            <v>2155056.3199999998</v>
          </cell>
          <cell r="AE87">
            <v>1954198.13</v>
          </cell>
          <cell r="AF87">
            <v>2147363.0499999998</v>
          </cell>
          <cell r="AG87">
            <v>2097749.9</v>
          </cell>
          <cell r="AH87">
            <v>2033968.23</v>
          </cell>
          <cell r="AI87">
            <v>2067140.61</v>
          </cell>
          <cell r="AJ87">
            <v>2119630.4700000002</v>
          </cell>
          <cell r="AK87">
            <v>2155612.4500000002</v>
          </cell>
          <cell r="AL87">
            <v>2104967.0499999998</v>
          </cell>
          <cell r="AM87">
            <v>2208460.92</v>
          </cell>
          <cell r="AN87">
            <v>2061424.48</v>
          </cell>
          <cell r="AO87">
            <v>2455787.38</v>
          </cell>
          <cell r="AP87">
            <v>2157102.6800000002</v>
          </cell>
          <cell r="AQ87">
            <v>2109366.94</v>
          </cell>
          <cell r="AR87">
            <v>1998349.7</v>
          </cell>
          <cell r="AS87">
            <v>1959735.33</v>
          </cell>
          <cell r="AT87">
            <v>2231025.63</v>
          </cell>
          <cell r="AU87">
            <v>2009455.25</v>
          </cell>
          <cell r="AV87">
            <v>2054342.12</v>
          </cell>
          <cell r="AW87">
            <v>1817711.92</v>
          </cell>
          <cell r="AX87">
            <v>2312899.48</v>
          </cell>
          <cell r="AY87">
            <v>2029658.45</v>
          </cell>
          <cell r="AZ87">
            <v>2331826.63</v>
          </cell>
          <cell r="BA87">
            <v>1803868.33</v>
          </cell>
          <cell r="BB87">
            <v>2018691.04</v>
          </cell>
        </row>
        <row r="88">
          <cell r="A88" t="str">
            <v>ptd</v>
          </cell>
          <cell r="B88">
            <v>1880317.55</v>
          </cell>
          <cell r="C88">
            <v>3614551.6100000003</v>
          </cell>
          <cell r="D88">
            <v>5488515.3300000001</v>
          </cell>
          <cell r="E88">
            <v>7249249.6500000004</v>
          </cell>
          <cell r="F88">
            <v>2077800.12</v>
          </cell>
          <cell r="G88">
            <v>4156495.5700000003</v>
          </cell>
          <cell r="H88">
            <v>6210798.8399999999</v>
          </cell>
          <cell r="I88">
            <v>8208856.0199999996</v>
          </cell>
          <cell r="J88">
            <v>2136138.2200000002</v>
          </cell>
          <cell r="K88">
            <v>4328971.3600000003</v>
          </cell>
          <cell r="L88">
            <v>6492156.790000001</v>
          </cell>
          <cell r="M88">
            <v>8563716.4200000018</v>
          </cell>
          <cell r="N88">
            <v>1861795.13</v>
          </cell>
          <cell r="O88">
            <v>4076133.83</v>
          </cell>
          <cell r="P88">
            <v>5908294.9500000002</v>
          </cell>
          <cell r="Q88">
            <v>7831345.0200000005</v>
          </cell>
          <cell r="R88">
            <v>1834237.12</v>
          </cell>
          <cell r="S88">
            <v>3861044.41</v>
          </cell>
          <cell r="T88">
            <v>5775665.7200000007</v>
          </cell>
          <cell r="U88">
            <v>7674635.4600000009</v>
          </cell>
          <cell r="V88">
            <v>1975484.49</v>
          </cell>
          <cell r="W88">
            <v>3928516.1799999997</v>
          </cell>
          <cell r="X88">
            <v>6243146.4100000001</v>
          </cell>
          <cell r="Y88">
            <v>8381152.7800000003</v>
          </cell>
          <cell r="Z88">
            <v>2147922.2799999998</v>
          </cell>
          <cell r="AA88">
            <v>4222053.33</v>
          </cell>
          <cell r="AB88">
            <v>6504305.9900000002</v>
          </cell>
          <cell r="AC88">
            <v>8606968.2599999998</v>
          </cell>
          <cell r="AD88">
            <v>2155056.3199999998</v>
          </cell>
          <cell r="AE88">
            <v>4109254.4499999997</v>
          </cell>
          <cell r="AF88">
            <v>6256617.5</v>
          </cell>
          <cell r="AG88">
            <v>8354367.4000000004</v>
          </cell>
          <cell r="AH88">
            <v>2033968.23</v>
          </cell>
          <cell r="AI88">
            <v>4101108.84</v>
          </cell>
          <cell r="AJ88">
            <v>6220739.3100000005</v>
          </cell>
          <cell r="AK88">
            <v>8376351.7600000007</v>
          </cell>
          <cell r="AL88">
            <v>2104967.0499999998</v>
          </cell>
          <cell r="AM88">
            <v>4313427.97</v>
          </cell>
          <cell r="AN88">
            <v>6374852.4499999993</v>
          </cell>
          <cell r="AO88">
            <v>8830639.8299999982</v>
          </cell>
          <cell r="AP88">
            <v>2157102.6800000002</v>
          </cell>
          <cell r="AQ88">
            <v>4266469.62</v>
          </cell>
          <cell r="AR88">
            <v>6264819.3200000003</v>
          </cell>
          <cell r="AS88">
            <v>8224554.6500000004</v>
          </cell>
          <cell r="AT88">
            <v>2231025.63</v>
          </cell>
          <cell r="AU88">
            <v>4240480.88</v>
          </cell>
          <cell r="AV88">
            <v>6294823</v>
          </cell>
          <cell r="AW88">
            <v>8112534.9199999999</v>
          </cell>
          <cell r="AX88">
            <v>2312899.48</v>
          </cell>
          <cell r="AY88">
            <v>4342557.93</v>
          </cell>
          <cell r="AZ88">
            <v>6674384.5599999996</v>
          </cell>
          <cell r="BA88">
            <v>8478252.8900000006</v>
          </cell>
          <cell r="BB88">
            <v>10496943.93</v>
          </cell>
        </row>
        <row r="89">
          <cell r="A89" t="str">
            <v>qtd</v>
          </cell>
          <cell r="B89">
            <v>1880317.55</v>
          </cell>
          <cell r="C89">
            <v>3614551.6100000003</v>
          </cell>
          <cell r="D89">
            <v>5488515.3300000001</v>
          </cell>
          <cell r="E89">
            <v>7249249.6500000004</v>
          </cell>
          <cell r="F89">
            <v>9327049.7699999996</v>
          </cell>
          <cell r="G89">
            <v>11405745.219999999</v>
          </cell>
          <cell r="H89">
            <v>13460048.489999998</v>
          </cell>
          <cell r="I89">
            <v>15458105.669999998</v>
          </cell>
          <cell r="J89">
            <v>17594243.889999997</v>
          </cell>
          <cell r="K89">
            <v>19787077.029999997</v>
          </cell>
          <cell r="L89">
            <v>21950262.459999997</v>
          </cell>
          <cell r="M89">
            <v>24021822.089999996</v>
          </cell>
          <cell r="N89">
            <v>1861795.13</v>
          </cell>
          <cell r="O89">
            <v>4076133.83</v>
          </cell>
          <cell r="P89">
            <v>5908294.9500000002</v>
          </cell>
          <cell r="Q89">
            <v>7831345.0200000005</v>
          </cell>
          <cell r="R89">
            <v>9665582.1400000006</v>
          </cell>
          <cell r="S89">
            <v>11692389.43</v>
          </cell>
          <cell r="T89">
            <v>13607010.74</v>
          </cell>
          <cell r="U89">
            <v>15505980.48</v>
          </cell>
          <cell r="V89">
            <v>17481464.969999999</v>
          </cell>
          <cell r="W89">
            <v>19434496.66</v>
          </cell>
          <cell r="X89">
            <v>21749126.890000001</v>
          </cell>
          <cell r="Y89">
            <v>23887133.260000002</v>
          </cell>
          <cell r="Z89">
            <v>2147922.2799999998</v>
          </cell>
          <cell r="AA89">
            <v>4222053.33</v>
          </cell>
          <cell r="AB89">
            <v>6504305.9900000002</v>
          </cell>
          <cell r="AC89">
            <v>8606968.2599999998</v>
          </cell>
          <cell r="AD89">
            <v>10762024.58</v>
          </cell>
          <cell r="AE89">
            <v>12716222.710000001</v>
          </cell>
          <cell r="AF89">
            <v>14863585.760000002</v>
          </cell>
          <cell r="AG89">
            <v>16961335.66</v>
          </cell>
          <cell r="AH89">
            <v>18995303.890000001</v>
          </cell>
          <cell r="AI89">
            <v>21062444.5</v>
          </cell>
          <cell r="AJ89">
            <v>23182074.969999999</v>
          </cell>
          <cell r="AK89">
            <v>25337687.419999998</v>
          </cell>
          <cell r="AL89">
            <v>2104967.0499999998</v>
          </cell>
          <cell r="AM89">
            <v>4313427.97</v>
          </cell>
          <cell r="AN89">
            <v>6374852.4499999993</v>
          </cell>
          <cell r="AO89">
            <v>8830639.8299999982</v>
          </cell>
          <cell r="AP89">
            <v>10987742.509999998</v>
          </cell>
          <cell r="AQ89">
            <v>13097109.449999997</v>
          </cell>
          <cell r="AR89">
            <v>15095459.149999997</v>
          </cell>
          <cell r="AS89">
            <v>17055194.479999997</v>
          </cell>
          <cell r="AT89">
            <v>19286220.109999996</v>
          </cell>
          <cell r="AU89">
            <v>21295675.359999996</v>
          </cell>
          <cell r="AV89">
            <v>23350017.479999997</v>
          </cell>
          <cell r="AW89">
            <v>25167729.399999999</v>
          </cell>
          <cell r="AX89">
            <v>27480628.879999999</v>
          </cell>
          <cell r="AY89">
            <v>29510287.329999998</v>
          </cell>
          <cell r="AZ89">
            <v>31842113.959999997</v>
          </cell>
          <cell r="BA89">
            <v>33645982.289999999</v>
          </cell>
          <cell r="BB89">
            <v>35664673.329999998</v>
          </cell>
        </row>
        <row r="90">
          <cell r="A90" t="str">
            <v>ytd</v>
          </cell>
          <cell r="B90">
            <v>1880317.55</v>
          </cell>
          <cell r="C90">
            <v>3614551.6100000003</v>
          </cell>
          <cell r="D90">
            <v>5488515.3300000001</v>
          </cell>
          <cell r="E90">
            <v>7249249.6500000004</v>
          </cell>
          <cell r="F90">
            <v>9327049.7699999996</v>
          </cell>
          <cell r="G90">
            <v>11405745.219999999</v>
          </cell>
          <cell r="H90">
            <v>13460048.489999998</v>
          </cell>
          <cell r="I90">
            <v>15458105.669999998</v>
          </cell>
          <cell r="J90">
            <v>17594243.889999997</v>
          </cell>
          <cell r="K90">
            <v>19787077.029999997</v>
          </cell>
          <cell r="L90">
            <v>21950262.459999997</v>
          </cell>
          <cell r="M90">
            <v>24021822.089999996</v>
          </cell>
          <cell r="N90">
            <v>25883617.219999995</v>
          </cell>
          <cell r="O90">
            <v>28097955.919999994</v>
          </cell>
          <cell r="P90">
            <v>29930117.039999995</v>
          </cell>
          <cell r="Q90">
            <v>31853167.109999996</v>
          </cell>
          <cell r="R90">
            <v>33687404.229999997</v>
          </cell>
          <cell r="S90">
            <v>35714211.519999996</v>
          </cell>
          <cell r="T90">
            <v>37628832.829999998</v>
          </cell>
          <cell r="U90">
            <v>39527802.57</v>
          </cell>
          <cell r="V90">
            <v>41503287.060000002</v>
          </cell>
          <cell r="W90">
            <v>43456318.75</v>
          </cell>
          <cell r="X90">
            <v>45770948.979999997</v>
          </cell>
          <cell r="Y90">
            <v>47908955.349999994</v>
          </cell>
          <cell r="Z90">
            <v>50056877.629999995</v>
          </cell>
          <cell r="AA90">
            <v>52131008.679999992</v>
          </cell>
          <cell r="AB90">
            <v>54413261.339999989</v>
          </cell>
          <cell r="AC90">
            <v>56515923.609999992</v>
          </cell>
          <cell r="AD90">
            <v>58670979.929999992</v>
          </cell>
          <cell r="AE90">
            <v>60625178.059999995</v>
          </cell>
          <cell r="AF90">
            <v>62772541.109999992</v>
          </cell>
          <cell r="AG90">
            <v>64870291.00999999</v>
          </cell>
          <cell r="AH90">
            <v>66904259.239999987</v>
          </cell>
          <cell r="AI90">
            <v>68971399.849999994</v>
          </cell>
          <cell r="AJ90">
            <v>71091030.319999993</v>
          </cell>
          <cell r="AK90">
            <v>73246642.769999996</v>
          </cell>
          <cell r="AL90">
            <v>75351609.819999993</v>
          </cell>
          <cell r="AM90">
            <v>77560070.739999995</v>
          </cell>
          <cell r="AN90">
            <v>79621495.219999999</v>
          </cell>
          <cell r="AO90">
            <v>82077282.599999994</v>
          </cell>
          <cell r="AP90">
            <v>84234385.280000001</v>
          </cell>
          <cell r="AQ90">
            <v>86343752.219999999</v>
          </cell>
          <cell r="AR90">
            <v>88342101.920000002</v>
          </cell>
          <cell r="AS90">
            <v>90301837.25</v>
          </cell>
          <cell r="AT90">
            <v>92532862.879999995</v>
          </cell>
          <cell r="AU90">
            <v>94542318.129999995</v>
          </cell>
          <cell r="AV90">
            <v>96596660.25</v>
          </cell>
          <cell r="AW90">
            <v>98414372.170000002</v>
          </cell>
          <cell r="AX90">
            <v>100727271.65000001</v>
          </cell>
          <cell r="AY90">
            <v>102756930.10000001</v>
          </cell>
          <cell r="AZ90">
            <v>105088756.73</v>
          </cell>
          <cell r="BA90">
            <v>106892625.06</v>
          </cell>
          <cell r="BB90">
            <v>108911316.10000001</v>
          </cell>
        </row>
        <row r="91">
          <cell r="A91" t="str">
            <v>PREG</v>
          </cell>
          <cell r="B91">
            <v>3031053.62</v>
          </cell>
          <cell r="C91">
            <v>2838407.19</v>
          </cell>
          <cell r="D91">
            <v>2643371.66</v>
          </cell>
          <cell r="E91">
            <v>2486877.4700000002</v>
          </cell>
          <cell r="F91">
            <v>2563694.75</v>
          </cell>
          <cell r="G91">
            <v>2747937.73</v>
          </cell>
          <cell r="H91">
            <v>3157323.6</v>
          </cell>
          <cell r="I91">
            <v>2557437.96</v>
          </cell>
          <cell r="J91">
            <v>2628475.4500000002</v>
          </cell>
          <cell r="K91">
            <v>2748741.85</v>
          </cell>
          <cell r="L91">
            <v>2846540.87</v>
          </cell>
          <cell r="M91">
            <v>3125279.32</v>
          </cell>
          <cell r="N91">
            <v>2657123.4300000002</v>
          </cell>
          <cell r="O91">
            <v>2777700.71</v>
          </cell>
          <cell r="P91">
            <v>2752461.41</v>
          </cell>
          <cell r="Q91">
            <v>2824498.56</v>
          </cell>
          <cell r="R91">
            <v>3274853.23</v>
          </cell>
          <cell r="S91">
            <v>3211029.17</v>
          </cell>
          <cell r="T91">
            <v>4627327.5999999996</v>
          </cell>
          <cell r="U91">
            <v>4121988.73</v>
          </cell>
          <cell r="V91">
            <v>4026496.3</v>
          </cell>
          <cell r="W91">
            <v>4042852.49</v>
          </cell>
          <cell r="X91">
            <v>4949842.34</v>
          </cell>
          <cell r="Y91">
            <v>5770553.0599999996</v>
          </cell>
          <cell r="Z91">
            <v>4115314.35</v>
          </cell>
          <cell r="AA91">
            <v>3318051.93</v>
          </cell>
          <cell r="AB91">
            <v>2989156.39</v>
          </cell>
          <cell r="AC91">
            <v>3008185.12</v>
          </cell>
          <cell r="AD91">
            <v>3106467.74</v>
          </cell>
          <cell r="AE91">
            <v>3138999.78</v>
          </cell>
          <cell r="AF91">
            <v>3236613.58</v>
          </cell>
          <cell r="AG91">
            <v>3234700.19</v>
          </cell>
          <cell r="AH91">
            <v>3307648.73</v>
          </cell>
          <cell r="AI91">
            <v>3404029.55</v>
          </cell>
          <cell r="AJ91">
            <v>3163492.03</v>
          </cell>
          <cell r="AK91">
            <v>2906023.17</v>
          </cell>
          <cell r="AL91">
            <v>3083305.49</v>
          </cell>
          <cell r="AM91">
            <v>3129055.95</v>
          </cell>
          <cell r="AN91">
            <v>3039056.01</v>
          </cell>
          <cell r="AO91">
            <v>3176108.38</v>
          </cell>
          <cell r="AP91">
            <v>2987216.04</v>
          </cell>
          <cell r="AQ91">
            <v>2935414.52</v>
          </cell>
          <cell r="AR91">
            <v>2945258.19</v>
          </cell>
          <cell r="AS91">
            <v>2970592.54</v>
          </cell>
          <cell r="AT91">
            <v>3195469.61</v>
          </cell>
          <cell r="AU91">
            <v>3129703.64</v>
          </cell>
          <cell r="AV91">
            <v>3563716.21</v>
          </cell>
          <cell r="AW91">
            <v>3825350.52</v>
          </cell>
          <cell r="AX91">
            <v>6214484.0999999996</v>
          </cell>
          <cell r="AY91">
            <v>11482736.939999999</v>
          </cell>
          <cell r="AZ91">
            <v>25392189.309999999</v>
          </cell>
          <cell r="BA91">
            <v>29061737.059999999</v>
          </cell>
          <cell r="BB91">
            <v>3461771.83</v>
          </cell>
        </row>
        <row r="92">
          <cell r="A92" t="str">
            <v>ptd</v>
          </cell>
          <cell r="B92">
            <v>3031053.62</v>
          </cell>
          <cell r="C92">
            <v>5869460.8100000005</v>
          </cell>
          <cell r="D92">
            <v>8512832.4700000007</v>
          </cell>
          <cell r="E92">
            <v>10999709.940000001</v>
          </cell>
          <cell r="F92">
            <v>2563694.75</v>
          </cell>
          <cell r="G92">
            <v>5311632.4800000004</v>
          </cell>
          <cell r="H92">
            <v>8468956.0800000001</v>
          </cell>
          <cell r="I92">
            <v>11026394.039999999</v>
          </cell>
          <cell r="J92">
            <v>2628475.4500000002</v>
          </cell>
          <cell r="K92">
            <v>5377217.3000000007</v>
          </cell>
          <cell r="L92">
            <v>8223758.1700000009</v>
          </cell>
          <cell r="M92">
            <v>11349037.49</v>
          </cell>
          <cell r="N92">
            <v>2657123.4300000002</v>
          </cell>
          <cell r="O92">
            <v>5434824.1400000006</v>
          </cell>
          <cell r="P92">
            <v>8187285.5500000007</v>
          </cell>
          <cell r="Q92">
            <v>11011784.110000001</v>
          </cell>
          <cell r="R92">
            <v>3274853.23</v>
          </cell>
          <cell r="S92">
            <v>6485882.4000000004</v>
          </cell>
          <cell r="T92">
            <v>11113210</v>
          </cell>
          <cell r="U92">
            <v>15235198.73</v>
          </cell>
          <cell r="V92">
            <v>4026496.3</v>
          </cell>
          <cell r="W92">
            <v>8069348.79</v>
          </cell>
          <cell r="X92">
            <v>13019191.129999999</v>
          </cell>
          <cell r="Y92">
            <v>18789744.189999998</v>
          </cell>
          <cell r="Z92">
            <v>4115314.35</v>
          </cell>
          <cell r="AA92">
            <v>7433366.2800000003</v>
          </cell>
          <cell r="AB92">
            <v>10422522.67</v>
          </cell>
          <cell r="AC92">
            <v>13430707.789999999</v>
          </cell>
          <cell r="AD92">
            <v>3106467.74</v>
          </cell>
          <cell r="AE92">
            <v>6245467.5199999996</v>
          </cell>
          <cell r="AF92">
            <v>9482081.0999999996</v>
          </cell>
          <cell r="AG92">
            <v>12716781.289999999</v>
          </cell>
          <cell r="AH92">
            <v>3307648.73</v>
          </cell>
          <cell r="AI92">
            <v>6711678.2799999993</v>
          </cell>
          <cell r="AJ92">
            <v>9875170.3099999987</v>
          </cell>
          <cell r="AK92">
            <v>12781193.479999999</v>
          </cell>
          <cell r="AL92">
            <v>3083305.49</v>
          </cell>
          <cell r="AM92">
            <v>6212361.4400000004</v>
          </cell>
          <cell r="AN92">
            <v>9251417.4499999993</v>
          </cell>
          <cell r="AO92">
            <v>12427525.829999998</v>
          </cell>
          <cell r="AP92">
            <v>2987216.04</v>
          </cell>
          <cell r="AQ92">
            <v>5922630.5600000005</v>
          </cell>
          <cell r="AR92">
            <v>8867888.75</v>
          </cell>
          <cell r="AS92">
            <v>11838481.289999999</v>
          </cell>
          <cell r="AT92">
            <v>3195469.61</v>
          </cell>
          <cell r="AU92">
            <v>6325173.25</v>
          </cell>
          <cell r="AV92">
            <v>9888889.4600000009</v>
          </cell>
          <cell r="AW92">
            <v>13714239.98</v>
          </cell>
          <cell r="AX92">
            <v>6214484.0999999996</v>
          </cell>
          <cell r="AY92">
            <v>17697221.039999999</v>
          </cell>
          <cell r="AZ92">
            <v>43089410.349999994</v>
          </cell>
          <cell r="BA92">
            <v>72151147.409999996</v>
          </cell>
          <cell r="BB92">
            <v>75612919.239999995</v>
          </cell>
        </row>
        <row r="93">
          <cell r="A93" t="str">
            <v>qtd</v>
          </cell>
          <cell r="B93">
            <v>3031053.62</v>
          </cell>
          <cell r="C93">
            <v>5869460.8100000005</v>
          </cell>
          <cell r="D93">
            <v>8512832.4700000007</v>
          </cell>
          <cell r="E93">
            <v>10999709.940000001</v>
          </cell>
          <cell r="F93">
            <v>13563404.690000001</v>
          </cell>
          <cell r="G93">
            <v>16311342.420000002</v>
          </cell>
          <cell r="H93">
            <v>19468666.020000003</v>
          </cell>
          <cell r="I93">
            <v>22026103.980000004</v>
          </cell>
          <cell r="J93">
            <v>24654579.430000003</v>
          </cell>
          <cell r="K93">
            <v>27403321.280000005</v>
          </cell>
          <cell r="L93">
            <v>30249862.150000006</v>
          </cell>
          <cell r="M93">
            <v>33375141.470000006</v>
          </cell>
          <cell r="N93">
            <v>2657123.4300000002</v>
          </cell>
          <cell r="O93">
            <v>5434824.1400000006</v>
          </cell>
          <cell r="P93">
            <v>8187285.5500000007</v>
          </cell>
          <cell r="Q93">
            <v>11011784.110000001</v>
          </cell>
          <cell r="R93">
            <v>14286637.340000002</v>
          </cell>
          <cell r="S93">
            <v>17497666.510000002</v>
          </cell>
          <cell r="T93">
            <v>22124994.109999999</v>
          </cell>
          <cell r="U93">
            <v>26246982.84</v>
          </cell>
          <cell r="V93">
            <v>30273479.140000001</v>
          </cell>
          <cell r="W93">
            <v>34316331.630000003</v>
          </cell>
          <cell r="X93">
            <v>39266173.969999999</v>
          </cell>
          <cell r="Y93">
            <v>45036727.030000001</v>
          </cell>
          <cell r="Z93">
            <v>4115314.35</v>
          </cell>
          <cell r="AA93">
            <v>7433366.2800000003</v>
          </cell>
          <cell r="AB93">
            <v>10422522.67</v>
          </cell>
          <cell r="AC93">
            <v>13430707.789999999</v>
          </cell>
          <cell r="AD93">
            <v>16537175.529999999</v>
          </cell>
          <cell r="AE93">
            <v>19676175.309999999</v>
          </cell>
          <cell r="AF93">
            <v>22912788.890000001</v>
          </cell>
          <cell r="AG93">
            <v>26147489.080000002</v>
          </cell>
          <cell r="AH93">
            <v>29455137.810000002</v>
          </cell>
          <cell r="AI93">
            <v>32859167.360000003</v>
          </cell>
          <cell r="AJ93">
            <v>36022659.390000001</v>
          </cell>
          <cell r="AK93">
            <v>38928682.560000002</v>
          </cell>
          <cell r="AL93">
            <v>3083305.49</v>
          </cell>
          <cell r="AM93">
            <v>6212361.4400000004</v>
          </cell>
          <cell r="AN93">
            <v>9251417.4499999993</v>
          </cell>
          <cell r="AO93">
            <v>12427525.829999998</v>
          </cell>
          <cell r="AP93">
            <v>15414741.869999997</v>
          </cell>
          <cell r="AQ93">
            <v>18350156.389999997</v>
          </cell>
          <cell r="AR93">
            <v>21295414.579999998</v>
          </cell>
          <cell r="AS93">
            <v>24266007.119999997</v>
          </cell>
          <cell r="AT93">
            <v>27461476.729999997</v>
          </cell>
          <cell r="AU93">
            <v>30591180.369999997</v>
          </cell>
          <cell r="AV93">
            <v>34154896.579999998</v>
          </cell>
          <cell r="AW93">
            <v>37980247.100000001</v>
          </cell>
          <cell r="AX93">
            <v>44194731.200000003</v>
          </cell>
          <cell r="AY93">
            <v>55677468.140000001</v>
          </cell>
          <cell r="AZ93">
            <v>81069657.450000003</v>
          </cell>
          <cell r="BA93">
            <v>110131394.51000001</v>
          </cell>
          <cell r="BB93">
            <v>113593166.34</v>
          </cell>
        </row>
        <row r="94">
          <cell r="A94" t="str">
            <v>ytd</v>
          </cell>
          <cell r="B94">
            <v>3031053.62</v>
          </cell>
          <cell r="C94">
            <v>5869460.8100000005</v>
          </cell>
          <cell r="D94">
            <v>8512832.4700000007</v>
          </cell>
          <cell r="E94">
            <v>10999709.940000001</v>
          </cell>
          <cell r="F94">
            <v>13563404.690000001</v>
          </cell>
          <cell r="G94">
            <v>16311342.420000002</v>
          </cell>
          <cell r="H94">
            <v>19468666.020000003</v>
          </cell>
          <cell r="I94">
            <v>22026103.980000004</v>
          </cell>
          <cell r="J94">
            <v>24654579.430000003</v>
          </cell>
          <cell r="K94">
            <v>27403321.280000005</v>
          </cell>
          <cell r="L94">
            <v>30249862.150000006</v>
          </cell>
          <cell r="M94">
            <v>33375141.470000006</v>
          </cell>
          <cell r="N94">
            <v>36032264.900000006</v>
          </cell>
          <cell r="O94">
            <v>38809965.610000007</v>
          </cell>
          <cell r="P94">
            <v>41562427.020000011</v>
          </cell>
          <cell r="Q94">
            <v>44386925.580000013</v>
          </cell>
          <cell r="R94">
            <v>47661778.81000001</v>
          </cell>
          <cell r="S94">
            <v>50872807.980000012</v>
          </cell>
          <cell r="T94">
            <v>55500135.580000013</v>
          </cell>
          <cell r="U94">
            <v>59622124.31000001</v>
          </cell>
          <cell r="V94">
            <v>63648620.610000007</v>
          </cell>
          <cell r="W94">
            <v>67691473.100000009</v>
          </cell>
          <cell r="X94">
            <v>72641315.440000013</v>
          </cell>
          <cell r="Y94">
            <v>78411868.500000015</v>
          </cell>
          <cell r="Z94">
            <v>82527182.850000009</v>
          </cell>
          <cell r="AA94">
            <v>85845234.780000016</v>
          </cell>
          <cell r="AB94">
            <v>88834391.170000017</v>
          </cell>
          <cell r="AC94">
            <v>91842576.290000021</v>
          </cell>
          <cell r="AD94">
            <v>94949044.030000016</v>
          </cell>
          <cell r="AE94">
            <v>98088043.810000017</v>
          </cell>
          <cell r="AF94">
            <v>101324657.39000002</v>
          </cell>
          <cell r="AG94">
            <v>104559357.58000001</v>
          </cell>
          <cell r="AH94">
            <v>107867006.31000002</v>
          </cell>
          <cell r="AI94">
            <v>111271035.86000001</v>
          </cell>
          <cell r="AJ94">
            <v>114434527.89000002</v>
          </cell>
          <cell r="AK94">
            <v>117340551.06000002</v>
          </cell>
          <cell r="AL94">
            <v>120423856.55000001</v>
          </cell>
          <cell r="AM94">
            <v>123552912.50000001</v>
          </cell>
          <cell r="AN94">
            <v>126591968.51000002</v>
          </cell>
          <cell r="AO94">
            <v>129768076.89000002</v>
          </cell>
          <cell r="AP94">
            <v>132755292.93000002</v>
          </cell>
          <cell r="AQ94">
            <v>135690707.45000002</v>
          </cell>
          <cell r="AR94">
            <v>138635965.64000002</v>
          </cell>
          <cell r="AS94">
            <v>141606558.18000001</v>
          </cell>
          <cell r="AT94">
            <v>144802027.79000002</v>
          </cell>
          <cell r="AU94">
            <v>147931731.43000001</v>
          </cell>
          <cell r="AV94">
            <v>151495447.64000002</v>
          </cell>
          <cell r="AW94">
            <v>155320798.16000003</v>
          </cell>
          <cell r="AX94">
            <v>161535282.26000002</v>
          </cell>
          <cell r="AY94">
            <v>173018019.20000002</v>
          </cell>
          <cell r="AZ94">
            <v>198410208.51000002</v>
          </cell>
          <cell r="BA94">
            <v>227471945.57000002</v>
          </cell>
          <cell r="BB94">
            <v>230933717.40000004</v>
          </cell>
        </row>
        <row r="95">
          <cell r="A95" t="str">
            <v>SPRT</v>
          </cell>
          <cell r="B95">
            <v>66850</v>
          </cell>
          <cell r="C95">
            <v>49875</v>
          </cell>
          <cell r="D95">
            <v>47824</v>
          </cell>
          <cell r="E95">
            <v>48508</v>
          </cell>
          <cell r="F95">
            <v>48950</v>
          </cell>
          <cell r="G95">
            <v>51873</v>
          </cell>
          <cell r="H95">
            <v>104349</v>
          </cell>
          <cell r="I95">
            <v>49125</v>
          </cell>
          <cell r="J95">
            <v>51773</v>
          </cell>
          <cell r="K95">
            <v>58166</v>
          </cell>
          <cell r="L95">
            <v>57697</v>
          </cell>
          <cell r="M95">
            <v>88848</v>
          </cell>
          <cell r="N95">
            <v>58973</v>
          </cell>
          <cell r="O95">
            <v>67949</v>
          </cell>
          <cell r="P95">
            <v>68547</v>
          </cell>
          <cell r="Q95">
            <v>72623</v>
          </cell>
          <cell r="R95">
            <v>72474</v>
          </cell>
          <cell r="S95">
            <v>68796</v>
          </cell>
          <cell r="T95">
            <v>97174</v>
          </cell>
          <cell r="U95">
            <v>78775</v>
          </cell>
          <cell r="V95">
            <v>77498</v>
          </cell>
          <cell r="W95">
            <v>87899</v>
          </cell>
          <cell r="X95">
            <v>106724</v>
          </cell>
          <cell r="Y95">
            <v>203297</v>
          </cell>
          <cell r="Z95">
            <v>134645</v>
          </cell>
          <cell r="AA95">
            <v>56149</v>
          </cell>
          <cell r="AB95">
            <v>47324</v>
          </cell>
          <cell r="AC95">
            <v>48750</v>
          </cell>
          <cell r="AD95">
            <v>52575</v>
          </cell>
          <cell r="AE95">
            <v>49775</v>
          </cell>
          <cell r="AF95">
            <v>50425</v>
          </cell>
          <cell r="AG95">
            <v>51525</v>
          </cell>
          <cell r="AH95">
            <v>53325</v>
          </cell>
          <cell r="AI95">
            <v>52075</v>
          </cell>
          <cell r="AJ95">
            <v>47450</v>
          </cell>
          <cell r="AK95">
            <v>50000</v>
          </cell>
          <cell r="AL95">
            <v>47950</v>
          </cell>
          <cell r="AM95">
            <v>49575</v>
          </cell>
          <cell r="AN95">
            <v>46100</v>
          </cell>
          <cell r="AO95">
            <v>44875</v>
          </cell>
          <cell r="AP95">
            <v>42725</v>
          </cell>
          <cell r="AQ95">
            <v>45075</v>
          </cell>
          <cell r="AR95">
            <v>39525</v>
          </cell>
          <cell r="AS95">
            <v>38700</v>
          </cell>
          <cell r="AT95">
            <v>43000</v>
          </cell>
          <cell r="AU95">
            <v>43925</v>
          </cell>
          <cell r="AV95">
            <v>46100</v>
          </cell>
          <cell r="AW95">
            <v>57125</v>
          </cell>
          <cell r="AX95">
            <v>92400</v>
          </cell>
          <cell r="AY95">
            <v>174700</v>
          </cell>
          <cell r="AZ95">
            <v>453375</v>
          </cell>
          <cell r="BA95">
            <v>688164.06</v>
          </cell>
          <cell r="BB95">
            <v>59900</v>
          </cell>
        </row>
        <row r="96">
          <cell r="A96" t="str">
            <v>ptd</v>
          </cell>
          <cell r="B96">
            <v>66850</v>
          </cell>
          <cell r="C96">
            <v>116725</v>
          </cell>
          <cell r="D96">
            <v>164549</v>
          </cell>
          <cell r="E96">
            <v>213057</v>
          </cell>
          <cell r="F96">
            <v>48950</v>
          </cell>
          <cell r="G96">
            <v>100823</v>
          </cell>
          <cell r="H96">
            <v>205172</v>
          </cell>
          <cell r="I96">
            <v>254297</v>
          </cell>
          <cell r="J96">
            <v>51773</v>
          </cell>
          <cell r="K96">
            <v>109939</v>
          </cell>
          <cell r="L96">
            <v>167636</v>
          </cell>
          <cell r="M96">
            <v>256484</v>
          </cell>
          <cell r="N96">
            <v>58973</v>
          </cell>
          <cell r="O96">
            <v>126922</v>
          </cell>
          <cell r="P96">
            <v>195469</v>
          </cell>
          <cell r="Q96">
            <v>268092</v>
          </cell>
          <cell r="R96">
            <v>72474</v>
          </cell>
          <cell r="S96">
            <v>141270</v>
          </cell>
          <cell r="T96">
            <v>238444</v>
          </cell>
          <cell r="U96">
            <v>317219</v>
          </cell>
          <cell r="V96">
            <v>77498</v>
          </cell>
          <cell r="W96">
            <v>165397</v>
          </cell>
          <cell r="X96">
            <v>272121</v>
          </cell>
          <cell r="Y96">
            <v>475418</v>
          </cell>
          <cell r="Z96">
            <v>134645</v>
          </cell>
          <cell r="AA96">
            <v>190794</v>
          </cell>
          <cell r="AB96">
            <v>238118</v>
          </cell>
          <cell r="AC96">
            <v>286868</v>
          </cell>
          <cell r="AD96">
            <v>52575</v>
          </cell>
          <cell r="AE96">
            <v>102350</v>
          </cell>
          <cell r="AF96">
            <v>152775</v>
          </cell>
          <cell r="AG96">
            <v>204300</v>
          </cell>
          <cell r="AH96">
            <v>53325</v>
          </cell>
          <cell r="AI96">
            <v>105400</v>
          </cell>
          <cell r="AJ96">
            <v>152850</v>
          </cell>
          <cell r="AK96">
            <v>202850</v>
          </cell>
          <cell r="AL96">
            <v>47950</v>
          </cell>
          <cell r="AM96">
            <v>97525</v>
          </cell>
          <cell r="AN96">
            <v>143625</v>
          </cell>
          <cell r="AO96">
            <v>188500</v>
          </cell>
          <cell r="AP96">
            <v>42725</v>
          </cell>
          <cell r="AQ96">
            <v>87800</v>
          </cell>
          <cell r="AR96">
            <v>127325</v>
          </cell>
          <cell r="AS96">
            <v>166025</v>
          </cell>
          <cell r="AT96">
            <v>43000</v>
          </cell>
          <cell r="AU96">
            <v>86925</v>
          </cell>
          <cell r="AV96">
            <v>133025</v>
          </cell>
          <cell r="AW96">
            <v>190150</v>
          </cell>
          <cell r="AX96">
            <v>92400</v>
          </cell>
          <cell r="AY96">
            <v>267100</v>
          </cell>
          <cell r="AZ96">
            <v>720475</v>
          </cell>
          <cell r="BA96">
            <v>1408639.06</v>
          </cell>
          <cell r="BB96">
            <v>1468539.06</v>
          </cell>
        </row>
        <row r="97">
          <cell r="A97" t="str">
            <v>qtd</v>
          </cell>
          <cell r="B97">
            <v>66850</v>
          </cell>
          <cell r="C97">
            <v>116725</v>
          </cell>
          <cell r="D97">
            <v>164549</v>
          </cell>
          <cell r="E97">
            <v>213057</v>
          </cell>
          <cell r="F97">
            <v>262007</v>
          </cell>
          <cell r="G97">
            <v>313880</v>
          </cell>
          <cell r="H97">
            <v>418229</v>
          </cell>
          <cell r="I97">
            <v>467354</v>
          </cell>
          <cell r="J97">
            <v>519127</v>
          </cell>
          <cell r="K97">
            <v>577293</v>
          </cell>
          <cell r="L97">
            <v>634990</v>
          </cell>
          <cell r="M97">
            <v>723838</v>
          </cell>
          <cell r="N97">
            <v>58973</v>
          </cell>
          <cell r="O97">
            <v>126922</v>
          </cell>
          <cell r="P97">
            <v>195469</v>
          </cell>
          <cell r="Q97">
            <v>268092</v>
          </cell>
          <cell r="R97">
            <v>340566</v>
          </cell>
          <cell r="S97">
            <v>409362</v>
          </cell>
          <cell r="T97">
            <v>506536</v>
          </cell>
          <cell r="U97">
            <v>585311</v>
          </cell>
          <cell r="V97">
            <v>662809</v>
          </cell>
          <cell r="W97">
            <v>750708</v>
          </cell>
          <cell r="X97">
            <v>857432</v>
          </cell>
          <cell r="Y97">
            <v>1060729</v>
          </cell>
          <cell r="Z97">
            <v>134645</v>
          </cell>
          <cell r="AA97">
            <v>190794</v>
          </cell>
          <cell r="AB97">
            <v>238118</v>
          </cell>
          <cell r="AC97">
            <v>286868</v>
          </cell>
          <cell r="AD97">
            <v>339443</v>
          </cell>
          <cell r="AE97">
            <v>389218</v>
          </cell>
          <cell r="AF97">
            <v>439643</v>
          </cell>
          <cell r="AG97">
            <v>491168</v>
          </cell>
          <cell r="AH97">
            <v>544493</v>
          </cell>
          <cell r="AI97">
            <v>596568</v>
          </cell>
          <cell r="AJ97">
            <v>644018</v>
          </cell>
          <cell r="AK97">
            <v>694018</v>
          </cell>
          <cell r="AL97">
            <v>47950</v>
          </cell>
          <cell r="AM97">
            <v>97525</v>
          </cell>
          <cell r="AN97">
            <v>143625</v>
          </cell>
          <cell r="AO97">
            <v>188500</v>
          </cell>
          <cell r="AP97">
            <v>231225</v>
          </cell>
          <cell r="AQ97">
            <v>276300</v>
          </cell>
          <cell r="AR97">
            <v>315825</v>
          </cell>
          <cell r="AS97">
            <v>354525</v>
          </cell>
          <cell r="AT97">
            <v>397525</v>
          </cell>
          <cell r="AU97">
            <v>441450</v>
          </cell>
          <cell r="AV97">
            <v>487550</v>
          </cell>
          <cell r="AW97">
            <v>544675</v>
          </cell>
          <cell r="AX97">
            <v>637075</v>
          </cell>
          <cell r="AY97">
            <v>811775</v>
          </cell>
          <cell r="AZ97">
            <v>1265150</v>
          </cell>
          <cell r="BA97">
            <v>1953314.06</v>
          </cell>
          <cell r="BB97">
            <v>2013214.06</v>
          </cell>
        </row>
        <row r="98">
          <cell r="A98" t="str">
            <v>ytd</v>
          </cell>
          <cell r="B98">
            <v>66850</v>
          </cell>
          <cell r="C98">
            <v>116725</v>
          </cell>
          <cell r="D98">
            <v>164549</v>
          </cell>
          <cell r="E98">
            <v>213057</v>
          </cell>
          <cell r="F98">
            <v>262007</v>
          </cell>
          <cell r="G98">
            <v>313880</v>
          </cell>
          <cell r="H98">
            <v>418229</v>
          </cell>
          <cell r="I98">
            <v>467354</v>
          </cell>
          <cell r="J98">
            <v>519127</v>
          </cell>
          <cell r="K98">
            <v>577293</v>
          </cell>
          <cell r="L98">
            <v>634990</v>
          </cell>
          <cell r="M98">
            <v>723838</v>
          </cell>
          <cell r="N98">
            <v>782811</v>
          </cell>
          <cell r="O98">
            <v>850760</v>
          </cell>
          <cell r="P98">
            <v>919307</v>
          </cell>
          <cell r="Q98">
            <v>991930</v>
          </cell>
          <cell r="R98">
            <v>1064404</v>
          </cell>
          <cell r="S98">
            <v>1133200</v>
          </cell>
          <cell r="T98">
            <v>1230374</v>
          </cell>
          <cell r="U98">
            <v>1309149</v>
          </cell>
          <cell r="V98">
            <v>1386647</v>
          </cell>
          <cell r="W98">
            <v>1474546</v>
          </cell>
          <cell r="X98">
            <v>1581270</v>
          </cell>
          <cell r="Y98">
            <v>1784567</v>
          </cell>
          <cell r="Z98">
            <v>1919212</v>
          </cell>
          <cell r="AA98">
            <v>1975361</v>
          </cell>
          <cell r="AB98">
            <v>2022685</v>
          </cell>
          <cell r="AC98">
            <v>2071435</v>
          </cell>
          <cell r="AD98">
            <v>2124010</v>
          </cell>
          <cell r="AE98">
            <v>2173785</v>
          </cell>
          <cell r="AF98">
            <v>2224210</v>
          </cell>
          <cell r="AG98">
            <v>2275735</v>
          </cell>
          <cell r="AH98">
            <v>2329060</v>
          </cell>
          <cell r="AI98">
            <v>2381135</v>
          </cell>
          <cell r="AJ98">
            <v>2428585</v>
          </cell>
          <cell r="AK98">
            <v>2478585</v>
          </cell>
          <cell r="AL98">
            <v>2526535</v>
          </cell>
          <cell r="AM98">
            <v>2576110</v>
          </cell>
          <cell r="AN98">
            <v>2622210</v>
          </cell>
          <cell r="AO98">
            <v>2667085</v>
          </cell>
          <cell r="AP98">
            <v>2709810</v>
          </cell>
          <cell r="AQ98">
            <v>2754885</v>
          </cell>
          <cell r="AR98">
            <v>2794410</v>
          </cell>
          <cell r="AS98">
            <v>2833110</v>
          </cell>
          <cell r="AT98">
            <v>2876110</v>
          </cell>
          <cell r="AU98">
            <v>2920035</v>
          </cell>
          <cell r="AV98">
            <v>2966135</v>
          </cell>
          <cell r="AW98">
            <v>3023260</v>
          </cell>
          <cell r="AX98">
            <v>3115660</v>
          </cell>
          <cell r="AY98">
            <v>3290360</v>
          </cell>
          <cell r="AZ98">
            <v>3743735</v>
          </cell>
          <cell r="BA98">
            <v>4431899.0600000005</v>
          </cell>
          <cell r="BB98">
            <v>4491799.0600000005</v>
          </cell>
        </row>
        <row r="99">
          <cell r="A99" t="str">
            <v>TELE</v>
          </cell>
          <cell r="B99">
            <v>957599.79</v>
          </cell>
          <cell r="C99">
            <v>892097.32</v>
          </cell>
          <cell r="D99">
            <v>891448.94</v>
          </cell>
          <cell r="E99">
            <v>860251.03</v>
          </cell>
          <cell r="F99">
            <v>949740.5</v>
          </cell>
          <cell r="G99">
            <v>940019.98</v>
          </cell>
          <cell r="H99">
            <v>925542.71</v>
          </cell>
          <cell r="I99">
            <v>882388.85</v>
          </cell>
          <cell r="J99">
            <v>919000.11</v>
          </cell>
          <cell r="K99">
            <v>927277.61</v>
          </cell>
          <cell r="L99">
            <v>875425.09</v>
          </cell>
          <cell r="M99">
            <v>913825.62</v>
          </cell>
          <cell r="N99">
            <v>889670.59</v>
          </cell>
          <cell r="O99">
            <v>987039.52</v>
          </cell>
          <cell r="P99">
            <v>904208.93</v>
          </cell>
          <cell r="Q99">
            <v>895942.64</v>
          </cell>
          <cell r="R99">
            <v>873204.4</v>
          </cell>
          <cell r="S99">
            <v>972523.47</v>
          </cell>
          <cell r="T99">
            <v>966279.7</v>
          </cell>
          <cell r="U99">
            <v>931946.18</v>
          </cell>
          <cell r="V99">
            <v>917710.66</v>
          </cell>
          <cell r="W99">
            <v>910081.49</v>
          </cell>
          <cell r="X99">
            <v>1006126.58</v>
          </cell>
          <cell r="Y99">
            <v>944755.76</v>
          </cell>
          <cell r="Z99">
            <v>944758.96</v>
          </cell>
          <cell r="AA99">
            <v>897543.34</v>
          </cell>
          <cell r="AB99">
            <v>1005952.78</v>
          </cell>
          <cell r="AC99">
            <v>932109.62</v>
          </cell>
          <cell r="AD99">
            <v>913374.66</v>
          </cell>
          <cell r="AE99">
            <v>892802.8</v>
          </cell>
          <cell r="AF99">
            <v>945207.01</v>
          </cell>
          <cell r="AG99">
            <v>927838.16</v>
          </cell>
          <cell r="AH99">
            <v>874323.14</v>
          </cell>
          <cell r="AI99">
            <v>866310.42</v>
          </cell>
          <cell r="AJ99">
            <v>876469.92</v>
          </cell>
          <cell r="AK99">
            <v>890961.76</v>
          </cell>
          <cell r="AL99">
            <v>816945.95</v>
          </cell>
          <cell r="AM99">
            <v>823325.79</v>
          </cell>
          <cell r="AN99">
            <v>758551.44</v>
          </cell>
          <cell r="AO99">
            <v>849579.93</v>
          </cell>
          <cell r="AP99">
            <v>786822.16</v>
          </cell>
          <cell r="AQ99">
            <v>756162.42</v>
          </cell>
          <cell r="AR99">
            <v>741413.29</v>
          </cell>
          <cell r="AS99">
            <v>755035.22</v>
          </cell>
          <cell r="AT99">
            <v>847648.3</v>
          </cell>
          <cell r="AU99">
            <v>793255.82</v>
          </cell>
          <cell r="AV99">
            <v>804527.9</v>
          </cell>
          <cell r="AW99">
            <v>793709</v>
          </cell>
          <cell r="AX99">
            <v>913658.88</v>
          </cell>
          <cell r="AY99">
            <v>849688.17</v>
          </cell>
          <cell r="AZ99">
            <v>961126.47</v>
          </cell>
          <cell r="BA99">
            <v>998871.02</v>
          </cell>
          <cell r="BB99">
            <v>905655.48</v>
          </cell>
        </row>
        <row r="100">
          <cell r="A100" t="str">
            <v>ptd</v>
          </cell>
          <cell r="B100">
            <v>957599.79</v>
          </cell>
          <cell r="C100">
            <v>1849697.1099999999</v>
          </cell>
          <cell r="D100">
            <v>2741146.05</v>
          </cell>
          <cell r="E100">
            <v>3601397.08</v>
          </cell>
          <cell r="F100">
            <v>949740.5</v>
          </cell>
          <cell r="G100">
            <v>1889760.48</v>
          </cell>
          <cell r="H100">
            <v>2815303.19</v>
          </cell>
          <cell r="I100">
            <v>3697692.04</v>
          </cell>
          <cell r="J100">
            <v>919000.11</v>
          </cell>
          <cell r="K100">
            <v>1846277.72</v>
          </cell>
          <cell r="L100">
            <v>2721702.81</v>
          </cell>
          <cell r="M100">
            <v>3635528.43</v>
          </cell>
          <cell r="N100">
            <v>889670.59</v>
          </cell>
          <cell r="O100">
            <v>1876710.1099999999</v>
          </cell>
          <cell r="P100">
            <v>2780919.04</v>
          </cell>
          <cell r="Q100">
            <v>3676861.68</v>
          </cell>
          <cell r="R100">
            <v>873204.4</v>
          </cell>
          <cell r="S100">
            <v>1845727.87</v>
          </cell>
          <cell r="T100">
            <v>2812007.5700000003</v>
          </cell>
          <cell r="U100">
            <v>3743953.7500000005</v>
          </cell>
          <cell r="V100">
            <v>917710.66</v>
          </cell>
          <cell r="W100">
            <v>1827792.15</v>
          </cell>
          <cell r="X100">
            <v>2833918.73</v>
          </cell>
          <cell r="Y100">
            <v>3778674.49</v>
          </cell>
          <cell r="Z100">
            <v>944758.96</v>
          </cell>
          <cell r="AA100">
            <v>1842302.2999999998</v>
          </cell>
          <cell r="AB100">
            <v>2848255.08</v>
          </cell>
          <cell r="AC100">
            <v>3780364.7</v>
          </cell>
          <cell r="AD100">
            <v>913374.66</v>
          </cell>
          <cell r="AE100">
            <v>1806177.46</v>
          </cell>
          <cell r="AF100">
            <v>2751384.4699999997</v>
          </cell>
          <cell r="AG100">
            <v>3679222.63</v>
          </cell>
          <cell r="AH100">
            <v>874323.14</v>
          </cell>
          <cell r="AI100">
            <v>1740633.56</v>
          </cell>
          <cell r="AJ100">
            <v>2617103.48</v>
          </cell>
          <cell r="AK100">
            <v>3508065.24</v>
          </cell>
          <cell r="AL100">
            <v>816945.95</v>
          </cell>
          <cell r="AM100">
            <v>1640271.74</v>
          </cell>
          <cell r="AN100">
            <v>2398823.1799999997</v>
          </cell>
          <cell r="AO100">
            <v>3248403.11</v>
          </cell>
          <cell r="AP100">
            <v>786822.16</v>
          </cell>
          <cell r="AQ100">
            <v>1542984.58</v>
          </cell>
          <cell r="AR100">
            <v>2284397.87</v>
          </cell>
          <cell r="AS100">
            <v>3039433.09</v>
          </cell>
          <cell r="AT100">
            <v>847648.3</v>
          </cell>
          <cell r="AU100">
            <v>1640904.12</v>
          </cell>
          <cell r="AV100">
            <v>2445432.02</v>
          </cell>
          <cell r="AW100">
            <v>3239141.02</v>
          </cell>
          <cell r="AX100">
            <v>913658.88</v>
          </cell>
          <cell r="AY100">
            <v>1763347.05</v>
          </cell>
          <cell r="AZ100">
            <v>2724473.52</v>
          </cell>
          <cell r="BA100">
            <v>3723344.54</v>
          </cell>
          <cell r="BB100">
            <v>4629000.0199999996</v>
          </cell>
        </row>
        <row r="101">
          <cell r="A101" t="str">
            <v>qtd</v>
          </cell>
          <cell r="B101">
            <v>957599.79</v>
          </cell>
          <cell r="C101">
            <v>1849697.1099999999</v>
          </cell>
          <cell r="D101">
            <v>2741146.05</v>
          </cell>
          <cell r="E101">
            <v>3601397.08</v>
          </cell>
          <cell r="F101">
            <v>4551137.58</v>
          </cell>
          <cell r="G101">
            <v>5491157.5600000005</v>
          </cell>
          <cell r="H101">
            <v>6416700.2700000005</v>
          </cell>
          <cell r="I101">
            <v>7299089.1200000001</v>
          </cell>
          <cell r="J101">
            <v>8218089.2300000004</v>
          </cell>
          <cell r="K101">
            <v>9145366.8399999999</v>
          </cell>
          <cell r="L101">
            <v>10020791.93</v>
          </cell>
          <cell r="M101">
            <v>10934617.549999999</v>
          </cell>
          <cell r="N101">
            <v>889670.59</v>
          </cell>
          <cell r="O101">
            <v>1876710.1099999999</v>
          </cell>
          <cell r="P101">
            <v>2780919.04</v>
          </cell>
          <cell r="Q101">
            <v>3676861.68</v>
          </cell>
          <cell r="R101">
            <v>4550066.08</v>
          </cell>
          <cell r="S101">
            <v>5522589.5499999998</v>
          </cell>
          <cell r="T101">
            <v>6488869.25</v>
          </cell>
          <cell r="U101">
            <v>7420815.4299999997</v>
          </cell>
          <cell r="V101">
            <v>8338526.0899999999</v>
          </cell>
          <cell r="W101">
            <v>9248607.5800000001</v>
          </cell>
          <cell r="X101">
            <v>10254734.16</v>
          </cell>
          <cell r="Y101">
            <v>11199489.92</v>
          </cell>
          <cell r="Z101">
            <v>944758.96</v>
          </cell>
          <cell r="AA101">
            <v>1842302.2999999998</v>
          </cell>
          <cell r="AB101">
            <v>2848255.08</v>
          </cell>
          <cell r="AC101">
            <v>3780364.7</v>
          </cell>
          <cell r="AD101">
            <v>4693739.3600000003</v>
          </cell>
          <cell r="AE101">
            <v>5586542.1600000001</v>
          </cell>
          <cell r="AF101">
            <v>6531749.1699999999</v>
          </cell>
          <cell r="AG101">
            <v>7459587.3300000001</v>
          </cell>
          <cell r="AH101">
            <v>8333910.4699999997</v>
          </cell>
          <cell r="AI101">
            <v>9200220.8900000006</v>
          </cell>
          <cell r="AJ101">
            <v>10076690.810000001</v>
          </cell>
          <cell r="AK101">
            <v>10967652.57</v>
          </cell>
          <cell r="AL101">
            <v>816945.95</v>
          </cell>
          <cell r="AM101">
            <v>1640271.74</v>
          </cell>
          <cell r="AN101">
            <v>2398823.1799999997</v>
          </cell>
          <cell r="AO101">
            <v>3248403.11</v>
          </cell>
          <cell r="AP101">
            <v>4035225.27</v>
          </cell>
          <cell r="AQ101">
            <v>4791387.6900000004</v>
          </cell>
          <cell r="AR101">
            <v>5532800.9800000004</v>
          </cell>
          <cell r="AS101">
            <v>6287836.2000000002</v>
          </cell>
          <cell r="AT101">
            <v>7135484.5</v>
          </cell>
          <cell r="AU101">
            <v>7928740.3200000003</v>
          </cell>
          <cell r="AV101">
            <v>8733268.2200000007</v>
          </cell>
          <cell r="AW101">
            <v>9526977.2200000007</v>
          </cell>
          <cell r="AX101">
            <v>10440636.100000001</v>
          </cell>
          <cell r="AY101">
            <v>11290324.270000001</v>
          </cell>
          <cell r="AZ101">
            <v>12251450.740000002</v>
          </cell>
          <cell r="BA101">
            <v>13250321.760000002</v>
          </cell>
          <cell r="BB101">
            <v>14155977.240000002</v>
          </cell>
        </row>
        <row r="102">
          <cell r="A102" t="str">
            <v>ytd</v>
          </cell>
          <cell r="B102">
            <v>957599.79</v>
          </cell>
          <cell r="C102">
            <v>1849697.1099999999</v>
          </cell>
          <cell r="D102">
            <v>2741146.05</v>
          </cell>
          <cell r="E102">
            <v>3601397.08</v>
          </cell>
          <cell r="F102">
            <v>4551137.58</v>
          </cell>
          <cell r="G102">
            <v>5491157.5600000005</v>
          </cell>
          <cell r="H102">
            <v>6416700.2700000005</v>
          </cell>
          <cell r="I102">
            <v>7299089.1200000001</v>
          </cell>
          <cell r="J102">
            <v>8218089.2300000004</v>
          </cell>
          <cell r="K102">
            <v>9145366.8399999999</v>
          </cell>
          <cell r="L102">
            <v>10020791.93</v>
          </cell>
          <cell r="M102">
            <v>10934617.549999999</v>
          </cell>
          <cell r="N102">
            <v>11824288.139999999</v>
          </cell>
          <cell r="O102">
            <v>12811327.659999998</v>
          </cell>
          <cell r="P102">
            <v>13715536.589999998</v>
          </cell>
          <cell r="Q102">
            <v>14611479.229999999</v>
          </cell>
          <cell r="R102">
            <v>15484683.629999999</v>
          </cell>
          <cell r="S102">
            <v>16457207.1</v>
          </cell>
          <cell r="T102">
            <v>17423486.800000001</v>
          </cell>
          <cell r="U102">
            <v>18355432.98</v>
          </cell>
          <cell r="V102">
            <v>19273143.640000001</v>
          </cell>
          <cell r="W102">
            <v>20183225.129999999</v>
          </cell>
          <cell r="X102">
            <v>21189351.709999997</v>
          </cell>
          <cell r="Y102">
            <v>22134107.469999999</v>
          </cell>
          <cell r="Z102">
            <v>23078866.43</v>
          </cell>
          <cell r="AA102">
            <v>23976409.77</v>
          </cell>
          <cell r="AB102">
            <v>24982362.550000001</v>
          </cell>
          <cell r="AC102">
            <v>25914472.170000002</v>
          </cell>
          <cell r="AD102">
            <v>26827846.830000002</v>
          </cell>
          <cell r="AE102">
            <v>27720649.630000003</v>
          </cell>
          <cell r="AF102">
            <v>28665856.640000004</v>
          </cell>
          <cell r="AG102">
            <v>29593694.800000004</v>
          </cell>
          <cell r="AH102">
            <v>30468017.940000005</v>
          </cell>
          <cell r="AI102">
            <v>31334328.360000007</v>
          </cell>
          <cell r="AJ102">
            <v>32210798.280000009</v>
          </cell>
          <cell r="AK102">
            <v>33101760.04000001</v>
          </cell>
          <cell r="AL102">
            <v>33918705.99000001</v>
          </cell>
          <cell r="AM102">
            <v>34742031.780000009</v>
          </cell>
          <cell r="AN102">
            <v>35500583.220000006</v>
          </cell>
          <cell r="AO102">
            <v>36350163.150000006</v>
          </cell>
          <cell r="AP102">
            <v>37136985.310000002</v>
          </cell>
          <cell r="AQ102">
            <v>37893147.730000004</v>
          </cell>
          <cell r="AR102">
            <v>38634561.020000003</v>
          </cell>
          <cell r="AS102">
            <v>39389596.240000002</v>
          </cell>
          <cell r="AT102">
            <v>40237244.539999999</v>
          </cell>
          <cell r="AU102">
            <v>41030500.359999999</v>
          </cell>
          <cell r="AV102">
            <v>41835028.259999998</v>
          </cell>
          <cell r="AW102">
            <v>42628737.259999998</v>
          </cell>
          <cell r="AX102">
            <v>43542396.140000001</v>
          </cell>
          <cell r="AY102">
            <v>44392084.310000002</v>
          </cell>
          <cell r="AZ102">
            <v>45353210.780000001</v>
          </cell>
          <cell r="BA102">
            <v>46352081.800000004</v>
          </cell>
          <cell r="BB102">
            <v>47257737.280000001</v>
          </cell>
        </row>
        <row r="103">
          <cell r="A103" t="str">
            <v>TICK</v>
          </cell>
          <cell r="B103">
            <v>211596.79999999999</v>
          </cell>
          <cell r="C103">
            <v>232323.62</v>
          </cell>
          <cell r="D103">
            <v>456275.65</v>
          </cell>
          <cell r="E103">
            <v>376489.36</v>
          </cell>
          <cell r="F103">
            <v>459364.82</v>
          </cell>
          <cell r="G103">
            <v>579206.75</v>
          </cell>
          <cell r="H103">
            <v>957778.8</v>
          </cell>
          <cell r="I103">
            <v>662015.1</v>
          </cell>
          <cell r="J103">
            <v>670563.29</v>
          </cell>
          <cell r="K103">
            <v>776592.67</v>
          </cell>
          <cell r="L103">
            <v>787078.9</v>
          </cell>
          <cell r="M103">
            <v>1007688.23</v>
          </cell>
          <cell r="N103">
            <v>1056499.43</v>
          </cell>
          <cell r="O103">
            <v>744115.92</v>
          </cell>
          <cell r="P103">
            <v>824060.03</v>
          </cell>
          <cell r="Q103">
            <v>632292.28</v>
          </cell>
          <cell r="R103">
            <v>568995.28</v>
          </cell>
          <cell r="S103">
            <v>534539.57999999996</v>
          </cell>
          <cell r="T103">
            <v>552681.27</v>
          </cell>
          <cell r="U103">
            <v>590456.81000000006</v>
          </cell>
          <cell r="V103">
            <v>496781.22</v>
          </cell>
          <cell r="W103">
            <v>599094.92000000004</v>
          </cell>
          <cell r="X103">
            <v>283152.26</v>
          </cell>
          <cell r="Y103">
            <v>363641.31</v>
          </cell>
          <cell r="Z103">
            <v>473809.69</v>
          </cell>
          <cell r="AA103">
            <v>534283.96</v>
          </cell>
          <cell r="AB103">
            <v>676611.99</v>
          </cell>
          <cell r="AC103">
            <v>642060.79</v>
          </cell>
          <cell r="AD103">
            <v>828642.48</v>
          </cell>
          <cell r="AE103">
            <v>898299.66</v>
          </cell>
          <cell r="AF103">
            <v>767861.29</v>
          </cell>
          <cell r="AG103">
            <v>798334.43</v>
          </cell>
          <cell r="AH103">
            <v>784828.22</v>
          </cell>
          <cell r="AI103">
            <v>975189.43</v>
          </cell>
          <cell r="AJ103">
            <v>824049.2</v>
          </cell>
          <cell r="AK103">
            <v>324445.59999999998</v>
          </cell>
          <cell r="AL103">
            <v>108942.93</v>
          </cell>
          <cell r="AM103">
            <v>91837.5</v>
          </cell>
          <cell r="AN103">
            <v>95253.64</v>
          </cell>
          <cell r="AO103">
            <v>132901.01999999999</v>
          </cell>
          <cell r="AP103">
            <v>160172.20000000001</v>
          </cell>
          <cell r="AQ103">
            <v>177552.53</v>
          </cell>
          <cell r="AR103">
            <v>264472.38</v>
          </cell>
          <cell r="AS103">
            <v>175404.15</v>
          </cell>
          <cell r="AT103">
            <v>119003.36</v>
          </cell>
          <cell r="AU103">
            <v>99352.83</v>
          </cell>
          <cell r="AV103">
            <v>139599.6</v>
          </cell>
          <cell r="AW103">
            <v>153246.68</v>
          </cell>
          <cell r="AX103">
            <v>146764.79999999999</v>
          </cell>
          <cell r="AY103">
            <v>247916.41</v>
          </cell>
          <cell r="AZ103">
            <v>381280.41</v>
          </cell>
          <cell r="BA103">
            <v>574411.98</v>
          </cell>
          <cell r="BB103">
            <v>228596.33</v>
          </cell>
        </row>
        <row r="104">
          <cell r="A104" t="str">
            <v>ptd</v>
          </cell>
          <cell r="B104">
            <v>211596.79999999999</v>
          </cell>
          <cell r="C104">
            <v>443920.42</v>
          </cell>
          <cell r="D104">
            <v>900196.07000000007</v>
          </cell>
          <cell r="E104">
            <v>1276685.4300000002</v>
          </cell>
          <cell r="F104">
            <v>459364.82</v>
          </cell>
          <cell r="G104">
            <v>1038571.5700000001</v>
          </cell>
          <cell r="H104">
            <v>1996350.37</v>
          </cell>
          <cell r="I104">
            <v>2658365.4700000002</v>
          </cell>
          <cell r="J104">
            <v>670563.29</v>
          </cell>
          <cell r="K104">
            <v>1447155.96</v>
          </cell>
          <cell r="L104">
            <v>2234234.86</v>
          </cell>
          <cell r="M104">
            <v>3241923.09</v>
          </cell>
          <cell r="N104">
            <v>1056499.43</v>
          </cell>
          <cell r="O104">
            <v>1800615.35</v>
          </cell>
          <cell r="P104">
            <v>2624675.38</v>
          </cell>
          <cell r="Q104">
            <v>3256967.66</v>
          </cell>
          <cell r="R104">
            <v>568995.28</v>
          </cell>
          <cell r="S104">
            <v>1103534.8599999999</v>
          </cell>
          <cell r="T104">
            <v>1656216.13</v>
          </cell>
          <cell r="U104">
            <v>2246672.94</v>
          </cell>
          <cell r="V104">
            <v>496781.22</v>
          </cell>
          <cell r="W104">
            <v>1095876.1400000001</v>
          </cell>
          <cell r="X104">
            <v>1379028.4000000001</v>
          </cell>
          <cell r="Y104">
            <v>1742669.7100000002</v>
          </cell>
          <cell r="Z104">
            <v>473809.69</v>
          </cell>
          <cell r="AA104">
            <v>1008093.6499999999</v>
          </cell>
          <cell r="AB104">
            <v>1684705.64</v>
          </cell>
          <cell r="AC104">
            <v>2326766.4299999997</v>
          </cell>
          <cell r="AD104">
            <v>828642.48</v>
          </cell>
          <cell r="AE104">
            <v>1726942.1400000001</v>
          </cell>
          <cell r="AF104">
            <v>2494803.4300000002</v>
          </cell>
          <cell r="AG104">
            <v>3293137.8600000003</v>
          </cell>
          <cell r="AH104">
            <v>784828.22</v>
          </cell>
          <cell r="AI104">
            <v>1760017.65</v>
          </cell>
          <cell r="AJ104">
            <v>2584066.8499999996</v>
          </cell>
          <cell r="AK104">
            <v>2908512.4499999997</v>
          </cell>
          <cell r="AL104">
            <v>108942.93</v>
          </cell>
          <cell r="AM104">
            <v>200780.43</v>
          </cell>
          <cell r="AN104">
            <v>296034.07</v>
          </cell>
          <cell r="AO104">
            <v>428935.08999999997</v>
          </cell>
          <cell r="AP104">
            <v>160172.20000000001</v>
          </cell>
          <cell r="AQ104">
            <v>337724.73</v>
          </cell>
          <cell r="AR104">
            <v>602197.11</v>
          </cell>
          <cell r="AS104">
            <v>777601.26</v>
          </cell>
          <cell r="AT104">
            <v>119003.36</v>
          </cell>
          <cell r="AU104">
            <v>218356.19</v>
          </cell>
          <cell r="AV104">
            <v>357955.79000000004</v>
          </cell>
          <cell r="AW104">
            <v>511202.47000000003</v>
          </cell>
          <cell r="AX104">
            <v>146764.79999999999</v>
          </cell>
          <cell r="AY104">
            <v>394681.20999999996</v>
          </cell>
          <cell r="AZ104">
            <v>775961.61999999988</v>
          </cell>
          <cell r="BA104">
            <v>1350373.5999999999</v>
          </cell>
          <cell r="BB104">
            <v>1578969.93</v>
          </cell>
        </row>
        <row r="105">
          <cell r="A105" t="str">
            <v>qtd</v>
          </cell>
          <cell r="B105">
            <v>211596.79999999999</v>
          </cell>
          <cell r="C105">
            <v>443920.42</v>
          </cell>
          <cell r="D105">
            <v>900196.07000000007</v>
          </cell>
          <cell r="E105">
            <v>1276685.4300000002</v>
          </cell>
          <cell r="F105">
            <v>1736050.2500000002</v>
          </cell>
          <cell r="G105">
            <v>2315257</v>
          </cell>
          <cell r="H105">
            <v>3273035.8</v>
          </cell>
          <cell r="I105">
            <v>3935050.9</v>
          </cell>
          <cell r="J105">
            <v>4605614.1899999995</v>
          </cell>
          <cell r="K105">
            <v>5382206.8599999994</v>
          </cell>
          <cell r="L105">
            <v>6169285.7599999998</v>
          </cell>
          <cell r="M105">
            <v>7176973.9900000002</v>
          </cell>
          <cell r="N105">
            <v>1056499.43</v>
          </cell>
          <cell r="O105">
            <v>1800615.35</v>
          </cell>
          <cell r="P105">
            <v>2624675.38</v>
          </cell>
          <cell r="Q105">
            <v>3256967.66</v>
          </cell>
          <cell r="R105">
            <v>3825962.9400000004</v>
          </cell>
          <cell r="S105">
            <v>4360502.5200000005</v>
          </cell>
          <cell r="T105">
            <v>4913183.790000001</v>
          </cell>
          <cell r="U105">
            <v>5503640.6000000015</v>
          </cell>
          <cell r="V105">
            <v>6000421.8200000012</v>
          </cell>
          <cell r="W105">
            <v>6599516.7400000012</v>
          </cell>
          <cell r="X105">
            <v>6882669.0000000009</v>
          </cell>
          <cell r="Y105">
            <v>7246310.3100000005</v>
          </cell>
          <cell r="Z105">
            <v>473809.69</v>
          </cell>
          <cell r="AA105">
            <v>1008093.6499999999</v>
          </cell>
          <cell r="AB105">
            <v>1684705.64</v>
          </cell>
          <cell r="AC105">
            <v>2326766.4299999997</v>
          </cell>
          <cell r="AD105">
            <v>3155408.9099999997</v>
          </cell>
          <cell r="AE105">
            <v>4053708.57</v>
          </cell>
          <cell r="AF105">
            <v>4821569.8599999994</v>
          </cell>
          <cell r="AG105">
            <v>5619904.2899999991</v>
          </cell>
          <cell r="AH105">
            <v>6404732.5099999988</v>
          </cell>
          <cell r="AI105">
            <v>7379921.9399999985</v>
          </cell>
          <cell r="AJ105">
            <v>8203971.1399999987</v>
          </cell>
          <cell r="AK105">
            <v>8528416.7399999984</v>
          </cell>
          <cell r="AL105">
            <v>108942.93</v>
          </cell>
          <cell r="AM105">
            <v>200780.43</v>
          </cell>
          <cell r="AN105">
            <v>296034.07</v>
          </cell>
          <cell r="AO105">
            <v>428935.08999999997</v>
          </cell>
          <cell r="AP105">
            <v>589107.29</v>
          </cell>
          <cell r="AQ105">
            <v>766659.82000000007</v>
          </cell>
          <cell r="AR105">
            <v>1031132.2000000001</v>
          </cell>
          <cell r="AS105">
            <v>1206536.3500000001</v>
          </cell>
          <cell r="AT105">
            <v>1325539.7100000002</v>
          </cell>
          <cell r="AU105">
            <v>1424892.5400000003</v>
          </cell>
          <cell r="AV105">
            <v>1564492.1400000004</v>
          </cell>
          <cell r="AW105">
            <v>1717738.8200000003</v>
          </cell>
          <cell r="AX105">
            <v>1864503.6200000003</v>
          </cell>
          <cell r="AY105">
            <v>2112420.0300000003</v>
          </cell>
          <cell r="AZ105">
            <v>2493700.4400000004</v>
          </cell>
          <cell r="BA105">
            <v>3068112.4200000004</v>
          </cell>
          <cell r="BB105">
            <v>3296708.7500000005</v>
          </cell>
        </row>
        <row r="106">
          <cell r="A106" t="str">
            <v>ytd</v>
          </cell>
          <cell r="B106">
            <v>211596.79999999999</v>
          </cell>
          <cell r="C106">
            <v>443920.42</v>
          </cell>
          <cell r="D106">
            <v>900196.07000000007</v>
          </cell>
          <cell r="E106">
            <v>1276685.4300000002</v>
          </cell>
          <cell r="F106">
            <v>1736050.2500000002</v>
          </cell>
          <cell r="G106">
            <v>2315257</v>
          </cell>
          <cell r="H106">
            <v>3273035.8</v>
          </cell>
          <cell r="I106">
            <v>3935050.9</v>
          </cell>
          <cell r="J106">
            <v>4605614.1899999995</v>
          </cell>
          <cell r="K106">
            <v>5382206.8599999994</v>
          </cell>
          <cell r="L106">
            <v>6169285.7599999998</v>
          </cell>
          <cell r="M106">
            <v>7176973.9900000002</v>
          </cell>
          <cell r="N106">
            <v>8233473.4199999999</v>
          </cell>
          <cell r="O106">
            <v>8977589.3399999999</v>
          </cell>
          <cell r="P106">
            <v>9801649.3699999992</v>
          </cell>
          <cell r="Q106">
            <v>10433941.649999999</v>
          </cell>
          <cell r="R106">
            <v>11002936.929999998</v>
          </cell>
          <cell r="S106">
            <v>11537476.509999998</v>
          </cell>
          <cell r="T106">
            <v>12090157.779999997</v>
          </cell>
          <cell r="U106">
            <v>12680614.589999998</v>
          </cell>
          <cell r="V106">
            <v>13177395.809999999</v>
          </cell>
          <cell r="W106">
            <v>13776490.729999999</v>
          </cell>
          <cell r="X106">
            <v>14059642.989999998</v>
          </cell>
          <cell r="Y106">
            <v>14423284.299999999</v>
          </cell>
          <cell r="Z106">
            <v>14897093.989999998</v>
          </cell>
          <cell r="AA106">
            <v>15431377.949999999</v>
          </cell>
          <cell r="AB106">
            <v>16107989.939999999</v>
          </cell>
          <cell r="AC106">
            <v>16750050.73</v>
          </cell>
          <cell r="AD106">
            <v>17578693.210000001</v>
          </cell>
          <cell r="AE106">
            <v>18476992.870000001</v>
          </cell>
          <cell r="AF106">
            <v>19244854.16</v>
          </cell>
          <cell r="AG106">
            <v>20043188.59</v>
          </cell>
          <cell r="AH106">
            <v>20828016.809999999</v>
          </cell>
          <cell r="AI106">
            <v>21803206.239999998</v>
          </cell>
          <cell r="AJ106">
            <v>22627255.439999998</v>
          </cell>
          <cell r="AK106">
            <v>22951701.039999999</v>
          </cell>
          <cell r="AL106">
            <v>23060643.969999999</v>
          </cell>
          <cell r="AM106">
            <v>23152481.469999999</v>
          </cell>
          <cell r="AN106">
            <v>23247735.109999999</v>
          </cell>
          <cell r="AO106">
            <v>23380636.129999999</v>
          </cell>
          <cell r="AP106">
            <v>23540808.329999998</v>
          </cell>
          <cell r="AQ106">
            <v>23718360.859999999</v>
          </cell>
          <cell r="AR106">
            <v>23982833.239999998</v>
          </cell>
          <cell r="AS106">
            <v>24158237.389999997</v>
          </cell>
          <cell r="AT106">
            <v>24277240.749999996</v>
          </cell>
          <cell r="AU106">
            <v>24376593.579999994</v>
          </cell>
          <cell r="AV106">
            <v>24516193.179999996</v>
          </cell>
          <cell r="AW106">
            <v>24669439.859999996</v>
          </cell>
          <cell r="AX106">
            <v>24816204.659999996</v>
          </cell>
          <cell r="AY106">
            <v>25064121.069999997</v>
          </cell>
          <cell r="AZ106">
            <v>25445401.479999997</v>
          </cell>
          <cell r="BA106">
            <v>26019813.459999997</v>
          </cell>
          <cell r="BB106">
            <v>26248409.789999995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11560144.280000001</v>
          </cell>
          <cell r="C111">
            <v>10287549.32</v>
          </cell>
          <cell r="D111">
            <v>10296003.57</v>
          </cell>
          <cell r="E111">
            <v>9846806.0099999998</v>
          </cell>
          <cell r="F111">
            <v>10563472.140000001</v>
          </cell>
          <cell r="G111">
            <v>11359830.220000001</v>
          </cell>
          <cell r="H111">
            <v>15122207.140000002</v>
          </cell>
          <cell r="I111">
            <v>10572832.84</v>
          </cell>
          <cell r="J111">
            <v>10942567.26</v>
          </cell>
          <cell r="K111">
            <v>11545911.880000001</v>
          </cell>
          <cell r="L111">
            <v>11831515.690000001</v>
          </cell>
          <cell r="M111">
            <v>14595531.700000001</v>
          </cell>
          <cell r="N111">
            <v>11503243.729999999</v>
          </cell>
          <cell r="O111">
            <v>11608581.250000002</v>
          </cell>
          <cell r="P111">
            <v>11174440.140000001</v>
          </cell>
          <cell r="Q111">
            <v>11465202.65</v>
          </cell>
          <cell r="R111">
            <v>12643238.65</v>
          </cell>
          <cell r="S111">
            <v>12639158.059999999</v>
          </cell>
          <cell r="T111">
            <v>19085033.799999997</v>
          </cell>
          <cell r="U111">
            <v>15672208.760000002</v>
          </cell>
          <cell r="V111">
            <v>14393299.970000001</v>
          </cell>
          <cell r="W111">
            <v>14838196.460000001</v>
          </cell>
          <cell r="X111">
            <v>17646988.390000001</v>
          </cell>
          <cell r="Y111">
            <v>23465303.800000001</v>
          </cell>
          <cell r="Z111">
            <v>17164071.25</v>
          </cell>
          <cell r="AA111">
            <v>13242733.460000001</v>
          </cell>
          <cell r="AB111">
            <v>12364172.640000001</v>
          </cell>
          <cell r="AC111">
            <v>12208476.16</v>
          </cell>
          <cell r="AD111">
            <v>12854076.830000002</v>
          </cell>
          <cell r="AE111">
            <v>12556131.300000001</v>
          </cell>
          <cell r="AF111">
            <v>12910568.109999999</v>
          </cell>
          <cell r="AG111">
            <v>12828338.549999999</v>
          </cell>
          <cell r="AH111">
            <v>12893314.680000002</v>
          </cell>
          <cell r="AI111">
            <v>13588179.430000002</v>
          </cell>
          <cell r="AJ111">
            <v>12664423.130000001</v>
          </cell>
          <cell r="AK111">
            <v>11993189.810000001</v>
          </cell>
          <cell r="AL111">
            <v>11853907.91</v>
          </cell>
          <cell r="AM111">
            <v>12052980.390000001</v>
          </cell>
          <cell r="AN111">
            <v>11502995.870000001</v>
          </cell>
          <cell r="AO111">
            <v>12356204.030000001</v>
          </cell>
          <cell r="AP111">
            <v>11641462.439999999</v>
          </cell>
          <cell r="AQ111">
            <v>11825174.709999999</v>
          </cell>
          <cell r="AR111">
            <v>11587832.57</v>
          </cell>
          <cell r="AS111">
            <v>11736454.490000002</v>
          </cell>
          <cell r="AT111">
            <v>12952664.639999999</v>
          </cell>
          <cell r="AU111">
            <v>13189859.1</v>
          </cell>
          <cell r="AV111">
            <v>14693784.09</v>
          </cell>
          <cell r="AW111">
            <v>16232412.83</v>
          </cell>
          <cell r="AX111">
            <v>24646613.219999999</v>
          </cell>
          <cell r="AY111">
            <v>43133204.399999999</v>
          </cell>
          <cell r="AZ111">
            <v>93278079.329999983</v>
          </cell>
          <cell r="BA111">
            <v>109007861.77999999</v>
          </cell>
          <cell r="BB111">
            <v>14248512</v>
          </cell>
        </row>
        <row r="112">
          <cell r="A112" t="str">
            <v>ptd</v>
          </cell>
          <cell r="B112">
            <v>11560144.280000001</v>
          </cell>
          <cell r="C112">
            <v>21847693.600000001</v>
          </cell>
          <cell r="D112">
            <v>32143697.170000002</v>
          </cell>
          <cell r="E112">
            <v>41990503.18</v>
          </cell>
          <cell r="F112">
            <v>10563472.140000001</v>
          </cell>
          <cell r="G112">
            <v>21923302.359999999</v>
          </cell>
          <cell r="H112">
            <v>37045509.5</v>
          </cell>
          <cell r="I112">
            <v>47618342.340000004</v>
          </cell>
          <cell r="J112">
            <v>10942567.26</v>
          </cell>
          <cell r="K112">
            <v>22488479.140000001</v>
          </cell>
          <cell r="L112">
            <v>34319994.829999998</v>
          </cell>
          <cell r="M112">
            <v>48915526.530000001</v>
          </cell>
          <cell r="N112">
            <v>11503243.729999999</v>
          </cell>
          <cell r="O112">
            <v>23111824.98</v>
          </cell>
          <cell r="P112">
            <v>34286265.120000005</v>
          </cell>
          <cell r="Q112">
            <v>45751467.770000003</v>
          </cell>
          <cell r="R112">
            <v>12643238.65</v>
          </cell>
          <cell r="S112">
            <v>25282396.710000001</v>
          </cell>
          <cell r="T112">
            <v>44367430.509999998</v>
          </cell>
          <cell r="U112">
            <v>60039639.269999996</v>
          </cell>
          <cell r="V112">
            <v>14393299.970000001</v>
          </cell>
          <cell r="W112">
            <v>29231496.43</v>
          </cell>
          <cell r="X112">
            <v>46878484.82</v>
          </cell>
          <cell r="Y112">
            <v>70343788.620000005</v>
          </cell>
          <cell r="Z112">
            <v>17164071.25</v>
          </cell>
          <cell r="AA112">
            <v>30406804.710000001</v>
          </cell>
          <cell r="AB112">
            <v>42770977.350000001</v>
          </cell>
          <cell r="AC112">
            <v>54979453.510000005</v>
          </cell>
          <cell r="AD112">
            <v>12854076.830000002</v>
          </cell>
          <cell r="AE112">
            <v>25410208.130000003</v>
          </cell>
          <cell r="AF112">
            <v>38320776.240000002</v>
          </cell>
          <cell r="AG112">
            <v>51149114.789999999</v>
          </cell>
          <cell r="AH112">
            <v>12893314.680000002</v>
          </cell>
          <cell r="AI112">
            <v>26481494.110000003</v>
          </cell>
          <cell r="AJ112">
            <v>39145917.240000002</v>
          </cell>
          <cell r="AK112">
            <v>51139107.050000004</v>
          </cell>
          <cell r="AL112">
            <v>11853907.91</v>
          </cell>
          <cell r="AM112">
            <v>23906888.300000001</v>
          </cell>
          <cell r="AN112">
            <v>35409884.170000002</v>
          </cell>
          <cell r="AO112">
            <v>47766088.200000003</v>
          </cell>
          <cell r="AP112">
            <v>11641462.439999999</v>
          </cell>
          <cell r="AQ112">
            <v>23466637.149999999</v>
          </cell>
          <cell r="AR112">
            <v>35054469.719999999</v>
          </cell>
          <cell r="AS112">
            <v>46790924.210000001</v>
          </cell>
          <cell r="AT112">
            <v>12952664.639999999</v>
          </cell>
          <cell r="AU112">
            <v>26142523.739999998</v>
          </cell>
          <cell r="AV112">
            <v>40836307.829999998</v>
          </cell>
          <cell r="AW112">
            <v>57068720.659999996</v>
          </cell>
          <cell r="AX112">
            <v>24646613.219999999</v>
          </cell>
          <cell r="AY112">
            <v>67779817.620000005</v>
          </cell>
          <cell r="AZ112">
            <v>161057896.94999999</v>
          </cell>
          <cell r="BA112">
            <v>270065758.72999996</v>
          </cell>
          <cell r="BB112">
            <v>284314270.72999996</v>
          </cell>
        </row>
        <row r="113">
          <cell r="A113" t="str">
            <v>qtd</v>
          </cell>
          <cell r="B113">
            <v>11560144.280000001</v>
          </cell>
          <cell r="C113">
            <v>21847693.600000001</v>
          </cell>
          <cell r="D113">
            <v>32143697.170000002</v>
          </cell>
          <cell r="E113">
            <v>41990503.18</v>
          </cell>
          <cell r="F113">
            <v>52553975.32</v>
          </cell>
          <cell r="G113">
            <v>63913805.539999999</v>
          </cell>
          <cell r="H113">
            <v>79036012.680000007</v>
          </cell>
          <cell r="I113">
            <v>89608845.520000011</v>
          </cell>
          <cell r="J113">
            <v>100551412.78000002</v>
          </cell>
          <cell r="K113">
            <v>112097324.66000001</v>
          </cell>
          <cell r="L113">
            <v>123928840.35000001</v>
          </cell>
          <cell r="M113">
            <v>138524372.05000001</v>
          </cell>
          <cell r="N113">
            <v>11503243.729999999</v>
          </cell>
          <cell r="O113">
            <v>23111824.98</v>
          </cell>
          <cell r="P113">
            <v>34286265.120000005</v>
          </cell>
          <cell r="Q113">
            <v>45751467.770000003</v>
          </cell>
          <cell r="R113">
            <v>58394706.420000002</v>
          </cell>
          <cell r="S113">
            <v>71033864.480000004</v>
          </cell>
          <cell r="T113">
            <v>90118898.280000001</v>
          </cell>
          <cell r="U113">
            <v>105791107.04000001</v>
          </cell>
          <cell r="V113">
            <v>120184407.01000001</v>
          </cell>
          <cell r="W113">
            <v>135022603.47</v>
          </cell>
          <cell r="X113">
            <v>152669591.86000001</v>
          </cell>
          <cell r="Y113">
            <v>176134895.66000003</v>
          </cell>
          <cell r="Z113">
            <v>17164071.25</v>
          </cell>
          <cell r="AA113">
            <v>30406804.710000001</v>
          </cell>
          <cell r="AB113">
            <v>42770977.350000001</v>
          </cell>
          <cell r="AC113">
            <v>54979453.510000005</v>
          </cell>
          <cell r="AD113">
            <v>67833530.340000004</v>
          </cell>
          <cell r="AE113">
            <v>80389661.640000001</v>
          </cell>
          <cell r="AF113">
            <v>93300229.75</v>
          </cell>
          <cell r="AG113">
            <v>106128568.3</v>
          </cell>
          <cell r="AH113">
            <v>119021882.98</v>
          </cell>
          <cell r="AI113">
            <v>132610062.41000001</v>
          </cell>
          <cell r="AJ113">
            <v>145274485.54000002</v>
          </cell>
          <cell r="AK113">
            <v>157267675.35000002</v>
          </cell>
          <cell r="AL113">
            <v>11853907.91</v>
          </cell>
          <cell r="AM113">
            <v>23906888.300000001</v>
          </cell>
          <cell r="AN113">
            <v>35409884.170000002</v>
          </cell>
          <cell r="AO113">
            <v>47766088.200000003</v>
          </cell>
          <cell r="AP113">
            <v>59407550.640000001</v>
          </cell>
          <cell r="AQ113">
            <v>71232725.349999994</v>
          </cell>
          <cell r="AR113">
            <v>82820557.919999987</v>
          </cell>
          <cell r="AS113">
            <v>94557012.409999996</v>
          </cell>
          <cell r="AT113">
            <v>107509677.05</v>
          </cell>
          <cell r="AU113">
            <v>120699536.14999999</v>
          </cell>
          <cell r="AV113">
            <v>135393320.23999998</v>
          </cell>
          <cell r="AW113">
            <v>151625733.06999999</v>
          </cell>
          <cell r="AX113">
            <v>176272346.28999999</v>
          </cell>
          <cell r="AY113">
            <v>219405550.69</v>
          </cell>
          <cell r="AZ113">
            <v>312683630.01999998</v>
          </cell>
          <cell r="BA113">
            <v>421691491.79999995</v>
          </cell>
          <cell r="BB113">
            <v>435940003.79999995</v>
          </cell>
        </row>
        <row r="114">
          <cell r="A114" t="str">
            <v>ytd</v>
          </cell>
          <cell r="B114">
            <v>11560144.280000001</v>
          </cell>
          <cell r="C114">
            <v>21847693.600000001</v>
          </cell>
          <cell r="D114">
            <v>32143697.170000002</v>
          </cell>
          <cell r="E114">
            <v>41990503.18</v>
          </cell>
          <cell r="F114">
            <v>52553975.32</v>
          </cell>
          <cell r="G114">
            <v>63913805.539999999</v>
          </cell>
          <cell r="H114">
            <v>79036012.680000007</v>
          </cell>
          <cell r="I114">
            <v>89608845.520000011</v>
          </cell>
          <cell r="J114">
            <v>100551412.78000002</v>
          </cell>
          <cell r="K114">
            <v>112097324.66000001</v>
          </cell>
          <cell r="L114">
            <v>123928840.35000001</v>
          </cell>
          <cell r="M114">
            <v>138524372.05000001</v>
          </cell>
          <cell r="N114">
            <v>150027615.78</v>
          </cell>
          <cell r="O114">
            <v>161636197.03</v>
          </cell>
          <cell r="P114">
            <v>172810637.17000002</v>
          </cell>
          <cell r="Q114">
            <v>184275839.82000002</v>
          </cell>
          <cell r="R114">
            <v>196919078.47000003</v>
          </cell>
          <cell r="S114">
            <v>209558236.53000003</v>
          </cell>
          <cell r="T114">
            <v>228643270.33000004</v>
          </cell>
          <cell r="U114">
            <v>244315479.09000003</v>
          </cell>
          <cell r="V114">
            <v>258708779.06000003</v>
          </cell>
          <cell r="W114">
            <v>273546975.52000004</v>
          </cell>
          <cell r="X114">
            <v>291193963.91000003</v>
          </cell>
          <cell r="Y114">
            <v>314659267.71000004</v>
          </cell>
          <cell r="Z114">
            <v>331823338.96000004</v>
          </cell>
          <cell r="AA114">
            <v>345066072.42000002</v>
          </cell>
          <cell r="AB114">
            <v>357430245.06</v>
          </cell>
          <cell r="AC114">
            <v>369638721.22000003</v>
          </cell>
          <cell r="AD114">
            <v>382492798.05000001</v>
          </cell>
          <cell r="AE114">
            <v>395048929.35000002</v>
          </cell>
          <cell r="AF114">
            <v>407959497.46000004</v>
          </cell>
          <cell r="AG114">
            <v>420787836.01000005</v>
          </cell>
          <cell r="AH114">
            <v>433681150.69000006</v>
          </cell>
          <cell r="AI114">
            <v>447269330.12000006</v>
          </cell>
          <cell r="AJ114">
            <v>459933753.25000006</v>
          </cell>
          <cell r="AK114">
            <v>471926943.06000006</v>
          </cell>
          <cell r="AL114">
            <v>483780850.97000009</v>
          </cell>
          <cell r="AM114">
            <v>495833831.36000007</v>
          </cell>
          <cell r="AN114">
            <v>507336827.23000008</v>
          </cell>
          <cell r="AO114">
            <v>519693031.26000011</v>
          </cell>
          <cell r="AP114">
            <v>531334493.70000011</v>
          </cell>
          <cell r="AQ114">
            <v>543159668.41000009</v>
          </cell>
          <cell r="AR114">
            <v>554747500.98000014</v>
          </cell>
          <cell r="AS114">
            <v>566483955.47000015</v>
          </cell>
          <cell r="AT114">
            <v>579436620.11000013</v>
          </cell>
          <cell r="AU114">
            <v>592626479.21000016</v>
          </cell>
          <cell r="AV114">
            <v>607320263.30000019</v>
          </cell>
          <cell r="AW114">
            <v>623552676.13000023</v>
          </cell>
          <cell r="AX114">
            <v>648199289.35000026</v>
          </cell>
          <cell r="AY114">
            <v>691332493.75000024</v>
          </cell>
          <cell r="AZ114">
            <v>784610573.08000016</v>
          </cell>
          <cell r="BA114">
            <v>893618434.86000013</v>
          </cell>
          <cell r="BB114">
            <v>907866946.86000013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222593.69</v>
          </cell>
          <cell r="C117">
            <v>177895.84</v>
          </cell>
          <cell r="D117">
            <v>176883.4</v>
          </cell>
          <cell r="E117">
            <v>155613.93</v>
          </cell>
          <cell r="F117">
            <v>171666.49</v>
          </cell>
          <cell r="G117">
            <v>189033.26</v>
          </cell>
          <cell r="H117">
            <v>324305.19</v>
          </cell>
          <cell r="I117">
            <v>155500.87</v>
          </cell>
          <cell r="J117">
            <v>167619.06</v>
          </cell>
          <cell r="K117">
            <v>169884.92</v>
          </cell>
          <cell r="L117">
            <v>191329.7</v>
          </cell>
          <cell r="M117">
            <v>347624.07</v>
          </cell>
          <cell r="N117">
            <v>186309.02</v>
          </cell>
          <cell r="O117">
            <v>172630.24</v>
          </cell>
          <cell r="P117">
            <v>166321.14000000001</v>
          </cell>
          <cell r="Q117">
            <v>186281.39</v>
          </cell>
          <cell r="R117">
            <v>222149.04</v>
          </cell>
          <cell r="S117">
            <v>209618.1</v>
          </cell>
          <cell r="T117">
            <v>402468.56</v>
          </cell>
          <cell r="U117">
            <v>308630.92</v>
          </cell>
          <cell r="V117">
            <v>258403.79</v>
          </cell>
          <cell r="W117">
            <v>288059.63</v>
          </cell>
          <cell r="X117">
            <v>352504.16</v>
          </cell>
          <cell r="Y117">
            <v>618468.49</v>
          </cell>
          <cell r="Z117">
            <v>440330.92</v>
          </cell>
          <cell r="AA117">
            <v>252245.33</v>
          </cell>
          <cell r="AB117">
            <v>236336.2</v>
          </cell>
          <cell r="AC117">
            <v>240899.08</v>
          </cell>
          <cell r="AD117">
            <v>267411.48</v>
          </cell>
          <cell r="AE117">
            <v>255714.81</v>
          </cell>
          <cell r="AF117">
            <v>267007.5</v>
          </cell>
          <cell r="AG117">
            <v>239373.19</v>
          </cell>
          <cell r="AH117">
            <v>236144.93</v>
          </cell>
          <cell r="AI117">
            <v>235268.3</v>
          </cell>
          <cell r="AJ117">
            <v>212647.22</v>
          </cell>
          <cell r="AK117">
            <v>200220.45</v>
          </cell>
          <cell r="AL117">
            <v>201648.36</v>
          </cell>
          <cell r="AM117">
            <v>205112.04</v>
          </cell>
          <cell r="AN117">
            <v>206341.09</v>
          </cell>
          <cell r="AO117">
            <v>207359.13</v>
          </cell>
          <cell r="AP117">
            <v>206009.49</v>
          </cell>
          <cell r="AQ117">
            <v>254263.06</v>
          </cell>
          <cell r="AR117">
            <v>239466.96</v>
          </cell>
          <cell r="AS117">
            <v>264581.34000000003</v>
          </cell>
          <cell r="AT117">
            <v>275724.78000000003</v>
          </cell>
          <cell r="AU117">
            <v>301638.55</v>
          </cell>
          <cell r="AV117">
            <v>337394.76</v>
          </cell>
          <cell r="AW117">
            <v>423568.93</v>
          </cell>
          <cell r="AX117">
            <v>679661.49</v>
          </cell>
          <cell r="AY117">
            <v>1280057.1499999999</v>
          </cell>
          <cell r="AZ117">
            <v>3018604.55</v>
          </cell>
          <cell r="BA117">
            <v>4153869.78</v>
          </cell>
          <cell r="BB117">
            <v>400517.52</v>
          </cell>
        </row>
        <row r="118">
          <cell r="A118" t="str">
            <v>ptd</v>
          </cell>
          <cell r="B118">
            <v>222593.69</v>
          </cell>
          <cell r="C118">
            <v>400489.53</v>
          </cell>
          <cell r="D118">
            <v>577372.93000000005</v>
          </cell>
          <cell r="E118">
            <v>732986.8600000001</v>
          </cell>
          <cell r="F118">
            <v>171666.49</v>
          </cell>
          <cell r="G118">
            <v>360699.75</v>
          </cell>
          <cell r="H118">
            <v>685004.94</v>
          </cell>
          <cell r="I118">
            <v>840505.80999999994</v>
          </cell>
          <cell r="J118">
            <v>167619.06</v>
          </cell>
          <cell r="K118">
            <v>337503.98</v>
          </cell>
          <cell r="L118">
            <v>528833.67999999993</v>
          </cell>
          <cell r="M118">
            <v>876457.75</v>
          </cell>
          <cell r="N118">
            <v>186309.02</v>
          </cell>
          <cell r="O118">
            <v>358939.26</v>
          </cell>
          <cell r="P118">
            <v>525260.4</v>
          </cell>
          <cell r="Q118">
            <v>711541.79</v>
          </cell>
          <cell r="R118">
            <v>222149.04</v>
          </cell>
          <cell r="S118">
            <v>431767.14</v>
          </cell>
          <cell r="T118">
            <v>834235.7</v>
          </cell>
          <cell r="U118">
            <v>1142866.6199999999</v>
          </cell>
          <cell r="V118">
            <v>258403.79</v>
          </cell>
          <cell r="W118">
            <v>546463.42000000004</v>
          </cell>
          <cell r="X118">
            <v>898967.58000000007</v>
          </cell>
          <cell r="Y118">
            <v>1517436.07</v>
          </cell>
          <cell r="Z118">
            <v>440330.92</v>
          </cell>
          <cell r="AA118">
            <v>692576.25</v>
          </cell>
          <cell r="AB118">
            <v>928912.45</v>
          </cell>
          <cell r="AC118">
            <v>1169811.53</v>
          </cell>
          <cell r="AD118">
            <v>267411.48</v>
          </cell>
          <cell r="AE118">
            <v>523126.29</v>
          </cell>
          <cell r="AF118">
            <v>790133.79</v>
          </cell>
          <cell r="AG118">
            <v>1029506.98</v>
          </cell>
          <cell r="AH118">
            <v>236144.93</v>
          </cell>
          <cell r="AI118">
            <v>471413.23</v>
          </cell>
          <cell r="AJ118">
            <v>684060.45</v>
          </cell>
          <cell r="AK118">
            <v>884280.89999999991</v>
          </cell>
          <cell r="AL118">
            <v>201648.36</v>
          </cell>
          <cell r="AM118">
            <v>406760.4</v>
          </cell>
          <cell r="AN118">
            <v>613101.49</v>
          </cell>
          <cell r="AO118">
            <v>820460.62</v>
          </cell>
          <cell r="AP118">
            <v>206009.49</v>
          </cell>
          <cell r="AQ118">
            <v>460272.55</v>
          </cell>
          <cell r="AR118">
            <v>699739.51</v>
          </cell>
          <cell r="AS118">
            <v>964320.85000000009</v>
          </cell>
          <cell r="AT118">
            <v>275724.78000000003</v>
          </cell>
          <cell r="AU118">
            <v>577363.33000000007</v>
          </cell>
          <cell r="AV118">
            <v>914758.09000000008</v>
          </cell>
          <cell r="AW118">
            <v>1338327.02</v>
          </cell>
          <cell r="AX118">
            <v>679661.49</v>
          </cell>
          <cell r="AY118">
            <v>1959718.64</v>
          </cell>
          <cell r="AZ118">
            <v>4978323.1899999995</v>
          </cell>
          <cell r="BA118">
            <v>9132192.9699999988</v>
          </cell>
          <cell r="BB118">
            <v>9532710.4899999984</v>
          </cell>
        </row>
        <row r="119">
          <cell r="A119" t="str">
            <v>qtd</v>
          </cell>
          <cell r="B119">
            <v>222593.69</v>
          </cell>
          <cell r="C119">
            <v>400489.53</v>
          </cell>
          <cell r="D119">
            <v>577372.93000000005</v>
          </cell>
          <cell r="E119">
            <v>732986.8600000001</v>
          </cell>
          <cell r="F119">
            <v>904653.35000000009</v>
          </cell>
          <cell r="G119">
            <v>1093686.6100000001</v>
          </cell>
          <cell r="H119">
            <v>1417991.8</v>
          </cell>
          <cell r="I119">
            <v>1573492.67</v>
          </cell>
          <cell r="J119">
            <v>1741111.73</v>
          </cell>
          <cell r="K119">
            <v>1910996.65</v>
          </cell>
          <cell r="L119">
            <v>2102326.35</v>
          </cell>
          <cell r="M119">
            <v>2449950.42</v>
          </cell>
          <cell r="N119">
            <v>186309.02</v>
          </cell>
          <cell r="O119">
            <v>358939.26</v>
          </cell>
          <cell r="P119">
            <v>525260.4</v>
          </cell>
          <cell r="Q119">
            <v>711541.79</v>
          </cell>
          <cell r="R119">
            <v>933690.83000000007</v>
          </cell>
          <cell r="S119">
            <v>1143308.9300000002</v>
          </cell>
          <cell r="T119">
            <v>1545777.4900000002</v>
          </cell>
          <cell r="U119">
            <v>1854408.4100000001</v>
          </cell>
          <cell r="V119">
            <v>2112812.2000000002</v>
          </cell>
          <cell r="W119">
            <v>2400871.83</v>
          </cell>
          <cell r="X119">
            <v>2753375.99</v>
          </cell>
          <cell r="Y119">
            <v>3371844.4800000004</v>
          </cell>
          <cell r="Z119">
            <v>440330.92</v>
          </cell>
          <cell r="AA119">
            <v>692576.25</v>
          </cell>
          <cell r="AB119">
            <v>928912.45</v>
          </cell>
          <cell r="AC119">
            <v>1169811.53</v>
          </cell>
          <cell r="AD119">
            <v>1437223.01</v>
          </cell>
          <cell r="AE119">
            <v>1692937.82</v>
          </cell>
          <cell r="AF119">
            <v>1959945.32</v>
          </cell>
          <cell r="AG119">
            <v>2199318.5100000002</v>
          </cell>
          <cell r="AH119">
            <v>2435463.4400000004</v>
          </cell>
          <cell r="AI119">
            <v>2670731.7400000002</v>
          </cell>
          <cell r="AJ119">
            <v>2883378.9600000004</v>
          </cell>
          <cell r="AK119">
            <v>3083599.4100000006</v>
          </cell>
          <cell r="AL119">
            <v>201648.36</v>
          </cell>
          <cell r="AM119">
            <v>406760.4</v>
          </cell>
          <cell r="AN119">
            <v>613101.49</v>
          </cell>
          <cell r="AO119">
            <v>820460.62</v>
          </cell>
          <cell r="AP119">
            <v>1026470.11</v>
          </cell>
          <cell r="AQ119">
            <v>1280733.17</v>
          </cell>
          <cell r="AR119">
            <v>1520200.13</v>
          </cell>
          <cell r="AS119">
            <v>1784781.47</v>
          </cell>
          <cell r="AT119">
            <v>2060506.25</v>
          </cell>
          <cell r="AU119">
            <v>2362144.7999999998</v>
          </cell>
          <cell r="AV119">
            <v>2699539.5599999996</v>
          </cell>
          <cell r="AW119">
            <v>3123108.4899999998</v>
          </cell>
          <cell r="AX119">
            <v>3802769.9799999995</v>
          </cell>
          <cell r="AY119">
            <v>5082827.129999999</v>
          </cell>
          <cell r="AZ119">
            <v>8101431.6799999988</v>
          </cell>
          <cell r="BA119">
            <v>12255301.459999999</v>
          </cell>
          <cell r="BB119">
            <v>12655818.979999999</v>
          </cell>
        </row>
        <row r="120">
          <cell r="A120" t="str">
            <v>ytd</v>
          </cell>
          <cell r="B120">
            <v>222593.69</v>
          </cell>
          <cell r="C120">
            <v>400489.53</v>
          </cell>
          <cell r="D120">
            <v>577372.93000000005</v>
          </cell>
          <cell r="E120">
            <v>732986.8600000001</v>
          </cell>
          <cell r="F120">
            <v>904653.35000000009</v>
          </cell>
          <cell r="G120">
            <v>1093686.6100000001</v>
          </cell>
          <cell r="H120">
            <v>1417991.8</v>
          </cell>
          <cell r="I120">
            <v>1573492.67</v>
          </cell>
          <cell r="J120">
            <v>1741111.73</v>
          </cell>
          <cell r="K120">
            <v>1910996.65</v>
          </cell>
          <cell r="L120">
            <v>2102326.35</v>
          </cell>
          <cell r="M120">
            <v>2449950.42</v>
          </cell>
          <cell r="N120">
            <v>2636259.44</v>
          </cell>
          <cell r="O120">
            <v>2808889.6799999997</v>
          </cell>
          <cell r="P120">
            <v>2975210.82</v>
          </cell>
          <cell r="Q120">
            <v>3161492.21</v>
          </cell>
          <cell r="R120">
            <v>3383641.25</v>
          </cell>
          <cell r="S120">
            <v>3593259.35</v>
          </cell>
          <cell r="T120">
            <v>3995727.91</v>
          </cell>
          <cell r="U120">
            <v>4304358.83</v>
          </cell>
          <cell r="V120">
            <v>4562762.62</v>
          </cell>
          <cell r="W120">
            <v>4850822.25</v>
          </cell>
          <cell r="X120">
            <v>5203326.41</v>
          </cell>
          <cell r="Y120">
            <v>5821794.9000000004</v>
          </cell>
          <cell r="Z120">
            <v>6262125.8200000003</v>
          </cell>
          <cell r="AA120">
            <v>6514371.1500000004</v>
          </cell>
          <cell r="AB120">
            <v>6750707.3500000006</v>
          </cell>
          <cell r="AC120">
            <v>6991606.4300000006</v>
          </cell>
          <cell r="AD120">
            <v>7259017.9100000001</v>
          </cell>
          <cell r="AE120">
            <v>7514732.7199999997</v>
          </cell>
          <cell r="AF120">
            <v>7781740.2199999997</v>
          </cell>
          <cell r="AG120">
            <v>8021113.4100000001</v>
          </cell>
          <cell r="AH120">
            <v>8257258.3399999999</v>
          </cell>
          <cell r="AI120">
            <v>8492526.6400000006</v>
          </cell>
          <cell r="AJ120">
            <v>8705173.8600000013</v>
          </cell>
          <cell r="AK120">
            <v>8905394.3100000005</v>
          </cell>
          <cell r="AL120">
            <v>9107042.6699999999</v>
          </cell>
          <cell r="AM120">
            <v>9312154.709999999</v>
          </cell>
          <cell r="AN120">
            <v>9518495.7999999989</v>
          </cell>
          <cell r="AO120">
            <v>9725854.9299999997</v>
          </cell>
          <cell r="AP120">
            <v>9931864.4199999999</v>
          </cell>
          <cell r="AQ120">
            <v>10186127.48</v>
          </cell>
          <cell r="AR120">
            <v>10425594.440000001</v>
          </cell>
          <cell r="AS120">
            <v>10690175.780000001</v>
          </cell>
          <cell r="AT120">
            <v>10965900.560000001</v>
          </cell>
          <cell r="AU120">
            <v>11267539.110000001</v>
          </cell>
          <cell r="AV120">
            <v>11604933.870000001</v>
          </cell>
          <cell r="AW120">
            <v>12028502.800000001</v>
          </cell>
          <cell r="AX120">
            <v>12708164.290000001</v>
          </cell>
          <cell r="AY120">
            <v>13988221.440000001</v>
          </cell>
          <cell r="AZ120">
            <v>17006825.990000002</v>
          </cell>
          <cell r="BA120">
            <v>21160695.770000003</v>
          </cell>
          <cell r="BB120">
            <v>21561213.290000003</v>
          </cell>
        </row>
        <row r="121">
          <cell r="A121" t="str">
            <v>PART</v>
          </cell>
          <cell r="B121">
            <v>13167337.98</v>
          </cell>
          <cell r="C121">
            <v>10658626.890000001</v>
          </cell>
          <cell r="D121">
            <v>10151384.25</v>
          </cell>
          <cell r="E121">
            <v>9981556.5800000001</v>
          </cell>
          <cell r="F121">
            <v>10460774.66</v>
          </cell>
          <cell r="G121">
            <v>11785820.52</v>
          </cell>
          <cell r="H121">
            <v>18824988.75</v>
          </cell>
          <cell r="I121">
            <v>10319121.91</v>
          </cell>
          <cell r="J121">
            <v>10792863.279999999</v>
          </cell>
          <cell r="K121">
            <v>11215798</v>
          </cell>
          <cell r="L121">
            <v>12303046.91</v>
          </cell>
          <cell r="M121">
            <v>18883752.52</v>
          </cell>
          <cell r="N121">
            <v>11180974.890000001</v>
          </cell>
          <cell r="O121">
            <v>11194883.77</v>
          </cell>
          <cell r="P121">
            <v>11098860.939999999</v>
          </cell>
          <cell r="Q121">
            <v>11737869.4</v>
          </cell>
          <cell r="R121">
            <v>13795459.630000001</v>
          </cell>
          <cell r="S121">
            <v>14054864.289999999</v>
          </cell>
          <cell r="T121">
            <v>26849893.649999999</v>
          </cell>
          <cell r="U121">
            <v>19468342.489999998</v>
          </cell>
          <cell r="V121">
            <v>16294607.07</v>
          </cell>
          <cell r="W121">
            <v>16468858.470000001</v>
          </cell>
          <cell r="X121">
            <v>19848838.800000001</v>
          </cell>
          <cell r="Y121">
            <v>33323368.649999999</v>
          </cell>
          <cell r="Z121">
            <v>24078903.640000001</v>
          </cell>
          <cell r="AA121">
            <v>15747302.050000001</v>
          </cell>
          <cell r="AB121">
            <v>13031451.460000001</v>
          </cell>
          <cell r="AC121">
            <v>12854148.27</v>
          </cell>
          <cell r="AD121">
            <v>13374277.9</v>
          </cell>
          <cell r="AE121">
            <v>13295276.09</v>
          </cell>
          <cell r="AF121">
            <v>13841360.300000001</v>
          </cell>
          <cell r="AG121">
            <v>13695434.880000001</v>
          </cell>
          <cell r="AH121">
            <v>13697686.27</v>
          </cell>
          <cell r="AI121">
            <v>13584538.300000001</v>
          </cell>
          <cell r="AJ121">
            <v>13187793.380000001</v>
          </cell>
          <cell r="AK121">
            <v>12882092.439999999</v>
          </cell>
          <cell r="AL121">
            <v>13177673.85</v>
          </cell>
          <cell r="AM121">
            <v>13329449.470000001</v>
          </cell>
          <cell r="AN121">
            <v>13180974.15</v>
          </cell>
          <cell r="AO121">
            <v>13482275.08</v>
          </cell>
          <cell r="AP121">
            <v>13298259.029999999</v>
          </cell>
          <cell r="AQ121">
            <v>14617988.17</v>
          </cell>
          <cell r="AR121">
            <v>13829297.76</v>
          </cell>
          <cell r="AS121">
            <v>14486151.35</v>
          </cell>
          <cell r="AT121">
            <v>15162381.359999999</v>
          </cell>
          <cell r="AU121">
            <v>17131224.420000002</v>
          </cell>
          <cell r="AV121">
            <v>19966168.100000001</v>
          </cell>
          <cell r="AW121">
            <v>26171159.629999999</v>
          </cell>
          <cell r="AX121">
            <v>40165105.939999998</v>
          </cell>
          <cell r="AY121">
            <v>72397466.980000004</v>
          </cell>
          <cell r="AZ121">
            <v>156257493.69999999</v>
          </cell>
          <cell r="BA121">
            <v>207331447.84</v>
          </cell>
          <cell r="BB121">
            <v>21498704.120000001</v>
          </cell>
        </row>
        <row r="122">
          <cell r="A122" t="str">
            <v>ptd</v>
          </cell>
          <cell r="B122">
            <v>13167337.98</v>
          </cell>
          <cell r="C122">
            <v>23825964.870000001</v>
          </cell>
          <cell r="D122">
            <v>33977349.120000005</v>
          </cell>
          <cell r="E122">
            <v>43958905.700000003</v>
          </cell>
          <cell r="F122">
            <v>10460774.66</v>
          </cell>
          <cell r="G122">
            <v>22246595.18</v>
          </cell>
          <cell r="H122">
            <v>41071583.93</v>
          </cell>
          <cell r="I122">
            <v>51390705.840000004</v>
          </cell>
          <cell r="J122">
            <v>10792863.279999999</v>
          </cell>
          <cell r="K122">
            <v>22008661.280000001</v>
          </cell>
          <cell r="L122">
            <v>34311708.189999998</v>
          </cell>
          <cell r="M122">
            <v>53195460.709999993</v>
          </cell>
          <cell r="N122">
            <v>11180974.890000001</v>
          </cell>
          <cell r="O122">
            <v>22375858.66</v>
          </cell>
          <cell r="P122">
            <v>33474719.600000001</v>
          </cell>
          <cell r="Q122">
            <v>45212589</v>
          </cell>
          <cell r="R122">
            <v>13795459.630000001</v>
          </cell>
          <cell r="S122">
            <v>27850323.920000002</v>
          </cell>
          <cell r="T122">
            <v>54700217.57</v>
          </cell>
          <cell r="U122">
            <v>74168560.060000002</v>
          </cell>
          <cell r="V122">
            <v>16294607.07</v>
          </cell>
          <cell r="W122">
            <v>32763465.539999999</v>
          </cell>
          <cell r="X122">
            <v>52612304.340000004</v>
          </cell>
          <cell r="Y122">
            <v>85935672.99000001</v>
          </cell>
          <cell r="Z122">
            <v>24078903.640000001</v>
          </cell>
          <cell r="AA122">
            <v>39826205.689999998</v>
          </cell>
          <cell r="AB122">
            <v>52857657.149999999</v>
          </cell>
          <cell r="AC122">
            <v>65711805.420000002</v>
          </cell>
          <cell r="AD122">
            <v>13374277.9</v>
          </cell>
          <cell r="AE122">
            <v>26669553.990000002</v>
          </cell>
          <cell r="AF122">
            <v>40510914.290000007</v>
          </cell>
          <cell r="AG122">
            <v>54206349.170000009</v>
          </cell>
          <cell r="AH122">
            <v>13697686.27</v>
          </cell>
          <cell r="AI122">
            <v>27282224.57</v>
          </cell>
          <cell r="AJ122">
            <v>40470017.950000003</v>
          </cell>
          <cell r="AK122">
            <v>53352110.390000001</v>
          </cell>
          <cell r="AL122">
            <v>13177673.85</v>
          </cell>
          <cell r="AM122">
            <v>26507123.32</v>
          </cell>
          <cell r="AN122">
            <v>39688097.469999999</v>
          </cell>
          <cell r="AO122">
            <v>53170372.549999997</v>
          </cell>
          <cell r="AP122">
            <v>13298259.029999999</v>
          </cell>
          <cell r="AQ122">
            <v>27916247.199999999</v>
          </cell>
          <cell r="AR122">
            <v>41745544.960000001</v>
          </cell>
          <cell r="AS122">
            <v>56231696.310000002</v>
          </cell>
          <cell r="AT122">
            <v>15162381.359999999</v>
          </cell>
          <cell r="AU122">
            <v>32293605.780000001</v>
          </cell>
          <cell r="AV122">
            <v>52259773.880000003</v>
          </cell>
          <cell r="AW122">
            <v>78430933.510000005</v>
          </cell>
          <cell r="AX122">
            <v>40165105.939999998</v>
          </cell>
          <cell r="AY122">
            <v>112562572.92</v>
          </cell>
          <cell r="AZ122">
            <v>268820066.62</v>
          </cell>
          <cell r="BA122">
            <v>476151514.46000004</v>
          </cell>
          <cell r="BB122">
            <v>497650218.58000004</v>
          </cell>
        </row>
        <row r="123">
          <cell r="A123" t="str">
            <v>qtd</v>
          </cell>
          <cell r="B123">
            <v>13167337.98</v>
          </cell>
          <cell r="C123">
            <v>23825964.870000001</v>
          </cell>
          <cell r="D123">
            <v>33977349.120000005</v>
          </cell>
          <cell r="E123">
            <v>43958905.700000003</v>
          </cell>
          <cell r="F123">
            <v>54419680.359999999</v>
          </cell>
          <cell r="G123">
            <v>66205500.879999995</v>
          </cell>
          <cell r="H123">
            <v>85030489.629999995</v>
          </cell>
          <cell r="I123">
            <v>95349611.539999992</v>
          </cell>
          <cell r="J123">
            <v>106142474.81999999</v>
          </cell>
          <cell r="K123">
            <v>117358272.81999999</v>
          </cell>
          <cell r="L123">
            <v>129661319.72999999</v>
          </cell>
          <cell r="M123">
            <v>148545072.25</v>
          </cell>
          <cell r="N123">
            <v>11180974.890000001</v>
          </cell>
          <cell r="O123">
            <v>22375858.66</v>
          </cell>
          <cell r="P123">
            <v>33474719.600000001</v>
          </cell>
          <cell r="Q123">
            <v>45212589</v>
          </cell>
          <cell r="R123">
            <v>59008048.630000003</v>
          </cell>
          <cell r="S123">
            <v>73062912.920000002</v>
          </cell>
          <cell r="T123">
            <v>99912806.569999993</v>
          </cell>
          <cell r="U123">
            <v>119381149.05999999</v>
          </cell>
          <cell r="V123">
            <v>135675756.13</v>
          </cell>
          <cell r="W123">
            <v>152144614.59999999</v>
          </cell>
          <cell r="X123">
            <v>171993453.40000001</v>
          </cell>
          <cell r="Y123">
            <v>205316822.05000001</v>
          </cell>
          <cell r="Z123">
            <v>24078903.640000001</v>
          </cell>
          <cell r="AA123">
            <v>39826205.689999998</v>
          </cell>
          <cell r="AB123">
            <v>52857657.149999999</v>
          </cell>
          <cell r="AC123">
            <v>65711805.420000002</v>
          </cell>
          <cell r="AD123">
            <v>79086083.320000008</v>
          </cell>
          <cell r="AE123">
            <v>92381359.410000011</v>
          </cell>
          <cell r="AF123">
            <v>106222719.71000001</v>
          </cell>
          <cell r="AG123">
            <v>119918154.59</v>
          </cell>
          <cell r="AH123">
            <v>133615840.86</v>
          </cell>
          <cell r="AI123">
            <v>147200379.16</v>
          </cell>
          <cell r="AJ123">
            <v>160388172.53999999</v>
          </cell>
          <cell r="AK123">
            <v>173270264.97999999</v>
          </cell>
          <cell r="AL123">
            <v>13177673.85</v>
          </cell>
          <cell r="AM123">
            <v>26507123.32</v>
          </cell>
          <cell r="AN123">
            <v>39688097.469999999</v>
          </cell>
          <cell r="AO123">
            <v>53170372.549999997</v>
          </cell>
          <cell r="AP123">
            <v>66468631.579999998</v>
          </cell>
          <cell r="AQ123">
            <v>81086619.75</v>
          </cell>
          <cell r="AR123">
            <v>94915917.510000005</v>
          </cell>
          <cell r="AS123">
            <v>109402068.86</v>
          </cell>
          <cell r="AT123">
            <v>124564450.22</v>
          </cell>
          <cell r="AU123">
            <v>141695674.63999999</v>
          </cell>
          <cell r="AV123">
            <v>161661842.73999998</v>
          </cell>
          <cell r="AW123">
            <v>187833002.36999997</v>
          </cell>
          <cell r="AX123">
            <v>227998108.30999997</v>
          </cell>
          <cell r="AY123">
            <v>300395575.28999996</v>
          </cell>
          <cell r="AZ123">
            <v>456653068.98999995</v>
          </cell>
          <cell r="BA123">
            <v>663984516.82999992</v>
          </cell>
          <cell r="BB123">
            <v>685483220.94999993</v>
          </cell>
        </row>
        <row r="124">
          <cell r="A124" t="str">
            <v>ytd</v>
          </cell>
          <cell r="B124">
            <v>13167337.98</v>
          </cell>
          <cell r="C124">
            <v>23825964.870000001</v>
          </cell>
          <cell r="D124">
            <v>33977349.120000005</v>
          </cell>
          <cell r="E124">
            <v>43958905.700000003</v>
          </cell>
          <cell r="F124">
            <v>54419680.359999999</v>
          </cell>
          <cell r="G124">
            <v>66205500.879999995</v>
          </cell>
          <cell r="H124">
            <v>85030489.629999995</v>
          </cell>
          <cell r="I124">
            <v>95349611.539999992</v>
          </cell>
          <cell r="J124">
            <v>106142474.81999999</v>
          </cell>
          <cell r="K124">
            <v>117358272.81999999</v>
          </cell>
          <cell r="L124">
            <v>129661319.72999999</v>
          </cell>
          <cell r="M124">
            <v>148545072.25</v>
          </cell>
          <cell r="N124">
            <v>159726047.13999999</v>
          </cell>
          <cell r="O124">
            <v>170920930.91</v>
          </cell>
          <cell r="P124">
            <v>182019791.84999999</v>
          </cell>
          <cell r="Q124">
            <v>193757661.25</v>
          </cell>
          <cell r="R124">
            <v>207553120.88</v>
          </cell>
          <cell r="S124">
            <v>221607985.16999999</v>
          </cell>
          <cell r="T124">
            <v>248457878.81999999</v>
          </cell>
          <cell r="U124">
            <v>267926221.31</v>
          </cell>
          <cell r="V124">
            <v>284220828.38</v>
          </cell>
          <cell r="W124">
            <v>300689686.85000002</v>
          </cell>
          <cell r="X124">
            <v>320538525.65000004</v>
          </cell>
          <cell r="Y124">
            <v>353861894.30000001</v>
          </cell>
          <cell r="Z124">
            <v>377940797.94</v>
          </cell>
          <cell r="AA124">
            <v>393688099.99000001</v>
          </cell>
          <cell r="AB124">
            <v>406719551.44999999</v>
          </cell>
          <cell r="AC124">
            <v>419573699.71999997</v>
          </cell>
          <cell r="AD124">
            <v>432947977.61999995</v>
          </cell>
          <cell r="AE124">
            <v>446243253.70999992</v>
          </cell>
          <cell r="AF124">
            <v>460084614.00999993</v>
          </cell>
          <cell r="AG124">
            <v>473780048.88999993</v>
          </cell>
          <cell r="AH124">
            <v>487477735.15999991</v>
          </cell>
          <cell r="AI124">
            <v>501062273.45999992</v>
          </cell>
          <cell r="AJ124">
            <v>514250066.83999991</v>
          </cell>
          <cell r="AK124">
            <v>527132159.27999991</v>
          </cell>
          <cell r="AL124">
            <v>540309833.12999988</v>
          </cell>
          <cell r="AM124">
            <v>553639282.5999999</v>
          </cell>
          <cell r="AN124">
            <v>566820256.74999988</v>
          </cell>
          <cell r="AO124">
            <v>580302531.82999992</v>
          </cell>
          <cell r="AP124">
            <v>593600790.8599999</v>
          </cell>
          <cell r="AQ124">
            <v>608218779.02999985</v>
          </cell>
          <cell r="AR124">
            <v>622048076.78999984</v>
          </cell>
          <cell r="AS124">
            <v>636534228.13999987</v>
          </cell>
          <cell r="AT124">
            <v>651696609.49999988</v>
          </cell>
          <cell r="AU124">
            <v>668827833.91999984</v>
          </cell>
          <cell r="AV124">
            <v>688794002.01999986</v>
          </cell>
          <cell r="AW124">
            <v>714965161.64999986</v>
          </cell>
          <cell r="AX124">
            <v>755130267.58999991</v>
          </cell>
          <cell r="AY124">
            <v>827527734.56999993</v>
          </cell>
          <cell r="AZ124">
            <v>983785228.26999998</v>
          </cell>
          <cell r="BA124">
            <v>1191116676.1099999</v>
          </cell>
          <cell r="BB124">
            <v>1212615380.2299998</v>
          </cell>
        </row>
        <row r="125">
          <cell r="A125" t="str">
            <v>PRED</v>
          </cell>
          <cell r="B125">
            <v>210955.88</v>
          </cell>
          <cell r="C125">
            <v>214223.29</v>
          </cell>
          <cell r="D125">
            <v>196177.8</v>
          </cell>
          <cell r="E125">
            <v>202608.07</v>
          </cell>
          <cell r="F125">
            <v>214365.43</v>
          </cell>
          <cell r="G125">
            <v>208686.43</v>
          </cell>
          <cell r="H125">
            <v>202641.25</v>
          </cell>
          <cell r="I125">
            <v>203341.68</v>
          </cell>
          <cell r="J125">
            <v>231417.60000000001</v>
          </cell>
          <cell r="K125">
            <v>223173.54</v>
          </cell>
          <cell r="L125">
            <v>238365.57</v>
          </cell>
          <cell r="M125">
            <v>206948.82</v>
          </cell>
          <cell r="N125">
            <v>175151.55</v>
          </cell>
          <cell r="O125">
            <v>215284.07</v>
          </cell>
          <cell r="P125">
            <v>196952.76</v>
          </cell>
          <cell r="Q125">
            <v>203174.15</v>
          </cell>
          <cell r="R125">
            <v>190072.52</v>
          </cell>
          <cell r="S125">
            <v>190223.41</v>
          </cell>
          <cell r="T125">
            <v>208460.65</v>
          </cell>
          <cell r="U125">
            <v>199231.89</v>
          </cell>
          <cell r="V125">
            <v>201891.87</v>
          </cell>
          <cell r="W125">
            <v>180885.06</v>
          </cell>
          <cell r="X125">
            <v>221072.83</v>
          </cell>
          <cell r="Y125">
            <v>210332.87</v>
          </cell>
          <cell r="Z125">
            <v>210195.3</v>
          </cell>
          <cell r="AA125">
            <v>201213.98</v>
          </cell>
          <cell r="AB125">
            <v>203090.11</v>
          </cell>
          <cell r="AC125">
            <v>203205.99</v>
          </cell>
          <cell r="AD125">
            <v>186523</v>
          </cell>
          <cell r="AE125">
            <v>180610.6</v>
          </cell>
          <cell r="AF125">
            <v>190329.52</v>
          </cell>
          <cell r="AG125">
            <v>191703.25</v>
          </cell>
          <cell r="AH125">
            <v>184514.22</v>
          </cell>
          <cell r="AI125">
            <v>191459.85</v>
          </cell>
          <cell r="AJ125">
            <v>190593.96</v>
          </cell>
          <cell r="AK125">
            <v>222692.19</v>
          </cell>
          <cell r="AL125">
            <v>195094.9</v>
          </cell>
          <cell r="AM125">
            <v>213019.97</v>
          </cell>
          <cell r="AN125">
            <v>183899.97</v>
          </cell>
          <cell r="AO125">
            <v>204589.31</v>
          </cell>
          <cell r="AP125">
            <v>176356.35</v>
          </cell>
          <cell r="AQ125">
            <v>166888.56</v>
          </cell>
          <cell r="AR125">
            <v>179938.24</v>
          </cell>
          <cell r="AS125">
            <v>175971.14</v>
          </cell>
          <cell r="AT125">
            <v>156827.14000000001</v>
          </cell>
          <cell r="AU125">
            <v>148060.22</v>
          </cell>
          <cell r="AV125">
            <v>173093.46</v>
          </cell>
          <cell r="AW125">
            <v>178942.35</v>
          </cell>
          <cell r="AX125">
            <v>249649.59</v>
          </cell>
          <cell r="AY125">
            <v>337127.83</v>
          </cell>
          <cell r="AZ125">
            <v>502265.13</v>
          </cell>
          <cell r="BA125">
            <v>634165.06999999995</v>
          </cell>
          <cell r="BB125">
            <v>323161.52</v>
          </cell>
        </row>
        <row r="126">
          <cell r="A126" t="str">
            <v>ptd</v>
          </cell>
          <cell r="B126">
            <v>210955.88</v>
          </cell>
          <cell r="C126">
            <v>425179.17000000004</v>
          </cell>
          <cell r="D126">
            <v>621356.97</v>
          </cell>
          <cell r="E126">
            <v>823965.04</v>
          </cell>
          <cell r="F126">
            <v>214365.43</v>
          </cell>
          <cell r="G126">
            <v>423051.86</v>
          </cell>
          <cell r="H126">
            <v>625693.11</v>
          </cell>
          <cell r="I126">
            <v>829034.79</v>
          </cell>
          <cell r="J126">
            <v>231417.60000000001</v>
          </cell>
          <cell r="K126">
            <v>454591.14</v>
          </cell>
          <cell r="L126">
            <v>692956.71</v>
          </cell>
          <cell r="M126">
            <v>899905.53</v>
          </cell>
          <cell r="N126">
            <v>175151.55</v>
          </cell>
          <cell r="O126">
            <v>390435.62</v>
          </cell>
          <cell r="P126">
            <v>587388.38</v>
          </cell>
          <cell r="Q126">
            <v>790562.53</v>
          </cell>
          <cell r="R126">
            <v>190072.52</v>
          </cell>
          <cell r="S126">
            <v>380295.93</v>
          </cell>
          <cell r="T126">
            <v>588756.57999999996</v>
          </cell>
          <cell r="U126">
            <v>787988.47</v>
          </cell>
          <cell r="V126">
            <v>201891.87</v>
          </cell>
          <cell r="W126">
            <v>382776.93</v>
          </cell>
          <cell r="X126">
            <v>603849.76</v>
          </cell>
          <cell r="Y126">
            <v>814182.63</v>
          </cell>
          <cell r="Z126">
            <v>210195.3</v>
          </cell>
          <cell r="AA126">
            <v>411409.28</v>
          </cell>
          <cell r="AB126">
            <v>614499.39</v>
          </cell>
          <cell r="AC126">
            <v>817705.38</v>
          </cell>
          <cell r="AD126">
            <v>186523</v>
          </cell>
          <cell r="AE126">
            <v>367133.6</v>
          </cell>
          <cell r="AF126">
            <v>557463.12</v>
          </cell>
          <cell r="AG126">
            <v>749166.37</v>
          </cell>
          <cell r="AH126">
            <v>184514.22</v>
          </cell>
          <cell r="AI126">
            <v>375974.07</v>
          </cell>
          <cell r="AJ126">
            <v>566568.03</v>
          </cell>
          <cell r="AK126">
            <v>789260.22</v>
          </cell>
          <cell r="AL126">
            <v>195094.9</v>
          </cell>
          <cell r="AM126">
            <v>408114.87</v>
          </cell>
          <cell r="AN126">
            <v>592014.84</v>
          </cell>
          <cell r="AO126">
            <v>796604.14999999991</v>
          </cell>
          <cell r="AP126">
            <v>176356.35</v>
          </cell>
          <cell r="AQ126">
            <v>343244.91000000003</v>
          </cell>
          <cell r="AR126">
            <v>523183.15</v>
          </cell>
          <cell r="AS126">
            <v>699154.29</v>
          </cell>
          <cell r="AT126">
            <v>156827.14000000001</v>
          </cell>
          <cell r="AU126">
            <v>304887.36</v>
          </cell>
          <cell r="AV126">
            <v>477980.81999999995</v>
          </cell>
          <cell r="AW126">
            <v>656923.16999999993</v>
          </cell>
          <cell r="AX126">
            <v>249649.59</v>
          </cell>
          <cell r="AY126">
            <v>586777.42000000004</v>
          </cell>
          <cell r="AZ126">
            <v>1089042.55</v>
          </cell>
          <cell r="BA126">
            <v>1723207.62</v>
          </cell>
          <cell r="BB126">
            <v>2046369.1400000001</v>
          </cell>
        </row>
        <row r="127">
          <cell r="A127" t="str">
            <v>qtd</v>
          </cell>
          <cell r="B127">
            <v>210955.88</v>
          </cell>
          <cell r="C127">
            <v>425179.17000000004</v>
          </cell>
          <cell r="D127">
            <v>621356.97</v>
          </cell>
          <cell r="E127">
            <v>823965.04</v>
          </cell>
          <cell r="F127">
            <v>1038330.47</v>
          </cell>
          <cell r="G127">
            <v>1247016.8999999999</v>
          </cell>
          <cell r="H127">
            <v>1449658.15</v>
          </cell>
          <cell r="I127">
            <v>1652999.8299999998</v>
          </cell>
          <cell r="J127">
            <v>1884417.43</v>
          </cell>
          <cell r="K127">
            <v>2107590.9699999997</v>
          </cell>
          <cell r="L127">
            <v>2345956.5399999996</v>
          </cell>
          <cell r="M127">
            <v>2552905.3599999994</v>
          </cell>
          <cell r="N127">
            <v>175151.55</v>
          </cell>
          <cell r="O127">
            <v>390435.62</v>
          </cell>
          <cell r="P127">
            <v>587388.38</v>
          </cell>
          <cell r="Q127">
            <v>790562.53</v>
          </cell>
          <cell r="R127">
            <v>980635.05</v>
          </cell>
          <cell r="S127">
            <v>1170858.46</v>
          </cell>
          <cell r="T127">
            <v>1379319.1099999999</v>
          </cell>
          <cell r="U127">
            <v>1578551</v>
          </cell>
          <cell r="V127">
            <v>1780442.87</v>
          </cell>
          <cell r="W127">
            <v>1961327.9300000002</v>
          </cell>
          <cell r="X127">
            <v>2182400.7600000002</v>
          </cell>
          <cell r="Y127">
            <v>2392733.6300000004</v>
          </cell>
          <cell r="Z127">
            <v>210195.3</v>
          </cell>
          <cell r="AA127">
            <v>411409.28</v>
          </cell>
          <cell r="AB127">
            <v>614499.39</v>
          </cell>
          <cell r="AC127">
            <v>817705.38</v>
          </cell>
          <cell r="AD127">
            <v>1004228.38</v>
          </cell>
          <cell r="AE127">
            <v>1184838.98</v>
          </cell>
          <cell r="AF127">
            <v>1375168.5</v>
          </cell>
          <cell r="AG127">
            <v>1566871.75</v>
          </cell>
          <cell r="AH127">
            <v>1751385.97</v>
          </cell>
          <cell r="AI127">
            <v>1942845.82</v>
          </cell>
          <cell r="AJ127">
            <v>2133439.7800000003</v>
          </cell>
          <cell r="AK127">
            <v>2356131.9700000002</v>
          </cell>
          <cell r="AL127">
            <v>195094.9</v>
          </cell>
          <cell r="AM127">
            <v>408114.87</v>
          </cell>
          <cell r="AN127">
            <v>592014.84</v>
          </cell>
          <cell r="AO127">
            <v>796604.14999999991</v>
          </cell>
          <cell r="AP127">
            <v>972960.49999999988</v>
          </cell>
          <cell r="AQ127">
            <v>1139849.0599999998</v>
          </cell>
          <cell r="AR127">
            <v>1319787.2999999998</v>
          </cell>
          <cell r="AS127">
            <v>1495758.44</v>
          </cell>
          <cell r="AT127">
            <v>1652585.58</v>
          </cell>
          <cell r="AU127">
            <v>1800645.8</v>
          </cell>
          <cell r="AV127">
            <v>1973739.26</v>
          </cell>
          <cell r="AW127">
            <v>2152681.61</v>
          </cell>
          <cell r="AX127">
            <v>2402331.1999999997</v>
          </cell>
          <cell r="AY127">
            <v>2739459.03</v>
          </cell>
          <cell r="AZ127">
            <v>3241724.1599999997</v>
          </cell>
          <cell r="BA127">
            <v>3875889.2299999995</v>
          </cell>
          <cell r="BB127">
            <v>4199050.75</v>
          </cell>
        </row>
        <row r="128">
          <cell r="A128" t="str">
            <v>ytd</v>
          </cell>
          <cell r="B128">
            <v>210955.88</v>
          </cell>
          <cell r="C128">
            <v>425179.17000000004</v>
          </cell>
          <cell r="D128">
            <v>621356.97</v>
          </cell>
          <cell r="E128">
            <v>823965.04</v>
          </cell>
          <cell r="F128">
            <v>1038330.47</v>
          </cell>
          <cell r="G128">
            <v>1247016.8999999999</v>
          </cell>
          <cell r="H128">
            <v>1449658.15</v>
          </cell>
          <cell r="I128">
            <v>1652999.8299999998</v>
          </cell>
          <cell r="J128">
            <v>1884417.43</v>
          </cell>
          <cell r="K128">
            <v>2107590.9699999997</v>
          </cell>
          <cell r="L128">
            <v>2345956.5399999996</v>
          </cell>
          <cell r="M128">
            <v>2552905.3599999994</v>
          </cell>
          <cell r="N128">
            <v>2728056.9099999992</v>
          </cell>
          <cell r="O128">
            <v>2943340.9799999991</v>
          </cell>
          <cell r="P128">
            <v>3140293.7399999993</v>
          </cell>
          <cell r="Q128">
            <v>3343467.8899999992</v>
          </cell>
          <cell r="R128">
            <v>3533540.4099999992</v>
          </cell>
          <cell r="S128">
            <v>3723763.8199999994</v>
          </cell>
          <cell r="T128">
            <v>3932224.4699999993</v>
          </cell>
          <cell r="U128">
            <v>4131456.3599999994</v>
          </cell>
          <cell r="V128">
            <v>4333348.2299999995</v>
          </cell>
          <cell r="W128">
            <v>4514233.2899999991</v>
          </cell>
          <cell r="X128">
            <v>4735306.1199999992</v>
          </cell>
          <cell r="Y128">
            <v>4945638.9899999993</v>
          </cell>
          <cell r="Z128">
            <v>5155834.2899999991</v>
          </cell>
          <cell r="AA128">
            <v>5357048.2699999996</v>
          </cell>
          <cell r="AB128">
            <v>5560138.3799999999</v>
          </cell>
          <cell r="AC128">
            <v>5763344.3700000001</v>
          </cell>
          <cell r="AD128">
            <v>5949867.3700000001</v>
          </cell>
          <cell r="AE128">
            <v>6130477.9699999997</v>
          </cell>
          <cell r="AF128">
            <v>6320807.4899999993</v>
          </cell>
          <cell r="AG128">
            <v>6512510.7399999993</v>
          </cell>
          <cell r="AH128">
            <v>6697024.959999999</v>
          </cell>
          <cell r="AI128">
            <v>6888484.8099999987</v>
          </cell>
          <cell r="AJ128">
            <v>7079078.7699999986</v>
          </cell>
          <cell r="AK128">
            <v>7301770.959999999</v>
          </cell>
          <cell r="AL128">
            <v>7496865.8599999994</v>
          </cell>
          <cell r="AM128">
            <v>7709885.8299999991</v>
          </cell>
          <cell r="AN128">
            <v>7893785.7999999989</v>
          </cell>
          <cell r="AO128">
            <v>8098375.1099999985</v>
          </cell>
          <cell r="AP128">
            <v>8274731.4599999981</v>
          </cell>
          <cell r="AQ128">
            <v>8441620.0199999977</v>
          </cell>
          <cell r="AR128">
            <v>8621558.2599999979</v>
          </cell>
          <cell r="AS128">
            <v>8797529.3999999985</v>
          </cell>
          <cell r="AT128">
            <v>8954356.5399999991</v>
          </cell>
          <cell r="AU128">
            <v>9102416.7599999998</v>
          </cell>
          <cell r="AV128">
            <v>9275510.2200000007</v>
          </cell>
          <cell r="AW128">
            <v>9454452.5700000003</v>
          </cell>
          <cell r="AX128">
            <v>9704102.1600000001</v>
          </cell>
          <cell r="AY128">
            <v>10041229.99</v>
          </cell>
          <cell r="AZ128">
            <v>10543495.120000001</v>
          </cell>
          <cell r="BA128">
            <v>11177660.190000001</v>
          </cell>
          <cell r="BB128">
            <v>11500821.710000001</v>
          </cell>
        </row>
        <row r="129">
          <cell r="A129" t="str">
            <v>PREG</v>
          </cell>
          <cell r="B129">
            <v>4925941.66</v>
          </cell>
          <cell r="C129">
            <v>4360799.43</v>
          </cell>
          <cell r="D129">
            <v>4137101.84</v>
          </cell>
          <cell r="E129">
            <v>3950829.26</v>
          </cell>
          <cell r="F129">
            <v>4017205.7</v>
          </cell>
          <cell r="G129">
            <v>4113481.71</v>
          </cell>
          <cell r="H129">
            <v>4770884.6399999997</v>
          </cell>
          <cell r="I129">
            <v>3940490.73</v>
          </cell>
          <cell r="J129">
            <v>4186472.93</v>
          </cell>
          <cell r="K129">
            <v>4274748.55</v>
          </cell>
          <cell r="L129">
            <v>4411488.4000000004</v>
          </cell>
          <cell r="M129">
            <v>5382725.0199999996</v>
          </cell>
          <cell r="N129">
            <v>4243011.46</v>
          </cell>
          <cell r="O129">
            <v>4421374.49</v>
          </cell>
          <cell r="P129">
            <v>4377034.38</v>
          </cell>
          <cell r="Q129">
            <v>4391583.1500000004</v>
          </cell>
          <cell r="R129">
            <v>4974780.05</v>
          </cell>
          <cell r="S129">
            <v>5013671.42</v>
          </cell>
          <cell r="T129">
            <v>7346741.9900000002</v>
          </cell>
          <cell r="U129">
            <v>6326165.1299999999</v>
          </cell>
          <cell r="V129">
            <v>5825221.3200000003</v>
          </cell>
          <cell r="W129">
            <v>5967430.0199999996</v>
          </cell>
          <cell r="X129">
            <v>7091217.5499999998</v>
          </cell>
          <cell r="Y129">
            <v>8927391.7699999996</v>
          </cell>
          <cell r="Z129">
            <v>7976451.7699999996</v>
          </cell>
          <cell r="AA129">
            <v>6303115.7199999997</v>
          </cell>
          <cell r="AB129">
            <v>5105124.22</v>
          </cell>
          <cell r="AC129">
            <v>4922540.53</v>
          </cell>
          <cell r="AD129">
            <v>5042750.25</v>
          </cell>
          <cell r="AE129">
            <v>4991108.2300000004</v>
          </cell>
          <cell r="AF129">
            <v>5143200.41</v>
          </cell>
          <cell r="AG129">
            <v>5103591.88</v>
          </cell>
          <cell r="AH129">
            <v>5209975.3899999997</v>
          </cell>
          <cell r="AI129">
            <v>5099672.1100000003</v>
          </cell>
          <cell r="AJ129">
            <v>4956602.1399999997</v>
          </cell>
          <cell r="AK129">
            <v>4559766.71</v>
          </cell>
          <cell r="AL129">
            <v>4666179.04</v>
          </cell>
          <cell r="AM129">
            <v>4796411.71</v>
          </cell>
          <cell r="AN129">
            <v>4669012.0999999996</v>
          </cell>
          <cell r="AO129">
            <v>4778252.97</v>
          </cell>
          <cell r="AP129">
            <v>4621128.08</v>
          </cell>
          <cell r="AQ129">
            <v>4783741.75</v>
          </cell>
          <cell r="AR129">
            <v>4588856.3099999996</v>
          </cell>
          <cell r="AS129">
            <v>4660223.66</v>
          </cell>
          <cell r="AT129">
            <v>5002012.38</v>
          </cell>
          <cell r="AU129">
            <v>5756893.2199999997</v>
          </cell>
          <cell r="AV129">
            <v>6709922</v>
          </cell>
          <cell r="AW129">
            <v>7524371.5499999998</v>
          </cell>
          <cell r="AX129">
            <v>11182881.289999999</v>
          </cell>
          <cell r="AY129">
            <v>22811322.32</v>
          </cell>
          <cell r="AZ129">
            <v>53146769.880000003</v>
          </cell>
          <cell r="BA129">
            <v>70025991.239999995</v>
          </cell>
          <cell r="BB129">
            <v>9134088.2300000004</v>
          </cell>
        </row>
        <row r="130">
          <cell r="A130" t="str">
            <v>ptd</v>
          </cell>
          <cell r="B130">
            <v>4925941.66</v>
          </cell>
          <cell r="C130">
            <v>9286741.0899999999</v>
          </cell>
          <cell r="D130">
            <v>13423842.93</v>
          </cell>
          <cell r="E130">
            <v>17374672.189999998</v>
          </cell>
          <cell r="F130">
            <v>4017205.7</v>
          </cell>
          <cell r="G130">
            <v>8130687.4100000001</v>
          </cell>
          <cell r="H130">
            <v>12901572.050000001</v>
          </cell>
          <cell r="I130">
            <v>16842062.780000001</v>
          </cell>
          <cell r="J130">
            <v>4186472.93</v>
          </cell>
          <cell r="K130">
            <v>8461221.4800000004</v>
          </cell>
          <cell r="L130">
            <v>12872709.880000001</v>
          </cell>
          <cell r="M130">
            <v>18255434.899999999</v>
          </cell>
          <cell r="N130">
            <v>4243011.46</v>
          </cell>
          <cell r="O130">
            <v>8664385.9499999993</v>
          </cell>
          <cell r="P130">
            <v>13041420.329999998</v>
          </cell>
          <cell r="Q130">
            <v>17433003.479999997</v>
          </cell>
          <cell r="R130">
            <v>4974780.05</v>
          </cell>
          <cell r="S130">
            <v>9988451.4699999988</v>
          </cell>
          <cell r="T130">
            <v>17335193.460000001</v>
          </cell>
          <cell r="U130">
            <v>23661358.59</v>
          </cell>
          <cell r="V130">
            <v>5825221.3200000003</v>
          </cell>
          <cell r="W130">
            <v>11792651.34</v>
          </cell>
          <cell r="X130">
            <v>18883868.890000001</v>
          </cell>
          <cell r="Y130">
            <v>27811260.66</v>
          </cell>
          <cell r="Z130">
            <v>7976451.7699999996</v>
          </cell>
          <cell r="AA130">
            <v>14279567.489999998</v>
          </cell>
          <cell r="AB130">
            <v>19384691.709999997</v>
          </cell>
          <cell r="AC130">
            <v>24307232.239999998</v>
          </cell>
          <cell r="AD130">
            <v>5042750.25</v>
          </cell>
          <cell r="AE130">
            <v>10033858.48</v>
          </cell>
          <cell r="AF130">
            <v>15177058.890000001</v>
          </cell>
          <cell r="AG130">
            <v>20280650.77</v>
          </cell>
          <cell r="AH130">
            <v>5209975.3899999997</v>
          </cell>
          <cell r="AI130">
            <v>10309647.5</v>
          </cell>
          <cell r="AJ130">
            <v>15266249.640000001</v>
          </cell>
          <cell r="AK130">
            <v>19826016.350000001</v>
          </cell>
          <cell r="AL130">
            <v>4666179.04</v>
          </cell>
          <cell r="AM130">
            <v>9462590.75</v>
          </cell>
          <cell r="AN130">
            <v>14131602.85</v>
          </cell>
          <cell r="AO130">
            <v>18909855.82</v>
          </cell>
          <cell r="AP130">
            <v>4621128.08</v>
          </cell>
          <cell r="AQ130">
            <v>9404869.8300000001</v>
          </cell>
          <cell r="AR130">
            <v>13993726.140000001</v>
          </cell>
          <cell r="AS130">
            <v>18653949.800000001</v>
          </cell>
          <cell r="AT130">
            <v>5002012.38</v>
          </cell>
          <cell r="AU130">
            <v>10758905.6</v>
          </cell>
          <cell r="AV130">
            <v>17468827.600000001</v>
          </cell>
          <cell r="AW130">
            <v>24993199.150000002</v>
          </cell>
          <cell r="AX130">
            <v>11182881.289999999</v>
          </cell>
          <cell r="AY130">
            <v>33994203.609999999</v>
          </cell>
          <cell r="AZ130">
            <v>87140973.49000001</v>
          </cell>
          <cell r="BA130">
            <v>157166964.73000002</v>
          </cell>
          <cell r="BB130">
            <v>166301052.96000001</v>
          </cell>
        </row>
        <row r="131">
          <cell r="A131" t="str">
            <v>qtd</v>
          </cell>
          <cell r="B131">
            <v>4925941.66</v>
          </cell>
          <cell r="C131">
            <v>9286741.0899999999</v>
          </cell>
          <cell r="D131">
            <v>13423842.93</v>
          </cell>
          <cell r="E131">
            <v>17374672.189999998</v>
          </cell>
          <cell r="F131">
            <v>21391877.889999997</v>
          </cell>
          <cell r="G131">
            <v>25505359.599999998</v>
          </cell>
          <cell r="H131">
            <v>30276244.239999998</v>
          </cell>
          <cell r="I131">
            <v>34216734.969999999</v>
          </cell>
          <cell r="J131">
            <v>38403207.899999999</v>
          </cell>
          <cell r="K131">
            <v>42677956.449999996</v>
          </cell>
          <cell r="L131">
            <v>47089444.849999994</v>
          </cell>
          <cell r="M131">
            <v>52472169.86999999</v>
          </cell>
          <cell r="N131">
            <v>4243011.46</v>
          </cell>
          <cell r="O131">
            <v>8664385.9499999993</v>
          </cell>
          <cell r="P131">
            <v>13041420.329999998</v>
          </cell>
          <cell r="Q131">
            <v>17433003.479999997</v>
          </cell>
          <cell r="R131">
            <v>22407783.529999997</v>
          </cell>
          <cell r="S131">
            <v>27421454.949999996</v>
          </cell>
          <cell r="T131">
            <v>34768196.939999998</v>
          </cell>
          <cell r="U131">
            <v>41094362.07</v>
          </cell>
          <cell r="V131">
            <v>46919583.390000001</v>
          </cell>
          <cell r="W131">
            <v>52887013.409999996</v>
          </cell>
          <cell r="X131">
            <v>59978230.959999993</v>
          </cell>
          <cell r="Y131">
            <v>68905622.729999989</v>
          </cell>
          <cell r="Z131">
            <v>7976451.7699999996</v>
          </cell>
          <cell r="AA131">
            <v>14279567.489999998</v>
          </cell>
          <cell r="AB131">
            <v>19384691.709999997</v>
          </cell>
          <cell r="AC131">
            <v>24307232.239999998</v>
          </cell>
          <cell r="AD131">
            <v>29349982.489999998</v>
          </cell>
          <cell r="AE131">
            <v>34341090.719999999</v>
          </cell>
          <cell r="AF131">
            <v>39484291.129999995</v>
          </cell>
          <cell r="AG131">
            <v>44587883.009999998</v>
          </cell>
          <cell r="AH131">
            <v>49797858.399999999</v>
          </cell>
          <cell r="AI131">
            <v>54897530.509999998</v>
          </cell>
          <cell r="AJ131">
            <v>59854132.649999999</v>
          </cell>
          <cell r="AK131">
            <v>64413899.359999999</v>
          </cell>
          <cell r="AL131">
            <v>4666179.04</v>
          </cell>
          <cell r="AM131">
            <v>9462590.75</v>
          </cell>
          <cell r="AN131">
            <v>14131602.85</v>
          </cell>
          <cell r="AO131">
            <v>18909855.82</v>
          </cell>
          <cell r="AP131">
            <v>23530983.899999999</v>
          </cell>
          <cell r="AQ131">
            <v>28314725.649999999</v>
          </cell>
          <cell r="AR131">
            <v>32903581.959999997</v>
          </cell>
          <cell r="AS131">
            <v>37563805.619999997</v>
          </cell>
          <cell r="AT131">
            <v>42565818</v>
          </cell>
          <cell r="AU131">
            <v>48322711.219999999</v>
          </cell>
          <cell r="AV131">
            <v>55032633.219999999</v>
          </cell>
          <cell r="AW131">
            <v>62557004.769999996</v>
          </cell>
          <cell r="AX131">
            <v>73739886.060000002</v>
          </cell>
          <cell r="AY131">
            <v>96551208.379999995</v>
          </cell>
          <cell r="AZ131">
            <v>149697978.25999999</v>
          </cell>
          <cell r="BA131">
            <v>219723969.5</v>
          </cell>
          <cell r="BB131">
            <v>228858057.72999999</v>
          </cell>
        </row>
        <row r="132">
          <cell r="A132" t="str">
            <v>ytd</v>
          </cell>
          <cell r="B132">
            <v>4925941.66</v>
          </cell>
          <cell r="C132">
            <v>9286741.0899999999</v>
          </cell>
          <cell r="D132">
            <v>13423842.93</v>
          </cell>
          <cell r="E132">
            <v>17374672.189999998</v>
          </cell>
          <cell r="F132">
            <v>21391877.889999997</v>
          </cell>
          <cell r="G132">
            <v>25505359.599999998</v>
          </cell>
          <cell r="H132">
            <v>30276244.239999998</v>
          </cell>
          <cell r="I132">
            <v>34216734.969999999</v>
          </cell>
          <cell r="J132">
            <v>38403207.899999999</v>
          </cell>
          <cell r="K132">
            <v>42677956.449999996</v>
          </cell>
          <cell r="L132">
            <v>47089444.849999994</v>
          </cell>
          <cell r="M132">
            <v>52472169.86999999</v>
          </cell>
          <cell r="N132">
            <v>56715181.329999991</v>
          </cell>
          <cell r="O132">
            <v>61136555.819999993</v>
          </cell>
          <cell r="P132">
            <v>65513590.199999996</v>
          </cell>
          <cell r="Q132">
            <v>69905173.349999994</v>
          </cell>
          <cell r="R132">
            <v>74879953.399999991</v>
          </cell>
          <cell r="S132">
            <v>79893624.819999993</v>
          </cell>
          <cell r="T132">
            <v>87240366.809999987</v>
          </cell>
          <cell r="U132">
            <v>93566531.939999983</v>
          </cell>
          <cell r="V132">
            <v>99391753.25999999</v>
          </cell>
          <cell r="W132">
            <v>105359183.27999999</v>
          </cell>
          <cell r="X132">
            <v>112450400.82999998</v>
          </cell>
          <cell r="Y132">
            <v>121377792.59999998</v>
          </cell>
          <cell r="Z132">
            <v>129354244.36999997</v>
          </cell>
          <cell r="AA132">
            <v>135657360.08999997</v>
          </cell>
          <cell r="AB132">
            <v>140762484.30999997</v>
          </cell>
          <cell r="AC132">
            <v>145685024.83999997</v>
          </cell>
          <cell r="AD132">
            <v>150727775.08999997</v>
          </cell>
          <cell r="AE132">
            <v>155718883.31999996</v>
          </cell>
          <cell r="AF132">
            <v>160862083.72999996</v>
          </cell>
          <cell r="AG132">
            <v>165965675.60999995</v>
          </cell>
          <cell r="AH132">
            <v>171175650.99999994</v>
          </cell>
          <cell r="AI132">
            <v>176275323.10999995</v>
          </cell>
          <cell r="AJ132">
            <v>181231925.24999994</v>
          </cell>
          <cell r="AK132">
            <v>185791691.95999995</v>
          </cell>
          <cell r="AL132">
            <v>190457870.99999994</v>
          </cell>
          <cell r="AM132">
            <v>195254282.70999995</v>
          </cell>
          <cell r="AN132">
            <v>199923294.80999994</v>
          </cell>
          <cell r="AO132">
            <v>204701547.77999994</v>
          </cell>
          <cell r="AP132">
            <v>209322675.85999995</v>
          </cell>
          <cell r="AQ132">
            <v>214106417.60999995</v>
          </cell>
          <cell r="AR132">
            <v>218695273.91999996</v>
          </cell>
          <cell r="AS132">
            <v>223355497.57999995</v>
          </cell>
          <cell r="AT132">
            <v>228357509.95999995</v>
          </cell>
          <cell r="AU132">
            <v>234114403.17999995</v>
          </cell>
          <cell r="AV132">
            <v>240824325.17999995</v>
          </cell>
          <cell r="AW132">
            <v>248348696.72999996</v>
          </cell>
          <cell r="AX132">
            <v>259531578.01999995</v>
          </cell>
          <cell r="AY132">
            <v>282342900.33999997</v>
          </cell>
          <cell r="AZ132">
            <v>335489670.21999997</v>
          </cell>
          <cell r="BA132">
            <v>405515661.45999998</v>
          </cell>
          <cell r="BB132">
            <v>414649749.69</v>
          </cell>
        </row>
        <row r="133">
          <cell r="A133" t="str">
            <v>SPRT</v>
          </cell>
          <cell r="B133">
            <v>175211.11</v>
          </cell>
          <cell r="C133">
            <v>148759.46</v>
          </cell>
          <cell r="D133">
            <v>165134.54</v>
          </cell>
          <cell r="E133">
            <v>130790.03</v>
          </cell>
          <cell r="F133">
            <v>132717.38</v>
          </cell>
          <cell r="G133">
            <v>145658.74</v>
          </cell>
          <cell r="H133">
            <v>205010.16</v>
          </cell>
          <cell r="I133">
            <v>124340.14</v>
          </cell>
          <cell r="J133">
            <v>179098</v>
          </cell>
          <cell r="K133">
            <v>382458.3</v>
          </cell>
          <cell r="L133">
            <v>129065.25</v>
          </cell>
          <cell r="M133">
            <v>324309.40000000002</v>
          </cell>
          <cell r="N133">
            <v>133187.46</v>
          </cell>
          <cell r="O133">
            <v>141601.16</v>
          </cell>
          <cell r="P133">
            <v>183543.59</v>
          </cell>
          <cell r="Q133">
            <v>172132.21</v>
          </cell>
          <cell r="R133">
            <v>192946.72</v>
          </cell>
          <cell r="S133">
            <v>185332.64</v>
          </cell>
          <cell r="T133">
            <v>236744.09</v>
          </cell>
          <cell r="U133">
            <v>244530.93</v>
          </cell>
          <cell r="V133">
            <v>183633.41</v>
          </cell>
          <cell r="W133">
            <v>222608.74</v>
          </cell>
          <cell r="X133">
            <v>324406.40999999997</v>
          </cell>
          <cell r="Y133">
            <v>807987.84</v>
          </cell>
          <cell r="Z133">
            <v>321472.49</v>
          </cell>
          <cell r="AA133">
            <v>232762.46</v>
          </cell>
          <cell r="AB133">
            <v>142405.60999999999</v>
          </cell>
          <cell r="AC133">
            <v>137243.71</v>
          </cell>
          <cell r="AD133">
            <v>138050.82</v>
          </cell>
          <cell r="AE133">
            <v>153164.35999999999</v>
          </cell>
          <cell r="AF133">
            <v>143638.74</v>
          </cell>
          <cell r="AG133">
            <v>143883.25</v>
          </cell>
          <cell r="AH133">
            <v>159593.68</v>
          </cell>
          <cell r="AI133">
            <v>174268.64</v>
          </cell>
          <cell r="AJ133">
            <v>161172.89000000001</v>
          </cell>
          <cell r="AK133">
            <v>153264.37</v>
          </cell>
          <cell r="AL133">
            <v>171674.23999999999</v>
          </cell>
          <cell r="AM133">
            <v>171759.85</v>
          </cell>
          <cell r="AN133">
            <v>181420.2</v>
          </cell>
          <cell r="AO133">
            <v>147270.18</v>
          </cell>
          <cell r="AP133">
            <v>170446.18</v>
          </cell>
          <cell r="AQ133">
            <v>178824.86</v>
          </cell>
          <cell r="AR133">
            <v>143915.13</v>
          </cell>
          <cell r="AS133">
            <v>2968213.18</v>
          </cell>
          <cell r="AT133">
            <v>626292.6</v>
          </cell>
          <cell r="AU133">
            <v>331340.15999999997</v>
          </cell>
          <cell r="AV133">
            <v>222714.07</v>
          </cell>
          <cell r="AW133">
            <v>290217.15000000002</v>
          </cell>
          <cell r="AX133">
            <v>545487.93999999994</v>
          </cell>
          <cell r="AY133">
            <v>924526.57</v>
          </cell>
          <cell r="AZ133">
            <v>1633941.04</v>
          </cell>
          <cell r="BA133">
            <v>2183754.25</v>
          </cell>
          <cell r="BB133">
            <v>238484.24</v>
          </cell>
        </row>
        <row r="134">
          <cell r="A134" t="str">
            <v>ptd</v>
          </cell>
          <cell r="B134">
            <v>175211.11</v>
          </cell>
          <cell r="C134">
            <v>323970.56999999995</v>
          </cell>
          <cell r="D134">
            <v>489105.11</v>
          </cell>
          <cell r="E134">
            <v>619895.14</v>
          </cell>
          <cell r="F134">
            <v>132717.38</v>
          </cell>
          <cell r="G134">
            <v>278376.12</v>
          </cell>
          <cell r="H134">
            <v>483386.28</v>
          </cell>
          <cell r="I134">
            <v>607726.42000000004</v>
          </cell>
          <cell r="J134">
            <v>179098</v>
          </cell>
          <cell r="K134">
            <v>561556.30000000005</v>
          </cell>
          <cell r="L134">
            <v>690621.55</v>
          </cell>
          <cell r="M134">
            <v>1014930.9500000001</v>
          </cell>
          <cell r="N134">
            <v>133187.46</v>
          </cell>
          <cell r="O134">
            <v>274788.62</v>
          </cell>
          <cell r="P134">
            <v>458332.20999999996</v>
          </cell>
          <cell r="Q134">
            <v>630464.41999999993</v>
          </cell>
          <cell r="R134">
            <v>192946.72</v>
          </cell>
          <cell r="S134">
            <v>378279.36</v>
          </cell>
          <cell r="T134">
            <v>615023.44999999995</v>
          </cell>
          <cell r="U134">
            <v>859554.37999999989</v>
          </cell>
          <cell r="V134">
            <v>183633.41</v>
          </cell>
          <cell r="W134">
            <v>406242.15</v>
          </cell>
          <cell r="X134">
            <v>730648.56</v>
          </cell>
          <cell r="Y134">
            <v>1538636.4</v>
          </cell>
          <cell r="Z134">
            <v>321472.49</v>
          </cell>
          <cell r="AA134">
            <v>554234.94999999995</v>
          </cell>
          <cell r="AB134">
            <v>696640.55999999994</v>
          </cell>
          <cell r="AC134">
            <v>833884.2699999999</v>
          </cell>
          <cell r="AD134">
            <v>138050.82</v>
          </cell>
          <cell r="AE134">
            <v>291215.18</v>
          </cell>
          <cell r="AF134">
            <v>434853.92</v>
          </cell>
          <cell r="AG134">
            <v>578737.16999999993</v>
          </cell>
          <cell r="AH134">
            <v>159593.68</v>
          </cell>
          <cell r="AI134">
            <v>333862.32</v>
          </cell>
          <cell r="AJ134">
            <v>495035.21</v>
          </cell>
          <cell r="AK134">
            <v>648299.58000000007</v>
          </cell>
          <cell r="AL134">
            <v>171674.23999999999</v>
          </cell>
          <cell r="AM134">
            <v>343434.08999999997</v>
          </cell>
          <cell r="AN134">
            <v>524854.29</v>
          </cell>
          <cell r="AO134">
            <v>672124.47</v>
          </cell>
          <cell r="AP134">
            <v>170446.18</v>
          </cell>
          <cell r="AQ134">
            <v>349271.03999999998</v>
          </cell>
          <cell r="AR134">
            <v>493186.17</v>
          </cell>
          <cell r="AS134">
            <v>3461399.35</v>
          </cell>
          <cell r="AT134">
            <v>626292.6</v>
          </cell>
          <cell r="AU134">
            <v>957632.76</v>
          </cell>
          <cell r="AV134">
            <v>1180346.83</v>
          </cell>
          <cell r="AW134">
            <v>1470563.98</v>
          </cell>
          <cell r="AX134">
            <v>545487.93999999994</v>
          </cell>
          <cell r="AY134">
            <v>1470014.5099999998</v>
          </cell>
          <cell r="AZ134">
            <v>3103955.55</v>
          </cell>
          <cell r="BA134">
            <v>5287709.8</v>
          </cell>
          <cell r="BB134">
            <v>5526194.04</v>
          </cell>
        </row>
        <row r="135">
          <cell r="A135" t="str">
            <v>qtd</v>
          </cell>
          <cell r="B135">
            <v>175211.11</v>
          </cell>
          <cell r="C135">
            <v>323970.56999999995</v>
          </cell>
          <cell r="D135">
            <v>489105.11</v>
          </cell>
          <cell r="E135">
            <v>619895.14</v>
          </cell>
          <cell r="F135">
            <v>752612.52</v>
          </cell>
          <cell r="G135">
            <v>898271.26</v>
          </cell>
          <cell r="H135">
            <v>1103281.42</v>
          </cell>
          <cell r="I135">
            <v>1227621.5599999998</v>
          </cell>
          <cell r="J135">
            <v>1406719.5599999998</v>
          </cell>
          <cell r="K135">
            <v>1789177.8599999999</v>
          </cell>
          <cell r="L135">
            <v>1918243.1099999999</v>
          </cell>
          <cell r="M135">
            <v>2242552.5099999998</v>
          </cell>
          <cell r="N135">
            <v>133187.46</v>
          </cell>
          <cell r="O135">
            <v>274788.62</v>
          </cell>
          <cell r="P135">
            <v>458332.20999999996</v>
          </cell>
          <cell r="Q135">
            <v>630464.41999999993</v>
          </cell>
          <cell r="R135">
            <v>823411.1399999999</v>
          </cell>
          <cell r="S135">
            <v>1008743.7799999999</v>
          </cell>
          <cell r="T135">
            <v>1245487.8699999999</v>
          </cell>
          <cell r="U135">
            <v>1490018.7999999998</v>
          </cell>
          <cell r="V135">
            <v>1673652.2099999997</v>
          </cell>
          <cell r="W135">
            <v>1896260.9499999997</v>
          </cell>
          <cell r="X135">
            <v>2220667.36</v>
          </cell>
          <cell r="Y135">
            <v>3028655.1999999997</v>
          </cell>
          <cell r="Z135">
            <v>321472.49</v>
          </cell>
          <cell r="AA135">
            <v>554234.94999999995</v>
          </cell>
          <cell r="AB135">
            <v>696640.55999999994</v>
          </cell>
          <cell r="AC135">
            <v>833884.2699999999</v>
          </cell>
          <cell r="AD135">
            <v>971935.08999999985</v>
          </cell>
          <cell r="AE135">
            <v>1125099.4499999997</v>
          </cell>
          <cell r="AF135">
            <v>1268738.1899999997</v>
          </cell>
          <cell r="AG135">
            <v>1412621.4399999997</v>
          </cell>
          <cell r="AH135">
            <v>1572215.1199999996</v>
          </cell>
          <cell r="AI135">
            <v>1746483.7599999998</v>
          </cell>
          <cell r="AJ135">
            <v>1907656.65</v>
          </cell>
          <cell r="AK135">
            <v>2060921.02</v>
          </cell>
          <cell r="AL135">
            <v>171674.23999999999</v>
          </cell>
          <cell r="AM135">
            <v>343434.08999999997</v>
          </cell>
          <cell r="AN135">
            <v>524854.29</v>
          </cell>
          <cell r="AO135">
            <v>672124.47</v>
          </cell>
          <cell r="AP135">
            <v>842570.64999999991</v>
          </cell>
          <cell r="AQ135">
            <v>1021395.5099999999</v>
          </cell>
          <cell r="AR135">
            <v>1165310.6399999999</v>
          </cell>
          <cell r="AS135">
            <v>4133523.8200000003</v>
          </cell>
          <cell r="AT135">
            <v>4759816.42</v>
          </cell>
          <cell r="AU135">
            <v>5091156.58</v>
          </cell>
          <cell r="AV135">
            <v>5313870.6500000004</v>
          </cell>
          <cell r="AW135">
            <v>5604087.8000000007</v>
          </cell>
          <cell r="AX135">
            <v>6149575.7400000002</v>
          </cell>
          <cell r="AY135">
            <v>7074102.3100000005</v>
          </cell>
          <cell r="AZ135">
            <v>8708043.3500000015</v>
          </cell>
          <cell r="BA135">
            <v>10891797.600000001</v>
          </cell>
          <cell r="BB135">
            <v>11130281.840000002</v>
          </cell>
        </row>
        <row r="136">
          <cell r="A136" t="str">
            <v>ytd</v>
          </cell>
          <cell r="B136">
            <v>175211.11</v>
          </cell>
          <cell r="C136">
            <v>323970.56999999995</v>
          </cell>
          <cell r="D136">
            <v>489105.11</v>
          </cell>
          <cell r="E136">
            <v>619895.14</v>
          </cell>
          <cell r="F136">
            <v>752612.52</v>
          </cell>
          <cell r="G136">
            <v>898271.26</v>
          </cell>
          <cell r="H136">
            <v>1103281.42</v>
          </cell>
          <cell r="I136">
            <v>1227621.5599999998</v>
          </cell>
          <cell r="J136">
            <v>1406719.5599999998</v>
          </cell>
          <cell r="K136">
            <v>1789177.8599999999</v>
          </cell>
          <cell r="L136">
            <v>1918243.1099999999</v>
          </cell>
          <cell r="M136">
            <v>2242552.5099999998</v>
          </cell>
          <cell r="N136">
            <v>2375739.9699999997</v>
          </cell>
          <cell r="O136">
            <v>2517341.13</v>
          </cell>
          <cell r="P136">
            <v>2700884.7199999997</v>
          </cell>
          <cell r="Q136">
            <v>2873016.9299999997</v>
          </cell>
          <cell r="R136">
            <v>3065963.65</v>
          </cell>
          <cell r="S136">
            <v>3251296.29</v>
          </cell>
          <cell r="T136">
            <v>3488040.38</v>
          </cell>
          <cell r="U136">
            <v>3732571.31</v>
          </cell>
          <cell r="V136">
            <v>3916204.72</v>
          </cell>
          <cell r="W136">
            <v>4138813.46</v>
          </cell>
          <cell r="X136">
            <v>4463219.87</v>
          </cell>
          <cell r="Y136">
            <v>5271207.71</v>
          </cell>
          <cell r="Z136">
            <v>5592680.2000000002</v>
          </cell>
          <cell r="AA136">
            <v>5825442.6600000001</v>
          </cell>
          <cell r="AB136">
            <v>5967848.2700000005</v>
          </cell>
          <cell r="AC136">
            <v>6105091.9800000004</v>
          </cell>
          <cell r="AD136">
            <v>6243142.8000000007</v>
          </cell>
          <cell r="AE136">
            <v>6396307.1600000011</v>
          </cell>
          <cell r="AF136">
            <v>6539945.9000000013</v>
          </cell>
          <cell r="AG136">
            <v>6683829.1500000013</v>
          </cell>
          <cell r="AH136">
            <v>6843422.830000001</v>
          </cell>
          <cell r="AI136">
            <v>7017691.4700000007</v>
          </cell>
          <cell r="AJ136">
            <v>7178864.3600000003</v>
          </cell>
          <cell r="AK136">
            <v>7332128.7300000004</v>
          </cell>
          <cell r="AL136">
            <v>7503802.9700000007</v>
          </cell>
          <cell r="AM136">
            <v>7675562.8200000003</v>
          </cell>
          <cell r="AN136">
            <v>7856983.0200000005</v>
          </cell>
          <cell r="AO136">
            <v>8004253.2000000002</v>
          </cell>
          <cell r="AP136">
            <v>8174699.3799999999</v>
          </cell>
          <cell r="AQ136">
            <v>8353524.2400000002</v>
          </cell>
          <cell r="AR136">
            <v>8497439.370000001</v>
          </cell>
          <cell r="AS136">
            <v>11465652.550000001</v>
          </cell>
          <cell r="AT136">
            <v>12091945.15</v>
          </cell>
          <cell r="AU136">
            <v>12423285.310000001</v>
          </cell>
          <cell r="AV136">
            <v>12645999.380000001</v>
          </cell>
          <cell r="AW136">
            <v>12936216.530000001</v>
          </cell>
          <cell r="AX136">
            <v>13481704.470000001</v>
          </cell>
          <cell r="AY136">
            <v>14406231.040000001</v>
          </cell>
          <cell r="AZ136">
            <v>16040172.080000002</v>
          </cell>
          <cell r="BA136">
            <v>18223926.330000002</v>
          </cell>
          <cell r="BB136">
            <v>18462410.57</v>
          </cell>
        </row>
        <row r="137">
          <cell r="A137" t="str">
            <v>TELE</v>
          </cell>
          <cell r="B137">
            <v>2940423.24</v>
          </cell>
          <cell r="C137">
            <v>2699239.05</v>
          </cell>
          <cell r="D137">
            <v>2735093.75</v>
          </cell>
          <cell r="E137">
            <v>2685450.59</v>
          </cell>
          <cell r="F137">
            <v>3075984.39</v>
          </cell>
          <cell r="G137">
            <v>3030196.96</v>
          </cell>
          <cell r="H137">
            <v>2926171.86</v>
          </cell>
          <cell r="I137">
            <v>2742987.28</v>
          </cell>
          <cell r="J137">
            <v>2892728.81</v>
          </cell>
          <cell r="K137">
            <v>2905822.31</v>
          </cell>
          <cell r="L137">
            <v>2746416.11</v>
          </cell>
          <cell r="M137">
            <v>2861726.95</v>
          </cell>
          <cell r="N137">
            <v>2634233.2000000002</v>
          </cell>
          <cell r="O137">
            <v>2941962.4</v>
          </cell>
          <cell r="P137">
            <v>2701429.18</v>
          </cell>
          <cell r="Q137">
            <v>2692179.8</v>
          </cell>
          <cell r="R137">
            <v>2622853.85</v>
          </cell>
          <cell r="S137">
            <v>2933298.64</v>
          </cell>
          <cell r="T137">
            <v>2857116.62</v>
          </cell>
          <cell r="U137">
            <v>2801209.26</v>
          </cell>
          <cell r="V137">
            <v>2868966.45</v>
          </cell>
          <cell r="W137">
            <v>2853988.93</v>
          </cell>
          <cell r="X137">
            <v>3113393.39</v>
          </cell>
          <cell r="Y137">
            <v>3030499.47</v>
          </cell>
          <cell r="Z137">
            <v>3023943.34</v>
          </cell>
          <cell r="AA137">
            <v>2968506.9</v>
          </cell>
          <cell r="AB137">
            <v>3257188.46</v>
          </cell>
          <cell r="AC137">
            <v>3043417.33</v>
          </cell>
          <cell r="AD137">
            <v>3003775.68</v>
          </cell>
          <cell r="AE137">
            <v>2918273.11</v>
          </cell>
          <cell r="AF137">
            <v>3122669.29</v>
          </cell>
          <cell r="AG137">
            <v>3015540.99</v>
          </cell>
          <cell r="AH137">
            <v>2897956.63</v>
          </cell>
          <cell r="AI137">
            <v>2906099.34</v>
          </cell>
          <cell r="AJ137">
            <v>2997858.09</v>
          </cell>
          <cell r="AK137">
            <v>3034093.54</v>
          </cell>
          <cell r="AL137">
            <v>2812098.75</v>
          </cell>
          <cell r="AM137">
            <v>2819521.86</v>
          </cell>
          <cell r="AN137">
            <v>2791661.79</v>
          </cell>
          <cell r="AO137">
            <v>3212214.94</v>
          </cell>
          <cell r="AP137">
            <v>3438401</v>
          </cell>
          <cell r="AQ137">
            <v>3553199.96</v>
          </cell>
          <cell r="AR137">
            <v>3669818.56</v>
          </cell>
          <cell r="AS137">
            <v>4055844.18</v>
          </cell>
          <cell r="AT137">
            <v>4397669.1500000004</v>
          </cell>
          <cell r="AU137">
            <v>4142175.06</v>
          </cell>
          <cell r="AV137">
            <v>4291654.82</v>
          </cell>
          <cell r="AW137">
            <v>4468968.63</v>
          </cell>
          <cell r="AX137">
            <v>4952631.47</v>
          </cell>
          <cell r="AY137">
            <v>5036374.46</v>
          </cell>
          <cell r="AZ137">
            <v>5284604.0599999996</v>
          </cell>
          <cell r="BA137">
            <v>5749697.29</v>
          </cell>
          <cell r="BB137">
            <v>5079808.1100000003</v>
          </cell>
        </row>
        <row r="138">
          <cell r="A138" t="str">
            <v>ptd</v>
          </cell>
          <cell r="B138">
            <v>2940423.24</v>
          </cell>
          <cell r="C138">
            <v>5639662.29</v>
          </cell>
          <cell r="D138">
            <v>8374756.04</v>
          </cell>
          <cell r="E138">
            <v>11060206.629999999</v>
          </cell>
          <cell r="F138">
            <v>3075984.39</v>
          </cell>
          <cell r="G138">
            <v>6106181.3499999996</v>
          </cell>
          <cell r="H138">
            <v>9032353.209999999</v>
          </cell>
          <cell r="I138">
            <v>11775340.489999998</v>
          </cell>
          <cell r="J138">
            <v>2892728.81</v>
          </cell>
          <cell r="K138">
            <v>5798551.1200000001</v>
          </cell>
          <cell r="L138">
            <v>8544967.2300000004</v>
          </cell>
          <cell r="M138">
            <v>11406694.18</v>
          </cell>
          <cell r="N138">
            <v>2634233.2000000002</v>
          </cell>
          <cell r="O138">
            <v>5576195.5999999996</v>
          </cell>
          <cell r="P138">
            <v>8277624.7799999993</v>
          </cell>
          <cell r="Q138">
            <v>10969804.579999998</v>
          </cell>
          <cell r="R138">
            <v>2622853.85</v>
          </cell>
          <cell r="S138">
            <v>5556152.4900000002</v>
          </cell>
          <cell r="T138">
            <v>8413269.1099999994</v>
          </cell>
          <cell r="U138">
            <v>11214478.369999999</v>
          </cell>
          <cell r="V138">
            <v>2868966.45</v>
          </cell>
          <cell r="W138">
            <v>5722955.3800000008</v>
          </cell>
          <cell r="X138">
            <v>8836348.7700000014</v>
          </cell>
          <cell r="Y138">
            <v>11866848.240000002</v>
          </cell>
          <cell r="Z138">
            <v>3023943.34</v>
          </cell>
          <cell r="AA138">
            <v>5992450.2400000002</v>
          </cell>
          <cell r="AB138">
            <v>9249638.6999999993</v>
          </cell>
          <cell r="AC138">
            <v>12293056.029999999</v>
          </cell>
          <cell r="AD138">
            <v>3003775.68</v>
          </cell>
          <cell r="AE138">
            <v>5922048.79</v>
          </cell>
          <cell r="AF138">
            <v>9044718.0800000001</v>
          </cell>
          <cell r="AG138">
            <v>12060259.07</v>
          </cell>
          <cell r="AH138">
            <v>2897956.63</v>
          </cell>
          <cell r="AI138">
            <v>5804055.9699999997</v>
          </cell>
          <cell r="AJ138">
            <v>8801914.0599999987</v>
          </cell>
          <cell r="AK138">
            <v>11836007.599999998</v>
          </cell>
          <cell r="AL138">
            <v>2812098.75</v>
          </cell>
          <cell r="AM138">
            <v>5631620.6099999994</v>
          </cell>
          <cell r="AN138">
            <v>8423282.3999999985</v>
          </cell>
          <cell r="AO138">
            <v>11635497.339999998</v>
          </cell>
          <cell r="AP138">
            <v>3438401</v>
          </cell>
          <cell r="AQ138">
            <v>6991600.96</v>
          </cell>
          <cell r="AR138">
            <v>10661419.52</v>
          </cell>
          <cell r="AS138">
            <v>14717263.699999999</v>
          </cell>
          <cell r="AT138">
            <v>4397669.1500000004</v>
          </cell>
          <cell r="AU138">
            <v>8539844.2100000009</v>
          </cell>
          <cell r="AV138">
            <v>12831499.030000001</v>
          </cell>
          <cell r="AW138">
            <v>17300467.66</v>
          </cell>
          <cell r="AX138">
            <v>4952631.47</v>
          </cell>
          <cell r="AY138">
            <v>9989005.9299999997</v>
          </cell>
          <cell r="AZ138">
            <v>15273609.989999998</v>
          </cell>
          <cell r="BA138">
            <v>21023307.279999997</v>
          </cell>
          <cell r="BB138">
            <v>26103115.389999997</v>
          </cell>
        </row>
        <row r="139">
          <cell r="A139" t="str">
            <v>qtd</v>
          </cell>
          <cell r="B139">
            <v>2940423.24</v>
          </cell>
          <cell r="C139">
            <v>5639662.29</v>
          </cell>
          <cell r="D139">
            <v>8374756.04</v>
          </cell>
          <cell r="E139">
            <v>11060206.629999999</v>
          </cell>
          <cell r="F139">
            <v>14136191.02</v>
          </cell>
          <cell r="G139">
            <v>17166387.98</v>
          </cell>
          <cell r="H139">
            <v>20092559.84</v>
          </cell>
          <cell r="I139">
            <v>22835547.120000001</v>
          </cell>
          <cell r="J139">
            <v>25728275.93</v>
          </cell>
          <cell r="K139">
            <v>28634098.239999998</v>
          </cell>
          <cell r="L139">
            <v>31380514.349999998</v>
          </cell>
          <cell r="M139">
            <v>34242241.299999997</v>
          </cell>
          <cell r="N139">
            <v>2634233.2000000002</v>
          </cell>
          <cell r="O139">
            <v>5576195.5999999996</v>
          </cell>
          <cell r="P139">
            <v>8277624.7799999993</v>
          </cell>
          <cell r="Q139">
            <v>10969804.579999998</v>
          </cell>
          <cell r="R139">
            <v>13592658.429999998</v>
          </cell>
          <cell r="S139">
            <v>16525957.069999998</v>
          </cell>
          <cell r="T139">
            <v>19383073.689999998</v>
          </cell>
          <cell r="U139">
            <v>22184282.949999996</v>
          </cell>
          <cell r="V139">
            <v>25053249.399999995</v>
          </cell>
          <cell r="W139">
            <v>27907238.329999994</v>
          </cell>
          <cell r="X139">
            <v>31020631.719999995</v>
          </cell>
          <cell r="Y139">
            <v>34051131.189999998</v>
          </cell>
          <cell r="Z139">
            <v>3023943.34</v>
          </cell>
          <cell r="AA139">
            <v>5992450.2400000002</v>
          </cell>
          <cell r="AB139">
            <v>9249638.6999999993</v>
          </cell>
          <cell r="AC139">
            <v>12293056.029999999</v>
          </cell>
          <cell r="AD139">
            <v>15296831.709999999</v>
          </cell>
          <cell r="AE139">
            <v>18215104.82</v>
          </cell>
          <cell r="AF139">
            <v>21337774.109999999</v>
          </cell>
          <cell r="AG139">
            <v>24353315.100000001</v>
          </cell>
          <cell r="AH139">
            <v>27251271.73</v>
          </cell>
          <cell r="AI139">
            <v>30157371.07</v>
          </cell>
          <cell r="AJ139">
            <v>33155229.16</v>
          </cell>
          <cell r="AK139">
            <v>36189322.700000003</v>
          </cell>
          <cell r="AL139">
            <v>2812098.75</v>
          </cell>
          <cell r="AM139">
            <v>5631620.6099999994</v>
          </cell>
          <cell r="AN139">
            <v>8423282.3999999985</v>
          </cell>
          <cell r="AO139">
            <v>11635497.339999998</v>
          </cell>
          <cell r="AP139">
            <v>15073898.339999998</v>
          </cell>
          <cell r="AQ139">
            <v>18627098.299999997</v>
          </cell>
          <cell r="AR139">
            <v>22296916.859999996</v>
          </cell>
          <cell r="AS139">
            <v>26352761.039999995</v>
          </cell>
          <cell r="AT139">
            <v>30750430.189999998</v>
          </cell>
          <cell r="AU139">
            <v>34892605.25</v>
          </cell>
          <cell r="AV139">
            <v>39184260.07</v>
          </cell>
          <cell r="AW139">
            <v>43653228.700000003</v>
          </cell>
          <cell r="AX139">
            <v>48605860.170000002</v>
          </cell>
          <cell r="AY139">
            <v>53642234.630000003</v>
          </cell>
          <cell r="AZ139">
            <v>58926838.690000005</v>
          </cell>
          <cell r="BA139">
            <v>64676535.980000004</v>
          </cell>
          <cell r="BB139">
            <v>69756344.090000004</v>
          </cell>
        </row>
        <row r="140">
          <cell r="A140" t="str">
            <v>ytd</v>
          </cell>
          <cell r="B140">
            <v>2940423.24</v>
          </cell>
          <cell r="C140">
            <v>5639662.29</v>
          </cell>
          <cell r="D140">
            <v>8374756.04</v>
          </cell>
          <cell r="E140">
            <v>11060206.629999999</v>
          </cell>
          <cell r="F140">
            <v>14136191.02</v>
          </cell>
          <cell r="G140">
            <v>17166387.98</v>
          </cell>
          <cell r="H140">
            <v>20092559.84</v>
          </cell>
          <cell r="I140">
            <v>22835547.120000001</v>
          </cell>
          <cell r="J140">
            <v>25728275.93</v>
          </cell>
          <cell r="K140">
            <v>28634098.239999998</v>
          </cell>
          <cell r="L140">
            <v>31380514.349999998</v>
          </cell>
          <cell r="M140">
            <v>34242241.299999997</v>
          </cell>
          <cell r="N140">
            <v>36876474.5</v>
          </cell>
          <cell r="O140">
            <v>39818436.899999999</v>
          </cell>
          <cell r="P140">
            <v>42519866.079999998</v>
          </cell>
          <cell r="Q140">
            <v>45212045.879999995</v>
          </cell>
          <cell r="R140">
            <v>47834899.729999997</v>
          </cell>
          <cell r="S140">
            <v>50768198.369999997</v>
          </cell>
          <cell r="T140">
            <v>53625314.989999995</v>
          </cell>
          <cell r="U140">
            <v>56426524.249999993</v>
          </cell>
          <cell r="V140">
            <v>59295490.699999996</v>
          </cell>
          <cell r="W140">
            <v>62149479.629999995</v>
          </cell>
          <cell r="X140">
            <v>65262873.019999996</v>
          </cell>
          <cell r="Y140">
            <v>68293372.489999995</v>
          </cell>
          <cell r="Z140">
            <v>71317315.829999998</v>
          </cell>
          <cell r="AA140">
            <v>74285822.730000004</v>
          </cell>
          <cell r="AB140">
            <v>77543011.189999998</v>
          </cell>
          <cell r="AC140">
            <v>80586428.519999996</v>
          </cell>
          <cell r="AD140">
            <v>83590204.200000003</v>
          </cell>
          <cell r="AE140">
            <v>86508477.310000002</v>
          </cell>
          <cell r="AF140">
            <v>89631146.600000009</v>
          </cell>
          <cell r="AG140">
            <v>92646687.590000004</v>
          </cell>
          <cell r="AH140">
            <v>95544644.219999999</v>
          </cell>
          <cell r="AI140">
            <v>98450743.560000002</v>
          </cell>
          <cell r="AJ140">
            <v>101448601.65000001</v>
          </cell>
          <cell r="AK140">
            <v>104482695.19000001</v>
          </cell>
          <cell r="AL140">
            <v>107294793.94000001</v>
          </cell>
          <cell r="AM140">
            <v>110114315.80000001</v>
          </cell>
          <cell r="AN140">
            <v>112905977.59000002</v>
          </cell>
          <cell r="AO140">
            <v>116118192.53000002</v>
          </cell>
          <cell r="AP140">
            <v>119556593.53000002</v>
          </cell>
          <cell r="AQ140">
            <v>123109793.49000001</v>
          </cell>
          <cell r="AR140">
            <v>126779612.05000001</v>
          </cell>
          <cell r="AS140">
            <v>130835456.23000002</v>
          </cell>
          <cell r="AT140">
            <v>135233125.38000003</v>
          </cell>
          <cell r="AU140">
            <v>139375300.44000003</v>
          </cell>
          <cell r="AV140">
            <v>143666955.26000002</v>
          </cell>
          <cell r="AW140">
            <v>148135923.89000002</v>
          </cell>
          <cell r="AX140">
            <v>153088555.36000001</v>
          </cell>
          <cell r="AY140">
            <v>158124929.82000002</v>
          </cell>
          <cell r="AZ140">
            <v>163409533.88000003</v>
          </cell>
          <cell r="BA140">
            <v>169159231.17000002</v>
          </cell>
          <cell r="BB140">
            <v>174239039.28000003</v>
          </cell>
        </row>
        <row r="141">
          <cell r="A141" t="str">
            <v>TICK</v>
          </cell>
          <cell r="B141">
            <v>152152.78</v>
          </cell>
          <cell r="C141">
            <v>98523.32</v>
          </cell>
          <cell r="D141">
            <v>115020.62</v>
          </cell>
          <cell r="E141">
            <v>103012.53</v>
          </cell>
          <cell r="F141">
            <v>107846.67</v>
          </cell>
          <cell r="G141">
            <v>157870.46</v>
          </cell>
          <cell r="H141">
            <v>264151.63</v>
          </cell>
          <cell r="I141">
            <v>216228.82</v>
          </cell>
          <cell r="J141">
            <v>194973.83</v>
          </cell>
          <cell r="K141">
            <v>210177.8</v>
          </cell>
          <cell r="L141">
            <v>246211.7</v>
          </cell>
          <cell r="M141">
            <v>364072.22</v>
          </cell>
          <cell r="N141">
            <v>335970.71</v>
          </cell>
          <cell r="O141">
            <v>458874.22</v>
          </cell>
          <cell r="P141">
            <v>451796.1</v>
          </cell>
          <cell r="Q141">
            <v>604282.06999999995</v>
          </cell>
          <cell r="R141">
            <v>763885.4</v>
          </cell>
          <cell r="S141">
            <v>536580.17000000004</v>
          </cell>
          <cell r="T141">
            <v>645455.17000000004</v>
          </cell>
          <cell r="U141">
            <v>675764.09</v>
          </cell>
          <cell r="V141">
            <v>1243260.98</v>
          </cell>
          <cell r="W141">
            <v>1536223.16</v>
          </cell>
          <cell r="X141">
            <v>1210024.23</v>
          </cell>
          <cell r="Y141">
            <v>1523220.54</v>
          </cell>
          <cell r="Z141">
            <v>1471646.76</v>
          </cell>
          <cell r="AA141">
            <v>1672367.19</v>
          </cell>
          <cell r="AB141">
            <v>2150415.27</v>
          </cell>
          <cell r="AC141">
            <v>2131976.4700000002</v>
          </cell>
          <cell r="AD141">
            <v>2391508.9500000002</v>
          </cell>
          <cell r="AE141">
            <v>2190646.06</v>
          </cell>
          <cell r="AF141">
            <v>2305520.7599999998</v>
          </cell>
          <cell r="AG141">
            <v>2276020.96</v>
          </cell>
          <cell r="AH141">
            <v>2105723.0099999998</v>
          </cell>
          <cell r="AI141">
            <v>2236442.2599999998</v>
          </cell>
          <cell r="AJ141">
            <v>1825412.53</v>
          </cell>
          <cell r="AK141">
            <v>700198.99</v>
          </cell>
          <cell r="AL141">
            <v>146463.38</v>
          </cell>
          <cell r="AM141">
            <v>256703.26</v>
          </cell>
          <cell r="AN141">
            <v>414933.97</v>
          </cell>
          <cell r="AO141">
            <v>843774.1</v>
          </cell>
          <cell r="AP141">
            <v>1441221.72</v>
          </cell>
          <cell r="AQ141">
            <v>2268779.1800000002</v>
          </cell>
          <cell r="AR141">
            <v>2401381.04</v>
          </cell>
          <cell r="AS141">
            <v>1003531.52</v>
          </cell>
          <cell r="AT141">
            <v>86822.22</v>
          </cell>
          <cell r="AU141">
            <v>85993.52</v>
          </cell>
          <cell r="AV141">
            <v>96250.37</v>
          </cell>
          <cell r="AW141">
            <v>121575.43</v>
          </cell>
          <cell r="AX141">
            <v>155704.23000000001</v>
          </cell>
          <cell r="AY141">
            <v>189711.92</v>
          </cell>
          <cell r="AZ141">
            <v>341579.92</v>
          </cell>
          <cell r="BA141">
            <v>503552.74</v>
          </cell>
          <cell r="BB141">
            <v>174764.28</v>
          </cell>
        </row>
        <row r="142">
          <cell r="A142" t="str">
            <v>ptd</v>
          </cell>
          <cell r="B142">
            <v>152152.78</v>
          </cell>
          <cell r="C142">
            <v>250676.1</v>
          </cell>
          <cell r="D142">
            <v>365696.72</v>
          </cell>
          <cell r="E142">
            <v>468709.25</v>
          </cell>
          <cell r="F142">
            <v>107846.67</v>
          </cell>
          <cell r="G142">
            <v>265717.13</v>
          </cell>
          <cell r="H142">
            <v>529868.76</v>
          </cell>
          <cell r="I142">
            <v>746097.58000000007</v>
          </cell>
          <cell r="J142">
            <v>194973.83</v>
          </cell>
          <cell r="K142">
            <v>405151.63</v>
          </cell>
          <cell r="L142">
            <v>651363.33000000007</v>
          </cell>
          <cell r="M142">
            <v>1015435.55</v>
          </cell>
          <cell r="N142">
            <v>335970.71</v>
          </cell>
          <cell r="O142">
            <v>794844.92999999993</v>
          </cell>
          <cell r="P142">
            <v>1246641.0299999998</v>
          </cell>
          <cell r="Q142">
            <v>1850923.0999999996</v>
          </cell>
          <cell r="R142">
            <v>763885.4</v>
          </cell>
          <cell r="S142">
            <v>1300465.57</v>
          </cell>
          <cell r="T142">
            <v>1945920.7400000002</v>
          </cell>
          <cell r="U142">
            <v>2621684.83</v>
          </cell>
          <cell r="V142">
            <v>1243260.98</v>
          </cell>
          <cell r="W142">
            <v>2779484.1399999997</v>
          </cell>
          <cell r="X142">
            <v>3989508.3699999996</v>
          </cell>
          <cell r="Y142">
            <v>5512728.9100000001</v>
          </cell>
          <cell r="Z142">
            <v>1471646.76</v>
          </cell>
          <cell r="AA142">
            <v>3144013.95</v>
          </cell>
          <cell r="AB142">
            <v>5294429.2200000007</v>
          </cell>
          <cell r="AC142">
            <v>7426405.6900000013</v>
          </cell>
          <cell r="AD142">
            <v>2391508.9500000002</v>
          </cell>
          <cell r="AE142">
            <v>4582155.01</v>
          </cell>
          <cell r="AF142">
            <v>6887675.7699999996</v>
          </cell>
          <cell r="AG142">
            <v>9163696.7300000004</v>
          </cell>
          <cell r="AH142">
            <v>2105723.0099999998</v>
          </cell>
          <cell r="AI142">
            <v>4342165.2699999996</v>
          </cell>
          <cell r="AJ142">
            <v>6167577.7999999998</v>
          </cell>
          <cell r="AK142">
            <v>6867776.79</v>
          </cell>
          <cell r="AL142">
            <v>146463.38</v>
          </cell>
          <cell r="AM142">
            <v>403166.64</v>
          </cell>
          <cell r="AN142">
            <v>818100.61</v>
          </cell>
          <cell r="AO142">
            <v>1661874.71</v>
          </cell>
          <cell r="AP142">
            <v>1441221.72</v>
          </cell>
          <cell r="AQ142">
            <v>3710000.9000000004</v>
          </cell>
          <cell r="AR142">
            <v>6111381.9400000004</v>
          </cell>
          <cell r="AS142">
            <v>7114913.4600000009</v>
          </cell>
          <cell r="AT142">
            <v>86822.22</v>
          </cell>
          <cell r="AU142">
            <v>172815.74</v>
          </cell>
          <cell r="AV142">
            <v>269066.11</v>
          </cell>
          <cell r="AW142">
            <v>390641.54</v>
          </cell>
          <cell r="AX142">
            <v>155704.23000000001</v>
          </cell>
          <cell r="AY142">
            <v>345416.15</v>
          </cell>
          <cell r="AZ142">
            <v>686996.07000000007</v>
          </cell>
          <cell r="BA142">
            <v>1190548.81</v>
          </cell>
          <cell r="BB142">
            <v>1365313.09</v>
          </cell>
        </row>
        <row r="143">
          <cell r="A143" t="str">
            <v>qtd</v>
          </cell>
          <cell r="B143">
            <v>152152.78</v>
          </cell>
          <cell r="C143">
            <v>250676.1</v>
          </cell>
          <cell r="D143">
            <v>365696.72</v>
          </cell>
          <cell r="E143">
            <v>468709.25</v>
          </cell>
          <cell r="F143">
            <v>576555.92000000004</v>
          </cell>
          <cell r="G143">
            <v>734426.38</v>
          </cell>
          <cell r="H143">
            <v>998578.01</v>
          </cell>
          <cell r="I143">
            <v>1214806.83</v>
          </cell>
          <cell r="J143">
            <v>1409780.6600000001</v>
          </cell>
          <cell r="K143">
            <v>1619958.4600000002</v>
          </cell>
          <cell r="L143">
            <v>1866170.1600000001</v>
          </cell>
          <cell r="M143">
            <v>2230242.38</v>
          </cell>
          <cell r="N143">
            <v>335970.71</v>
          </cell>
          <cell r="O143">
            <v>794844.92999999993</v>
          </cell>
          <cell r="P143">
            <v>1246641.0299999998</v>
          </cell>
          <cell r="Q143">
            <v>1850923.0999999996</v>
          </cell>
          <cell r="R143">
            <v>2614808.4999999995</v>
          </cell>
          <cell r="S143">
            <v>3151388.6699999995</v>
          </cell>
          <cell r="T143">
            <v>3796843.8399999994</v>
          </cell>
          <cell r="U143">
            <v>4472607.93</v>
          </cell>
          <cell r="V143">
            <v>5715868.9100000001</v>
          </cell>
          <cell r="W143">
            <v>7252092.0700000003</v>
          </cell>
          <cell r="X143">
            <v>8462116.3000000007</v>
          </cell>
          <cell r="Y143">
            <v>9985336.8399999999</v>
          </cell>
          <cell r="Z143">
            <v>1471646.76</v>
          </cell>
          <cell r="AA143">
            <v>3144013.95</v>
          </cell>
          <cell r="AB143">
            <v>5294429.2200000007</v>
          </cell>
          <cell r="AC143">
            <v>7426405.6900000013</v>
          </cell>
          <cell r="AD143">
            <v>9817914.6400000006</v>
          </cell>
          <cell r="AE143">
            <v>12008560.700000001</v>
          </cell>
          <cell r="AF143">
            <v>14314081.460000001</v>
          </cell>
          <cell r="AG143">
            <v>16590102.420000002</v>
          </cell>
          <cell r="AH143">
            <v>18695825.43</v>
          </cell>
          <cell r="AI143">
            <v>20932267.689999998</v>
          </cell>
          <cell r="AJ143">
            <v>22757680.219999999</v>
          </cell>
          <cell r="AK143">
            <v>23457879.209999997</v>
          </cell>
          <cell r="AL143">
            <v>146463.38</v>
          </cell>
          <cell r="AM143">
            <v>403166.64</v>
          </cell>
          <cell r="AN143">
            <v>818100.61</v>
          </cell>
          <cell r="AO143">
            <v>1661874.71</v>
          </cell>
          <cell r="AP143">
            <v>3103096.4299999997</v>
          </cell>
          <cell r="AQ143">
            <v>5371875.6099999994</v>
          </cell>
          <cell r="AR143">
            <v>7773256.6499999994</v>
          </cell>
          <cell r="AS143">
            <v>8776788.1699999999</v>
          </cell>
          <cell r="AT143">
            <v>8863610.3900000006</v>
          </cell>
          <cell r="AU143">
            <v>8949603.9100000001</v>
          </cell>
          <cell r="AV143">
            <v>9045854.2799999993</v>
          </cell>
          <cell r="AW143">
            <v>9167429.709999999</v>
          </cell>
          <cell r="AX143">
            <v>9323133.9399999995</v>
          </cell>
          <cell r="AY143">
            <v>9512845.8599999994</v>
          </cell>
          <cell r="AZ143">
            <v>9854425.7799999993</v>
          </cell>
          <cell r="BA143">
            <v>10357978.52</v>
          </cell>
          <cell r="BB143">
            <v>10532742.799999999</v>
          </cell>
        </row>
        <row r="144">
          <cell r="A144" t="str">
            <v>ytd</v>
          </cell>
          <cell r="B144">
            <v>152152.78</v>
          </cell>
          <cell r="C144">
            <v>250676.1</v>
          </cell>
          <cell r="D144">
            <v>365696.72</v>
          </cell>
          <cell r="E144">
            <v>468709.25</v>
          </cell>
          <cell r="F144">
            <v>576555.92000000004</v>
          </cell>
          <cell r="G144">
            <v>734426.38</v>
          </cell>
          <cell r="H144">
            <v>998578.01</v>
          </cell>
          <cell r="I144">
            <v>1214806.83</v>
          </cell>
          <cell r="J144">
            <v>1409780.6600000001</v>
          </cell>
          <cell r="K144">
            <v>1619958.4600000002</v>
          </cell>
          <cell r="L144">
            <v>1866170.1600000001</v>
          </cell>
          <cell r="M144">
            <v>2230242.38</v>
          </cell>
          <cell r="N144">
            <v>2566213.09</v>
          </cell>
          <cell r="O144">
            <v>3025087.3099999996</v>
          </cell>
          <cell r="P144">
            <v>3476883.4099999997</v>
          </cell>
          <cell r="Q144">
            <v>4081165.4799999995</v>
          </cell>
          <cell r="R144">
            <v>4845050.88</v>
          </cell>
          <cell r="S144">
            <v>5381631.0499999998</v>
          </cell>
          <cell r="T144">
            <v>6027086.2199999997</v>
          </cell>
          <cell r="U144">
            <v>6702850.3099999996</v>
          </cell>
          <cell r="V144">
            <v>7946111.2899999991</v>
          </cell>
          <cell r="W144">
            <v>9482334.4499999993</v>
          </cell>
          <cell r="X144">
            <v>10692358.68</v>
          </cell>
          <cell r="Y144">
            <v>12215579.219999999</v>
          </cell>
          <cell r="Z144">
            <v>13687225.979999999</v>
          </cell>
          <cell r="AA144">
            <v>15359593.169999998</v>
          </cell>
          <cell r="AB144">
            <v>17510008.439999998</v>
          </cell>
          <cell r="AC144">
            <v>19641984.909999996</v>
          </cell>
          <cell r="AD144">
            <v>22033493.859999996</v>
          </cell>
          <cell r="AE144">
            <v>24224139.919999994</v>
          </cell>
          <cell r="AF144">
            <v>26529660.679999992</v>
          </cell>
          <cell r="AG144">
            <v>28805681.639999993</v>
          </cell>
          <cell r="AH144">
            <v>30911404.649999991</v>
          </cell>
          <cell r="AI144">
            <v>33147846.909999989</v>
          </cell>
          <cell r="AJ144">
            <v>34973259.43999999</v>
          </cell>
          <cell r="AK144">
            <v>35673458.429999992</v>
          </cell>
          <cell r="AL144">
            <v>35819921.809999995</v>
          </cell>
          <cell r="AM144">
            <v>36076625.069999993</v>
          </cell>
          <cell r="AN144">
            <v>36491559.039999992</v>
          </cell>
          <cell r="AO144">
            <v>37335333.139999993</v>
          </cell>
          <cell r="AP144">
            <v>38776554.859999992</v>
          </cell>
          <cell r="AQ144">
            <v>41045334.039999992</v>
          </cell>
          <cell r="AR144">
            <v>43446715.079999991</v>
          </cell>
          <cell r="AS144">
            <v>44450246.599999994</v>
          </cell>
          <cell r="AT144">
            <v>44537068.819999993</v>
          </cell>
          <cell r="AU144">
            <v>44623062.339999996</v>
          </cell>
          <cell r="AV144">
            <v>44719312.709999993</v>
          </cell>
          <cell r="AW144">
            <v>44840888.139999993</v>
          </cell>
          <cell r="AX144">
            <v>44996592.36999999</v>
          </cell>
          <cell r="AY144">
            <v>45186304.289999992</v>
          </cell>
          <cell r="AZ144">
            <v>45527884.209999993</v>
          </cell>
          <cell r="BA144">
            <v>46031436.949999996</v>
          </cell>
          <cell r="BB144">
            <v>46206201.229999997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TOTAL DISTRIBUTION</v>
          </cell>
          <cell r="B149">
            <v>21794616.34</v>
          </cell>
          <cell r="C149">
            <v>18358067.280000001</v>
          </cell>
          <cell r="D149">
            <v>17676796.199999999</v>
          </cell>
          <cell r="E149">
            <v>17209860.989999998</v>
          </cell>
          <cell r="F149">
            <v>18180560.719999999</v>
          </cell>
          <cell r="G149">
            <v>19630748.080000002</v>
          </cell>
          <cell r="H149">
            <v>27518153.48</v>
          </cell>
          <cell r="I149">
            <v>17702011.43</v>
          </cell>
          <cell r="J149">
            <v>18645173.509999998</v>
          </cell>
          <cell r="K149">
            <v>19382063.420000002</v>
          </cell>
          <cell r="L149">
            <v>20265923.640000001</v>
          </cell>
          <cell r="M149">
            <v>28371159</v>
          </cell>
          <cell r="N149">
            <v>18888838.289999999</v>
          </cell>
          <cell r="O149">
            <v>19546610.349999998</v>
          </cell>
          <cell r="P149">
            <v>19175938.09</v>
          </cell>
          <cell r="Q149">
            <v>19987502.170000002</v>
          </cell>
          <cell r="R149">
            <v>22762147.210000001</v>
          </cell>
          <cell r="S149">
            <v>23123588.670000002</v>
          </cell>
          <cell r="T149">
            <v>38546880.730000004</v>
          </cell>
          <cell r="U149">
            <v>30023874.710000001</v>
          </cell>
          <cell r="V149">
            <v>26875984.890000001</v>
          </cell>
          <cell r="W149">
            <v>27518054.010000002</v>
          </cell>
          <cell r="X149">
            <v>32161457.370000001</v>
          </cell>
          <cell r="Y149">
            <v>48441269.630000003</v>
          </cell>
          <cell r="Z149">
            <v>37522944.219999999</v>
          </cell>
          <cell r="AA149">
            <v>27377513.629999999</v>
          </cell>
          <cell r="AB149">
            <v>24126011.330000002</v>
          </cell>
          <cell r="AC149">
            <v>23533431.379999999</v>
          </cell>
          <cell r="AD149">
            <v>24404298.080000002</v>
          </cell>
          <cell r="AE149">
            <v>23984793.260000002</v>
          </cell>
          <cell r="AF149">
            <v>25013726.52</v>
          </cell>
          <cell r="AG149">
            <v>24665548.400000002</v>
          </cell>
          <cell r="AH149">
            <v>24491594.129999999</v>
          </cell>
          <cell r="AI149">
            <v>24427748.800000001</v>
          </cell>
          <cell r="AJ149">
            <v>23532080.210000001</v>
          </cell>
          <cell r="AK149">
            <v>21752328.689999998</v>
          </cell>
          <cell r="AL149">
            <v>21370832.52</v>
          </cell>
          <cell r="AM149">
            <v>21791978.16</v>
          </cell>
          <cell r="AN149">
            <v>21628243.27</v>
          </cell>
          <cell r="AO149">
            <v>22875735.709999997</v>
          </cell>
          <cell r="AP149">
            <v>23351821.849999998</v>
          </cell>
          <cell r="AQ149">
            <v>25823685.539999999</v>
          </cell>
          <cell r="AR149">
            <v>25052674</v>
          </cell>
          <cell r="AS149">
            <v>27614516.370000001</v>
          </cell>
          <cell r="AT149">
            <v>25707729.630000003</v>
          </cell>
          <cell r="AU149">
            <v>27897325.150000002</v>
          </cell>
          <cell r="AV149">
            <v>31797197.580000006</v>
          </cell>
          <cell r="AW149">
            <v>39178803.669999994</v>
          </cell>
          <cell r="AX149">
            <v>57931121.949999996</v>
          </cell>
          <cell r="AY149">
            <v>102976587.23</v>
          </cell>
          <cell r="AZ149">
            <v>220185258.28</v>
          </cell>
          <cell r="BA149">
            <v>290582478.20999998</v>
          </cell>
          <cell r="BB149">
            <v>36849528.020000003</v>
          </cell>
        </row>
        <row r="150">
          <cell r="A150" t="str">
            <v>ptd</v>
          </cell>
          <cell r="B150">
            <v>21794616.34</v>
          </cell>
          <cell r="C150">
            <v>40152683.620000005</v>
          </cell>
          <cell r="D150">
            <v>57829479.820000008</v>
          </cell>
          <cell r="E150">
            <v>75039340.810000002</v>
          </cell>
          <cell r="F150">
            <v>18180560.719999999</v>
          </cell>
          <cell r="G150">
            <v>37811308.799999997</v>
          </cell>
          <cell r="H150">
            <v>65329462.280000001</v>
          </cell>
          <cell r="I150">
            <v>83031473.710000008</v>
          </cell>
          <cell r="J150">
            <v>18645173.509999998</v>
          </cell>
          <cell r="K150">
            <v>38027236.93</v>
          </cell>
          <cell r="L150">
            <v>58293160.57</v>
          </cell>
          <cell r="M150">
            <v>86664319.569999993</v>
          </cell>
          <cell r="N150">
            <v>18888838.289999999</v>
          </cell>
          <cell r="O150">
            <v>38435448.640000001</v>
          </cell>
          <cell r="P150">
            <v>57611386.730000004</v>
          </cell>
          <cell r="Q150">
            <v>77598888.900000006</v>
          </cell>
          <cell r="R150">
            <v>22762147.210000001</v>
          </cell>
          <cell r="S150">
            <v>45885735.880000003</v>
          </cell>
          <cell r="T150">
            <v>84432616.610000014</v>
          </cell>
          <cell r="U150">
            <v>114456491.32000002</v>
          </cell>
          <cell r="V150">
            <v>26875984.890000001</v>
          </cell>
          <cell r="W150">
            <v>54394038.900000006</v>
          </cell>
          <cell r="X150">
            <v>86555496.270000011</v>
          </cell>
          <cell r="Y150">
            <v>134996765.90000001</v>
          </cell>
          <cell r="Z150">
            <v>37522944.219999999</v>
          </cell>
          <cell r="AA150">
            <v>64900457.849999994</v>
          </cell>
          <cell r="AB150">
            <v>89026469.179999992</v>
          </cell>
          <cell r="AC150">
            <v>112559900.55999999</v>
          </cell>
          <cell r="AD150">
            <v>24404298.080000002</v>
          </cell>
          <cell r="AE150">
            <v>48389091.340000004</v>
          </cell>
          <cell r="AF150">
            <v>73402817.859999999</v>
          </cell>
          <cell r="AG150">
            <v>98068366.260000005</v>
          </cell>
          <cell r="AH150">
            <v>24491594.129999999</v>
          </cell>
          <cell r="AI150">
            <v>48919342.93</v>
          </cell>
          <cell r="AJ150">
            <v>72451423.140000001</v>
          </cell>
          <cell r="AK150">
            <v>94203751.829999998</v>
          </cell>
          <cell r="AL150">
            <v>21370832.52</v>
          </cell>
          <cell r="AM150">
            <v>43162810.68</v>
          </cell>
          <cell r="AN150">
            <v>64791053.950000003</v>
          </cell>
          <cell r="AO150">
            <v>87666789.659999996</v>
          </cell>
          <cell r="AP150">
            <v>23351821.849999998</v>
          </cell>
          <cell r="AQ150">
            <v>49175507.390000001</v>
          </cell>
          <cell r="AR150">
            <v>74228181.390000001</v>
          </cell>
          <cell r="AS150">
            <v>101842697.76000001</v>
          </cell>
          <cell r="AT150">
            <v>25707729.630000003</v>
          </cell>
          <cell r="AU150">
            <v>53605054.780000001</v>
          </cell>
          <cell r="AV150">
            <v>85402252.360000014</v>
          </cell>
          <cell r="AW150">
            <v>124581056.03</v>
          </cell>
          <cell r="AX150">
            <v>57931121.949999996</v>
          </cell>
          <cell r="AY150">
            <v>160907709.18000001</v>
          </cell>
          <cell r="AZ150">
            <v>381092967.46000004</v>
          </cell>
          <cell r="BA150">
            <v>671675445.67000008</v>
          </cell>
          <cell r="BB150">
            <v>708524973.69000006</v>
          </cell>
        </row>
        <row r="151">
          <cell r="A151" t="str">
            <v>qtd</v>
          </cell>
          <cell r="B151">
            <v>21794616.34</v>
          </cell>
          <cell r="C151">
            <v>40152683.620000005</v>
          </cell>
          <cell r="D151">
            <v>57829479.820000008</v>
          </cell>
          <cell r="E151">
            <v>75039340.810000002</v>
          </cell>
          <cell r="F151">
            <v>93219901.530000001</v>
          </cell>
          <cell r="G151">
            <v>112850649.61</v>
          </cell>
          <cell r="H151">
            <v>140368803.09</v>
          </cell>
          <cell r="I151">
            <v>158070814.52000001</v>
          </cell>
          <cell r="J151">
            <v>176715988.03</v>
          </cell>
          <cell r="K151">
            <v>196098051.44999999</v>
          </cell>
          <cell r="L151">
            <v>216363975.08999997</v>
          </cell>
          <cell r="M151">
            <v>244735134.08999997</v>
          </cell>
          <cell r="N151">
            <v>18888838.289999999</v>
          </cell>
          <cell r="O151">
            <v>38435448.640000001</v>
          </cell>
          <cell r="P151">
            <v>57611386.730000004</v>
          </cell>
          <cell r="Q151">
            <v>77598888.900000006</v>
          </cell>
          <cell r="R151">
            <v>100361036.11000001</v>
          </cell>
          <cell r="S151">
            <v>123484624.78000002</v>
          </cell>
          <cell r="T151">
            <v>162031505.51000002</v>
          </cell>
          <cell r="U151">
            <v>192055380.22000003</v>
          </cell>
          <cell r="V151">
            <v>218931365.11000001</v>
          </cell>
          <cell r="W151">
            <v>246449419.12</v>
          </cell>
          <cell r="X151">
            <v>278610876.49000001</v>
          </cell>
          <cell r="Y151">
            <v>327052146.12</v>
          </cell>
          <cell r="Z151">
            <v>37522944.219999999</v>
          </cell>
          <cell r="AA151">
            <v>64900457.849999994</v>
          </cell>
          <cell r="AB151">
            <v>89026469.179999992</v>
          </cell>
          <cell r="AC151">
            <v>112559900.55999999</v>
          </cell>
          <cell r="AD151">
            <v>136964198.63999999</v>
          </cell>
          <cell r="AE151">
            <v>160948991.89999998</v>
          </cell>
          <cell r="AF151">
            <v>185962718.41999999</v>
          </cell>
          <cell r="AG151">
            <v>210628266.81999999</v>
          </cell>
          <cell r="AH151">
            <v>235119860.94999999</v>
          </cell>
          <cell r="AI151">
            <v>259547609.75</v>
          </cell>
          <cell r="AJ151">
            <v>283079689.95999998</v>
          </cell>
          <cell r="AK151">
            <v>304832018.64999998</v>
          </cell>
          <cell r="AL151">
            <v>21370832.52</v>
          </cell>
          <cell r="AM151">
            <v>43162810.68</v>
          </cell>
          <cell r="AN151">
            <v>64791053.950000003</v>
          </cell>
          <cell r="AO151">
            <v>87666789.659999996</v>
          </cell>
          <cell r="AP151">
            <v>111018611.50999999</v>
          </cell>
          <cell r="AQ151">
            <v>136842297.04999998</v>
          </cell>
          <cell r="AR151">
            <v>161894971.04999998</v>
          </cell>
          <cell r="AS151">
            <v>189509487.41999999</v>
          </cell>
          <cell r="AT151">
            <v>215217217.04999998</v>
          </cell>
          <cell r="AU151">
            <v>243114542.19999999</v>
          </cell>
          <cell r="AV151">
            <v>274911739.77999997</v>
          </cell>
          <cell r="AW151">
            <v>314090543.44999999</v>
          </cell>
          <cell r="AX151">
            <v>372021665.39999998</v>
          </cell>
          <cell r="AY151">
            <v>474998252.63</v>
          </cell>
          <cell r="AZ151">
            <v>695183510.90999997</v>
          </cell>
          <cell r="BA151">
            <v>985765989.11999989</v>
          </cell>
          <cell r="BB151">
            <v>1022615517.1399999</v>
          </cell>
        </row>
        <row r="152">
          <cell r="A152" t="str">
            <v>ytd</v>
          </cell>
          <cell r="B152">
            <v>21794616.34</v>
          </cell>
          <cell r="C152">
            <v>40152683.620000005</v>
          </cell>
          <cell r="D152">
            <v>57829479.820000008</v>
          </cell>
          <cell r="E152">
            <v>75039340.810000002</v>
          </cell>
          <cell r="F152">
            <v>93219901.530000001</v>
          </cell>
          <cell r="G152">
            <v>112850649.61</v>
          </cell>
          <cell r="H152">
            <v>140368803.09</v>
          </cell>
          <cell r="I152">
            <v>158070814.52000001</v>
          </cell>
          <cell r="J152">
            <v>176715988.03</v>
          </cell>
          <cell r="K152">
            <v>196098051.44999999</v>
          </cell>
          <cell r="L152">
            <v>216363975.08999997</v>
          </cell>
          <cell r="M152">
            <v>244735134.08999997</v>
          </cell>
          <cell r="N152">
            <v>263623972.37999997</v>
          </cell>
          <cell r="O152">
            <v>283170582.72999996</v>
          </cell>
          <cell r="P152">
            <v>302346520.81999993</v>
          </cell>
          <cell r="Q152">
            <v>322334022.98999995</v>
          </cell>
          <cell r="R152">
            <v>345096170.19999993</v>
          </cell>
          <cell r="S152">
            <v>368219758.86999995</v>
          </cell>
          <cell r="T152">
            <v>406766639.59999996</v>
          </cell>
          <cell r="U152">
            <v>436790514.30999994</v>
          </cell>
          <cell r="V152">
            <v>463666499.19999993</v>
          </cell>
          <cell r="W152">
            <v>491184553.20999992</v>
          </cell>
          <cell r="X152">
            <v>523346010.57999992</v>
          </cell>
          <cell r="Y152">
            <v>571787280.20999992</v>
          </cell>
          <cell r="Z152">
            <v>609310224.42999995</v>
          </cell>
          <cell r="AA152">
            <v>636687738.05999994</v>
          </cell>
          <cell r="AB152">
            <v>660813749.38999999</v>
          </cell>
          <cell r="AC152">
            <v>684347180.76999998</v>
          </cell>
          <cell r="AD152">
            <v>708751478.85000002</v>
          </cell>
          <cell r="AE152">
            <v>732736272.11000001</v>
          </cell>
          <cell r="AF152">
            <v>757749998.63</v>
          </cell>
          <cell r="AG152">
            <v>782415547.02999997</v>
          </cell>
          <cell r="AH152">
            <v>806907141.15999997</v>
          </cell>
          <cell r="AI152">
            <v>831334889.95999992</v>
          </cell>
          <cell r="AJ152">
            <v>854866970.16999996</v>
          </cell>
          <cell r="AK152">
            <v>876619298.8599999</v>
          </cell>
          <cell r="AL152">
            <v>897990131.37999988</v>
          </cell>
          <cell r="AM152">
            <v>919782109.53999984</v>
          </cell>
          <cell r="AN152">
            <v>941410352.80999982</v>
          </cell>
          <cell r="AO152">
            <v>964286088.51999986</v>
          </cell>
          <cell r="AP152">
            <v>987637910.36999989</v>
          </cell>
          <cell r="AQ152">
            <v>1013461595.9099998</v>
          </cell>
          <cell r="AR152">
            <v>1038514269.9099998</v>
          </cell>
          <cell r="AS152">
            <v>1066128786.2799999</v>
          </cell>
          <cell r="AT152">
            <v>1091836515.9099998</v>
          </cell>
          <cell r="AU152">
            <v>1119733841.0599999</v>
          </cell>
          <cell r="AV152">
            <v>1151531038.6399999</v>
          </cell>
          <cell r="AW152">
            <v>1190709842.3099999</v>
          </cell>
          <cell r="AX152">
            <v>1248640964.26</v>
          </cell>
          <cell r="AY152">
            <v>1351617551.49</v>
          </cell>
          <cell r="AZ152">
            <v>1571802809.77</v>
          </cell>
          <cell r="BA152">
            <v>1862385287.98</v>
          </cell>
          <cell r="BB152">
            <v>1899234816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67212.83</v>
          </cell>
          <cell r="C159">
            <v>69309.350000000006</v>
          </cell>
          <cell r="D159">
            <v>68160.98</v>
          </cell>
          <cell r="E159">
            <v>73653.78</v>
          </cell>
          <cell r="F159">
            <v>85242.12</v>
          </cell>
          <cell r="G159">
            <v>93598.7</v>
          </cell>
          <cell r="H159">
            <v>128686.89</v>
          </cell>
          <cell r="I159">
            <v>95558.65</v>
          </cell>
          <cell r="J159">
            <v>181047.5</v>
          </cell>
          <cell r="K159">
            <v>114414.36</v>
          </cell>
          <cell r="L159">
            <v>102329.68</v>
          </cell>
          <cell r="M159">
            <v>112184.07</v>
          </cell>
          <cell r="N159">
            <v>98584.320000000007</v>
          </cell>
          <cell r="O159">
            <v>99318.28</v>
          </cell>
          <cell r="P159">
            <v>91993.96</v>
          </cell>
          <cell r="Q159">
            <v>92315.93</v>
          </cell>
          <cell r="R159">
            <v>102688.82</v>
          </cell>
          <cell r="S159">
            <v>141066.82</v>
          </cell>
          <cell r="T159">
            <v>126367.34</v>
          </cell>
          <cell r="U159">
            <v>135760.64000000001</v>
          </cell>
          <cell r="V159">
            <v>136393</v>
          </cell>
          <cell r="W159">
            <v>125164.06</v>
          </cell>
          <cell r="X159">
            <v>139572.87</v>
          </cell>
          <cell r="Y159">
            <v>162864.57999999999</v>
          </cell>
          <cell r="Z159">
            <v>132833.79</v>
          </cell>
          <cell r="AA159">
            <v>135523.39000000001</v>
          </cell>
          <cell r="AB159">
            <v>131899.59</v>
          </cell>
          <cell r="AC159">
            <v>127941.71</v>
          </cell>
          <cell r="AD159">
            <v>139408.44</v>
          </cell>
          <cell r="AE159">
            <v>129979.53</v>
          </cell>
          <cell r="AF159">
            <v>122170.58</v>
          </cell>
          <cell r="AG159">
            <v>117482.7</v>
          </cell>
          <cell r="AH159">
            <v>117594.76</v>
          </cell>
          <cell r="AI159">
            <v>121852.76</v>
          </cell>
          <cell r="AJ159">
            <v>113661.13</v>
          </cell>
          <cell r="AK159">
            <v>141198.07999999999</v>
          </cell>
          <cell r="AL159">
            <v>132466.43</v>
          </cell>
          <cell r="AM159">
            <v>125162.18</v>
          </cell>
          <cell r="AN159">
            <v>127751.86</v>
          </cell>
          <cell r="AO159">
            <v>128914.12</v>
          </cell>
          <cell r="AP159">
            <v>105430.54</v>
          </cell>
          <cell r="AQ159">
            <v>103275.33</v>
          </cell>
          <cell r="AR159">
            <v>102232.52</v>
          </cell>
          <cell r="AS159">
            <v>112118.91</v>
          </cell>
          <cell r="AT159">
            <v>196433.92000000001</v>
          </cell>
          <cell r="AU159">
            <v>291837.08</v>
          </cell>
          <cell r="AV159">
            <v>238388.8</v>
          </cell>
          <cell r="AW159">
            <v>264949.44</v>
          </cell>
          <cell r="AX159">
            <v>392231.05</v>
          </cell>
          <cell r="AY159">
            <v>590876.06000000006</v>
          </cell>
          <cell r="AZ159">
            <v>1721755.59</v>
          </cell>
          <cell r="BA159">
            <v>1128458.47</v>
          </cell>
          <cell r="BB159">
            <v>198865.93</v>
          </cell>
        </row>
        <row r="160">
          <cell r="A160" t="str">
            <v>ptd</v>
          </cell>
          <cell r="B160">
            <v>67212.83</v>
          </cell>
          <cell r="C160">
            <v>136522.18</v>
          </cell>
          <cell r="D160">
            <v>204683.15999999997</v>
          </cell>
          <cell r="E160">
            <v>278336.93999999994</v>
          </cell>
          <cell r="F160">
            <v>85242.12</v>
          </cell>
          <cell r="G160">
            <v>178840.82</v>
          </cell>
          <cell r="H160">
            <v>307527.71000000002</v>
          </cell>
          <cell r="I160">
            <v>403086.36</v>
          </cell>
          <cell r="J160">
            <v>181047.5</v>
          </cell>
          <cell r="K160">
            <v>295461.86</v>
          </cell>
          <cell r="L160">
            <v>397791.54</v>
          </cell>
          <cell r="M160">
            <v>509975.61</v>
          </cell>
          <cell r="N160">
            <v>98584.320000000007</v>
          </cell>
          <cell r="O160">
            <v>197902.6</v>
          </cell>
          <cell r="P160">
            <v>289896.56</v>
          </cell>
          <cell r="Q160">
            <v>382212.49</v>
          </cell>
          <cell r="R160">
            <v>102688.82</v>
          </cell>
          <cell r="S160">
            <v>243755.64</v>
          </cell>
          <cell r="T160">
            <v>370122.98</v>
          </cell>
          <cell r="U160">
            <v>505883.62</v>
          </cell>
          <cell r="V160">
            <v>136393</v>
          </cell>
          <cell r="W160">
            <v>261557.06</v>
          </cell>
          <cell r="X160">
            <v>401129.93</v>
          </cell>
          <cell r="Y160">
            <v>563994.51</v>
          </cell>
          <cell r="Z160">
            <v>132833.79</v>
          </cell>
          <cell r="AA160">
            <v>268357.18000000005</v>
          </cell>
          <cell r="AB160">
            <v>400256.77</v>
          </cell>
          <cell r="AC160">
            <v>528198.48</v>
          </cell>
          <cell r="AD160">
            <v>139408.44</v>
          </cell>
          <cell r="AE160">
            <v>269387.96999999997</v>
          </cell>
          <cell r="AF160">
            <v>391558.55</v>
          </cell>
          <cell r="AG160">
            <v>509041.25</v>
          </cell>
          <cell r="AH160">
            <v>117594.76</v>
          </cell>
          <cell r="AI160">
            <v>239447.52</v>
          </cell>
          <cell r="AJ160">
            <v>353108.65</v>
          </cell>
          <cell r="AK160">
            <v>494306.73</v>
          </cell>
          <cell r="AL160">
            <v>132466.43</v>
          </cell>
          <cell r="AM160">
            <v>257628.61</v>
          </cell>
          <cell r="AN160">
            <v>385380.47</v>
          </cell>
          <cell r="AO160">
            <v>514294.58999999997</v>
          </cell>
          <cell r="AP160">
            <v>105430.54</v>
          </cell>
          <cell r="AQ160">
            <v>208705.87</v>
          </cell>
          <cell r="AR160">
            <v>310938.39</v>
          </cell>
          <cell r="AS160">
            <v>423057.30000000005</v>
          </cell>
          <cell r="AT160">
            <v>196433.92000000001</v>
          </cell>
          <cell r="AU160">
            <v>488271</v>
          </cell>
          <cell r="AV160">
            <v>726659.8</v>
          </cell>
          <cell r="AW160">
            <v>991609.24</v>
          </cell>
          <cell r="AX160">
            <v>392231.05</v>
          </cell>
          <cell r="AY160">
            <v>983107.1100000001</v>
          </cell>
          <cell r="AZ160">
            <v>2704862.7</v>
          </cell>
          <cell r="BA160">
            <v>3833321.17</v>
          </cell>
          <cell r="BB160">
            <v>4032187.1</v>
          </cell>
        </row>
        <row r="161">
          <cell r="A161" t="str">
            <v>qtd</v>
          </cell>
          <cell r="B161">
            <v>67212.83</v>
          </cell>
          <cell r="C161">
            <v>136522.18</v>
          </cell>
          <cell r="D161">
            <v>204683.15999999997</v>
          </cell>
          <cell r="E161">
            <v>278336.93999999994</v>
          </cell>
          <cell r="F161">
            <v>363579.05999999994</v>
          </cell>
          <cell r="G161">
            <v>457177.75999999995</v>
          </cell>
          <cell r="H161">
            <v>585864.64999999991</v>
          </cell>
          <cell r="I161">
            <v>681423.29999999993</v>
          </cell>
          <cell r="J161">
            <v>862470.79999999993</v>
          </cell>
          <cell r="K161">
            <v>976885.15999999992</v>
          </cell>
          <cell r="L161">
            <v>1079214.8399999999</v>
          </cell>
          <cell r="M161">
            <v>1191398.9099999999</v>
          </cell>
          <cell r="N161">
            <v>98584.320000000007</v>
          </cell>
          <cell r="O161">
            <v>197902.6</v>
          </cell>
          <cell r="P161">
            <v>289896.56</v>
          </cell>
          <cell r="Q161">
            <v>382212.49</v>
          </cell>
          <cell r="R161">
            <v>484901.31</v>
          </cell>
          <cell r="S161">
            <v>625968.13</v>
          </cell>
          <cell r="T161">
            <v>752335.47</v>
          </cell>
          <cell r="U161">
            <v>888096.11</v>
          </cell>
          <cell r="V161">
            <v>1024489.11</v>
          </cell>
          <cell r="W161">
            <v>1149653.17</v>
          </cell>
          <cell r="X161">
            <v>1289226.04</v>
          </cell>
          <cell r="Y161">
            <v>1452090.62</v>
          </cell>
          <cell r="Z161">
            <v>132833.79</v>
          </cell>
          <cell r="AA161">
            <v>268357.18000000005</v>
          </cell>
          <cell r="AB161">
            <v>400256.77</v>
          </cell>
          <cell r="AC161">
            <v>528198.48</v>
          </cell>
          <cell r="AD161">
            <v>667606.91999999993</v>
          </cell>
          <cell r="AE161">
            <v>797586.45</v>
          </cell>
          <cell r="AF161">
            <v>919757.02999999991</v>
          </cell>
          <cell r="AG161">
            <v>1037239.7299999999</v>
          </cell>
          <cell r="AH161">
            <v>1154834.4899999998</v>
          </cell>
          <cell r="AI161">
            <v>1276687.2499999998</v>
          </cell>
          <cell r="AJ161">
            <v>1390348.38</v>
          </cell>
          <cell r="AK161">
            <v>1531546.46</v>
          </cell>
          <cell r="AL161">
            <v>132466.43</v>
          </cell>
          <cell r="AM161">
            <v>257628.61</v>
          </cell>
          <cell r="AN161">
            <v>385380.47</v>
          </cell>
          <cell r="AO161">
            <v>514294.58999999997</v>
          </cell>
          <cell r="AP161">
            <v>619725.13</v>
          </cell>
          <cell r="AQ161">
            <v>723000.46</v>
          </cell>
          <cell r="AR161">
            <v>825232.98</v>
          </cell>
          <cell r="AS161">
            <v>937351.89</v>
          </cell>
          <cell r="AT161">
            <v>1133785.81</v>
          </cell>
          <cell r="AU161">
            <v>1425622.8900000001</v>
          </cell>
          <cell r="AV161">
            <v>1664011.6900000002</v>
          </cell>
          <cell r="AW161">
            <v>1928961.1300000001</v>
          </cell>
          <cell r="AX161">
            <v>2321192.1800000002</v>
          </cell>
          <cell r="AY161">
            <v>2912068.24</v>
          </cell>
          <cell r="AZ161">
            <v>4633823.83</v>
          </cell>
          <cell r="BA161">
            <v>5762282.2999999998</v>
          </cell>
          <cell r="BB161">
            <v>5961148.2299999995</v>
          </cell>
        </row>
        <row r="162">
          <cell r="A162" t="str">
            <v>ytd</v>
          </cell>
          <cell r="B162">
            <v>67212.83</v>
          </cell>
          <cell r="C162">
            <v>136522.18</v>
          </cell>
          <cell r="D162">
            <v>204683.15999999997</v>
          </cell>
          <cell r="E162">
            <v>278336.93999999994</v>
          </cell>
          <cell r="F162">
            <v>363579.05999999994</v>
          </cell>
          <cell r="G162">
            <v>457177.75999999995</v>
          </cell>
          <cell r="H162">
            <v>585864.64999999991</v>
          </cell>
          <cell r="I162">
            <v>681423.29999999993</v>
          </cell>
          <cell r="J162">
            <v>862470.79999999993</v>
          </cell>
          <cell r="K162">
            <v>976885.15999999992</v>
          </cell>
          <cell r="L162">
            <v>1079214.8399999999</v>
          </cell>
          <cell r="M162">
            <v>1191398.9099999999</v>
          </cell>
          <cell r="N162">
            <v>1289983.23</v>
          </cell>
          <cell r="O162">
            <v>1389301.51</v>
          </cell>
          <cell r="P162">
            <v>1481295.47</v>
          </cell>
          <cell r="Q162">
            <v>1573611.4</v>
          </cell>
          <cell r="R162">
            <v>1676300.22</v>
          </cell>
          <cell r="S162">
            <v>1817367.04</v>
          </cell>
          <cell r="T162">
            <v>1943734.3800000001</v>
          </cell>
          <cell r="U162">
            <v>2079495.02</v>
          </cell>
          <cell r="V162">
            <v>2215888.02</v>
          </cell>
          <cell r="W162">
            <v>2341052.08</v>
          </cell>
          <cell r="X162">
            <v>2480624.9500000002</v>
          </cell>
          <cell r="Y162">
            <v>2643489.5300000003</v>
          </cell>
          <cell r="Z162">
            <v>2776323.3200000003</v>
          </cell>
          <cell r="AA162">
            <v>2911846.7100000004</v>
          </cell>
          <cell r="AB162">
            <v>3043746.3000000003</v>
          </cell>
          <cell r="AC162">
            <v>3171688.0100000002</v>
          </cell>
          <cell r="AD162">
            <v>3311096.45</v>
          </cell>
          <cell r="AE162">
            <v>3441075.98</v>
          </cell>
          <cell r="AF162">
            <v>3563246.56</v>
          </cell>
          <cell r="AG162">
            <v>3680729.2600000002</v>
          </cell>
          <cell r="AH162">
            <v>3798324.02</v>
          </cell>
          <cell r="AI162">
            <v>3920176.78</v>
          </cell>
          <cell r="AJ162">
            <v>4033837.9099999997</v>
          </cell>
          <cell r="AK162">
            <v>4175035.9899999998</v>
          </cell>
          <cell r="AL162">
            <v>4307502.42</v>
          </cell>
          <cell r="AM162">
            <v>4432664.5999999996</v>
          </cell>
          <cell r="AN162">
            <v>4560416.46</v>
          </cell>
          <cell r="AO162">
            <v>4689330.58</v>
          </cell>
          <cell r="AP162">
            <v>4794761.12</v>
          </cell>
          <cell r="AQ162">
            <v>4898036.45</v>
          </cell>
          <cell r="AR162">
            <v>5000268.97</v>
          </cell>
          <cell r="AS162">
            <v>5112387.88</v>
          </cell>
          <cell r="AT162">
            <v>5308821.8</v>
          </cell>
          <cell r="AU162">
            <v>5600658.8799999999</v>
          </cell>
          <cell r="AV162">
            <v>5839047.6799999997</v>
          </cell>
          <cell r="AW162">
            <v>6103997.1200000001</v>
          </cell>
          <cell r="AX162">
            <v>6496228.1699999999</v>
          </cell>
          <cell r="AY162">
            <v>7087104.2300000004</v>
          </cell>
          <cell r="AZ162">
            <v>8808859.8200000003</v>
          </cell>
          <cell r="BA162">
            <v>9937318.290000001</v>
          </cell>
          <cell r="BB162">
            <v>10136184.220000001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6744.28</v>
          </cell>
          <cell r="C171">
            <v>6342.18</v>
          </cell>
          <cell r="D171">
            <v>8278.73</v>
          </cell>
          <cell r="E171">
            <v>7843.08</v>
          </cell>
          <cell r="F171">
            <v>6331.49</v>
          </cell>
          <cell r="G171">
            <v>8270.51</v>
          </cell>
          <cell r="H171">
            <v>9742.27</v>
          </cell>
          <cell r="I171">
            <v>8087.9</v>
          </cell>
          <cell r="J171">
            <v>8559.1</v>
          </cell>
          <cell r="K171">
            <v>10110</v>
          </cell>
          <cell r="L171">
            <v>6988.56</v>
          </cell>
          <cell r="M171">
            <v>8186.14</v>
          </cell>
          <cell r="N171">
            <v>6666.64</v>
          </cell>
          <cell r="O171">
            <v>8961.44</v>
          </cell>
          <cell r="P171">
            <v>7027.82</v>
          </cell>
          <cell r="Q171">
            <v>7773.8</v>
          </cell>
          <cell r="R171">
            <v>8971.44</v>
          </cell>
          <cell r="S171">
            <v>8833.8799999999992</v>
          </cell>
          <cell r="T171">
            <v>6242.56</v>
          </cell>
          <cell r="U171">
            <v>7145.68</v>
          </cell>
          <cell r="V171">
            <v>6419.3</v>
          </cell>
          <cell r="W171">
            <v>5928.5</v>
          </cell>
          <cell r="X171">
            <v>7616.78</v>
          </cell>
          <cell r="Y171">
            <v>7577.48</v>
          </cell>
          <cell r="Z171">
            <v>6458.52</v>
          </cell>
          <cell r="AA171">
            <v>8775.1200000000008</v>
          </cell>
          <cell r="AB171">
            <v>8402.06</v>
          </cell>
          <cell r="AC171">
            <v>8402.06</v>
          </cell>
          <cell r="AD171">
            <v>9795.8799999999992</v>
          </cell>
          <cell r="AE171">
            <v>9933.2199999999993</v>
          </cell>
          <cell r="AF171">
            <v>6733.42</v>
          </cell>
          <cell r="AG171">
            <v>7577.56</v>
          </cell>
          <cell r="AH171">
            <v>7734.64</v>
          </cell>
          <cell r="AI171">
            <v>7322.38</v>
          </cell>
          <cell r="AJ171">
            <v>10011.86</v>
          </cell>
          <cell r="AK171">
            <v>7336.5</v>
          </cell>
          <cell r="AL171">
            <v>6152.2</v>
          </cell>
          <cell r="AM171">
            <v>6072.69</v>
          </cell>
          <cell r="AN171">
            <v>8382.99</v>
          </cell>
          <cell r="AO171">
            <v>8045.95</v>
          </cell>
          <cell r="AP171">
            <v>5286.41</v>
          </cell>
          <cell r="AQ171">
            <v>6181.35</v>
          </cell>
          <cell r="AR171">
            <v>4659.2700000000004</v>
          </cell>
          <cell r="AS171">
            <v>6039.14</v>
          </cell>
          <cell r="AT171">
            <v>6019.62</v>
          </cell>
          <cell r="AU171">
            <v>5461.14</v>
          </cell>
          <cell r="AV171">
            <v>6934.9</v>
          </cell>
          <cell r="AW171">
            <v>11121.77</v>
          </cell>
          <cell r="AX171">
            <v>19394.099999999999</v>
          </cell>
          <cell r="AY171">
            <v>30837.7</v>
          </cell>
          <cell r="AZ171">
            <v>55603.59</v>
          </cell>
          <cell r="BA171">
            <v>52609</v>
          </cell>
          <cell r="BB171">
            <v>5161.05</v>
          </cell>
        </row>
        <row r="172">
          <cell r="A172" t="str">
            <v>ptd</v>
          </cell>
          <cell r="B172">
            <v>6744.28</v>
          </cell>
          <cell r="C172">
            <v>13086.46</v>
          </cell>
          <cell r="D172">
            <v>21365.19</v>
          </cell>
          <cell r="E172">
            <v>29208.269999999997</v>
          </cell>
          <cell r="F172">
            <v>6331.49</v>
          </cell>
          <cell r="G172">
            <v>14602</v>
          </cell>
          <cell r="H172">
            <v>24344.27</v>
          </cell>
          <cell r="I172">
            <v>32432.17</v>
          </cell>
          <cell r="J172">
            <v>8559.1</v>
          </cell>
          <cell r="K172">
            <v>18669.099999999999</v>
          </cell>
          <cell r="L172">
            <v>25657.66</v>
          </cell>
          <cell r="M172">
            <v>33843.800000000003</v>
          </cell>
          <cell r="N172">
            <v>6666.64</v>
          </cell>
          <cell r="O172">
            <v>15628.080000000002</v>
          </cell>
          <cell r="P172">
            <v>22655.9</v>
          </cell>
          <cell r="Q172">
            <v>30429.7</v>
          </cell>
          <cell r="R172">
            <v>8971.44</v>
          </cell>
          <cell r="S172">
            <v>17805.32</v>
          </cell>
          <cell r="T172">
            <v>24047.88</v>
          </cell>
          <cell r="U172">
            <v>31193.56</v>
          </cell>
          <cell r="V172">
            <v>6419.3</v>
          </cell>
          <cell r="W172">
            <v>12347.8</v>
          </cell>
          <cell r="X172">
            <v>19964.579999999998</v>
          </cell>
          <cell r="Y172">
            <v>27542.059999999998</v>
          </cell>
          <cell r="Z172">
            <v>6458.52</v>
          </cell>
          <cell r="AA172">
            <v>15233.640000000001</v>
          </cell>
          <cell r="AB172">
            <v>23635.7</v>
          </cell>
          <cell r="AC172">
            <v>32037.760000000002</v>
          </cell>
          <cell r="AD172">
            <v>9795.8799999999992</v>
          </cell>
          <cell r="AE172">
            <v>19729.099999999999</v>
          </cell>
          <cell r="AF172">
            <v>26462.519999999997</v>
          </cell>
          <cell r="AG172">
            <v>34040.079999999994</v>
          </cell>
          <cell r="AH172">
            <v>7734.64</v>
          </cell>
          <cell r="AI172">
            <v>15057.02</v>
          </cell>
          <cell r="AJ172">
            <v>25068.880000000001</v>
          </cell>
          <cell r="AK172">
            <v>32405.38</v>
          </cell>
          <cell r="AL172">
            <v>6152.2</v>
          </cell>
          <cell r="AM172">
            <v>12224.89</v>
          </cell>
          <cell r="AN172">
            <v>20607.879999999997</v>
          </cell>
          <cell r="AO172">
            <v>28653.829999999998</v>
          </cell>
          <cell r="AP172">
            <v>5286.41</v>
          </cell>
          <cell r="AQ172">
            <v>11467.76</v>
          </cell>
          <cell r="AR172">
            <v>16127.03</v>
          </cell>
          <cell r="AS172">
            <v>22166.170000000002</v>
          </cell>
          <cell r="AT172">
            <v>6019.62</v>
          </cell>
          <cell r="AU172">
            <v>11480.76</v>
          </cell>
          <cell r="AV172">
            <v>18415.66</v>
          </cell>
          <cell r="AW172">
            <v>29537.43</v>
          </cell>
          <cell r="AX172">
            <v>19394.099999999999</v>
          </cell>
          <cell r="AY172">
            <v>50231.8</v>
          </cell>
          <cell r="AZ172">
            <v>105835.39</v>
          </cell>
          <cell r="BA172">
            <v>158444.39000000001</v>
          </cell>
          <cell r="BB172">
            <v>163605.44</v>
          </cell>
        </row>
        <row r="173">
          <cell r="A173" t="str">
            <v>qtd</v>
          </cell>
          <cell r="B173">
            <v>6744.28</v>
          </cell>
          <cell r="C173">
            <v>13086.46</v>
          </cell>
          <cell r="D173">
            <v>21365.19</v>
          </cell>
          <cell r="E173">
            <v>29208.269999999997</v>
          </cell>
          <cell r="F173">
            <v>35539.759999999995</v>
          </cell>
          <cell r="G173">
            <v>43810.27</v>
          </cell>
          <cell r="H173">
            <v>53552.539999999994</v>
          </cell>
          <cell r="I173">
            <v>61640.439999999995</v>
          </cell>
          <cell r="J173">
            <v>70199.539999999994</v>
          </cell>
          <cell r="K173">
            <v>80309.539999999994</v>
          </cell>
          <cell r="L173">
            <v>87298.099999999991</v>
          </cell>
          <cell r="M173">
            <v>95484.239999999991</v>
          </cell>
          <cell r="N173">
            <v>6666.64</v>
          </cell>
          <cell r="O173">
            <v>15628.080000000002</v>
          </cell>
          <cell r="P173">
            <v>22655.9</v>
          </cell>
          <cell r="Q173">
            <v>30429.7</v>
          </cell>
          <cell r="R173">
            <v>39401.14</v>
          </cell>
          <cell r="S173">
            <v>48235.02</v>
          </cell>
          <cell r="T173">
            <v>54477.579999999994</v>
          </cell>
          <cell r="U173">
            <v>61623.259999999995</v>
          </cell>
          <cell r="V173">
            <v>68042.559999999998</v>
          </cell>
          <cell r="W173">
            <v>73971.06</v>
          </cell>
          <cell r="X173">
            <v>81587.839999999997</v>
          </cell>
          <cell r="Y173">
            <v>89165.319999999992</v>
          </cell>
          <cell r="Z173">
            <v>6458.52</v>
          </cell>
          <cell r="AA173">
            <v>15233.640000000001</v>
          </cell>
          <cell r="AB173">
            <v>23635.7</v>
          </cell>
          <cell r="AC173">
            <v>32037.760000000002</v>
          </cell>
          <cell r="AD173">
            <v>41833.64</v>
          </cell>
          <cell r="AE173">
            <v>51766.86</v>
          </cell>
          <cell r="AF173">
            <v>58500.28</v>
          </cell>
          <cell r="AG173">
            <v>66077.84</v>
          </cell>
          <cell r="AH173">
            <v>73812.479999999996</v>
          </cell>
          <cell r="AI173">
            <v>81134.86</v>
          </cell>
          <cell r="AJ173">
            <v>91146.72</v>
          </cell>
          <cell r="AK173">
            <v>98483.22</v>
          </cell>
          <cell r="AL173">
            <v>6152.2</v>
          </cell>
          <cell r="AM173">
            <v>12224.89</v>
          </cell>
          <cell r="AN173">
            <v>20607.879999999997</v>
          </cell>
          <cell r="AO173">
            <v>28653.829999999998</v>
          </cell>
          <cell r="AP173">
            <v>33940.239999999998</v>
          </cell>
          <cell r="AQ173">
            <v>40121.589999999997</v>
          </cell>
          <cell r="AR173">
            <v>44780.86</v>
          </cell>
          <cell r="AS173">
            <v>50820</v>
          </cell>
          <cell r="AT173">
            <v>56839.62</v>
          </cell>
          <cell r="AU173">
            <v>62300.76</v>
          </cell>
          <cell r="AV173">
            <v>69235.66</v>
          </cell>
          <cell r="AW173">
            <v>80357.430000000008</v>
          </cell>
          <cell r="AX173">
            <v>99751.53</v>
          </cell>
          <cell r="AY173">
            <v>130589.23</v>
          </cell>
          <cell r="AZ173">
            <v>186192.82</v>
          </cell>
          <cell r="BA173">
            <v>238801.82</v>
          </cell>
          <cell r="BB173">
            <v>243962.87</v>
          </cell>
        </row>
        <row r="174">
          <cell r="A174" t="str">
            <v>ytd</v>
          </cell>
          <cell r="B174">
            <v>6744.28</v>
          </cell>
          <cell r="C174">
            <v>13086.46</v>
          </cell>
          <cell r="D174">
            <v>21365.19</v>
          </cell>
          <cell r="E174">
            <v>29208.269999999997</v>
          </cell>
          <cell r="F174">
            <v>35539.759999999995</v>
          </cell>
          <cell r="G174">
            <v>43810.27</v>
          </cell>
          <cell r="H174">
            <v>53552.539999999994</v>
          </cell>
          <cell r="I174">
            <v>61640.439999999995</v>
          </cell>
          <cell r="J174">
            <v>70199.539999999994</v>
          </cell>
          <cell r="K174">
            <v>80309.539999999994</v>
          </cell>
          <cell r="L174">
            <v>87298.099999999991</v>
          </cell>
          <cell r="M174">
            <v>95484.239999999991</v>
          </cell>
          <cell r="N174">
            <v>102150.87999999999</v>
          </cell>
          <cell r="O174">
            <v>111112.31999999999</v>
          </cell>
          <cell r="P174">
            <v>118140.13999999998</v>
          </cell>
          <cell r="Q174">
            <v>125913.93999999999</v>
          </cell>
          <cell r="R174">
            <v>134885.37999999998</v>
          </cell>
          <cell r="S174">
            <v>143719.25999999998</v>
          </cell>
          <cell r="T174">
            <v>149961.81999999998</v>
          </cell>
          <cell r="U174">
            <v>157107.49999999997</v>
          </cell>
          <cell r="V174">
            <v>163526.79999999996</v>
          </cell>
          <cell r="W174">
            <v>169455.29999999996</v>
          </cell>
          <cell r="X174">
            <v>177072.07999999996</v>
          </cell>
          <cell r="Y174">
            <v>184649.55999999997</v>
          </cell>
          <cell r="Z174">
            <v>191108.07999999996</v>
          </cell>
          <cell r="AA174">
            <v>199883.19999999995</v>
          </cell>
          <cell r="AB174">
            <v>208285.25999999995</v>
          </cell>
          <cell r="AC174">
            <v>216687.31999999995</v>
          </cell>
          <cell r="AD174">
            <v>226483.19999999995</v>
          </cell>
          <cell r="AE174">
            <v>236416.41999999995</v>
          </cell>
          <cell r="AF174">
            <v>243149.83999999997</v>
          </cell>
          <cell r="AG174">
            <v>250727.39999999997</v>
          </cell>
          <cell r="AH174">
            <v>258462.03999999998</v>
          </cell>
          <cell r="AI174">
            <v>265784.42</v>
          </cell>
          <cell r="AJ174">
            <v>275796.27999999997</v>
          </cell>
          <cell r="AK174">
            <v>283132.77999999997</v>
          </cell>
          <cell r="AL174">
            <v>289284.98</v>
          </cell>
          <cell r="AM174">
            <v>295357.67</v>
          </cell>
          <cell r="AN174">
            <v>303740.65999999997</v>
          </cell>
          <cell r="AO174">
            <v>311786.61</v>
          </cell>
          <cell r="AP174">
            <v>317073.01999999996</v>
          </cell>
          <cell r="AQ174">
            <v>323254.36999999994</v>
          </cell>
          <cell r="AR174">
            <v>327913.63999999996</v>
          </cell>
          <cell r="AS174">
            <v>333952.77999999997</v>
          </cell>
          <cell r="AT174">
            <v>339972.39999999997</v>
          </cell>
          <cell r="AU174">
            <v>345433.54</v>
          </cell>
          <cell r="AV174">
            <v>352368.44</v>
          </cell>
          <cell r="AW174">
            <v>363490.21</v>
          </cell>
          <cell r="AX174">
            <v>382884.31</v>
          </cell>
          <cell r="AY174">
            <v>413722.01</v>
          </cell>
          <cell r="AZ174">
            <v>469325.6</v>
          </cell>
          <cell r="BA174">
            <v>521934.6</v>
          </cell>
          <cell r="BB174">
            <v>527095.65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73957.11</v>
          </cell>
          <cell r="C187">
            <v>75651.53</v>
          </cell>
          <cell r="D187">
            <v>76439.709999999992</v>
          </cell>
          <cell r="E187">
            <v>81496.86</v>
          </cell>
          <cell r="F187">
            <v>91573.61</v>
          </cell>
          <cell r="G187">
            <v>101869.20999999999</v>
          </cell>
          <cell r="H187">
            <v>138429.16</v>
          </cell>
          <cell r="I187">
            <v>103646.54999999999</v>
          </cell>
          <cell r="J187">
            <v>189606.6</v>
          </cell>
          <cell r="K187">
            <v>124524.36</v>
          </cell>
          <cell r="L187">
            <v>109318.23999999999</v>
          </cell>
          <cell r="M187">
            <v>120370.21</v>
          </cell>
          <cell r="N187">
            <v>105250.96</v>
          </cell>
          <cell r="O187">
            <v>108279.72</v>
          </cell>
          <cell r="P187">
            <v>99021.78</v>
          </cell>
          <cell r="Q187">
            <v>100089.73</v>
          </cell>
          <cell r="R187">
            <v>111660.26000000001</v>
          </cell>
          <cell r="S187">
            <v>149900.70000000001</v>
          </cell>
          <cell r="T187">
            <v>132609.9</v>
          </cell>
          <cell r="U187">
            <v>142906.32</v>
          </cell>
          <cell r="V187">
            <v>142812.29999999999</v>
          </cell>
          <cell r="W187">
            <v>131092.56</v>
          </cell>
          <cell r="X187">
            <v>147189.65</v>
          </cell>
          <cell r="Y187">
            <v>170442.06</v>
          </cell>
          <cell r="Z187">
            <v>139292.31</v>
          </cell>
          <cell r="AA187">
            <v>144298.51</v>
          </cell>
          <cell r="AB187">
            <v>140301.65</v>
          </cell>
          <cell r="AC187">
            <v>136343.77000000002</v>
          </cell>
          <cell r="AD187">
            <v>149204.32</v>
          </cell>
          <cell r="AE187">
            <v>139912.75</v>
          </cell>
          <cell r="AF187">
            <v>128904</v>
          </cell>
          <cell r="AG187">
            <v>125060.26</v>
          </cell>
          <cell r="AH187">
            <v>125329.4</v>
          </cell>
          <cell r="AI187">
            <v>129175.14</v>
          </cell>
          <cell r="AJ187">
            <v>123672.99</v>
          </cell>
          <cell r="AK187">
            <v>148534.57999999999</v>
          </cell>
          <cell r="AL187">
            <v>138618.63</v>
          </cell>
          <cell r="AM187">
            <v>131234.87</v>
          </cell>
          <cell r="AN187">
            <v>136134.85</v>
          </cell>
          <cell r="AO187">
            <v>136960.07</v>
          </cell>
          <cell r="AP187">
            <v>110716.95</v>
          </cell>
          <cell r="AQ187">
            <v>109456.68000000001</v>
          </cell>
          <cell r="AR187">
            <v>106891.79000000001</v>
          </cell>
          <cell r="AS187">
            <v>118158.05</v>
          </cell>
          <cell r="AT187">
            <v>202453.54</v>
          </cell>
          <cell r="AU187">
            <v>297298.22000000003</v>
          </cell>
          <cell r="AV187">
            <v>245323.69999999998</v>
          </cell>
          <cell r="AW187">
            <v>276071.21000000002</v>
          </cell>
          <cell r="AX187">
            <v>411625.14999999997</v>
          </cell>
          <cell r="AY187">
            <v>621713.76</v>
          </cell>
          <cell r="AZ187">
            <v>1777359.1800000002</v>
          </cell>
          <cell r="BA187">
            <v>1181067.47</v>
          </cell>
          <cell r="BB187">
            <v>204026.97999999998</v>
          </cell>
        </row>
        <row r="188">
          <cell r="A188" t="str">
            <v>ptd</v>
          </cell>
          <cell r="B188">
            <v>73957.11</v>
          </cell>
          <cell r="C188">
            <v>149608.63999999998</v>
          </cell>
          <cell r="D188">
            <v>226048.34999999998</v>
          </cell>
          <cell r="E188">
            <v>307545.20999999996</v>
          </cell>
          <cell r="F188">
            <v>91573.61</v>
          </cell>
          <cell r="G188">
            <v>193442.82</v>
          </cell>
          <cell r="H188">
            <v>331871.98000000004</v>
          </cell>
          <cell r="I188">
            <v>435518.52999999997</v>
          </cell>
          <cell r="J188">
            <v>189606.6</v>
          </cell>
          <cell r="K188">
            <v>314130.95999999996</v>
          </cell>
          <cell r="L188">
            <v>423449.19999999995</v>
          </cell>
          <cell r="M188">
            <v>543819.41</v>
          </cell>
          <cell r="N188">
            <v>105250.96</v>
          </cell>
          <cell r="O188">
            <v>213530.68</v>
          </cell>
          <cell r="P188">
            <v>312552.46000000002</v>
          </cell>
          <cell r="Q188">
            <v>412642.19</v>
          </cell>
          <cell r="R188">
            <v>111660.26000000001</v>
          </cell>
          <cell r="S188">
            <v>261560.96000000002</v>
          </cell>
          <cell r="T188">
            <v>394170.86</v>
          </cell>
          <cell r="U188">
            <v>537077.18000000005</v>
          </cell>
          <cell r="V188">
            <v>142812.29999999999</v>
          </cell>
          <cell r="W188">
            <v>273904.86</v>
          </cell>
          <cell r="X188">
            <v>421094.51</v>
          </cell>
          <cell r="Y188">
            <v>591536.57000000007</v>
          </cell>
          <cell r="Z188">
            <v>139292.31</v>
          </cell>
          <cell r="AA188">
            <v>283590.82000000007</v>
          </cell>
          <cell r="AB188">
            <v>423892.47000000003</v>
          </cell>
          <cell r="AC188">
            <v>560236.24</v>
          </cell>
          <cell r="AD188">
            <v>149204.32</v>
          </cell>
          <cell r="AE188">
            <v>289117.06999999995</v>
          </cell>
          <cell r="AF188">
            <v>418021.07</v>
          </cell>
          <cell r="AG188">
            <v>543081.32999999996</v>
          </cell>
          <cell r="AH188">
            <v>125329.4</v>
          </cell>
          <cell r="AI188">
            <v>254504.53999999998</v>
          </cell>
          <cell r="AJ188">
            <v>378177.53</v>
          </cell>
          <cell r="AK188">
            <v>526712.11</v>
          </cell>
          <cell r="AL188">
            <v>138618.63</v>
          </cell>
          <cell r="AM188">
            <v>269853.5</v>
          </cell>
          <cell r="AN188">
            <v>405988.35</v>
          </cell>
          <cell r="AO188">
            <v>542948.41999999993</v>
          </cell>
          <cell r="AP188">
            <v>110716.95</v>
          </cell>
          <cell r="AQ188">
            <v>220173.63</v>
          </cell>
          <cell r="AR188">
            <v>327065.42000000004</v>
          </cell>
          <cell r="AS188">
            <v>445223.47000000003</v>
          </cell>
          <cell r="AT188">
            <v>202453.54</v>
          </cell>
          <cell r="AU188">
            <v>499751.76</v>
          </cell>
          <cell r="AV188">
            <v>745075.46000000008</v>
          </cell>
          <cell r="AW188">
            <v>1021146.67</v>
          </cell>
          <cell r="AX188">
            <v>411625.14999999997</v>
          </cell>
          <cell r="AY188">
            <v>1033338.9100000001</v>
          </cell>
          <cell r="AZ188">
            <v>2810698.0900000003</v>
          </cell>
          <cell r="BA188">
            <v>3991765.56</v>
          </cell>
          <cell r="BB188">
            <v>4195792.54</v>
          </cell>
        </row>
        <row r="189">
          <cell r="A189" t="str">
            <v>qtd</v>
          </cell>
          <cell r="B189">
            <v>73957.11</v>
          </cell>
          <cell r="C189">
            <v>149608.63999999998</v>
          </cell>
          <cell r="D189">
            <v>226048.34999999998</v>
          </cell>
          <cell r="E189">
            <v>307545.20999999996</v>
          </cell>
          <cell r="F189">
            <v>399118.81999999995</v>
          </cell>
          <cell r="G189">
            <v>500988.02999999997</v>
          </cell>
          <cell r="H189">
            <v>639417.18999999994</v>
          </cell>
          <cell r="I189">
            <v>743063.73999999987</v>
          </cell>
          <cell r="J189">
            <v>932670.34</v>
          </cell>
          <cell r="K189">
            <v>1057194.7</v>
          </cell>
          <cell r="L189">
            <v>1166512.94</v>
          </cell>
          <cell r="M189">
            <v>1286883.1499999999</v>
          </cell>
          <cell r="N189">
            <v>105250.96</v>
          </cell>
          <cell r="O189">
            <v>213530.68</v>
          </cell>
          <cell r="P189">
            <v>312552.46000000002</v>
          </cell>
          <cell r="Q189">
            <v>412642.19</v>
          </cell>
          <cell r="R189">
            <v>524302.44999999995</v>
          </cell>
          <cell r="S189">
            <v>674203.15</v>
          </cell>
          <cell r="T189">
            <v>806813.04999999993</v>
          </cell>
          <cell r="U189">
            <v>949719.37</v>
          </cell>
          <cell r="V189">
            <v>1092531.67</v>
          </cell>
          <cell r="W189">
            <v>1223624.23</v>
          </cell>
          <cell r="X189">
            <v>1370813.8800000001</v>
          </cell>
          <cell r="Y189">
            <v>1541255.9400000002</v>
          </cell>
          <cell r="Z189">
            <v>139292.31</v>
          </cell>
          <cell r="AA189">
            <v>283590.82000000007</v>
          </cell>
          <cell r="AB189">
            <v>423892.47000000003</v>
          </cell>
          <cell r="AC189">
            <v>560236.24</v>
          </cell>
          <cell r="AD189">
            <v>709440.55999999994</v>
          </cell>
          <cell r="AE189">
            <v>849353.30999999994</v>
          </cell>
          <cell r="AF189">
            <v>978257.30999999994</v>
          </cell>
          <cell r="AG189">
            <v>1103317.5699999998</v>
          </cell>
          <cell r="AH189">
            <v>1228646.9699999997</v>
          </cell>
          <cell r="AI189">
            <v>1357822.1099999999</v>
          </cell>
          <cell r="AJ189">
            <v>1481495.0999999999</v>
          </cell>
          <cell r="AK189">
            <v>1630029.68</v>
          </cell>
          <cell r="AL189">
            <v>138618.63</v>
          </cell>
          <cell r="AM189">
            <v>269853.5</v>
          </cell>
          <cell r="AN189">
            <v>405988.35</v>
          </cell>
          <cell r="AO189">
            <v>542948.41999999993</v>
          </cell>
          <cell r="AP189">
            <v>653665.37</v>
          </cell>
          <cell r="AQ189">
            <v>763122.04999999993</v>
          </cell>
          <cell r="AR189">
            <v>870013.84</v>
          </cell>
          <cell r="AS189">
            <v>988171.89</v>
          </cell>
          <cell r="AT189">
            <v>1190625.4300000002</v>
          </cell>
          <cell r="AU189">
            <v>1487923.6500000001</v>
          </cell>
          <cell r="AV189">
            <v>1733247.35</v>
          </cell>
          <cell r="AW189">
            <v>2009318.56</v>
          </cell>
          <cell r="AX189">
            <v>2420943.71</v>
          </cell>
          <cell r="AY189">
            <v>3042657.47</v>
          </cell>
          <cell r="AZ189">
            <v>4820016.6500000004</v>
          </cell>
          <cell r="BA189">
            <v>6001084.1200000001</v>
          </cell>
          <cell r="BB189">
            <v>6205111.0999999996</v>
          </cell>
        </row>
        <row r="190">
          <cell r="A190" t="str">
            <v>ytd</v>
          </cell>
          <cell r="B190">
            <v>73957.11</v>
          </cell>
          <cell r="C190">
            <v>149608.63999999998</v>
          </cell>
          <cell r="D190">
            <v>226048.34999999998</v>
          </cell>
          <cell r="E190">
            <v>307545.20999999996</v>
          </cell>
          <cell r="F190">
            <v>399118.81999999995</v>
          </cell>
          <cell r="G190">
            <v>500988.02999999997</v>
          </cell>
          <cell r="H190">
            <v>639417.18999999994</v>
          </cell>
          <cell r="I190">
            <v>743063.73999999987</v>
          </cell>
          <cell r="J190">
            <v>932670.34</v>
          </cell>
          <cell r="K190">
            <v>1057194.7</v>
          </cell>
          <cell r="L190">
            <v>1166512.94</v>
          </cell>
          <cell r="M190">
            <v>1286883.1499999999</v>
          </cell>
          <cell r="N190">
            <v>1392134.1099999999</v>
          </cell>
          <cell r="O190">
            <v>1500413.83</v>
          </cell>
          <cell r="P190">
            <v>1599435.6099999999</v>
          </cell>
          <cell r="Q190">
            <v>1699525.3399999999</v>
          </cell>
          <cell r="R190">
            <v>1811185.5999999999</v>
          </cell>
          <cell r="S190">
            <v>1961086.3</v>
          </cell>
          <cell r="T190">
            <v>2093696.2000000002</v>
          </cell>
          <cell r="U190">
            <v>2236602.52</v>
          </cell>
          <cell r="V190">
            <v>2379414.8199999998</v>
          </cell>
          <cell r="W190">
            <v>2510507.38</v>
          </cell>
          <cell r="X190">
            <v>2657697.0300000003</v>
          </cell>
          <cell r="Y190">
            <v>2828139.0900000003</v>
          </cell>
          <cell r="Z190">
            <v>2967431.4000000004</v>
          </cell>
          <cell r="AA190">
            <v>3111729.91</v>
          </cell>
          <cell r="AB190">
            <v>3252031.56</v>
          </cell>
          <cell r="AC190">
            <v>3388375.33</v>
          </cell>
          <cell r="AD190">
            <v>3537579.6500000004</v>
          </cell>
          <cell r="AE190">
            <v>3677492.4</v>
          </cell>
          <cell r="AF190">
            <v>3806396.4</v>
          </cell>
          <cell r="AG190">
            <v>3931456.66</v>
          </cell>
          <cell r="AH190">
            <v>4056786.06</v>
          </cell>
          <cell r="AI190">
            <v>4185961.1999999997</v>
          </cell>
          <cell r="AJ190">
            <v>4309634.1899999995</v>
          </cell>
          <cell r="AK190">
            <v>4458168.7699999996</v>
          </cell>
          <cell r="AL190">
            <v>4596787.4000000004</v>
          </cell>
          <cell r="AM190">
            <v>4728022.2699999996</v>
          </cell>
          <cell r="AN190">
            <v>4864157.12</v>
          </cell>
          <cell r="AO190">
            <v>5001117.1900000004</v>
          </cell>
          <cell r="AP190">
            <v>5111834.1399999997</v>
          </cell>
          <cell r="AQ190">
            <v>5221290.82</v>
          </cell>
          <cell r="AR190">
            <v>5328182.6099999994</v>
          </cell>
          <cell r="AS190">
            <v>5446340.6600000001</v>
          </cell>
          <cell r="AT190">
            <v>5648794.2000000002</v>
          </cell>
          <cell r="AU190">
            <v>5946092.4199999999</v>
          </cell>
          <cell r="AV190">
            <v>6191416.1200000001</v>
          </cell>
          <cell r="AW190">
            <v>6467487.3300000001</v>
          </cell>
          <cell r="AX190">
            <v>6879112.4799999995</v>
          </cell>
          <cell r="AY190">
            <v>7500826.2400000002</v>
          </cell>
          <cell r="AZ190">
            <v>9278185.4199999999</v>
          </cell>
          <cell r="BA190">
            <v>10459252.890000001</v>
          </cell>
          <cell r="BB190">
            <v>10663279.870000001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  <cell r="D193">
            <v>36.520000000000003</v>
          </cell>
          <cell r="E193">
            <v>330.12</v>
          </cell>
          <cell r="G193">
            <v>111.36</v>
          </cell>
          <cell r="K193">
            <v>37.200000000000003</v>
          </cell>
          <cell r="L193">
            <v>37.200000000000003</v>
          </cell>
          <cell r="O193">
            <v>111.6</v>
          </cell>
          <cell r="Y193">
            <v>111.6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36.520000000000003</v>
          </cell>
          <cell r="E194">
            <v>366.64</v>
          </cell>
          <cell r="F194">
            <v>0</v>
          </cell>
          <cell r="G194">
            <v>111.36</v>
          </cell>
          <cell r="H194">
            <v>111.36</v>
          </cell>
          <cell r="I194">
            <v>111.36</v>
          </cell>
          <cell r="J194">
            <v>0</v>
          </cell>
          <cell r="K194">
            <v>37.200000000000003</v>
          </cell>
          <cell r="L194">
            <v>74.400000000000006</v>
          </cell>
          <cell r="M194">
            <v>74.400000000000006</v>
          </cell>
          <cell r="N194">
            <v>0</v>
          </cell>
          <cell r="O194">
            <v>111.6</v>
          </cell>
          <cell r="P194">
            <v>111.6</v>
          </cell>
          <cell r="Q194">
            <v>111.6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111.6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36.520000000000003</v>
          </cell>
          <cell r="E195">
            <v>366.64</v>
          </cell>
          <cell r="F195">
            <v>366.64</v>
          </cell>
          <cell r="G195">
            <v>478</v>
          </cell>
          <cell r="H195">
            <v>478</v>
          </cell>
          <cell r="I195">
            <v>478</v>
          </cell>
          <cell r="J195">
            <v>478</v>
          </cell>
          <cell r="K195">
            <v>515.20000000000005</v>
          </cell>
          <cell r="L195">
            <v>552.40000000000009</v>
          </cell>
          <cell r="M195">
            <v>552.40000000000009</v>
          </cell>
          <cell r="N195">
            <v>0</v>
          </cell>
          <cell r="O195">
            <v>111.6</v>
          </cell>
          <cell r="P195">
            <v>111.6</v>
          </cell>
          <cell r="Q195">
            <v>111.6</v>
          </cell>
          <cell r="R195">
            <v>111.6</v>
          </cell>
          <cell r="S195">
            <v>111.6</v>
          </cell>
          <cell r="T195">
            <v>111.6</v>
          </cell>
          <cell r="U195">
            <v>111.6</v>
          </cell>
          <cell r="V195">
            <v>111.6</v>
          </cell>
          <cell r="W195">
            <v>111.6</v>
          </cell>
          <cell r="X195">
            <v>111.6</v>
          </cell>
          <cell r="Y195">
            <v>223.2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36.520000000000003</v>
          </cell>
          <cell r="E196">
            <v>366.64</v>
          </cell>
          <cell r="F196">
            <v>366.64</v>
          </cell>
          <cell r="G196">
            <v>478</v>
          </cell>
          <cell r="H196">
            <v>478</v>
          </cell>
          <cell r="I196">
            <v>478</v>
          </cell>
          <cell r="J196">
            <v>478</v>
          </cell>
          <cell r="K196">
            <v>515.20000000000005</v>
          </cell>
          <cell r="L196">
            <v>552.40000000000009</v>
          </cell>
          <cell r="M196">
            <v>552.40000000000009</v>
          </cell>
          <cell r="N196">
            <v>552.40000000000009</v>
          </cell>
          <cell r="O196">
            <v>664.00000000000011</v>
          </cell>
          <cell r="P196">
            <v>664.00000000000011</v>
          </cell>
          <cell r="Q196">
            <v>664.00000000000011</v>
          </cell>
          <cell r="R196">
            <v>664.00000000000011</v>
          </cell>
          <cell r="S196">
            <v>664.00000000000011</v>
          </cell>
          <cell r="T196">
            <v>664.00000000000011</v>
          </cell>
          <cell r="U196">
            <v>664.00000000000011</v>
          </cell>
          <cell r="V196">
            <v>664.00000000000011</v>
          </cell>
          <cell r="W196">
            <v>664.00000000000011</v>
          </cell>
          <cell r="X196">
            <v>664.00000000000011</v>
          </cell>
          <cell r="Y196">
            <v>775.60000000000014</v>
          </cell>
          <cell r="Z196">
            <v>775.60000000000014</v>
          </cell>
          <cell r="AA196">
            <v>775.60000000000014</v>
          </cell>
          <cell r="AB196">
            <v>775.60000000000014</v>
          </cell>
          <cell r="AC196">
            <v>775.60000000000014</v>
          </cell>
          <cell r="AD196">
            <v>775.60000000000014</v>
          </cell>
          <cell r="AE196">
            <v>775.60000000000014</v>
          </cell>
          <cell r="AF196">
            <v>775.60000000000014</v>
          </cell>
          <cell r="AG196">
            <v>775.60000000000014</v>
          </cell>
          <cell r="AH196">
            <v>775.60000000000014</v>
          </cell>
          <cell r="AI196">
            <v>775.60000000000014</v>
          </cell>
          <cell r="AJ196">
            <v>775.60000000000014</v>
          </cell>
          <cell r="AK196">
            <v>775.60000000000014</v>
          </cell>
          <cell r="AL196">
            <v>775.60000000000014</v>
          </cell>
          <cell r="AM196">
            <v>775.60000000000014</v>
          </cell>
          <cell r="AN196">
            <v>775.60000000000014</v>
          </cell>
          <cell r="AO196">
            <v>775.60000000000014</v>
          </cell>
          <cell r="AP196">
            <v>775.60000000000014</v>
          </cell>
          <cell r="AQ196">
            <v>775.60000000000014</v>
          </cell>
          <cell r="AR196">
            <v>775.60000000000014</v>
          </cell>
          <cell r="AS196">
            <v>775.60000000000014</v>
          </cell>
          <cell r="AT196">
            <v>775.60000000000014</v>
          </cell>
          <cell r="AU196">
            <v>775.60000000000014</v>
          </cell>
          <cell r="AV196">
            <v>775.60000000000014</v>
          </cell>
          <cell r="AW196">
            <v>775.60000000000014</v>
          </cell>
          <cell r="AX196">
            <v>775.60000000000014</v>
          </cell>
          <cell r="AY196">
            <v>775.60000000000014</v>
          </cell>
          <cell r="AZ196">
            <v>775.60000000000014</v>
          </cell>
          <cell r="BA196">
            <v>775.60000000000014</v>
          </cell>
          <cell r="BB196">
            <v>775.60000000000014</v>
          </cell>
        </row>
        <row r="197">
          <cell r="A197" t="str">
            <v>PART</v>
          </cell>
          <cell r="AR197">
            <v>113.4</v>
          </cell>
          <cell r="AS197">
            <v>223.8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113.4</v>
          </cell>
          <cell r="AS198">
            <v>337.20000000000005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113.4</v>
          </cell>
          <cell r="AS199">
            <v>337.20000000000005</v>
          </cell>
          <cell r="AT199">
            <v>337.20000000000005</v>
          </cell>
          <cell r="AU199">
            <v>337.20000000000005</v>
          </cell>
          <cell r="AV199">
            <v>337.20000000000005</v>
          </cell>
          <cell r="AW199">
            <v>337.20000000000005</v>
          </cell>
          <cell r="AX199">
            <v>337.20000000000005</v>
          </cell>
          <cell r="AY199">
            <v>337.20000000000005</v>
          </cell>
          <cell r="AZ199">
            <v>337.20000000000005</v>
          </cell>
          <cell r="BA199">
            <v>337.20000000000005</v>
          </cell>
          <cell r="BB199">
            <v>337.20000000000005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113.4</v>
          </cell>
          <cell r="AS200">
            <v>337.20000000000005</v>
          </cell>
          <cell r="AT200">
            <v>337.20000000000005</v>
          </cell>
          <cell r="AU200">
            <v>337.20000000000005</v>
          </cell>
          <cell r="AV200">
            <v>337.20000000000005</v>
          </cell>
          <cell r="AW200">
            <v>337.20000000000005</v>
          </cell>
          <cell r="AX200">
            <v>337.20000000000005</v>
          </cell>
          <cell r="AY200">
            <v>337.20000000000005</v>
          </cell>
          <cell r="AZ200">
            <v>337.20000000000005</v>
          </cell>
          <cell r="BA200">
            <v>337.20000000000005</v>
          </cell>
          <cell r="BB200">
            <v>337.20000000000005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  <cell r="AV221">
            <v>19.95</v>
          </cell>
          <cell r="AW221">
            <v>98.28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19.95</v>
          </cell>
          <cell r="AW222">
            <v>118.23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19.95</v>
          </cell>
          <cell r="AW223">
            <v>118.23</v>
          </cell>
          <cell r="AX223">
            <v>118.23</v>
          </cell>
          <cell r="AY223">
            <v>118.23</v>
          </cell>
          <cell r="AZ223">
            <v>118.23</v>
          </cell>
          <cell r="BA223">
            <v>118.23</v>
          </cell>
          <cell r="BB223">
            <v>118.23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19.95</v>
          </cell>
          <cell r="AW224">
            <v>118.23</v>
          </cell>
          <cell r="AX224">
            <v>118.23</v>
          </cell>
          <cell r="AY224">
            <v>118.23</v>
          </cell>
          <cell r="AZ224">
            <v>118.23</v>
          </cell>
          <cell r="BA224">
            <v>118.23</v>
          </cell>
          <cell r="BB224">
            <v>118.23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36.520000000000003</v>
          </cell>
          <cell r="E225">
            <v>330.12</v>
          </cell>
          <cell r="F225">
            <v>0</v>
          </cell>
          <cell r="G225">
            <v>111.36</v>
          </cell>
          <cell r="H225">
            <v>0</v>
          </cell>
          <cell r="I225">
            <v>0</v>
          </cell>
          <cell r="J225">
            <v>0</v>
          </cell>
          <cell r="K225">
            <v>37.200000000000003</v>
          </cell>
          <cell r="L225">
            <v>37.200000000000003</v>
          </cell>
          <cell r="M225">
            <v>0</v>
          </cell>
          <cell r="N225">
            <v>0</v>
          </cell>
          <cell r="O225">
            <v>111.6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111.6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113.4</v>
          </cell>
          <cell r="AS225">
            <v>223.8</v>
          </cell>
          <cell r="AT225">
            <v>0</v>
          </cell>
          <cell r="AU225">
            <v>0</v>
          </cell>
          <cell r="AV225">
            <v>19.95</v>
          </cell>
          <cell r="AW225">
            <v>98.28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36.520000000000003</v>
          </cell>
          <cell r="E226">
            <v>366.64</v>
          </cell>
          <cell r="F226">
            <v>0</v>
          </cell>
          <cell r="G226">
            <v>111.36</v>
          </cell>
          <cell r="H226">
            <v>111.36</v>
          </cell>
          <cell r="I226">
            <v>111.36</v>
          </cell>
          <cell r="J226">
            <v>0</v>
          </cell>
          <cell r="K226">
            <v>37.200000000000003</v>
          </cell>
          <cell r="L226">
            <v>74.400000000000006</v>
          </cell>
          <cell r="M226">
            <v>74.400000000000006</v>
          </cell>
          <cell r="N226">
            <v>0</v>
          </cell>
          <cell r="O226">
            <v>111.6</v>
          </cell>
          <cell r="P226">
            <v>111.6</v>
          </cell>
          <cell r="Q226">
            <v>111.6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111.6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113.4</v>
          </cell>
          <cell r="AS226">
            <v>337.20000000000005</v>
          </cell>
          <cell r="AT226">
            <v>0</v>
          </cell>
          <cell r="AU226">
            <v>0</v>
          </cell>
          <cell r="AV226">
            <v>19.95</v>
          </cell>
          <cell r="AW226">
            <v>118.23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36.520000000000003</v>
          </cell>
          <cell r="E227">
            <v>366.64</v>
          </cell>
          <cell r="F227">
            <v>366.64</v>
          </cell>
          <cell r="G227">
            <v>478</v>
          </cell>
          <cell r="H227">
            <v>478</v>
          </cell>
          <cell r="I227">
            <v>478</v>
          </cell>
          <cell r="J227">
            <v>478</v>
          </cell>
          <cell r="K227">
            <v>515.20000000000005</v>
          </cell>
          <cell r="L227">
            <v>552.40000000000009</v>
          </cell>
          <cell r="M227">
            <v>552.40000000000009</v>
          </cell>
          <cell r="N227">
            <v>0</v>
          </cell>
          <cell r="O227">
            <v>111.6</v>
          </cell>
          <cell r="P227">
            <v>111.6</v>
          </cell>
          <cell r="Q227">
            <v>111.6</v>
          </cell>
          <cell r="R227">
            <v>111.6</v>
          </cell>
          <cell r="S227">
            <v>111.6</v>
          </cell>
          <cell r="T227">
            <v>111.6</v>
          </cell>
          <cell r="U227">
            <v>111.6</v>
          </cell>
          <cell r="V227">
            <v>111.6</v>
          </cell>
          <cell r="W227">
            <v>111.6</v>
          </cell>
          <cell r="X227">
            <v>111.6</v>
          </cell>
          <cell r="Y227">
            <v>223.2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113.4</v>
          </cell>
          <cell r="AS227">
            <v>337.20000000000005</v>
          </cell>
          <cell r="AT227">
            <v>337.20000000000005</v>
          </cell>
          <cell r="AU227">
            <v>337.20000000000005</v>
          </cell>
          <cell r="AV227">
            <v>357.15000000000003</v>
          </cell>
          <cell r="AW227">
            <v>455.43000000000006</v>
          </cell>
          <cell r="AX227">
            <v>455.43000000000006</v>
          </cell>
          <cell r="AY227">
            <v>455.43000000000006</v>
          </cell>
          <cell r="AZ227">
            <v>455.43000000000006</v>
          </cell>
          <cell r="BA227">
            <v>455.43000000000006</v>
          </cell>
          <cell r="BB227">
            <v>455.43000000000006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36.520000000000003</v>
          </cell>
          <cell r="E228">
            <v>366.64</v>
          </cell>
          <cell r="F228">
            <v>366.64</v>
          </cell>
          <cell r="G228">
            <v>478</v>
          </cell>
          <cell r="H228">
            <v>478</v>
          </cell>
          <cell r="I228">
            <v>478</v>
          </cell>
          <cell r="J228">
            <v>478</v>
          </cell>
          <cell r="K228">
            <v>515.20000000000005</v>
          </cell>
          <cell r="L228">
            <v>552.40000000000009</v>
          </cell>
          <cell r="M228">
            <v>552.40000000000009</v>
          </cell>
          <cell r="N228">
            <v>552.40000000000009</v>
          </cell>
          <cell r="O228">
            <v>664.00000000000011</v>
          </cell>
          <cell r="P228">
            <v>664.00000000000011</v>
          </cell>
          <cell r="Q228">
            <v>664.00000000000011</v>
          </cell>
          <cell r="R228">
            <v>664.00000000000011</v>
          </cell>
          <cell r="S228">
            <v>664.00000000000011</v>
          </cell>
          <cell r="T228">
            <v>664.00000000000011</v>
          </cell>
          <cell r="U228">
            <v>664.00000000000011</v>
          </cell>
          <cell r="V228">
            <v>664.00000000000011</v>
          </cell>
          <cell r="W228">
            <v>664.00000000000011</v>
          </cell>
          <cell r="X228">
            <v>664.00000000000011</v>
          </cell>
          <cell r="Y228">
            <v>775.60000000000014</v>
          </cell>
          <cell r="Z228">
            <v>775.60000000000014</v>
          </cell>
          <cell r="AA228">
            <v>775.60000000000014</v>
          </cell>
          <cell r="AB228">
            <v>775.60000000000014</v>
          </cell>
          <cell r="AC228">
            <v>775.60000000000014</v>
          </cell>
          <cell r="AD228">
            <v>775.60000000000014</v>
          </cell>
          <cell r="AE228">
            <v>775.60000000000014</v>
          </cell>
          <cell r="AF228">
            <v>775.60000000000014</v>
          </cell>
          <cell r="AG228">
            <v>775.60000000000014</v>
          </cell>
          <cell r="AH228">
            <v>775.60000000000014</v>
          </cell>
          <cell r="AI228">
            <v>775.60000000000014</v>
          </cell>
          <cell r="AJ228">
            <v>775.60000000000014</v>
          </cell>
          <cell r="AK228">
            <v>775.60000000000014</v>
          </cell>
          <cell r="AL228">
            <v>775.60000000000014</v>
          </cell>
          <cell r="AM228">
            <v>775.60000000000014</v>
          </cell>
          <cell r="AN228">
            <v>775.60000000000014</v>
          </cell>
          <cell r="AO228">
            <v>775.60000000000014</v>
          </cell>
          <cell r="AP228">
            <v>775.60000000000014</v>
          </cell>
          <cell r="AQ228">
            <v>775.60000000000014</v>
          </cell>
          <cell r="AR228">
            <v>889.00000000000011</v>
          </cell>
          <cell r="AS228">
            <v>1112.8000000000002</v>
          </cell>
          <cell r="AT228">
            <v>1112.8000000000002</v>
          </cell>
          <cell r="AU228">
            <v>1112.8000000000002</v>
          </cell>
          <cell r="AV228">
            <v>1132.7500000000002</v>
          </cell>
          <cell r="AW228">
            <v>1231.0300000000002</v>
          </cell>
          <cell r="AX228">
            <v>1231.0300000000002</v>
          </cell>
          <cell r="AY228">
            <v>1231.0300000000002</v>
          </cell>
          <cell r="AZ228">
            <v>1231.0300000000002</v>
          </cell>
          <cell r="BA228">
            <v>1231.0300000000002</v>
          </cell>
          <cell r="BB228">
            <v>1231.0300000000002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98634.31</v>
          </cell>
          <cell r="C235">
            <v>122965.77</v>
          </cell>
          <cell r="D235">
            <v>124162.33</v>
          </cell>
          <cell r="E235">
            <v>122169.06</v>
          </cell>
          <cell r="F235">
            <v>116116.41</v>
          </cell>
          <cell r="G235">
            <v>141480.51</v>
          </cell>
          <cell r="H235">
            <v>176052.44</v>
          </cell>
          <cell r="I235">
            <v>153568.81</v>
          </cell>
          <cell r="J235">
            <v>160193.17000000001</v>
          </cell>
          <cell r="K235">
            <v>164315.06</v>
          </cell>
          <cell r="L235">
            <v>187246.44</v>
          </cell>
          <cell r="M235">
            <v>193397.67</v>
          </cell>
          <cell r="N235">
            <v>153819.51</v>
          </cell>
          <cell r="O235">
            <v>184145.28</v>
          </cell>
          <cell r="P235">
            <v>195348.41</v>
          </cell>
          <cell r="Q235">
            <v>199612.46</v>
          </cell>
          <cell r="R235">
            <v>198596.93</v>
          </cell>
          <cell r="S235">
            <v>247063.57</v>
          </cell>
          <cell r="T235">
            <v>433169.51</v>
          </cell>
          <cell r="U235">
            <v>231349.48</v>
          </cell>
          <cell r="V235">
            <v>220479.93</v>
          </cell>
          <cell r="W235">
            <v>205746.73</v>
          </cell>
          <cell r="X235">
            <v>216833.34</v>
          </cell>
          <cell r="Y235">
            <v>191837.54</v>
          </cell>
          <cell r="Z235">
            <v>221268.28</v>
          </cell>
          <cell r="AA235">
            <v>242110.17</v>
          </cell>
          <cell r="AB235">
            <v>222281.91</v>
          </cell>
          <cell r="AC235">
            <v>195404.94</v>
          </cell>
          <cell r="AD235">
            <v>208161.68</v>
          </cell>
          <cell r="AE235">
            <v>205532.13</v>
          </cell>
          <cell r="AF235">
            <v>212132.79</v>
          </cell>
          <cell r="AG235">
            <v>230287.93</v>
          </cell>
          <cell r="AH235">
            <v>219158.39</v>
          </cell>
          <cell r="AI235">
            <v>226659.22</v>
          </cell>
          <cell r="AJ235">
            <v>272565.31</v>
          </cell>
          <cell r="AK235">
            <v>449453.61</v>
          </cell>
          <cell r="AL235">
            <v>222157.78</v>
          </cell>
          <cell r="AM235">
            <v>220388.84</v>
          </cell>
          <cell r="AN235">
            <v>222515.83</v>
          </cell>
          <cell r="AO235">
            <v>195592.86</v>
          </cell>
          <cell r="AP235">
            <v>167699.91</v>
          </cell>
          <cell r="AQ235">
            <v>169800.62</v>
          </cell>
          <cell r="AR235">
            <v>169292.34</v>
          </cell>
          <cell r="AS235">
            <v>163504.18</v>
          </cell>
          <cell r="AT235">
            <v>176576.86</v>
          </cell>
          <cell r="AU235">
            <v>225389</v>
          </cell>
          <cell r="AV235">
            <v>290105.90999999997</v>
          </cell>
          <cell r="AW235">
            <v>382351.06</v>
          </cell>
          <cell r="AX235">
            <v>721152.25</v>
          </cell>
          <cell r="AY235">
            <v>1368126.67</v>
          </cell>
          <cell r="AZ235">
            <v>2480373.92</v>
          </cell>
          <cell r="BA235">
            <v>2405832.54</v>
          </cell>
          <cell r="BB235">
            <v>270580.95</v>
          </cell>
        </row>
        <row r="236">
          <cell r="A236" t="str">
            <v>ptd</v>
          </cell>
          <cell r="B236">
            <v>98634.31</v>
          </cell>
          <cell r="C236">
            <v>221600.08000000002</v>
          </cell>
          <cell r="D236">
            <v>345762.41000000003</v>
          </cell>
          <cell r="E236">
            <v>467931.47000000003</v>
          </cell>
          <cell r="F236">
            <v>116116.41</v>
          </cell>
          <cell r="G236">
            <v>257596.92</v>
          </cell>
          <cell r="H236">
            <v>433649.36</v>
          </cell>
          <cell r="I236">
            <v>587218.16999999993</v>
          </cell>
          <cell r="J236">
            <v>160193.17000000001</v>
          </cell>
          <cell r="K236">
            <v>324508.23</v>
          </cell>
          <cell r="L236">
            <v>511754.67</v>
          </cell>
          <cell r="M236">
            <v>705152.34</v>
          </cell>
          <cell r="N236">
            <v>153819.51</v>
          </cell>
          <cell r="O236">
            <v>337964.79000000004</v>
          </cell>
          <cell r="P236">
            <v>533313.20000000007</v>
          </cell>
          <cell r="Q236">
            <v>732925.66</v>
          </cell>
          <cell r="R236">
            <v>198596.93</v>
          </cell>
          <cell r="S236">
            <v>445660.5</v>
          </cell>
          <cell r="T236">
            <v>878830.01</v>
          </cell>
          <cell r="U236">
            <v>1110179.49</v>
          </cell>
          <cell r="V236">
            <v>220479.93</v>
          </cell>
          <cell r="W236">
            <v>426226.66000000003</v>
          </cell>
          <cell r="X236">
            <v>643060</v>
          </cell>
          <cell r="Y236">
            <v>834897.54</v>
          </cell>
          <cell r="Z236">
            <v>221268.28</v>
          </cell>
          <cell r="AA236">
            <v>463378.45</v>
          </cell>
          <cell r="AB236">
            <v>685660.36</v>
          </cell>
          <cell r="AC236">
            <v>881065.3</v>
          </cell>
          <cell r="AD236">
            <v>208161.68</v>
          </cell>
          <cell r="AE236">
            <v>413693.81</v>
          </cell>
          <cell r="AF236">
            <v>625826.6</v>
          </cell>
          <cell r="AG236">
            <v>856114.53</v>
          </cell>
          <cell r="AH236">
            <v>219158.39</v>
          </cell>
          <cell r="AI236">
            <v>445817.61</v>
          </cell>
          <cell r="AJ236">
            <v>718382.91999999993</v>
          </cell>
          <cell r="AK236">
            <v>1167836.5299999998</v>
          </cell>
          <cell r="AL236">
            <v>222157.78</v>
          </cell>
          <cell r="AM236">
            <v>442546.62</v>
          </cell>
          <cell r="AN236">
            <v>665062.44999999995</v>
          </cell>
          <cell r="AO236">
            <v>860655.30999999994</v>
          </cell>
          <cell r="AP236">
            <v>167699.91</v>
          </cell>
          <cell r="AQ236">
            <v>337500.53</v>
          </cell>
          <cell r="AR236">
            <v>506792.87</v>
          </cell>
          <cell r="AS236">
            <v>670297.05000000005</v>
          </cell>
          <cell r="AT236">
            <v>176576.86</v>
          </cell>
          <cell r="AU236">
            <v>401965.86</v>
          </cell>
          <cell r="AV236">
            <v>692071.77</v>
          </cell>
          <cell r="AW236">
            <v>1074422.83</v>
          </cell>
          <cell r="AX236">
            <v>721152.25</v>
          </cell>
          <cell r="AY236">
            <v>2089278.92</v>
          </cell>
          <cell r="AZ236">
            <v>4569652.84</v>
          </cell>
          <cell r="BA236">
            <v>6975485.3799999999</v>
          </cell>
          <cell r="BB236">
            <v>7246066.3300000001</v>
          </cell>
        </row>
        <row r="237">
          <cell r="A237" t="str">
            <v>qtd</v>
          </cell>
          <cell r="B237">
            <v>98634.31</v>
          </cell>
          <cell r="C237">
            <v>221600.08000000002</v>
          </cell>
          <cell r="D237">
            <v>345762.41000000003</v>
          </cell>
          <cell r="E237">
            <v>467931.47000000003</v>
          </cell>
          <cell r="F237">
            <v>584047.88</v>
          </cell>
          <cell r="G237">
            <v>725528.39</v>
          </cell>
          <cell r="H237">
            <v>901580.83000000007</v>
          </cell>
          <cell r="I237">
            <v>1055149.6400000001</v>
          </cell>
          <cell r="J237">
            <v>1215342.81</v>
          </cell>
          <cell r="K237">
            <v>1379657.87</v>
          </cell>
          <cell r="L237">
            <v>1566904.31</v>
          </cell>
          <cell r="M237">
            <v>1760301.98</v>
          </cell>
          <cell r="N237">
            <v>153819.51</v>
          </cell>
          <cell r="O237">
            <v>337964.79000000004</v>
          </cell>
          <cell r="P237">
            <v>533313.20000000007</v>
          </cell>
          <cell r="Q237">
            <v>732925.66</v>
          </cell>
          <cell r="R237">
            <v>931522.59000000008</v>
          </cell>
          <cell r="S237">
            <v>1178586.1600000001</v>
          </cell>
          <cell r="T237">
            <v>1611755.6700000002</v>
          </cell>
          <cell r="U237">
            <v>1843105.1500000001</v>
          </cell>
          <cell r="V237">
            <v>2063585.08</v>
          </cell>
          <cell r="W237">
            <v>2269331.81</v>
          </cell>
          <cell r="X237">
            <v>2486165.15</v>
          </cell>
          <cell r="Y237">
            <v>2678002.69</v>
          </cell>
          <cell r="Z237">
            <v>221268.28</v>
          </cell>
          <cell r="AA237">
            <v>463378.45</v>
          </cell>
          <cell r="AB237">
            <v>685660.36</v>
          </cell>
          <cell r="AC237">
            <v>881065.3</v>
          </cell>
          <cell r="AD237">
            <v>1089226.98</v>
          </cell>
          <cell r="AE237">
            <v>1294759.1099999999</v>
          </cell>
          <cell r="AF237">
            <v>1506891.9</v>
          </cell>
          <cell r="AG237">
            <v>1737179.8299999998</v>
          </cell>
          <cell r="AH237">
            <v>1956338.2199999997</v>
          </cell>
          <cell r="AI237">
            <v>2182997.44</v>
          </cell>
          <cell r="AJ237">
            <v>2455562.75</v>
          </cell>
          <cell r="AK237">
            <v>2905016.36</v>
          </cell>
          <cell r="AL237">
            <v>222157.78</v>
          </cell>
          <cell r="AM237">
            <v>442546.62</v>
          </cell>
          <cell r="AN237">
            <v>665062.44999999995</v>
          </cell>
          <cell r="AO237">
            <v>860655.30999999994</v>
          </cell>
          <cell r="AP237">
            <v>1028355.22</v>
          </cell>
          <cell r="AQ237">
            <v>1198155.8399999999</v>
          </cell>
          <cell r="AR237">
            <v>1367448.18</v>
          </cell>
          <cell r="AS237">
            <v>1530952.3599999999</v>
          </cell>
          <cell r="AT237">
            <v>1707529.2199999997</v>
          </cell>
          <cell r="AU237">
            <v>1932918.2199999997</v>
          </cell>
          <cell r="AV237">
            <v>2223024.13</v>
          </cell>
          <cell r="AW237">
            <v>2605375.19</v>
          </cell>
          <cell r="AX237">
            <v>3326527.44</v>
          </cell>
          <cell r="AY237">
            <v>4694654.1099999994</v>
          </cell>
          <cell r="AZ237">
            <v>7175028.0299999993</v>
          </cell>
          <cell r="BA237">
            <v>9580860.5700000003</v>
          </cell>
          <cell r="BB237">
            <v>9851441.5199999996</v>
          </cell>
        </row>
        <row r="238">
          <cell r="A238" t="str">
            <v>ytd</v>
          </cell>
          <cell r="B238">
            <v>98634.31</v>
          </cell>
          <cell r="C238">
            <v>221600.08000000002</v>
          </cell>
          <cell r="D238">
            <v>345762.41000000003</v>
          </cell>
          <cell r="E238">
            <v>467931.47000000003</v>
          </cell>
          <cell r="F238">
            <v>584047.88</v>
          </cell>
          <cell r="G238">
            <v>725528.39</v>
          </cell>
          <cell r="H238">
            <v>901580.83000000007</v>
          </cell>
          <cell r="I238">
            <v>1055149.6400000001</v>
          </cell>
          <cell r="J238">
            <v>1215342.81</v>
          </cell>
          <cell r="K238">
            <v>1379657.87</v>
          </cell>
          <cell r="L238">
            <v>1566904.31</v>
          </cell>
          <cell r="M238">
            <v>1760301.98</v>
          </cell>
          <cell r="N238">
            <v>1914121.49</v>
          </cell>
          <cell r="O238">
            <v>2098266.77</v>
          </cell>
          <cell r="P238">
            <v>2293615.1800000002</v>
          </cell>
          <cell r="Q238">
            <v>2493227.64</v>
          </cell>
          <cell r="R238">
            <v>2691824.5700000003</v>
          </cell>
          <cell r="S238">
            <v>2938888.14</v>
          </cell>
          <cell r="T238">
            <v>3372057.6500000004</v>
          </cell>
          <cell r="U238">
            <v>3603407.1300000004</v>
          </cell>
          <cell r="V238">
            <v>3823887.0600000005</v>
          </cell>
          <cell r="W238">
            <v>4029633.7900000005</v>
          </cell>
          <cell r="X238">
            <v>4246467.1300000008</v>
          </cell>
          <cell r="Y238">
            <v>4438304.6700000009</v>
          </cell>
          <cell r="Z238">
            <v>4659572.9500000011</v>
          </cell>
          <cell r="AA238">
            <v>4901683.120000001</v>
          </cell>
          <cell r="AB238">
            <v>5123965.0300000012</v>
          </cell>
          <cell r="AC238">
            <v>5319369.9700000016</v>
          </cell>
          <cell r="AD238">
            <v>5527531.6500000013</v>
          </cell>
          <cell r="AE238">
            <v>5733063.7800000012</v>
          </cell>
          <cell r="AF238">
            <v>5945196.5700000012</v>
          </cell>
          <cell r="AG238">
            <v>6175484.5000000009</v>
          </cell>
          <cell r="AH238">
            <v>6394642.8900000006</v>
          </cell>
          <cell r="AI238">
            <v>6621302.1100000003</v>
          </cell>
          <cell r="AJ238">
            <v>6893867.4199999999</v>
          </cell>
          <cell r="AK238">
            <v>7343321.0300000003</v>
          </cell>
          <cell r="AL238">
            <v>7565478.8100000005</v>
          </cell>
          <cell r="AM238">
            <v>7785867.6500000004</v>
          </cell>
          <cell r="AN238">
            <v>8008383.4800000004</v>
          </cell>
          <cell r="AO238">
            <v>8203976.3400000008</v>
          </cell>
          <cell r="AP238">
            <v>8371676.2500000009</v>
          </cell>
          <cell r="AQ238">
            <v>8541476.870000001</v>
          </cell>
          <cell r="AR238">
            <v>8710769.2100000009</v>
          </cell>
          <cell r="AS238">
            <v>8874273.3900000006</v>
          </cell>
          <cell r="AT238">
            <v>9050850.25</v>
          </cell>
          <cell r="AU238">
            <v>9276239.25</v>
          </cell>
          <cell r="AV238">
            <v>9566345.1600000001</v>
          </cell>
          <cell r="AW238">
            <v>9948696.2200000007</v>
          </cell>
          <cell r="AX238">
            <v>10669848.470000001</v>
          </cell>
          <cell r="AY238">
            <v>12037975.140000001</v>
          </cell>
          <cell r="AZ238">
            <v>14518349.060000001</v>
          </cell>
          <cell r="BA238">
            <v>16924181.600000001</v>
          </cell>
          <cell r="BB238">
            <v>17194762.550000001</v>
          </cell>
        </row>
        <row r="239">
          <cell r="A239" t="str">
            <v>PRED</v>
          </cell>
          <cell r="AM239">
            <v>40.19</v>
          </cell>
          <cell r="AR239">
            <v>205.59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40.19</v>
          </cell>
          <cell r="AN240">
            <v>40.19</v>
          </cell>
          <cell r="AO240">
            <v>40.19</v>
          </cell>
          <cell r="AP240">
            <v>0</v>
          </cell>
          <cell r="AQ240">
            <v>0</v>
          </cell>
          <cell r="AR240">
            <v>205.59</v>
          </cell>
          <cell r="AS240">
            <v>205.59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40.19</v>
          </cell>
          <cell r="AN241">
            <v>40.19</v>
          </cell>
          <cell r="AO241">
            <v>40.19</v>
          </cell>
          <cell r="AP241">
            <v>40.19</v>
          </cell>
          <cell r="AQ241">
            <v>40.19</v>
          </cell>
          <cell r="AR241">
            <v>245.78</v>
          </cell>
          <cell r="AS241">
            <v>245.78</v>
          </cell>
          <cell r="AT241">
            <v>245.78</v>
          </cell>
          <cell r="AU241">
            <v>245.78</v>
          </cell>
          <cell r="AV241">
            <v>245.78</v>
          </cell>
          <cell r="AW241">
            <v>245.78</v>
          </cell>
          <cell r="AX241">
            <v>245.78</v>
          </cell>
          <cell r="AY241">
            <v>245.78</v>
          </cell>
          <cell r="AZ241">
            <v>245.78</v>
          </cell>
          <cell r="BA241">
            <v>245.78</v>
          </cell>
          <cell r="BB241">
            <v>245.78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40.19</v>
          </cell>
          <cell r="AN242">
            <v>40.19</v>
          </cell>
          <cell r="AO242">
            <v>40.19</v>
          </cell>
          <cell r="AP242">
            <v>40.19</v>
          </cell>
          <cell r="AQ242">
            <v>40.19</v>
          </cell>
          <cell r="AR242">
            <v>245.78</v>
          </cell>
          <cell r="AS242">
            <v>245.78</v>
          </cell>
          <cell r="AT242">
            <v>245.78</v>
          </cell>
          <cell r="AU242">
            <v>245.78</v>
          </cell>
          <cell r="AV242">
            <v>245.78</v>
          </cell>
          <cell r="AW242">
            <v>245.78</v>
          </cell>
          <cell r="AX242">
            <v>245.78</v>
          </cell>
          <cell r="AY242">
            <v>245.78</v>
          </cell>
          <cell r="AZ242">
            <v>245.78</v>
          </cell>
          <cell r="BA242">
            <v>245.78</v>
          </cell>
          <cell r="BB242">
            <v>245.78</v>
          </cell>
        </row>
        <row r="243">
          <cell r="A243" t="str">
            <v>PREG</v>
          </cell>
          <cell r="B243">
            <v>94841.22</v>
          </cell>
          <cell r="C243">
            <v>123729.54</v>
          </cell>
          <cell r="D243">
            <v>101234.61</v>
          </cell>
          <cell r="E243">
            <v>91024.61</v>
          </cell>
          <cell r="F243">
            <v>97518.080000000002</v>
          </cell>
          <cell r="G243">
            <v>118476.58</v>
          </cell>
          <cell r="H243">
            <v>122274.66</v>
          </cell>
          <cell r="I243">
            <v>136680.92000000001</v>
          </cell>
          <cell r="J243">
            <v>153575.98000000001</v>
          </cell>
          <cell r="K243">
            <v>136590.9</v>
          </cell>
          <cell r="L243">
            <v>144657.12</v>
          </cell>
          <cell r="M243">
            <v>140982.07</v>
          </cell>
          <cell r="N243">
            <v>125924.86</v>
          </cell>
          <cell r="O243">
            <v>161059</v>
          </cell>
          <cell r="P243">
            <v>166123.15</v>
          </cell>
          <cell r="Q243">
            <v>154291.57999999999</v>
          </cell>
          <cell r="R243">
            <v>144074.19</v>
          </cell>
          <cell r="S243">
            <v>170469</v>
          </cell>
          <cell r="T243">
            <v>225364.15</v>
          </cell>
          <cell r="U243">
            <v>170155.7</v>
          </cell>
          <cell r="V243">
            <v>151288.82999999999</v>
          </cell>
          <cell r="W243">
            <v>170334.58</v>
          </cell>
          <cell r="X243">
            <v>162447.51999999999</v>
          </cell>
          <cell r="Y243">
            <v>145463.54999999999</v>
          </cell>
          <cell r="Z243">
            <v>170110.39</v>
          </cell>
          <cell r="AA243">
            <v>183958.6</v>
          </cell>
          <cell r="AB243">
            <v>169572.85</v>
          </cell>
          <cell r="AC243">
            <v>160161.96</v>
          </cell>
          <cell r="AD243">
            <v>171814.04</v>
          </cell>
          <cell r="AE243">
            <v>173830.39</v>
          </cell>
          <cell r="AF243">
            <v>193956.7</v>
          </cell>
          <cell r="AG243">
            <v>184332.88</v>
          </cell>
          <cell r="AH243">
            <v>184477.66</v>
          </cell>
          <cell r="AI243">
            <v>175056.19</v>
          </cell>
          <cell r="AJ243">
            <v>187452.81</v>
          </cell>
          <cell r="AK243">
            <v>264956.94</v>
          </cell>
          <cell r="AL243">
            <v>211196.33</v>
          </cell>
          <cell r="AM243">
            <v>213540.09</v>
          </cell>
          <cell r="AN243">
            <v>230098.46</v>
          </cell>
          <cell r="AO243">
            <v>220132.9</v>
          </cell>
          <cell r="AP243">
            <v>182476.57</v>
          </cell>
          <cell r="AQ243">
            <v>206723.63</v>
          </cell>
          <cell r="AR243">
            <v>191004.83</v>
          </cell>
          <cell r="AS243">
            <v>191216.46</v>
          </cell>
          <cell r="AT243">
            <v>204573.17</v>
          </cell>
          <cell r="AU243">
            <v>242353.53</v>
          </cell>
          <cell r="AV243">
            <v>284426.44</v>
          </cell>
          <cell r="AW243">
            <v>351964.48</v>
          </cell>
          <cell r="AX243">
            <v>550153.48</v>
          </cell>
          <cell r="AY243">
            <v>1026646.4</v>
          </cell>
          <cell r="AZ243">
            <v>2053521.53</v>
          </cell>
          <cell r="BA243">
            <v>2007474.26</v>
          </cell>
          <cell r="BB243">
            <v>183727.04</v>
          </cell>
        </row>
        <row r="244">
          <cell r="A244" t="str">
            <v>ptd</v>
          </cell>
          <cell r="B244">
            <v>94841.22</v>
          </cell>
          <cell r="C244">
            <v>218570.76</v>
          </cell>
          <cell r="D244">
            <v>319805.37</v>
          </cell>
          <cell r="E244">
            <v>410829.98</v>
          </cell>
          <cell r="F244">
            <v>97518.080000000002</v>
          </cell>
          <cell r="G244">
            <v>215994.66</v>
          </cell>
          <cell r="H244">
            <v>338269.32</v>
          </cell>
          <cell r="I244">
            <v>474950.24</v>
          </cell>
          <cell r="J244">
            <v>153575.98000000001</v>
          </cell>
          <cell r="K244">
            <v>290166.88</v>
          </cell>
          <cell r="L244">
            <v>434824</v>
          </cell>
          <cell r="M244">
            <v>575806.07000000007</v>
          </cell>
          <cell r="N244">
            <v>125924.86</v>
          </cell>
          <cell r="O244">
            <v>286983.86</v>
          </cell>
          <cell r="P244">
            <v>453107.01</v>
          </cell>
          <cell r="Q244">
            <v>607398.59</v>
          </cell>
          <cell r="R244">
            <v>144074.19</v>
          </cell>
          <cell r="S244">
            <v>314543.19</v>
          </cell>
          <cell r="T244">
            <v>539907.34</v>
          </cell>
          <cell r="U244">
            <v>710063.04</v>
          </cell>
          <cell r="V244">
            <v>151288.82999999999</v>
          </cell>
          <cell r="W244">
            <v>321623.40999999997</v>
          </cell>
          <cell r="X244">
            <v>484070.92999999993</v>
          </cell>
          <cell r="Y244">
            <v>629534.48</v>
          </cell>
          <cell r="Z244">
            <v>170110.39</v>
          </cell>
          <cell r="AA244">
            <v>354068.99</v>
          </cell>
          <cell r="AB244">
            <v>523641.83999999997</v>
          </cell>
          <cell r="AC244">
            <v>683803.79999999993</v>
          </cell>
          <cell r="AD244">
            <v>171814.04</v>
          </cell>
          <cell r="AE244">
            <v>345644.43000000005</v>
          </cell>
          <cell r="AF244">
            <v>539601.13000000012</v>
          </cell>
          <cell r="AG244">
            <v>723934.01000000013</v>
          </cell>
          <cell r="AH244">
            <v>184477.66</v>
          </cell>
          <cell r="AI244">
            <v>359533.85</v>
          </cell>
          <cell r="AJ244">
            <v>546986.65999999992</v>
          </cell>
          <cell r="AK244">
            <v>811943.59999999986</v>
          </cell>
          <cell r="AL244">
            <v>211196.33</v>
          </cell>
          <cell r="AM244">
            <v>424736.42</v>
          </cell>
          <cell r="AN244">
            <v>654834.88</v>
          </cell>
          <cell r="AO244">
            <v>874967.78</v>
          </cell>
          <cell r="AP244">
            <v>182476.57</v>
          </cell>
          <cell r="AQ244">
            <v>389200.2</v>
          </cell>
          <cell r="AR244">
            <v>580205.03</v>
          </cell>
          <cell r="AS244">
            <v>771421.49</v>
          </cell>
          <cell r="AT244">
            <v>204573.17</v>
          </cell>
          <cell r="AU244">
            <v>446926.7</v>
          </cell>
          <cell r="AV244">
            <v>731353.14</v>
          </cell>
          <cell r="AW244">
            <v>1083317.6200000001</v>
          </cell>
          <cell r="AX244">
            <v>550153.48</v>
          </cell>
          <cell r="AY244">
            <v>1576799.88</v>
          </cell>
          <cell r="AZ244">
            <v>3630321.41</v>
          </cell>
          <cell r="BA244">
            <v>5637795.6699999999</v>
          </cell>
          <cell r="BB244">
            <v>5821522.71</v>
          </cell>
        </row>
        <row r="245">
          <cell r="A245" t="str">
            <v>qtd</v>
          </cell>
          <cell r="B245">
            <v>94841.22</v>
          </cell>
          <cell r="C245">
            <v>218570.76</v>
          </cell>
          <cell r="D245">
            <v>319805.37</v>
          </cell>
          <cell r="E245">
            <v>410829.98</v>
          </cell>
          <cell r="F245">
            <v>508348.06</v>
          </cell>
          <cell r="G245">
            <v>626824.64</v>
          </cell>
          <cell r="H245">
            <v>749099.3</v>
          </cell>
          <cell r="I245">
            <v>885780.22000000009</v>
          </cell>
          <cell r="J245">
            <v>1039356.2000000001</v>
          </cell>
          <cell r="K245">
            <v>1175947.1000000001</v>
          </cell>
          <cell r="L245">
            <v>1320604.2200000002</v>
          </cell>
          <cell r="M245">
            <v>1461586.2900000003</v>
          </cell>
          <cell r="N245">
            <v>125924.86</v>
          </cell>
          <cell r="O245">
            <v>286983.86</v>
          </cell>
          <cell r="P245">
            <v>453107.01</v>
          </cell>
          <cell r="Q245">
            <v>607398.59</v>
          </cell>
          <cell r="R245">
            <v>751472.78</v>
          </cell>
          <cell r="S245">
            <v>921941.78</v>
          </cell>
          <cell r="T245">
            <v>1147305.93</v>
          </cell>
          <cell r="U245">
            <v>1317461.6299999999</v>
          </cell>
          <cell r="V245">
            <v>1468750.46</v>
          </cell>
          <cell r="W245">
            <v>1639085.04</v>
          </cell>
          <cell r="X245">
            <v>1801532.56</v>
          </cell>
          <cell r="Y245">
            <v>1946996.11</v>
          </cell>
          <cell r="Z245">
            <v>170110.39</v>
          </cell>
          <cell r="AA245">
            <v>354068.99</v>
          </cell>
          <cell r="AB245">
            <v>523641.83999999997</v>
          </cell>
          <cell r="AC245">
            <v>683803.79999999993</v>
          </cell>
          <cell r="AD245">
            <v>855617.84</v>
          </cell>
          <cell r="AE245">
            <v>1029448.23</v>
          </cell>
          <cell r="AF245">
            <v>1223404.93</v>
          </cell>
          <cell r="AG245">
            <v>1407737.81</v>
          </cell>
          <cell r="AH245">
            <v>1592215.47</v>
          </cell>
          <cell r="AI245">
            <v>1767271.66</v>
          </cell>
          <cell r="AJ245">
            <v>1954724.47</v>
          </cell>
          <cell r="AK245">
            <v>2219681.41</v>
          </cell>
          <cell r="AL245">
            <v>211196.33</v>
          </cell>
          <cell r="AM245">
            <v>424736.42</v>
          </cell>
          <cell r="AN245">
            <v>654834.88</v>
          </cell>
          <cell r="AO245">
            <v>874967.78</v>
          </cell>
          <cell r="AP245">
            <v>1057444.3500000001</v>
          </cell>
          <cell r="AQ245">
            <v>1264167.98</v>
          </cell>
          <cell r="AR245">
            <v>1455172.81</v>
          </cell>
          <cell r="AS245">
            <v>1646389.27</v>
          </cell>
          <cell r="AT245">
            <v>1850962.44</v>
          </cell>
          <cell r="AU245">
            <v>2093315.97</v>
          </cell>
          <cell r="AV245">
            <v>2377742.41</v>
          </cell>
          <cell r="AW245">
            <v>2729706.89</v>
          </cell>
          <cell r="AX245">
            <v>3279860.37</v>
          </cell>
          <cell r="AY245">
            <v>4306506.7700000005</v>
          </cell>
          <cell r="AZ245">
            <v>6360028.3000000007</v>
          </cell>
          <cell r="BA245">
            <v>8367502.5600000005</v>
          </cell>
          <cell r="BB245">
            <v>8551229.5999999996</v>
          </cell>
        </row>
        <row r="246">
          <cell r="A246" t="str">
            <v>ytd</v>
          </cell>
          <cell r="B246">
            <v>94841.22</v>
          </cell>
          <cell r="C246">
            <v>218570.76</v>
          </cell>
          <cell r="D246">
            <v>319805.37</v>
          </cell>
          <cell r="E246">
            <v>410829.98</v>
          </cell>
          <cell r="F246">
            <v>508348.06</v>
          </cell>
          <cell r="G246">
            <v>626824.64</v>
          </cell>
          <cell r="H246">
            <v>749099.3</v>
          </cell>
          <cell r="I246">
            <v>885780.22000000009</v>
          </cell>
          <cell r="J246">
            <v>1039356.2000000001</v>
          </cell>
          <cell r="K246">
            <v>1175947.1000000001</v>
          </cell>
          <cell r="L246">
            <v>1320604.2200000002</v>
          </cell>
          <cell r="M246">
            <v>1461586.2900000003</v>
          </cell>
          <cell r="N246">
            <v>1587511.1500000004</v>
          </cell>
          <cell r="O246">
            <v>1748570.1500000004</v>
          </cell>
          <cell r="P246">
            <v>1914693.3000000003</v>
          </cell>
          <cell r="Q246">
            <v>2068984.8800000004</v>
          </cell>
          <cell r="R246">
            <v>2213059.0700000003</v>
          </cell>
          <cell r="S246">
            <v>2383528.0700000003</v>
          </cell>
          <cell r="T246">
            <v>2608892.2200000002</v>
          </cell>
          <cell r="U246">
            <v>2779047.9200000004</v>
          </cell>
          <cell r="V246">
            <v>2930336.7500000005</v>
          </cell>
          <cell r="W246">
            <v>3100671.3300000005</v>
          </cell>
          <cell r="X246">
            <v>3263118.8500000006</v>
          </cell>
          <cell r="Y246">
            <v>3408582.4000000004</v>
          </cell>
          <cell r="Z246">
            <v>3578692.7900000005</v>
          </cell>
          <cell r="AA246">
            <v>3762651.3900000006</v>
          </cell>
          <cell r="AB246">
            <v>3932224.2400000007</v>
          </cell>
          <cell r="AC246">
            <v>4092386.2000000007</v>
          </cell>
          <cell r="AD246">
            <v>4264200.24</v>
          </cell>
          <cell r="AE246">
            <v>4438030.63</v>
          </cell>
          <cell r="AF246">
            <v>4631987.33</v>
          </cell>
          <cell r="AG246">
            <v>4816320.21</v>
          </cell>
          <cell r="AH246">
            <v>5000797.87</v>
          </cell>
          <cell r="AI246">
            <v>5175854.0600000005</v>
          </cell>
          <cell r="AJ246">
            <v>5363306.87</v>
          </cell>
          <cell r="AK246">
            <v>5628263.8100000005</v>
          </cell>
          <cell r="AL246">
            <v>5839460.1400000006</v>
          </cell>
          <cell r="AM246">
            <v>6053000.2300000004</v>
          </cell>
          <cell r="AN246">
            <v>6283098.6900000004</v>
          </cell>
          <cell r="AO246">
            <v>6503231.5900000008</v>
          </cell>
          <cell r="AP246">
            <v>6685708.1600000011</v>
          </cell>
          <cell r="AQ246">
            <v>6892431.790000001</v>
          </cell>
          <cell r="AR246">
            <v>7083436.620000001</v>
          </cell>
          <cell r="AS246">
            <v>7274653.080000001</v>
          </cell>
          <cell r="AT246">
            <v>7479226.2500000009</v>
          </cell>
          <cell r="AU246">
            <v>7721579.7800000012</v>
          </cell>
          <cell r="AV246">
            <v>8006006.2200000016</v>
          </cell>
          <cell r="AW246">
            <v>8357970.7000000011</v>
          </cell>
          <cell r="AX246">
            <v>8908124.1800000016</v>
          </cell>
          <cell r="AY246">
            <v>9934770.5800000019</v>
          </cell>
          <cell r="AZ246">
            <v>11988292.110000001</v>
          </cell>
          <cell r="BA246">
            <v>13995766.370000001</v>
          </cell>
          <cell r="BB246">
            <v>14179493.41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1146.69</v>
          </cell>
          <cell r="C251">
            <v>1282.06</v>
          </cell>
          <cell r="D251">
            <v>1473.44</v>
          </cell>
          <cell r="E251">
            <v>1310.1199999999999</v>
          </cell>
          <cell r="F251">
            <v>1347.89</v>
          </cell>
          <cell r="G251">
            <v>1550.16</v>
          </cell>
          <cell r="H251">
            <v>1845.52</v>
          </cell>
          <cell r="I251">
            <v>2056.3200000000002</v>
          </cell>
          <cell r="J251">
            <v>2150.4</v>
          </cell>
          <cell r="K251">
            <v>1787.52</v>
          </cell>
          <cell r="L251">
            <v>1706.88</v>
          </cell>
          <cell r="M251">
            <v>1317.12</v>
          </cell>
          <cell r="N251">
            <v>1800.96</v>
          </cell>
          <cell r="O251">
            <v>1747.2</v>
          </cell>
          <cell r="P251">
            <v>2593.92</v>
          </cell>
          <cell r="Q251">
            <v>1895.04</v>
          </cell>
          <cell r="R251">
            <v>1868.16</v>
          </cell>
          <cell r="S251">
            <v>1868.16</v>
          </cell>
          <cell r="T251">
            <v>1626.24</v>
          </cell>
          <cell r="U251">
            <v>1800.96</v>
          </cell>
          <cell r="V251">
            <v>1935.36</v>
          </cell>
          <cell r="W251">
            <v>1653.12</v>
          </cell>
          <cell r="X251">
            <v>1800.96</v>
          </cell>
          <cell r="Y251">
            <v>1814.4</v>
          </cell>
          <cell r="Z251">
            <v>1962.24</v>
          </cell>
          <cell r="AA251">
            <v>1720.32</v>
          </cell>
          <cell r="AB251">
            <v>1962.24</v>
          </cell>
          <cell r="AC251">
            <v>1841.28</v>
          </cell>
          <cell r="AD251">
            <v>2271.36</v>
          </cell>
          <cell r="AE251">
            <v>2526.7199999999998</v>
          </cell>
          <cell r="AF251">
            <v>1948.8</v>
          </cell>
          <cell r="AG251">
            <v>2069.7600000000002</v>
          </cell>
          <cell r="AH251">
            <v>1706.88</v>
          </cell>
          <cell r="AI251">
            <v>1747.2</v>
          </cell>
          <cell r="AJ251">
            <v>1532.16</v>
          </cell>
          <cell r="AK251">
            <v>1535.15</v>
          </cell>
          <cell r="AL251">
            <v>1016.42</v>
          </cell>
          <cell r="AM251">
            <v>497.17</v>
          </cell>
          <cell r="AN251">
            <v>367.04</v>
          </cell>
          <cell r="AO251">
            <v>227.55</v>
          </cell>
          <cell r="AP251">
            <v>203.89</v>
          </cell>
          <cell r="AQ251">
            <v>143.69999999999999</v>
          </cell>
          <cell r="AR251">
            <v>41.11</v>
          </cell>
          <cell r="AS251">
            <v>143.9</v>
          </cell>
          <cell r="AT251">
            <v>70.78</v>
          </cell>
          <cell r="AU251">
            <v>99.39</v>
          </cell>
          <cell r="AV251">
            <v>106.42</v>
          </cell>
          <cell r="AW251">
            <v>156.38999999999999</v>
          </cell>
          <cell r="AX251">
            <v>29.19</v>
          </cell>
          <cell r="AY251">
            <v>39.89</v>
          </cell>
          <cell r="AZ251">
            <v>102.52</v>
          </cell>
          <cell r="BA251">
            <v>102.31</v>
          </cell>
          <cell r="BB251">
            <v>61.58</v>
          </cell>
        </row>
        <row r="252">
          <cell r="A252" t="str">
            <v>ptd</v>
          </cell>
          <cell r="B252">
            <v>1146.69</v>
          </cell>
          <cell r="C252">
            <v>2428.75</v>
          </cell>
          <cell r="D252">
            <v>3902.19</v>
          </cell>
          <cell r="E252">
            <v>5212.3099999999995</v>
          </cell>
          <cell r="F252">
            <v>1347.89</v>
          </cell>
          <cell r="G252">
            <v>2898.05</v>
          </cell>
          <cell r="H252">
            <v>4743.57</v>
          </cell>
          <cell r="I252">
            <v>6799.8899999999994</v>
          </cell>
          <cell r="J252">
            <v>2150.4</v>
          </cell>
          <cell r="K252">
            <v>3937.92</v>
          </cell>
          <cell r="L252">
            <v>5644.8</v>
          </cell>
          <cell r="M252">
            <v>6961.92</v>
          </cell>
          <cell r="N252">
            <v>1800.96</v>
          </cell>
          <cell r="O252">
            <v>3548.16</v>
          </cell>
          <cell r="P252">
            <v>6142.08</v>
          </cell>
          <cell r="Q252">
            <v>8037.12</v>
          </cell>
          <cell r="R252">
            <v>1868.16</v>
          </cell>
          <cell r="S252">
            <v>3736.32</v>
          </cell>
          <cell r="T252">
            <v>5362.56</v>
          </cell>
          <cell r="U252">
            <v>7163.52</v>
          </cell>
          <cell r="V252">
            <v>1935.36</v>
          </cell>
          <cell r="W252">
            <v>3588.4799999999996</v>
          </cell>
          <cell r="X252">
            <v>5389.44</v>
          </cell>
          <cell r="Y252">
            <v>7203.84</v>
          </cell>
          <cell r="Z252">
            <v>1962.24</v>
          </cell>
          <cell r="AA252">
            <v>3682.56</v>
          </cell>
          <cell r="AB252">
            <v>5644.8</v>
          </cell>
          <cell r="AC252">
            <v>7486.08</v>
          </cell>
          <cell r="AD252">
            <v>2271.36</v>
          </cell>
          <cell r="AE252">
            <v>4798.08</v>
          </cell>
          <cell r="AF252">
            <v>6746.88</v>
          </cell>
          <cell r="AG252">
            <v>8816.64</v>
          </cell>
          <cell r="AH252">
            <v>1706.88</v>
          </cell>
          <cell r="AI252">
            <v>3454.08</v>
          </cell>
          <cell r="AJ252">
            <v>4986.24</v>
          </cell>
          <cell r="AK252">
            <v>6521.3899999999994</v>
          </cell>
          <cell r="AL252">
            <v>1016.42</v>
          </cell>
          <cell r="AM252">
            <v>1513.59</v>
          </cell>
          <cell r="AN252">
            <v>1880.6299999999999</v>
          </cell>
          <cell r="AO252">
            <v>2108.1799999999998</v>
          </cell>
          <cell r="AP252">
            <v>203.89</v>
          </cell>
          <cell r="AQ252">
            <v>347.59</v>
          </cell>
          <cell r="AR252">
            <v>388.7</v>
          </cell>
          <cell r="AS252">
            <v>532.6</v>
          </cell>
          <cell r="AT252">
            <v>70.78</v>
          </cell>
          <cell r="AU252">
            <v>170.17000000000002</v>
          </cell>
          <cell r="AV252">
            <v>276.59000000000003</v>
          </cell>
          <cell r="AW252">
            <v>432.98</v>
          </cell>
          <cell r="AX252">
            <v>29.19</v>
          </cell>
          <cell r="AY252">
            <v>69.08</v>
          </cell>
          <cell r="AZ252">
            <v>171.6</v>
          </cell>
          <cell r="BA252">
            <v>273.90999999999997</v>
          </cell>
          <cell r="BB252">
            <v>335.48999999999995</v>
          </cell>
        </row>
        <row r="253">
          <cell r="A253" t="str">
            <v>qtd</v>
          </cell>
          <cell r="B253">
            <v>1146.69</v>
          </cell>
          <cell r="C253">
            <v>2428.75</v>
          </cell>
          <cell r="D253">
            <v>3902.19</v>
          </cell>
          <cell r="E253">
            <v>5212.3099999999995</v>
          </cell>
          <cell r="F253">
            <v>6560.2</v>
          </cell>
          <cell r="G253">
            <v>8110.36</v>
          </cell>
          <cell r="H253">
            <v>9955.8799999999992</v>
          </cell>
          <cell r="I253">
            <v>12012.199999999999</v>
          </cell>
          <cell r="J253">
            <v>14162.599999999999</v>
          </cell>
          <cell r="K253">
            <v>15950.119999999999</v>
          </cell>
          <cell r="L253">
            <v>17657</v>
          </cell>
          <cell r="M253">
            <v>18974.12</v>
          </cell>
          <cell r="N253">
            <v>1800.96</v>
          </cell>
          <cell r="O253">
            <v>3548.16</v>
          </cell>
          <cell r="P253">
            <v>6142.08</v>
          </cell>
          <cell r="Q253">
            <v>8037.12</v>
          </cell>
          <cell r="R253">
            <v>9905.2800000000007</v>
          </cell>
          <cell r="S253">
            <v>11773.44</v>
          </cell>
          <cell r="T253">
            <v>13399.68</v>
          </cell>
          <cell r="U253">
            <v>15200.64</v>
          </cell>
          <cell r="V253">
            <v>17136</v>
          </cell>
          <cell r="W253">
            <v>18789.12</v>
          </cell>
          <cell r="X253">
            <v>20590.079999999998</v>
          </cell>
          <cell r="Y253">
            <v>22404.48</v>
          </cell>
          <cell r="Z253">
            <v>1962.24</v>
          </cell>
          <cell r="AA253">
            <v>3682.56</v>
          </cell>
          <cell r="AB253">
            <v>5644.8</v>
          </cell>
          <cell r="AC253">
            <v>7486.08</v>
          </cell>
          <cell r="AD253">
            <v>9757.44</v>
          </cell>
          <cell r="AE253">
            <v>12284.16</v>
          </cell>
          <cell r="AF253">
            <v>14232.96</v>
          </cell>
          <cell r="AG253">
            <v>16302.72</v>
          </cell>
          <cell r="AH253">
            <v>18009.599999999999</v>
          </cell>
          <cell r="AI253">
            <v>19756.8</v>
          </cell>
          <cell r="AJ253">
            <v>21288.959999999999</v>
          </cell>
          <cell r="AK253">
            <v>22824.11</v>
          </cell>
          <cell r="AL253">
            <v>1016.42</v>
          </cell>
          <cell r="AM253">
            <v>1513.59</v>
          </cell>
          <cell r="AN253">
            <v>1880.6299999999999</v>
          </cell>
          <cell r="AO253">
            <v>2108.1799999999998</v>
          </cell>
          <cell r="AP253">
            <v>2312.0699999999997</v>
          </cell>
          <cell r="AQ253">
            <v>2455.7699999999995</v>
          </cell>
          <cell r="AR253">
            <v>2496.8799999999997</v>
          </cell>
          <cell r="AS253">
            <v>2640.7799999999997</v>
          </cell>
          <cell r="AT253">
            <v>2711.56</v>
          </cell>
          <cell r="AU253">
            <v>2810.95</v>
          </cell>
          <cell r="AV253">
            <v>2917.37</v>
          </cell>
          <cell r="AW253">
            <v>3073.7599999999998</v>
          </cell>
          <cell r="AX253">
            <v>3102.95</v>
          </cell>
          <cell r="AY253">
            <v>3142.8399999999997</v>
          </cell>
          <cell r="AZ253">
            <v>3245.3599999999997</v>
          </cell>
          <cell r="BA253">
            <v>3347.6699999999996</v>
          </cell>
          <cell r="BB253">
            <v>3409.2499999999995</v>
          </cell>
        </row>
        <row r="254">
          <cell r="A254" t="str">
            <v>ytd</v>
          </cell>
          <cell r="B254">
            <v>1146.69</v>
          </cell>
          <cell r="C254">
            <v>2428.75</v>
          </cell>
          <cell r="D254">
            <v>3902.19</v>
          </cell>
          <cell r="E254">
            <v>5212.3099999999995</v>
          </cell>
          <cell r="F254">
            <v>6560.2</v>
          </cell>
          <cell r="G254">
            <v>8110.36</v>
          </cell>
          <cell r="H254">
            <v>9955.8799999999992</v>
          </cell>
          <cell r="I254">
            <v>12012.199999999999</v>
          </cell>
          <cell r="J254">
            <v>14162.599999999999</v>
          </cell>
          <cell r="K254">
            <v>15950.119999999999</v>
          </cell>
          <cell r="L254">
            <v>17657</v>
          </cell>
          <cell r="M254">
            <v>18974.12</v>
          </cell>
          <cell r="N254">
            <v>20775.079999999998</v>
          </cell>
          <cell r="O254">
            <v>22522.28</v>
          </cell>
          <cell r="P254">
            <v>25116.199999999997</v>
          </cell>
          <cell r="Q254">
            <v>27011.239999999998</v>
          </cell>
          <cell r="R254">
            <v>28879.399999999998</v>
          </cell>
          <cell r="S254">
            <v>30747.559999999998</v>
          </cell>
          <cell r="T254">
            <v>32373.8</v>
          </cell>
          <cell r="U254">
            <v>34174.76</v>
          </cell>
          <cell r="V254">
            <v>36110.120000000003</v>
          </cell>
          <cell r="W254">
            <v>37763.240000000005</v>
          </cell>
          <cell r="X254">
            <v>39564.200000000004</v>
          </cell>
          <cell r="Y254">
            <v>41378.600000000006</v>
          </cell>
          <cell r="Z254">
            <v>43340.840000000004</v>
          </cell>
          <cell r="AA254">
            <v>45061.16</v>
          </cell>
          <cell r="AB254">
            <v>47023.4</v>
          </cell>
          <cell r="AC254">
            <v>48864.68</v>
          </cell>
          <cell r="AD254">
            <v>51136.04</v>
          </cell>
          <cell r="AE254">
            <v>53662.76</v>
          </cell>
          <cell r="AF254">
            <v>55611.560000000005</v>
          </cell>
          <cell r="AG254">
            <v>57681.320000000007</v>
          </cell>
          <cell r="AH254">
            <v>59388.200000000004</v>
          </cell>
          <cell r="AI254">
            <v>61135.4</v>
          </cell>
          <cell r="AJ254">
            <v>62667.560000000005</v>
          </cell>
          <cell r="AK254">
            <v>64202.710000000006</v>
          </cell>
          <cell r="AL254">
            <v>65219.130000000005</v>
          </cell>
          <cell r="AM254">
            <v>65716.3</v>
          </cell>
          <cell r="AN254">
            <v>66083.34</v>
          </cell>
          <cell r="AO254">
            <v>66310.89</v>
          </cell>
          <cell r="AP254">
            <v>66514.78</v>
          </cell>
          <cell r="AQ254">
            <v>66658.48</v>
          </cell>
          <cell r="AR254">
            <v>66699.59</v>
          </cell>
          <cell r="AS254">
            <v>66843.489999999991</v>
          </cell>
          <cell r="AT254">
            <v>66914.26999999999</v>
          </cell>
          <cell r="AU254">
            <v>67013.659999999989</v>
          </cell>
          <cell r="AV254">
            <v>67120.079999999987</v>
          </cell>
          <cell r="AW254">
            <v>67276.469999999987</v>
          </cell>
          <cell r="AX254">
            <v>67305.659999999989</v>
          </cell>
          <cell r="AY254">
            <v>67345.549999999988</v>
          </cell>
          <cell r="AZ254">
            <v>67448.069999999992</v>
          </cell>
          <cell r="BA254">
            <v>67550.37999999999</v>
          </cell>
          <cell r="BB254">
            <v>67611.959999999992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194622.22</v>
          </cell>
          <cell r="C263">
            <v>247977.37</v>
          </cell>
          <cell r="D263">
            <v>226870.38</v>
          </cell>
          <cell r="E263">
            <v>214503.78999999998</v>
          </cell>
          <cell r="F263">
            <v>214982.38</v>
          </cell>
          <cell r="G263">
            <v>261507.25</v>
          </cell>
          <cell r="H263">
            <v>300172.62</v>
          </cell>
          <cell r="I263">
            <v>292306.05000000005</v>
          </cell>
          <cell r="J263">
            <v>315919.55000000005</v>
          </cell>
          <cell r="K263">
            <v>302693.48</v>
          </cell>
          <cell r="L263">
            <v>333610.44</v>
          </cell>
          <cell r="M263">
            <v>335696.86</v>
          </cell>
          <cell r="N263">
            <v>281545.33</v>
          </cell>
          <cell r="O263">
            <v>346951.48</v>
          </cell>
          <cell r="P263">
            <v>364065.48</v>
          </cell>
          <cell r="Q263">
            <v>355799.07999999996</v>
          </cell>
          <cell r="R263">
            <v>344539.28</v>
          </cell>
          <cell r="S263">
            <v>419400.73</v>
          </cell>
          <cell r="T263">
            <v>660159.9</v>
          </cell>
          <cell r="U263">
            <v>403306.14</v>
          </cell>
          <cell r="V263">
            <v>373704.12</v>
          </cell>
          <cell r="W263">
            <v>377734.43</v>
          </cell>
          <cell r="X263">
            <v>381081.81999999995</v>
          </cell>
          <cell r="Y263">
            <v>339115.49</v>
          </cell>
          <cell r="Z263">
            <v>393340.91000000003</v>
          </cell>
          <cell r="AA263">
            <v>427789.09</v>
          </cell>
          <cell r="AB263">
            <v>393817</v>
          </cell>
          <cell r="AC263">
            <v>357408.18</v>
          </cell>
          <cell r="AD263">
            <v>382247.07999999996</v>
          </cell>
          <cell r="AE263">
            <v>381889.24</v>
          </cell>
          <cell r="AF263">
            <v>408038.29000000004</v>
          </cell>
          <cell r="AG263">
            <v>416690.57</v>
          </cell>
          <cell r="AH263">
            <v>405342.93000000005</v>
          </cell>
          <cell r="AI263">
            <v>403462.61</v>
          </cell>
          <cell r="AJ263">
            <v>461550.28</v>
          </cell>
          <cell r="AK263">
            <v>715945.7</v>
          </cell>
          <cell r="AL263">
            <v>434370.53</v>
          </cell>
          <cell r="AM263">
            <v>434466.29000000004</v>
          </cell>
          <cell r="AN263">
            <v>452981.32999999996</v>
          </cell>
          <cell r="AO263">
            <v>415953.30999999994</v>
          </cell>
          <cell r="AP263">
            <v>350380.37</v>
          </cell>
          <cell r="AQ263">
            <v>376667.95</v>
          </cell>
          <cell r="AR263">
            <v>360543.87</v>
          </cell>
          <cell r="AS263">
            <v>354864.54</v>
          </cell>
          <cell r="AT263">
            <v>381220.81</v>
          </cell>
          <cell r="AU263">
            <v>467841.92000000004</v>
          </cell>
          <cell r="AV263">
            <v>574638.77</v>
          </cell>
          <cell r="AW263">
            <v>734471.92999999993</v>
          </cell>
          <cell r="AX263">
            <v>1271334.92</v>
          </cell>
          <cell r="AY263">
            <v>2394812.96</v>
          </cell>
          <cell r="AZ263">
            <v>4533997.97</v>
          </cell>
          <cell r="BA263">
            <v>4413409.1100000003</v>
          </cell>
          <cell r="BB263">
            <v>454369.57</v>
          </cell>
        </row>
        <row r="264">
          <cell r="A264" t="str">
            <v>ptd</v>
          </cell>
          <cell r="B264">
            <v>194622.22</v>
          </cell>
          <cell r="C264">
            <v>442599.59</v>
          </cell>
          <cell r="D264">
            <v>669469.97</v>
          </cell>
          <cell r="E264">
            <v>883973.76</v>
          </cell>
          <cell r="F264">
            <v>214982.38</v>
          </cell>
          <cell r="G264">
            <v>476489.63</v>
          </cell>
          <cell r="H264">
            <v>776662.25</v>
          </cell>
          <cell r="I264">
            <v>1068968.2999999998</v>
          </cell>
          <cell r="J264">
            <v>315919.55000000005</v>
          </cell>
          <cell r="K264">
            <v>618613.03</v>
          </cell>
          <cell r="L264">
            <v>952223.47</v>
          </cell>
          <cell r="M264">
            <v>1287920.33</v>
          </cell>
          <cell r="N264">
            <v>281545.33</v>
          </cell>
          <cell r="O264">
            <v>628496.81000000006</v>
          </cell>
          <cell r="P264">
            <v>992562.29</v>
          </cell>
          <cell r="Q264">
            <v>1348361.37</v>
          </cell>
          <cell r="R264">
            <v>344539.28</v>
          </cell>
          <cell r="S264">
            <v>763940.01</v>
          </cell>
          <cell r="T264">
            <v>1424099.9100000001</v>
          </cell>
          <cell r="U264">
            <v>1827406.05</v>
          </cell>
          <cell r="V264">
            <v>373704.12</v>
          </cell>
          <cell r="W264">
            <v>751438.55</v>
          </cell>
          <cell r="X264">
            <v>1132520.3699999999</v>
          </cell>
          <cell r="Y264">
            <v>1471635.8599999999</v>
          </cell>
          <cell r="Z264">
            <v>393340.91000000003</v>
          </cell>
          <cell r="AA264">
            <v>821130</v>
          </cell>
          <cell r="AB264">
            <v>1214947</v>
          </cell>
          <cell r="AC264">
            <v>1572355.18</v>
          </cell>
          <cell r="AD264">
            <v>382247.07999999996</v>
          </cell>
          <cell r="AE264">
            <v>764136.32000000007</v>
          </cell>
          <cell r="AF264">
            <v>1172174.6100000001</v>
          </cell>
          <cell r="AG264">
            <v>1588865.1800000002</v>
          </cell>
          <cell r="AH264">
            <v>405342.93000000005</v>
          </cell>
          <cell r="AI264">
            <v>808805.54</v>
          </cell>
          <cell r="AJ264">
            <v>1270355.8199999998</v>
          </cell>
          <cell r="AK264">
            <v>1986301.5199999996</v>
          </cell>
          <cell r="AL264">
            <v>434370.53</v>
          </cell>
          <cell r="AM264">
            <v>868836.82000000007</v>
          </cell>
          <cell r="AN264">
            <v>1321818.1499999999</v>
          </cell>
          <cell r="AO264">
            <v>1737771.46</v>
          </cell>
          <cell r="AP264">
            <v>350380.37</v>
          </cell>
          <cell r="AQ264">
            <v>727048.32000000007</v>
          </cell>
          <cell r="AR264">
            <v>1087592.19</v>
          </cell>
          <cell r="AS264">
            <v>1442456.73</v>
          </cell>
          <cell r="AT264">
            <v>381220.81</v>
          </cell>
          <cell r="AU264">
            <v>849062.73</v>
          </cell>
          <cell r="AV264">
            <v>1423701.5</v>
          </cell>
          <cell r="AW264">
            <v>2158173.4300000002</v>
          </cell>
          <cell r="AX264">
            <v>1271334.92</v>
          </cell>
          <cell r="AY264">
            <v>3666147.88</v>
          </cell>
          <cell r="AZ264">
            <v>8200145.8499999996</v>
          </cell>
          <cell r="BA264">
            <v>12613554.960000001</v>
          </cell>
          <cell r="BB264">
            <v>13067924.530000001</v>
          </cell>
        </row>
        <row r="265">
          <cell r="A265" t="str">
            <v>qtd</v>
          </cell>
          <cell r="B265">
            <v>194622.22</v>
          </cell>
          <cell r="C265">
            <v>442599.59</v>
          </cell>
          <cell r="D265">
            <v>669469.97</v>
          </cell>
          <cell r="E265">
            <v>883973.76</v>
          </cell>
          <cell r="F265">
            <v>1098956.1400000001</v>
          </cell>
          <cell r="G265">
            <v>1360463.3900000001</v>
          </cell>
          <cell r="H265">
            <v>1660636.0100000002</v>
          </cell>
          <cell r="I265">
            <v>1952942.06</v>
          </cell>
          <cell r="J265">
            <v>2268861.6100000003</v>
          </cell>
          <cell r="K265">
            <v>2571555.0900000003</v>
          </cell>
          <cell r="L265">
            <v>2905165.5300000003</v>
          </cell>
          <cell r="M265">
            <v>3240862.3900000006</v>
          </cell>
          <cell r="N265">
            <v>281545.33</v>
          </cell>
          <cell r="O265">
            <v>628496.81000000006</v>
          </cell>
          <cell r="P265">
            <v>992562.29</v>
          </cell>
          <cell r="Q265">
            <v>1348361.37</v>
          </cell>
          <cell r="R265">
            <v>1692900.6500000001</v>
          </cell>
          <cell r="S265">
            <v>2112301.38</v>
          </cell>
          <cell r="T265">
            <v>2772461.2800000003</v>
          </cell>
          <cell r="U265">
            <v>3175767.42</v>
          </cell>
          <cell r="V265">
            <v>3549471.54</v>
          </cell>
          <cell r="W265">
            <v>3927205.97</v>
          </cell>
          <cell r="X265">
            <v>4308287.79</v>
          </cell>
          <cell r="Y265">
            <v>4647403.28</v>
          </cell>
          <cell r="Z265">
            <v>393340.91000000003</v>
          </cell>
          <cell r="AA265">
            <v>821130</v>
          </cell>
          <cell r="AB265">
            <v>1214947</v>
          </cell>
          <cell r="AC265">
            <v>1572355.18</v>
          </cell>
          <cell r="AD265">
            <v>1954602.2599999998</v>
          </cell>
          <cell r="AE265">
            <v>2336491.5</v>
          </cell>
          <cell r="AF265">
            <v>2744529.79</v>
          </cell>
          <cell r="AG265">
            <v>3161220.36</v>
          </cell>
          <cell r="AH265">
            <v>3566563.29</v>
          </cell>
          <cell r="AI265">
            <v>3970025.9</v>
          </cell>
          <cell r="AJ265">
            <v>4431576.18</v>
          </cell>
          <cell r="AK265">
            <v>5147521.88</v>
          </cell>
          <cell r="AL265">
            <v>434370.53</v>
          </cell>
          <cell r="AM265">
            <v>868836.82000000007</v>
          </cell>
          <cell r="AN265">
            <v>1321818.1499999999</v>
          </cell>
          <cell r="AO265">
            <v>1737771.46</v>
          </cell>
          <cell r="AP265">
            <v>2088151.83</v>
          </cell>
          <cell r="AQ265">
            <v>2464819.7799999998</v>
          </cell>
          <cell r="AR265">
            <v>2825363.65</v>
          </cell>
          <cell r="AS265">
            <v>3180228.19</v>
          </cell>
          <cell r="AT265">
            <v>3561449</v>
          </cell>
          <cell r="AU265">
            <v>4029290.92</v>
          </cell>
          <cell r="AV265">
            <v>4603929.6899999995</v>
          </cell>
          <cell r="AW265">
            <v>5338401.6199999992</v>
          </cell>
          <cell r="AX265">
            <v>6609736.54</v>
          </cell>
          <cell r="AY265">
            <v>9004549.5</v>
          </cell>
          <cell r="AZ265">
            <v>13538547.470000001</v>
          </cell>
          <cell r="BA265">
            <v>17951956.580000002</v>
          </cell>
          <cell r="BB265">
            <v>18406326.149999999</v>
          </cell>
        </row>
        <row r="266">
          <cell r="A266" t="str">
            <v>ytd</v>
          </cell>
          <cell r="B266">
            <v>194622.22</v>
          </cell>
          <cell r="C266">
            <v>442599.59</v>
          </cell>
          <cell r="D266">
            <v>669469.97</v>
          </cell>
          <cell r="E266">
            <v>883973.76</v>
          </cell>
          <cell r="F266">
            <v>1098956.1400000001</v>
          </cell>
          <cell r="G266">
            <v>1360463.3900000001</v>
          </cell>
          <cell r="H266">
            <v>1660636.0100000002</v>
          </cell>
          <cell r="I266">
            <v>1952942.06</v>
          </cell>
          <cell r="J266">
            <v>2268861.6100000003</v>
          </cell>
          <cell r="K266">
            <v>2571555.0900000003</v>
          </cell>
          <cell r="L266">
            <v>2905165.5300000003</v>
          </cell>
          <cell r="M266">
            <v>3240862.3900000006</v>
          </cell>
          <cell r="N266">
            <v>3522407.7200000007</v>
          </cell>
          <cell r="O266">
            <v>3869359.2</v>
          </cell>
          <cell r="P266">
            <v>4233424.6800000006</v>
          </cell>
          <cell r="Q266">
            <v>4589223.7600000007</v>
          </cell>
          <cell r="R266">
            <v>4933763.040000001</v>
          </cell>
          <cell r="S266">
            <v>5353163.7700000005</v>
          </cell>
          <cell r="T266">
            <v>6013323.6699999999</v>
          </cell>
          <cell r="U266">
            <v>6416629.8100000005</v>
          </cell>
          <cell r="V266">
            <v>6790333.9300000016</v>
          </cell>
          <cell r="W266">
            <v>7168068.3600000013</v>
          </cell>
          <cell r="X266">
            <v>7549150.1800000016</v>
          </cell>
          <cell r="Y266">
            <v>7888265.6700000018</v>
          </cell>
          <cell r="Z266">
            <v>8281606.5800000019</v>
          </cell>
          <cell r="AA266">
            <v>8709395.6700000018</v>
          </cell>
          <cell r="AB266">
            <v>9103212.6700000018</v>
          </cell>
          <cell r="AC266">
            <v>9460620.8500000015</v>
          </cell>
          <cell r="AD266">
            <v>9842867.9300000016</v>
          </cell>
          <cell r="AE266">
            <v>10224757.170000002</v>
          </cell>
          <cell r="AF266">
            <v>10632795.460000001</v>
          </cell>
          <cell r="AG266">
            <v>11049486.030000001</v>
          </cell>
          <cell r="AH266">
            <v>11454828.960000001</v>
          </cell>
          <cell r="AI266">
            <v>11858291.57</v>
          </cell>
          <cell r="AJ266">
            <v>12319841.85</v>
          </cell>
          <cell r="AK266">
            <v>13035787.550000001</v>
          </cell>
          <cell r="AL266">
            <v>13470158.080000002</v>
          </cell>
          <cell r="AM266">
            <v>13904624.370000001</v>
          </cell>
          <cell r="AN266">
            <v>14357605.700000001</v>
          </cell>
          <cell r="AO266">
            <v>14773559.010000002</v>
          </cell>
          <cell r="AP266">
            <v>15123939.380000003</v>
          </cell>
          <cell r="AQ266">
            <v>15500607.330000002</v>
          </cell>
          <cell r="AR266">
            <v>15861151.200000003</v>
          </cell>
          <cell r="AS266">
            <v>16216015.740000002</v>
          </cell>
          <cell r="AT266">
            <v>16597236.550000001</v>
          </cell>
          <cell r="AU266">
            <v>17065078.470000003</v>
          </cell>
          <cell r="AV266">
            <v>17639717.240000002</v>
          </cell>
          <cell r="AW266">
            <v>18374189.170000002</v>
          </cell>
          <cell r="AX266">
            <v>19645524.090000004</v>
          </cell>
          <cell r="AY266">
            <v>22040337.050000004</v>
          </cell>
          <cell r="AZ266">
            <v>26574335.020000003</v>
          </cell>
          <cell r="BA266">
            <v>30987744.130000003</v>
          </cell>
          <cell r="BB266">
            <v>31442113.700000003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K273">
            <v>444.39</v>
          </cell>
          <cell r="L273">
            <v>604.62</v>
          </cell>
          <cell r="N273">
            <v>517.27</v>
          </cell>
          <cell r="O273">
            <v>444.39</v>
          </cell>
          <cell r="P273">
            <v>575.54</v>
          </cell>
          <cell r="Q273">
            <v>735.85</v>
          </cell>
          <cell r="R273">
            <v>852.37</v>
          </cell>
          <cell r="S273">
            <v>4152.5600000000004</v>
          </cell>
          <cell r="T273">
            <v>7969.93</v>
          </cell>
          <cell r="U273">
            <v>8086.46</v>
          </cell>
          <cell r="V273">
            <v>19545.95</v>
          </cell>
          <cell r="W273">
            <v>9062.64</v>
          </cell>
          <cell r="X273">
            <v>9492.5</v>
          </cell>
          <cell r="Y273">
            <v>9462.49</v>
          </cell>
          <cell r="Z273">
            <v>6736.78</v>
          </cell>
          <cell r="AA273">
            <v>10089.540000000001</v>
          </cell>
          <cell r="AB273">
            <v>13607.35</v>
          </cell>
          <cell r="AC273">
            <v>10519.11</v>
          </cell>
          <cell r="AD273">
            <v>9295.57</v>
          </cell>
          <cell r="AE273">
            <v>9222.93</v>
          </cell>
          <cell r="AF273">
            <v>9295.3799999999992</v>
          </cell>
          <cell r="AG273">
            <v>8267.84</v>
          </cell>
          <cell r="AH273">
            <v>9943.7199999999993</v>
          </cell>
          <cell r="AI273">
            <v>10650.41</v>
          </cell>
          <cell r="AJ273">
            <v>10891.14</v>
          </cell>
          <cell r="AK273">
            <v>7941.87</v>
          </cell>
          <cell r="AL273">
            <v>7030.8</v>
          </cell>
          <cell r="AM273">
            <v>7591.01</v>
          </cell>
          <cell r="AN273">
            <v>7458.61</v>
          </cell>
          <cell r="AO273">
            <v>7765.66</v>
          </cell>
          <cell r="AP273">
            <v>8444.25</v>
          </cell>
          <cell r="AQ273">
            <v>7834.13</v>
          </cell>
          <cell r="AR273">
            <v>7858.87</v>
          </cell>
          <cell r="AS273">
            <v>9753.0300000000007</v>
          </cell>
          <cell r="AT273">
            <v>10655.98</v>
          </cell>
          <cell r="AU273">
            <v>11514.1</v>
          </cell>
          <cell r="AV273">
            <v>14607.9</v>
          </cell>
          <cell r="AW273">
            <v>21850.39</v>
          </cell>
          <cell r="AX273">
            <v>38690.089999999997</v>
          </cell>
          <cell r="AY273">
            <v>64644.7</v>
          </cell>
          <cell r="AZ273">
            <v>127891.18</v>
          </cell>
          <cell r="BA273">
            <v>240821.13</v>
          </cell>
          <cell r="BB273">
            <v>64209</v>
          </cell>
        </row>
        <row r="274">
          <cell r="A274" t="str">
            <v>ptd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444.39</v>
          </cell>
          <cell r="L274">
            <v>1049.01</v>
          </cell>
          <cell r="M274">
            <v>1049.01</v>
          </cell>
          <cell r="N274">
            <v>517.27</v>
          </cell>
          <cell r="O274">
            <v>961.66</v>
          </cell>
          <cell r="P274">
            <v>1537.1999999999998</v>
          </cell>
          <cell r="Q274">
            <v>2273.0499999999997</v>
          </cell>
          <cell r="R274">
            <v>852.37</v>
          </cell>
          <cell r="S274">
            <v>5004.93</v>
          </cell>
          <cell r="T274">
            <v>12974.86</v>
          </cell>
          <cell r="U274">
            <v>21061.32</v>
          </cell>
          <cell r="V274">
            <v>19545.95</v>
          </cell>
          <cell r="W274">
            <v>28608.59</v>
          </cell>
          <cell r="X274">
            <v>38101.089999999997</v>
          </cell>
          <cell r="Y274">
            <v>47563.579999999994</v>
          </cell>
          <cell r="Z274">
            <v>6736.78</v>
          </cell>
          <cell r="AA274">
            <v>16826.32</v>
          </cell>
          <cell r="AB274">
            <v>30433.67</v>
          </cell>
          <cell r="AC274">
            <v>40952.78</v>
          </cell>
          <cell r="AD274">
            <v>9295.57</v>
          </cell>
          <cell r="AE274">
            <v>18518.5</v>
          </cell>
          <cell r="AF274">
            <v>27813.879999999997</v>
          </cell>
          <cell r="AG274">
            <v>36081.72</v>
          </cell>
          <cell r="AH274">
            <v>9943.7199999999993</v>
          </cell>
          <cell r="AI274">
            <v>20594.129999999997</v>
          </cell>
          <cell r="AJ274">
            <v>31485.269999999997</v>
          </cell>
          <cell r="AK274">
            <v>39427.14</v>
          </cell>
          <cell r="AL274">
            <v>7030.8</v>
          </cell>
          <cell r="AM274">
            <v>14621.810000000001</v>
          </cell>
          <cell r="AN274">
            <v>22080.420000000002</v>
          </cell>
          <cell r="AO274">
            <v>29846.080000000002</v>
          </cell>
          <cell r="AP274">
            <v>8444.25</v>
          </cell>
          <cell r="AQ274">
            <v>16278.380000000001</v>
          </cell>
          <cell r="AR274">
            <v>24137.25</v>
          </cell>
          <cell r="AS274">
            <v>33890.28</v>
          </cell>
          <cell r="AT274">
            <v>10655.98</v>
          </cell>
          <cell r="AU274">
            <v>22170.080000000002</v>
          </cell>
          <cell r="AV274">
            <v>36777.980000000003</v>
          </cell>
          <cell r="AW274">
            <v>58628.37</v>
          </cell>
          <cell r="AX274">
            <v>38690.089999999997</v>
          </cell>
          <cell r="AY274">
            <v>103334.79</v>
          </cell>
          <cell r="AZ274">
            <v>231225.96999999997</v>
          </cell>
          <cell r="BA274">
            <v>472047.1</v>
          </cell>
          <cell r="BB274">
            <v>536256.1</v>
          </cell>
        </row>
        <row r="275">
          <cell r="A275" t="str">
            <v>qtd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444.39</v>
          </cell>
          <cell r="L275">
            <v>1049.01</v>
          </cell>
          <cell r="M275">
            <v>1049.01</v>
          </cell>
          <cell r="N275">
            <v>517.27</v>
          </cell>
          <cell r="O275">
            <v>961.66</v>
          </cell>
          <cell r="P275">
            <v>1537.1999999999998</v>
          </cell>
          <cell r="Q275">
            <v>2273.0499999999997</v>
          </cell>
          <cell r="R275">
            <v>3125.4199999999996</v>
          </cell>
          <cell r="S275">
            <v>7277.98</v>
          </cell>
          <cell r="T275">
            <v>15247.91</v>
          </cell>
          <cell r="U275">
            <v>23334.37</v>
          </cell>
          <cell r="V275">
            <v>42880.32</v>
          </cell>
          <cell r="W275">
            <v>51942.96</v>
          </cell>
          <cell r="X275">
            <v>61435.46</v>
          </cell>
          <cell r="Y275">
            <v>70897.95</v>
          </cell>
          <cell r="Z275">
            <v>6736.78</v>
          </cell>
          <cell r="AA275">
            <v>16826.32</v>
          </cell>
          <cell r="AB275">
            <v>30433.67</v>
          </cell>
          <cell r="AC275">
            <v>40952.78</v>
          </cell>
          <cell r="AD275">
            <v>50248.35</v>
          </cell>
          <cell r="AE275">
            <v>59471.28</v>
          </cell>
          <cell r="AF275">
            <v>68766.66</v>
          </cell>
          <cell r="AG275">
            <v>77034.5</v>
          </cell>
          <cell r="AH275">
            <v>86978.22</v>
          </cell>
          <cell r="AI275">
            <v>97628.63</v>
          </cell>
          <cell r="AJ275">
            <v>108519.77</v>
          </cell>
          <cell r="AK275">
            <v>116461.64</v>
          </cell>
          <cell r="AL275">
            <v>7030.8</v>
          </cell>
          <cell r="AM275">
            <v>14621.810000000001</v>
          </cell>
          <cell r="AN275">
            <v>22080.420000000002</v>
          </cell>
          <cell r="AO275">
            <v>29846.080000000002</v>
          </cell>
          <cell r="AP275">
            <v>38290.33</v>
          </cell>
          <cell r="AQ275">
            <v>46124.46</v>
          </cell>
          <cell r="AR275">
            <v>53983.33</v>
          </cell>
          <cell r="AS275">
            <v>63736.36</v>
          </cell>
          <cell r="AT275">
            <v>74392.34</v>
          </cell>
          <cell r="AU275">
            <v>85906.44</v>
          </cell>
          <cell r="AV275">
            <v>100514.34</v>
          </cell>
          <cell r="AW275">
            <v>122364.73</v>
          </cell>
          <cell r="AX275">
            <v>161054.82</v>
          </cell>
          <cell r="AY275">
            <v>225699.52000000002</v>
          </cell>
          <cell r="AZ275">
            <v>353590.7</v>
          </cell>
          <cell r="BA275">
            <v>594411.83000000007</v>
          </cell>
          <cell r="BB275">
            <v>658620.83000000007</v>
          </cell>
        </row>
        <row r="276">
          <cell r="A276" t="str">
            <v>ytd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444.39</v>
          </cell>
          <cell r="L276">
            <v>1049.01</v>
          </cell>
          <cell r="M276">
            <v>1049.01</v>
          </cell>
          <cell r="N276">
            <v>1566.28</v>
          </cell>
          <cell r="O276">
            <v>2010.67</v>
          </cell>
          <cell r="P276">
            <v>2586.21</v>
          </cell>
          <cell r="Q276">
            <v>3322.06</v>
          </cell>
          <cell r="R276">
            <v>4174.43</v>
          </cell>
          <cell r="S276">
            <v>8326.9900000000016</v>
          </cell>
          <cell r="T276">
            <v>16296.920000000002</v>
          </cell>
          <cell r="U276">
            <v>24383.38</v>
          </cell>
          <cell r="V276">
            <v>43929.33</v>
          </cell>
          <cell r="W276">
            <v>52991.97</v>
          </cell>
          <cell r="X276">
            <v>62484.47</v>
          </cell>
          <cell r="Y276">
            <v>71946.960000000006</v>
          </cell>
          <cell r="Z276">
            <v>78683.740000000005</v>
          </cell>
          <cell r="AA276">
            <v>88773.28</v>
          </cell>
          <cell r="AB276">
            <v>102380.63</v>
          </cell>
          <cell r="AC276">
            <v>112899.74</v>
          </cell>
          <cell r="AD276">
            <v>122195.31</v>
          </cell>
          <cell r="AE276">
            <v>131418.23999999999</v>
          </cell>
          <cell r="AF276">
            <v>140713.62</v>
          </cell>
          <cell r="AG276">
            <v>148981.46</v>
          </cell>
          <cell r="AH276">
            <v>158925.18</v>
          </cell>
          <cell r="AI276">
            <v>169575.59</v>
          </cell>
          <cell r="AJ276">
            <v>180466.72999999998</v>
          </cell>
          <cell r="AK276">
            <v>188408.59999999998</v>
          </cell>
          <cell r="AL276">
            <v>195439.39999999997</v>
          </cell>
          <cell r="AM276">
            <v>203030.40999999997</v>
          </cell>
          <cell r="AN276">
            <v>210489.01999999996</v>
          </cell>
          <cell r="AO276">
            <v>218254.67999999996</v>
          </cell>
          <cell r="AP276">
            <v>226698.92999999996</v>
          </cell>
          <cell r="AQ276">
            <v>234533.05999999997</v>
          </cell>
          <cell r="AR276">
            <v>242391.92999999996</v>
          </cell>
          <cell r="AS276">
            <v>252144.95999999996</v>
          </cell>
          <cell r="AT276">
            <v>262800.93999999994</v>
          </cell>
          <cell r="AU276">
            <v>274315.03999999992</v>
          </cell>
          <cell r="AV276">
            <v>288922.93999999994</v>
          </cell>
          <cell r="AW276">
            <v>310773.32999999996</v>
          </cell>
          <cell r="AX276">
            <v>349463.41999999993</v>
          </cell>
          <cell r="AY276">
            <v>414108.11999999994</v>
          </cell>
          <cell r="AZ276">
            <v>541999.29999999993</v>
          </cell>
          <cell r="BA276">
            <v>782820.42999999993</v>
          </cell>
          <cell r="BB276">
            <v>847029.42999999993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UNKNOWN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444.39</v>
          </cell>
          <cell r="L301">
            <v>604.62</v>
          </cell>
          <cell r="M301">
            <v>0</v>
          </cell>
          <cell r="N301">
            <v>517.27</v>
          </cell>
          <cell r="O301">
            <v>444.39</v>
          </cell>
          <cell r="P301">
            <v>575.54</v>
          </cell>
          <cell r="Q301">
            <v>735.85</v>
          </cell>
          <cell r="R301">
            <v>852.37</v>
          </cell>
          <cell r="S301">
            <v>4152.5600000000004</v>
          </cell>
          <cell r="T301">
            <v>7969.93</v>
          </cell>
          <cell r="U301">
            <v>8086.46</v>
          </cell>
          <cell r="V301">
            <v>19545.95</v>
          </cell>
          <cell r="W301">
            <v>9062.64</v>
          </cell>
          <cell r="X301">
            <v>9492.5</v>
          </cell>
          <cell r="Y301">
            <v>9462.49</v>
          </cell>
          <cell r="Z301">
            <v>6736.78</v>
          </cell>
          <cell r="AA301">
            <v>10089.540000000001</v>
          </cell>
          <cell r="AB301">
            <v>13607.35</v>
          </cell>
          <cell r="AC301">
            <v>10519.11</v>
          </cell>
          <cell r="AD301">
            <v>9295.57</v>
          </cell>
          <cell r="AE301">
            <v>9222.93</v>
          </cell>
          <cell r="AF301">
            <v>9295.3799999999992</v>
          </cell>
          <cell r="AG301">
            <v>8267.84</v>
          </cell>
          <cell r="AH301">
            <v>9943.7199999999993</v>
          </cell>
          <cell r="AI301">
            <v>10650.41</v>
          </cell>
          <cell r="AJ301">
            <v>10891.14</v>
          </cell>
          <cell r="AK301">
            <v>7941.87</v>
          </cell>
          <cell r="AL301">
            <v>7030.8</v>
          </cell>
          <cell r="AM301">
            <v>7591.01</v>
          </cell>
          <cell r="AN301">
            <v>7458.61</v>
          </cell>
          <cell r="AO301">
            <v>7765.66</v>
          </cell>
          <cell r="AP301">
            <v>8444.25</v>
          </cell>
          <cell r="AQ301">
            <v>7834.13</v>
          </cell>
          <cell r="AR301">
            <v>7858.87</v>
          </cell>
          <cell r="AS301">
            <v>9753.0300000000007</v>
          </cell>
          <cell r="AT301">
            <v>10655.98</v>
          </cell>
          <cell r="AU301">
            <v>11514.1</v>
          </cell>
          <cell r="AV301">
            <v>14607.9</v>
          </cell>
          <cell r="AW301">
            <v>21850.39</v>
          </cell>
          <cell r="AX301">
            <v>38690.089999999997</v>
          </cell>
          <cell r="AY301">
            <v>64644.7</v>
          </cell>
          <cell r="AZ301">
            <v>127891.18</v>
          </cell>
          <cell r="BA301">
            <v>240821.13</v>
          </cell>
          <cell r="BB301">
            <v>64209</v>
          </cell>
        </row>
        <row r="302">
          <cell r="A302" t="str">
            <v>ptd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444.39</v>
          </cell>
          <cell r="L302">
            <v>1049.01</v>
          </cell>
          <cell r="M302">
            <v>1049.01</v>
          </cell>
          <cell r="N302">
            <v>517.27</v>
          </cell>
          <cell r="O302">
            <v>961.66</v>
          </cell>
          <cell r="P302">
            <v>1537.1999999999998</v>
          </cell>
          <cell r="Q302">
            <v>2273.0499999999997</v>
          </cell>
          <cell r="R302">
            <v>852.37</v>
          </cell>
          <cell r="S302">
            <v>5004.93</v>
          </cell>
          <cell r="T302">
            <v>12974.86</v>
          </cell>
          <cell r="U302">
            <v>21061.32</v>
          </cell>
          <cell r="V302">
            <v>19545.95</v>
          </cell>
          <cell r="W302">
            <v>28608.59</v>
          </cell>
          <cell r="X302">
            <v>38101.089999999997</v>
          </cell>
          <cell r="Y302">
            <v>47563.579999999994</v>
          </cell>
          <cell r="Z302">
            <v>6736.78</v>
          </cell>
          <cell r="AA302">
            <v>16826.32</v>
          </cell>
          <cell r="AB302">
            <v>30433.67</v>
          </cell>
          <cell r="AC302">
            <v>40952.78</v>
          </cell>
          <cell r="AD302">
            <v>9295.57</v>
          </cell>
          <cell r="AE302">
            <v>18518.5</v>
          </cell>
          <cell r="AF302">
            <v>27813.879999999997</v>
          </cell>
          <cell r="AG302">
            <v>36081.72</v>
          </cell>
          <cell r="AH302">
            <v>9943.7199999999993</v>
          </cell>
          <cell r="AI302">
            <v>20594.129999999997</v>
          </cell>
          <cell r="AJ302">
            <v>31485.269999999997</v>
          </cell>
          <cell r="AK302">
            <v>39427.14</v>
          </cell>
          <cell r="AL302">
            <v>7030.8</v>
          </cell>
          <cell r="AM302">
            <v>14621.810000000001</v>
          </cell>
          <cell r="AN302">
            <v>22080.420000000002</v>
          </cell>
          <cell r="AO302">
            <v>29846.080000000002</v>
          </cell>
          <cell r="AP302">
            <v>8444.25</v>
          </cell>
          <cell r="AQ302">
            <v>16278.380000000001</v>
          </cell>
          <cell r="AR302">
            <v>24137.25</v>
          </cell>
          <cell r="AS302">
            <v>33890.28</v>
          </cell>
          <cell r="AT302">
            <v>10655.98</v>
          </cell>
          <cell r="AU302">
            <v>22170.080000000002</v>
          </cell>
          <cell r="AV302">
            <v>36777.980000000003</v>
          </cell>
          <cell r="AW302">
            <v>58628.37</v>
          </cell>
          <cell r="AX302">
            <v>38690.089999999997</v>
          </cell>
          <cell r="AY302">
            <v>103334.79</v>
          </cell>
          <cell r="AZ302">
            <v>231225.96999999997</v>
          </cell>
          <cell r="BA302">
            <v>472047.1</v>
          </cell>
          <cell r="BB302">
            <v>536256.1</v>
          </cell>
        </row>
        <row r="303">
          <cell r="A303" t="str">
            <v>qtd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444.39</v>
          </cell>
          <cell r="L303">
            <v>1049.01</v>
          </cell>
          <cell r="M303">
            <v>1049.01</v>
          </cell>
          <cell r="N303">
            <v>517.27</v>
          </cell>
          <cell r="O303">
            <v>961.66</v>
          </cell>
          <cell r="P303">
            <v>1537.1999999999998</v>
          </cell>
          <cell r="Q303">
            <v>2273.0499999999997</v>
          </cell>
          <cell r="R303">
            <v>3125.4199999999996</v>
          </cell>
          <cell r="S303">
            <v>7277.98</v>
          </cell>
          <cell r="T303">
            <v>15247.91</v>
          </cell>
          <cell r="U303">
            <v>23334.37</v>
          </cell>
          <cell r="V303">
            <v>42880.32</v>
          </cell>
          <cell r="W303">
            <v>51942.96</v>
          </cell>
          <cell r="X303">
            <v>61435.46</v>
          </cell>
          <cell r="Y303">
            <v>70897.95</v>
          </cell>
          <cell r="Z303">
            <v>6736.78</v>
          </cell>
          <cell r="AA303">
            <v>16826.32</v>
          </cell>
          <cell r="AB303">
            <v>30433.67</v>
          </cell>
          <cell r="AC303">
            <v>40952.78</v>
          </cell>
          <cell r="AD303">
            <v>50248.35</v>
          </cell>
          <cell r="AE303">
            <v>59471.28</v>
          </cell>
          <cell r="AF303">
            <v>68766.66</v>
          </cell>
          <cell r="AG303">
            <v>77034.5</v>
          </cell>
          <cell r="AH303">
            <v>86978.22</v>
          </cell>
          <cell r="AI303">
            <v>97628.63</v>
          </cell>
          <cell r="AJ303">
            <v>108519.77</v>
          </cell>
          <cell r="AK303">
            <v>116461.64</v>
          </cell>
          <cell r="AL303">
            <v>7030.8</v>
          </cell>
          <cell r="AM303">
            <v>14621.810000000001</v>
          </cell>
          <cell r="AN303">
            <v>22080.420000000002</v>
          </cell>
          <cell r="AO303">
            <v>29846.080000000002</v>
          </cell>
          <cell r="AP303">
            <v>38290.33</v>
          </cell>
          <cell r="AQ303">
            <v>46124.46</v>
          </cell>
          <cell r="AR303">
            <v>53983.33</v>
          </cell>
          <cell r="AS303">
            <v>63736.36</v>
          </cell>
          <cell r="AT303">
            <v>74392.34</v>
          </cell>
          <cell r="AU303">
            <v>85906.44</v>
          </cell>
          <cell r="AV303">
            <v>100514.34</v>
          </cell>
          <cell r="AW303">
            <v>122364.73</v>
          </cell>
          <cell r="AX303">
            <v>161054.82</v>
          </cell>
          <cell r="AY303">
            <v>225699.52000000002</v>
          </cell>
          <cell r="AZ303">
            <v>353590.7</v>
          </cell>
          <cell r="BA303">
            <v>594411.83000000007</v>
          </cell>
          <cell r="BB303">
            <v>658620.83000000007</v>
          </cell>
        </row>
        <row r="304">
          <cell r="A304" t="str">
            <v>ytd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444.39</v>
          </cell>
          <cell r="L304">
            <v>1049.01</v>
          </cell>
          <cell r="M304">
            <v>1049.01</v>
          </cell>
          <cell r="N304">
            <v>1566.28</v>
          </cell>
          <cell r="O304">
            <v>2010.67</v>
          </cell>
          <cell r="P304">
            <v>2586.21</v>
          </cell>
          <cell r="Q304">
            <v>3322.06</v>
          </cell>
          <cell r="R304">
            <v>4174.43</v>
          </cell>
          <cell r="S304">
            <v>8326.9900000000016</v>
          </cell>
          <cell r="T304">
            <v>16296.920000000002</v>
          </cell>
          <cell r="U304">
            <v>24383.38</v>
          </cell>
          <cell r="V304">
            <v>43929.33</v>
          </cell>
          <cell r="W304">
            <v>52991.97</v>
          </cell>
          <cell r="X304">
            <v>62484.47</v>
          </cell>
          <cell r="Y304">
            <v>71946.960000000006</v>
          </cell>
          <cell r="Z304">
            <v>78683.740000000005</v>
          </cell>
          <cell r="AA304">
            <v>88773.28</v>
          </cell>
          <cell r="AB304">
            <v>102380.63</v>
          </cell>
          <cell r="AC304">
            <v>112899.74</v>
          </cell>
          <cell r="AD304">
            <v>122195.31</v>
          </cell>
          <cell r="AE304">
            <v>131418.23999999999</v>
          </cell>
          <cell r="AF304">
            <v>140713.62</v>
          </cell>
          <cell r="AG304">
            <v>148981.46</v>
          </cell>
          <cell r="AH304">
            <v>158925.18</v>
          </cell>
          <cell r="AI304">
            <v>169575.59</v>
          </cell>
          <cell r="AJ304">
            <v>180466.72999999998</v>
          </cell>
          <cell r="AK304">
            <v>188408.59999999998</v>
          </cell>
          <cell r="AL304">
            <v>195439.39999999997</v>
          </cell>
          <cell r="AM304">
            <v>203030.40999999997</v>
          </cell>
          <cell r="AN304">
            <v>210489.01999999996</v>
          </cell>
          <cell r="AO304">
            <v>218254.67999999996</v>
          </cell>
          <cell r="AP304">
            <v>226698.92999999996</v>
          </cell>
          <cell r="AQ304">
            <v>234533.05999999997</v>
          </cell>
          <cell r="AR304">
            <v>242391.92999999996</v>
          </cell>
          <cell r="AS304">
            <v>252144.95999999996</v>
          </cell>
          <cell r="AT304">
            <v>262800.93999999994</v>
          </cell>
          <cell r="AU304">
            <v>274315.03999999992</v>
          </cell>
          <cell r="AV304">
            <v>288922.93999999994</v>
          </cell>
          <cell r="AW304">
            <v>310773.32999999996</v>
          </cell>
          <cell r="AX304">
            <v>349463.41999999993</v>
          </cell>
          <cell r="AY304">
            <v>414108.11999999994</v>
          </cell>
          <cell r="AZ304">
            <v>541999.29999999993</v>
          </cell>
          <cell r="BA304">
            <v>782820.42999999993</v>
          </cell>
          <cell r="BB304">
            <v>847029.42999999993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36.520000000000003</v>
          </cell>
          <cell r="E421">
            <v>330.12</v>
          </cell>
          <cell r="F421">
            <v>0</v>
          </cell>
          <cell r="G421">
            <v>111.36</v>
          </cell>
          <cell r="H421">
            <v>0</v>
          </cell>
          <cell r="I421">
            <v>0</v>
          </cell>
          <cell r="J421">
            <v>0</v>
          </cell>
          <cell r="K421">
            <v>37.200000000000003</v>
          </cell>
          <cell r="L421">
            <v>37.200000000000003</v>
          </cell>
          <cell r="M421">
            <v>0</v>
          </cell>
          <cell r="N421">
            <v>0</v>
          </cell>
          <cell r="O421">
            <v>111.6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111.6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36.520000000000003</v>
          </cell>
          <cell r="E422">
            <v>366.64</v>
          </cell>
          <cell r="F422">
            <v>0</v>
          </cell>
          <cell r="G422">
            <v>111.36</v>
          </cell>
          <cell r="H422">
            <v>111.36</v>
          </cell>
          <cell r="I422">
            <v>111.36</v>
          </cell>
          <cell r="J422">
            <v>0</v>
          </cell>
          <cell r="K422">
            <v>37.200000000000003</v>
          </cell>
          <cell r="L422">
            <v>74.400000000000006</v>
          </cell>
          <cell r="M422">
            <v>74.400000000000006</v>
          </cell>
          <cell r="N422">
            <v>0</v>
          </cell>
          <cell r="O422">
            <v>111.6</v>
          </cell>
          <cell r="P422">
            <v>111.6</v>
          </cell>
          <cell r="Q422">
            <v>111.6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111.6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36.520000000000003</v>
          </cell>
          <cell r="E423">
            <v>366.64</v>
          </cell>
          <cell r="F423">
            <v>366.64</v>
          </cell>
          <cell r="G423">
            <v>478</v>
          </cell>
          <cell r="H423">
            <v>478</v>
          </cell>
          <cell r="I423">
            <v>478</v>
          </cell>
          <cell r="J423">
            <v>478</v>
          </cell>
          <cell r="K423">
            <v>515.20000000000005</v>
          </cell>
          <cell r="L423">
            <v>552.40000000000009</v>
          </cell>
          <cell r="M423">
            <v>552.40000000000009</v>
          </cell>
          <cell r="N423">
            <v>0</v>
          </cell>
          <cell r="O423">
            <v>111.6</v>
          </cell>
          <cell r="P423">
            <v>111.6</v>
          </cell>
          <cell r="Q423">
            <v>111.6</v>
          </cell>
          <cell r="R423">
            <v>111.6</v>
          </cell>
          <cell r="S423">
            <v>111.6</v>
          </cell>
          <cell r="T423">
            <v>111.6</v>
          </cell>
          <cell r="U423">
            <v>111.6</v>
          </cell>
          <cell r="V423">
            <v>111.6</v>
          </cell>
          <cell r="W423">
            <v>111.6</v>
          </cell>
          <cell r="X423">
            <v>111.6</v>
          </cell>
          <cell r="Y423">
            <v>223.2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36.520000000000003</v>
          </cell>
          <cell r="E424">
            <v>366.64</v>
          </cell>
          <cell r="F424">
            <v>366.64</v>
          </cell>
          <cell r="G424">
            <v>478</v>
          </cell>
          <cell r="H424">
            <v>478</v>
          </cell>
          <cell r="I424">
            <v>478</v>
          </cell>
          <cell r="J424">
            <v>478</v>
          </cell>
          <cell r="K424">
            <v>515.20000000000005</v>
          </cell>
          <cell r="L424">
            <v>552.40000000000009</v>
          </cell>
          <cell r="M424">
            <v>552.40000000000009</v>
          </cell>
          <cell r="N424">
            <v>552.40000000000009</v>
          </cell>
          <cell r="O424">
            <v>664.00000000000011</v>
          </cell>
          <cell r="P424">
            <v>664.00000000000011</v>
          </cell>
          <cell r="Q424">
            <v>664.00000000000011</v>
          </cell>
          <cell r="R424">
            <v>664.00000000000011</v>
          </cell>
          <cell r="S424">
            <v>664.00000000000011</v>
          </cell>
          <cell r="T424">
            <v>664.00000000000011</v>
          </cell>
          <cell r="U424">
            <v>664.00000000000011</v>
          </cell>
          <cell r="V424">
            <v>664.00000000000011</v>
          </cell>
          <cell r="W424">
            <v>664.00000000000011</v>
          </cell>
          <cell r="X424">
            <v>664.00000000000011</v>
          </cell>
          <cell r="Y424">
            <v>775.60000000000014</v>
          </cell>
          <cell r="Z424">
            <v>775.60000000000014</v>
          </cell>
          <cell r="AA424">
            <v>775.60000000000014</v>
          </cell>
          <cell r="AB424">
            <v>775.60000000000014</v>
          </cell>
          <cell r="AC424">
            <v>775.60000000000014</v>
          </cell>
          <cell r="AD424">
            <v>775.60000000000014</v>
          </cell>
          <cell r="AE424">
            <v>775.60000000000014</v>
          </cell>
          <cell r="AF424">
            <v>775.60000000000014</v>
          </cell>
          <cell r="AG424">
            <v>775.60000000000014</v>
          </cell>
          <cell r="AH424">
            <v>775.60000000000014</v>
          </cell>
          <cell r="AI424">
            <v>775.60000000000014</v>
          </cell>
          <cell r="AJ424">
            <v>775.60000000000014</v>
          </cell>
          <cell r="AK424">
            <v>775.60000000000014</v>
          </cell>
          <cell r="AL424">
            <v>775.60000000000014</v>
          </cell>
          <cell r="AM424">
            <v>775.60000000000014</v>
          </cell>
          <cell r="AN424">
            <v>775.60000000000014</v>
          </cell>
          <cell r="AO424">
            <v>775.60000000000014</v>
          </cell>
          <cell r="AP424">
            <v>775.60000000000014</v>
          </cell>
          <cell r="AQ424">
            <v>775.60000000000014</v>
          </cell>
          <cell r="AR424">
            <v>775.60000000000014</v>
          </cell>
          <cell r="AS424">
            <v>775.60000000000014</v>
          </cell>
          <cell r="AT424">
            <v>775.60000000000014</v>
          </cell>
          <cell r="AU424">
            <v>775.60000000000014</v>
          </cell>
          <cell r="AV424">
            <v>775.60000000000014</v>
          </cell>
          <cell r="AW424">
            <v>775.60000000000014</v>
          </cell>
          <cell r="AX424">
            <v>775.60000000000014</v>
          </cell>
          <cell r="AY424">
            <v>775.60000000000014</v>
          </cell>
          <cell r="AZ424">
            <v>775.60000000000014</v>
          </cell>
          <cell r="BA424">
            <v>775.60000000000014</v>
          </cell>
          <cell r="BB424">
            <v>775.60000000000014</v>
          </cell>
        </row>
        <row r="425">
          <cell r="A425" t="str">
            <v>PART</v>
          </cell>
          <cell r="B425">
            <v>165847.14000000001</v>
          </cell>
          <cell r="C425">
            <v>192275.12</v>
          </cell>
          <cell r="D425">
            <v>192323.31</v>
          </cell>
          <cell r="E425">
            <v>195822.84</v>
          </cell>
          <cell r="F425">
            <v>201358.53</v>
          </cell>
          <cell r="G425">
            <v>235079.21000000002</v>
          </cell>
          <cell r="H425">
            <v>304739.33</v>
          </cell>
          <cell r="I425">
            <v>249127.46</v>
          </cell>
          <cell r="J425">
            <v>341240.67000000004</v>
          </cell>
          <cell r="K425">
            <v>279173.81</v>
          </cell>
          <cell r="L425">
            <v>290180.74</v>
          </cell>
          <cell r="M425">
            <v>305581.74</v>
          </cell>
          <cell r="N425">
            <v>252921.1</v>
          </cell>
          <cell r="O425">
            <v>283907.95</v>
          </cell>
          <cell r="P425">
            <v>287917.90999999997</v>
          </cell>
          <cell r="Q425">
            <v>292664.24</v>
          </cell>
          <cell r="R425">
            <v>302138.12</v>
          </cell>
          <cell r="S425">
            <v>392282.95</v>
          </cell>
          <cell r="T425">
            <v>567506.78</v>
          </cell>
          <cell r="U425">
            <v>375196.58</v>
          </cell>
          <cell r="V425">
            <v>376418.88</v>
          </cell>
          <cell r="W425">
            <v>339973.43000000005</v>
          </cell>
          <cell r="X425">
            <v>365898.70999999996</v>
          </cell>
          <cell r="Y425">
            <v>364164.61</v>
          </cell>
          <cell r="Z425">
            <v>360838.85000000003</v>
          </cell>
          <cell r="AA425">
            <v>387723.10000000003</v>
          </cell>
          <cell r="AB425">
            <v>367788.85</v>
          </cell>
          <cell r="AC425">
            <v>333865.76</v>
          </cell>
          <cell r="AD425">
            <v>356865.69</v>
          </cell>
          <cell r="AE425">
            <v>344734.59</v>
          </cell>
          <cell r="AF425">
            <v>343598.75</v>
          </cell>
          <cell r="AG425">
            <v>356038.47000000003</v>
          </cell>
          <cell r="AH425">
            <v>346696.87</v>
          </cell>
          <cell r="AI425">
            <v>359162.38999999996</v>
          </cell>
          <cell r="AJ425">
            <v>397117.58</v>
          </cell>
          <cell r="AK425">
            <v>598593.55999999994</v>
          </cell>
          <cell r="AL425">
            <v>361655.00999999995</v>
          </cell>
          <cell r="AM425">
            <v>353142.03</v>
          </cell>
          <cell r="AN425">
            <v>357726.3</v>
          </cell>
          <cell r="AO425">
            <v>332272.63999999996</v>
          </cell>
          <cell r="AP425">
            <v>281574.7</v>
          </cell>
          <cell r="AQ425">
            <v>280910.08000000002</v>
          </cell>
          <cell r="AR425">
            <v>279497.13</v>
          </cell>
          <cell r="AS425">
            <v>285599.92000000004</v>
          </cell>
          <cell r="AT425">
            <v>383666.76</v>
          </cell>
          <cell r="AU425">
            <v>528740.18000000005</v>
          </cell>
          <cell r="AV425">
            <v>543102.61</v>
          </cell>
          <cell r="AW425">
            <v>669150.89</v>
          </cell>
          <cell r="AX425">
            <v>1152073.3900000001</v>
          </cell>
          <cell r="AY425">
            <v>2023647.43</v>
          </cell>
          <cell r="AZ425">
            <v>4330020.6899999995</v>
          </cell>
          <cell r="BA425">
            <v>3775112.1399999997</v>
          </cell>
          <cell r="BB425">
            <v>533655.88</v>
          </cell>
        </row>
        <row r="426">
          <cell r="A426" t="str">
            <v>ptd</v>
          </cell>
          <cell r="B426">
            <v>165847.14000000001</v>
          </cell>
          <cell r="C426">
            <v>358122.26</v>
          </cell>
          <cell r="D426">
            <v>550445.57000000007</v>
          </cell>
          <cell r="E426">
            <v>746268.41</v>
          </cell>
          <cell r="F426">
            <v>201358.53</v>
          </cell>
          <cell r="G426">
            <v>436437.74</v>
          </cell>
          <cell r="H426">
            <v>741177.07000000007</v>
          </cell>
          <cell r="I426">
            <v>990304.53</v>
          </cell>
          <cell r="J426">
            <v>341240.67000000004</v>
          </cell>
          <cell r="K426">
            <v>620414.48</v>
          </cell>
          <cell r="L426">
            <v>910595.22</v>
          </cell>
          <cell r="M426">
            <v>1216176.96</v>
          </cell>
          <cell r="N426">
            <v>252921.1</v>
          </cell>
          <cell r="O426">
            <v>536829.05000000005</v>
          </cell>
          <cell r="P426">
            <v>824746.96</v>
          </cell>
          <cell r="Q426">
            <v>1117411.2</v>
          </cell>
          <cell r="R426">
            <v>302138.12</v>
          </cell>
          <cell r="S426">
            <v>694421.07000000007</v>
          </cell>
          <cell r="T426">
            <v>1261927.8500000001</v>
          </cell>
          <cell r="U426">
            <v>1637124.4300000002</v>
          </cell>
          <cell r="V426">
            <v>376418.88</v>
          </cell>
          <cell r="W426">
            <v>716392.31</v>
          </cell>
          <cell r="X426">
            <v>1082291.02</v>
          </cell>
          <cell r="Y426">
            <v>1446455.63</v>
          </cell>
          <cell r="Z426">
            <v>360838.85000000003</v>
          </cell>
          <cell r="AA426">
            <v>748561.95000000007</v>
          </cell>
          <cell r="AB426">
            <v>1116350.8</v>
          </cell>
          <cell r="AC426">
            <v>1450216.56</v>
          </cell>
          <cell r="AD426">
            <v>356865.69</v>
          </cell>
          <cell r="AE426">
            <v>701600.28</v>
          </cell>
          <cell r="AF426">
            <v>1045199.03</v>
          </cell>
          <cell r="AG426">
            <v>1401237.5</v>
          </cell>
          <cell r="AH426">
            <v>346696.87</v>
          </cell>
          <cell r="AI426">
            <v>705859.26</v>
          </cell>
          <cell r="AJ426">
            <v>1102976.8400000001</v>
          </cell>
          <cell r="AK426">
            <v>1701570.4</v>
          </cell>
          <cell r="AL426">
            <v>361655.00999999995</v>
          </cell>
          <cell r="AM426">
            <v>714797.04</v>
          </cell>
          <cell r="AN426">
            <v>1072523.3400000001</v>
          </cell>
          <cell r="AO426">
            <v>1404795.98</v>
          </cell>
          <cell r="AP426">
            <v>281574.7</v>
          </cell>
          <cell r="AQ426">
            <v>562484.78</v>
          </cell>
          <cell r="AR426">
            <v>841981.91</v>
          </cell>
          <cell r="AS426">
            <v>1127581.83</v>
          </cell>
          <cell r="AT426">
            <v>383666.76</v>
          </cell>
          <cell r="AU426">
            <v>912406.94000000006</v>
          </cell>
          <cell r="AV426">
            <v>1455509.55</v>
          </cell>
          <cell r="AW426">
            <v>2124660.44</v>
          </cell>
          <cell r="AX426">
            <v>1152073.3900000001</v>
          </cell>
          <cell r="AY426">
            <v>3175720.8200000003</v>
          </cell>
          <cell r="AZ426">
            <v>7505741.5099999998</v>
          </cell>
          <cell r="BA426">
            <v>11280853.649999999</v>
          </cell>
          <cell r="BB426">
            <v>11814509.529999999</v>
          </cell>
        </row>
        <row r="427">
          <cell r="A427" t="str">
            <v>qtd</v>
          </cell>
          <cell r="B427">
            <v>165847.14000000001</v>
          </cell>
          <cell r="C427">
            <v>358122.26</v>
          </cell>
          <cell r="D427">
            <v>550445.57000000007</v>
          </cell>
          <cell r="E427">
            <v>746268.41</v>
          </cell>
          <cell r="F427">
            <v>947626.94000000006</v>
          </cell>
          <cell r="G427">
            <v>1182706.1500000001</v>
          </cell>
          <cell r="H427">
            <v>1487445.4800000002</v>
          </cell>
          <cell r="I427">
            <v>1736572.9400000002</v>
          </cell>
          <cell r="J427">
            <v>2077813.6100000003</v>
          </cell>
          <cell r="K427">
            <v>2356987.4200000004</v>
          </cell>
          <cell r="L427">
            <v>2647168.16</v>
          </cell>
          <cell r="M427">
            <v>2952749.9000000004</v>
          </cell>
          <cell r="N427">
            <v>252921.1</v>
          </cell>
          <cell r="O427">
            <v>536829.05000000005</v>
          </cell>
          <cell r="P427">
            <v>824746.96</v>
          </cell>
          <cell r="Q427">
            <v>1117411.2</v>
          </cell>
          <cell r="R427">
            <v>1419549.3199999998</v>
          </cell>
          <cell r="S427">
            <v>1811832.2699999998</v>
          </cell>
          <cell r="T427">
            <v>2379339.0499999998</v>
          </cell>
          <cell r="U427">
            <v>2754535.63</v>
          </cell>
          <cell r="V427">
            <v>3130954.51</v>
          </cell>
          <cell r="W427">
            <v>3470927.94</v>
          </cell>
          <cell r="X427">
            <v>3836826.65</v>
          </cell>
          <cell r="Y427">
            <v>4200991.26</v>
          </cell>
          <cell r="Z427">
            <v>360838.85000000003</v>
          </cell>
          <cell r="AA427">
            <v>748561.95000000007</v>
          </cell>
          <cell r="AB427">
            <v>1116350.8</v>
          </cell>
          <cell r="AC427">
            <v>1450216.56</v>
          </cell>
          <cell r="AD427">
            <v>1807082.25</v>
          </cell>
          <cell r="AE427">
            <v>2151816.84</v>
          </cell>
          <cell r="AF427">
            <v>2495415.59</v>
          </cell>
          <cell r="AG427">
            <v>2851454.06</v>
          </cell>
          <cell r="AH427">
            <v>3198150.93</v>
          </cell>
          <cell r="AI427">
            <v>3557313.3200000003</v>
          </cell>
          <cell r="AJ427">
            <v>3954430.9000000004</v>
          </cell>
          <cell r="AK427">
            <v>4553024.46</v>
          </cell>
          <cell r="AL427">
            <v>361655.00999999995</v>
          </cell>
          <cell r="AM427">
            <v>714797.04</v>
          </cell>
          <cell r="AN427">
            <v>1072523.3400000001</v>
          </cell>
          <cell r="AO427">
            <v>1404795.98</v>
          </cell>
          <cell r="AP427">
            <v>1686370.68</v>
          </cell>
          <cell r="AQ427">
            <v>1967280.76</v>
          </cell>
          <cell r="AR427">
            <v>2246777.89</v>
          </cell>
          <cell r="AS427">
            <v>2532377.81</v>
          </cell>
          <cell r="AT427">
            <v>2916044.5700000003</v>
          </cell>
          <cell r="AU427">
            <v>3444784.7500000005</v>
          </cell>
          <cell r="AV427">
            <v>3987887.3600000003</v>
          </cell>
          <cell r="AW427">
            <v>4657038.25</v>
          </cell>
          <cell r="AX427">
            <v>5809111.6400000006</v>
          </cell>
          <cell r="AY427">
            <v>7832759.0700000003</v>
          </cell>
          <cell r="AZ427">
            <v>12162779.76</v>
          </cell>
          <cell r="BA427">
            <v>15937891.899999999</v>
          </cell>
          <cell r="BB427">
            <v>16471547.779999999</v>
          </cell>
        </row>
        <row r="428">
          <cell r="A428" t="str">
            <v>ytd</v>
          </cell>
          <cell r="B428">
            <v>165847.14000000001</v>
          </cell>
          <cell r="C428">
            <v>358122.26</v>
          </cell>
          <cell r="D428">
            <v>550445.57000000007</v>
          </cell>
          <cell r="E428">
            <v>746268.41</v>
          </cell>
          <cell r="F428">
            <v>947626.94000000006</v>
          </cell>
          <cell r="G428">
            <v>1182706.1500000001</v>
          </cell>
          <cell r="H428">
            <v>1487445.4800000002</v>
          </cell>
          <cell r="I428">
            <v>1736572.9400000002</v>
          </cell>
          <cell r="J428">
            <v>2077813.6100000003</v>
          </cell>
          <cell r="K428">
            <v>2356987.4200000004</v>
          </cell>
          <cell r="L428">
            <v>2647168.16</v>
          </cell>
          <cell r="M428">
            <v>2952749.9000000004</v>
          </cell>
          <cell r="N428">
            <v>3205671.0000000005</v>
          </cell>
          <cell r="O428">
            <v>3489578.9500000007</v>
          </cell>
          <cell r="P428">
            <v>3777496.8600000008</v>
          </cell>
          <cell r="Q428">
            <v>4070161.1000000006</v>
          </cell>
          <cell r="R428">
            <v>4372299.2200000007</v>
          </cell>
          <cell r="S428">
            <v>4764582.1700000009</v>
          </cell>
          <cell r="T428">
            <v>5332088.9500000011</v>
          </cell>
          <cell r="U428">
            <v>5707285.5300000012</v>
          </cell>
          <cell r="V428">
            <v>6083704.4100000011</v>
          </cell>
          <cell r="W428">
            <v>6423677.8400000008</v>
          </cell>
          <cell r="X428">
            <v>6789576.5500000007</v>
          </cell>
          <cell r="Y428">
            <v>7153741.1600000011</v>
          </cell>
          <cell r="Z428">
            <v>7514580.0100000007</v>
          </cell>
          <cell r="AA428">
            <v>7902303.1100000003</v>
          </cell>
          <cell r="AB428">
            <v>8270091.96</v>
          </cell>
          <cell r="AC428">
            <v>8603957.7200000007</v>
          </cell>
          <cell r="AD428">
            <v>8960823.4100000001</v>
          </cell>
          <cell r="AE428">
            <v>9305558</v>
          </cell>
          <cell r="AF428">
            <v>9649156.75</v>
          </cell>
          <cell r="AG428">
            <v>10005195.220000001</v>
          </cell>
          <cell r="AH428">
            <v>10351892.09</v>
          </cell>
          <cell r="AI428">
            <v>10711054.48</v>
          </cell>
          <cell r="AJ428">
            <v>11108172.060000001</v>
          </cell>
          <cell r="AK428">
            <v>11706765.620000001</v>
          </cell>
          <cell r="AL428">
            <v>12068420.630000001</v>
          </cell>
          <cell r="AM428">
            <v>12421562.66</v>
          </cell>
          <cell r="AN428">
            <v>12779288.960000001</v>
          </cell>
          <cell r="AO428">
            <v>13111561.600000001</v>
          </cell>
          <cell r="AP428">
            <v>13393136.300000001</v>
          </cell>
          <cell r="AQ428">
            <v>13674046.380000001</v>
          </cell>
          <cell r="AR428">
            <v>13953543.510000002</v>
          </cell>
          <cell r="AS428">
            <v>14239143.430000002</v>
          </cell>
          <cell r="AT428">
            <v>14622810.190000001</v>
          </cell>
          <cell r="AU428">
            <v>15151550.370000001</v>
          </cell>
          <cell r="AV428">
            <v>15694652.98</v>
          </cell>
          <cell r="AW428">
            <v>16363803.870000001</v>
          </cell>
          <cell r="AX428">
            <v>17515877.260000002</v>
          </cell>
          <cell r="AY428">
            <v>19539524.690000001</v>
          </cell>
          <cell r="AZ428">
            <v>23869545.380000003</v>
          </cell>
          <cell r="BA428">
            <v>27644657.520000003</v>
          </cell>
          <cell r="BB428">
            <v>28178313.400000002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40.19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205.59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40.19</v>
          </cell>
          <cell r="AN430">
            <v>40.19</v>
          </cell>
          <cell r="AO430">
            <v>40.19</v>
          </cell>
          <cell r="AP430">
            <v>0</v>
          </cell>
          <cell r="AQ430">
            <v>0</v>
          </cell>
          <cell r="AR430">
            <v>205.59</v>
          </cell>
          <cell r="AS430">
            <v>205.59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40.19</v>
          </cell>
          <cell r="AN431">
            <v>40.19</v>
          </cell>
          <cell r="AO431">
            <v>40.19</v>
          </cell>
          <cell r="AP431">
            <v>40.19</v>
          </cell>
          <cell r="AQ431">
            <v>40.19</v>
          </cell>
          <cell r="AR431">
            <v>245.78</v>
          </cell>
          <cell r="AS431">
            <v>245.78</v>
          </cell>
          <cell r="AT431">
            <v>245.78</v>
          </cell>
          <cell r="AU431">
            <v>245.78</v>
          </cell>
          <cell r="AV431">
            <v>245.78</v>
          </cell>
          <cell r="AW431">
            <v>245.78</v>
          </cell>
          <cell r="AX431">
            <v>245.78</v>
          </cell>
          <cell r="AY431">
            <v>245.78</v>
          </cell>
          <cell r="AZ431">
            <v>245.78</v>
          </cell>
          <cell r="BA431">
            <v>245.78</v>
          </cell>
          <cell r="BB431">
            <v>245.78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40.19</v>
          </cell>
          <cell r="AN432">
            <v>40.19</v>
          </cell>
          <cell r="AO432">
            <v>40.19</v>
          </cell>
          <cell r="AP432">
            <v>40.19</v>
          </cell>
          <cell r="AQ432">
            <v>40.19</v>
          </cell>
          <cell r="AR432">
            <v>245.78</v>
          </cell>
          <cell r="AS432">
            <v>245.78</v>
          </cell>
          <cell r="AT432">
            <v>245.78</v>
          </cell>
          <cell r="AU432">
            <v>245.78</v>
          </cell>
          <cell r="AV432">
            <v>245.78</v>
          </cell>
          <cell r="AW432">
            <v>245.78</v>
          </cell>
          <cell r="AX432">
            <v>245.78</v>
          </cell>
          <cell r="AY432">
            <v>245.78</v>
          </cell>
          <cell r="AZ432">
            <v>245.78</v>
          </cell>
          <cell r="BA432">
            <v>245.78</v>
          </cell>
          <cell r="BB432">
            <v>245.78</v>
          </cell>
        </row>
        <row r="433">
          <cell r="A433" t="str">
            <v>PREG</v>
          </cell>
          <cell r="B433">
            <v>94841.22</v>
          </cell>
          <cell r="C433">
            <v>123729.54</v>
          </cell>
          <cell r="D433">
            <v>101234.61</v>
          </cell>
          <cell r="E433">
            <v>91024.61</v>
          </cell>
          <cell r="F433">
            <v>97518.080000000002</v>
          </cell>
          <cell r="G433">
            <v>118476.58</v>
          </cell>
          <cell r="H433">
            <v>122274.66</v>
          </cell>
          <cell r="I433">
            <v>136680.92000000001</v>
          </cell>
          <cell r="J433">
            <v>153575.98000000001</v>
          </cell>
          <cell r="K433">
            <v>136590.9</v>
          </cell>
          <cell r="L433">
            <v>144657.12</v>
          </cell>
          <cell r="M433">
            <v>140982.07</v>
          </cell>
          <cell r="N433">
            <v>125924.86</v>
          </cell>
          <cell r="O433">
            <v>161059</v>
          </cell>
          <cell r="P433">
            <v>166123.15</v>
          </cell>
          <cell r="Q433">
            <v>154291.57999999999</v>
          </cell>
          <cell r="R433">
            <v>144074.19</v>
          </cell>
          <cell r="S433">
            <v>170469</v>
          </cell>
          <cell r="T433">
            <v>225364.15</v>
          </cell>
          <cell r="U433">
            <v>170155.7</v>
          </cell>
          <cell r="V433">
            <v>151288.82999999999</v>
          </cell>
          <cell r="W433">
            <v>170334.58</v>
          </cell>
          <cell r="X433">
            <v>162447.51999999999</v>
          </cell>
          <cell r="Y433">
            <v>145463.54999999999</v>
          </cell>
          <cell r="Z433">
            <v>170110.39</v>
          </cell>
          <cell r="AA433">
            <v>183958.6</v>
          </cell>
          <cell r="AB433">
            <v>169572.85</v>
          </cell>
          <cell r="AC433">
            <v>160161.96</v>
          </cell>
          <cell r="AD433">
            <v>171814.04</v>
          </cell>
          <cell r="AE433">
            <v>173830.39</v>
          </cell>
          <cell r="AF433">
            <v>193956.7</v>
          </cell>
          <cell r="AG433">
            <v>184332.88</v>
          </cell>
          <cell r="AH433">
            <v>184477.66</v>
          </cell>
          <cell r="AI433">
            <v>175056.19</v>
          </cell>
          <cell r="AJ433">
            <v>187452.81</v>
          </cell>
          <cell r="AK433">
            <v>264956.94</v>
          </cell>
          <cell r="AL433">
            <v>211196.33</v>
          </cell>
          <cell r="AM433">
            <v>213540.09</v>
          </cell>
          <cell r="AN433">
            <v>230098.46</v>
          </cell>
          <cell r="AO433">
            <v>220132.9</v>
          </cell>
          <cell r="AP433">
            <v>182476.57</v>
          </cell>
          <cell r="AQ433">
            <v>206723.63</v>
          </cell>
          <cell r="AR433">
            <v>191004.83</v>
          </cell>
          <cell r="AS433">
            <v>191216.46</v>
          </cell>
          <cell r="AT433">
            <v>204573.17</v>
          </cell>
          <cell r="AU433">
            <v>242353.53</v>
          </cell>
          <cell r="AV433">
            <v>284426.44</v>
          </cell>
          <cell r="AW433">
            <v>351964.48</v>
          </cell>
          <cell r="AX433">
            <v>550153.48</v>
          </cell>
          <cell r="AY433">
            <v>1026646.4</v>
          </cell>
          <cell r="AZ433">
            <v>2053521.53</v>
          </cell>
          <cell r="BA433">
            <v>2007474.26</v>
          </cell>
          <cell r="BB433">
            <v>183727.04</v>
          </cell>
        </row>
        <row r="434">
          <cell r="A434" t="str">
            <v>ptd</v>
          </cell>
          <cell r="B434">
            <v>94841.22</v>
          </cell>
          <cell r="C434">
            <v>218570.76</v>
          </cell>
          <cell r="D434">
            <v>319805.37</v>
          </cell>
          <cell r="E434">
            <v>410829.98</v>
          </cell>
          <cell r="F434">
            <v>97518.080000000002</v>
          </cell>
          <cell r="G434">
            <v>215994.66</v>
          </cell>
          <cell r="H434">
            <v>338269.32</v>
          </cell>
          <cell r="I434">
            <v>474950.24</v>
          </cell>
          <cell r="J434">
            <v>153575.98000000001</v>
          </cell>
          <cell r="K434">
            <v>290166.88</v>
          </cell>
          <cell r="L434">
            <v>434824</v>
          </cell>
          <cell r="M434">
            <v>575806.07000000007</v>
          </cell>
          <cell r="N434">
            <v>125924.86</v>
          </cell>
          <cell r="O434">
            <v>286983.86</v>
          </cell>
          <cell r="P434">
            <v>453107.01</v>
          </cell>
          <cell r="Q434">
            <v>607398.59</v>
          </cell>
          <cell r="R434">
            <v>144074.19</v>
          </cell>
          <cell r="S434">
            <v>314543.19</v>
          </cell>
          <cell r="T434">
            <v>539907.34</v>
          </cell>
          <cell r="U434">
            <v>710063.04</v>
          </cell>
          <cell r="V434">
            <v>151288.82999999999</v>
          </cell>
          <cell r="W434">
            <v>321623.40999999997</v>
          </cell>
          <cell r="X434">
            <v>484070.92999999993</v>
          </cell>
          <cell r="Y434">
            <v>629534.48</v>
          </cell>
          <cell r="Z434">
            <v>170110.39</v>
          </cell>
          <cell r="AA434">
            <v>354068.99</v>
          </cell>
          <cell r="AB434">
            <v>523641.83999999997</v>
          </cell>
          <cell r="AC434">
            <v>683803.79999999993</v>
          </cell>
          <cell r="AD434">
            <v>171814.04</v>
          </cell>
          <cell r="AE434">
            <v>345644.43000000005</v>
          </cell>
          <cell r="AF434">
            <v>539601.13000000012</v>
          </cell>
          <cell r="AG434">
            <v>723934.01000000013</v>
          </cell>
          <cell r="AH434">
            <v>184477.66</v>
          </cell>
          <cell r="AI434">
            <v>359533.85</v>
          </cell>
          <cell r="AJ434">
            <v>546986.65999999992</v>
          </cell>
          <cell r="AK434">
            <v>811943.59999999986</v>
          </cell>
          <cell r="AL434">
            <v>211196.33</v>
          </cell>
          <cell r="AM434">
            <v>424736.42</v>
          </cell>
          <cell r="AN434">
            <v>654834.88</v>
          </cell>
          <cell r="AO434">
            <v>874967.78</v>
          </cell>
          <cell r="AP434">
            <v>182476.57</v>
          </cell>
          <cell r="AQ434">
            <v>389200.2</v>
          </cell>
          <cell r="AR434">
            <v>580205.03</v>
          </cell>
          <cell r="AS434">
            <v>771421.49</v>
          </cell>
          <cell r="AT434">
            <v>204573.17</v>
          </cell>
          <cell r="AU434">
            <v>446926.7</v>
          </cell>
          <cell r="AV434">
            <v>731353.14</v>
          </cell>
          <cell r="AW434">
            <v>1083317.6200000001</v>
          </cell>
          <cell r="AX434">
            <v>550153.48</v>
          </cell>
          <cell r="AY434">
            <v>1576799.88</v>
          </cell>
          <cell r="AZ434">
            <v>3630321.41</v>
          </cell>
          <cell r="BA434">
            <v>5637795.6699999999</v>
          </cell>
          <cell r="BB434">
            <v>5821522.71</v>
          </cell>
        </row>
        <row r="435">
          <cell r="A435" t="str">
            <v>qtd</v>
          </cell>
          <cell r="B435">
            <v>94841.22</v>
          </cell>
          <cell r="C435">
            <v>218570.76</v>
          </cell>
          <cell r="D435">
            <v>319805.37</v>
          </cell>
          <cell r="E435">
            <v>410829.98</v>
          </cell>
          <cell r="F435">
            <v>508348.06</v>
          </cell>
          <cell r="G435">
            <v>626824.64</v>
          </cell>
          <cell r="H435">
            <v>749099.3</v>
          </cell>
          <cell r="I435">
            <v>885780.22000000009</v>
          </cell>
          <cell r="J435">
            <v>1039356.2000000001</v>
          </cell>
          <cell r="K435">
            <v>1175947.1000000001</v>
          </cell>
          <cell r="L435">
            <v>1320604.2200000002</v>
          </cell>
          <cell r="M435">
            <v>1461586.2900000003</v>
          </cell>
          <cell r="N435">
            <v>125924.86</v>
          </cell>
          <cell r="O435">
            <v>286983.86</v>
          </cell>
          <cell r="P435">
            <v>453107.01</v>
          </cell>
          <cell r="Q435">
            <v>607398.59</v>
          </cell>
          <cell r="R435">
            <v>751472.78</v>
          </cell>
          <cell r="S435">
            <v>921941.78</v>
          </cell>
          <cell r="T435">
            <v>1147305.93</v>
          </cell>
          <cell r="U435">
            <v>1317461.6299999999</v>
          </cell>
          <cell r="V435">
            <v>1468750.46</v>
          </cell>
          <cell r="W435">
            <v>1639085.04</v>
          </cell>
          <cell r="X435">
            <v>1801532.56</v>
          </cell>
          <cell r="Y435">
            <v>1946996.11</v>
          </cell>
          <cell r="Z435">
            <v>170110.39</v>
          </cell>
          <cell r="AA435">
            <v>354068.99</v>
          </cell>
          <cell r="AB435">
            <v>523641.83999999997</v>
          </cell>
          <cell r="AC435">
            <v>683803.79999999993</v>
          </cell>
          <cell r="AD435">
            <v>855617.84</v>
          </cell>
          <cell r="AE435">
            <v>1029448.23</v>
          </cell>
          <cell r="AF435">
            <v>1223404.93</v>
          </cell>
          <cell r="AG435">
            <v>1407737.81</v>
          </cell>
          <cell r="AH435">
            <v>1592215.47</v>
          </cell>
          <cell r="AI435">
            <v>1767271.66</v>
          </cell>
          <cell r="AJ435">
            <v>1954724.47</v>
          </cell>
          <cell r="AK435">
            <v>2219681.41</v>
          </cell>
          <cell r="AL435">
            <v>211196.33</v>
          </cell>
          <cell r="AM435">
            <v>424736.42</v>
          </cell>
          <cell r="AN435">
            <v>654834.88</v>
          </cell>
          <cell r="AO435">
            <v>874967.78</v>
          </cell>
          <cell r="AP435">
            <v>1057444.3500000001</v>
          </cell>
          <cell r="AQ435">
            <v>1264167.98</v>
          </cell>
          <cell r="AR435">
            <v>1455172.81</v>
          </cell>
          <cell r="AS435">
            <v>1646389.27</v>
          </cell>
          <cell r="AT435">
            <v>1850962.44</v>
          </cell>
          <cell r="AU435">
            <v>2093315.97</v>
          </cell>
          <cell r="AV435">
            <v>2377742.41</v>
          </cell>
          <cell r="AW435">
            <v>2729706.89</v>
          </cell>
          <cell r="AX435">
            <v>3279860.37</v>
          </cell>
          <cell r="AY435">
            <v>4306506.7700000005</v>
          </cell>
          <cell r="AZ435">
            <v>6360028.3000000007</v>
          </cell>
          <cell r="BA435">
            <v>8367502.5600000005</v>
          </cell>
          <cell r="BB435">
            <v>8551229.5999999996</v>
          </cell>
        </row>
        <row r="436">
          <cell r="A436" t="str">
            <v>ytd</v>
          </cell>
          <cell r="B436">
            <v>94841.22</v>
          </cell>
          <cell r="C436">
            <v>218570.76</v>
          </cell>
          <cell r="D436">
            <v>319805.37</v>
          </cell>
          <cell r="E436">
            <v>410829.98</v>
          </cell>
          <cell r="F436">
            <v>508348.06</v>
          </cell>
          <cell r="G436">
            <v>626824.64</v>
          </cell>
          <cell r="H436">
            <v>749099.3</v>
          </cell>
          <cell r="I436">
            <v>885780.22000000009</v>
          </cell>
          <cell r="J436">
            <v>1039356.2000000001</v>
          </cell>
          <cell r="K436">
            <v>1175947.1000000001</v>
          </cell>
          <cell r="L436">
            <v>1320604.2200000002</v>
          </cell>
          <cell r="M436">
            <v>1461586.2900000003</v>
          </cell>
          <cell r="N436">
            <v>1587511.1500000004</v>
          </cell>
          <cell r="O436">
            <v>1748570.1500000004</v>
          </cell>
          <cell r="P436">
            <v>1914693.3000000003</v>
          </cell>
          <cell r="Q436">
            <v>2068984.8800000004</v>
          </cell>
          <cell r="R436">
            <v>2213059.0700000003</v>
          </cell>
          <cell r="S436">
            <v>2383528.0700000003</v>
          </cell>
          <cell r="T436">
            <v>2608892.2200000002</v>
          </cell>
          <cell r="U436">
            <v>2779047.9200000004</v>
          </cell>
          <cell r="V436">
            <v>2930336.7500000005</v>
          </cell>
          <cell r="W436">
            <v>3100671.3300000005</v>
          </cell>
          <cell r="X436">
            <v>3263118.8500000006</v>
          </cell>
          <cell r="Y436">
            <v>3408582.4000000004</v>
          </cell>
          <cell r="Z436">
            <v>3578692.7900000005</v>
          </cell>
          <cell r="AA436">
            <v>3762651.3900000006</v>
          </cell>
          <cell r="AB436">
            <v>3932224.2400000007</v>
          </cell>
          <cell r="AC436">
            <v>4092386.2000000007</v>
          </cell>
          <cell r="AD436">
            <v>4264200.24</v>
          </cell>
          <cell r="AE436">
            <v>4438030.63</v>
          </cell>
          <cell r="AF436">
            <v>4631987.33</v>
          </cell>
          <cell r="AG436">
            <v>4816320.21</v>
          </cell>
          <cell r="AH436">
            <v>5000797.87</v>
          </cell>
          <cell r="AI436">
            <v>5175854.0600000005</v>
          </cell>
          <cell r="AJ436">
            <v>5363306.87</v>
          </cell>
          <cell r="AK436">
            <v>5628263.8100000005</v>
          </cell>
          <cell r="AL436">
            <v>5839460.1400000006</v>
          </cell>
          <cell r="AM436">
            <v>6053000.2300000004</v>
          </cell>
          <cell r="AN436">
            <v>6283098.6900000004</v>
          </cell>
          <cell r="AO436">
            <v>6503231.5900000008</v>
          </cell>
          <cell r="AP436">
            <v>6685708.1600000011</v>
          </cell>
          <cell r="AQ436">
            <v>6892431.790000001</v>
          </cell>
          <cell r="AR436">
            <v>7083436.620000001</v>
          </cell>
          <cell r="AS436">
            <v>7274653.080000001</v>
          </cell>
          <cell r="AT436">
            <v>7479226.2500000009</v>
          </cell>
          <cell r="AU436">
            <v>7721579.7800000012</v>
          </cell>
          <cell r="AV436">
            <v>8006006.2200000016</v>
          </cell>
          <cell r="AW436">
            <v>8357970.7000000011</v>
          </cell>
          <cell r="AX436">
            <v>8908124.1800000016</v>
          </cell>
          <cell r="AY436">
            <v>9934770.5800000019</v>
          </cell>
          <cell r="AZ436">
            <v>11988292.110000001</v>
          </cell>
          <cell r="BA436">
            <v>13995766.370000001</v>
          </cell>
          <cell r="BB436">
            <v>14179493.41</v>
          </cell>
        </row>
        <row r="437">
          <cell r="A437" t="str">
            <v>SPRT</v>
          </cell>
          <cell r="B437">
            <v>6744.28</v>
          </cell>
          <cell r="C437">
            <v>6342.18</v>
          </cell>
          <cell r="D437">
            <v>8278.73</v>
          </cell>
          <cell r="E437">
            <v>7843.08</v>
          </cell>
          <cell r="F437">
            <v>6331.49</v>
          </cell>
          <cell r="G437">
            <v>8270.51</v>
          </cell>
          <cell r="H437">
            <v>9742.27</v>
          </cell>
          <cell r="I437">
            <v>8087.9</v>
          </cell>
          <cell r="J437">
            <v>8559.1</v>
          </cell>
          <cell r="K437">
            <v>10110</v>
          </cell>
          <cell r="L437">
            <v>6988.56</v>
          </cell>
          <cell r="M437">
            <v>8186.14</v>
          </cell>
          <cell r="N437">
            <v>6666.64</v>
          </cell>
          <cell r="O437">
            <v>8961.44</v>
          </cell>
          <cell r="P437">
            <v>7027.82</v>
          </cell>
          <cell r="Q437">
            <v>7773.8</v>
          </cell>
          <cell r="R437">
            <v>8971.44</v>
          </cell>
          <cell r="S437">
            <v>8833.8799999999992</v>
          </cell>
          <cell r="T437">
            <v>6242.56</v>
          </cell>
          <cell r="U437">
            <v>7145.68</v>
          </cell>
          <cell r="V437">
            <v>6419.3</v>
          </cell>
          <cell r="W437">
            <v>5928.5</v>
          </cell>
          <cell r="X437">
            <v>7616.78</v>
          </cell>
          <cell r="Y437">
            <v>7577.48</v>
          </cell>
          <cell r="Z437">
            <v>6458.52</v>
          </cell>
          <cell r="AA437">
            <v>8775.1200000000008</v>
          </cell>
          <cell r="AB437">
            <v>8402.06</v>
          </cell>
          <cell r="AC437">
            <v>8402.06</v>
          </cell>
          <cell r="AD437">
            <v>9795.8799999999992</v>
          </cell>
          <cell r="AE437">
            <v>9933.2199999999993</v>
          </cell>
          <cell r="AF437">
            <v>6733.42</v>
          </cell>
          <cell r="AG437">
            <v>7577.56</v>
          </cell>
          <cell r="AH437">
            <v>7734.64</v>
          </cell>
          <cell r="AI437">
            <v>7322.38</v>
          </cell>
          <cell r="AJ437">
            <v>10011.86</v>
          </cell>
          <cell r="AK437">
            <v>7336.5</v>
          </cell>
          <cell r="AL437">
            <v>6152.2</v>
          </cell>
          <cell r="AM437">
            <v>6072.69</v>
          </cell>
          <cell r="AN437">
            <v>8382.99</v>
          </cell>
          <cell r="AO437">
            <v>8045.95</v>
          </cell>
          <cell r="AP437">
            <v>5286.41</v>
          </cell>
          <cell r="AQ437">
            <v>6181.35</v>
          </cell>
          <cell r="AR437">
            <v>4659.2700000000004</v>
          </cell>
          <cell r="AS437">
            <v>6039.14</v>
          </cell>
          <cell r="AT437">
            <v>6019.62</v>
          </cell>
          <cell r="AU437">
            <v>5461.14</v>
          </cell>
          <cell r="AV437">
            <v>6934.9</v>
          </cell>
          <cell r="AW437">
            <v>11121.77</v>
          </cell>
          <cell r="AX437">
            <v>19394.099999999999</v>
          </cell>
          <cell r="AY437">
            <v>30837.7</v>
          </cell>
          <cell r="AZ437">
            <v>55603.59</v>
          </cell>
          <cell r="BA437">
            <v>52609</v>
          </cell>
          <cell r="BB437">
            <v>5161.05</v>
          </cell>
        </row>
        <row r="438">
          <cell r="A438" t="str">
            <v>ptd</v>
          </cell>
          <cell r="B438">
            <v>6744.28</v>
          </cell>
          <cell r="C438">
            <v>13086.46</v>
          </cell>
          <cell r="D438">
            <v>21365.19</v>
          </cell>
          <cell r="E438">
            <v>29208.269999999997</v>
          </cell>
          <cell r="F438">
            <v>6331.49</v>
          </cell>
          <cell r="G438">
            <v>14602</v>
          </cell>
          <cell r="H438">
            <v>24344.27</v>
          </cell>
          <cell r="I438">
            <v>32432.17</v>
          </cell>
          <cell r="J438">
            <v>8559.1</v>
          </cell>
          <cell r="K438">
            <v>18669.099999999999</v>
          </cell>
          <cell r="L438">
            <v>25657.66</v>
          </cell>
          <cell r="M438">
            <v>33843.800000000003</v>
          </cell>
          <cell r="N438">
            <v>6666.64</v>
          </cell>
          <cell r="O438">
            <v>15628.080000000002</v>
          </cell>
          <cell r="P438">
            <v>22655.9</v>
          </cell>
          <cell r="Q438">
            <v>30429.7</v>
          </cell>
          <cell r="R438">
            <v>8971.44</v>
          </cell>
          <cell r="S438">
            <v>17805.32</v>
          </cell>
          <cell r="T438">
            <v>24047.88</v>
          </cell>
          <cell r="U438">
            <v>31193.56</v>
          </cell>
          <cell r="V438">
            <v>6419.3</v>
          </cell>
          <cell r="W438">
            <v>12347.8</v>
          </cell>
          <cell r="X438">
            <v>19964.579999999998</v>
          </cell>
          <cell r="Y438">
            <v>27542.059999999998</v>
          </cell>
          <cell r="Z438">
            <v>6458.52</v>
          </cell>
          <cell r="AA438">
            <v>15233.640000000001</v>
          </cell>
          <cell r="AB438">
            <v>23635.7</v>
          </cell>
          <cell r="AC438">
            <v>32037.760000000002</v>
          </cell>
          <cell r="AD438">
            <v>9795.8799999999992</v>
          </cell>
          <cell r="AE438">
            <v>19729.099999999999</v>
          </cell>
          <cell r="AF438">
            <v>26462.519999999997</v>
          </cell>
          <cell r="AG438">
            <v>34040.079999999994</v>
          </cell>
          <cell r="AH438">
            <v>7734.64</v>
          </cell>
          <cell r="AI438">
            <v>15057.02</v>
          </cell>
          <cell r="AJ438">
            <v>25068.880000000001</v>
          </cell>
          <cell r="AK438">
            <v>32405.38</v>
          </cell>
          <cell r="AL438">
            <v>6152.2</v>
          </cell>
          <cell r="AM438">
            <v>12224.89</v>
          </cell>
          <cell r="AN438">
            <v>20607.879999999997</v>
          </cell>
          <cell r="AO438">
            <v>28653.829999999998</v>
          </cell>
          <cell r="AP438">
            <v>5286.41</v>
          </cell>
          <cell r="AQ438">
            <v>11467.76</v>
          </cell>
          <cell r="AR438">
            <v>16127.03</v>
          </cell>
          <cell r="AS438">
            <v>22166.170000000002</v>
          </cell>
          <cell r="AT438">
            <v>6019.62</v>
          </cell>
          <cell r="AU438">
            <v>11480.76</v>
          </cell>
          <cell r="AV438">
            <v>18415.66</v>
          </cell>
          <cell r="AW438">
            <v>29537.43</v>
          </cell>
          <cell r="AX438">
            <v>19394.099999999999</v>
          </cell>
          <cell r="AY438">
            <v>50231.8</v>
          </cell>
          <cell r="AZ438">
            <v>105835.39</v>
          </cell>
          <cell r="BA438">
            <v>158444.39000000001</v>
          </cell>
          <cell r="BB438">
            <v>163605.44</v>
          </cell>
        </row>
        <row r="439">
          <cell r="A439" t="str">
            <v>qtd</v>
          </cell>
          <cell r="B439">
            <v>6744.28</v>
          </cell>
          <cell r="C439">
            <v>13086.46</v>
          </cell>
          <cell r="D439">
            <v>21365.19</v>
          </cell>
          <cell r="E439">
            <v>29208.269999999997</v>
          </cell>
          <cell r="F439">
            <v>35539.759999999995</v>
          </cell>
          <cell r="G439">
            <v>43810.27</v>
          </cell>
          <cell r="H439">
            <v>53552.539999999994</v>
          </cell>
          <cell r="I439">
            <v>61640.439999999995</v>
          </cell>
          <cell r="J439">
            <v>70199.539999999994</v>
          </cell>
          <cell r="K439">
            <v>80309.539999999994</v>
          </cell>
          <cell r="L439">
            <v>87298.099999999991</v>
          </cell>
          <cell r="M439">
            <v>95484.239999999991</v>
          </cell>
          <cell r="N439">
            <v>6666.64</v>
          </cell>
          <cell r="O439">
            <v>15628.080000000002</v>
          </cell>
          <cell r="P439">
            <v>22655.9</v>
          </cell>
          <cell r="Q439">
            <v>30429.7</v>
          </cell>
          <cell r="R439">
            <v>39401.14</v>
          </cell>
          <cell r="S439">
            <v>48235.02</v>
          </cell>
          <cell r="T439">
            <v>54477.579999999994</v>
          </cell>
          <cell r="U439">
            <v>61623.259999999995</v>
          </cell>
          <cell r="V439">
            <v>68042.559999999998</v>
          </cell>
          <cell r="W439">
            <v>73971.06</v>
          </cell>
          <cell r="X439">
            <v>81587.839999999997</v>
          </cell>
          <cell r="Y439">
            <v>89165.319999999992</v>
          </cell>
          <cell r="Z439">
            <v>6458.52</v>
          </cell>
          <cell r="AA439">
            <v>15233.640000000001</v>
          </cell>
          <cell r="AB439">
            <v>23635.7</v>
          </cell>
          <cell r="AC439">
            <v>32037.760000000002</v>
          </cell>
          <cell r="AD439">
            <v>41833.64</v>
          </cell>
          <cell r="AE439">
            <v>51766.86</v>
          </cell>
          <cell r="AF439">
            <v>58500.28</v>
          </cell>
          <cell r="AG439">
            <v>66077.84</v>
          </cell>
          <cell r="AH439">
            <v>73812.479999999996</v>
          </cell>
          <cell r="AI439">
            <v>81134.86</v>
          </cell>
          <cell r="AJ439">
            <v>91146.72</v>
          </cell>
          <cell r="AK439">
            <v>98483.22</v>
          </cell>
          <cell r="AL439">
            <v>6152.2</v>
          </cell>
          <cell r="AM439">
            <v>12224.89</v>
          </cell>
          <cell r="AN439">
            <v>20607.879999999997</v>
          </cell>
          <cell r="AO439">
            <v>28653.829999999998</v>
          </cell>
          <cell r="AP439">
            <v>33940.239999999998</v>
          </cell>
          <cell r="AQ439">
            <v>40121.589999999997</v>
          </cell>
          <cell r="AR439">
            <v>44780.86</v>
          </cell>
          <cell r="AS439">
            <v>50820</v>
          </cell>
          <cell r="AT439">
            <v>56839.62</v>
          </cell>
          <cell r="AU439">
            <v>62300.76</v>
          </cell>
          <cell r="AV439">
            <v>69235.66</v>
          </cell>
          <cell r="AW439">
            <v>80357.430000000008</v>
          </cell>
          <cell r="AX439">
            <v>99751.53</v>
          </cell>
          <cell r="AY439">
            <v>130589.23</v>
          </cell>
          <cell r="AZ439">
            <v>186192.82</v>
          </cell>
          <cell r="BA439">
            <v>238801.82</v>
          </cell>
          <cell r="BB439">
            <v>243962.87</v>
          </cell>
        </row>
        <row r="440">
          <cell r="A440" t="str">
            <v>ytd</v>
          </cell>
          <cell r="B440">
            <v>6744.28</v>
          </cell>
          <cell r="C440">
            <v>13086.46</v>
          </cell>
          <cell r="D440">
            <v>21365.19</v>
          </cell>
          <cell r="E440">
            <v>29208.269999999997</v>
          </cell>
          <cell r="F440">
            <v>35539.759999999995</v>
          </cell>
          <cell r="G440">
            <v>43810.27</v>
          </cell>
          <cell r="H440">
            <v>53552.539999999994</v>
          </cell>
          <cell r="I440">
            <v>61640.439999999995</v>
          </cell>
          <cell r="J440">
            <v>70199.539999999994</v>
          </cell>
          <cell r="K440">
            <v>80309.539999999994</v>
          </cell>
          <cell r="L440">
            <v>87298.099999999991</v>
          </cell>
          <cell r="M440">
            <v>95484.239999999991</v>
          </cell>
          <cell r="N440">
            <v>102150.87999999999</v>
          </cell>
          <cell r="O440">
            <v>111112.31999999999</v>
          </cell>
          <cell r="P440">
            <v>118140.13999999998</v>
          </cell>
          <cell r="Q440">
            <v>125913.93999999999</v>
          </cell>
          <cell r="R440">
            <v>134885.37999999998</v>
          </cell>
          <cell r="S440">
            <v>143719.25999999998</v>
          </cell>
          <cell r="T440">
            <v>149961.81999999998</v>
          </cell>
          <cell r="U440">
            <v>157107.49999999997</v>
          </cell>
          <cell r="V440">
            <v>163526.79999999996</v>
          </cell>
          <cell r="W440">
            <v>169455.29999999996</v>
          </cell>
          <cell r="X440">
            <v>177072.07999999996</v>
          </cell>
          <cell r="Y440">
            <v>184649.55999999997</v>
          </cell>
          <cell r="Z440">
            <v>191108.07999999996</v>
          </cell>
          <cell r="AA440">
            <v>199883.19999999995</v>
          </cell>
          <cell r="AB440">
            <v>208285.25999999995</v>
          </cell>
          <cell r="AC440">
            <v>216687.31999999995</v>
          </cell>
          <cell r="AD440">
            <v>226483.19999999995</v>
          </cell>
          <cell r="AE440">
            <v>236416.41999999995</v>
          </cell>
          <cell r="AF440">
            <v>243149.83999999997</v>
          </cell>
          <cell r="AG440">
            <v>250727.39999999997</v>
          </cell>
          <cell r="AH440">
            <v>258462.03999999998</v>
          </cell>
          <cell r="AI440">
            <v>265784.42</v>
          </cell>
          <cell r="AJ440">
            <v>275796.27999999997</v>
          </cell>
          <cell r="AK440">
            <v>283132.77999999997</v>
          </cell>
          <cell r="AL440">
            <v>289284.98</v>
          </cell>
          <cell r="AM440">
            <v>295357.67</v>
          </cell>
          <cell r="AN440">
            <v>303740.65999999997</v>
          </cell>
          <cell r="AO440">
            <v>311786.61</v>
          </cell>
          <cell r="AP440">
            <v>317073.01999999996</v>
          </cell>
          <cell r="AQ440">
            <v>323254.36999999994</v>
          </cell>
          <cell r="AR440">
            <v>327913.63999999996</v>
          </cell>
          <cell r="AS440">
            <v>333952.77999999997</v>
          </cell>
          <cell r="AT440">
            <v>339972.39999999997</v>
          </cell>
          <cell r="AU440">
            <v>345433.54</v>
          </cell>
          <cell r="AV440">
            <v>352368.44</v>
          </cell>
          <cell r="AW440">
            <v>363490.21</v>
          </cell>
          <cell r="AX440">
            <v>382884.31</v>
          </cell>
          <cell r="AY440">
            <v>413722.01</v>
          </cell>
          <cell r="AZ440">
            <v>469325.6</v>
          </cell>
          <cell r="BA440">
            <v>521934.6</v>
          </cell>
          <cell r="BB440">
            <v>527095.65</v>
          </cell>
        </row>
        <row r="441">
          <cell r="A441" t="str">
            <v>TELE</v>
          </cell>
          <cell r="B441">
            <v>1146.69</v>
          </cell>
          <cell r="C441">
            <v>1282.06</v>
          </cell>
          <cell r="D441">
            <v>1473.44</v>
          </cell>
          <cell r="E441">
            <v>1310.1199999999999</v>
          </cell>
          <cell r="F441">
            <v>1347.89</v>
          </cell>
          <cell r="G441">
            <v>1550.16</v>
          </cell>
          <cell r="H441">
            <v>1845.52</v>
          </cell>
          <cell r="I441">
            <v>2056.3200000000002</v>
          </cell>
          <cell r="J441">
            <v>2150.4</v>
          </cell>
          <cell r="K441">
            <v>1787.52</v>
          </cell>
          <cell r="L441">
            <v>1706.88</v>
          </cell>
          <cell r="M441">
            <v>1317.12</v>
          </cell>
          <cell r="N441">
            <v>1800.96</v>
          </cell>
          <cell r="O441">
            <v>1747.2</v>
          </cell>
          <cell r="P441">
            <v>2593.92</v>
          </cell>
          <cell r="Q441">
            <v>1895.04</v>
          </cell>
          <cell r="R441">
            <v>1868.16</v>
          </cell>
          <cell r="S441">
            <v>1868.16</v>
          </cell>
          <cell r="T441">
            <v>1626.24</v>
          </cell>
          <cell r="U441">
            <v>1800.96</v>
          </cell>
          <cell r="V441">
            <v>1935.36</v>
          </cell>
          <cell r="W441">
            <v>1653.12</v>
          </cell>
          <cell r="X441">
            <v>1800.96</v>
          </cell>
          <cell r="Y441">
            <v>1814.4</v>
          </cell>
          <cell r="Z441">
            <v>1962.24</v>
          </cell>
          <cell r="AA441">
            <v>1720.32</v>
          </cell>
          <cell r="AB441">
            <v>1962.24</v>
          </cell>
          <cell r="AC441">
            <v>1841.28</v>
          </cell>
          <cell r="AD441">
            <v>2271.36</v>
          </cell>
          <cell r="AE441">
            <v>2526.7199999999998</v>
          </cell>
          <cell r="AF441">
            <v>1948.8</v>
          </cell>
          <cell r="AG441">
            <v>2069.7600000000002</v>
          </cell>
          <cell r="AH441">
            <v>1706.88</v>
          </cell>
          <cell r="AI441">
            <v>1747.2</v>
          </cell>
          <cell r="AJ441">
            <v>1532.16</v>
          </cell>
          <cell r="AK441">
            <v>1535.15</v>
          </cell>
          <cell r="AL441">
            <v>1016.42</v>
          </cell>
          <cell r="AM441">
            <v>497.17</v>
          </cell>
          <cell r="AN441">
            <v>367.04</v>
          </cell>
          <cell r="AO441">
            <v>227.55</v>
          </cell>
          <cell r="AP441">
            <v>203.89</v>
          </cell>
          <cell r="AQ441">
            <v>143.69999999999999</v>
          </cell>
          <cell r="AR441">
            <v>41.11</v>
          </cell>
          <cell r="AS441">
            <v>143.9</v>
          </cell>
          <cell r="AT441">
            <v>70.78</v>
          </cell>
          <cell r="AU441">
            <v>99.39</v>
          </cell>
          <cell r="AV441">
            <v>106.42</v>
          </cell>
          <cell r="AW441">
            <v>156.38999999999999</v>
          </cell>
          <cell r="AX441">
            <v>29.19</v>
          </cell>
          <cell r="AY441">
            <v>39.89</v>
          </cell>
          <cell r="AZ441">
            <v>102.52</v>
          </cell>
          <cell r="BA441">
            <v>102.31</v>
          </cell>
          <cell r="BB441">
            <v>61.58</v>
          </cell>
        </row>
        <row r="442">
          <cell r="A442" t="str">
            <v>ptd</v>
          </cell>
          <cell r="B442">
            <v>1146.69</v>
          </cell>
          <cell r="C442">
            <v>2428.75</v>
          </cell>
          <cell r="D442">
            <v>3902.19</v>
          </cell>
          <cell r="E442">
            <v>5212.3099999999995</v>
          </cell>
          <cell r="F442">
            <v>1347.89</v>
          </cell>
          <cell r="G442">
            <v>2898.05</v>
          </cell>
          <cell r="H442">
            <v>4743.57</v>
          </cell>
          <cell r="I442">
            <v>6799.8899999999994</v>
          </cell>
          <cell r="J442">
            <v>2150.4</v>
          </cell>
          <cell r="K442">
            <v>3937.92</v>
          </cell>
          <cell r="L442">
            <v>5644.8</v>
          </cell>
          <cell r="M442">
            <v>6961.92</v>
          </cell>
          <cell r="N442">
            <v>1800.96</v>
          </cell>
          <cell r="O442">
            <v>3548.16</v>
          </cell>
          <cell r="P442">
            <v>6142.08</v>
          </cell>
          <cell r="Q442">
            <v>8037.12</v>
          </cell>
          <cell r="R442">
            <v>1868.16</v>
          </cell>
          <cell r="S442">
            <v>3736.32</v>
          </cell>
          <cell r="T442">
            <v>5362.56</v>
          </cell>
          <cell r="U442">
            <v>7163.52</v>
          </cell>
          <cell r="V442">
            <v>1935.36</v>
          </cell>
          <cell r="W442">
            <v>3588.4799999999996</v>
          </cell>
          <cell r="X442">
            <v>5389.44</v>
          </cell>
          <cell r="Y442">
            <v>7203.84</v>
          </cell>
          <cell r="Z442">
            <v>1962.24</v>
          </cell>
          <cell r="AA442">
            <v>3682.56</v>
          </cell>
          <cell r="AB442">
            <v>5644.8</v>
          </cell>
          <cell r="AC442">
            <v>7486.08</v>
          </cell>
          <cell r="AD442">
            <v>2271.36</v>
          </cell>
          <cell r="AE442">
            <v>4798.08</v>
          </cell>
          <cell r="AF442">
            <v>6746.88</v>
          </cell>
          <cell r="AG442">
            <v>8816.64</v>
          </cell>
          <cell r="AH442">
            <v>1706.88</v>
          </cell>
          <cell r="AI442">
            <v>3454.08</v>
          </cell>
          <cell r="AJ442">
            <v>4986.24</v>
          </cell>
          <cell r="AK442">
            <v>6521.3899999999994</v>
          </cell>
          <cell r="AL442">
            <v>1016.42</v>
          </cell>
          <cell r="AM442">
            <v>1513.59</v>
          </cell>
          <cell r="AN442">
            <v>1880.6299999999999</v>
          </cell>
          <cell r="AO442">
            <v>2108.1799999999998</v>
          </cell>
          <cell r="AP442">
            <v>203.89</v>
          </cell>
          <cell r="AQ442">
            <v>347.59</v>
          </cell>
          <cell r="AR442">
            <v>388.7</v>
          </cell>
          <cell r="AS442">
            <v>532.6</v>
          </cell>
          <cell r="AT442">
            <v>70.78</v>
          </cell>
          <cell r="AU442">
            <v>170.17000000000002</v>
          </cell>
          <cell r="AV442">
            <v>276.59000000000003</v>
          </cell>
          <cell r="AW442">
            <v>432.98</v>
          </cell>
          <cell r="AX442">
            <v>29.19</v>
          </cell>
          <cell r="AY442">
            <v>69.08</v>
          </cell>
          <cell r="AZ442">
            <v>171.6</v>
          </cell>
          <cell r="BA442">
            <v>273.90999999999997</v>
          </cell>
          <cell r="BB442">
            <v>335.48999999999995</v>
          </cell>
        </row>
        <row r="443">
          <cell r="A443" t="str">
            <v>qtd</v>
          </cell>
          <cell r="B443">
            <v>1146.69</v>
          </cell>
          <cell r="C443">
            <v>2428.75</v>
          </cell>
          <cell r="D443">
            <v>3902.19</v>
          </cell>
          <cell r="E443">
            <v>5212.3099999999995</v>
          </cell>
          <cell r="F443">
            <v>6560.2</v>
          </cell>
          <cell r="G443">
            <v>8110.36</v>
          </cell>
          <cell r="H443">
            <v>9955.8799999999992</v>
          </cell>
          <cell r="I443">
            <v>12012.199999999999</v>
          </cell>
          <cell r="J443">
            <v>14162.599999999999</v>
          </cell>
          <cell r="K443">
            <v>15950.119999999999</v>
          </cell>
          <cell r="L443">
            <v>17657</v>
          </cell>
          <cell r="M443">
            <v>18974.12</v>
          </cell>
          <cell r="N443">
            <v>1800.96</v>
          </cell>
          <cell r="O443">
            <v>3548.16</v>
          </cell>
          <cell r="P443">
            <v>6142.08</v>
          </cell>
          <cell r="Q443">
            <v>8037.12</v>
          </cell>
          <cell r="R443">
            <v>9905.2800000000007</v>
          </cell>
          <cell r="S443">
            <v>11773.44</v>
          </cell>
          <cell r="T443">
            <v>13399.68</v>
          </cell>
          <cell r="U443">
            <v>15200.64</v>
          </cell>
          <cell r="V443">
            <v>17136</v>
          </cell>
          <cell r="W443">
            <v>18789.12</v>
          </cell>
          <cell r="X443">
            <v>20590.079999999998</v>
          </cell>
          <cell r="Y443">
            <v>22404.48</v>
          </cell>
          <cell r="Z443">
            <v>1962.24</v>
          </cell>
          <cell r="AA443">
            <v>3682.56</v>
          </cell>
          <cell r="AB443">
            <v>5644.8</v>
          </cell>
          <cell r="AC443">
            <v>7486.08</v>
          </cell>
          <cell r="AD443">
            <v>9757.44</v>
          </cell>
          <cell r="AE443">
            <v>12284.16</v>
          </cell>
          <cell r="AF443">
            <v>14232.96</v>
          </cell>
          <cell r="AG443">
            <v>16302.72</v>
          </cell>
          <cell r="AH443">
            <v>18009.599999999999</v>
          </cell>
          <cell r="AI443">
            <v>19756.8</v>
          </cell>
          <cell r="AJ443">
            <v>21288.959999999999</v>
          </cell>
          <cell r="AK443">
            <v>22824.11</v>
          </cell>
          <cell r="AL443">
            <v>1016.42</v>
          </cell>
          <cell r="AM443">
            <v>1513.59</v>
          </cell>
          <cell r="AN443">
            <v>1880.6299999999999</v>
          </cell>
          <cell r="AO443">
            <v>2108.1799999999998</v>
          </cell>
          <cell r="AP443">
            <v>2312.0699999999997</v>
          </cell>
          <cell r="AQ443">
            <v>2455.7699999999995</v>
          </cell>
          <cell r="AR443">
            <v>2496.8799999999997</v>
          </cell>
          <cell r="AS443">
            <v>2640.7799999999997</v>
          </cell>
          <cell r="AT443">
            <v>2711.56</v>
          </cell>
          <cell r="AU443">
            <v>2810.95</v>
          </cell>
          <cell r="AV443">
            <v>2917.37</v>
          </cell>
          <cell r="AW443">
            <v>3073.7599999999998</v>
          </cell>
          <cell r="AX443">
            <v>3102.95</v>
          </cell>
          <cell r="AY443">
            <v>3142.8399999999997</v>
          </cell>
          <cell r="AZ443">
            <v>3245.3599999999997</v>
          </cell>
          <cell r="BA443">
            <v>3347.6699999999996</v>
          </cell>
          <cell r="BB443">
            <v>3409.2499999999995</v>
          </cell>
        </row>
        <row r="444">
          <cell r="A444" t="str">
            <v>ytd</v>
          </cell>
          <cell r="B444">
            <v>1146.69</v>
          </cell>
          <cell r="C444">
            <v>2428.75</v>
          </cell>
          <cell r="D444">
            <v>3902.19</v>
          </cell>
          <cell r="E444">
            <v>5212.3099999999995</v>
          </cell>
          <cell r="F444">
            <v>6560.2</v>
          </cell>
          <cell r="G444">
            <v>8110.36</v>
          </cell>
          <cell r="H444">
            <v>9955.8799999999992</v>
          </cell>
          <cell r="I444">
            <v>12012.199999999999</v>
          </cell>
          <cell r="J444">
            <v>14162.599999999999</v>
          </cell>
          <cell r="K444">
            <v>15950.119999999999</v>
          </cell>
          <cell r="L444">
            <v>17657</v>
          </cell>
          <cell r="M444">
            <v>18974.12</v>
          </cell>
          <cell r="N444">
            <v>20775.079999999998</v>
          </cell>
          <cell r="O444">
            <v>22522.28</v>
          </cell>
          <cell r="P444">
            <v>25116.199999999997</v>
          </cell>
          <cell r="Q444">
            <v>27011.239999999998</v>
          </cell>
          <cell r="R444">
            <v>28879.399999999998</v>
          </cell>
          <cell r="S444">
            <v>30747.559999999998</v>
          </cell>
          <cell r="T444">
            <v>32373.8</v>
          </cell>
          <cell r="U444">
            <v>34174.76</v>
          </cell>
          <cell r="V444">
            <v>36110.120000000003</v>
          </cell>
          <cell r="W444">
            <v>37763.240000000005</v>
          </cell>
          <cell r="X444">
            <v>39564.200000000004</v>
          </cell>
          <cell r="Y444">
            <v>41378.600000000006</v>
          </cell>
          <cell r="Z444">
            <v>43340.840000000004</v>
          </cell>
          <cell r="AA444">
            <v>45061.16</v>
          </cell>
          <cell r="AB444">
            <v>47023.4</v>
          </cell>
          <cell r="AC444">
            <v>48864.68</v>
          </cell>
          <cell r="AD444">
            <v>51136.04</v>
          </cell>
          <cell r="AE444">
            <v>53662.76</v>
          </cell>
          <cell r="AF444">
            <v>55611.560000000005</v>
          </cell>
          <cell r="AG444">
            <v>57681.320000000007</v>
          </cell>
          <cell r="AH444">
            <v>59388.200000000004</v>
          </cell>
          <cell r="AI444">
            <v>61135.4</v>
          </cell>
          <cell r="AJ444">
            <v>62667.560000000005</v>
          </cell>
          <cell r="AK444">
            <v>64202.710000000006</v>
          </cell>
          <cell r="AL444">
            <v>65219.130000000005</v>
          </cell>
          <cell r="AM444">
            <v>65716.3</v>
          </cell>
          <cell r="AN444">
            <v>66083.34</v>
          </cell>
          <cell r="AO444">
            <v>66310.89</v>
          </cell>
          <cell r="AP444">
            <v>66514.78</v>
          </cell>
          <cell r="AQ444">
            <v>66658.48</v>
          </cell>
          <cell r="AR444">
            <v>66699.59</v>
          </cell>
          <cell r="AS444">
            <v>66843.489999999991</v>
          </cell>
          <cell r="AT444">
            <v>66914.26999999999</v>
          </cell>
          <cell r="AU444">
            <v>67013.659999999989</v>
          </cell>
          <cell r="AV444">
            <v>67120.079999999987</v>
          </cell>
          <cell r="AW444">
            <v>67276.469999999987</v>
          </cell>
          <cell r="AX444">
            <v>67305.659999999989</v>
          </cell>
          <cell r="AY444">
            <v>67345.549999999988</v>
          </cell>
          <cell r="AZ444">
            <v>67448.069999999992</v>
          </cell>
          <cell r="BA444">
            <v>67550.37999999999</v>
          </cell>
          <cell r="BB444">
            <v>67611.959999999992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19.95</v>
          </cell>
          <cell r="AW449">
            <v>98.28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19.95</v>
          </cell>
          <cell r="AW450">
            <v>118.23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19.95</v>
          </cell>
          <cell r="AW451">
            <v>118.23</v>
          </cell>
          <cell r="AX451">
            <v>118.23</v>
          </cell>
          <cell r="AY451">
            <v>118.23</v>
          </cell>
          <cell r="AZ451">
            <v>118.23</v>
          </cell>
          <cell r="BA451">
            <v>118.23</v>
          </cell>
          <cell r="BB451">
            <v>118.23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19.95</v>
          </cell>
          <cell r="AW452">
            <v>118.23</v>
          </cell>
          <cell r="AX452">
            <v>118.23</v>
          </cell>
          <cell r="AY452">
            <v>118.23</v>
          </cell>
          <cell r="AZ452">
            <v>118.23</v>
          </cell>
          <cell r="BA452">
            <v>118.23</v>
          </cell>
          <cell r="BB452">
            <v>118.23</v>
          </cell>
        </row>
        <row r="453">
          <cell r="A453" t="str">
            <v>TOTAL</v>
          </cell>
          <cell r="B453">
            <v>268579.33</v>
          </cell>
          <cell r="C453">
            <v>323628.90000000002</v>
          </cell>
          <cell r="D453">
            <v>303346.61</v>
          </cell>
          <cell r="E453">
            <v>296330.76999999996</v>
          </cell>
          <cell r="F453">
            <v>306555.99</v>
          </cell>
          <cell r="G453">
            <v>363487.82</v>
          </cell>
          <cell r="H453">
            <v>438601.78</v>
          </cell>
          <cell r="I453">
            <v>395952.60000000003</v>
          </cell>
          <cell r="J453">
            <v>505526.15</v>
          </cell>
          <cell r="K453">
            <v>427699.43</v>
          </cell>
          <cell r="L453">
            <v>443570.5</v>
          </cell>
          <cell r="M453">
            <v>456067.07</v>
          </cell>
          <cell r="N453">
            <v>387313.56000000006</v>
          </cell>
          <cell r="O453">
            <v>455787.19</v>
          </cell>
          <cell r="P453">
            <v>463662.8</v>
          </cell>
          <cell r="Q453">
            <v>456624.65999999992</v>
          </cell>
          <cell r="R453">
            <v>457051.91000000003</v>
          </cell>
          <cell r="S453">
            <v>573453.99</v>
          </cell>
          <cell r="T453">
            <v>800739.7300000001</v>
          </cell>
          <cell r="U453">
            <v>554298.91999999993</v>
          </cell>
          <cell r="V453">
            <v>536062.37</v>
          </cell>
          <cell r="W453">
            <v>517889.63</v>
          </cell>
          <cell r="X453">
            <v>537763.97</v>
          </cell>
          <cell r="Y453">
            <v>519131.64</v>
          </cell>
          <cell r="Z453">
            <v>539370</v>
          </cell>
          <cell r="AA453">
            <v>582177.14000000013</v>
          </cell>
          <cell r="AB453">
            <v>547726</v>
          </cell>
          <cell r="AC453">
            <v>504271.06</v>
          </cell>
          <cell r="AD453">
            <v>540746.96999999986</v>
          </cell>
          <cell r="AE453">
            <v>531024.92000000004</v>
          </cell>
          <cell r="AF453">
            <v>546237.67000000004</v>
          </cell>
          <cell r="AG453">
            <v>550018.66999999993</v>
          </cell>
          <cell r="AH453">
            <v>540616.05000000005</v>
          </cell>
          <cell r="AI453">
            <v>543288.16</v>
          </cell>
          <cell r="AJ453">
            <v>596114.41</v>
          </cell>
          <cell r="AK453">
            <v>872422.14999999991</v>
          </cell>
          <cell r="AL453">
            <v>580019.96000000008</v>
          </cell>
          <cell r="AM453">
            <v>573292.17000000004</v>
          </cell>
          <cell r="AN453">
            <v>596574.78999999992</v>
          </cell>
          <cell r="AO453">
            <v>560679.03999999992</v>
          </cell>
          <cell r="AP453">
            <v>469541.57</v>
          </cell>
          <cell r="AQ453">
            <v>493958.76</v>
          </cell>
          <cell r="AR453">
            <v>475407.93</v>
          </cell>
          <cell r="AS453">
            <v>482999.42000000004</v>
          </cell>
          <cell r="AT453">
            <v>594330.32999999996</v>
          </cell>
          <cell r="AU453">
            <v>776654.24000000011</v>
          </cell>
          <cell r="AV453">
            <v>834590.32000000007</v>
          </cell>
          <cell r="AW453">
            <v>1032491.8099999999</v>
          </cell>
          <cell r="AX453">
            <v>1721650.16</v>
          </cell>
          <cell r="AY453">
            <v>3081171.42</v>
          </cell>
          <cell r="AZ453">
            <v>6439248.3300000001</v>
          </cell>
          <cell r="BA453">
            <v>5835297.71</v>
          </cell>
          <cell r="BB453">
            <v>722605.55</v>
          </cell>
        </row>
        <row r="454">
          <cell r="A454" t="str">
            <v>ptd</v>
          </cell>
          <cell r="B454">
            <v>268579.33</v>
          </cell>
          <cell r="C454">
            <v>592208.23</v>
          </cell>
          <cell r="D454">
            <v>895554.84000000008</v>
          </cell>
          <cell r="E454">
            <v>1191885.6099999999</v>
          </cell>
          <cell r="F454">
            <v>306555.99</v>
          </cell>
          <cell r="G454">
            <v>670043.80999999994</v>
          </cell>
          <cell r="H454">
            <v>1108645.5900000001</v>
          </cell>
          <cell r="I454">
            <v>1504598.1900000002</v>
          </cell>
          <cell r="J454">
            <v>505526.15</v>
          </cell>
          <cell r="K454">
            <v>933225.58</v>
          </cell>
          <cell r="L454">
            <v>1376796.0799999998</v>
          </cell>
          <cell r="M454">
            <v>1832863.15</v>
          </cell>
          <cell r="N454">
            <v>387313.56</v>
          </cell>
          <cell r="O454">
            <v>843100.75</v>
          </cell>
          <cell r="P454">
            <v>1306763.55</v>
          </cell>
          <cell r="Q454">
            <v>1763388.21</v>
          </cell>
          <cell r="R454">
            <v>457051.91000000003</v>
          </cell>
          <cell r="S454">
            <v>1030505.9000000001</v>
          </cell>
          <cell r="T454">
            <v>1831245.6300000001</v>
          </cell>
          <cell r="U454">
            <v>2385544.5500000003</v>
          </cell>
          <cell r="V454">
            <v>536062.37</v>
          </cell>
          <cell r="W454">
            <v>1053952</v>
          </cell>
          <cell r="X454">
            <v>1591715.97</v>
          </cell>
          <cell r="Y454">
            <v>2110847.61</v>
          </cell>
          <cell r="Z454">
            <v>539370</v>
          </cell>
          <cell r="AA454">
            <v>1121547.1400000001</v>
          </cell>
          <cell r="AB454">
            <v>1669273.1400000001</v>
          </cell>
          <cell r="AC454">
            <v>2173544.2000000002</v>
          </cell>
          <cell r="AD454">
            <v>540746.97</v>
          </cell>
          <cell r="AE454">
            <v>1071771.8900000001</v>
          </cell>
          <cell r="AF454">
            <v>1618009.56</v>
          </cell>
          <cell r="AG454">
            <v>2168028.23</v>
          </cell>
          <cell r="AH454">
            <v>540616.05000000005</v>
          </cell>
          <cell r="AI454">
            <v>1083904.21</v>
          </cell>
          <cell r="AJ454">
            <v>1680018.62</v>
          </cell>
          <cell r="AK454">
            <v>2552440.7699999996</v>
          </cell>
          <cell r="AL454">
            <v>580019.96</v>
          </cell>
          <cell r="AM454">
            <v>1153312.1299999999</v>
          </cell>
          <cell r="AN454">
            <v>1749886.92</v>
          </cell>
          <cell r="AO454">
            <v>2310565.96</v>
          </cell>
          <cell r="AP454">
            <v>469541.57</v>
          </cell>
          <cell r="AQ454">
            <v>963500.33000000007</v>
          </cell>
          <cell r="AR454">
            <v>1438908.26</v>
          </cell>
          <cell r="AS454">
            <v>1921907.6800000002</v>
          </cell>
          <cell r="AT454">
            <v>594330.33000000007</v>
          </cell>
          <cell r="AU454">
            <v>1370984.57</v>
          </cell>
          <cell r="AV454">
            <v>2205574.89</v>
          </cell>
          <cell r="AW454">
            <v>3238066.7</v>
          </cell>
          <cell r="AX454">
            <v>1721650.1600000001</v>
          </cell>
          <cell r="AY454">
            <v>4802821.58</v>
          </cell>
          <cell r="AZ454">
            <v>11242069.91</v>
          </cell>
          <cell r="BA454">
            <v>17077367.619999997</v>
          </cell>
          <cell r="BB454">
            <v>17799973.169999998</v>
          </cell>
        </row>
        <row r="455">
          <cell r="A455" t="str">
            <v>qtd</v>
          </cell>
          <cell r="B455">
            <v>268579.33</v>
          </cell>
          <cell r="C455">
            <v>592208.23</v>
          </cell>
          <cell r="D455">
            <v>895554.84000000008</v>
          </cell>
          <cell r="E455">
            <v>1191885.6099999999</v>
          </cell>
          <cell r="F455">
            <v>1498441.5999999999</v>
          </cell>
          <cell r="G455">
            <v>1861929.4200000002</v>
          </cell>
          <cell r="H455">
            <v>2300531.2000000002</v>
          </cell>
          <cell r="I455">
            <v>2696483.8000000003</v>
          </cell>
          <cell r="J455">
            <v>3202009.95</v>
          </cell>
          <cell r="K455">
            <v>3629709.3800000008</v>
          </cell>
          <cell r="L455">
            <v>4073279.8800000004</v>
          </cell>
          <cell r="M455">
            <v>4529346.9500000011</v>
          </cell>
          <cell r="N455">
            <v>387313.56</v>
          </cell>
          <cell r="O455">
            <v>843100.75</v>
          </cell>
          <cell r="P455">
            <v>1306763.55</v>
          </cell>
          <cell r="Q455">
            <v>1763388.21</v>
          </cell>
          <cell r="R455">
            <v>2220440.12</v>
          </cell>
          <cell r="S455">
            <v>2793894.11</v>
          </cell>
          <cell r="T455">
            <v>3594633.84</v>
          </cell>
          <cell r="U455">
            <v>4148932.76</v>
          </cell>
          <cell r="V455">
            <v>4684995.129999999</v>
          </cell>
          <cell r="W455">
            <v>5202884.76</v>
          </cell>
          <cell r="X455">
            <v>5740648.7299999995</v>
          </cell>
          <cell r="Y455">
            <v>6259780.3700000001</v>
          </cell>
          <cell r="Z455">
            <v>539370</v>
          </cell>
          <cell r="AA455">
            <v>1121547.1400000001</v>
          </cell>
          <cell r="AB455">
            <v>1669273.1400000001</v>
          </cell>
          <cell r="AC455">
            <v>2173544.2000000002</v>
          </cell>
          <cell r="AD455">
            <v>2714291.17</v>
          </cell>
          <cell r="AE455">
            <v>3245316.09</v>
          </cell>
          <cell r="AF455">
            <v>3791553.76</v>
          </cell>
          <cell r="AG455">
            <v>4341572.43</v>
          </cell>
          <cell r="AH455">
            <v>4882188.4800000004</v>
          </cell>
          <cell r="AI455">
            <v>5425476.6400000006</v>
          </cell>
          <cell r="AJ455">
            <v>6021591.0500000007</v>
          </cell>
          <cell r="AK455">
            <v>6894013.2000000002</v>
          </cell>
          <cell r="AL455">
            <v>580019.96</v>
          </cell>
          <cell r="AM455">
            <v>1153312.1299999999</v>
          </cell>
          <cell r="AN455">
            <v>1749886.92</v>
          </cell>
          <cell r="AO455">
            <v>2310565.96</v>
          </cell>
          <cell r="AP455">
            <v>2780107.5300000003</v>
          </cell>
          <cell r="AQ455">
            <v>3274066.29</v>
          </cell>
          <cell r="AR455">
            <v>3749474.22</v>
          </cell>
          <cell r="AS455">
            <v>4232473.6400000006</v>
          </cell>
          <cell r="AT455">
            <v>4826803.9700000007</v>
          </cell>
          <cell r="AU455">
            <v>5603458.2100000009</v>
          </cell>
          <cell r="AV455">
            <v>6438048.5300000003</v>
          </cell>
          <cell r="AW455">
            <v>7470540.3399999999</v>
          </cell>
          <cell r="AX455">
            <v>9192190.5</v>
          </cell>
          <cell r="AY455">
            <v>12273361.920000002</v>
          </cell>
          <cell r="AZ455">
            <v>18712610.25</v>
          </cell>
          <cell r="BA455">
            <v>24547907.960000001</v>
          </cell>
          <cell r="BB455">
            <v>25270513.509999998</v>
          </cell>
        </row>
        <row r="456">
          <cell r="A456" t="str">
            <v>ytd</v>
          </cell>
          <cell r="B456">
            <v>268579.33</v>
          </cell>
          <cell r="C456">
            <v>592208.23</v>
          </cell>
          <cell r="D456">
            <v>895554.84000000008</v>
          </cell>
          <cell r="E456">
            <v>1191885.6099999999</v>
          </cell>
          <cell r="F456">
            <v>1498441.5999999999</v>
          </cell>
          <cell r="G456">
            <v>1861929.4200000002</v>
          </cell>
          <cell r="H456">
            <v>2300531.2000000002</v>
          </cell>
          <cell r="I456">
            <v>2696483.8000000003</v>
          </cell>
          <cell r="J456">
            <v>3202009.95</v>
          </cell>
          <cell r="K456">
            <v>3629709.3800000008</v>
          </cell>
          <cell r="L456">
            <v>4073279.8800000004</v>
          </cell>
          <cell r="M456">
            <v>4529346.9500000011</v>
          </cell>
          <cell r="N456">
            <v>4916660.5100000016</v>
          </cell>
          <cell r="O456">
            <v>5372447.7000000011</v>
          </cell>
          <cell r="P456">
            <v>5836110.5000000009</v>
          </cell>
          <cell r="Q456">
            <v>6292735.1600000011</v>
          </cell>
          <cell r="R456">
            <v>6749787.0700000003</v>
          </cell>
          <cell r="S456">
            <v>7323241.0600000005</v>
          </cell>
          <cell r="T456">
            <v>8123980.790000001</v>
          </cell>
          <cell r="U456">
            <v>8678279.7100000009</v>
          </cell>
          <cell r="V456">
            <v>9214342.0800000019</v>
          </cell>
          <cell r="W456">
            <v>9732231.7100000009</v>
          </cell>
          <cell r="X456">
            <v>10269995.680000002</v>
          </cell>
          <cell r="Y456">
            <v>10789127.320000002</v>
          </cell>
          <cell r="Z456">
            <v>11328497.32</v>
          </cell>
          <cell r="AA456">
            <v>11910674.460000001</v>
          </cell>
          <cell r="AB456">
            <v>12458400.460000001</v>
          </cell>
          <cell r="AC456">
            <v>12962671.520000001</v>
          </cell>
          <cell r="AD456">
            <v>13503418.49</v>
          </cell>
          <cell r="AE456">
            <v>14034443.409999998</v>
          </cell>
          <cell r="AF456">
            <v>14580681.08</v>
          </cell>
          <cell r="AG456">
            <v>15130699.75</v>
          </cell>
          <cell r="AH456">
            <v>15671315.799999999</v>
          </cell>
          <cell r="AI456">
            <v>16214603.960000001</v>
          </cell>
          <cell r="AJ456">
            <v>16810718.370000001</v>
          </cell>
          <cell r="AK456">
            <v>17683140.520000003</v>
          </cell>
          <cell r="AL456">
            <v>18263160.480000004</v>
          </cell>
          <cell r="AM456">
            <v>18836452.650000002</v>
          </cell>
          <cell r="AN456">
            <v>19433027.440000005</v>
          </cell>
          <cell r="AO456">
            <v>19993706.480000004</v>
          </cell>
          <cell r="AP456">
            <v>20463248.050000004</v>
          </cell>
          <cell r="AQ456">
            <v>20957206.810000002</v>
          </cell>
          <cell r="AR456">
            <v>21432614.740000006</v>
          </cell>
          <cell r="AS456">
            <v>21915614.160000004</v>
          </cell>
          <cell r="AT456">
            <v>22509944.490000002</v>
          </cell>
          <cell r="AU456">
            <v>23286598.730000004</v>
          </cell>
          <cell r="AV456">
            <v>24121189.050000004</v>
          </cell>
          <cell r="AW456">
            <v>25153680.860000003</v>
          </cell>
          <cell r="AX456">
            <v>26875331.020000003</v>
          </cell>
          <cell r="AY456">
            <v>29956502.440000005</v>
          </cell>
          <cell r="AZ456">
            <v>36395750.770000003</v>
          </cell>
          <cell r="BA456">
            <v>42231048.480000004</v>
          </cell>
          <cell r="BB456">
            <v>42953654.030000001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590927.99</v>
          </cell>
          <cell r="C460">
            <v>502035.08999999997</v>
          </cell>
          <cell r="D460">
            <v>572308.07000000007</v>
          </cell>
          <cell r="E460">
            <v>584371.4</v>
          </cell>
          <cell r="F460">
            <v>614732.89</v>
          </cell>
          <cell r="G460">
            <v>675537.02</v>
          </cell>
          <cell r="H460">
            <v>928542.09000000008</v>
          </cell>
          <cell r="I460">
            <v>514255.22</v>
          </cell>
          <cell r="J460">
            <v>557935.90999999992</v>
          </cell>
          <cell r="K460">
            <v>557173.52</v>
          </cell>
          <cell r="L460">
            <v>656081.19999999995</v>
          </cell>
          <cell r="M460">
            <v>1038697.72</v>
          </cell>
          <cell r="N460">
            <v>597383.53</v>
          </cell>
          <cell r="O460">
            <v>588875.47</v>
          </cell>
          <cell r="P460">
            <v>593112.09000000008</v>
          </cell>
          <cell r="Q460">
            <v>631032.15</v>
          </cell>
          <cell r="R460">
            <v>754833.89</v>
          </cell>
          <cell r="S460">
            <v>757458.6</v>
          </cell>
          <cell r="T460">
            <v>1312798.71</v>
          </cell>
          <cell r="U460">
            <v>1017290.5700000001</v>
          </cell>
          <cell r="V460">
            <v>892075.89</v>
          </cell>
          <cell r="W460">
            <v>953281.88</v>
          </cell>
          <cell r="X460">
            <v>1153196.31</v>
          </cell>
          <cell r="Y460">
            <v>1802738.9400000002</v>
          </cell>
          <cell r="Z460">
            <v>1253297.82</v>
          </cell>
          <cell r="AA460">
            <v>876028.33</v>
          </cell>
          <cell r="AB460">
            <v>810253.89999999991</v>
          </cell>
          <cell r="AC460">
            <v>826636.17999999993</v>
          </cell>
          <cell r="AD460">
            <v>843347.73</v>
          </cell>
          <cell r="AE460">
            <v>829040.46</v>
          </cell>
          <cell r="AF460">
            <v>820554</v>
          </cell>
          <cell r="AG460">
            <v>890199.79</v>
          </cell>
          <cell r="AH460">
            <v>849839.08000000007</v>
          </cell>
          <cell r="AI460">
            <v>766338.39999999991</v>
          </cell>
          <cell r="AJ460">
            <v>767623.62</v>
          </cell>
          <cell r="AK460">
            <v>602258.94999999995</v>
          </cell>
          <cell r="AL460">
            <v>618309.65999999992</v>
          </cell>
          <cell r="AM460">
            <v>598343.74</v>
          </cell>
          <cell r="AN460">
            <v>612622.39</v>
          </cell>
          <cell r="AO460">
            <v>607852.38</v>
          </cell>
          <cell r="AP460">
            <v>593867.59</v>
          </cell>
          <cell r="AQ460">
            <v>723502.15999999992</v>
          </cell>
          <cell r="AR460">
            <v>700232.01</v>
          </cell>
          <cell r="AS460">
            <v>760509.14</v>
          </cell>
          <cell r="AT460">
            <v>815031.55</v>
          </cell>
          <cell r="AU460">
            <v>921632.3600000001</v>
          </cell>
          <cell r="AV460">
            <v>997600.12</v>
          </cell>
          <cell r="AW460">
            <v>1177589.31</v>
          </cell>
          <cell r="AX460">
            <v>1701748.5899999999</v>
          </cell>
          <cell r="AY460">
            <v>3130812.04</v>
          </cell>
          <cell r="AZ460">
            <v>6604551.4000000004</v>
          </cell>
          <cell r="BA460">
            <v>8480632.0499999989</v>
          </cell>
          <cell r="BB460">
            <v>913643.87</v>
          </cell>
        </row>
        <row r="461">
          <cell r="A461" t="str">
            <v>ptd</v>
          </cell>
          <cell r="B461">
            <v>590927.99</v>
          </cell>
          <cell r="C461">
            <v>1092963.08</v>
          </cell>
          <cell r="D461">
            <v>1665271.1500000001</v>
          </cell>
          <cell r="E461">
            <v>2249642.5500000003</v>
          </cell>
          <cell r="F461">
            <v>614732.89</v>
          </cell>
          <cell r="G461">
            <v>1290269.9100000001</v>
          </cell>
          <cell r="H461">
            <v>2218812</v>
          </cell>
          <cell r="I461">
            <v>2733067.2199999997</v>
          </cell>
          <cell r="J461">
            <v>557935.90999999992</v>
          </cell>
          <cell r="K461">
            <v>1115109.43</v>
          </cell>
          <cell r="L461">
            <v>1771190.63</v>
          </cell>
          <cell r="M461">
            <v>2809888.3499999996</v>
          </cell>
          <cell r="N461">
            <v>597383.53</v>
          </cell>
          <cell r="O461">
            <v>1186259</v>
          </cell>
          <cell r="P461">
            <v>1779371.09</v>
          </cell>
          <cell r="Q461">
            <v>2410403.2400000002</v>
          </cell>
          <cell r="R461">
            <v>754833.89</v>
          </cell>
          <cell r="S461">
            <v>1512292.49</v>
          </cell>
          <cell r="T461">
            <v>2825091.2</v>
          </cell>
          <cell r="U461">
            <v>3842381.7700000005</v>
          </cell>
          <cell r="V461">
            <v>892075.89</v>
          </cell>
          <cell r="W461">
            <v>1845357.77</v>
          </cell>
          <cell r="X461">
            <v>2998554.08</v>
          </cell>
          <cell r="Y461">
            <v>4801293.0200000005</v>
          </cell>
          <cell r="Z461">
            <v>1253297.82</v>
          </cell>
          <cell r="AA461">
            <v>2129326.15</v>
          </cell>
          <cell r="AB461">
            <v>2939580.05</v>
          </cell>
          <cell r="AC461">
            <v>3766216.2299999995</v>
          </cell>
          <cell r="AD461">
            <v>843347.73</v>
          </cell>
          <cell r="AE461">
            <v>1672388.19</v>
          </cell>
          <cell r="AF461">
            <v>2492942.19</v>
          </cell>
          <cell r="AG461">
            <v>3383141.98</v>
          </cell>
          <cell r="AH461">
            <v>849839.08000000007</v>
          </cell>
          <cell r="AI461">
            <v>1616177.48</v>
          </cell>
          <cell r="AJ461">
            <v>2383801.1</v>
          </cell>
          <cell r="AK461">
            <v>2986060.05</v>
          </cell>
          <cell r="AL461">
            <v>618309.65999999992</v>
          </cell>
          <cell r="AM461">
            <v>1216653.3999999999</v>
          </cell>
          <cell r="AN461">
            <v>1829275.79</v>
          </cell>
          <cell r="AO461">
            <v>2437128.17</v>
          </cell>
          <cell r="AP461">
            <v>593867.59</v>
          </cell>
          <cell r="AQ461">
            <v>1317369.75</v>
          </cell>
          <cell r="AR461">
            <v>2017601.76</v>
          </cell>
          <cell r="AS461">
            <v>2778110.9</v>
          </cell>
          <cell r="AT461">
            <v>815031.55</v>
          </cell>
          <cell r="AU461">
            <v>1736663.9100000001</v>
          </cell>
          <cell r="AV461">
            <v>2734264.0300000003</v>
          </cell>
          <cell r="AW461">
            <v>3911853.3400000003</v>
          </cell>
          <cell r="AX461">
            <v>1701748.5899999999</v>
          </cell>
          <cell r="AY461">
            <v>4832560.63</v>
          </cell>
          <cell r="AZ461">
            <v>11437112.030000001</v>
          </cell>
          <cell r="BA461">
            <v>19917744.079999998</v>
          </cell>
          <cell r="BB461">
            <v>20831387.949999999</v>
          </cell>
        </row>
        <row r="462">
          <cell r="A462" t="str">
            <v>qtd</v>
          </cell>
          <cell r="B462">
            <v>590927.99</v>
          </cell>
          <cell r="C462">
            <v>1092963.08</v>
          </cell>
          <cell r="D462">
            <v>1665271.1500000001</v>
          </cell>
          <cell r="E462">
            <v>2249642.5500000003</v>
          </cell>
          <cell r="F462">
            <v>2864375.4400000004</v>
          </cell>
          <cell r="G462">
            <v>3539912.4600000004</v>
          </cell>
          <cell r="H462">
            <v>4468454.5500000007</v>
          </cell>
          <cell r="I462">
            <v>4982709.7700000005</v>
          </cell>
          <cell r="J462">
            <v>5540645.6800000006</v>
          </cell>
          <cell r="K462">
            <v>6097819.2000000011</v>
          </cell>
          <cell r="L462">
            <v>6753900.4000000013</v>
          </cell>
          <cell r="M462">
            <v>7792598.120000001</v>
          </cell>
          <cell r="N462">
            <v>597383.53</v>
          </cell>
          <cell r="O462">
            <v>1186259</v>
          </cell>
          <cell r="P462">
            <v>1779371.09</v>
          </cell>
          <cell r="Q462">
            <v>2410403.2400000002</v>
          </cell>
          <cell r="R462">
            <v>3165237.1300000004</v>
          </cell>
          <cell r="S462">
            <v>3922695.7300000004</v>
          </cell>
          <cell r="T462">
            <v>5235494.4400000004</v>
          </cell>
          <cell r="U462">
            <v>6252785.0100000007</v>
          </cell>
          <cell r="V462">
            <v>7144860.9000000004</v>
          </cell>
          <cell r="W462">
            <v>8098142.7800000003</v>
          </cell>
          <cell r="X462">
            <v>9251339.0899999999</v>
          </cell>
          <cell r="Y462">
            <v>11054078.029999999</v>
          </cell>
          <cell r="Z462">
            <v>1253297.82</v>
          </cell>
          <cell r="AA462">
            <v>2129326.15</v>
          </cell>
          <cell r="AB462">
            <v>2939580.05</v>
          </cell>
          <cell r="AC462">
            <v>3766216.2299999995</v>
          </cell>
          <cell r="AD462">
            <v>4609563.959999999</v>
          </cell>
          <cell r="AE462">
            <v>5438604.419999999</v>
          </cell>
          <cell r="AF462">
            <v>6259158.419999999</v>
          </cell>
          <cell r="AG462">
            <v>7149358.209999999</v>
          </cell>
          <cell r="AH462">
            <v>7999197.2899999991</v>
          </cell>
          <cell r="AI462">
            <v>8765535.6899999995</v>
          </cell>
          <cell r="AJ462">
            <v>9533159.3099999987</v>
          </cell>
          <cell r="AK462">
            <v>10135418.259999998</v>
          </cell>
          <cell r="AL462">
            <v>618309.65999999992</v>
          </cell>
          <cell r="AM462">
            <v>1216653.3999999999</v>
          </cell>
          <cell r="AN462">
            <v>1829275.79</v>
          </cell>
          <cell r="AO462">
            <v>2437128.17</v>
          </cell>
          <cell r="AP462">
            <v>3030995.76</v>
          </cell>
          <cell r="AQ462">
            <v>3754497.92</v>
          </cell>
          <cell r="AR462">
            <v>4454729.93</v>
          </cell>
          <cell r="AS462">
            <v>5215239.0699999994</v>
          </cell>
          <cell r="AT462">
            <v>6030270.6199999992</v>
          </cell>
          <cell r="AU462">
            <v>6951902.9799999995</v>
          </cell>
          <cell r="AV462">
            <v>7949503.0999999996</v>
          </cell>
          <cell r="AW462">
            <v>9127092.4100000001</v>
          </cell>
          <cell r="AX462">
            <v>10828841</v>
          </cell>
          <cell r="AY462">
            <v>13959653.039999999</v>
          </cell>
          <cell r="AZ462">
            <v>20564204.439999998</v>
          </cell>
          <cell r="BA462">
            <v>29044836.489999995</v>
          </cell>
          <cell r="BB462">
            <v>29958480.359999996</v>
          </cell>
        </row>
        <row r="463">
          <cell r="A463" t="str">
            <v>ytd</v>
          </cell>
          <cell r="B463">
            <v>590927.99</v>
          </cell>
          <cell r="C463">
            <v>1092963.08</v>
          </cell>
          <cell r="D463">
            <v>1665271.1500000001</v>
          </cell>
          <cell r="E463">
            <v>2249642.5500000003</v>
          </cell>
          <cell r="F463">
            <v>2864375.4400000004</v>
          </cell>
          <cell r="G463">
            <v>3539912.4600000004</v>
          </cell>
          <cell r="H463">
            <v>4468454.5500000007</v>
          </cell>
          <cell r="I463">
            <v>4982709.7700000005</v>
          </cell>
          <cell r="J463">
            <v>5540645.6800000006</v>
          </cell>
          <cell r="K463">
            <v>6097819.2000000011</v>
          </cell>
          <cell r="L463">
            <v>6753900.4000000013</v>
          </cell>
          <cell r="M463">
            <v>7792598.120000001</v>
          </cell>
          <cell r="N463">
            <v>8389981.6500000004</v>
          </cell>
          <cell r="O463">
            <v>8978857.120000001</v>
          </cell>
          <cell r="P463">
            <v>9571969.2100000009</v>
          </cell>
          <cell r="Q463">
            <v>10203001.360000001</v>
          </cell>
          <cell r="R463">
            <v>10957835.250000002</v>
          </cell>
          <cell r="S463">
            <v>11715293.850000001</v>
          </cell>
          <cell r="T463">
            <v>13028092.560000002</v>
          </cell>
          <cell r="U463">
            <v>14045383.130000003</v>
          </cell>
          <cell r="V463">
            <v>14937459.020000003</v>
          </cell>
          <cell r="W463">
            <v>15890740.900000004</v>
          </cell>
          <cell r="X463">
            <v>17043937.210000005</v>
          </cell>
          <cell r="Y463">
            <v>18846676.150000006</v>
          </cell>
          <cell r="Z463">
            <v>20099973.970000006</v>
          </cell>
          <cell r="AA463">
            <v>20976002.300000004</v>
          </cell>
          <cell r="AB463">
            <v>21786256.200000003</v>
          </cell>
          <cell r="AC463">
            <v>22612892.380000003</v>
          </cell>
          <cell r="AD463">
            <v>23456240.110000003</v>
          </cell>
          <cell r="AE463">
            <v>24285280.570000004</v>
          </cell>
          <cell r="AF463">
            <v>25105834.570000004</v>
          </cell>
          <cell r="AG463">
            <v>25996034.360000003</v>
          </cell>
          <cell r="AH463">
            <v>26845873.440000005</v>
          </cell>
          <cell r="AI463">
            <v>27612211.840000004</v>
          </cell>
          <cell r="AJ463">
            <v>28379835.460000005</v>
          </cell>
          <cell r="AK463">
            <v>28982094.410000004</v>
          </cell>
          <cell r="AL463">
            <v>29600404.070000004</v>
          </cell>
          <cell r="AM463">
            <v>30198747.810000002</v>
          </cell>
          <cell r="AN463">
            <v>30811370.200000003</v>
          </cell>
          <cell r="AO463">
            <v>31419222.580000002</v>
          </cell>
          <cell r="AP463">
            <v>32013090.170000002</v>
          </cell>
          <cell r="AQ463">
            <v>32736592.330000002</v>
          </cell>
          <cell r="AR463">
            <v>33436824.340000004</v>
          </cell>
          <cell r="AS463">
            <v>34197333.480000004</v>
          </cell>
          <cell r="AT463">
            <v>35012365.030000001</v>
          </cell>
          <cell r="AU463">
            <v>35933997.390000001</v>
          </cell>
          <cell r="AV463">
            <v>36931597.509999998</v>
          </cell>
          <cell r="AW463">
            <v>38109186.82</v>
          </cell>
          <cell r="AX463">
            <v>39810935.409999996</v>
          </cell>
          <cell r="AY463">
            <v>42941747.449999996</v>
          </cell>
          <cell r="AZ463">
            <v>49546298.849999994</v>
          </cell>
          <cell r="BA463">
            <v>58026930.899999991</v>
          </cell>
          <cell r="BB463">
            <v>58940574.769999988</v>
          </cell>
        </row>
        <row r="464">
          <cell r="A464" t="str">
            <v>PART</v>
          </cell>
          <cell r="B464">
            <v>23633307.34</v>
          </cell>
          <cell r="C464">
            <v>20254249.870000001</v>
          </cell>
          <cell r="D464">
            <v>20244578.98</v>
          </cell>
          <cell r="E464">
            <v>20218142.859999999</v>
          </cell>
          <cell r="F464">
            <v>20899263.720000003</v>
          </cell>
          <cell r="G464">
            <v>22911269.52</v>
          </cell>
          <cell r="H464">
            <v>32948615.809999999</v>
          </cell>
          <cell r="I464">
            <v>20635413.75</v>
          </cell>
          <cell r="J464">
            <v>20970174.25</v>
          </cell>
          <cell r="K464">
            <v>21436366.009999998</v>
          </cell>
          <cell r="L464">
            <v>24356776.739999998</v>
          </cell>
          <cell r="M464">
            <v>34382981.5</v>
          </cell>
          <cell r="N464">
            <v>22437838.630000003</v>
          </cell>
          <cell r="O464">
            <v>23716445.489999998</v>
          </cell>
          <cell r="P464">
            <v>23892664.550000001</v>
          </cell>
          <cell r="Q464">
            <v>25569123.969999999</v>
          </cell>
          <cell r="R464">
            <v>29890782.52</v>
          </cell>
          <cell r="S464">
            <v>30109884.289999999</v>
          </cell>
          <cell r="T464">
            <v>50783770.189999998</v>
          </cell>
          <cell r="U464">
            <v>38786076.719999999</v>
          </cell>
          <cell r="V464">
            <v>35098538.140000008</v>
          </cell>
          <cell r="W464">
            <v>35300761.520000003</v>
          </cell>
          <cell r="X464">
            <v>41151888.339999996</v>
          </cell>
          <cell r="Y464">
            <v>61677174.709999993</v>
          </cell>
          <cell r="Z464">
            <v>45131571.560000002</v>
          </cell>
          <cell r="AA464">
            <v>33818091.329999998</v>
          </cell>
          <cell r="AB464">
            <v>29946492.430000003</v>
          </cell>
          <cell r="AC464">
            <v>29222790.290000003</v>
          </cell>
          <cell r="AD464">
            <v>30302552.970000003</v>
          </cell>
          <cell r="AE464">
            <v>29618855.960000001</v>
          </cell>
          <cell r="AF464">
            <v>30115995.73</v>
          </cell>
          <cell r="AG464">
            <v>31929217.619999997</v>
          </cell>
          <cell r="AH464">
            <v>33372205.859999999</v>
          </cell>
          <cell r="AI464">
            <v>34440645.010000005</v>
          </cell>
          <cell r="AJ464">
            <v>34157331.07</v>
          </cell>
          <cell r="AK464">
            <v>28447124.329999998</v>
          </cell>
          <cell r="AL464">
            <v>28286254.050000001</v>
          </cell>
          <cell r="AM464">
            <v>28366580.030000001</v>
          </cell>
          <cell r="AN464">
            <v>28199304.449999999</v>
          </cell>
          <cell r="AO464">
            <v>28800346.789999999</v>
          </cell>
          <cell r="AP464">
            <v>27868914.969999999</v>
          </cell>
          <cell r="AQ464">
            <v>30834142.449999996</v>
          </cell>
          <cell r="AR464">
            <v>30190158.849999998</v>
          </cell>
          <cell r="AS464">
            <v>31376805.719999999</v>
          </cell>
          <cell r="AT464">
            <v>32843924.050000001</v>
          </cell>
          <cell r="AU464">
            <v>37608252.25</v>
          </cell>
          <cell r="AV464">
            <v>43031688.450000003</v>
          </cell>
          <cell r="AW464">
            <v>54658024.679999992</v>
          </cell>
          <cell r="AX464">
            <v>75357703.040000007</v>
          </cell>
          <cell r="AY464">
            <v>132633563.73000002</v>
          </cell>
          <cell r="AZ464">
            <v>260949353.70999998</v>
          </cell>
          <cell r="BA464">
            <v>320643671.74000001</v>
          </cell>
          <cell r="BB464">
            <v>38072790.960000001</v>
          </cell>
        </row>
        <row r="465">
          <cell r="A465" t="str">
            <v>ptd</v>
          </cell>
          <cell r="B465">
            <v>23633307.34</v>
          </cell>
          <cell r="C465">
            <v>43887557.210000001</v>
          </cell>
          <cell r="D465">
            <v>64132136.189999998</v>
          </cell>
          <cell r="E465">
            <v>84350279.049999997</v>
          </cell>
          <cell r="F465">
            <v>20899263.720000003</v>
          </cell>
          <cell r="G465">
            <v>43810533.240000002</v>
          </cell>
          <cell r="H465">
            <v>76759149.049999997</v>
          </cell>
          <cell r="I465">
            <v>97394562.799999997</v>
          </cell>
          <cell r="J465">
            <v>20970174.25</v>
          </cell>
          <cell r="K465">
            <v>42406540.259999998</v>
          </cell>
          <cell r="L465">
            <v>66763317</v>
          </cell>
          <cell r="M465">
            <v>101146298.5</v>
          </cell>
          <cell r="N465">
            <v>22437838.630000003</v>
          </cell>
          <cell r="O465">
            <v>46154284.120000005</v>
          </cell>
          <cell r="P465">
            <v>70046948.670000002</v>
          </cell>
          <cell r="Q465">
            <v>95616072.640000001</v>
          </cell>
          <cell r="R465">
            <v>29890782.52</v>
          </cell>
          <cell r="S465">
            <v>60000666.810000002</v>
          </cell>
          <cell r="T465">
            <v>110784437</v>
          </cell>
          <cell r="U465">
            <v>149570513.72</v>
          </cell>
          <cell r="V465">
            <v>35098538.140000008</v>
          </cell>
          <cell r="W465">
            <v>70399299.660000011</v>
          </cell>
          <cell r="X465">
            <v>111551188</v>
          </cell>
          <cell r="Y465">
            <v>173228362.70999998</v>
          </cell>
          <cell r="Z465">
            <v>45131571.560000002</v>
          </cell>
          <cell r="AA465">
            <v>78949662.890000001</v>
          </cell>
          <cell r="AB465">
            <v>108896155.32000001</v>
          </cell>
          <cell r="AC465">
            <v>138118945.61000001</v>
          </cell>
          <cell r="AD465">
            <v>30302552.970000003</v>
          </cell>
          <cell r="AE465">
            <v>59921408.930000007</v>
          </cell>
          <cell r="AF465">
            <v>90037404.660000011</v>
          </cell>
          <cell r="AG465">
            <v>121966622.28</v>
          </cell>
          <cell r="AH465">
            <v>33372205.859999999</v>
          </cell>
          <cell r="AI465">
            <v>67812850.870000005</v>
          </cell>
          <cell r="AJ465">
            <v>101970181.94</v>
          </cell>
          <cell r="AK465">
            <v>130417306.27</v>
          </cell>
          <cell r="AL465">
            <v>28286254.050000001</v>
          </cell>
          <cell r="AM465">
            <v>56652834.079999998</v>
          </cell>
          <cell r="AN465">
            <v>84852138.530000001</v>
          </cell>
          <cell r="AO465">
            <v>113652485.31999999</v>
          </cell>
          <cell r="AP465">
            <v>27868914.969999999</v>
          </cell>
          <cell r="AQ465">
            <v>58703057.419999994</v>
          </cell>
          <cell r="AR465">
            <v>88893216.269999996</v>
          </cell>
          <cell r="AS465">
            <v>120270021.98999999</v>
          </cell>
          <cell r="AT465">
            <v>32843924.050000001</v>
          </cell>
          <cell r="AU465">
            <v>70452176.299999997</v>
          </cell>
          <cell r="AV465">
            <v>113483864.75</v>
          </cell>
          <cell r="AW465">
            <v>168141889.43000001</v>
          </cell>
          <cell r="AX465">
            <v>75357703.040000007</v>
          </cell>
          <cell r="AY465">
            <v>207991266.77000004</v>
          </cell>
          <cell r="AZ465">
            <v>468940620.48000002</v>
          </cell>
          <cell r="BA465">
            <v>789584292.22000003</v>
          </cell>
          <cell r="BB465">
            <v>827657083.18000007</v>
          </cell>
        </row>
        <row r="466">
          <cell r="A466" t="str">
            <v>qtd</v>
          </cell>
          <cell r="B466">
            <v>23633307.34</v>
          </cell>
          <cell r="C466">
            <v>43887557.210000001</v>
          </cell>
          <cell r="D466">
            <v>64132136.189999998</v>
          </cell>
          <cell r="E466">
            <v>84350279.049999997</v>
          </cell>
          <cell r="F466">
            <v>105249542.77</v>
          </cell>
          <cell r="G466">
            <v>128160812.28999999</v>
          </cell>
          <cell r="H466">
            <v>161109428.09999999</v>
          </cell>
          <cell r="I466">
            <v>181744841.84999999</v>
          </cell>
          <cell r="J466">
            <v>202715016.09999999</v>
          </cell>
          <cell r="K466">
            <v>224151382.10999998</v>
          </cell>
          <cell r="L466">
            <v>248508158.84999999</v>
          </cell>
          <cell r="M466">
            <v>282891140.35000002</v>
          </cell>
          <cell r="N466">
            <v>22437838.630000003</v>
          </cell>
          <cell r="O466">
            <v>46154284.120000005</v>
          </cell>
          <cell r="P466">
            <v>70046948.670000002</v>
          </cell>
          <cell r="Q466">
            <v>95616072.640000001</v>
          </cell>
          <cell r="R466">
            <v>125506855.16</v>
          </cell>
          <cell r="S466">
            <v>155616739.44999999</v>
          </cell>
          <cell r="T466">
            <v>206400509.63999999</v>
          </cell>
          <cell r="U466">
            <v>245186586.35999998</v>
          </cell>
          <cell r="V466">
            <v>280285124.5</v>
          </cell>
          <cell r="W466">
            <v>315585886.01999998</v>
          </cell>
          <cell r="X466">
            <v>356737774.35999995</v>
          </cell>
          <cell r="Y466">
            <v>418414949.06999993</v>
          </cell>
          <cell r="Z466">
            <v>45131571.560000002</v>
          </cell>
          <cell r="AA466">
            <v>78949662.890000001</v>
          </cell>
          <cell r="AB466">
            <v>108896155.32000001</v>
          </cell>
          <cell r="AC466">
            <v>138118945.61000001</v>
          </cell>
          <cell r="AD466">
            <v>168421498.58000001</v>
          </cell>
          <cell r="AE466">
            <v>198040354.54000002</v>
          </cell>
          <cell r="AF466">
            <v>228156350.27000001</v>
          </cell>
          <cell r="AG466">
            <v>260085567.89000002</v>
          </cell>
          <cell r="AH466">
            <v>293457773.75</v>
          </cell>
          <cell r="AI466">
            <v>327898418.75999999</v>
          </cell>
          <cell r="AJ466">
            <v>362055749.82999998</v>
          </cell>
          <cell r="AK466">
            <v>390502874.15999997</v>
          </cell>
          <cell r="AL466">
            <v>28286254.050000001</v>
          </cell>
          <cell r="AM466">
            <v>56652834.079999998</v>
          </cell>
          <cell r="AN466">
            <v>84852138.530000001</v>
          </cell>
          <cell r="AO466">
            <v>113652485.31999999</v>
          </cell>
          <cell r="AP466">
            <v>141521400.28999999</v>
          </cell>
          <cell r="AQ466">
            <v>172355542.73999998</v>
          </cell>
          <cell r="AR466">
            <v>202545701.58999997</v>
          </cell>
          <cell r="AS466">
            <v>233922507.30999997</v>
          </cell>
          <cell r="AT466">
            <v>266766431.35999998</v>
          </cell>
          <cell r="AU466">
            <v>304374683.61000001</v>
          </cell>
          <cell r="AV466">
            <v>347406372.06</v>
          </cell>
          <cell r="AW466">
            <v>402064396.74000001</v>
          </cell>
          <cell r="AX466">
            <v>477422099.78000003</v>
          </cell>
          <cell r="AY466">
            <v>610055663.50999999</v>
          </cell>
          <cell r="AZ466">
            <v>871005017.22000003</v>
          </cell>
          <cell r="BA466">
            <v>1191648688.96</v>
          </cell>
          <cell r="BB466">
            <v>1229721479.9200001</v>
          </cell>
        </row>
        <row r="467">
          <cell r="A467" t="str">
            <v>ytd</v>
          </cell>
          <cell r="B467">
            <v>23633307.34</v>
          </cell>
          <cell r="C467">
            <v>43887557.210000001</v>
          </cell>
          <cell r="D467">
            <v>64132136.189999998</v>
          </cell>
          <cell r="E467">
            <v>84350279.049999997</v>
          </cell>
          <cell r="F467">
            <v>105249542.77</v>
          </cell>
          <cell r="G467">
            <v>128160812.28999999</v>
          </cell>
          <cell r="H467">
            <v>161109428.09999999</v>
          </cell>
          <cell r="I467">
            <v>181744841.84999999</v>
          </cell>
          <cell r="J467">
            <v>202715016.09999999</v>
          </cell>
          <cell r="K467">
            <v>224151382.10999998</v>
          </cell>
          <cell r="L467">
            <v>248508158.84999999</v>
          </cell>
          <cell r="M467">
            <v>282891140.35000002</v>
          </cell>
          <cell r="N467">
            <v>305328978.98000002</v>
          </cell>
          <cell r="O467">
            <v>329045424.47000003</v>
          </cell>
          <cell r="P467">
            <v>352938089.02000004</v>
          </cell>
          <cell r="Q467">
            <v>378507212.99000001</v>
          </cell>
          <cell r="R467">
            <v>408397995.50999999</v>
          </cell>
          <cell r="S467">
            <v>438507879.80000001</v>
          </cell>
          <cell r="T467">
            <v>489291649.99000001</v>
          </cell>
          <cell r="U467">
            <v>528077726.71000004</v>
          </cell>
          <cell r="V467">
            <v>563176264.85000002</v>
          </cell>
          <cell r="W467">
            <v>598477026.37</v>
          </cell>
          <cell r="X467">
            <v>639628914.71000004</v>
          </cell>
          <cell r="Y467">
            <v>701306089.42000008</v>
          </cell>
          <cell r="Z467">
            <v>746437660.98000002</v>
          </cell>
          <cell r="AA467">
            <v>780255752.31000006</v>
          </cell>
          <cell r="AB467">
            <v>810202244.74000001</v>
          </cell>
          <cell r="AC467">
            <v>839425035.02999997</v>
          </cell>
          <cell r="AD467">
            <v>869727588</v>
          </cell>
          <cell r="AE467">
            <v>899346443.96000004</v>
          </cell>
          <cell r="AF467">
            <v>929462439.69000006</v>
          </cell>
          <cell r="AG467">
            <v>961391657.31000006</v>
          </cell>
          <cell r="AH467">
            <v>994763863.17000008</v>
          </cell>
          <cell r="AI467">
            <v>1029204508.1800001</v>
          </cell>
          <cell r="AJ467">
            <v>1063361839.2500001</v>
          </cell>
          <cell r="AK467">
            <v>1091808963.5800002</v>
          </cell>
          <cell r="AL467">
            <v>1120095217.6300001</v>
          </cell>
          <cell r="AM467">
            <v>1148461797.6600001</v>
          </cell>
          <cell r="AN467">
            <v>1176661102.1100001</v>
          </cell>
          <cell r="AO467">
            <v>1205461448.9000001</v>
          </cell>
          <cell r="AP467">
            <v>1233330363.8700001</v>
          </cell>
          <cell r="AQ467">
            <v>1264164506.3200002</v>
          </cell>
          <cell r="AR467">
            <v>1294354665.1700001</v>
          </cell>
          <cell r="AS467">
            <v>1325731470.8900001</v>
          </cell>
          <cell r="AT467">
            <v>1358575394.9400001</v>
          </cell>
          <cell r="AU467">
            <v>1396183647.1900001</v>
          </cell>
          <cell r="AV467">
            <v>1439215335.6400001</v>
          </cell>
          <cell r="AW467">
            <v>1493873360.3200002</v>
          </cell>
          <cell r="AX467">
            <v>1569231063.3600001</v>
          </cell>
          <cell r="AY467">
            <v>1701864627.0900002</v>
          </cell>
          <cell r="AZ467">
            <v>1962813980.8000002</v>
          </cell>
          <cell r="BA467">
            <v>2283457652.54</v>
          </cell>
          <cell r="BB467">
            <v>2321530443.5</v>
          </cell>
        </row>
        <row r="468">
          <cell r="A468" t="str">
            <v>PRED</v>
          </cell>
          <cell r="B468">
            <v>2297993.59</v>
          </cell>
          <cell r="C468">
            <v>2160148.91</v>
          </cell>
          <cell r="D468">
            <v>2292603.86</v>
          </cell>
          <cell r="E468">
            <v>2150806.48</v>
          </cell>
          <cell r="F468">
            <v>2541109.4200000004</v>
          </cell>
          <cell r="G468">
            <v>2515089.6800000002</v>
          </cell>
          <cell r="H468">
            <v>2464706.42</v>
          </cell>
          <cell r="I468">
            <v>2431746.61</v>
          </cell>
          <cell r="J468">
            <v>2623238.8400000003</v>
          </cell>
          <cell r="K468">
            <v>2620375.91</v>
          </cell>
          <cell r="L468">
            <v>2620000.63</v>
          </cell>
          <cell r="M468">
            <v>2511958.8699999996</v>
          </cell>
          <cell r="N468">
            <v>2270831.4</v>
          </cell>
          <cell r="O468">
            <v>2637941.2400000002</v>
          </cell>
          <cell r="P468">
            <v>2236917.9900000002</v>
          </cell>
          <cell r="Q468">
            <v>2356014.64</v>
          </cell>
          <cell r="R468">
            <v>2246181.69</v>
          </cell>
          <cell r="S468">
            <v>2457352.16</v>
          </cell>
          <cell r="T468">
            <v>2362514.0499999998</v>
          </cell>
          <cell r="U468">
            <v>2311141.9</v>
          </cell>
          <cell r="V468">
            <v>2408073.4500000002</v>
          </cell>
          <cell r="W468">
            <v>2353676.0699999998</v>
          </cell>
          <cell r="X468">
            <v>2768008.5300000003</v>
          </cell>
          <cell r="Y468">
            <v>2558437.0500000003</v>
          </cell>
          <cell r="Z468">
            <v>2572264.7599999998</v>
          </cell>
          <cell r="AA468">
            <v>2513921.2000000002</v>
          </cell>
          <cell r="AB468">
            <v>2775080.2399999998</v>
          </cell>
          <cell r="AC468">
            <v>2576871.7400000002</v>
          </cell>
          <cell r="AD468">
            <v>2606323.0099999998</v>
          </cell>
          <cell r="AE468">
            <v>2352309.19</v>
          </cell>
          <cell r="AF468">
            <v>2583102.3199999998</v>
          </cell>
          <cell r="AG468">
            <v>2505455.83</v>
          </cell>
          <cell r="AH468">
            <v>2439099.81</v>
          </cell>
          <cell r="AI468">
            <v>2529861.14</v>
          </cell>
          <cell r="AJ468">
            <v>2598560.67</v>
          </cell>
          <cell r="AK468">
            <v>2611656.35</v>
          </cell>
          <cell r="AL468">
            <v>2553092.9999999995</v>
          </cell>
          <cell r="AM468">
            <v>2642605.56</v>
          </cell>
          <cell r="AN468">
            <v>2473703.7600000002</v>
          </cell>
          <cell r="AO468">
            <v>2923032.83</v>
          </cell>
          <cell r="AP468">
            <v>2617011.27</v>
          </cell>
          <cell r="AQ468">
            <v>2525539.42</v>
          </cell>
          <cell r="AR468">
            <v>2451871.8999999994</v>
          </cell>
          <cell r="AS468">
            <v>2407271.91</v>
          </cell>
          <cell r="AT468">
            <v>2630074.2999999998</v>
          </cell>
          <cell r="AU468">
            <v>2405498.3000000003</v>
          </cell>
          <cell r="AV468">
            <v>2623660.34</v>
          </cell>
          <cell r="AW468">
            <v>2239636.5099999998</v>
          </cell>
          <cell r="AX468">
            <v>2829854.0999999996</v>
          </cell>
          <cell r="AY468">
            <v>2632902.87</v>
          </cell>
          <cell r="AZ468">
            <v>3245244.07</v>
          </cell>
          <cell r="BA468">
            <v>2826293.3</v>
          </cell>
          <cell r="BB468">
            <v>2574356.91</v>
          </cell>
        </row>
        <row r="469">
          <cell r="A469" t="str">
            <v>ptd</v>
          </cell>
          <cell r="B469">
            <v>2297993.59</v>
          </cell>
          <cell r="C469">
            <v>4458142.5</v>
          </cell>
          <cell r="D469">
            <v>6750746.3599999994</v>
          </cell>
          <cell r="E469">
            <v>8901552.8399999999</v>
          </cell>
          <cell r="F469">
            <v>2541109.4200000004</v>
          </cell>
          <cell r="G469">
            <v>5056199.1000000006</v>
          </cell>
          <cell r="H469">
            <v>7520905.5200000005</v>
          </cell>
          <cell r="I469">
            <v>9952652.1300000008</v>
          </cell>
          <cell r="J469">
            <v>2623238.8400000003</v>
          </cell>
          <cell r="K469">
            <v>5243614.75</v>
          </cell>
          <cell r="L469">
            <v>7863615.3799999999</v>
          </cell>
          <cell r="M469">
            <v>10375574.25</v>
          </cell>
          <cell r="N469">
            <v>2270831.4</v>
          </cell>
          <cell r="O469">
            <v>4908772.6400000006</v>
          </cell>
          <cell r="P469">
            <v>7145690.6300000008</v>
          </cell>
          <cell r="Q469">
            <v>9501705.2700000014</v>
          </cell>
          <cell r="R469">
            <v>2246181.69</v>
          </cell>
          <cell r="S469">
            <v>4703533.8499999996</v>
          </cell>
          <cell r="T469">
            <v>7066047.8999999994</v>
          </cell>
          <cell r="U469">
            <v>9377189.7999999989</v>
          </cell>
          <cell r="V469">
            <v>2408073.4500000002</v>
          </cell>
          <cell r="W469">
            <v>4761749.5199999996</v>
          </cell>
          <cell r="X469">
            <v>7529758.0499999998</v>
          </cell>
          <cell r="Y469">
            <v>10088195.1</v>
          </cell>
          <cell r="Z469">
            <v>2572264.7599999998</v>
          </cell>
          <cell r="AA469">
            <v>5086185.96</v>
          </cell>
          <cell r="AB469">
            <v>7861266.1999999993</v>
          </cell>
          <cell r="AC469">
            <v>10438137.939999999</v>
          </cell>
          <cell r="AD469">
            <v>2606323.0099999998</v>
          </cell>
          <cell r="AE469">
            <v>4958632.1999999993</v>
          </cell>
          <cell r="AF469">
            <v>7541734.5199999996</v>
          </cell>
          <cell r="AG469">
            <v>10047190.35</v>
          </cell>
          <cell r="AH469">
            <v>2439099.81</v>
          </cell>
          <cell r="AI469">
            <v>4968960.95</v>
          </cell>
          <cell r="AJ469">
            <v>7567521.6200000001</v>
          </cell>
          <cell r="AK469">
            <v>10179177.970000001</v>
          </cell>
          <cell r="AL469">
            <v>2553092.9999999995</v>
          </cell>
          <cell r="AM469">
            <v>5195698.5599999996</v>
          </cell>
          <cell r="AN469">
            <v>7669402.3200000003</v>
          </cell>
          <cell r="AO469">
            <v>10592435.15</v>
          </cell>
          <cell r="AP469">
            <v>2617011.27</v>
          </cell>
          <cell r="AQ469">
            <v>5142550.6899999995</v>
          </cell>
          <cell r="AR469">
            <v>7594422.5899999989</v>
          </cell>
          <cell r="AS469">
            <v>10001694.5</v>
          </cell>
          <cell r="AT469">
            <v>2630074.2999999998</v>
          </cell>
          <cell r="AU469">
            <v>5035572.5999999996</v>
          </cell>
          <cell r="AV469">
            <v>7659232.9399999995</v>
          </cell>
          <cell r="AW469">
            <v>9898869.4499999993</v>
          </cell>
          <cell r="AX469">
            <v>2829854.0999999996</v>
          </cell>
          <cell r="AY469">
            <v>5462756.9699999997</v>
          </cell>
          <cell r="AZ469">
            <v>8708001.0399999991</v>
          </cell>
          <cell r="BA469">
            <v>11534294.34</v>
          </cell>
          <cell r="BB469">
            <v>14108651.25</v>
          </cell>
        </row>
        <row r="470">
          <cell r="A470" t="str">
            <v>qtd</v>
          </cell>
          <cell r="B470">
            <v>2297993.59</v>
          </cell>
          <cell r="C470">
            <v>4458142.5</v>
          </cell>
          <cell r="D470">
            <v>6750746.3599999994</v>
          </cell>
          <cell r="E470">
            <v>8901552.8399999999</v>
          </cell>
          <cell r="F470">
            <v>11442662.26</v>
          </cell>
          <cell r="G470">
            <v>13957751.939999999</v>
          </cell>
          <cell r="H470">
            <v>16422458.359999999</v>
          </cell>
          <cell r="I470">
            <v>18854204.969999999</v>
          </cell>
          <cell r="J470">
            <v>21477443.809999999</v>
          </cell>
          <cell r="K470">
            <v>24097819.719999999</v>
          </cell>
          <cell r="L470">
            <v>26717820.349999998</v>
          </cell>
          <cell r="M470">
            <v>29229779.219999999</v>
          </cell>
          <cell r="N470">
            <v>2270831.4</v>
          </cell>
          <cell r="O470">
            <v>4908772.6400000006</v>
          </cell>
          <cell r="P470">
            <v>7145690.6300000008</v>
          </cell>
          <cell r="Q470">
            <v>9501705.2700000014</v>
          </cell>
          <cell r="R470">
            <v>11747886.960000001</v>
          </cell>
          <cell r="S470">
            <v>14205239.120000001</v>
          </cell>
          <cell r="T470">
            <v>16567753.170000002</v>
          </cell>
          <cell r="U470">
            <v>18878895.07</v>
          </cell>
          <cell r="V470">
            <v>21286968.52</v>
          </cell>
          <cell r="W470">
            <v>23640644.59</v>
          </cell>
          <cell r="X470">
            <v>26408653.120000001</v>
          </cell>
          <cell r="Y470">
            <v>28967090.170000002</v>
          </cell>
          <cell r="Z470">
            <v>2572264.7599999998</v>
          </cell>
          <cell r="AA470">
            <v>5086185.96</v>
          </cell>
          <cell r="AB470">
            <v>7861266.1999999993</v>
          </cell>
          <cell r="AC470">
            <v>10438137.939999999</v>
          </cell>
          <cell r="AD470">
            <v>13044460.949999999</v>
          </cell>
          <cell r="AE470">
            <v>15396770.139999999</v>
          </cell>
          <cell r="AF470">
            <v>17979872.459999997</v>
          </cell>
          <cell r="AG470">
            <v>20485328.289999999</v>
          </cell>
          <cell r="AH470">
            <v>22924428.099999998</v>
          </cell>
          <cell r="AI470">
            <v>25454289.239999998</v>
          </cell>
          <cell r="AJ470">
            <v>28052849.909999996</v>
          </cell>
          <cell r="AK470">
            <v>30664506.259999998</v>
          </cell>
          <cell r="AL470">
            <v>2553092.9999999995</v>
          </cell>
          <cell r="AM470">
            <v>5195698.5599999996</v>
          </cell>
          <cell r="AN470">
            <v>7669402.3200000003</v>
          </cell>
          <cell r="AO470">
            <v>10592435.15</v>
          </cell>
          <cell r="AP470">
            <v>13209446.42</v>
          </cell>
          <cell r="AQ470">
            <v>15734985.84</v>
          </cell>
          <cell r="AR470">
            <v>18186857.739999998</v>
          </cell>
          <cell r="AS470">
            <v>20594129.649999999</v>
          </cell>
          <cell r="AT470">
            <v>23224203.949999999</v>
          </cell>
          <cell r="AU470">
            <v>25629702.25</v>
          </cell>
          <cell r="AV470">
            <v>28253362.59</v>
          </cell>
          <cell r="AW470">
            <v>30492999.100000001</v>
          </cell>
          <cell r="AX470">
            <v>33322853.200000003</v>
          </cell>
          <cell r="AY470">
            <v>35955756.07</v>
          </cell>
          <cell r="AZ470">
            <v>39201000.140000001</v>
          </cell>
          <cell r="BA470">
            <v>42027293.439999998</v>
          </cell>
          <cell r="BB470">
            <v>44601650.349999994</v>
          </cell>
        </row>
        <row r="471">
          <cell r="A471" t="str">
            <v>ytd</v>
          </cell>
          <cell r="B471">
            <v>2297993.59</v>
          </cell>
          <cell r="C471">
            <v>4458142.5</v>
          </cell>
          <cell r="D471">
            <v>6750746.3599999994</v>
          </cell>
          <cell r="E471">
            <v>8901552.8399999999</v>
          </cell>
          <cell r="F471">
            <v>11442662.26</v>
          </cell>
          <cell r="G471">
            <v>13957751.939999999</v>
          </cell>
          <cell r="H471">
            <v>16422458.359999999</v>
          </cell>
          <cell r="I471">
            <v>18854204.969999999</v>
          </cell>
          <cell r="J471">
            <v>21477443.809999999</v>
          </cell>
          <cell r="K471">
            <v>24097819.719999999</v>
          </cell>
          <cell r="L471">
            <v>26717820.349999998</v>
          </cell>
          <cell r="M471">
            <v>29229779.219999999</v>
          </cell>
          <cell r="N471">
            <v>31500610.619999997</v>
          </cell>
          <cell r="O471">
            <v>34138551.859999999</v>
          </cell>
          <cell r="P471">
            <v>36375469.850000001</v>
          </cell>
          <cell r="Q471">
            <v>38731484.490000002</v>
          </cell>
          <cell r="R471">
            <v>40977666.18</v>
          </cell>
          <cell r="S471">
            <v>43435018.340000004</v>
          </cell>
          <cell r="T471">
            <v>45797532.390000001</v>
          </cell>
          <cell r="U471">
            <v>48108674.289999999</v>
          </cell>
          <cell r="V471">
            <v>50516747.740000002</v>
          </cell>
          <cell r="W471">
            <v>52870423.810000002</v>
          </cell>
          <cell r="X471">
            <v>55638432.340000004</v>
          </cell>
          <cell r="Y471">
            <v>58196869.390000001</v>
          </cell>
          <cell r="Z471">
            <v>60769134.149999999</v>
          </cell>
          <cell r="AA471">
            <v>63283055.350000001</v>
          </cell>
          <cell r="AB471">
            <v>66058135.590000004</v>
          </cell>
          <cell r="AC471">
            <v>68635007.329999998</v>
          </cell>
          <cell r="AD471">
            <v>71241330.340000004</v>
          </cell>
          <cell r="AE471">
            <v>73593639.530000001</v>
          </cell>
          <cell r="AF471">
            <v>76176741.849999994</v>
          </cell>
          <cell r="AG471">
            <v>78682197.679999992</v>
          </cell>
          <cell r="AH471">
            <v>81121297.489999995</v>
          </cell>
          <cell r="AI471">
            <v>83651158.629999995</v>
          </cell>
          <cell r="AJ471">
            <v>86249719.299999997</v>
          </cell>
          <cell r="AK471">
            <v>88861375.649999991</v>
          </cell>
          <cell r="AL471">
            <v>91414468.649999991</v>
          </cell>
          <cell r="AM471">
            <v>94057074.209999993</v>
          </cell>
          <cell r="AN471">
            <v>96530777.969999999</v>
          </cell>
          <cell r="AO471">
            <v>99453810.799999997</v>
          </cell>
          <cell r="AP471">
            <v>102070822.06999999</v>
          </cell>
          <cell r="AQ471">
            <v>104596361.48999999</v>
          </cell>
          <cell r="AR471">
            <v>107048233.39</v>
          </cell>
          <cell r="AS471">
            <v>109455505.3</v>
          </cell>
          <cell r="AT471">
            <v>112085579.59999999</v>
          </cell>
          <cell r="AU471">
            <v>114491077.89999999</v>
          </cell>
          <cell r="AV471">
            <v>117114738.23999999</v>
          </cell>
          <cell r="AW471">
            <v>119354374.75</v>
          </cell>
          <cell r="AX471">
            <v>122184228.84999999</v>
          </cell>
          <cell r="AY471">
            <v>124817131.72</v>
          </cell>
          <cell r="AZ471">
            <v>128062375.78999999</v>
          </cell>
          <cell r="BA471">
            <v>130888669.08999999</v>
          </cell>
          <cell r="BB471">
            <v>133463025.99999999</v>
          </cell>
        </row>
        <row r="472">
          <cell r="A472" t="str">
            <v>PREG</v>
          </cell>
          <cell r="B472">
            <v>8358186.5</v>
          </cell>
          <cell r="C472">
            <v>7610136.1599999992</v>
          </cell>
          <cell r="D472">
            <v>7187833.1100000003</v>
          </cell>
          <cell r="E472">
            <v>6792806.3400000008</v>
          </cell>
          <cell r="F472">
            <v>6983018.5300000003</v>
          </cell>
          <cell r="G472">
            <v>7275896.0199999996</v>
          </cell>
          <cell r="H472">
            <v>8390207.9000000004</v>
          </cell>
          <cell r="I472">
            <v>6927934.6099999994</v>
          </cell>
          <cell r="J472">
            <v>7300849.3600000013</v>
          </cell>
          <cell r="K472">
            <v>7460431.3000000007</v>
          </cell>
          <cell r="L472">
            <v>7766886.3900000006</v>
          </cell>
          <cell r="M472">
            <v>9117311.4100000001</v>
          </cell>
          <cell r="N472">
            <v>7319559.7500000009</v>
          </cell>
          <cell r="O472">
            <v>7714109.2000000002</v>
          </cell>
          <cell r="P472">
            <v>7632443.9400000004</v>
          </cell>
          <cell r="Q472">
            <v>7734073.290000001</v>
          </cell>
          <cell r="R472">
            <v>8826507.4699999988</v>
          </cell>
          <cell r="S472">
            <v>8834844.5899999999</v>
          </cell>
          <cell r="T472">
            <v>12781533.74</v>
          </cell>
          <cell r="U472">
            <v>11154434.559999999</v>
          </cell>
          <cell r="V472">
            <v>10518931.450000001</v>
          </cell>
          <cell r="W472">
            <v>10727567.09</v>
          </cell>
          <cell r="X472">
            <v>12859432.41</v>
          </cell>
          <cell r="Y472">
            <v>15526933.379999999</v>
          </cell>
          <cell r="Z472">
            <v>12811626.51</v>
          </cell>
          <cell r="AA472">
            <v>10309076.25</v>
          </cell>
          <cell r="AB472">
            <v>8754003.459999999</v>
          </cell>
          <cell r="AC472">
            <v>8580437.6100000013</v>
          </cell>
          <cell r="AD472">
            <v>8805832.0299999993</v>
          </cell>
          <cell r="AE472">
            <v>8775388.4000000004</v>
          </cell>
          <cell r="AF472">
            <v>9054370.6899999995</v>
          </cell>
          <cell r="AG472">
            <v>9006474.9500000011</v>
          </cell>
          <cell r="AH472">
            <v>9181701.7799999993</v>
          </cell>
          <cell r="AI472">
            <v>9202382.8499999996</v>
          </cell>
          <cell r="AJ472">
            <v>8804646.9800000004</v>
          </cell>
          <cell r="AK472">
            <v>8153896.8200000003</v>
          </cell>
          <cell r="AL472">
            <v>8433155.8599999994</v>
          </cell>
          <cell r="AM472">
            <v>8569257.75</v>
          </cell>
          <cell r="AN472">
            <v>8366041.5699999994</v>
          </cell>
          <cell r="AO472">
            <v>8582369.25</v>
          </cell>
          <cell r="AP472">
            <v>8216570.6900000004</v>
          </cell>
          <cell r="AQ472">
            <v>8358579.8999999994</v>
          </cell>
          <cell r="AR472">
            <v>8175544.3300000001</v>
          </cell>
          <cell r="AS472">
            <v>8235482.6600000001</v>
          </cell>
          <cell r="AT472">
            <v>8802680.1600000001</v>
          </cell>
          <cell r="AU472">
            <v>9559700.3899999987</v>
          </cell>
          <cell r="AV472">
            <v>11106039.65</v>
          </cell>
          <cell r="AW472">
            <v>12328786.550000001</v>
          </cell>
          <cell r="AX472">
            <v>18913843.870000001</v>
          </cell>
          <cell r="AY472">
            <v>36944680.659999996</v>
          </cell>
          <cell r="AZ472">
            <v>83483405.719999999</v>
          </cell>
          <cell r="BA472">
            <v>103972252.56</v>
          </cell>
          <cell r="BB472">
            <v>13141762.1</v>
          </cell>
        </row>
        <row r="473">
          <cell r="A473" t="str">
            <v>ptd</v>
          </cell>
          <cell r="B473">
            <v>8358186.5</v>
          </cell>
          <cell r="C473">
            <v>15968322.66</v>
          </cell>
          <cell r="D473">
            <v>23156155.77</v>
          </cell>
          <cell r="E473">
            <v>29948962.109999999</v>
          </cell>
          <cell r="F473">
            <v>6983018.5300000003</v>
          </cell>
          <cell r="G473">
            <v>14258914.550000001</v>
          </cell>
          <cell r="H473">
            <v>22649122.450000003</v>
          </cell>
          <cell r="I473">
            <v>29577057.060000002</v>
          </cell>
          <cell r="J473">
            <v>7300849.3600000013</v>
          </cell>
          <cell r="K473">
            <v>14761280.660000002</v>
          </cell>
          <cell r="L473">
            <v>22528167.050000004</v>
          </cell>
          <cell r="M473">
            <v>31645478.460000005</v>
          </cell>
          <cell r="N473">
            <v>7319559.7500000009</v>
          </cell>
          <cell r="O473">
            <v>15033668.950000001</v>
          </cell>
          <cell r="P473">
            <v>22666112.890000001</v>
          </cell>
          <cell r="Q473">
            <v>30400186.18</v>
          </cell>
          <cell r="R473">
            <v>8826507.4699999988</v>
          </cell>
          <cell r="S473">
            <v>17661352.059999999</v>
          </cell>
          <cell r="T473">
            <v>30442885.799999997</v>
          </cell>
          <cell r="U473">
            <v>41597320.359999999</v>
          </cell>
          <cell r="V473">
            <v>10518931.450000001</v>
          </cell>
          <cell r="W473">
            <v>21246498.539999999</v>
          </cell>
          <cell r="X473">
            <v>34105930.950000003</v>
          </cell>
          <cell r="Y473">
            <v>49632864.329999998</v>
          </cell>
          <cell r="Z473">
            <v>12811626.51</v>
          </cell>
          <cell r="AA473">
            <v>23120702.759999998</v>
          </cell>
          <cell r="AB473">
            <v>31874706.219999999</v>
          </cell>
          <cell r="AC473">
            <v>40455143.829999998</v>
          </cell>
          <cell r="AD473">
            <v>8805832.0299999993</v>
          </cell>
          <cell r="AE473">
            <v>17581220.43</v>
          </cell>
          <cell r="AF473">
            <v>26635591.119999997</v>
          </cell>
          <cell r="AG473">
            <v>35642066.07</v>
          </cell>
          <cell r="AH473">
            <v>9181701.7799999993</v>
          </cell>
          <cell r="AI473">
            <v>18384084.629999999</v>
          </cell>
          <cell r="AJ473">
            <v>27188731.609999999</v>
          </cell>
          <cell r="AK473">
            <v>35342628.43</v>
          </cell>
          <cell r="AL473">
            <v>8433155.8599999994</v>
          </cell>
          <cell r="AM473">
            <v>17002413.609999999</v>
          </cell>
          <cell r="AN473">
            <v>25368455.18</v>
          </cell>
          <cell r="AO473">
            <v>33950824.43</v>
          </cell>
          <cell r="AP473">
            <v>8216570.6900000004</v>
          </cell>
          <cell r="AQ473">
            <v>16575150.59</v>
          </cell>
          <cell r="AR473">
            <v>24750694.920000002</v>
          </cell>
          <cell r="AS473">
            <v>32986177.580000002</v>
          </cell>
          <cell r="AT473">
            <v>8802680.1600000001</v>
          </cell>
          <cell r="AU473">
            <v>18362380.549999997</v>
          </cell>
          <cell r="AV473">
            <v>29468420.199999996</v>
          </cell>
          <cell r="AW473">
            <v>41797206.75</v>
          </cell>
          <cell r="AX473">
            <v>18913843.870000001</v>
          </cell>
          <cell r="AY473">
            <v>55858524.530000001</v>
          </cell>
          <cell r="AZ473">
            <v>139341930.25</v>
          </cell>
          <cell r="BA473">
            <v>243314182.81</v>
          </cell>
          <cell r="BB473">
            <v>256455944.91</v>
          </cell>
        </row>
        <row r="474">
          <cell r="A474" t="str">
            <v>qtd</v>
          </cell>
          <cell r="B474">
            <v>8358186.5</v>
          </cell>
          <cell r="C474">
            <v>15968322.66</v>
          </cell>
          <cell r="D474">
            <v>23156155.77</v>
          </cell>
          <cell r="E474">
            <v>29948962.109999999</v>
          </cell>
          <cell r="F474">
            <v>36931980.640000001</v>
          </cell>
          <cell r="G474">
            <v>44207876.659999996</v>
          </cell>
          <cell r="H474">
            <v>52598084.559999995</v>
          </cell>
          <cell r="I474">
            <v>59526019.169999994</v>
          </cell>
          <cell r="J474">
            <v>66826868.529999994</v>
          </cell>
          <cell r="K474">
            <v>74287299.829999998</v>
          </cell>
          <cell r="L474">
            <v>82054186.219999999</v>
          </cell>
          <cell r="M474">
            <v>91171497.629999995</v>
          </cell>
          <cell r="N474">
            <v>7319559.7500000009</v>
          </cell>
          <cell r="O474">
            <v>15033668.950000001</v>
          </cell>
          <cell r="P474">
            <v>22666112.890000001</v>
          </cell>
          <cell r="Q474">
            <v>30400186.18</v>
          </cell>
          <cell r="R474">
            <v>39226693.649999999</v>
          </cell>
          <cell r="S474">
            <v>48061538.239999995</v>
          </cell>
          <cell r="T474">
            <v>60843071.979999997</v>
          </cell>
          <cell r="U474">
            <v>71997506.539999992</v>
          </cell>
          <cell r="V474">
            <v>82516437.989999995</v>
          </cell>
          <cell r="W474">
            <v>93244005.079999998</v>
          </cell>
          <cell r="X474">
            <v>106103437.48999999</v>
          </cell>
          <cell r="Y474">
            <v>121630370.86999999</v>
          </cell>
          <cell r="Z474">
            <v>12811626.51</v>
          </cell>
          <cell r="AA474">
            <v>23120702.759999998</v>
          </cell>
          <cell r="AB474">
            <v>31874706.219999999</v>
          </cell>
          <cell r="AC474">
            <v>40455143.829999998</v>
          </cell>
          <cell r="AD474">
            <v>49260975.859999999</v>
          </cell>
          <cell r="AE474">
            <v>58036364.259999998</v>
          </cell>
          <cell r="AF474">
            <v>67090734.949999996</v>
          </cell>
          <cell r="AG474">
            <v>76097209.899999991</v>
          </cell>
          <cell r="AH474">
            <v>85278911.679999992</v>
          </cell>
          <cell r="AI474">
            <v>94481294.529999986</v>
          </cell>
          <cell r="AJ474">
            <v>103285941.50999999</v>
          </cell>
          <cell r="AK474">
            <v>111439838.32999998</v>
          </cell>
          <cell r="AL474">
            <v>8433155.8599999994</v>
          </cell>
          <cell r="AM474">
            <v>17002413.609999999</v>
          </cell>
          <cell r="AN474">
            <v>25368455.18</v>
          </cell>
          <cell r="AO474">
            <v>33950824.43</v>
          </cell>
          <cell r="AP474">
            <v>42167395.119999997</v>
          </cell>
          <cell r="AQ474">
            <v>50525975.019999996</v>
          </cell>
          <cell r="AR474">
            <v>58701519.349999994</v>
          </cell>
          <cell r="AS474">
            <v>66937002.00999999</v>
          </cell>
          <cell r="AT474">
            <v>75739682.169999987</v>
          </cell>
          <cell r="AU474">
            <v>85299382.559999987</v>
          </cell>
          <cell r="AV474">
            <v>96405422.209999993</v>
          </cell>
          <cell r="AW474">
            <v>108734208.75999999</v>
          </cell>
          <cell r="AX474">
            <v>127648052.63</v>
          </cell>
          <cell r="AY474">
            <v>164592733.28999999</v>
          </cell>
          <cell r="AZ474">
            <v>248076139.00999999</v>
          </cell>
          <cell r="BA474">
            <v>352048391.56999999</v>
          </cell>
          <cell r="BB474">
            <v>365190153.67000002</v>
          </cell>
        </row>
        <row r="475">
          <cell r="A475" t="str">
            <v>ytd</v>
          </cell>
          <cell r="B475">
            <v>8358186.5</v>
          </cell>
          <cell r="C475">
            <v>15968322.66</v>
          </cell>
          <cell r="D475">
            <v>23156155.77</v>
          </cell>
          <cell r="E475">
            <v>29948962.109999999</v>
          </cell>
          <cell r="F475">
            <v>36931980.640000001</v>
          </cell>
          <cell r="G475">
            <v>44207876.659999996</v>
          </cell>
          <cell r="H475">
            <v>52598084.559999995</v>
          </cell>
          <cell r="I475">
            <v>59526019.169999994</v>
          </cell>
          <cell r="J475">
            <v>66826868.529999994</v>
          </cell>
          <cell r="K475">
            <v>74287299.829999998</v>
          </cell>
          <cell r="L475">
            <v>82054186.219999999</v>
          </cell>
          <cell r="M475">
            <v>91171497.629999995</v>
          </cell>
          <cell r="N475">
            <v>98491057.379999995</v>
          </cell>
          <cell r="O475">
            <v>106205166.58</v>
          </cell>
          <cell r="P475">
            <v>113837610.52</v>
          </cell>
          <cell r="Q475">
            <v>121571683.81</v>
          </cell>
          <cell r="R475">
            <v>130398191.28</v>
          </cell>
          <cell r="S475">
            <v>139233035.87</v>
          </cell>
          <cell r="T475">
            <v>152014569.61000001</v>
          </cell>
          <cell r="U475">
            <v>163169004.17000002</v>
          </cell>
          <cell r="V475">
            <v>173687935.62</v>
          </cell>
          <cell r="W475">
            <v>184415502.71000001</v>
          </cell>
          <cell r="X475">
            <v>197274935.12</v>
          </cell>
          <cell r="Y475">
            <v>212801868.5</v>
          </cell>
          <cell r="Z475">
            <v>225613495.00999999</v>
          </cell>
          <cell r="AA475">
            <v>235922571.25999999</v>
          </cell>
          <cell r="AB475">
            <v>244676574.72</v>
          </cell>
          <cell r="AC475">
            <v>253257012.33000001</v>
          </cell>
          <cell r="AD475">
            <v>262062844.36000001</v>
          </cell>
          <cell r="AE475">
            <v>270838232.75999999</v>
          </cell>
          <cell r="AF475">
            <v>279892603.44999999</v>
          </cell>
          <cell r="AG475">
            <v>288899078.39999998</v>
          </cell>
          <cell r="AH475">
            <v>298080780.17999995</v>
          </cell>
          <cell r="AI475">
            <v>307283163.02999997</v>
          </cell>
          <cell r="AJ475">
            <v>316087810.00999999</v>
          </cell>
          <cell r="AK475">
            <v>324241706.82999998</v>
          </cell>
          <cell r="AL475">
            <v>332674862.69</v>
          </cell>
          <cell r="AM475">
            <v>341244120.44</v>
          </cell>
          <cell r="AN475">
            <v>349610162.00999999</v>
          </cell>
          <cell r="AO475">
            <v>358192531.25999999</v>
          </cell>
          <cell r="AP475">
            <v>366409101.94999999</v>
          </cell>
          <cell r="AQ475">
            <v>374767681.84999996</v>
          </cell>
          <cell r="AR475">
            <v>382943226.17999995</v>
          </cell>
          <cell r="AS475">
            <v>391178708.83999997</v>
          </cell>
          <cell r="AT475">
            <v>399981389</v>
          </cell>
          <cell r="AU475">
            <v>409541089.38999999</v>
          </cell>
          <cell r="AV475">
            <v>420647129.03999996</v>
          </cell>
          <cell r="AW475">
            <v>432975915.58999997</v>
          </cell>
          <cell r="AX475">
            <v>451889759.45999998</v>
          </cell>
          <cell r="AY475">
            <v>488834440.12</v>
          </cell>
          <cell r="AZ475">
            <v>572317845.84000003</v>
          </cell>
          <cell r="BA475">
            <v>676290098.4000001</v>
          </cell>
          <cell r="BB475">
            <v>689431860.50000012</v>
          </cell>
        </row>
        <row r="476">
          <cell r="A476" t="str">
            <v>SPRT</v>
          </cell>
          <cell r="B476">
            <v>277480.39</v>
          </cell>
          <cell r="C476">
            <v>239201.63999999998</v>
          </cell>
          <cell r="D476">
            <v>245437.27000000002</v>
          </cell>
          <cell r="E476">
            <v>215991.11</v>
          </cell>
          <cell r="F476">
            <v>222623.87</v>
          </cell>
          <cell r="G476">
            <v>255702.25</v>
          </cell>
          <cell r="H476">
            <v>364426.43000000005</v>
          </cell>
          <cell r="I476">
            <v>219753.04</v>
          </cell>
          <cell r="J476">
            <v>278880.09999999998</v>
          </cell>
          <cell r="K476">
            <v>489684.3</v>
          </cell>
          <cell r="L476">
            <v>241725.81</v>
          </cell>
          <cell r="M476">
            <v>481493.54000000004</v>
          </cell>
          <cell r="N476">
            <v>247352.1</v>
          </cell>
          <cell r="O476">
            <v>278811.60000000003</v>
          </cell>
          <cell r="P476">
            <v>308618.40999999997</v>
          </cell>
          <cell r="Q476">
            <v>301904.00999999995</v>
          </cell>
          <cell r="R476">
            <v>331092.15999999997</v>
          </cell>
          <cell r="S476">
            <v>323937.52</v>
          </cell>
          <cell r="T476">
            <v>427585.64999999997</v>
          </cell>
          <cell r="U476">
            <v>397626.61</v>
          </cell>
          <cell r="V476">
            <v>335450.71000000002</v>
          </cell>
          <cell r="W476">
            <v>380511.24</v>
          </cell>
          <cell r="X476">
            <v>526897.18999999994</v>
          </cell>
          <cell r="Y476">
            <v>1129137.3199999998</v>
          </cell>
          <cell r="Z476">
            <v>535251.01</v>
          </cell>
          <cell r="AA476">
            <v>354436.57999999996</v>
          </cell>
          <cell r="AB476">
            <v>251906.66999999998</v>
          </cell>
          <cell r="AC476">
            <v>255995.77</v>
          </cell>
          <cell r="AD476">
            <v>250071.7</v>
          </cell>
          <cell r="AE476">
            <v>275472.57999999996</v>
          </cell>
          <cell r="AF476">
            <v>258572.16</v>
          </cell>
          <cell r="AG476">
            <v>277035.81</v>
          </cell>
          <cell r="AH476">
            <v>295078.32</v>
          </cell>
          <cell r="AI476">
            <v>297766.02</v>
          </cell>
          <cell r="AJ476">
            <v>291434.75</v>
          </cell>
          <cell r="AK476">
            <v>252075.87</v>
          </cell>
          <cell r="AL476">
            <v>285751.44</v>
          </cell>
          <cell r="AM476">
            <v>280082.53999999998</v>
          </cell>
          <cell r="AN476">
            <v>273078.19</v>
          </cell>
          <cell r="AO476">
            <v>238841.13</v>
          </cell>
          <cell r="AP476">
            <v>258357.59</v>
          </cell>
          <cell r="AQ476">
            <v>272606.20999999996</v>
          </cell>
          <cell r="AR476">
            <v>229174.39999999999</v>
          </cell>
          <cell r="AS476">
            <v>3055002.3200000003</v>
          </cell>
          <cell r="AT476">
            <v>715537.22</v>
          </cell>
          <cell r="AU476">
            <v>442851.3</v>
          </cell>
          <cell r="AV476">
            <v>348148.97000000003</v>
          </cell>
          <cell r="AW476">
            <v>446938.92000000004</v>
          </cell>
          <cell r="AX476">
            <v>807332.03999999992</v>
          </cell>
          <cell r="AY476">
            <v>1339589.2699999998</v>
          </cell>
          <cell r="AZ476">
            <v>2483319.63</v>
          </cell>
          <cell r="BA476">
            <v>3299627.31</v>
          </cell>
          <cell r="BB476">
            <v>350245.29</v>
          </cell>
        </row>
        <row r="477">
          <cell r="A477" t="str">
            <v>ptd</v>
          </cell>
          <cell r="B477">
            <v>277480.39</v>
          </cell>
          <cell r="C477">
            <v>516682.03</v>
          </cell>
          <cell r="D477">
            <v>762119.3</v>
          </cell>
          <cell r="E477">
            <v>978110.41</v>
          </cell>
          <cell r="F477">
            <v>222623.87</v>
          </cell>
          <cell r="G477">
            <v>478326.12</v>
          </cell>
          <cell r="H477">
            <v>842752.55</v>
          </cell>
          <cell r="I477">
            <v>1062505.5900000001</v>
          </cell>
          <cell r="J477">
            <v>278880.09999999998</v>
          </cell>
          <cell r="K477">
            <v>768564.39999999991</v>
          </cell>
          <cell r="L477">
            <v>1010290.21</v>
          </cell>
          <cell r="M477">
            <v>1491783.75</v>
          </cell>
          <cell r="N477">
            <v>247352.1</v>
          </cell>
          <cell r="O477">
            <v>526163.70000000007</v>
          </cell>
          <cell r="P477">
            <v>834782.1100000001</v>
          </cell>
          <cell r="Q477">
            <v>1136686.1200000001</v>
          </cell>
          <cell r="R477">
            <v>331092.15999999997</v>
          </cell>
          <cell r="S477">
            <v>655029.67999999993</v>
          </cell>
          <cell r="T477">
            <v>1082615.3299999998</v>
          </cell>
          <cell r="U477">
            <v>1480241.94</v>
          </cell>
          <cell r="V477">
            <v>335450.71000000002</v>
          </cell>
          <cell r="W477">
            <v>715961.95</v>
          </cell>
          <cell r="X477">
            <v>1242859.1399999999</v>
          </cell>
          <cell r="Y477">
            <v>2371996.46</v>
          </cell>
          <cell r="Z477">
            <v>535251.01</v>
          </cell>
          <cell r="AA477">
            <v>889687.59</v>
          </cell>
          <cell r="AB477">
            <v>1141594.26</v>
          </cell>
          <cell r="AC477">
            <v>1397590.03</v>
          </cell>
          <cell r="AD477">
            <v>250071.7</v>
          </cell>
          <cell r="AE477">
            <v>525544.28</v>
          </cell>
          <cell r="AF477">
            <v>784116.44000000006</v>
          </cell>
          <cell r="AG477">
            <v>1061152.25</v>
          </cell>
          <cell r="AH477">
            <v>295078.32</v>
          </cell>
          <cell r="AI477">
            <v>592844.34000000008</v>
          </cell>
          <cell r="AJ477">
            <v>884279.09000000008</v>
          </cell>
          <cell r="AK477">
            <v>1136354.96</v>
          </cell>
          <cell r="AL477">
            <v>285751.44</v>
          </cell>
          <cell r="AM477">
            <v>565833.98</v>
          </cell>
          <cell r="AN477">
            <v>838912.16999999993</v>
          </cell>
          <cell r="AO477">
            <v>1077753.2999999998</v>
          </cell>
          <cell r="AP477">
            <v>258357.59</v>
          </cell>
          <cell r="AQ477">
            <v>530963.79999999993</v>
          </cell>
          <cell r="AR477">
            <v>760138.2</v>
          </cell>
          <cell r="AS477">
            <v>3815140.5200000005</v>
          </cell>
          <cell r="AT477">
            <v>715537.22</v>
          </cell>
          <cell r="AU477">
            <v>1158388.52</v>
          </cell>
          <cell r="AV477">
            <v>1506537.49</v>
          </cell>
          <cell r="AW477">
            <v>1953476.4100000001</v>
          </cell>
          <cell r="AX477">
            <v>807332.03999999992</v>
          </cell>
          <cell r="AY477">
            <v>2146921.3099999996</v>
          </cell>
          <cell r="AZ477">
            <v>4630240.9399999995</v>
          </cell>
          <cell r="BA477">
            <v>7929868.25</v>
          </cell>
          <cell r="BB477">
            <v>8280113.54</v>
          </cell>
        </row>
        <row r="478">
          <cell r="A478" t="str">
            <v>qtd</v>
          </cell>
          <cell r="B478">
            <v>277480.39</v>
          </cell>
          <cell r="C478">
            <v>516682.03</v>
          </cell>
          <cell r="D478">
            <v>762119.3</v>
          </cell>
          <cell r="E478">
            <v>978110.41</v>
          </cell>
          <cell r="F478">
            <v>1200734.28</v>
          </cell>
          <cell r="G478">
            <v>1456436.53</v>
          </cell>
          <cell r="H478">
            <v>1820862.96</v>
          </cell>
          <cell r="I478">
            <v>2040616</v>
          </cell>
          <cell r="J478">
            <v>2319496.1</v>
          </cell>
          <cell r="K478">
            <v>2809180.4</v>
          </cell>
          <cell r="L478">
            <v>3050906.21</v>
          </cell>
          <cell r="M478">
            <v>3532399.75</v>
          </cell>
          <cell r="N478">
            <v>247352.1</v>
          </cell>
          <cell r="O478">
            <v>526163.70000000007</v>
          </cell>
          <cell r="P478">
            <v>834782.1100000001</v>
          </cell>
          <cell r="Q478">
            <v>1136686.1200000001</v>
          </cell>
          <cell r="R478">
            <v>1467778.28</v>
          </cell>
          <cell r="S478">
            <v>1791715.8</v>
          </cell>
          <cell r="T478">
            <v>2219301.4500000002</v>
          </cell>
          <cell r="U478">
            <v>2616928.06</v>
          </cell>
          <cell r="V478">
            <v>2952378.77</v>
          </cell>
          <cell r="W478">
            <v>3332890.01</v>
          </cell>
          <cell r="X478">
            <v>3859787.1999999997</v>
          </cell>
          <cell r="Y478">
            <v>4988924.5199999996</v>
          </cell>
          <cell r="Z478">
            <v>535251.01</v>
          </cell>
          <cell r="AA478">
            <v>889687.59</v>
          </cell>
          <cell r="AB478">
            <v>1141594.26</v>
          </cell>
          <cell r="AC478">
            <v>1397590.03</v>
          </cell>
          <cell r="AD478">
            <v>1647661.73</v>
          </cell>
          <cell r="AE478">
            <v>1923134.31</v>
          </cell>
          <cell r="AF478">
            <v>2181706.4700000002</v>
          </cell>
          <cell r="AG478">
            <v>2458742.2800000003</v>
          </cell>
          <cell r="AH478">
            <v>2753820.6</v>
          </cell>
          <cell r="AI478">
            <v>3051586.62</v>
          </cell>
          <cell r="AJ478">
            <v>3343021.37</v>
          </cell>
          <cell r="AK478">
            <v>3595097.24</v>
          </cell>
          <cell r="AL478">
            <v>285751.44</v>
          </cell>
          <cell r="AM478">
            <v>565833.98</v>
          </cell>
          <cell r="AN478">
            <v>838912.16999999993</v>
          </cell>
          <cell r="AO478">
            <v>1077753.2999999998</v>
          </cell>
          <cell r="AP478">
            <v>1336110.8899999999</v>
          </cell>
          <cell r="AQ478">
            <v>1608717.0999999999</v>
          </cell>
          <cell r="AR478">
            <v>1837891.4999999998</v>
          </cell>
          <cell r="AS478">
            <v>4892893.82</v>
          </cell>
          <cell r="AT478">
            <v>5608431.04</v>
          </cell>
          <cell r="AU478">
            <v>6051282.3399999999</v>
          </cell>
          <cell r="AV478">
            <v>6399431.3099999996</v>
          </cell>
          <cell r="AW478">
            <v>6846370.2299999995</v>
          </cell>
          <cell r="AX478">
            <v>7653702.2699999996</v>
          </cell>
          <cell r="AY478">
            <v>8993291.5399999991</v>
          </cell>
          <cell r="AZ478">
            <v>11476611.169999998</v>
          </cell>
          <cell r="BA478">
            <v>14776238.479999999</v>
          </cell>
          <cell r="BB478">
            <v>15126483.769999998</v>
          </cell>
        </row>
        <row r="479">
          <cell r="A479" t="str">
            <v>ytd</v>
          </cell>
          <cell r="B479">
            <v>277480.39</v>
          </cell>
          <cell r="C479">
            <v>516682.03</v>
          </cell>
          <cell r="D479">
            <v>762119.3</v>
          </cell>
          <cell r="E479">
            <v>978110.41</v>
          </cell>
          <cell r="F479">
            <v>1200734.28</v>
          </cell>
          <cell r="G479">
            <v>1456436.53</v>
          </cell>
          <cell r="H479">
            <v>1820862.96</v>
          </cell>
          <cell r="I479">
            <v>2040616</v>
          </cell>
          <cell r="J479">
            <v>2319496.1</v>
          </cell>
          <cell r="K479">
            <v>2809180.4</v>
          </cell>
          <cell r="L479">
            <v>3050906.21</v>
          </cell>
          <cell r="M479">
            <v>3532399.75</v>
          </cell>
          <cell r="N479">
            <v>3779751.85</v>
          </cell>
          <cell r="O479">
            <v>4058563.45</v>
          </cell>
          <cell r="P479">
            <v>4367181.8600000003</v>
          </cell>
          <cell r="Q479">
            <v>4669085.87</v>
          </cell>
          <cell r="R479">
            <v>5000178.03</v>
          </cell>
          <cell r="S479">
            <v>5324115.5500000007</v>
          </cell>
          <cell r="T479">
            <v>5751701.2000000011</v>
          </cell>
          <cell r="U479">
            <v>6149327.8100000015</v>
          </cell>
          <cell r="V479">
            <v>6484778.5200000014</v>
          </cell>
          <cell r="W479">
            <v>6865289.7600000016</v>
          </cell>
          <cell r="X479">
            <v>7392186.9500000011</v>
          </cell>
          <cell r="Y479">
            <v>8521324.2700000014</v>
          </cell>
          <cell r="Z479">
            <v>9056575.2800000012</v>
          </cell>
          <cell r="AA479">
            <v>9411011.8600000013</v>
          </cell>
          <cell r="AB479">
            <v>9662918.5300000012</v>
          </cell>
          <cell r="AC479">
            <v>9918914.3000000007</v>
          </cell>
          <cell r="AD479">
            <v>10168986</v>
          </cell>
          <cell r="AE479">
            <v>10444458.58</v>
          </cell>
          <cell r="AF479">
            <v>10703030.74</v>
          </cell>
          <cell r="AG479">
            <v>10980066.550000001</v>
          </cell>
          <cell r="AH479">
            <v>11275144.870000001</v>
          </cell>
          <cell r="AI479">
            <v>11572910.890000001</v>
          </cell>
          <cell r="AJ479">
            <v>11864345.640000001</v>
          </cell>
          <cell r="AK479">
            <v>12116421.51</v>
          </cell>
          <cell r="AL479">
            <v>12402172.949999999</v>
          </cell>
          <cell r="AM479">
            <v>12682255.489999998</v>
          </cell>
          <cell r="AN479">
            <v>12955333.679999998</v>
          </cell>
          <cell r="AO479">
            <v>13194174.809999999</v>
          </cell>
          <cell r="AP479">
            <v>13452532.399999999</v>
          </cell>
          <cell r="AQ479">
            <v>13725138.609999999</v>
          </cell>
          <cell r="AR479">
            <v>13954313.01</v>
          </cell>
          <cell r="AS479">
            <v>17009315.329999998</v>
          </cell>
          <cell r="AT479">
            <v>17724852.549999997</v>
          </cell>
          <cell r="AU479">
            <v>18167703.849999998</v>
          </cell>
          <cell r="AV479">
            <v>18515852.819999997</v>
          </cell>
          <cell r="AW479">
            <v>18962791.739999998</v>
          </cell>
          <cell r="AX479">
            <v>19770123.779999997</v>
          </cell>
          <cell r="AY479">
            <v>21109713.049999997</v>
          </cell>
          <cell r="AZ479">
            <v>23593032.679999996</v>
          </cell>
          <cell r="BA479">
            <v>26892659.989999995</v>
          </cell>
          <cell r="BB479">
            <v>27242905.279999994</v>
          </cell>
        </row>
        <row r="480">
          <cell r="A480" t="str">
            <v>TELE</v>
          </cell>
          <cell r="B480">
            <v>4062491.0100000002</v>
          </cell>
          <cell r="C480">
            <v>3749285.8699999996</v>
          </cell>
          <cell r="D480">
            <v>3788682.3699999996</v>
          </cell>
          <cell r="E480">
            <v>3705122.89</v>
          </cell>
          <cell r="F480">
            <v>4205021.04</v>
          </cell>
          <cell r="G480">
            <v>4149755.12</v>
          </cell>
          <cell r="H480">
            <v>4026878.1999999997</v>
          </cell>
          <cell r="I480">
            <v>3796406.78</v>
          </cell>
          <cell r="J480">
            <v>3995035</v>
          </cell>
          <cell r="K480">
            <v>4020978</v>
          </cell>
          <cell r="L480">
            <v>3817397</v>
          </cell>
          <cell r="M480">
            <v>3973778.79</v>
          </cell>
          <cell r="N480">
            <v>3687269.8200000003</v>
          </cell>
          <cell r="O480">
            <v>4124897.84</v>
          </cell>
          <cell r="P480">
            <v>3788707.29</v>
          </cell>
          <cell r="Q480">
            <v>3769918.98</v>
          </cell>
          <cell r="R480">
            <v>3681777.8900000006</v>
          </cell>
          <cell r="S480">
            <v>4112773.4800000004</v>
          </cell>
          <cell r="T480">
            <v>4031755.5</v>
          </cell>
          <cell r="U480">
            <v>3944073.9299999997</v>
          </cell>
          <cell r="V480">
            <v>3991146.2600000002</v>
          </cell>
          <cell r="W480">
            <v>3969556.3600000003</v>
          </cell>
          <cell r="X480">
            <v>4333688.3899999997</v>
          </cell>
          <cell r="Y480">
            <v>4193935.9600000004</v>
          </cell>
          <cell r="Z480">
            <v>4173394.2</v>
          </cell>
          <cell r="AA480">
            <v>4076276.8799999994</v>
          </cell>
          <cell r="AB480">
            <v>4487713.46</v>
          </cell>
          <cell r="AC480">
            <v>4187241.31</v>
          </cell>
          <cell r="AD480">
            <v>4119286.11</v>
          </cell>
          <cell r="AE480">
            <v>4012326.31</v>
          </cell>
          <cell r="AF480">
            <v>4283937.0999999996</v>
          </cell>
          <cell r="AG480">
            <v>4163135.39</v>
          </cell>
          <cell r="AH480">
            <v>3982667.9799999995</v>
          </cell>
          <cell r="AI480">
            <v>3993896.99</v>
          </cell>
          <cell r="AJ480">
            <v>4100353.83</v>
          </cell>
          <cell r="AK480">
            <v>4128212.96</v>
          </cell>
          <cell r="AL480">
            <v>3824709.7199999997</v>
          </cell>
          <cell r="AM480">
            <v>3858224.83</v>
          </cell>
          <cell r="AN480">
            <v>3745913.73</v>
          </cell>
          <cell r="AO480">
            <v>4280497.87</v>
          </cell>
          <cell r="AP480">
            <v>4422436.18</v>
          </cell>
          <cell r="AQ480">
            <v>4518721.66</v>
          </cell>
          <cell r="AR480">
            <v>4608516.0500000007</v>
          </cell>
          <cell r="AS480">
            <v>5009992.5500000007</v>
          </cell>
          <cell r="AT480">
            <v>5455645.1800000006</v>
          </cell>
          <cell r="AU480">
            <v>5133998.1099999994</v>
          </cell>
          <cell r="AV480">
            <v>5300651.24</v>
          </cell>
          <cell r="AW480">
            <v>5476723.1999999993</v>
          </cell>
          <cell r="AX480">
            <v>6103337.8899999997</v>
          </cell>
          <cell r="AY480">
            <v>6131180.3099999996</v>
          </cell>
          <cell r="AZ480">
            <v>6514506.209999999</v>
          </cell>
          <cell r="BA480">
            <v>7004036.5199999996</v>
          </cell>
          <cell r="BB480">
            <v>6180153.2400000002</v>
          </cell>
        </row>
        <row r="481">
          <cell r="A481" t="str">
            <v>ptd</v>
          </cell>
          <cell r="B481">
            <v>4062491.0100000002</v>
          </cell>
          <cell r="C481">
            <v>7811776.8799999999</v>
          </cell>
          <cell r="D481">
            <v>11600459.25</v>
          </cell>
          <cell r="E481">
            <v>15305582.140000001</v>
          </cell>
          <cell r="F481">
            <v>4205021.04</v>
          </cell>
          <cell r="G481">
            <v>8354776.1600000001</v>
          </cell>
          <cell r="H481">
            <v>12381654.359999999</v>
          </cell>
          <cell r="I481">
            <v>16178061.139999999</v>
          </cell>
          <cell r="J481">
            <v>3995035</v>
          </cell>
          <cell r="K481">
            <v>8016013</v>
          </cell>
          <cell r="L481">
            <v>11833410</v>
          </cell>
          <cell r="M481">
            <v>15807188.789999999</v>
          </cell>
          <cell r="N481">
            <v>3687269.8200000003</v>
          </cell>
          <cell r="O481">
            <v>7812167.6600000001</v>
          </cell>
          <cell r="P481">
            <v>11600874.949999999</v>
          </cell>
          <cell r="Q481">
            <v>15370793.93</v>
          </cell>
          <cell r="R481">
            <v>3681777.8900000006</v>
          </cell>
          <cell r="S481">
            <v>7794551.370000001</v>
          </cell>
          <cell r="T481">
            <v>11826306.870000001</v>
          </cell>
          <cell r="U481">
            <v>15770380.800000001</v>
          </cell>
          <cell r="V481">
            <v>3991146.2600000002</v>
          </cell>
          <cell r="W481">
            <v>7960702.620000001</v>
          </cell>
          <cell r="X481">
            <v>12294391.010000002</v>
          </cell>
          <cell r="Y481">
            <v>16488326.970000003</v>
          </cell>
          <cell r="Z481">
            <v>4173394.2</v>
          </cell>
          <cell r="AA481">
            <v>8249671.0800000001</v>
          </cell>
          <cell r="AB481">
            <v>12737384.539999999</v>
          </cell>
          <cell r="AC481">
            <v>16924625.849999998</v>
          </cell>
          <cell r="AD481">
            <v>4119286.11</v>
          </cell>
          <cell r="AE481">
            <v>8131612.4199999999</v>
          </cell>
          <cell r="AF481">
            <v>12415549.52</v>
          </cell>
          <cell r="AG481">
            <v>16578684.91</v>
          </cell>
          <cell r="AH481">
            <v>3982667.9799999995</v>
          </cell>
          <cell r="AI481">
            <v>7976564.9699999997</v>
          </cell>
          <cell r="AJ481">
            <v>12076918.800000001</v>
          </cell>
          <cell r="AK481">
            <v>16205131.760000002</v>
          </cell>
          <cell r="AL481">
            <v>3824709.7199999997</v>
          </cell>
          <cell r="AM481">
            <v>7682934.5499999998</v>
          </cell>
          <cell r="AN481">
            <v>11428848.279999999</v>
          </cell>
          <cell r="AO481">
            <v>15709346.149999999</v>
          </cell>
          <cell r="AP481">
            <v>4422436.18</v>
          </cell>
          <cell r="AQ481">
            <v>8941157.8399999999</v>
          </cell>
          <cell r="AR481">
            <v>13549673.890000001</v>
          </cell>
          <cell r="AS481">
            <v>18559666.440000001</v>
          </cell>
          <cell r="AT481">
            <v>5455645.1800000006</v>
          </cell>
          <cell r="AU481">
            <v>10589643.289999999</v>
          </cell>
          <cell r="AV481">
            <v>15890294.529999999</v>
          </cell>
          <cell r="AW481">
            <v>21367017.729999997</v>
          </cell>
          <cell r="AX481">
            <v>6103337.8899999997</v>
          </cell>
          <cell r="AY481">
            <v>12234518.199999999</v>
          </cell>
          <cell r="AZ481">
            <v>18749024.409999996</v>
          </cell>
          <cell r="BA481">
            <v>25753060.929999996</v>
          </cell>
          <cell r="BB481">
            <v>31933214.169999994</v>
          </cell>
        </row>
        <row r="482">
          <cell r="A482" t="str">
            <v>qtd</v>
          </cell>
          <cell r="B482">
            <v>4062491.0100000002</v>
          </cell>
          <cell r="C482">
            <v>7811776.8799999999</v>
          </cell>
          <cell r="D482">
            <v>11600459.25</v>
          </cell>
          <cell r="E482">
            <v>15305582.140000001</v>
          </cell>
          <cell r="F482">
            <v>19510603.18</v>
          </cell>
          <cell r="G482">
            <v>23660358.300000001</v>
          </cell>
          <cell r="H482">
            <v>27687236.5</v>
          </cell>
          <cell r="I482">
            <v>31483643.280000001</v>
          </cell>
          <cell r="J482">
            <v>35478678.280000001</v>
          </cell>
          <cell r="K482">
            <v>39499656.280000001</v>
          </cell>
          <cell r="L482">
            <v>43317053.280000001</v>
          </cell>
          <cell r="M482">
            <v>47290832.07</v>
          </cell>
          <cell r="N482">
            <v>3687269.8200000003</v>
          </cell>
          <cell r="O482">
            <v>7812167.6600000001</v>
          </cell>
          <cell r="P482">
            <v>11600874.949999999</v>
          </cell>
          <cell r="Q482">
            <v>15370793.93</v>
          </cell>
          <cell r="R482">
            <v>19052571.82</v>
          </cell>
          <cell r="S482">
            <v>23165345.300000001</v>
          </cell>
          <cell r="T482">
            <v>27197100.800000001</v>
          </cell>
          <cell r="U482">
            <v>31141174.73</v>
          </cell>
          <cell r="V482">
            <v>35132320.990000002</v>
          </cell>
          <cell r="W482">
            <v>39101877.350000001</v>
          </cell>
          <cell r="X482">
            <v>43435565.740000002</v>
          </cell>
          <cell r="Y482">
            <v>47629501.700000003</v>
          </cell>
          <cell r="Z482">
            <v>4173394.2</v>
          </cell>
          <cell r="AA482">
            <v>8249671.0800000001</v>
          </cell>
          <cell r="AB482">
            <v>12737384.539999999</v>
          </cell>
          <cell r="AC482">
            <v>16924625.849999998</v>
          </cell>
          <cell r="AD482">
            <v>21043911.959999997</v>
          </cell>
          <cell r="AE482">
            <v>25056238.269999996</v>
          </cell>
          <cell r="AF482">
            <v>29340175.369999997</v>
          </cell>
          <cell r="AG482">
            <v>33503310.759999998</v>
          </cell>
          <cell r="AH482">
            <v>37485978.739999995</v>
          </cell>
          <cell r="AI482">
            <v>41479875.729999997</v>
          </cell>
          <cell r="AJ482">
            <v>45580229.559999995</v>
          </cell>
          <cell r="AK482">
            <v>49708442.519999996</v>
          </cell>
          <cell r="AL482">
            <v>3824709.7199999997</v>
          </cell>
          <cell r="AM482">
            <v>7682934.5499999998</v>
          </cell>
          <cell r="AN482">
            <v>11428848.279999999</v>
          </cell>
          <cell r="AO482">
            <v>15709346.149999999</v>
          </cell>
          <cell r="AP482">
            <v>20131782.329999998</v>
          </cell>
          <cell r="AQ482">
            <v>24650503.989999998</v>
          </cell>
          <cell r="AR482">
            <v>29259020.039999999</v>
          </cell>
          <cell r="AS482">
            <v>34269012.590000004</v>
          </cell>
          <cell r="AT482">
            <v>39724657.770000003</v>
          </cell>
          <cell r="AU482">
            <v>44858655.880000003</v>
          </cell>
          <cell r="AV482">
            <v>50159307.120000005</v>
          </cell>
          <cell r="AW482">
            <v>55636030.320000008</v>
          </cell>
          <cell r="AX482">
            <v>61739368.210000008</v>
          </cell>
          <cell r="AY482">
            <v>67870548.520000011</v>
          </cell>
          <cell r="AZ482">
            <v>74385054.730000004</v>
          </cell>
          <cell r="BA482">
            <v>81389091.25</v>
          </cell>
          <cell r="BB482">
            <v>87569244.489999995</v>
          </cell>
        </row>
        <row r="483">
          <cell r="A483" t="str">
            <v>ytd</v>
          </cell>
          <cell r="B483">
            <v>4062491.0100000002</v>
          </cell>
          <cell r="C483">
            <v>7811776.8799999999</v>
          </cell>
          <cell r="D483">
            <v>11600459.25</v>
          </cell>
          <cell r="E483">
            <v>15305582.140000001</v>
          </cell>
          <cell r="F483">
            <v>19510603.18</v>
          </cell>
          <cell r="G483">
            <v>23660358.300000001</v>
          </cell>
          <cell r="H483">
            <v>27687236.5</v>
          </cell>
          <cell r="I483">
            <v>31483643.280000001</v>
          </cell>
          <cell r="J483">
            <v>35478678.280000001</v>
          </cell>
          <cell r="K483">
            <v>39499656.280000001</v>
          </cell>
          <cell r="L483">
            <v>43317053.280000001</v>
          </cell>
          <cell r="M483">
            <v>47290832.07</v>
          </cell>
          <cell r="N483">
            <v>50978101.890000001</v>
          </cell>
          <cell r="O483">
            <v>55102999.730000004</v>
          </cell>
          <cell r="P483">
            <v>58891707.020000003</v>
          </cell>
          <cell r="Q483">
            <v>62661626</v>
          </cell>
          <cell r="R483">
            <v>66343403.890000001</v>
          </cell>
          <cell r="S483">
            <v>70456177.370000005</v>
          </cell>
          <cell r="T483">
            <v>74487932.870000005</v>
          </cell>
          <cell r="U483">
            <v>78432006.800000012</v>
          </cell>
          <cell r="V483">
            <v>82423153.060000017</v>
          </cell>
          <cell r="W483">
            <v>86392709.420000017</v>
          </cell>
          <cell r="X483">
            <v>90726397.810000017</v>
          </cell>
          <cell r="Y483">
            <v>94920333.770000011</v>
          </cell>
          <cell r="Z483">
            <v>99093727.970000014</v>
          </cell>
          <cell r="AA483">
            <v>103170004.85000001</v>
          </cell>
          <cell r="AB483">
            <v>107657718.31</v>
          </cell>
          <cell r="AC483">
            <v>111844959.62</v>
          </cell>
          <cell r="AD483">
            <v>115964245.73</v>
          </cell>
          <cell r="AE483">
            <v>119976572.04000001</v>
          </cell>
          <cell r="AF483">
            <v>124260509.14</v>
          </cell>
          <cell r="AG483">
            <v>128423644.53</v>
          </cell>
          <cell r="AH483">
            <v>132406312.51000001</v>
          </cell>
          <cell r="AI483">
            <v>136400209.5</v>
          </cell>
          <cell r="AJ483">
            <v>140500563.33000001</v>
          </cell>
          <cell r="AK483">
            <v>144628776.29000002</v>
          </cell>
          <cell r="AL483">
            <v>148453486.01000002</v>
          </cell>
          <cell r="AM483">
            <v>152311710.84000003</v>
          </cell>
          <cell r="AN483">
            <v>156057624.57000002</v>
          </cell>
          <cell r="AO483">
            <v>160338122.44000003</v>
          </cell>
          <cell r="AP483">
            <v>164760558.62000003</v>
          </cell>
          <cell r="AQ483">
            <v>169279280.28000003</v>
          </cell>
          <cell r="AR483">
            <v>173887796.33000004</v>
          </cell>
          <cell r="AS483">
            <v>178897788.88000005</v>
          </cell>
          <cell r="AT483">
            <v>184353434.06000006</v>
          </cell>
          <cell r="AU483">
            <v>189487432.17000008</v>
          </cell>
          <cell r="AV483">
            <v>194788083.41000009</v>
          </cell>
          <cell r="AW483">
            <v>200264806.61000007</v>
          </cell>
          <cell r="AX483">
            <v>206368144.50000006</v>
          </cell>
          <cell r="AY483">
            <v>212499324.81000006</v>
          </cell>
          <cell r="AZ483">
            <v>219013831.02000007</v>
          </cell>
          <cell r="BA483">
            <v>226017867.54000008</v>
          </cell>
          <cell r="BB483">
            <v>232198020.78000009</v>
          </cell>
        </row>
        <row r="484">
          <cell r="A484" t="str">
            <v>TICK</v>
          </cell>
          <cell r="B484">
            <v>363749.57999999996</v>
          </cell>
          <cell r="C484">
            <v>330846.94</v>
          </cell>
          <cell r="D484">
            <v>571296.27</v>
          </cell>
          <cell r="E484">
            <v>479501.89</v>
          </cell>
          <cell r="F484">
            <v>567211.49</v>
          </cell>
          <cell r="G484">
            <v>737077.21</v>
          </cell>
          <cell r="H484">
            <v>1221930.4300000002</v>
          </cell>
          <cell r="I484">
            <v>878243.91999999993</v>
          </cell>
          <cell r="J484">
            <v>865537.12</v>
          </cell>
          <cell r="K484">
            <v>986770.47</v>
          </cell>
          <cell r="L484">
            <v>1033290.6000000001</v>
          </cell>
          <cell r="M484">
            <v>1371760.45</v>
          </cell>
          <cell r="N484">
            <v>1392470.14</v>
          </cell>
          <cell r="O484">
            <v>1202990.1400000001</v>
          </cell>
          <cell r="P484">
            <v>1275856.1299999999</v>
          </cell>
          <cell r="Q484">
            <v>1236574.3500000001</v>
          </cell>
          <cell r="R484">
            <v>1332880.6800000002</v>
          </cell>
          <cell r="S484">
            <v>1071119.75</v>
          </cell>
          <cell r="T484">
            <v>1198136.44</v>
          </cell>
          <cell r="U484">
            <v>1266220.8999999999</v>
          </cell>
          <cell r="V484">
            <v>1740042.2</v>
          </cell>
          <cell r="W484">
            <v>2135318.08</v>
          </cell>
          <cell r="X484">
            <v>1493176.49</v>
          </cell>
          <cell r="Y484">
            <v>1886861.85</v>
          </cell>
          <cell r="Z484">
            <v>1945456.45</v>
          </cell>
          <cell r="AA484">
            <v>2206651.15</v>
          </cell>
          <cell r="AB484">
            <v>2827027.26</v>
          </cell>
          <cell r="AC484">
            <v>2774112.2600000002</v>
          </cell>
          <cell r="AD484">
            <v>3221301.43</v>
          </cell>
          <cell r="AE484">
            <v>3090720.72</v>
          </cell>
          <cell r="AF484">
            <v>3075082.05</v>
          </cell>
          <cell r="AG484">
            <v>3077105.39</v>
          </cell>
          <cell r="AH484">
            <v>2894001.2299999995</v>
          </cell>
          <cell r="AI484">
            <v>3214431.69</v>
          </cell>
          <cell r="AJ484">
            <v>2654511.73</v>
          </cell>
          <cell r="AK484">
            <v>1025494.59</v>
          </cell>
          <cell r="AL484">
            <v>256706.31</v>
          </cell>
          <cell r="AM484">
            <v>350490.76</v>
          </cell>
          <cell r="AN484">
            <v>512762.61</v>
          </cell>
          <cell r="AO484">
            <v>978250.12</v>
          </cell>
          <cell r="AP484">
            <v>1604193.92</v>
          </cell>
          <cell r="AQ484">
            <v>2449331.71</v>
          </cell>
          <cell r="AR484">
            <v>2668028.42</v>
          </cell>
          <cell r="AS484">
            <v>1182460.67</v>
          </cell>
          <cell r="AT484">
            <v>207150.58000000002</v>
          </cell>
          <cell r="AU484">
            <v>187896.35</v>
          </cell>
          <cell r="AV484">
            <v>237674.97</v>
          </cell>
          <cell r="AW484">
            <v>279147.11</v>
          </cell>
          <cell r="AX484">
            <v>307094.03000000003</v>
          </cell>
          <cell r="AY484">
            <v>444603.33</v>
          </cell>
          <cell r="AZ484">
            <v>732960.33</v>
          </cell>
          <cell r="BA484">
            <v>1087789.72</v>
          </cell>
          <cell r="BB484">
            <v>405935.61</v>
          </cell>
        </row>
        <row r="485">
          <cell r="A485" t="str">
            <v>ptd</v>
          </cell>
          <cell r="B485">
            <v>363749.57999999996</v>
          </cell>
          <cell r="C485">
            <v>694596.52</v>
          </cell>
          <cell r="D485">
            <v>1265892.79</v>
          </cell>
          <cell r="E485">
            <v>1745394.6800000002</v>
          </cell>
          <cell r="F485">
            <v>567211.49</v>
          </cell>
          <cell r="G485">
            <v>1304288.7</v>
          </cell>
          <cell r="H485">
            <v>2526219.13</v>
          </cell>
          <cell r="I485">
            <v>3404463.05</v>
          </cell>
          <cell r="J485">
            <v>865537.12</v>
          </cell>
          <cell r="K485">
            <v>1852307.5899999999</v>
          </cell>
          <cell r="L485">
            <v>2885598.19</v>
          </cell>
          <cell r="M485">
            <v>4257358.6399999997</v>
          </cell>
          <cell r="N485">
            <v>1392470.14</v>
          </cell>
          <cell r="O485">
            <v>2595460.2800000003</v>
          </cell>
          <cell r="P485">
            <v>3871316.41</v>
          </cell>
          <cell r="Q485">
            <v>5107890.76</v>
          </cell>
          <cell r="R485">
            <v>1332880.6800000002</v>
          </cell>
          <cell r="S485">
            <v>2404000.4300000002</v>
          </cell>
          <cell r="T485">
            <v>3602136.87</v>
          </cell>
          <cell r="U485">
            <v>4868357.7699999996</v>
          </cell>
          <cell r="V485">
            <v>1740042.2</v>
          </cell>
          <cell r="W485">
            <v>3875360.2800000003</v>
          </cell>
          <cell r="X485">
            <v>5368536.7700000005</v>
          </cell>
          <cell r="Y485">
            <v>7255398.620000001</v>
          </cell>
          <cell r="Z485">
            <v>1945456.45</v>
          </cell>
          <cell r="AA485">
            <v>4152107.5999999996</v>
          </cell>
          <cell r="AB485">
            <v>6979134.8599999994</v>
          </cell>
          <cell r="AC485">
            <v>9753247.1199999992</v>
          </cell>
          <cell r="AD485">
            <v>3221301.43</v>
          </cell>
          <cell r="AE485">
            <v>6312022.1500000004</v>
          </cell>
          <cell r="AF485">
            <v>9387104.1999999993</v>
          </cell>
          <cell r="AG485">
            <v>12464209.59</v>
          </cell>
          <cell r="AH485">
            <v>2894001.2299999995</v>
          </cell>
          <cell r="AI485">
            <v>6108432.9199999999</v>
          </cell>
          <cell r="AJ485">
            <v>8762944.6500000004</v>
          </cell>
          <cell r="AK485">
            <v>9788439.2400000002</v>
          </cell>
          <cell r="AL485">
            <v>256706.31</v>
          </cell>
          <cell r="AM485">
            <v>607197.07000000007</v>
          </cell>
          <cell r="AN485">
            <v>1119959.6800000002</v>
          </cell>
          <cell r="AO485">
            <v>2098209.8000000003</v>
          </cell>
          <cell r="AP485">
            <v>1604193.92</v>
          </cell>
          <cell r="AQ485">
            <v>4053525.63</v>
          </cell>
          <cell r="AR485">
            <v>6721554.0499999998</v>
          </cell>
          <cell r="AS485">
            <v>7904014.7199999997</v>
          </cell>
          <cell r="AT485">
            <v>207150.58000000002</v>
          </cell>
          <cell r="AU485">
            <v>395046.93000000005</v>
          </cell>
          <cell r="AV485">
            <v>632721.9</v>
          </cell>
          <cell r="AW485">
            <v>911869.01</v>
          </cell>
          <cell r="AX485">
            <v>307094.03000000003</v>
          </cell>
          <cell r="AY485">
            <v>751697.3600000001</v>
          </cell>
          <cell r="AZ485">
            <v>1484657.69</v>
          </cell>
          <cell r="BA485">
            <v>2572447.41</v>
          </cell>
          <cell r="BB485">
            <v>2978383.02</v>
          </cell>
        </row>
        <row r="486">
          <cell r="A486" t="str">
            <v>qtd</v>
          </cell>
          <cell r="B486">
            <v>363749.57999999996</v>
          </cell>
          <cell r="C486">
            <v>694596.52</v>
          </cell>
          <cell r="D486">
            <v>1265892.79</v>
          </cell>
          <cell r="E486">
            <v>1745394.6800000002</v>
          </cell>
          <cell r="F486">
            <v>2312606.17</v>
          </cell>
          <cell r="G486">
            <v>3049683.38</v>
          </cell>
          <cell r="H486">
            <v>4271613.8100000005</v>
          </cell>
          <cell r="I486">
            <v>5149857.7300000004</v>
          </cell>
          <cell r="J486">
            <v>6015394.8500000006</v>
          </cell>
          <cell r="K486">
            <v>7002165.3200000003</v>
          </cell>
          <cell r="L486">
            <v>8035455.9199999999</v>
          </cell>
          <cell r="M486">
            <v>9407216.3699999992</v>
          </cell>
          <cell r="N486">
            <v>1392470.14</v>
          </cell>
          <cell r="O486">
            <v>2595460.2800000003</v>
          </cell>
          <cell r="P486">
            <v>3871316.41</v>
          </cell>
          <cell r="Q486">
            <v>5107890.76</v>
          </cell>
          <cell r="R486">
            <v>6440771.4399999995</v>
          </cell>
          <cell r="S486">
            <v>7511891.1899999995</v>
          </cell>
          <cell r="T486">
            <v>8710027.629999999</v>
          </cell>
          <cell r="U486">
            <v>9976248.5299999993</v>
          </cell>
          <cell r="V486">
            <v>11716290.729999999</v>
          </cell>
          <cell r="W486">
            <v>13851608.809999999</v>
          </cell>
          <cell r="X486">
            <v>15344785.299999999</v>
          </cell>
          <cell r="Y486">
            <v>17231647.149999999</v>
          </cell>
          <cell r="Z486">
            <v>1945456.45</v>
          </cell>
          <cell r="AA486">
            <v>4152107.5999999996</v>
          </cell>
          <cell r="AB486">
            <v>6979134.8599999994</v>
          </cell>
          <cell r="AC486">
            <v>9753247.1199999992</v>
          </cell>
          <cell r="AD486">
            <v>12974548.549999999</v>
          </cell>
          <cell r="AE486">
            <v>16065269.27</v>
          </cell>
          <cell r="AF486">
            <v>19140351.32</v>
          </cell>
          <cell r="AG486">
            <v>22217456.710000001</v>
          </cell>
          <cell r="AH486">
            <v>25111457.940000001</v>
          </cell>
          <cell r="AI486">
            <v>28325889.630000003</v>
          </cell>
          <cell r="AJ486">
            <v>30980401.360000003</v>
          </cell>
          <cell r="AK486">
            <v>32005895.950000003</v>
          </cell>
          <cell r="AL486">
            <v>256706.31</v>
          </cell>
          <cell r="AM486">
            <v>607197.07000000007</v>
          </cell>
          <cell r="AN486">
            <v>1119959.6800000002</v>
          </cell>
          <cell r="AO486">
            <v>2098209.8000000003</v>
          </cell>
          <cell r="AP486">
            <v>3702403.72</v>
          </cell>
          <cell r="AQ486">
            <v>6151735.4299999997</v>
          </cell>
          <cell r="AR486">
            <v>8819763.8499999996</v>
          </cell>
          <cell r="AS486">
            <v>10002224.52</v>
          </cell>
          <cell r="AT486">
            <v>10209375.1</v>
          </cell>
          <cell r="AU486">
            <v>10397271.449999999</v>
          </cell>
          <cell r="AV486">
            <v>10634946.42</v>
          </cell>
          <cell r="AW486">
            <v>10914093.529999999</v>
          </cell>
          <cell r="AX486">
            <v>11221187.559999999</v>
          </cell>
          <cell r="AY486">
            <v>11665790.889999999</v>
          </cell>
          <cell r="AZ486">
            <v>12398751.219999999</v>
          </cell>
          <cell r="BA486">
            <v>13486540.939999999</v>
          </cell>
          <cell r="BB486">
            <v>13892476.549999999</v>
          </cell>
        </row>
        <row r="487">
          <cell r="A487" t="str">
            <v>ytd</v>
          </cell>
          <cell r="B487">
            <v>363749.57999999996</v>
          </cell>
          <cell r="C487">
            <v>694596.52</v>
          </cell>
          <cell r="D487">
            <v>1265892.79</v>
          </cell>
          <cell r="E487">
            <v>1745394.6800000002</v>
          </cell>
          <cell r="F487">
            <v>2312606.17</v>
          </cell>
          <cell r="G487">
            <v>3049683.38</v>
          </cell>
          <cell r="H487">
            <v>4271613.8100000005</v>
          </cell>
          <cell r="I487">
            <v>5149857.7300000004</v>
          </cell>
          <cell r="J487">
            <v>6015394.8500000006</v>
          </cell>
          <cell r="K487">
            <v>7002165.3200000003</v>
          </cell>
          <cell r="L487">
            <v>8035455.9199999999</v>
          </cell>
          <cell r="M487">
            <v>9407216.3699999992</v>
          </cell>
          <cell r="N487">
            <v>10799686.51</v>
          </cell>
          <cell r="O487">
            <v>12002676.65</v>
          </cell>
          <cell r="P487">
            <v>13278532.780000001</v>
          </cell>
          <cell r="Q487">
            <v>14515107.130000001</v>
          </cell>
          <cell r="R487">
            <v>15847987.810000001</v>
          </cell>
          <cell r="S487">
            <v>16919107.560000002</v>
          </cell>
          <cell r="T487">
            <v>18117244.000000004</v>
          </cell>
          <cell r="U487">
            <v>19383464.900000002</v>
          </cell>
          <cell r="V487">
            <v>21123507.100000001</v>
          </cell>
          <cell r="W487">
            <v>23258825.18</v>
          </cell>
          <cell r="X487">
            <v>24752001.669999998</v>
          </cell>
          <cell r="Y487">
            <v>26638863.52</v>
          </cell>
          <cell r="Z487">
            <v>28584319.969999999</v>
          </cell>
          <cell r="AA487">
            <v>30790971.119999997</v>
          </cell>
          <cell r="AB487">
            <v>33617998.379999995</v>
          </cell>
          <cell r="AC487">
            <v>36392110.639999993</v>
          </cell>
          <cell r="AD487">
            <v>39613412.069999993</v>
          </cell>
          <cell r="AE487">
            <v>42704132.789999992</v>
          </cell>
          <cell r="AF487">
            <v>45779214.839999989</v>
          </cell>
          <cell r="AG487">
            <v>48856320.229999989</v>
          </cell>
          <cell r="AH487">
            <v>51750321.459999986</v>
          </cell>
          <cell r="AI487">
            <v>54964753.149999984</v>
          </cell>
          <cell r="AJ487">
            <v>57619264.87999998</v>
          </cell>
          <cell r="AK487">
            <v>58644759.469999984</v>
          </cell>
          <cell r="AL487">
            <v>58901465.779999986</v>
          </cell>
          <cell r="AM487">
            <v>59251956.539999984</v>
          </cell>
          <cell r="AN487">
            <v>59764719.149999984</v>
          </cell>
          <cell r="AO487">
            <v>60742969.269999981</v>
          </cell>
          <cell r="AP487">
            <v>62347163.189999983</v>
          </cell>
          <cell r="AQ487">
            <v>64796494.899999984</v>
          </cell>
          <cell r="AR487">
            <v>67464523.319999978</v>
          </cell>
          <cell r="AS487">
            <v>68646983.98999998</v>
          </cell>
          <cell r="AT487">
            <v>68854134.569999978</v>
          </cell>
          <cell r="AU487">
            <v>69042030.919999972</v>
          </cell>
          <cell r="AV487">
            <v>69279705.889999971</v>
          </cell>
          <cell r="AW487">
            <v>69558852.99999997</v>
          </cell>
          <cell r="AX487">
            <v>69865947.029999971</v>
          </cell>
          <cell r="AY487">
            <v>70310550.35999997</v>
          </cell>
          <cell r="AZ487">
            <v>71043510.689999968</v>
          </cell>
          <cell r="BA487">
            <v>72131300.409999967</v>
          </cell>
          <cell r="BB487">
            <v>72537236.019999966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19.95</v>
          </cell>
          <cell r="AW488">
            <v>98.28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19.95</v>
          </cell>
          <cell r="AW489">
            <v>118.23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19.95</v>
          </cell>
          <cell r="AW490">
            <v>118.23</v>
          </cell>
          <cell r="AX490">
            <v>118.23</v>
          </cell>
          <cell r="AY490">
            <v>118.23</v>
          </cell>
          <cell r="AZ490">
            <v>118.23</v>
          </cell>
          <cell r="BA490">
            <v>118.23</v>
          </cell>
          <cell r="BB490">
            <v>118.23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19.95</v>
          </cell>
          <cell r="AW491">
            <v>118.23</v>
          </cell>
          <cell r="AX491">
            <v>118.23</v>
          </cell>
          <cell r="AY491">
            <v>118.23</v>
          </cell>
          <cell r="AZ491">
            <v>118.23</v>
          </cell>
          <cell r="BA491">
            <v>118.23</v>
          </cell>
          <cell r="BB491">
            <v>118.23</v>
          </cell>
        </row>
        <row r="492">
          <cell r="A492" t="str">
            <v>TOTAL</v>
          </cell>
          <cell r="B492">
            <v>39584136.399999999</v>
          </cell>
          <cell r="C492">
            <v>34845904.479999997</v>
          </cell>
          <cell r="D492">
            <v>34902739.93</v>
          </cell>
          <cell r="E492">
            <v>34146742.970000006</v>
          </cell>
          <cell r="F492">
            <v>36032980.960000001</v>
          </cell>
          <cell r="G492">
            <v>38520326.82</v>
          </cell>
          <cell r="H492">
            <v>50345307.280000001</v>
          </cell>
          <cell r="I492">
            <v>35403753.93</v>
          </cell>
          <cell r="J492">
            <v>36591650.579999998</v>
          </cell>
          <cell r="K492">
            <v>37571779.509999998</v>
          </cell>
          <cell r="L492">
            <v>40492158.370000005</v>
          </cell>
          <cell r="M492">
            <v>52877982.280000001</v>
          </cell>
          <cell r="N492">
            <v>37952705.370000005</v>
          </cell>
          <cell r="O492">
            <v>40264070.979999997</v>
          </cell>
          <cell r="P492">
            <v>39728320.399999991</v>
          </cell>
          <cell r="Q492">
            <v>41598641.390000001</v>
          </cell>
          <cell r="R492">
            <v>47064056.299999997</v>
          </cell>
          <cell r="S492">
            <v>47667370.390000001</v>
          </cell>
          <cell r="T492">
            <v>72898094.280000001</v>
          </cell>
          <cell r="U492">
            <v>58876865.190000005</v>
          </cell>
          <cell r="V492">
            <v>54984258.100000001</v>
          </cell>
          <cell r="W492">
            <v>55820672.240000002</v>
          </cell>
          <cell r="X492">
            <v>64286287.659999996</v>
          </cell>
          <cell r="Y492">
            <v>88775219.209999993</v>
          </cell>
          <cell r="Z492">
            <v>68422862.310000002</v>
          </cell>
          <cell r="AA492">
            <v>54154481.719999999</v>
          </cell>
          <cell r="AB492">
            <v>49852477.420000002</v>
          </cell>
          <cell r="AC492">
            <v>48424085.159999996</v>
          </cell>
          <cell r="AD492">
            <v>50148714.980000004</v>
          </cell>
          <cell r="AE492">
            <v>48954113.620000005</v>
          </cell>
          <cell r="AF492">
            <v>50191614.049999997</v>
          </cell>
          <cell r="AG492">
            <v>51848624.780000001</v>
          </cell>
          <cell r="AH492">
            <v>53014594.060000002</v>
          </cell>
          <cell r="AI492">
            <v>54445322.099999994</v>
          </cell>
          <cell r="AJ492">
            <v>53374462.649999999</v>
          </cell>
          <cell r="AK492">
            <v>45220719.869999997</v>
          </cell>
          <cell r="AL492">
            <v>44257980.039999999</v>
          </cell>
          <cell r="AM492">
            <v>44665585.210000008</v>
          </cell>
          <cell r="AN492">
            <v>44183426.699999996</v>
          </cell>
          <cell r="AO492">
            <v>46411190.369999997</v>
          </cell>
          <cell r="AP492">
            <v>45581352.210000001</v>
          </cell>
          <cell r="AQ492">
            <v>49682423.509999998</v>
          </cell>
          <cell r="AR492">
            <v>49023525.960000001</v>
          </cell>
          <cell r="AS492">
            <v>52027524.969999999</v>
          </cell>
          <cell r="AT492">
            <v>51470043.039999999</v>
          </cell>
          <cell r="AU492">
            <v>56259829.06000001</v>
          </cell>
          <cell r="AV492">
            <v>63645483.690000005</v>
          </cell>
          <cell r="AW492">
            <v>76606944.560000002</v>
          </cell>
          <cell r="AX492">
            <v>106020913.56</v>
          </cell>
          <cell r="AY492">
            <v>183257332.21000001</v>
          </cell>
          <cell r="AZ492">
            <v>364013341.06999999</v>
          </cell>
          <cell r="BA492">
            <v>447314303.19999993</v>
          </cell>
          <cell r="BB492">
            <v>61638887.980000004</v>
          </cell>
        </row>
        <row r="493">
          <cell r="A493" t="str">
            <v>ptd</v>
          </cell>
          <cell r="B493">
            <v>39584136.399999999</v>
          </cell>
          <cell r="C493">
            <v>74430040.879999995</v>
          </cell>
          <cell r="D493">
            <v>109332780.81</v>
          </cell>
          <cell r="E493">
            <v>143479523.78000003</v>
          </cell>
          <cell r="F493">
            <v>36032980.960000001</v>
          </cell>
          <cell r="G493">
            <v>74553307.780000001</v>
          </cell>
          <cell r="H493">
            <v>124898615.06</v>
          </cell>
          <cell r="I493">
            <v>160302368.99000001</v>
          </cell>
          <cell r="J493">
            <v>36591650.579999998</v>
          </cell>
          <cell r="K493">
            <v>74163430.090000004</v>
          </cell>
          <cell r="L493">
            <v>114655588.46000001</v>
          </cell>
          <cell r="M493">
            <v>167533570.73999998</v>
          </cell>
          <cell r="N493">
            <v>37952705.370000005</v>
          </cell>
          <cell r="O493">
            <v>78216776.350000009</v>
          </cell>
          <cell r="P493">
            <v>117945096.75</v>
          </cell>
          <cell r="Q493">
            <v>159543738.14000002</v>
          </cell>
          <cell r="R493">
            <v>47064056.299999997</v>
          </cell>
          <cell r="S493">
            <v>94731426.689999998</v>
          </cell>
          <cell r="T493">
            <v>167629520.96999997</v>
          </cell>
          <cell r="U493">
            <v>226506386.16</v>
          </cell>
          <cell r="V493">
            <v>54984258.100000009</v>
          </cell>
          <cell r="W493">
            <v>110804930.34</v>
          </cell>
          <cell r="X493">
            <v>175091218.00000003</v>
          </cell>
          <cell r="Y493">
            <v>263866437.20999998</v>
          </cell>
          <cell r="Z493">
            <v>68422862.310000002</v>
          </cell>
          <cell r="AA493">
            <v>122577344.03</v>
          </cell>
          <cell r="AB493">
            <v>172429821.45000002</v>
          </cell>
          <cell r="AC493">
            <v>220853906.60999998</v>
          </cell>
          <cell r="AD493">
            <v>50148714.979999997</v>
          </cell>
          <cell r="AE493">
            <v>99102828.600000009</v>
          </cell>
          <cell r="AF493">
            <v>149294442.65000001</v>
          </cell>
          <cell r="AG493">
            <v>201143067.42999998</v>
          </cell>
          <cell r="AH493">
            <v>53014594.059999995</v>
          </cell>
          <cell r="AI493">
            <v>107459916.16000001</v>
          </cell>
          <cell r="AJ493">
            <v>160834378.81</v>
          </cell>
          <cell r="AK493">
            <v>206055098.68000001</v>
          </cell>
          <cell r="AL493">
            <v>44257980.039999992</v>
          </cell>
          <cell r="AM493">
            <v>88923565.25</v>
          </cell>
          <cell r="AN493">
            <v>133106991.95</v>
          </cell>
          <cell r="AO493">
            <v>179518182.31999996</v>
          </cell>
          <cell r="AP493">
            <v>45581352.210000001</v>
          </cell>
          <cell r="AQ493">
            <v>95263775.719999999</v>
          </cell>
          <cell r="AR493">
            <v>144287301.67999998</v>
          </cell>
          <cell r="AS493">
            <v>196314826.65000001</v>
          </cell>
          <cell r="AT493">
            <v>51470043.039999999</v>
          </cell>
          <cell r="AU493">
            <v>107729872.09999999</v>
          </cell>
          <cell r="AV493">
            <v>171375355.78999999</v>
          </cell>
          <cell r="AW493">
            <v>247982300.34999999</v>
          </cell>
          <cell r="AX493">
            <v>106020913.56</v>
          </cell>
          <cell r="AY493">
            <v>289278245.77000004</v>
          </cell>
          <cell r="AZ493">
            <v>653291586.83999991</v>
          </cell>
          <cell r="BA493">
            <v>1100605890.04</v>
          </cell>
          <cell r="BB493">
            <v>1162244778.0200002</v>
          </cell>
        </row>
        <row r="494">
          <cell r="A494" t="str">
            <v>qtd</v>
          </cell>
          <cell r="B494">
            <v>39584136.399999999</v>
          </cell>
          <cell r="C494">
            <v>74430040.879999995</v>
          </cell>
          <cell r="D494">
            <v>109332780.81</v>
          </cell>
          <cell r="E494">
            <v>143479523.78000003</v>
          </cell>
          <cell r="F494">
            <v>179512504.74000001</v>
          </cell>
          <cell r="G494">
            <v>218032831.56</v>
          </cell>
          <cell r="H494">
            <v>268378138.84</v>
          </cell>
          <cell r="I494">
            <v>303781892.76999998</v>
          </cell>
          <cell r="J494">
            <v>340373543.34999996</v>
          </cell>
          <cell r="K494">
            <v>377945322.85999995</v>
          </cell>
          <cell r="L494">
            <v>418437481.22999996</v>
          </cell>
          <cell r="M494">
            <v>471315463.50999999</v>
          </cell>
          <cell r="N494">
            <v>37952705.370000005</v>
          </cell>
          <cell r="O494">
            <v>78216776.350000009</v>
          </cell>
          <cell r="P494">
            <v>117945096.75</v>
          </cell>
          <cell r="Q494">
            <v>159543738.14000002</v>
          </cell>
          <cell r="R494">
            <v>206607794.44</v>
          </cell>
          <cell r="S494">
            <v>254275164.82999998</v>
          </cell>
          <cell r="T494">
            <v>327173259.10999995</v>
          </cell>
          <cell r="U494">
            <v>386050124.29999995</v>
          </cell>
          <cell r="V494">
            <v>441034382.39999998</v>
          </cell>
          <cell r="W494">
            <v>496855054.63999999</v>
          </cell>
          <cell r="X494">
            <v>561141342.29999995</v>
          </cell>
          <cell r="Y494">
            <v>649916561.50999999</v>
          </cell>
          <cell r="Z494">
            <v>68422862.310000002</v>
          </cell>
          <cell r="AA494">
            <v>122577344.03</v>
          </cell>
          <cell r="AB494">
            <v>172429821.45000002</v>
          </cell>
          <cell r="AC494">
            <v>220853906.60999998</v>
          </cell>
          <cell r="AD494">
            <v>271002621.58999997</v>
          </cell>
          <cell r="AE494">
            <v>319956735.21000004</v>
          </cell>
          <cell r="AF494">
            <v>370148349.26000005</v>
          </cell>
          <cell r="AG494">
            <v>421996974.03999996</v>
          </cell>
          <cell r="AH494">
            <v>475011568.09999996</v>
          </cell>
          <cell r="AI494">
            <v>529456890.19999999</v>
          </cell>
          <cell r="AJ494">
            <v>582831352.8499999</v>
          </cell>
          <cell r="AK494">
            <v>628052072.71999991</v>
          </cell>
          <cell r="AL494">
            <v>44257980.039999992</v>
          </cell>
          <cell r="AM494">
            <v>88923565.25</v>
          </cell>
          <cell r="AN494">
            <v>133106991.95</v>
          </cell>
          <cell r="AO494">
            <v>179518182.31999996</v>
          </cell>
          <cell r="AP494">
            <v>225099534.52999997</v>
          </cell>
          <cell r="AQ494">
            <v>274781958.04000002</v>
          </cell>
          <cell r="AR494">
            <v>323805483.99999994</v>
          </cell>
          <cell r="AS494">
            <v>375833008.96999997</v>
          </cell>
          <cell r="AT494">
            <v>427303052.00999999</v>
          </cell>
          <cell r="AU494">
            <v>483562881.07000005</v>
          </cell>
          <cell r="AV494">
            <v>547208364.75999999</v>
          </cell>
          <cell r="AW494">
            <v>623815309.31999993</v>
          </cell>
          <cell r="AX494">
            <v>729836222.88</v>
          </cell>
          <cell r="AY494">
            <v>913093555.08999991</v>
          </cell>
          <cell r="AZ494">
            <v>1277106896.1600001</v>
          </cell>
          <cell r="BA494">
            <v>1724421199.3600001</v>
          </cell>
          <cell r="BB494">
            <v>1786060087.3399999</v>
          </cell>
        </row>
        <row r="495">
          <cell r="A495" t="str">
            <v>ytd</v>
          </cell>
          <cell r="B495">
            <v>39584136.399999999</v>
          </cell>
          <cell r="C495">
            <v>74430040.879999995</v>
          </cell>
          <cell r="D495">
            <v>109332780.81</v>
          </cell>
          <cell r="E495">
            <v>143479523.78000003</v>
          </cell>
          <cell r="F495">
            <v>179512504.74000001</v>
          </cell>
          <cell r="G495">
            <v>218032831.56</v>
          </cell>
          <cell r="H495">
            <v>268378138.84</v>
          </cell>
          <cell r="I495">
            <v>303781892.76999998</v>
          </cell>
          <cell r="J495">
            <v>340373543.34999996</v>
          </cell>
          <cell r="K495">
            <v>377945322.85999995</v>
          </cell>
          <cell r="L495">
            <v>418437481.22999996</v>
          </cell>
          <cell r="M495">
            <v>471315463.50999999</v>
          </cell>
          <cell r="N495">
            <v>509268168.88</v>
          </cell>
          <cell r="O495">
            <v>549532239.86000001</v>
          </cell>
          <cell r="P495">
            <v>589260560.26000011</v>
          </cell>
          <cell r="Q495">
            <v>630859201.64999998</v>
          </cell>
          <cell r="R495">
            <v>677923257.95000005</v>
          </cell>
          <cell r="S495">
            <v>725590628.34000003</v>
          </cell>
          <cell r="T495">
            <v>798488722.61999989</v>
          </cell>
          <cell r="U495">
            <v>857365587.81000006</v>
          </cell>
          <cell r="V495">
            <v>912349845.91000009</v>
          </cell>
          <cell r="W495">
            <v>968170518.14999998</v>
          </cell>
          <cell r="X495">
            <v>1032456805.8100001</v>
          </cell>
          <cell r="Y495">
            <v>1121232025.0200002</v>
          </cell>
          <cell r="Z495">
            <v>1189654887.3300002</v>
          </cell>
          <cell r="AA495">
            <v>1243809369.05</v>
          </cell>
          <cell r="AB495">
            <v>1293661846.47</v>
          </cell>
          <cell r="AC495">
            <v>1342085931.6300001</v>
          </cell>
          <cell r="AD495">
            <v>1392234646.6099999</v>
          </cell>
          <cell r="AE495">
            <v>1441188760.2299998</v>
          </cell>
          <cell r="AF495">
            <v>1491380374.28</v>
          </cell>
          <cell r="AG495">
            <v>1543228999.0599999</v>
          </cell>
          <cell r="AH495">
            <v>1596243593.1200001</v>
          </cell>
          <cell r="AI495">
            <v>1650688915.22</v>
          </cell>
          <cell r="AJ495">
            <v>1704063377.8700001</v>
          </cell>
          <cell r="AK495">
            <v>1749284097.74</v>
          </cell>
          <cell r="AL495">
            <v>1793542077.78</v>
          </cell>
          <cell r="AM495">
            <v>1838207662.9900002</v>
          </cell>
          <cell r="AN495">
            <v>1882391089.6900003</v>
          </cell>
          <cell r="AO495">
            <v>1928802280.0599999</v>
          </cell>
          <cell r="AP495">
            <v>1974383632.2700002</v>
          </cell>
          <cell r="AQ495">
            <v>2024066055.7800002</v>
          </cell>
          <cell r="AR495">
            <v>2073089581.74</v>
          </cell>
          <cell r="AS495">
            <v>2125117106.71</v>
          </cell>
          <cell r="AT495">
            <v>2176587149.7500005</v>
          </cell>
          <cell r="AU495">
            <v>2232846978.8099999</v>
          </cell>
          <cell r="AV495">
            <v>2296492462.5000005</v>
          </cell>
          <cell r="AW495">
            <v>2373099407.0600004</v>
          </cell>
          <cell r="AX495">
            <v>2479120320.6199999</v>
          </cell>
          <cell r="AY495">
            <v>2662377652.8299999</v>
          </cell>
          <cell r="AZ495">
            <v>3026390993.9000001</v>
          </cell>
          <cell r="BA495">
            <v>3473705297.0999999</v>
          </cell>
          <cell r="BB495">
            <v>3535344185.0800004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2698693</v>
          </cell>
          <cell r="C498">
            <v>2155153</v>
          </cell>
          <cell r="D498">
            <v>2065403</v>
          </cell>
          <cell r="E498">
            <v>2011018.68</v>
          </cell>
          <cell r="F498">
            <v>2180936</v>
          </cell>
          <cell r="G498">
            <v>2512937</v>
          </cell>
          <cell r="H498">
            <v>4074212</v>
          </cell>
          <cell r="I498">
            <v>2197524</v>
          </cell>
          <cell r="J498">
            <v>2333981</v>
          </cell>
          <cell r="K498">
            <v>2327462.9700000002</v>
          </cell>
          <cell r="L498">
            <v>2611762.67</v>
          </cell>
          <cell r="M498">
            <v>3872692</v>
          </cell>
          <cell r="N498">
            <v>2454595.89</v>
          </cell>
          <cell r="O498">
            <v>2469450.14</v>
          </cell>
          <cell r="P498">
            <v>2403978.6</v>
          </cell>
          <cell r="Q498">
            <v>2658907.9</v>
          </cell>
          <cell r="R498">
            <v>3294621.04</v>
          </cell>
          <cell r="S498">
            <v>3394100.86</v>
          </cell>
          <cell r="T498">
            <v>6908338.2199999997</v>
          </cell>
          <cell r="U498">
            <v>5045933.74</v>
          </cell>
          <cell r="V498">
            <v>4705537.26</v>
          </cell>
          <cell r="W498">
            <v>4845236.7</v>
          </cell>
          <cell r="X498">
            <v>5211749.6500000004</v>
          </cell>
          <cell r="Y498">
            <v>8803477.2200000007</v>
          </cell>
          <cell r="Z498">
            <v>5989465.46</v>
          </cell>
          <cell r="AA498">
            <v>3945987.3899999997</v>
          </cell>
          <cell r="AB498">
            <v>3927835.9299999997</v>
          </cell>
          <cell r="AC498">
            <v>3916925.52</v>
          </cell>
          <cell r="AD498">
            <v>4118371.28</v>
          </cell>
          <cell r="AE498">
            <v>3961155.1</v>
          </cell>
          <cell r="AF498">
            <v>4230134.26</v>
          </cell>
          <cell r="AG498">
            <v>3960161.56</v>
          </cell>
          <cell r="AH498">
            <v>3789291.7199999997</v>
          </cell>
          <cell r="AI498">
            <v>3629187.02</v>
          </cell>
          <cell r="AJ498">
            <v>3294423.02</v>
          </cell>
          <cell r="AK498">
            <v>3092471.43</v>
          </cell>
          <cell r="AL498">
            <v>3021439.9899999998</v>
          </cell>
          <cell r="AM498">
            <v>3001959.99</v>
          </cell>
          <cell r="AN498">
            <v>3027090.45</v>
          </cell>
          <cell r="AO498">
            <v>3374011.52</v>
          </cell>
          <cell r="AP498">
            <v>3851428.7800000003</v>
          </cell>
          <cell r="AQ498">
            <v>4846630.58</v>
          </cell>
          <cell r="AR498">
            <v>4881680.71</v>
          </cell>
          <cell r="AS498">
            <v>4738098.5600000005</v>
          </cell>
          <cell r="AT498">
            <v>4806426.47</v>
          </cell>
          <cell r="AU498">
            <v>5260165.6000000006</v>
          </cell>
          <cell r="AV498">
            <v>6297119.7199999997</v>
          </cell>
          <cell r="AW498">
            <v>7970961.7400000002</v>
          </cell>
          <cell r="AX498">
            <v>12548425.640000001</v>
          </cell>
          <cell r="AY498">
            <v>26038789.390000001</v>
          </cell>
          <cell r="AZ498">
            <v>58986467.949999996</v>
          </cell>
          <cell r="BA498">
            <v>72776564.75999999</v>
          </cell>
          <cell r="BB498">
            <v>8808791.8099999987</v>
          </cell>
        </row>
        <row r="499">
          <cell r="A499" t="str">
            <v>GE</v>
          </cell>
          <cell r="B499">
            <v>5960796.4500000002</v>
          </cell>
          <cell r="C499">
            <v>5876658.9800000004</v>
          </cell>
          <cell r="D499">
            <v>6626593.5499999998</v>
          </cell>
          <cell r="E499">
            <v>6793745.2000000002</v>
          </cell>
          <cell r="F499">
            <v>6982392.1100000003</v>
          </cell>
          <cell r="G499">
            <v>7166260.7000000002</v>
          </cell>
          <cell r="H499">
            <v>7266344.8799999999</v>
          </cell>
          <cell r="I499">
            <v>6732957.0600000005</v>
          </cell>
          <cell r="J499">
            <v>6498383.6600000001</v>
          </cell>
          <cell r="K499">
            <v>6216104.7800000003</v>
          </cell>
          <cell r="L499">
            <v>7951148.54</v>
          </cell>
          <cell r="M499">
            <v>9455224.5099999998</v>
          </cell>
          <cell r="N499">
            <v>7173309.79</v>
          </cell>
          <cell r="O499">
            <v>8653092.1899999995</v>
          </cell>
          <cell r="P499">
            <v>8914279.3699999992</v>
          </cell>
          <cell r="Q499">
            <v>9689311.9100000001</v>
          </cell>
          <cell r="R499">
            <v>11201618.529999999</v>
          </cell>
          <cell r="S499">
            <v>11331169.67</v>
          </cell>
          <cell r="T499">
            <v>14465440.02</v>
          </cell>
          <cell r="U499">
            <v>12626482.800000001</v>
          </cell>
          <cell r="V499">
            <v>13178910.870000001</v>
          </cell>
          <cell r="W499">
            <v>12946532.140000001</v>
          </cell>
          <cell r="X499">
            <v>13940077.93</v>
          </cell>
          <cell r="Y499">
            <v>16349514.140000001</v>
          </cell>
          <cell r="Z499">
            <v>13196476.84</v>
          </cell>
          <cell r="AA499">
            <v>12952057.49</v>
          </cell>
          <cell r="AB499">
            <v>12814567.449999999</v>
          </cell>
          <cell r="AC499">
            <v>12177906.560000001</v>
          </cell>
          <cell r="AD499">
            <v>12349593.1</v>
          </cell>
          <cell r="AE499">
            <v>11882164.140000001</v>
          </cell>
          <cell r="AF499">
            <v>11721081.75</v>
          </cell>
          <cell r="AG499">
            <v>13804719.16</v>
          </cell>
          <cell r="AH499">
            <v>15089069.199999999</v>
          </cell>
          <cell r="AI499">
            <v>15886105.710000001</v>
          </cell>
          <cell r="AJ499">
            <v>16581844.9</v>
          </cell>
          <cell r="AK499">
            <v>10602779.220000001</v>
          </cell>
          <cell r="AL499">
            <v>10453219.65</v>
          </cell>
          <cell r="AM499">
            <v>10247334.49</v>
          </cell>
          <cell r="AN499">
            <v>10455612.77</v>
          </cell>
          <cell r="AO499">
            <v>10618571.59</v>
          </cell>
          <cell r="AP499">
            <v>10118526.35</v>
          </cell>
          <cell r="AQ499">
            <v>11539604.5</v>
          </cell>
          <cell r="AR499">
            <v>11907611.460000001</v>
          </cell>
          <cell r="AS499">
            <v>12193554.689999999</v>
          </cell>
          <cell r="AT499">
            <v>12215318.440000001</v>
          </cell>
          <cell r="AU499">
            <v>14395990.57</v>
          </cell>
          <cell r="AV499">
            <v>16319911.699999999</v>
          </cell>
          <cell r="AW499">
            <v>20163236.25</v>
          </cell>
          <cell r="AX499">
            <v>21721528.23</v>
          </cell>
          <cell r="AY499">
            <v>34066369.159999996</v>
          </cell>
          <cell r="AZ499">
            <v>44110755.129999995</v>
          </cell>
          <cell r="BA499">
            <v>41888665.5</v>
          </cell>
          <cell r="BB499">
            <v>9818242.4100000001</v>
          </cell>
        </row>
        <row r="500">
          <cell r="A500" t="str">
            <v>SWY</v>
          </cell>
          <cell r="B500">
            <v>11560144.280000001</v>
          </cell>
          <cell r="C500">
            <v>10287549.32</v>
          </cell>
          <cell r="D500">
            <v>10296003.57</v>
          </cell>
          <cell r="E500">
            <v>9846806.0099999998</v>
          </cell>
          <cell r="F500">
            <v>10563472.140000001</v>
          </cell>
          <cell r="G500">
            <v>11359830.220000001</v>
          </cell>
          <cell r="H500">
            <v>15122207.140000002</v>
          </cell>
          <cell r="I500">
            <v>10572832.84</v>
          </cell>
          <cell r="J500">
            <v>10942567.26</v>
          </cell>
          <cell r="K500">
            <v>11545911.880000001</v>
          </cell>
          <cell r="L500">
            <v>11831515.690000001</v>
          </cell>
          <cell r="M500">
            <v>14595531.700000001</v>
          </cell>
          <cell r="N500">
            <v>11503243.729999999</v>
          </cell>
          <cell r="O500">
            <v>11608581.250000002</v>
          </cell>
          <cell r="P500">
            <v>11174440.140000001</v>
          </cell>
          <cell r="Q500">
            <v>11465202.65</v>
          </cell>
          <cell r="R500">
            <v>12643238.65</v>
          </cell>
          <cell r="S500">
            <v>12639158.059999999</v>
          </cell>
          <cell r="T500">
            <v>19085033.799999997</v>
          </cell>
          <cell r="U500">
            <v>15672208.760000002</v>
          </cell>
          <cell r="V500">
            <v>14393299.970000001</v>
          </cell>
          <cell r="W500">
            <v>14838196.460000001</v>
          </cell>
          <cell r="X500">
            <v>17646988.390000001</v>
          </cell>
          <cell r="Y500">
            <v>23465303.800000001</v>
          </cell>
          <cell r="Z500">
            <v>17164071.25</v>
          </cell>
          <cell r="AA500">
            <v>13242733.460000001</v>
          </cell>
          <cell r="AB500">
            <v>12364172.640000001</v>
          </cell>
          <cell r="AC500">
            <v>12208476.16</v>
          </cell>
          <cell r="AD500">
            <v>12854076.830000002</v>
          </cell>
          <cell r="AE500">
            <v>12556131.300000001</v>
          </cell>
          <cell r="AF500">
            <v>12910568.109999999</v>
          </cell>
          <cell r="AG500">
            <v>12828338.549999999</v>
          </cell>
          <cell r="AH500">
            <v>12893314.680000002</v>
          </cell>
          <cell r="AI500">
            <v>13588179.430000002</v>
          </cell>
          <cell r="AJ500">
            <v>12664423.130000001</v>
          </cell>
          <cell r="AK500">
            <v>11993189.810000001</v>
          </cell>
          <cell r="AL500">
            <v>11853907.91</v>
          </cell>
          <cell r="AM500">
            <v>12052980.390000001</v>
          </cell>
          <cell r="AN500">
            <v>11502995.870000001</v>
          </cell>
          <cell r="AO500">
            <v>12356204.030000001</v>
          </cell>
          <cell r="AP500">
            <v>11641462.439999999</v>
          </cell>
          <cell r="AQ500">
            <v>11825174.709999999</v>
          </cell>
          <cell r="AR500">
            <v>11587832.57</v>
          </cell>
          <cell r="AS500">
            <v>11736454.490000002</v>
          </cell>
          <cell r="AT500">
            <v>12952664.639999999</v>
          </cell>
          <cell r="AU500">
            <v>13189859.1</v>
          </cell>
          <cell r="AV500">
            <v>14693784.09</v>
          </cell>
          <cell r="AW500">
            <v>16232412.83</v>
          </cell>
          <cell r="AX500">
            <v>24646613.219999999</v>
          </cell>
          <cell r="AY500">
            <v>43133204.399999999</v>
          </cell>
          <cell r="AZ500">
            <v>93278079.329999983</v>
          </cell>
          <cell r="BA500">
            <v>109007861.77999999</v>
          </cell>
          <cell r="BB500">
            <v>14248512</v>
          </cell>
        </row>
        <row r="501">
          <cell r="A501" t="str">
            <v>DIST</v>
          </cell>
          <cell r="B501">
            <v>27755412.789999999</v>
          </cell>
          <cell r="C501">
            <v>24234726.260000002</v>
          </cell>
          <cell r="D501">
            <v>24303389.75</v>
          </cell>
          <cell r="E501">
            <v>24003606.189999998</v>
          </cell>
          <cell r="F501">
            <v>25162952.829999998</v>
          </cell>
          <cell r="G501">
            <v>26797008.780000001</v>
          </cell>
          <cell r="H501">
            <v>34784498.359999999</v>
          </cell>
          <cell r="I501">
            <v>24434968.490000002</v>
          </cell>
          <cell r="J501">
            <v>25143557.169999998</v>
          </cell>
          <cell r="K501">
            <v>25598168.200000003</v>
          </cell>
          <cell r="L501">
            <v>28217072.18</v>
          </cell>
          <cell r="M501">
            <v>37826383.509999998</v>
          </cell>
          <cell r="N501">
            <v>26062148.079999998</v>
          </cell>
          <cell r="O501">
            <v>28199702.539999999</v>
          </cell>
          <cell r="P501">
            <v>28090217.460000001</v>
          </cell>
          <cell r="Q501">
            <v>29676814.080000002</v>
          </cell>
          <cell r="R501">
            <v>33963765.740000002</v>
          </cell>
          <cell r="S501">
            <v>34454758.340000004</v>
          </cell>
          <cell r="T501">
            <v>53012320.75</v>
          </cell>
          <cell r="U501">
            <v>42650357.510000005</v>
          </cell>
          <cell r="V501">
            <v>40054895.760000005</v>
          </cell>
          <cell r="W501">
            <v>40464586.150000006</v>
          </cell>
          <cell r="X501">
            <v>46101535.299999997</v>
          </cell>
          <cell r="Y501">
            <v>64790783.770000003</v>
          </cell>
          <cell r="Z501">
            <v>50719421.060000002</v>
          </cell>
          <cell r="AA501">
            <v>40329571.119999997</v>
          </cell>
          <cell r="AB501">
            <v>36940578.780000001</v>
          </cell>
          <cell r="AC501">
            <v>35711337.939999998</v>
          </cell>
          <cell r="AD501">
            <v>36753891.18</v>
          </cell>
          <cell r="AE501">
            <v>35866957.400000006</v>
          </cell>
          <cell r="AF501">
            <v>36734808.269999996</v>
          </cell>
          <cell r="AG501">
            <v>38470267.560000002</v>
          </cell>
          <cell r="AH501">
            <v>39580663.329999998</v>
          </cell>
          <cell r="AI501">
            <v>40313854.510000005</v>
          </cell>
          <cell r="AJ501">
            <v>40113925.109999999</v>
          </cell>
          <cell r="AK501">
            <v>32355107.909999996</v>
          </cell>
          <cell r="AL501">
            <v>31824052.170000002</v>
          </cell>
          <cell r="AM501">
            <v>32039312.649999999</v>
          </cell>
          <cell r="AN501">
            <v>32083856.039999999</v>
          </cell>
          <cell r="AO501">
            <v>33494307.299999997</v>
          </cell>
          <cell r="AP501">
            <v>33470348.199999996</v>
          </cell>
          <cell r="AQ501">
            <v>37363290.039999999</v>
          </cell>
          <cell r="AR501">
            <v>36960285.460000001</v>
          </cell>
          <cell r="AS501">
            <v>39808071.060000002</v>
          </cell>
          <cell r="AT501">
            <v>37923048.070000008</v>
          </cell>
          <cell r="AU501">
            <v>42293315.719999999</v>
          </cell>
          <cell r="AV501">
            <v>48117109.280000001</v>
          </cell>
          <cell r="AW501">
            <v>59342039.919999994</v>
          </cell>
          <cell r="AX501">
            <v>79652650.179999992</v>
          </cell>
          <cell r="AY501">
            <v>137042956.38999999</v>
          </cell>
          <cell r="AZ501">
            <v>264296013.41</v>
          </cell>
          <cell r="BA501">
            <v>332471143.70999998</v>
          </cell>
          <cell r="BB501">
            <v>46667770.430000007</v>
          </cell>
        </row>
        <row r="502">
          <cell r="A502" t="str">
            <v>INTL</v>
          </cell>
          <cell r="B502">
            <v>268579.33</v>
          </cell>
          <cell r="C502">
            <v>323628.90000000002</v>
          </cell>
          <cell r="D502">
            <v>303346.61</v>
          </cell>
          <cell r="E502">
            <v>296330.76999999996</v>
          </cell>
          <cell r="F502">
            <v>306555.99</v>
          </cell>
          <cell r="G502">
            <v>363487.82</v>
          </cell>
          <cell r="H502">
            <v>438601.78</v>
          </cell>
          <cell r="I502">
            <v>395952.60000000003</v>
          </cell>
          <cell r="J502">
            <v>505526.15</v>
          </cell>
          <cell r="K502">
            <v>427699.43</v>
          </cell>
          <cell r="L502">
            <v>443570.5</v>
          </cell>
          <cell r="M502">
            <v>456067.07</v>
          </cell>
          <cell r="N502">
            <v>387313.56000000006</v>
          </cell>
          <cell r="O502">
            <v>455787.19</v>
          </cell>
          <cell r="P502">
            <v>463662.8</v>
          </cell>
          <cell r="Q502">
            <v>456624.65999999992</v>
          </cell>
          <cell r="R502">
            <v>457051.91000000003</v>
          </cell>
          <cell r="S502">
            <v>573453.99</v>
          </cell>
          <cell r="T502">
            <v>800739.7300000001</v>
          </cell>
          <cell r="U502">
            <v>554298.91999999993</v>
          </cell>
          <cell r="V502">
            <v>536062.37</v>
          </cell>
          <cell r="W502">
            <v>517889.63</v>
          </cell>
          <cell r="X502">
            <v>537763.97</v>
          </cell>
          <cell r="Y502">
            <v>519131.64</v>
          </cell>
          <cell r="Z502">
            <v>539370</v>
          </cell>
          <cell r="AA502">
            <v>582177.14000000013</v>
          </cell>
          <cell r="AB502">
            <v>547726</v>
          </cell>
          <cell r="AC502">
            <v>504271.06</v>
          </cell>
          <cell r="AD502">
            <v>540746.96999999986</v>
          </cell>
          <cell r="AE502">
            <v>531024.92000000004</v>
          </cell>
          <cell r="AF502">
            <v>546237.67000000004</v>
          </cell>
          <cell r="AG502">
            <v>550018.66999999993</v>
          </cell>
          <cell r="AH502">
            <v>540616.05000000005</v>
          </cell>
          <cell r="AI502">
            <v>543288.16</v>
          </cell>
          <cell r="AJ502">
            <v>596114.41</v>
          </cell>
          <cell r="AK502">
            <v>872422.14999999991</v>
          </cell>
          <cell r="AL502">
            <v>580019.96000000008</v>
          </cell>
          <cell r="AM502">
            <v>573292.17000000004</v>
          </cell>
          <cell r="AN502">
            <v>596574.78999999992</v>
          </cell>
          <cell r="AO502">
            <v>560679.03999999992</v>
          </cell>
          <cell r="AP502">
            <v>469541.57</v>
          </cell>
          <cell r="AQ502">
            <v>493958.76</v>
          </cell>
          <cell r="AR502">
            <v>475407.93</v>
          </cell>
          <cell r="AS502">
            <v>482999.42000000004</v>
          </cell>
          <cell r="AT502">
            <v>594330.32999999996</v>
          </cell>
          <cell r="AU502">
            <v>776654.24000000011</v>
          </cell>
          <cell r="AV502">
            <v>834590.32000000007</v>
          </cell>
          <cell r="AW502">
            <v>1032491.8099999999</v>
          </cell>
          <cell r="AX502">
            <v>1721650.16</v>
          </cell>
          <cell r="AY502">
            <v>3081171.42</v>
          </cell>
          <cell r="AZ502">
            <v>6439248.3300000001</v>
          </cell>
          <cell r="BA502">
            <v>5835297.71</v>
          </cell>
          <cell r="BB502">
            <v>722605.55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5">
          <cell r="B5">
            <v>12</v>
          </cell>
        </row>
      </sheetData>
      <sheetData sheetId="21" refreshError="1"/>
      <sheetData sheetId="2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Report List"/>
      <sheetName val="BHN_BS_Trend"/>
      <sheetName val="BHN_PL_Current Period"/>
      <sheetName val="BHN_PL_Trend"/>
      <sheetName val="BHN_TB_Summary_Period"/>
      <sheetName val="GL Detail_Period"/>
      <sheetName val="GL Detail_YTD"/>
      <sheetName val="Bank Recon"/>
      <sheetName val="Cash Disb Journal"/>
      <sheetName val="Fixed Assets"/>
      <sheetName val="Deposits Recon"/>
      <sheetName val="Prepaid Recon"/>
      <sheetName val="AP subledger"/>
      <sheetName val="Accrued Exp Recon"/>
      <sheetName val="Inter-co Tra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>
            <v>249530</v>
          </cell>
          <cell r="B1" t="str">
            <v>2007/11</v>
          </cell>
          <cell r="C1">
            <v>421000</v>
          </cell>
          <cell r="D1" t="str">
            <v xml:space="preserve">OD PAYE 06/07 REM DUES             </v>
          </cell>
          <cell r="E1">
            <v>91.22</v>
          </cell>
          <cell r="F1" t="str">
            <v>C</v>
          </cell>
          <cell r="G1">
            <v>-91.22</v>
          </cell>
        </row>
        <row r="2">
          <cell r="A2">
            <v>249530</v>
          </cell>
          <cell r="B2" t="str">
            <v>2007/11</v>
          </cell>
          <cell r="C2">
            <v>421000</v>
          </cell>
          <cell r="D2" t="str">
            <v xml:space="preserve">OD PAYE 06/07 ACPTES               </v>
          </cell>
          <cell r="E2">
            <v>5850</v>
          </cell>
          <cell r="F2" t="str">
            <v>C</v>
          </cell>
          <cell r="G2">
            <v>-5850</v>
          </cell>
        </row>
        <row r="3">
          <cell r="A3">
            <v>249530</v>
          </cell>
          <cell r="B3" t="str">
            <v>2007/11</v>
          </cell>
          <cell r="C3">
            <v>431000</v>
          </cell>
          <cell r="D3" t="str">
            <v xml:space="preserve">OD PAYE 06/07                      </v>
          </cell>
          <cell r="E3">
            <v>2521.46</v>
          </cell>
          <cell r="F3" t="str">
            <v>C</v>
          </cell>
          <cell r="G3">
            <v>-2521.46</v>
          </cell>
        </row>
        <row r="4">
          <cell r="A4">
            <v>249530</v>
          </cell>
          <cell r="B4" t="str">
            <v>2007/11</v>
          </cell>
          <cell r="C4">
            <v>437000</v>
          </cell>
          <cell r="D4" t="str">
            <v xml:space="preserve">OD PAYE 06/07                      </v>
          </cell>
          <cell r="E4">
            <v>1494.16</v>
          </cell>
          <cell r="F4" t="str">
            <v>C</v>
          </cell>
          <cell r="G4">
            <v>-1494.16</v>
          </cell>
        </row>
        <row r="5">
          <cell r="A5">
            <v>249530</v>
          </cell>
          <cell r="B5" t="str">
            <v>2007/11</v>
          </cell>
          <cell r="C5">
            <v>437030</v>
          </cell>
          <cell r="D5" t="str">
            <v xml:space="preserve">OD PAYE 06/07                      </v>
          </cell>
          <cell r="E5">
            <v>491.25</v>
          </cell>
          <cell r="F5" t="str">
            <v>C</v>
          </cell>
          <cell r="G5">
            <v>-491.25</v>
          </cell>
        </row>
        <row r="6">
          <cell r="A6">
            <v>249530</v>
          </cell>
          <cell r="B6" t="str">
            <v>2007/11</v>
          </cell>
          <cell r="C6">
            <v>447020</v>
          </cell>
          <cell r="D6" t="str">
            <v xml:space="preserve">OD PAYE 06/07                      </v>
          </cell>
          <cell r="E6">
            <v>51</v>
          </cell>
          <cell r="F6" t="str">
            <v>C</v>
          </cell>
          <cell r="G6">
            <v>-51</v>
          </cell>
        </row>
        <row r="7">
          <cell r="A7">
            <v>249530</v>
          </cell>
          <cell r="B7" t="str">
            <v>2007/11</v>
          </cell>
          <cell r="C7">
            <v>447030</v>
          </cell>
          <cell r="D7" t="str">
            <v xml:space="preserve">OD PAYE 06/07                      </v>
          </cell>
          <cell r="E7">
            <v>41.25</v>
          </cell>
          <cell r="F7" t="str">
            <v>C</v>
          </cell>
          <cell r="G7">
            <v>-41.25</v>
          </cell>
        </row>
        <row r="8">
          <cell r="A8">
            <v>325875</v>
          </cell>
          <cell r="B8" t="str">
            <v>2007/11</v>
          </cell>
          <cell r="C8">
            <v>631200</v>
          </cell>
          <cell r="D8" t="str">
            <v xml:space="preserve">OD PAYE 06/07                      </v>
          </cell>
          <cell r="E8">
            <v>51</v>
          </cell>
          <cell r="F8" t="str">
            <v>D</v>
          </cell>
          <cell r="G8">
            <v>51</v>
          </cell>
        </row>
        <row r="9">
          <cell r="A9">
            <v>325875</v>
          </cell>
          <cell r="B9" t="str">
            <v>2007/11</v>
          </cell>
          <cell r="C9">
            <v>633300</v>
          </cell>
          <cell r="D9" t="str">
            <v xml:space="preserve">OD PAYE 06/07                      </v>
          </cell>
          <cell r="E9">
            <v>41.25</v>
          </cell>
          <cell r="F9" t="str">
            <v>D</v>
          </cell>
          <cell r="G9">
            <v>41.25</v>
          </cell>
        </row>
        <row r="10">
          <cell r="A10">
            <v>321200</v>
          </cell>
          <cell r="B10" t="str">
            <v>2007/11</v>
          </cell>
          <cell r="C10">
            <v>641110</v>
          </cell>
          <cell r="D10" t="str">
            <v xml:space="preserve">OD PAYE 06/07                      </v>
          </cell>
          <cell r="E10">
            <v>7500</v>
          </cell>
          <cell r="F10" t="str">
            <v>D</v>
          </cell>
          <cell r="G10">
            <v>7500</v>
          </cell>
        </row>
        <row r="11">
          <cell r="A11">
            <v>325875</v>
          </cell>
          <cell r="B11" t="str">
            <v>2007/11</v>
          </cell>
          <cell r="C11">
            <v>645100</v>
          </cell>
          <cell r="D11" t="str">
            <v xml:space="preserve">OD PAYE 06/07                      </v>
          </cell>
          <cell r="E11">
            <v>1710.26</v>
          </cell>
          <cell r="F11" t="str">
            <v>D</v>
          </cell>
          <cell r="G11">
            <v>1710.26</v>
          </cell>
        </row>
        <row r="12">
          <cell r="A12">
            <v>325875</v>
          </cell>
          <cell r="B12" t="str">
            <v>2007/11</v>
          </cell>
          <cell r="C12">
            <v>645300</v>
          </cell>
          <cell r="D12" t="str">
            <v xml:space="preserve">OD PAYE 06/07                      </v>
          </cell>
          <cell r="E12">
            <v>926.58</v>
          </cell>
          <cell r="F12" t="str">
            <v>D</v>
          </cell>
          <cell r="G12">
            <v>926.58</v>
          </cell>
        </row>
        <row r="13">
          <cell r="A13">
            <v>325875</v>
          </cell>
          <cell r="B13" t="str">
            <v>2007/11</v>
          </cell>
          <cell r="C13">
            <v>645400</v>
          </cell>
          <cell r="D13" t="str">
            <v xml:space="preserve">OD PAYE 06/07                      </v>
          </cell>
          <cell r="E13">
            <v>311.25</v>
          </cell>
          <cell r="F13" t="str">
            <v>D</v>
          </cell>
          <cell r="G13">
            <v>311.25</v>
          </cell>
        </row>
        <row r="14">
          <cell r="A14">
            <v>249530</v>
          </cell>
          <cell r="B14" t="str">
            <v>2007/11</v>
          </cell>
          <cell r="C14">
            <v>421000</v>
          </cell>
          <cell r="D14" t="str">
            <v xml:space="preserve">OD PAYE 07/07 REM DUES             </v>
          </cell>
          <cell r="E14">
            <v>87.56</v>
          </cell>
          <cell r="F14" t="str">
            <v>C</v>
          </cell>
          <cell r="G14">
            <v>-87.56</v>
          </cell>
        </row>
        <row r="15">
          <cell r="A15">
            <v>249530</v>
          </cell>
          <cell r="B15" t="str">
            <v>2007/11</v>
          </cell>
          <cell r="C15">
            <v>421000</v>
          </cell>
          <cell r="D15" t="str">
            <v xml:space="preserve">OD PAYE 07/07 ACPTE                </v>
          </cell>
          <cell r="E15">
            <v>5850</v>
          </cell>
          <cell r="F15" t="str">
            <v>C</v>
          </cell>
          <cell r="G15">
            <v>-5850</v>
          </cell>
        </row>
        <row r="16">
          <cell r="A16">
            <v>249530</v>
          </cell>
          <cell r="B16" t="str">
            <v>2007/11</v>
          </cell>
          <cell r="C16">
            <v>431000</v>
          </cell>
          <cell r="D16" t="str">
            <v xml:space="preserve">OD PAYE 07/07                      </v>
          </cell>
          <cell r="E16">
            <v>2562.0300000000002</v>
          </cell>
          <cell r="F16" t="str">
            <v>C</v>
          </cell>
          <cell r="G16">
            <v>-2562.0300000000002</v>
          </cell>
        </row>
        <row r="17">
          <cell r="A17">
            <v>249530</v>
          </cell>
          <cell r="B17" t="str">
            <v>2007/11</v>
          </cell>
          <cell r="C17">
            <v>437000</v>
          </cell>
          <cell r="D17" t="str">
            <v xml:space="preserve">OD PAYE 07/07                      </v>
          </cell>
          <cell r="E17">
            <v>1460.25</v>
          </cell>
          <cell r="F17" t="str">
            <v>C</v>
          </cell>
          <cell r="G17">
            <v>-1460.25</v>
          </cell>
        </row>
        <row r="18">
          <cell r="A18">
            <v>249530</v>
          </cell>
          <cell r="B18" t="str">
            <v>2007/11</v>
          </cell>
          <cell r="C18">
            <v>437030</v>
          </cell>
          <cell r="D18" t="str">
            <v xml:space="preserve">OD PAYE 07/07                      </v>
          </cell>
          <cell r="E18">
            <v>491.25</v>
          </cell>
          <cell r="F18" t="str">
            <v>C</v>
          </cell>
          <cell r="G18">
            <v>-491.25</v>
          </cell>
        </row>
        <row r="19">
          <cell r="A19">
            <v>249530</v>
          </cell>
          <cell r="B19" t="str">
            <v>2007/11</v>
          </cell>
          <cell r="C19">
            <v>447020</v>
          </cell>
          <cell r="D19" t="str">
            <v xml:space="preserve">OD PAYE 07/07                      </v>
          </cell>
          <cell r="E19">
            <v>51</v>
          </cell>
          <cell r="F19" t="str">
            <v>C</v>
          </cell>
          <cell r="G19">
            <v>-51</v>
          </cell>
        </row>
        <row r="20">
          <cell r="A20">
            <v>249530</v>
          </cell>
          <cell r="B20" t="str">
            <v>2007/11</v>
          </cell>
          <cell r="C20">
            <v>447030</v>
          </cell>
          <cell r="D20" t="str">
            <v xml:space="preserve">OD PAYE 07/07                      </v>
          </cell>
          <cell r="E20">
            <v>41.25</v>
          </cell>
          <cell r="F20" t="str">
            <v>C</v>
          </cell>
          <cell r="G20">
            <v>-41.25</v>
          </cell>
        </row>
        <row r="21">
          <cell r="A21">
            <v>325875</v>
          </cell>
          <cell r="B21" t="str">
            <v>2007/11</v>
          </cell>
          <cell r="C21">
            <v>631200</v>
          </cell>
          <cell r="D21" t="str">
            <v xml:space="preserve">OD PAYE 07/07                      </v>
          </cell>
          <cell r="E21">
            <v>51</v>
          </cell>
          <cell r="F21" t="str">
            <v>D</v>
          </cell>
          <cell r="G21">
            <v>51</v>
          </cell>
        </row>
        <row r="22">
          <cell r="A22">
            <v>325875</v>
          </cell>
          <cell r="B22" t="str">
            <v>2007/11</v>
          </cell>
          <cell r="C22">
            <v>633300</v>
          </cell>
          <cell r="D22" t="str">
            <v xml:space="preserve">OD PAYE 07/07                      </v>
          </cell>
          <cell r="E22">
            <v>41.25</v>
          </cell>
          <cell r="F22" t="str">
            <v>D</v>
          </cell>
          <cell r="G22">
            <v>41.25</v>
          </cell>
        </row>
        <row r="23">
          <cell r="A23">
            <v>321200</v>
          </cell>
          <cell r="B23" t="str">
            <v>2007/11</v>
          </cell>
          <cell r="C23">
            <v>641110</v>
          </cell>
          <cell r="D23" t="str">
            <v xml:space="preserve">OD PAYE 07/07                      </v>
          </cell>
          <cell r="E23">
            <v>7500</v>
          </cell>
          <cell r="F23" t="str">
            <v>D</v>
          </cell>
          <cell r="G23">
            <v>7500</v>
          </cell>
        </row>
        <row r="24">
          <cell r="A24">
            <v>325875</v>
          </cell>
          <cell r="B24" t="str">
            <v>2007/11</v>
          </cell>
          <cell r="C24">
            <v>645100</v>
          </cell>
          <cell r="D24" t="str">
            <v xml:space="preserve">OD PAYE 07/07                      </v>
          </cell>
          <cell r="E24">
            <v>1732.79</v>
          </cell>
          <cell r="F24" t="str">
            <v>D</v>
          </cell>
          <cell r="G24">
            <v>1732.79</v>
          </cell>
        </row>
        <row r="25">
          <cell r="A25">
            <v>325875</v>
          </cell>
          <cell r="B25" t="str">
            <v>2007/11</v>
          </cell>
          <cell r="C25">
            <v>645300</v>
          </cell>
          <cell r="D25" t="str">
            <v xml:space="preserve">OD PAYE 07/07                      </v>
          </cell>
          <cell r="E25">
            <v>907.05</v>
          </cell>
          <cell r="F25" t="str">
            <v>D</v>
          </cell>
          <cell r="G25">
            <v>907.05</v>
          </cell>
        </row>
        <row r="26">
          <cell r="A26">
            <v>325875</v>
          </cell>
          <cell r="B26" t="str">
            <v>2007/11</v>
          </cell>
          <cell r="C26">
            <v>645400</v>
          </cell>
          <cell r="D26" t="str">
            <v xml:space="preserve">OD PAYE 07/07                      </v>
          </cell>
          <cell r="E26">
            <v>311.25</v>
          </cell>
          <cell r="F26" t="str">
            <v>D</v>
          </cell>
          <cell r="G26">
            <v>311.25</v>
          </cell>
        </row>
        <row r="27">
          <cell r="A27">
            <v>249530</v>
          </cell>
          <cell r="B27" t="str">
            <v>2007/11</v>
          </cell>
          <cell r="C27">
            <v>421000</v>
          </cell>
          <cell r="D27" t="str">
            <v xml:space="preserve">OD PAYE 08/07 REM DUES             </v>
          </cell>
          <cell r="E27">
            <v>4.1100000000000003</v>
          </cell>
          <cell r="F27" t="str">
            <v>D</v>
          </cell>
          <cell r="G27">
            <v>4.1100000000000003</v>
          </cell>
        </row>
        <row r="28">
          <cell r="A28">
            <v>249530</v>
          </cell>
          <cell r="B28" t="str">
            <v>2007/11</v>
          </cell>
          <cell r="C28">
            <v>421000</v>
          </cell>
          <cell r="D28" t="str">
            <v xml:space="preserve">OD PAYE 08/07 ACPTE                </v>
          </cell>
          <cell r="E28">
            <v>5941.67</v>
          </cell>
          <cell r="F28" t="str">
            <v>C</v>
          </cell>
          <cell r="G28">
            <v>-5941.67</v>
          </cell>
        </row>
        <row r="29">
          <cell r="A29">
            <v>249530</v>
          </cell>
          <cell r="B29" t="str">
            <v>2007/11</v>
          </cell>
          <cell r="C29">
            <v>431000</v>
          </cell>
          <cell r="D29" t="str">
            <v xml:space="preserve">OD PAYE 08/07                      </v>
          </cell>
          <cell r="E29">
            <v>2562.0300000000002</v>
          </cell>
          <cell r="F29" t="str">
            <v>C</v>
          </cell>
          <cell r="G29">
            <v>-2562.0300000000002</v>
          </cell>
        </row>
        <row r="30">
          <cell r="A30">
            <v>249530</v>
          </cell>
          <cell r="B30" t="str">
            <v>2007/11</v>
          </cell>
          <cell r="C30">
            <v>437000</v>
          </cell>
          <cell r="D30" t="str">
            <v xml:space="preserve">OD PAYE 08/07                      </v>
          </cell>
          <cell r="E30">
            <v>1460.25</v>
          </cell>
          <cell r="F30" t="str">
            <v>C</v>
          </cell>
          <cell r="G30">
            <v>-1460.25</v>
          </cell>
        </row>
        <row r="31">
          <cell r="A31">
            <v>249530</v>
          </cell>
          <cell r="B31" t="str">
            <v>2007/11</v>
          </cell>
          <cell r="C31">
            <v>437030</v>
          </cell>
          <cell r="D31" t="str">
            <v xml:space="preserve">OD PAYE 08/07                      </v>
          </cell>
          <cell r="E31">
            <v>491.25</v>
          </cell>
          <cell r="F31" t="str">
            <v>C</v>
          </cell>
          <cell r="G31">
            <v>-491.25</v>
          </cell>
        </row>
        <row r="32">
          <cell r="A32">
            <v>249530</v>
          </cell>
          <cell r="B32" t="str">
            <v>2007/11</v>
          </cell>
          <cell r="C32">
            <v>447020</v>
          </cell>
          <cell r="D32" t="str">
            <v xml:space="preserve">OD PAYE 08/07                      </v>
          </cell>
          <cell r="E32">
            <v>51</v>
          </cell>
          <cell r="F32" t="str">
            <v>C</v>
          </cell>
          <cell r="G32">
            <v>-51</v>
          </cell>
        </row>
        <row r="33">
          <cell r="A33">
            <v>249530</v>
          </cell>
          <cell r="B33" t="str">
            <v>2007/11</v>
          </cell>
          <cell r="C33">
            <v>447030</v>
          </cell>
          <cell r="D33" t="str">
            <v xml:space="preserve">OD PAYE 08/07                      </v>
          </cell>
          <cell r="E33">
            <v>41.25</v>
          </cell>
          <cell r="F33" t="str">
            <v>C</v>
          </cell>
          <cell r="G33">
            <v>-41.25</v>
          </cell>
        </row>
        <row r="34">
          <cell r="A34">
            <v>325875</v>
          </cell>
          <cell r="B34" t="str">
            <v>2007/11</v>
          </cell>
          <cell r="C34">
            <v>631200</v>
          </cell>
          <cell r="D34" t="str">
            <v xml:space="preserve">OD PAYE 08/07                      </v>
          </cell>
          <cell r="E34">
            <v>51</v>
          </cell>
          <cell r="F34" t="str">
            <v>D</v>
          </cell>
          <cell r="G34">
            <v>51</v>
          </cell>
        </row>
        <row r="35">
          <cell r="A35">
            <v>325875</v>
          </cell>
          <cell r="B35" t="str">
            <v>2007/11</v>
          </cell>
          <cell r="C35">
            <v>633300</v>
          </cell>
          <cell r="D35" t="str">
            <v xml:space="preserve">OD PAYE 08/07                      </v>
          </cell>
          <cell r="E35">
            <v>41.25</v>
          </cell>
          <cell r="F35" t="str">
            <v>D</v>
          </cell>
          <cell r="G35">
            <v>41.25</v>
          </cell>
        </row>
        <row r="36">
          <cell r="A36">
            <v>321200</v>
          </cell>
          <cell r="B36" t="str">
            <v>2007/11</v>
          </cell>
          <cell r="C36">
            <v>641110</v>
          </cell>
          <cell r="D36" t="str">
            <v xml:space="preserve">OD PAYE 08/07                      </v>
          </cell>
          <cell r="E36">
            <v>7500</v>
          </cell>
          <cell r="F36" t="str">
            <v>D</v>
          </cell>
          <cell r="G36">
            <v>7500</v>
          </cell>
        </row>
        <row r="37">
          <cell r="A37">
            <v>325875</v>
          </cell>
          <cell r="B37" t="str">
            <v>2007/11</v>
          </cell>
          <cell r="C37">
            <v>645100</v>
          </cell>
          <cell r="D37" t="str">
            <v xml:space="preserve">OD PAYE 08/07                      </v>
          </cell>
          <cell r="E37">
            <v>1732.79</v>
          </cell>
          <cell r="F37" t="str">
            <v>D</v>
          </cell>
          <cell r="G37">
            <v>1732.79</v>
          </cell>
        </row>
        <row r="38">
          <cell r="A38">
            <v>325875</v>
          </cell>
          <cell r="B38" t="str">
            <v>2007/11</v>
          </cell>
          <cell r="C38">
            <v>645300</v>
          </cell>
          <cell r="D38" t="str">
            <v xml:space="preserve">OD PAYE 08/07                      </v>
          </cell>
          <cell r="E38">
            <v>907.05</v>
          </cell>
          <cell r="F38" t="str">
            <v>D</v>
          </cell>
          <cell r="G38">
            <v>907.05</v>
          </cell>
        </row>
        <row r="39">
          <cell r="A39">
            <v>325875</v>
          </cell>
          <cell r="B39" t="str">
            <v>2007/11</v>
          </cell>
          <cell r="C39">
            <v>645400</v>
          </cell>
          <cell r="D39" t="str">
            <v xml:space="preserve">OD PAYE 08/07                      </v>
          </cell>
          <cell r="E39">
            <v>311.25</v>
          </cell>
          <cell r="F39" t="str">
            <v>D</v>
          </cell>
          <cell r="G39">
            <v>311.25</v>
          </cell>
        </row>
        <row r="40">
          <cell r="A40">
            <v>249530</v>
          </cell>
          <cell r="B40" t="str">
            <v>2007/11</v>
          </cell>
          <cell r="C40">
            <v>421000</v>
          </cell>
          <cell r="D40" t="str">
            <v xml:space="preserve">OD PAYE 09/07 REM DUES             </v>
          </cell>
          <cell r="E40">
            <v>4.1100000000000003</v>
          </cell>
          <cell r="F40" t="str">
            <v>D</v>
          </cell>
          <cell r="G40">
            <v>4.1100000000000003</v>
          </cell>
        </row>
        <row r="41">
          <cell r="A41">
            <v>249530</v>
          </cell>
          <cell r="B41" t="str">
            <v>2007/11</v>
          </cell>
          <cell r="C41">
            <v>421000</v>
          </cell>
          <cell r="D41" t="str">
            <v xml:space="preserve">OD PAYE 09/07 ACPTE                </v>
          </cell>
          <cell r="E41">
            <v>5941.67</v>
          </cell>
          <cell r="F41" t="str">
            <v>C</v>
          </cell>
          <cell r="G41">
            <v>-5941.67</v>
          </cell>
        </row>
        <row r="42">
          <cell r="A42">
            <v>249530</v>
          </cell>
          <cell r="B42" t="str">
            <v>2007/11</v>
          </cell>
          <cell r="C42">
            <v>431000</v>
          </cell>
          <cell r="D42" t="str">
            <v xml:space="preserve">OD PAYE 09/07                      </v>
          </cell>
          <cell r="E42">
            <v>2562.0300000000002</v>
          </cell>
          <cell r="F42" t="str">
            <v>C</v>
          </cell>
          <cell r="G42">
            <v>-2562.0300000000002</v>
          </cell>
        </row>
        <row r="43">
          <cell r="A43">
            <v>249530</v>
          </cell>
          <cell r="B43" t="str">
            <v>2007/11</v>
          </cell>
          <cell r="C43">
            <v>437000</v>
          </cell>
          <cell r="D43" t="str">
            <v xml:space="preserve">OD PAYE 09/07                      </v>
          </cell>
          <cell r="E43">
            <v>1460.25</v>
          </cell>
          <cell r="F43" t="str">
            <v>C</v>
          </cell>
          <cell r="G43">
            <v>-1460.25</v>
          </cell>
        </row>
        <row r="44">
          <cell r="A44">
            <v>249530</v>
          </cell>
          <cell r="B44" t="str">
            <v>2007/11</v>
          </cell>
          <cell r="C44">
            <v>437030</v>
          </cell>
          <cell r="D44" t="str">
            <v xml:space="preserve">OD PAYE 09/07                      </v>
          </cell>
          <cell r="E44">
            <v>491.25</v>
          </cell>
          <cell r="F44" t="str">
            <v>C</v>
          </cell>
          <cell r="G44">
            <v>-491.25</v>
          </cell>
        </row>
        <row r="45">
          <cell r="A45">
            <v>249530</v>
          </cell>
          <cell r="B45" t="str">
            <v>2007/11</v>
          </cell>
          <cell r="C45">
            <v>447020</v>
          </cell>
          <cell r="D45" t="str">
            <v xml:space="preserve">OD PAYE 09/07                      </v>
          </cell>
          <cell r="E45">
            <v>51</v>
          </cell>
          <cell r="F45" t="str">
            <v>C</v>
          </cell>
          <cell r="G45">
            <v>-51</v>
          </cell>
        </row>
        <row r="46">
          <cell r="A46">
            <v>249530</v>
          </cell>
          <cell r="B46" t="str">
            <v>2007/11</v>
          </cell>
          <cell r="C46">
            <v>447030</v>
          </cell>
          <cell r="D46" t="str">
            <v xml:space="preserve">OD PAYE 09/07                      </v>
          </cell>
          <cell r="E46">
            <v>41.25</v>
          </cell>
          <cell r="F46" t="str">
            <v>C</v>
          </cell>
          <cell r="G46">
            <v>-41.25</v>
          </cell>
        </row>
        <row r="47">
          <cell r="A47">
            <v>325875</v>
          </cell>
          <cell r="B47" t="str">
            <v>2007/11</v>
          </cell>
          <cell r="C47">
            <v>631200</v>
          </cell>
          <cell r="D47" t="str">
            <v xml:space="preserve">OD PAYE 09/07                      </v>
          </cell>
          <cell r="E47">
            <v>51</v>
          </cell>
          <cell r="F47" t="str">
            <v>D</v>
          </cell>
          <cell r="G47">
            <v>51</v>
          </cell>
        </row>
        <row r="48">
          <cell r="A48">
            <v>325875</v>
          </cell>
          <cell r="B48" t="str">
            <v>2007/11</v>
          </cell>
          <cell r="C48">
            <v>633300</v>
          </cell>
          <cell r="D48" t="str">
            <v xml:space="preserve">OD PAYE 09/07                      </v>
          </cell>
          <cell r="E48">
            <v>41.25</v>
          </cell>
          <cell r="F48" t="str">
            <v>D</v>
          </cell>
          <cell r="G48">
            <v>41.25</v>
          </cell>
        </row>
        <row r="49">
          <cell r="A49">
            <v>321200</v>
          </cell>
          <cell r="B49" t="str">
            <v>2007/11</v>
          </cell>
          <cell r="C49">
            <v>641110</v>
          </cell>
          <cell r="D49" t="str">
            <v xml:space="preserve">OD PAYE 09/07                      </v>
          </cell>
          <cell r="E49">
            <v>7500</v>
          </cell>
          <cell r="F49" t="str">
            <v>D</v>
          </cell>
          <cell r="G49">
            <v>7500</v>
          </cell>
        </row>
        <row r="50">
          <cell r="A50">
            <v>325875</v>
          </cell>
          <cell r="B50" t="str">
            <v>2007/11</v>
          </cell>
          <cell r="C50">
            <v>645100</v>
          </cell>
          <cell r="D50" t="str">
            <v xml:space="preserve">OD PAYE 09/07                      </v>
          </cell>
          <cell r="E50">
            <v>1732.79</v>
          </cell>
          <cell r="F50" t="str">
            <v>D</v>
          </cell>
          <cell r="G50">
            <v>1732.79</v>
          </cell>
        </row>
        <row r="51">
          <cell r="A51">
            <v>325875</v>
          </cell>
          <cell r="B51" t="str">
            <v>2007/11</v>
          </cell>
          <cell r="C51">
            <v>645300</v>
          </cell>
          <cell r="D51" t="str">
            <v xml:space="preserve">OD PAYE 09/07                      </v>
          </cell>
          <cell r="E51">
            <v>907.05</v>
          </cell>
          <cell r="F51" t="str">
            <v>D</v>
          </cell>
          <cell r="G51">
            <v>907.05</v>
          </cell>
        </row>
        <row r="52">
          <cell r="A52">
            <v>325875</v>
          </cell>
          <cell r="B52" t="str">
            <v>2007/11</v>
          </cell>
          <cell r="C52">
            <v>645400</v>
          </cell>
          <cell r="D52" t="str">
            <v xml:space="preserve">OD PAYE 09/07                      </v>
          </cell>
          <cell r="E52">
            <v>311.25</v>
          </cell>
          <cell r="F52" t="str">
            <v>D</v>
          </cell>
          <cell r="G52">
            <v>311.25</v>
          </cell>
        </row>
        <row r="53">
          <cell r="A53">
            <v>249530</v>
          </cell>
          <cell r="B53" t="str">
            <v>2007/11</v>
          </cell>
          <cell r="C53">
            <v>421000</v>
          </cell>
          <cell r="D53" t="str">
            <v xml:space="preserve">OD PAYE 10/07 REM DUES             </v>
          </cell>
          <cell r="E53">
            <v>4.1100000000000003</v>
          </cell>
          <cell r="F53" t="str">
            <v>D</v>
          </cell>
          <cell r="G53">
            <v>4.1100000000000003</v>
          </cell>
        </row>
        <row r="54">
          <cell r="A54">
            <v>249530</v>
          </cell>
          <cell r="B54" t="str">
            <v>2007/11</v>
          </cell>
          <cell r="C54">
            <v>421000</v>
          </cell>
          <cell r="D54" t="str">
            <v xml:space="preserve">OD PAYE 10/07 ACPTE                </v>
          </cell>
          <cell r="E54">
            <v>5941.67</v>
          </cell>
          <cell r="F54" t="str">
            <v>C</v>
          </cell>
          <cell r="G54">
            <v>-5941.67</v>
          </cell>
        </row>
        <row r="55">
          <cell r="A55">
            <v>249530</v>
          </cell>
          <cell r="B55" t="str">
            <v>2007/11</v>
          </cell>
          <cell r="C55">
            <v>431000</v>
          </cell>
          <cell r="D55" t="str">
            <v xml:space="preserve">OD PAYE 10/07                      </v>
          </cell>
          <cell r="E55">
            <v>2742.03</v>
          </cell>
          <cell r="F55" t="str">
            <v>C</v>
          </cell>
          <cell r="G55">
            <v>-2742.03</v>
          </cell>
        </row>
        <row r="56">
          <cell r="A56">
            <v>249530</v>
          </cell>
          <cell r="B56" t="str">
            <v>2007/11</v>
          </cell>
          <cell r="C56">
            <v>437000</v>
          </cell>
          <cell r="D56" t="str">
            <v xml:space="preserve">OD PAYE 10/07                      </v>
          </cell>
          <cell r="E56">
            <v>1460.25</v>
          </cell>
          <cell r="F56" t="str">
            <v>C</v>
          </cell>
          <cell r="G56">
            <v>-1460.25</v>
          </cell>
        </row>
        <row r="57">
          <cell r="A57">
            <v>249530</v>
          </cell>
          <cell r="B57" t="str">
            <v>2007/11</v>
          </cell>
          <cell r="C57">
            <v>437030</v>
          </cell>
          <cell r="D57" t="str">
            <v xml:space="preserve">OD PAYE 10/07                      </v>
          </cell>
          <cell r="E57">
            <v>491.25</v>
          </cell>
          <cell r="F57" t="str">
            <v>C</v>
          </cell>
          <cell r="G57">
            <v>-491.25</v>
          </cell>
        </row>
        <row r="58">
          <cell r="A58">
            <v>249530</v>
          </cell>
          <cell r="B58" t="str">
            <v>2007/11</v>
          </cell>
          <cell r="C58">
            <v>447020</v>
          </cell>
          <cell r="D58" t="str">
            <v xml:space="preserve">OD PAYE 10/07                      </v>
          </cell>
          <cell r="E58">
            <v>51</v>
          </cell>
          <cell r="F58" t="str">
            <v>C</v>
          </cell>
          <cell r="G58">
            <v>-51</v>
          </cell>
        </row>
        <row r="59">
          <cell r="A59">
            <v>249530</v>
          </cell>
          <cell r="B59" t="str">
            <v>2007/11</v>
          </cell>
          <cell r="C59">
            <v>447030</v>
          </cell>
          <cell r="D59" t="str">
            <v xml:space="preserve">OD PAYE 10/07                      </v>
          </cell>
          <cell r="E59">
            <v>41.25</v>
          </cell>
          <cell r="F59" t="str">
            <v>C</v>
          </cell>
          <cell r="G59">
            <v>-41.25</v>
          </cell>
        </row>
        <row r="60">
          <cell r="A60">
            <v>325875</v>
          </cell>
          <cell r="B60" t="str">
            <v>2007/11</v>
          </cell>
          <cell r="C60">
            <v>631200</v>
          </cell>
          <cell r="D60" t="str">
            <v xml:space="preserve">OD PAYE 10/07                      </v>
          </cell>
          <cell r="E60">
            <v>51</v>
          </cell>
          <cell r="F60" t="str">
            <v>D</v>
          </cell>
          <cell r="G60">
            <v>51</v>
          </cell>
        </row>
        <row r="61">
          <cell r="A61">
            <v>325875</v>
          </cell>
          <cell r="B61" t="str">
            <v>2007/11</v>
          </cell>
          <cell r="C61">
            <v>633300</v>
          </cell>
          <cell r="D61" t="str">
            <v xml:space="preserve">OD PAYE 10/07                      </v>
          </cell>
          <cell r="E61">
            <v>41.25</v>
          </cell>
          <cell r="F61" t="str">
            <v>D</v>
          </cell>
          <cell r="G61">
            <v>41.25</v>
          </cell>
        </row>
        <row r="62">
          <cell r="A62">
            <v>321200</v>
          </cell>
          <cell r="B62" t="str">
            <v>2007/11</v>
          </cell>
          <cell r="C62">
            <v>641110</v>
          </cell>
          <cell r="D62" t="str">
            <v xml:space="preserve">OD PAYE 10/07                      </v>
          </cell>
          <cell r="E62">
            <v>7500</v>
          </cell>
          <cell r="F62" t="str">
            <v>D</v>
          </cell>
          <cell r="G62">
            <v>7500</v>
          </cell>
        </row>
        <row r="63">
          <cell r="A63">
            <v>325875</v>
          </cell>
          <cell r="B63" t="str">
            <v>2007/11</v>
          </cell>
          <cell r="C63">
            <v>645100</v>
          </cell>
          <cell r="D63" t="str">
            <v xml:space="preserve">OD PAYE 10/07                      </v>
          </cell>
          <cell r="E63">
            <v>1912.79</v>
          </cell>
          <cell r="F63" t="str">
            <v>D</v>
          </cell>
          <cell r="G63">
            <v>1912.79</v>
          </cell>
        </row>
        <row r="64">
          <cell r="A64">
            <v>325875</v>
          </cell>
          <cell r="B64" t="str">
            <v>2007/11</v>
          </cell>
          <cell r="C64">
            <v>645300</v>
          </cell>
          <cell r="D64" t="str">
            <v xml:space="preserve">OD PAYE 10/07                      </v>
          </cell>
          <cell r="E64">
            <v>907.05</v>
          </cell>
          <cell r="F64" t="str">
            <v>D</v>
          </cell>
          <cell r="G64">
            <v>907.05</v>
          </cell>
        </row>
        <row r="65">
          <cell r="A65">
            <v>325875</v>
          </cell>
          <cell r="B65" t="str">
            <v>2007/11</v>
          </cell>
          <cell r="C65">
            <v>645400</v>
          </cell>
          <cell r="D65" t="str">
            <v xml:space="preserve">OD PAYE 10/07                      </v>
          </cell>
          <cell r="E65">
            <v>311.25</v>
          </cell>
          <cell r="F65" t="str">
            <v>D</v>
          </cell>
          <cell r="G65">
            <v>311.25</v>
          </cell>
        </row>
        <row r="66">
          <cell r="A66">
            <v>249530</v>
          </cell>
          <cell r="B66" t="str">
            <v>2007/11</v>
          </cell>
          <cell r="C66">
            <v>421000</v>
          </cell>
          <cell r="D66" t="str">
            <v xml:space="preserve">OD PAYE 11/07  REM DUES            </v>
          </cell>
          <cell r="E66">
            <v>125.04</v>
          </cell>
          <cell r="F66" t="str">
            <v>C</v>
          </cell>
          <cell r="G66">
            <v>-125.04</v>
          </cell>
        </row>
        <row r="67">
          <cell r="A67">
            <v>249530</v>
          </cell>
          <cell r="B67" t="str">
            <v>2007/11</v>
          </cell>
          <cell r="C67">
            <v>421000</v>
          </cell>
          <cell r="D67" t="str">
            <v xml:space="preserve">OD PAYE 11/07 ACPTE                </v>
          </cell>
          <cell r="E67">
            <v>64441.16</v>
          </cell>
          <cell r="F67" t="str">
            <v>C</v>
          </cell>
          <cell r="G67">
            <v>-64441.16</v>
          </cell>
        </row>
        <row r="68">
          <cell r="A68">
            <v>249530</v>
          </cell>
          <cell r="B68" t="str">
            <v>2007/11</v>
          </cell>
          <cell r="C68">
            <v>431000</v>
          </cell>
          <cell r="D68" t="str">
            <v xml:space="preserve">OD PAYE 11/07                      </v>
          </cell>
          <cell r="E68">
            <v>23862.6</v>
          </cell>
          <cell r="F68" t="str">
            <v>C</v>
          </cell>
          <cell r="G68">
            <v>-23862.6</v>
          </cell>
        </row>
        <row r="69">
          <cell r="A69">
            <v>249530</v>
          </cell>
          <cell r="B69" t="str">
            <v>2007/11</v>
          </cell>
          <cell r="C69">
            <v>437000</v>
          </cell>
          <cell r="D69" t="str">
            <v xml:space="preserve">OD PAYE 11/07                      </v>
          </cell>
          <cell r="E69">
            <v>6026.09</v>
          </cell>
          <cell r="F69" t="str">
            <v>C</v>
          </cell>
          <cell r="G69">
            <v>-6026.09</v>
          </cell>
        </row>
        <row r="70">
          <cell r="A70">
            <v>249530</v>
          </cell>
          <cell r="B70" t="str">
            <v>2007/11</v>
          </cell>
          <cell r="C70">
            <v>437030</v>
          </cell>
          <cell r="D70" t="str">
            <v xml:space="preserve">OD PAYE 11/07                      </v>
          </cell>
          <cell r="E70">
            <v>1193.93</v>
          </cell>
          <cell r="F70" t="str">
            <v>C</v>
          </cell>
          <cell r="G70">
            <v>-1193.93</v>
          </cell>
        </row>
        <row r="71">
          <cell r="A71">
            <v>249530</v>
          </cell>
          <cell r="B71" t="str">
            <v>2007/11</v>
          </cell>
          <cell r="C71">
            <v>447020</v>
          </cell>
          <cell r="D71" t="str">
            <v xml:space="preserve">OD PAYE 11/07                      </v>
          </cell>
          <cell r="E71">
            <v>503.59</v>
          </cell>
          <cell r="F71" t="str">
            <v>C</v>
          </cell>
          <cell r="G71">
            <v>-503.59</v>
          </cell>
        </row>
        <row r="72">
          <cell r="A72">
            <v>249530</v>
          </cell>
          <cell r="B72" t="str">
            <v>2007/11</v>
          </cell>
          <cell r="C72">
            <v>447030</v>
          </cell>
          <cell r="D72" t="str">
            <v xml:space="preserve">OD PAYE 11/07                      </v>
          </cell>
          <cell r="E72">
            <v>407.31</v>
          </cell>
          <cell r="F72" t="str">
            <v>C</v>
          </cell>
          <cell r="G72">
            <v>-407.31</v>
          </cell>
        </row>
        <row r="73">
          <cell r="A73">
            <v>325875</v>
          </cell>
          <cell r="B73" t="str">
            <v>2007/11</v>
          </cell>
          <cell r="C73">
            <v>631200</v>
          </cell>
          <cell r="D73" t="str">
            <v xml:space="preserve">OD PAYE 11/07                      </v>
          </cell>
          <cell r="E73">
            <v>503.59</v>
          </cell>
          <cell r="F73" t="str">
            <v>D</v>
          </cell>
          <cell r="G73">
            <v>503.59</v>
          </cell>
        </row>
        <row r="74">
          <cell r="A74">
            <v>325875</v>
          </cell>
          <cell r="B74" t="str">
            <v>2007/11</v>
          </cell>
          <cell r="C74">
            <v>633300</v>
          </cell>
          <cell r="D74" t="str">
            <v xml:space="preserve">OD PAYE 11/07                      </v>
          </cell>
          <cell r="E74">
            <v>407.31</v>
          </cell>
          <cell r="F74" t="str">
            <v>D</v>
          </cell>
          <cell r="G74">
            <v>407.31</v>
          </cell>
        </row>
        <row r="75">
          <cell r="A75">
            <v>321200</v>
          </cell>
          <cell r="B75" t="str">
            <v>2007/11</v>
          </cell>
          <cell r="C75">
            <v>641110</v>
          </cell>
          <cell r="D75" t="str">
            <v xml:space="preserve">OD PAYE 11/07                      </v>
          </cell>
          <cell r="E75">
            <v>74057.16</v>
          </cell>
          <cell r="F75" t="str">
            <v>D</v>
          </cell>
          <cell r="G75">
            <v>74057.16</v>
          </cell>
        </row>
        <row r="76">
          <cell r="A76">
            <v>325875</v>
          </cell>
          <cell r="B76" t="str">
            <v>2007/11</v>
          </cell>
          <cell r="C76">
            <v>645100</v>
          </cell>
          <cell r="D76" t="str">
            <v xml:space="preserve">OD PAYE 11/07                      </v>
          </cell>
          <cell r="E76">
            <v>17113.439999999999</v>
          </cell>
          <cell r="F76" t="str">
            <v>D</v>
          </cell>
          <cell r="G76">
            <v>17113.439999999999</v>
          </cell>
        </row>
        <row r="77">
          <cell r="A77">
            <v>325875</v>
          </cell>
          <cell r="B77" t="str">
            <v>2007/11</v>
          </cell>
          <cell r="C77">
            <v>645300</v>
          </cell>
          <cell r="D77" t="str">
            <v xml:space="preserve">OD PAYE 11/07                      </v>
          </cell>
          <cell r="E77">
            <v>3721.76</v>
          </cell>
          <cell r="F77" t="str">
            <v>D</v>
          </cell>
          <cell r="G77">
            <v>3721.76</v>
          </cell>
        </row>
        <row r="78">
          <cell r="A78">
            <v>325875</v>
          </cell>
          <cell r="B78" t="str">
            <v>2007/11</v>
          </cell>
          <cell r="C78">
            <v>645400</v>
          </cell>
          <cell r="D78" t="str">
            <v xml:space="preserve">OD PAYE 11/07                      </v>
          </cell>
          <cell r="E78">
            <v>756.46</v>
          </cell>
          <cell r="F78" t="str">
            <v>D</v>
          </cell>
          <cell r="G78">
            <v>756.46</v>
          </cell>
        </row>
        <row r="79">
          <cell r="A79">
            <v>369981</v>
          </cell>
          <cell r="B79" t="str">
            <v>2007/11</v>
          </cell>
          <cell r="C79">
            <v>625100</v>
          </cell>
          <cell r="D79" t="str">
            <v xml:space="preserve">NDF PC 09/06/07 (20)               </v>
          </cell>
          <cell r="E79">
            <v>548.54</v>
          </cell>
          <cell r="F79" t="str">
            <v>D</v>
          </cell>
          <cell r="G79">
            <v>548.54</v>
          </cell>
        </row>
        <row r="80">
          <cell r="A80">
            <v>370500</v>
          </cell>
          <cell r="B80" t="str">
            <v>2007/11</v>
          </cell>
          <cell r="C80">
            <v>625100</v>
          </cell>
          <cell r="D80" t="str">
            <v xml:space="preserve">NDF PC 09/06/07 (40)               </v>
          </cell>
          <cell r="E80">
            <v>730.42</v>
          </cell>
          <cell r="F80" t="str">
            <v>D</v>
          </cell>
          <cell r="G80">
            <v>730.42</v>
          </cell>
        </row>
        <row r="81">
          <cell r="A81">
            <v>370499</v>
          </cell>
          <cell r="B81" t="str">
            <v>2007/11</v>
          </cell>
          <cell r="C81">
            <v>625100</v>
          </cell>
          <cell r="D81" t="str">
            <v xml:space="preserve">NDF PC 09/06/07 (70)               </v>
          </cell>
          <cell r="E81">
            <v>49</v>
          </cell>
          <cell r="F81" t="str">
            <v>D</v>
          </cell>
          <cell r="G81">
            <v>49</v>
          </cell>
        </row>
        <row r="82">
          <cell r="A82">
            <v>370499</v>
          </cell>
          <cell r="B82" t="str">
            <v>2007/11</v>
          </cell>
          <cell r="C82">
            <v>625100</v>
          </cell>
          <cell r="D82" t="str">
            <v xml:space="preserve">NDF PC 09/06/07 (99)               </v>
          </cell>
          <cell r="E82">
            <v>294.11</v>
          </cell>
          <cell r="F82" t="str">
            <v>D</v>
          </cell>
          <cell r="G82">
            <v>294.11</v>
          </cell>
        </row>
        <row r="83">
          <cell r="A83">
            <v>370500</v>
          </cell>
          <cell r="B83" t="str">
            <v>2007/11</v>
          </cell>
          <cell r="C83">
            <v>625100</v>
          </cell>
          <cell r="D83" t="str">
            <v xml:space="preserve">NDF PC 09/06/07 (20)               </v>
          </cell>
          <cell r="E83">
            <v>411</v>
          </cell>
          <cell r="F83" t="str">
            <v>D</v>
          </cell>
          <cell r="G83">
            <v>411</v>
          </cell>
        </row>
        <row r="84">
          <cell r="A84">
            <v>370500</v>
          </cell>
          <cell r="B84" t="str">
            <v>2007/11</v>
          </cell>
          <cell r="C84">
            <v>625100</v>
          </cell>
          <cell r="D84" t="str">
            <v xml:space="preserve">NDF PC 09/06/07 (40)               </v>
          </cell>
          <cell r="E84">
            <v>162</v>
          </cell>
          <cell r="F84" t="str">
            <v>D</v>
          </cell>
          <cell r="G84">
            <v>162</v>
          </cell>
        </row>
        <row r="85">
          <cell r="A85">
            <v>341773</v>
          </cell>
          <cell r="B85" t="str">
            <v>2007/11</v>
          </cell>
          <cell r="C85">
            <v>625100</v>
          </cell>
          <cell r="D85" t="str">
            <v xml:space="preserve">NDF PC 09/06/07 (55)               </v>
          </cell>
          <cell r="E85">
            <v>52.51</v>
          </cell>
          <cell r="F85" t="str">
            <v>D</v>
          </cell>
          <cell r="G85">
            <v>52.51</v>
          </cell>
        </row>
        <row r="86">
          <cell r="A86">
            <v>370499</v>
          </cell>
          <cell r="B86" t="str">
            <v>2007/11</v>
          </cell>
          <cell r="C86">
            <v>625100</v>
          </cell>
          <cell r="D86" t="str">
            <v xml:space="preserve">NDF PC 09/06/07 (70)               </v>
          </cell>
          <cell r="E86">
            <v>39.799999999999997</v>
          </cell>
          <cell r="F86" t="str">
            <v>D</v>
          </cell>
          <cell r="G86">
            <v>39.799999999999997</v>
          </cell>
        </row>
        <row r="87">
          <cell r="A87">
            <v>370499</v>
          </cell>
          <cell r="B87" t="str">
            <v>2007/11</v>
          </cell>
          <cell r="C87">
            <v>625100</v>
          </cell>
          <cell r="D87" t="str">
            <v xml:space="preserve">NDF PC 09/06/07 (99)               </v>
          </cell>
          <cell r="E87">
            <v>674.02</v>
          </cell>
          <cell r="F87" t="str">
            <v>D</v>
          </cell>
          <cell r="G87">
            <v>674.02</v>
          </cell>
        </row>
        <row r="88">
          <cell r="A88">
            <v>369981</v>
          </cell>
          <cell r="B88" t="str">
            <v>2007/11</v>
          </cell>
          <cell r="C88">
            <v>625100</v>
          </cell>
          <cell r="D88" t="str">
            <v xml:space="preserve">NDF PC 09/06/07 (20)               </v>
          </cell>
          <cell r="E88">
            <v>8.4499999999999993</v>
          </cell>
          <cell r="F88" t="str">
            <v>D</v>
          </cell>
          <cell r="G88">
            <v>8.4499999999999993</v>
          </cell>
        </row>
        <row r="89">
          <cell r="A89">
            <v>370500</v>
          </cell>
          <cell r="B89" t="str">
            <v>2007/11</v>
          </cell>
          <cell r="C89">
            <v>625100</v>
          </cell>
          <cell r="D89" t="str">
            <v xml:space="preserve">NDF PC 09/06/07 (40)               </v>
          </cell>
          <cell r="E89">
            <v>84.5</v>
          </cell>
          <cell r="F89" t="str">
            <v>D</v>
          </cell>
          <cell r="G89">
            <v>84.5</v>
          </cell>
        </row>
        <row r="90">
          <cell r="A90">
            <v>370500</v>
          </cell>
          <cell r="B90" t="str">
            <v>2007/11</v>
          </cell>
          <cell r="C90">
            <v>625100</v>
          </cell>
          <cell r="D90" t="str">
            <v xml:space="preserve">NDF PC 09/06/07 (60)               </v>
          </cell>
          <cell r="E90">
            <v>30</v>
          </cell>
          <cell r="F90" t="str">
            <v>D</v>
          </cell>
          <cell r="G90">
            <v>30</v>
          </cell>
        </row>
        <row r="91">
          <cell r="A91">
            <v>370499</v>
          </cell>
          <cell r="B91" t="str">
            <v>2007/11</v>
          </cell>
          <cell r="C91">
            <v>625100</v>
          </cell>
          <cell r="D91" t="str">
            <v xml:space="preserve">NDF PC 09/06/07 (70)               </v>
          </cell>
          <cell r="E91">
            <v>19.2</v>
          </cell>
          <cell r="F91" t="str">
            <v>D</v>
          </cell>
          <cell r="G91">
            <v>19.2</v>
          </cell>
        </row>
        <row r="92">
          <cell r="A92">
            <v>370499</v>
          </cell>
          <cell r="B92" t="str">
            <v>2007/11</v>
          </cell>
          <cell r="C92">
            <v>625100</v>
          </cell>
          <cell r="D92" t="str">
            <v xml:space="preserve">NDF PC 09/06/07 (99)               </v>
          </cell>
          <cell r="E92">
            <v>1053.8499999999999</v>
          </cell>
          <cell r="F92" t="str">
            <v>D</v>
          </cell>
          <cell r="G92">
            <v>1053.8499999999999</v>
          </cell>
        </row>
        <row r="93">
          <cell r="A93">
            <v>249530</v>
          </cell>
          <cell r="B93" t="str">
            <v>2007/11</v>
          </cell>
          <cell r="C93">
            <v>471000</v>
          </cell>
          <cell r="D93" t="str">
            <v xml:space="preserve">NDF PC 09/06/07                    </v>
          </cell>
          <cell r="E93">
            <v>1693.42</v>
          </cell>
          <cell r="F93" t="str">
            <v>D</v>
          </cell>
          <cell r="G93">
            <v>1693.42</v>
          </cell>
        </row>
        <row r="94">
          <cell r="A94">
            <v>230068</v>
          </cell>
          <cell r="B94" t="str">
            <v>2007/11</v>
          </cell>
          <cell r="C94">
            <v>455000</v>
          </cell>
          <cell r="D94" t="str">
            <v xml:space="preserve">NDF PC 09/06/07                    </v>
          </cell>
          <cell r="E94">
            <v>5850.82</v>
          </cell>
          <cell r="F94" t="str">
            <v>C</v>
          </cell>
          <cell r="G94">
            <v>-5850.82</v>
          </cell>
        </row>
        <row r="95">
          <cell r="A95">
            <v>342627</v>
          </cell>
          <cell r="B95" t="str">
            <v>2007/11</v>
          </cell>
          <cell r="C95">
            <v>627000</v>
          </cell>
          <cell r="D95" t="str">
            <v xml:space="preserve">PC 09/06/07 WIRE FEE               </v>
          </cell>
          <cell r="E95">
            <v>16.5</v>
          </cell>
          <cell r="F95" t="str">
            <v>D</v>
          </cell>
          <cell r="G95">
            <v>16.5</v>
          </cell>
        </row>
        <row r="96">
          <cell r="A96">
            <v>230068</v>
          </cell>
          <cell r="B96" t="str">
            <v>2007/11</v>
          </cell>
          <cell r="C96">
            <v>455000</v>
          </cell>
          <cell r="D96" t="str">
            <v xml:space="preserve">PC 09/06/07 WIRE FEE               </v>
          </cell>
          <cell r="E96">
            <v>16.5</v>
          </cell>
          <cell r="F96" t="str">
            <v>C</v>
          </cell>
          <cell r="G96">
            <v>-16.5</v>
          </cell>
        </row>
        <row r="97">
          <cell r="A97">
            <v>249530</v>
          </cell>
          <cell r="B97" t="str">
            <v>2007/11</v>
          </cell>
          <cell r="C97">
            <v>421000</v>
          </cell>
          <cell r="D97" t="str">
            <v xml:space="preserve">PC 4/30/07 APRIL PAYROLL           </v>
          </cell>
          <cell r="E97">
            <v>3900</v>
          </cell>
          <cell r="F97" t="str">
            <v>D</v>
          </cell>
          <cell r="G97">
            <v>3900</v>
          </cell>
        </row>
        <row r="98">
          <cell r="A98">
            <v>230068</v>
          </cell>
          <cell r="B98" t="str">
            <v>2007/11</v>
          </cell>
          <cell r="C98">
            <v>455000</v>
          </cell>
          <cell r="D98" t="str">
            <v xml:space="preserve">PC 4/30/07 APRIL PAYROLL           </v>
          </cell>
          <cell r="E98">
            <v>3900</v>
          </cell>
          <cell r="F98" t="str">
            <v>C</v>
          </cell>
          <cell r="G98">
            <v>-3900</v>
          </cell>
        </row>
        <row r="99">
          <cell r="A99">
            <v>249530</v>
          </cell>
          <cell r="B99" t="str">
            <v>2007/11</v>
          </cell>
          <cell r="C99">
            <v>421000</v>
          </cell>
          <cell r="D99" t="str">
            <v xml:space="preserve">PC 5/18/07 MAY PAYROLL             </v>
          </cell>
          <cell r="E99">
            <v>7800</v>
          </cell>
          <cell r="F99" t="str">
            <v>D</v>
          </cell>
          <cell r="G99">
            <v>7800</v>
          </cell>
        </row>
        <row r="100">
          <cell r="A100">
            <v>230068</v>
          </cell>
          <cell r="B100" t="str">
            <v>2007/11</v>
          </cell>
          <cell r="C100">
            <v>455000</v>
          </cell>
          <cell r="D100" t="str">
            <v xml:space="preserve">PC 5/18/07 MAY PAYROLL             </v>
          </cell>
          <cell r="E100">
            <v>7800</v>
          </cell>
          <cell r="F100" t="str">
            <v>C</v>
          </cell>
          <cell r="G100">
            <v>-7800</v>
          </cell>
        </row>
        <row r="101">
          <cell r="A101">
            <v>361108</v>
          </cell>
          <cell r="B101" t="str">
            <v>2007/11</v>
          </cell>
          <cell r="C101">
            <v>613200</v>
          </cell>
          <cell r="D101" t="str">
            <v xml:space="preserve">PC 5/29/07 1ST M. RENT             </v>
          </cell>
          <cell r="E101">
            <v>3840</v>
          </cell>
          <cell r="F101" t="str">
            <v>D</v>
          </cell>
          <cell r="G101">
            <v>3840</v>
          </cell>
        </row>
        <row r="102">
          <cell r="A102">
            <v>230068</v>
          </cell>
          <cell r="B102" t="str">
            <v>2007/11</v>
          </cell>
          <cell r="C102">
            <v>455000</v>
          </cell>
          <cell r="D102" t="str">
            <v xml:space="preserve">PC 5/29/07 1ST M. RENT             </v>
          </cell>
          <cell r="E102">
            <v>3840</v>
          </cell>
          <cell r="F102" t="str">
            <v>C</v>
          </cell>
          <cell r="G102">
            <v>-3840</v>
          </cell>
        </row>
        <row r="103">
          <cell r="A103">
            <v>148325</v>
          </cell>
          <cell r="B103" t="str">
            <v>2007/11</v>
          </cell>
          <cell r="C103">
            <v>275100</v>
          </cell>
          <cell r="D103" t="str">
            <v xml:space="preserve">PC 5/29/07 LEASE DEPOSIT           </v>
          </cell>
          <cell r="E103">
            <v>11460</v>
          </cell>
          <cell r="F103" t="str">
            <v>D</v>
          </cell>
          <cell r="G103">
            <v>11460</v>
          </cell>
        </row>
        <row r="104">
          <cell r="A104">
            <v>230068</v>
          </cell>
          <cell r="B104" t="str">
            <v>2007/11</v>
          </cell>
          <cell r="C104">
            <v>455000</v>
          </cell>
          <cell r="D104" t="str">
            <v xml:space="preserve">PC 5/29/07 LEASE DEPOSIT           </v>
          </cell>
          <cell r="E104">
            <v>11460</v>
          </cell>
          <cell r="F104" t="str">
            <v>C</v>
          </cell>
          <cell r="G104">
            <v>-11460</v>
          </cell>
        </row>
        <row r="105">
          <cell r="A105">
            <v>361108</v>
          </cell>
          <cell r="B105" t="str">
            <v>2007/11</v>
          </cell>
          <cell r="C105">
            <v>613200</v>
          </cell>
          <cell r="D105" t="str">
            <v xml:space="preserve">PC 6/20/07 RENT JULY-NOV           </v>
          </cell>
          <cell r="E105">
            <v>19136</v>
          </cell>
          <cell r="F105" t="str">
            <v>D</v>
          </cell>
          <cell r="G105">
            <v>19136</v>
          </cell>
        </row>
        <row r="106">
          <cell r="A106">
            <v>230068</v>
          </cell>
          <cell r="B106" t="str">
            <v>2007/11</v>
          </cell>
          <cell r="C106">
            <v>455000</v>
          </cell>
          <cell r="D106" t="str">
            <v xml:space="preserve">PC 6/20/07 RENT JULY-NOV           </v>
          </cell>
          <cell r="E106">
            <v>19136</v>
          </cell>
          <cell r="F106" t="str">
            <v>C</v>
          </cell>
          <cell r="G106">
            <v>-19136</v>
          </cell>
        </row>
        <row r="107">
          <cell r="A107">
            <v>249530</v>
          </cell>
          <cell r="B107" t="str">
            <v>2007/11</v>
          </cell>
          <cell r="C107">
            <v>421000</v>
          </cell>
          <cell r="D107" t="str">
            <v xml:space="preserve">PC 6/22/07 JUNE PAYROLL            </v>
          </cell>
          <cell r="E107">
            <v>7800</v>
          </cell>
          <cell r="F107" t="str">
            <v>D</v>
          </cell>
          <cell r="G107">
            <v>7800</v>
          </cell>
        </row>
        <row r="108">
          <cell r="A108">
            <v>230068</v>
          </cell>
          <cell r="B108" t="str">
            <v>2007/11</v>
          </cell>
          <cell r="C108">
            <v>455000</v>
          </cell>
          <cell r="D108" t="str">
            <v xml:space="preserve">PC 6/22/07 JUNE PAYROLL            </v>
          </cell>
          <cell r="E108">
            <v>7800</v>
          </cell>
          <cell r="F108" t="str">
            <v>C</v>
          </cell>
          <cell r="G108">
            <v>-7800</v>
          </cell>
        </row>
        <row r="109">
          <cell r="A109">
            <v>249530</v>
          </cell>
          <cell r="B109" t="str">
            <v>2007/11</v>
          </cell>
          <cell r="C109">
            <v>421000</v>
          </cell>
          <cell r="D109" t="str">
            <v xml:space="preserve">PC 7/24/07 JULY PAYROLL            </v>
          </cell>
          <cell r="E109">
            <v>7800</v>
          </cell>
          <cell r="F109" t="str">
            <v>D</v>
          </cell>
          <cell r="G109">
            <v>7800</v>
          </cell>
        </row>
        <row r="110">
          <cell r="A110">
            <v>230068</v>
          </cell>
          <cell r="B110" t="str">
            <v>2007/11</v>
          </cell>
          <cell r="C110">
            <v>455000</v>
          </cell>
          <cell r="D110" t="str">
            <v xml:space="preserve">PC 7/24/07 JULY PAYROLL            </v>
          </cell>
          <cell r="E110">
            <v>7800</v>
          </cell>
          <cell r="F110" t="str">
            <v>C</v>
          </cell>
          <cell r="G110">
            <v>-7800</v>
          </cell>
        </row>
        <row r="111">
          <cell r="A111">
            <v>249530</v>
          </cell>
          <cell r="B111" t="str">
            <v>2007/11</v>
          </cell>
          <cell r="C111">
            <v>421000</v>
          </cell>
          <cell r="D111" t="str">
            <v xml:space="preserve">PC 8/24/07 JULY PAYROLL            </v>
          </cell>
          <cell r="E111">
            <v>7800</v>
          </cell>
          <cell r="F111" t="str">
            <v>D</v>
          </cell>
          <cell r="G111">
            <v>7800</v>
          </cell>
        </row>
        <row r="112">
          <cell r="A112">
            <v>230068</v>
          </cell>
          <cell r="B112" t="str">
            <v>2007/11</v>
          </cell>
          <cell r="C112">
            <v>455000</v>
          </cell>
          <cell r="D112" t="str">
            <v xml:space="preserve">PC 8/24/07 JULY PAYROLL            </v>
          </cell>
          <cell r="E112">
            <v>7800</v>
          </cell>
          <cell r="F112" t="str">
            <v>C</v>
          </cell>
          <cell r="G112">
            <v>-7800</v>
          </cell>
        </row>
        <row r="113">
          <cell r="A113">
            <v>342627</v>
          </cell>
          <cell r="B113" t="str">
            <v>2007/11</v>
          </cell>
          <cell r="C113">
            <v>627000</v>
          </cell>
          <cell r="D113" t="str">
            <v xml:space="preserve">PC 8/24/07 WIRE FEE                </v>
          </cell>
          <cell r="E113">
            <v>16.5</v>
          </cell>
          <cell r="F113" t="str">
            <v>D</v>
          </cell>
          <cell r="G113">
            <v>16.5</v>
          </cell>
        </row>
        <row r="114">
          <cell r="A114">
            <v>230068</v>
          </cell>
          <cell r="B114" t="str">
            <v>2007/11</v>
          </cell>
          <cell r="C114">
            <v>455000</v>
          </cell>
          <cell r="D114" t="str">
            <v xml:space="preserve">PC 8/24/07 WIRE FEE                </v>
          </cell>
          <cell r="E114">
            <v>16.5</v>
          </cell>
          <cell r="F114" t="str">
            <v>C</v>
          </cell>
          <cell r="G114">
            <v>-16.5</v>
          </cell>
        </row>
        <row r="115">
          <cell r="A115">
            <v>249530</v>
          </cell>
          <cell r="B115" t="str">
            <v>2007/11</v>
          </cell>
          <cell r="C115">
            <v>421000</v>
          </cell>
          <cell r="D115" t="str">
            <v xml:space="preserve">NR 06/26/07 JUNE PAYROLL           </v>
          </cell>
          <cell r="E115">
            <v>5525</v>
          </cell>
          <cell r="F115" t="str">
            <v>D</v>
          </cell>
          <cell r="G115">
            <v>5525</v>
          </cell>
        </row>
        <row r="116">
          <cell r="A116">
            <v>230068</v>
          </cell>
          <cell r="B116" t="str">
            <v>2007/11</v>
          </cell>
          <cell r="C116">
            <v>455000</v>
          </cell>
          <cell r="D116" t="str">
            <v xml:space="preserve">NR 06/26/07 JUNE PAYROLL           </v>
          </cell>
          <cell r="E116">
            <v>5525</v>
          </cell>
          <cell r="F116" t="str">
            <v>C</v>
          </cell>
          <cell r="G116">
            <v>-5525</v>
          </cell>
        </row>
        <row r="117">
          <cell r="A117">
            <v>249530</v>
          </cell>
          <cell r="B117" t="str">
            <v>2007/11</v>
          </cell>
          <cell r="C117">
            <v>421000</v>
          </cell>
          <cell r="D117" t="str">
            <v xml:space="preserve">NR 07/24/07 JULY PAYROLL           </v>
          </cell>
          <cell r="E117">
            <v>5525</v>
          </cell>
          <cell r="F117" t="str">
            <v>D</v>
          </cell>
          <cell r="G117">
            <v>5525</v>
          </cell>
        </row>
        <row r="118">
          <cell r="A118">
            <v>230068</v>
          </cell>
          <cell r="B118" t="str">
            <v>2007/11</v>
          </cell>
          <cell r="C118">
            <v>455000</v>
          </cell>
          <cell r="D118" t="str">
            <v xml:space="preserve">NR 07/24/07 JULY PAYROLL           </v>
          </cell>
          <cell r="E118">
            <v>5525</v>
          </cell>
          <cell r="F118" t="str">
            <v>C</v>
          </cell>
          <cell r="G118">
            <v>-5525</v>
          </cell>
        </row>
        <row r="119">
          <cell r="A119">
            <v>342627</v>
          </cell>
          <cell r="B119" t="str">
            <v>2007/11</v>
          </cell>
          <cell r="C119">
            <v>627000</v>
          </cell>
          <cell r="D119" t="str">
            <v xml:space="preserve">NR 07/24/07 WIRE FEE               </v>
          </cell>
          <cell r="E119">
            <v>42</v>
          </cell>
          <cell r="F119" t="str">
            <v>D</v>
          </cell>
          <cell r="G119">
            <v>42</v>
          </cell>
        </row>
        <row r="120">
          <cell r="A120">
            <v>230068</v>
          </cell>
          <cell r="B120" t="str">
            <v>2007/11</v>
          </cell>
          <cell r="C120">
            <v>455000</v>
          </cell>
          <cell r="D120" t="str">
            <v xml:space="preserve">NR 07/24/07 WIRE FEE               </v>
          </cell>
          <cell r="E120">
            <v>42</v>
          </cell>
          <cell r="F120" t="str">
            <v>C</v>
          </cell>
          <cell r="G120">
            <v>-42</v>
          </cell>
        </row>
        <row r="121">
          <cell r="A121">
            <v>249530</v>
          </cell>
          <cell r="B121" t="str">
            <v>2007/11</v>
          </cell>
          <cell r="C121">
            <v>421000</v>
          </cell>
          <cell r="D121" t="str">
            <v xml:space="preserve">NR 7/25/07 JUN JULY CAR A          </v>
          </cell>
          <cell r="E121">
            <v>650</v>
          </cell>
          <cell r="F121" t="str">
            <v>D</v>
          </cell>
          <cell r="G121">
            <v>650</v>
          </cell>
        </row>
        <row r="122">
          <cell r="A122">
            <v>230068</v>
          </cell>
          <cell r="B122" t="str">
            <v>2007/11</v>
          </cell>
          <cell r="C122">
            <v>455000</v>
          </cell>
          <cell r="D122" t="str">
            <v xml:space="preserve">NR 7/25/07 JUN JULY CAR A          </v>
          </cell>
          <cell r="E122">
            <v>650</v>
          </cell>
          <cell r="F122" t="str">
            <v>C</v>
          </cell>
          <cell r="G122">
            <v>-650</v>
          </cell>
        </row>
        <row r="123">
          <cell r="A123">
            <v>370500</v>
          </cell>
          <cell r="B123" t="str">
            <v>2007/11</v>
          </cell>
          <cell r="C123">
            <v>625100</v>
          </cell>
          <cell r="D123" t="str">
            <v xml:space="preserve">NR NDF 07/25/07 (40)               </v>
          </cell>
          <cell r="E123">
            <v>175.2</v>
          </cell>
          <cell r="F123" t="str">
            <v>D</v>
          </cell>
          <cell r="G123">
            <v>175.2</v>
          </cell>
        </row>
        <row r="124">
          <cell r="A124">
            <v>370500</v>
          </cell>
          <cell r="B124" t="str">
            <v>2007/11</v>
          </cell>
          <cell r="C124">
            <v>625100</v>
          </cell>
          <cell r="D124" t="str">
            <v xml:space="preserve">NR NDF 07/25/07 (60)               </v>
          </cell>
          <cell r="E124">
            <v>121.8</v>
          </cell>
          <cell r="F124" t="str">
            <v>D</v>
          </cell>
          <cell r="G124">
            <v>121.8</v>
          </cell>
        </row>
        <row r="125">
          <cell r="A125">
            <v>230068</v>
          </cell>
          <cell r="B125" t="str">
            <v>2007/11</v>
          </cell>
          <cell r="C125">
            <v>455000</v>
          </cell>
          <cell r="D125" t="str">
            <v xml:space="preserve">NR NDF 07/25/07 MAY J              </v>
          </cell>
          <cell r="E125">
            <v>297</v>
          </cell>
          <cell r="F125" t="str">
            <v>C</v>
          </cell>
          <cell r="G125">
            <v>-297</v>
          </cell>
        </row>
        <row r="126">
          <cell r="A126">
            <v>342627</v>
          </cell>
          <cell r="B126" t="str">
            <v>2007/11</v>
          </cell>
          <cell r="C126">
            <v>627000</v>
          </cell>
          <cell r="D126" t="str">
            <v xml:space="preserve">NR 07/25/07 WIRE FEE               </v>
          </cell>
          <cell r="E126">
            <v>21</v>
          </cell>
          <cell r="F126" t="str">
            <v>D</v>
          </cell>
          <cell r="G126">
            <v>21</v>
          </cell>
        </row>
        <row r="127">
          <cell r="A127">
            <v>230068</v>
          </cell>
          <cell r="B127" t="str">
            <v>2007/11</v>
          </cell>
          <cell r="C127">
            <v>455000</v>
          </cell>
          <cell r="D127" t="str">
            <v xml:space="preserve">NR 07/25/07 WIRE FEE               </v>
          </cell>
          <cell r="E127">
            <v>21</v>
          </cell>
          <cell r="F127" t="str">
            <v>C</v>
          </cell>
          <cell r="G127">
            <v>-21</v>
          </cell>
        </row>
        <row r="128">
          <cell r="A128">
            <v>249530</v>
          </cell>
          <cell r="B128" t="str">
            <v>2007/11</v>
          </cell>
          <cell r="C128">
            <v>421000</v>
          </cell>
          <cell r="D128" t="str">
            <v xml:space="preserve">NR 08/24/07 AUGUST PAYROL          </v>
          </cell>
          <cell r="E128">
            <v>5941.67</v>
          </cell>
          <cell r="F128" t="str">
            <v>D</v>
          </cell>
          <cell r="G128">
            <v>5941.67</v>
          </cell>
        </row>
        <row r="129">
          <cell r="A129">
            <v>230068</v>
          </cell>
          <cell r="B129" t="str">
            <v>2007/11</v>
          </cell>
          <cell r="C129">
            <v>455000</v>
          </cell>
          <cell r="D129" t="str">
            <v xml:space="preserve">NR 08/24/07 AUGUST PAYROL          </v>
          </cell>
          <cell r="E129">
            <v>5941.67</v>
          </cell>
          <cell r="F129" t="str">
            <v>C</v>
          </cell>
          <cell r="G129">
            <v>-5941.67</v>
          </cell>
        </row>
        <row r="130">
          <cell r="A130">
            <v>342627</v>
          </cell>
          <cell r="B130" t="str">
            <v>2007/11</v>
          </cell>
          <cell r="C130">
            <v>627000</v>
          </cell>
          <cell r="D130" t="str">
            <v xml:space="preserve">NR 08/24/07 WIRE FEE               </v>
          </cell>
          <cell r="E130">
            <v>21</v>
          </cell>
          <cell r="F130" t="str">
            <v>D</v>
          </cell>
          <cell r="G130">
            <v>21</v>
          </cell>
        </row>
        <row r="131">
          <cell r="A131">
            <v>230068</v>
          </cell>
          <cell r="B131" t="str">
            <v>2007/11</v>
          </cell>
          <cell r="C131">
            <v>455000</v>
          </cell>
          <cell r="D131" t="str">
            <v xml:space="preserve">NR 08/24/07 WIRE FEE               </v>
          </cell>
          <cell r="E131">
            <v>21</v>
          </cell>
          <cell r="F131" t="str">
            <v>C</v>
          </cell>
          <cell r="G131">
            <v>-21</v>
          </cell>
        </row>
        <row r="132">
          <cell r="A132">
            <v>370499</v>
          </cell>
          <cell r="B132" t="str">
            <v>2007/11</v>
          </cell>
          <cell r="C132">
            <v>625100</v>
          </cell>
          <cell r="D132" t="str">
            <v xml:space="preserve">NR NDF 09/06/07 (10)               </v>
          </cell>
          <cell r="E132">
            <v>111.64</v>
          </cell>
          <cell r="F132" t="str">
            <v>D</v>
          </cell>
          <cell r="G132">
            <v>111.64</v>
          </cell>
        </row>
        <row r="133">
          <cell r="A133">
            <v>370500</v>
          </cell>
          <cell r="B133" t="str">
            <v>2007/11</v>
          </cell>
          <cell r="C133">
            <v>625100</v>
          </cell>
          <cell r="D133" t="str">
            <v xml:space="preserve">NR NDF 09/06/07 (20)               </v>
          </cell>
          <cell r="E133">
            <v>752.48</v>
          </cell>
          <cell r="F133" t="str">
            <v>D</v>
          </cell>
          <cell r="G133">
            <v>752.48</v>
          </cell>
        </row>
        <row r="134">
          <cell r="A134">
            <v>370500</v>
          </cell>
          <cell r="B134" t="str">
            <v>2007/11</v>
          </cell>
          <cell r="C134">
            <v>625100</v>
          </cell>
          <cell r="D134" t="str">
            <v xml:space="preserve">NR NDF 09/06/07 (40)               </v>
          </cell>
          <cell r="E134">
            <v>807.98</v>
          </cell>
          <cell r="F134" t="str">
            <v>D</v>
          </cell>
          <cell r="G134">
            <v>807.98</v>
          </cell>
        </row>
        <row r="135">
          <cell r="A135">
            <v>341771</v>
          </cell>
          <cell r="B135" t="str">
            <v>2007/11</v>
          </cell>
          <cell r="C135">
            <v>625100</v>
          </cell>
          <cell r="D135" t="str">
            <v xml:space="preserve">NR NDF 09/06/07 (50)               </v>
          </cell>
          <cell r="E135">
            <v>34</v>
          </cell>
          <cell r="F135" t="str">
            <v>D</v>
          </cell>
          <cell r="G135">
            <v>34</v>
          </cell>
        </row>
        <row r="136">
          <cell r="A136">
            <v>341773</v>
          </cell>
          <cell r="B136" t="str">
            <v>2007/11</v>
          </cell>
          <cell r="C136">
            <v>625100</v>
          </cell>
          <cell r="D136" t="str">
            <v xml:space="preserve">NR NDF 09/06/07 (55)               </v>
          </cell>
          <cell r="E136">
            <v>267.01</v>
          </cell>
          <cell r="F136" t="str">
            <v>D</v>
          </cell>
          <cell r="G136">
            <v>267.01</v>
          </cell>
        </row>
        <row r="137">
          <cell r="A137">
            <v>370500</v>
          </cell>
          <cell r="B137" t="str">
            <v>2007/11</v>
          </cell>
          <cell r="C137">
            <v>625100</v>
          </cell>
          <cell r="D137" t="str">
            <v xml:space="preserve">NR NDF 09/06/07 (60)               </v>
          </cell>
          <cell r="E137">
            <v>303.7</v>
          </cell>
          <cell r="F137" t="str">
            <v>D</v>
          </cell>
          <cell r="G137">
            <v>303.7</v>
          </cell>
        </row>
        <row r="138">
          <cell r="A138">
            <v>370499</v>
          </cell>
          <cell r="B138" t="str">
            <v>2007/11</v>
          </cell>
          <cell r="C138">
            <v>625100</v>
          </cell>
          <cell r="D138" t="str">
            <v xml:space="preserve">NR NDF 09/06/07 (70)               </v>
          </cell>
          <cell r="E138">
            <v>120.1</v>
          </cell>
          <cell r="F138" t="str">
            <v>D</v>
          </cell>
          <cell r="G138">
            <v>120.1</v>
          </cell>
        </row>
        <row r="139">
          <cell r="A139">
            <v>370499</v>
          </cell>
          <cell r="B139" t="str">
            <v>2007/11</v>
          </cell>
          <cell r="C139">
            <v>625100</v>
          </cell>
          <cell r="D139" t="str">
            <v xml:space="preserve">NR NDF 09/06/07 (99)               </v>
          </cell>
          <cell r="E139">
            <v>77</v>
          </cell>
          <cell r="F139" t="str">
            <v>D</v>
          </cell>
          <cell r="G139">
            <v>77</v>
          </cell>
        </row>
        <row r="140">
          <cell r="A140">
            <v>230068</v>
          </cell>
          <cell r="B140" t="str">
            <v>2007/11</v>
          </cell>
          <cell r="C140">
            <v>455000</v>
          </cell>
          <cell r="D140" t="str">
            <v xml:space="preserve">NR NDF 09/06/07 EXP                </v>
          </cell>
          <cell r="E140">
            <v>2473.91</v>
          </cell>
          <cell r="F140" t="str">
            <v>C</v>
          </cell>
          <cell r="G140">
            <v>-2473.91</v>
          </cell>
        </row>
        <row r="141">
          <cell r="A141">
            <v>342627</v>
          </cell>
          <cell r="B141" t="str">
            <v>2007/11</v>
          </cell>
          <cell r="C141">
            <v>627000</v>
          </cell>
          <cell r="D141" t="str">
            <v xml:space="preserve">NR 09/06/07 WIRE FEE               </v>
          </cell>
          <cell r="E141">
            <v>21</v>
          </cell>
          <cell r="F141" t="str">
            <v>D</v>
          </cell>
          <cell r="G141">
            <v>21</v>
          </cell>
        </row>
        <row r="142">
          <cell r="A142">
            <v>230068</v>
          </cell>
          <cell r="B142" t="str">
            <v>2007/11</v>
          </cell>
          <cell r="C142">
            <v>455000</v>
          </cell>
          <cell r="D142" t="str">
            <v xml:space="preserve">NR 09/06/07 WIRE FEE               </v>
          </cell>
          <cell r="E142">
            <v>21</v>
          </cell>
          <cell r="F142" t="str">
            <v>C</v>
          </cell>
          <cell r="G142">
            <v>-21</v>
          </cell>
        </row>
        <row r="143">
          <cell r="A143">
            <v>342437</v>
          </cell>
          <cell r="B143" t="str">
            <v>2007/11</v>
          </cell>
          <cell r="C143">
            <v>622602</v>
          </cell>
          <cell r="D143" t="str">
            <v xml:space="preserve">FISCHER 0109472                    </v>
          </cell>
          <cell r="E143">
            <v>4396</v>
          </cell>
          <cell r="F143" t="str">
            <v>D</v>
          </cell>
          <cell r="G143">
            <v>4396</v>
          </cell>
        </row>
        <row r="144">
          <cell r="A144">
            <v>342437</v>
          </cell>
          <cell r="B144" t="str">
            <v>2007/11</v>
          </cell>
          <cell r="C144">
            <v>622602</v>
          </cell>
          <cell r="D144" t="str">
            <v xml:space="preserve">FISCHER 0109473                    </v>
          </cell>
          <cell r="E144">
            <v>2462</v>
          </cell>
          <cell r="F144" t="str">
            <v>D</v>
          </cell>
          <cell r="G144">
            <v>2462</v>
          </cell>
        </row>
        <row r="145">
          <cell r="A145">
            <v>342438</v>
          </cell>
          <cell r="B145" t="str">
            <v>2007/11</v>
          </cell>
          <cell r="C145">
            <v>601100</v>
          </cell>
          <cell r="D145" t="str">
            <v xml:space="preserve">FISCHER 0109473 KADEO              </v>
          </cell>
          <cell r="E145">
            <v>15</v>
          </cell>
          <cell r="F145" t="str">
            <v>D</v>
          </cell>
          <cell r="G145">
            <v>15</v>
          </cell>
        </row>
        <row r="146">
          <cell r="A146">
            <v>342437</v>
          </cell>
          <cell r="B146" t="str">
            <v>2007/11</v>
          </cell>
          <cell r="C146">
            <v>622602</v>
          </cell>
          <cell r="D146" t="str">
            <v xml:space="preserve">FISCHER 0109620                    </v>
          </cell>
          <cell r="E146">
            <v>25734</v>
          </cell>
          <cell r="F146" t="str">
            <v>D</v>
          </cell>
          <cell r="G146">
            <v>25734</v>
          </cell>
        </row>
        <row r="147">
          <cell r="A147">
            <v>342438</v>
          </cell>
          <cell r="B147" t="str">
            <v>2007/11</v>
          </cell>
          <cell r="C147">
            <v>622700</v>
          </cell>
          <cell r="D147" t="str">
            <v xml:space="preserve">FISCHER 0109620 INFOGREFF          </v>
          </cell>
          <cell r="E147">
            <v>9.1999999999999993</v>
          </cell>
          <cell r="F147" t="str">
            <v>D</v>
          </cell>
          <cell r="G147">
            <v>9.1999999999999993</v>
          </cell>
        </row>
        <row r="148">
          <cell r="A148">
            <v>342437</v>
          </cell>
          <cell r="B148" t="str">
            <v>2007/11</v>
          </cell>
          <cell r="C148">
            <v>622602</v>
          </cell>
          <cell r="D148" t="str">
            <v xml:space="preserve">FISCHER 0109621                    </v>
          </cell>
          <cell r="E148">
            <v>3280</v>
          </cell>
          <cell r="F148" t="str">
            <v>D</v>
          </cell>
          <cell r="G148">
            <v>3280</v>
          </cell>
        </row>
        <row r="149">
          <cell r="A149">
            <v>342437</v>
          </cell>
          <cell r="B149" t="str">
            <v>2007/11</v>
          </cell>
          <cell r="C149">
            <v>622602</v>
          </cell>
          <cell r="D149" t="str">
            <v xml:space="preserve">FISCHER 0109624                    </v>
          </cell>
          <cell r="E149">
            <v>1500</v>
          </cell>
          <cell r="F149" t="str">
            <v>D</v>
          </cell>
          <cell r="G149">
            <v>1500</v>
          </cell>
        </row>
        <row r="150">
          <cell r="A150">
            <v>342437</v>
          </cell>
          <cell r="B150" t="str">
            <v>2007/11</v>
          </cell>
          <cell r="C150">
            <v>622602</v>
          </cell>
          <cell r="D150" t="str">
            <v xml:space="preserve">FISCHER 0109625                    </v>
          </cell>
          <cell r="E150">
            <v>3154</v>
          </cell>
          <cell r="F150" t="str">
            <v>D</v>
          </cell>
          <cell r="G150">
            <v>3154</v>
          </cell>
        </row>
        <row r="151">
          <cell r="A151">
            <v>342437</v>
          </cell>
          <cell r="B151" t="str">
            <v>2007/11</v>
          </cell>
          <cell r="C151">
            <v>622602</v>
          </cell>
          <cell r="D151" t="str">
            <v xml:space="preserve">FISCHER 0109641                    </v>
          </cell>
          <cell r="E151">
            <v>3134</v>
          </cell>
          <cell r="F151" t="str">
            <v>D</v>
          </cell>
          <cell r="G151">
            <v>3134</v>
          </cell>
        </row>
        <row r="152">
          <cell r="A152">
            <v>342437</v>
          </cell>
          <cell r="B152" t="str">
            <v>2007/11</v>
          </cell>
          <cell r="C152">
            <v>622602</v>
          </cell>
          <cell r="D152" t="str">
            <v xml:space="preserve">FISCHER 0109642                    </v>
          </cell>
          <cell r="E152">
            <v>1074</v>
          </cell>
          <cell r="F152" t="str">
            <v>D</v>
          </cell>
          <cell r="G152">
            <v>1074</v>
          </cell>
        </row>
        <row r="153">
          <cell r="A153">
            <v>342437</v>
          </cell>
          <cell r="B153" t="str">
            <v>2007/11</v>
          </cell>
          <cell r="C153">
            <v>622602</v>
          </cell>
          <cell r="D153" t="str">
            <v xml:space="preserve">FISCHER 0109757                    </v>
          </cell>
          <cell r="E153">
            <v>7964.38</v>
          </cell>
          <cell r="F153" t="str">
            <v>D</v>
          </cell>
          <cell r="G153">
            <v>7964.38</v>
          </cell>
        </row>
        <row r="154">
          <cell r="A154">
            <v>342437</v>
          </cell>
          <cell r="B154" t="str">
            <v>2007/11</v>
          </cell>
          <cell r="C154">
            <v>622602</v>
          </cell>
          <cell r="D154" t="str">
            <v xml:space="preserve">FISCHER 0109775                    </v>
          </cell>
          <cell r="E154">
            <v>2492</v>
          </cell>
          <cell r="F154" t="str">
            <v>D</v>
          </cell>
          <cell r="G154">
            <v>2492</v>
          </cell>
        </row>
        <row r="155">
          <cell r="A155">
            <v>342437</v>
          </cell>
          <cell r="B155" t="str">
            <v>2007/11</v>
          </cell>
          <cell r="C155">
            <v>622602</v>
          </cell>
          <cell r="D155" t="str">
            <v xml:space="preserve">FISCHER 0109779                    </v>
          </cell>
          <cell r="E155">
            <v>4218</v>
          </cell>
          <cell r="F155" t="str">
            <v>D</v>
          </cell>
          <cell r="G155">
            <v>4218</v>
          </cell>
        </row>
        <row r="156">
          <cell r="A156">
            <v>342437</v>
          </cell>
          <cell r="B156" t="str">
            <v>2007/11</v>
          </cell>
          <cell r="C156">
            <v>622602</v>
          </cell>
          <cell r="D156" t="str">
            <v xml:space="preserve">FISCHER 0109784                    </v>
          </cell>
          <cell r="E156">
            <v>750</v>
          </cell>
          <cell r="F156" t="str">
            <v>D</v>
          </cell>
          <cell r="G156">
            <v>750</v>
          </cell>
        </row>
        <row r="157">
          <cell r="A157">
            <v>342437</v>
          </cell>
          <cell r="B157" t="str">
            <v>2007/11</v>
          </cell>
          <cell r="C157">
            <v>622602</v>
          </cell>
          <cell r="D157" t="str">
            <v xml:space="preserve">FISCHER 0109811                    </v>
          </cell>
          <cell r="E157">
            <v>750</v>
          </cell>
          <cell r="F157" t="str">
            <v>D</v>
          </cell>
          <cell r="G157">
            <v>750</v>
          </cell>
        </row>
        <row r="158">
          <cell r="A158">
            <v>342437</v>
          </cell>
          <cell r="B158" t="str">
            <v>2007/11</v>
          </cell>
          <cell r="C158">
            <v>622602</v>
          </cell>
          <cell r="D158" t="str">
            <v xml:space="preserve">FISCHER 0109818                    </v>
          </cell>
          <cell r="E158">
            <v>2466</v>
          </cell>
          <cell r="F158" t="str">
            <v>D</v>
          </cell>
          <cell r="G158">
            <v>2466</v>
          </cell>
        </row>
        <row r="159">
          <cell r="A159">
            <v>342437</v>
          </cell>
          <cell r="B159" t="str">
            <v>2007/11</v>
          </cell>
          <cell r="C159">
            <v>622602</v>
          </cell>
          <cell r="D159" t="str">
            <v xml:space="preserve">FISCHER 0109825                    </v>
          </cell>
          <cell r="E159">
            <v>9808</v>
          </cell>
          <cell r="F159" t="str">
            <v>D</v>
          </cell>
          <cell r="G159">
            <v>9808</v>
          </cell>
        </row>
        <row r="160">
          <cell r="A160">
            <v>342438</v>
          </cell>
          <cell r="B160" t="str">
            <v>2007/11</v>
          </cell>
          <cell r="C160">
            <v>622700</v>
          </cell>
          <cell r="D160" t="str">
            <v xml:space="preserve">FISCHER 0109825 INFOGREF           </v>
          </cell>
          <cell r="E160">
            <v>29.34</v>
          </cell>
          <cell r="F160" t="str">
            <v>D</v>
          </cell>
          <cell r="G160">
            <v>29.34</v>
          </cell>
        </row>
        <row r="161">
          <cell r="A161">
            <v>342437</v>
          </cell>
          <cell r="B161" t="str">
            <v>2007/11</v>
          </cell>
          <cell r="C161">
            <v>622602</v>
          </cell>
          <cell r="D161" t="str">
            <v xml:space="preserve">FISCHER 0109826                    </v>
          </cell>
          <cell r="E161">
            <v>4404</v>
          </cell>
          <cell r="F161" t="str">
            <v>D</v>
          </cell>
          <cell r="G161">
            <v>4404</v>
          </cell>
        </row>
        <row r="162">
          <cell r="A162">
            <v>230068</v>
          </cell>
          <cell r="B162" t="str">
            <v>2007/11</v>
          </cell>
          <cell r="C162">
            <v>455000</v>
          </cell>
          <cell r="D162" t="str">
            <v xml:space="preserve">FISCHER LEGAL ARBRITRATIO          </v>
          </cell>
          <cell r="E162">
            <v>77639.92</v>
          </cell>
          <cell r="F162" t="str">
            <v>C</v>
          </cell>
          <cell r="G162">
            <v>-77639.92</v>
          </cell>
        </row>
        <row r="163">
          <cell r="A163">
            <v>342437</v>
          </cell>
          <cell r="B163" t="str">
            <v>2007/11</v>
          </cell>
          <cell r="C163">
            <v>622602</v>
          </cell>
          <cell r="D163" t="str">
            <v xml:space="preserve">HELFENBERGER 7072002               </v>
          </cell>
          <cell r="E163">
            <v>450</v>
          </cell>
          <cell r="F163" t="str">
            <v>D</v>
          </cell>
          <cell r="G163">
            <v>450</v>
          </cell>
        </row>
        <row r="164">
          <cell r="A164">
            <v>230068</v>
          </cell>
          <cell r="B164" t="str">
            <v>2007/11</v>
          </cell>
          <cell r="C164">
            <v>455000</v>
          </cell>
          <cell r="D164" t="str">
            <v xml:space="preserve">HELFENBERGER 7072002               </v>
          </cell>
          <cell r="E164">
            <v>450</v>
          </cell>
          <cell r="F164" t="str">
            <v>C</v>
          </cell>
          <cell r="G164">
            <v>-450</v>
          </cell>
        </row>
        <row r="165">
          <cell r="A165">
            <v>370499</v>
          </cell>
          <cell r="B165" t="str">
            <v>2007/11</v>
          </cell>
          <cell r="C165">
            <v>625100</v>
          </cell>
          <cell r="D165" t="str">
            <v xml:space="preserve">NDF PC 09/06/07 (10)               </v>
          </cell>
          <cell r="E165">
            <v>20.399999999999999</v>
          </cell>
          <cell r="F165" t="str">
            <v>D</v>
          </cell>
          <cell r="G165">
            <v>20.399999999999999</v>
          </cell>
        </row>
        <row r="166">
          <cell r="A166">
            <v>370500</v>
          </cell>
          <cell r="B166" t="str">
            <v>2007/11</v>
          </cell>
          <cell r="C166">
            <v>625100</v>
          </cell>
          <cell r="D166" t="str">
            <v xml:space="preserve">NDF PC 09/06/07 (20)               </v>
          </cell>
          <cell r="E166">
            <v>141.65</v>
          </cell>
          <cell r="F166" t="str">
            <v>D</v>
          </cell>
          <cell r="G166">
            <v>141.65</v>
          </cell>
        </row>
        <row r="167">
          <cell r="A167">
            <v>370500</v>
          </cell>
          <cell r="B167" t="str">
            <v>2007/11</v>
          </cell>
          <cell r="C167">
            <v>625100</v>
          </cell>
          <cell r="D167" t="str">
            <v xml:space="preserve">NDF PC 09/06/07 (40)               </v>
          </cell>
          <cell r="E167">
            <v>254.5</v>
          </cell>
          <cell r="F167" t="str">
            <v>D</v>
          </cell>
          <cell r="G167">
            <v>254.5</v>
          </cell>
        </row>
        <row r="168">
          <cell r="A168">
            <v>341771</v>
          </cell>
          <cell r="B168" t="str">
            <v>2007/11</v>
          </cell>
          <cell r="C168">
            <v>625100</v>
          </cell>
          <cell r="D168" t="str">
            <v xml:space="preserve">NDF PC 09/06/07 (50)               </v>
          </cell>
          <cell r="E168">
            <v>331.67</v>
          </cell>
          <cell r="F168" t="str">
            <v>D</v>
          </cell>
          <cell r="G168">
            <v>331.67</v>
          </cell>
        </row>
        <row r="169">
          <cell r="A169">
            <v>370500</v>
          </cell>
          <cell r="B169" t="str">
            <v>2007/11</v>
          </cell>
          <cell r="C169">
            <v>625100</v>
          </cell>
          <cell r="D169" t="str">
            <v xml:space="preserve">NDF PC 09/06/07 (55)               </v>
          </cell>
          <cell r="E169">
            <v>42.8</v>
          </cell>
          <cell r="F169" t="str">
            <v>D</v>
          </cell>
          <cell r="G169">
            <v>42.8</v>
          </cell>
        </row>
        <row r="170">
          <cell r="A170">
            <v>370500</v>
          </cell>
          <cell r="B170" t="str">
            <v>2007/11</v>
          </cell>
          <cell r="C170">
            <v>625100</v>
          </cell>
          <cell r="D170" t="str">
            <v xml:space="preserve">NDF PC 09/06/07 (60)               </v>
          </cell>
          <cell r="E170">
            <v>65.900000000000006</v>
          </cell>
          <cell r="F170" t="str">
            <v>D</v>
          </cell>
          <cell r="G170">
            <v>65.900000000000006</v>
          </cell>
        </row>
        <row r="171">
          <cell r="A171">
            <v>370499</v>
          </cell>
          <cell r="B171" t="str">
            <v>2007/11</v>
          </cell>
          <cell r="C171">
            <v>625100</v>
          </cell>
          <cell r="D171" t="str">
            <v xml:space="preserve">NDF PC 09/06/07 (70)               </v>
          </cell>
          <cell r="E171">
            <v>216</v>
          </cell>
          <cell r="F171" t="str">
            <v>D</v>
          </cell>
          <cell r="G171">
            <v>216</v>
          </cell>
        </row>
        <row r="172">
          <cell r="A172">
            <v>370499</v>
          </cell>
          <cell r="B172" t="str">
            <v>2007/11</v>
          </cell>
          <cell r="C172">
            <v>625100</v>
          </cell>
          <cell r="D172" t="str">
            <v xml:space="preserve">NDF PC 09/06/07 (99)               </v>
          </cell>
          <cell r="E172">
            <v>228.72</v>
          </cell>
          <cell r="F172" t="str">
            <v>D</v>
          </cell>
          <cell r="G172">
            <v>228.72</v>
          </cell>
        </row>
        <row r="173">
          <cell r="A173">
            <v>341773</v>
          </cell>
          <cell r="B173" t="str">
            <v>2007/11</v>
          </cell>
          <cell r="C173">
            <v>625100</v>
          </cell>
          <cell r="D173" t="str">
            <v xml:space="preserve">NDF PC 09/06/07 (55)               </v>
          </cell>
          <cell r="E173">
            <v>129.63</v>
          </cell>
          <cell r="F173" t="str">
            <v>D</v>
          </cell>
          <cell r="G173">
            <v>129.63</v>
          </cell>
        </row>
        <row r="174">
          <cell r="A174">
            <v>370500</v>
          </cell>
          <cell r="B174" t="str">
            <v>2007/11</v>
          </cell>
          <cell r="C174">
            <v>625100</v>
          </cell>
          <cell r="D174" t="str">
            <v xml:space="preserve">NDF PC 09/06/07 (60)               </v>
          </cell>
          <cell r="E174">
            <v>27.1</v>
          </cell>
          <cell r="F174" t="str">
            <v>D</v>
          </cell>
          <cell r="G174">
            <v>27.1</v>
          </cell>
        </row>
        <row r="175">
          <cell r="A175">
            <v>370499</v>
          </cell>
          <cell r="B175" t="str">
            <v>2007/11</v>
          </cell>
          <cell r="C175">
            <v>625100</v>
          </cell>
          <cell r="D175" t="str">
            <v xml:space="preserve">NDF PC 09/06/07 (70)               </v>
          </cell>
          <cell r="E175">
            <v>145</v>
          </cell>
          <cell r="F175" t="str">
            <v>D</v>
          </cell>
          <cell r="G175">
            <v>145</v>
          </cell>
        </row>
        <row r="176">
          <cell r="A176">
            <v>370499</v>
          </cell>
          <cell r="B176" t="str">
            <v>2007/11</v>
          </cell>
          <cell r="C176">
            <v>625100</v>
          </cell>
          <cell r="D176" t="str">
            <v xml:space="preserve">NDF PC 09/06/07 (99)               </v>
          </cell>
          <cell r="E176">
            <v>36.25</v>
          </cell>
          <cell r="F176" t="str">
            <v>D</v>
          </cell>
          <cell r="G176">
            <v>36.25</v>
          </cell>
        </row>
        <row r="177">
          <cell r="A177">
            <v>370500</v>
          </cell>
          <cell r="B177" t="str">
            <v>2007/11</v>
          </cell>
          <cell r="C177">
            <v>625100</v>
          </cell>
          <cell r="D177" t="str">
            <v xml:space="preserve">NDF PC 09/06/07 (60)               </v>
          </cell>
          <cell r="E177">
            <v>53.8</v>
          </cell>
          <cell r="F177" t="str">
            <v>D</v>
          </cell>
          <cell r="G177">
            <v>53.8</v>
          </cell>
        </row>
        <row r="178">
          <cell r="A178">
            <v>249530</v>
          </cell>
          <cell r="B178" t="str">
            <v>2007/11</v>
          </cell>
          <cell r="C178">
            <v>471000</v>
          </cell>
          <cell r="D178" t="str">
            <v xml:space="preserve">NDF PC 09/06/07                    </v>
          </cell>
          <cell r="E178">
            <v>1693.42</v>
          </cell>
          <cell r="F178" t="str">
            <v>C</v>
          </cell>
          <cell r="G178">
            <v>-1693.42</v>
          </cell>
        </row>
        <row r="179">
          <cell r="A179">
            <v>249530</v>
          </cell>
          <cell r="B179" t="str">
            <v>2007/11</v>
          </cell>
          <cell r="C179">
            <v>421000</v>
          </cell>
          <cell r="D179" t="str">
            <v xml:space="preserve">NR SALAIRE SEPT 07                 </v>
          </cell>
          <cell r="E179">
            <v>5941.67</v>
          </cell>
          <cell r="F179" t="str">
            <v>D</v>
          </cell>
          <cell r="G179">
            <v>5941.67</v>
          </cell>
        </row>
        <row r="180">
          <cell r="A180">
            <v>249530</v>
          </cell>
          <cell r="B180" t="str">
            <v>2007/11</v>
          </cell>
          <cell r="C180">
            <v>421000</v>
          </cell>
          <cell r="D180" t="str">
            <v xml:space="preserve">NR SALAIRE SEPT 07                 </v>
          </cell>
          <cell r="E180">
            <v>7800</v>
          </cell>
          <cell r="F180" t="str">
            <v>D</v>
          </cell>
          <cell r="G180">
            <v>7800</v>
          </cell>
        </row>
        <row r="181">
          <cell r="A181">
            <v>342627</v>
          </cell>
          <cell r="B181" t="str">
            <v>2007/11</v>
          </cell>
          <cell r="C181">
            <v>627000</v>
          </cell>
          <cell r="D181" t="str">
            <v xml:space="preserve">FRAIS SUR VIREMENT SALAIR          </v>
          </cell>
          <cell r="E181">
            <v>37.5</v>
          </cell>
          <cell r="F181" t="str">
            <v>D</v>
          </cell>
          <cell r="G181">
            <v>37.5</v>
          </cell>
        </row>
        <row r="182">
          <cell r="A182">
            <v>230068</v>
          </cell>
          <cell r="B182" t="str">
            <v>2007/11</v>
          </cell>
          <cell r="C182">
            <v>455001</v>
          </cell>
          <cell r="D182" t="str">
            <v xml:space="preserve">SALAIRES NR PC SEPT 07             </v>
          </cell>
          <cell r="E182">
            <v>13779.17</v>
          </cell>
          <cell r="F182" t="str">
            <v>C</v>
          </cell>
          <cell r="G182">
            <v>-13779.17</v>
          </cell>
        </row>
        <row r="183">
          <cell r="A183">
            <v>249530</v>
          </cell>
          <cell r="B183" t="str">
            <v>2007/11</v>
          </cell>
          <cell r="C183">
            <v>421000</v>
          </cell>
          <cell r="D183" t="str">
            <v xml:space="preserve">NR PAYROLL 11/20/07                </v>
          </cell>
          <cell r="E183">
            <v>5941.67</v>
          </cell>
          <cell r="F183" t="str">
            <v>D</v>
          </cell>
          <cell r="G183">
            <v>5941.67</v>
          </cell>
        </row>
        <row r="184">
          <cell r="A184">
            <v>230068</v>
          </cell>
          <cell r="B184" t="str">
            <v>2007/11</v>
          </cell>
          <cell r="C184">
            <v>455002</v>
          </cell>
          <cell r="D184" t="str">
            <v xml:space="preserve">NR PAYROLL 11/20/07                </v>
          </cell>
          <cell r="E184">
            <v>5962.67</v>
          </cell>
          <cell r="F184" t="str">
            <v>C</v>
          </cell>
          <cell r="G184">
            <v>-5962.67</v>
          </cell>
        </row>
        <row r="185">
          <cell r="A185">
            <v>249530</v>
          </cell>
          <cell r="B185" t="str">
            <v>2007/11</v>
          </cell>
          <cell r="C185">
            <v>421000</v>
          </cell>
          <cell r="D185" t="str">
            <v xml:space="preserve">NR PAYROLL 10/24/07                </v>
          </cell>
          <cell r="E185">
            <v>5941.67</v>
          </cell>
          <cell r="F185" t="str">
            <v>D</v>
          </cell>
          <cell r="G185">
            <v>5941.67</v>
          </cell>
        </row>
        <row r="186">
          <cell r="A186">
            <v>230068</v>
          </cell>
          <cell r="B186" t="str">
            <v>2007/11</v>
          </cell>
          <cell r="C186">
            <v>455002</v>
          </cell>
          <cell r="D186" t="str">
            <v xml:space="preserve">NR PAYROLL 10/24/07                </v>
          </cell>
          <cell r="E186">
            <v>5962.67</v>
          </cell>
          <cell r="F186" t="str">
            <v>C</v>
          </cell>
          <cell r="G186">
            <v>-5962.67</v>
          </cell>
        </row>
        <row r="187">
          <cell r="A187">
            <v>342627</v>
          </cell>
          <cell r="B187" t="str">
            <v>2007/11</v>
          </cell>
          <cell r="C187">
            <v>627000</v>
          </cell>
          <cell r="D187" t="str">
            <v xml:space="preserve">NR PAYROLL 10&amp;10/07                </v>
          </cell>
          <cell r="E187">
            <v>42</v>
          </cell>
          <cell r="F187" t="str">
            <v>D</v>
          </cell>
          <cell r="G187">
            <v>42</v>
          </cell>
        </row>
        <row r="188">
          <cell r="A188">
            <v>249530</v>
          </cell>
          <cell r="B188" t="str">
            <v>2007/11</v>
          </cell>
          <cell r="C188">
            <v>421000</v>
          </cell>
          <cell r="D188" t="str">
            <v xml:space="preserve">PC PAYROLL                         </v>
          </cell>
          <cell r="E188">
            <v>15600</v>
          </cell>
          <cell r="F188" t="str">
            <v>D</v>
          </cell>
          <cell r="G188">
            <v>15600</v>
          </cell>
        </row>
        <row r="189">
          <cell r="A189">
            <v>230068</v>
          </cell>
          <cell r="B189" t="str">
            <v>2007/11</v>
          </cell>
          <cell r="C189">
            <v>455002</v>
          </cell>
          <cell r="D189" t="str">
            <v xml:space="preserve">PC PAYROLL                         </v>
          </cell>
          <cell r="E189">
            <v>15600</v>
          </cell>
          <cell r="F189" t="str">
            <v>C</v>
          </cell>
          <cell r="G189">
            <v>-15600</v>
          </cell>
        </row>
        <row r="190">
          <cell r="A190">
            <v>381980</v>
          </cell>
          <cell r="B190" t="str">
            <v>2007/11</v>
          </cell>
          <cell r="C190">
            <v>658000</v>
          </cell>
          <cell r="D190" t="str">
            <v xml:space="preserve">ECART PAYROLL                      </v>
          </cell>
          <cell r="E190">
            <v>0.51</v>
          </cell>
          <cell r="F190" t="str">
            <v>D</v>
          </cell>
          <cell r="G190">
            <v>0.51</v>
          </cell>
        </row>
        <row r="191">
          <cell r="A191">
            <v>249530</v>
          </cell>
          <cell r="B191" t="str">
            <v>2007/11</v>
          </cell>
          <cell r="C191">
            <v>421000</v>
          </cell>
          <cell r="D191" t="str">
            <v xml:space="preserve">ECART PAYROLL                      </v>
          </cell>
          <cell r="E191">
            <v>0.51</v>
          </cell>
          <cell r="F191" t="str">
            <v>C</v>
          </cell>
          <cell r="G191">
            <v>-0.51</v>
          </cell>
        </row>
        <row r="192">
          <cell r="A192">
            <v>370499</v>
          </cell>
          <cell r="B192" t="str">
            <v>2007/11</v>
          </cell>
          <cell r="C192">
            <v>625100</v>
          </cell>
          <cell r="D192" t="str">
            <v xml:space="preserve">NDF NR 11/28/07 (10)               </v>
          </cell>
          <cell r="E192">
            <v>78.099999999999994</v>
          </cell>
          <cell r="F192" t="str">
            <v>D</v>
          </cell>
          <cell r="G192">
            <v>78.099999999999994</v>
          </cell>
        </row>
        <row r="193">
          <cell r="A193">
            <v>341771</v>
          </cell>
          <cell r="B193" t="str">
            <v>2007/11</v>
          </cell>
          <cell r="C193">
            <v>625100</v>
          </cell>
          <cell r="D193" t="str">
            <v xml:space="preserve">NDF NR 11/28/07 (50)               </v>
          </cell>
          <cell r="E193">
            <v>78.63</v>
          </cell>
          <cell r="F193" t="str">
            <v>D</v>
          </cell>
          <cell r="G193">
            <v>78.63</v>
          </cell>
        </row>
        <row r="194">
          <cell r="A194">
            <v>370500</v>
          </cell>
          <cell r="B194" t="str">
            <v>2007/11</v>
          </cell>
          <cell r="C194">
            <v>625100</v>
          </cell>
          <cell r="D194" t="str">
            <v xml:space="preserve">NDF NR 11/28/07 (60)               </v>
          </cell>
          <cell r="E194">
            <v>150.15</v>
          </cell>
          <cell r="F194" t="str">
            <v>D</v>
          </cell>
          <cell r="G194">
            <v>150.15</v>
          </cell>
        </row>
        <row r="195">
          <cell r="A195">
            <v>370499</v>
          </cell>
          <cell r="B195" t="str">
            <v>2007/11</v>
          </cell>
          <cell r="C195">
            <v>625100</v>
          </cell>
          <cell r="D195" t="str">
            <v xml:space="preserve">NDF NR 11/28/07 (10)               </v>
          </cell>
          <cell r="E195">
            <v>3.3</v>
          </cell>
          <cell r="F195" t="str">
            <v>D</v>
          </cell>
          <cell r="G195">
            <v>3.3</v>
          </cell>
        </row>
        <row r="196">
          <cell r="A196">
            <v>341773</v>
          </cell>
          <cell r="B196" t="str">
            <v>2007/11</v>
          </cell>
          <cell r="C196">
            <v>625100</v>
          </cell>
          <cell r="D196" t="str">
            <v xml:space="preserve">NDF NR 11/28/07 (55)               </v>
          </cell>
          <cell r="E196">
            <v>487.7</v>
          </cell>
          <cell r="F196" t="str">
            <v>D</v>
          </cell>
          <cell r="G196">
            <v>487.7</v>
          </cell>
        </row>
        <row r="197">
          <cell r="A197">
            <v>370500</v>
          </cell>
          <cell r="B197" t="str">
            <v>2007/11</v>
          </cell>
          <cell r="C197">
            <v>625100</v>
          </cell>
          <cell r="D197" t="str">
            <v xml:space="preserve">NDF NR 11/28/07 (60)               </v>
          </cell>
          <cell r="E197">
            <v>167</v>
          </cell>
          <cell r="F197" t="str">
            <v>D</v>
          </cell>
          <cell r="G197">
            <v>167</v>
          </cell>
        </row>
        <row r="198">
          <cell r="A198">
            <v>370499</v>
          </cell>
          <cell r="B198" t="str">
            <v>2007/11</v>
          </cell>
          <cell r="C198">
            <v>625100</v>
          </cell>
          <cell r="D198" t="str">
            <v xml:space="preserve">NDF NR 11/28/07 (99)               </v>
          </cell>
          <cell r="E198">
            <v>382</v>
          </cell>
          <cell r="F198" t="str">
            <v>D</v>
          </cell>
          <cell r="G198">
            <v>382</v>
          </cell>
        </row>
        <row r="199">
          <cell r="A199">
            <v>370499</v>
          </cell>
          <cell r="B199" t="str">
            <v>2007/11</v>
          </cell>
          <cell r="C199">
            <v>625100</v>
          </cell>
          <cell r="D199" t="str">
            <v xml:space="preserve">NDF NR 11/28/07 (10)               </v>
          </cell>
          <cell r="E199">
            <v>21.85</v>
          </cell>
          <cell r="F199" t="str">
            <v>D</v>
          </cell>
          <cell r="G199">
            <v>21.85</v>
          </cell>
        </row>
        <row r="200">
          <cell r="A200">
            <v>370500</v>
          </cell>
          <cell r="B200" t="str">
            <v>2007/11</v>
          </cell>
          <cell r="C200">
            <v>625100</v>
          </cell>
          <cell r="D200" t="str">
            <v xml:space="preserve">NDF NR 11/28/07 (40)               </v>
          </cell>
          <cell r="E200">
            <v>296.91000000000003</v>
          </cell>
          <cell r="F200" t="str">
            <v>D</v>
          </cell>
          <cell r="G200">
            <v>296.91000000000003</v>
          </cell>
        </row>
        <row r="201">
          <cell r="A201">
            <v>341771</v>
          </cell>
          <cell r="B201" t="str">
            <v>2007/11</v>
          </cell>
          <cell r="C201">
            <v>625100</v>
          </cell>
          <cell r="D201" t="str">
            <v xml:space="preserve">NDF NR 11/28/07 (50)               </v>
          </cell>
          <cell r="E201">
            <v>72.83</v>
          </cell>
          <cell r="F201" t="str">
            <v>D</v>
          </cell>
          <cell r="G201">
            <v>72.83</v>
          </cell>
        </row>
        <row r="202">
          <cell r="A202">
            <v>370500</v>
          </cell>
          <cell r="B202" t="str">
            <v>2007/11</v>
          </cell>
          <cell r="C202">
            <v>625100</v>
          </cell>
          <cell r="D202" t="str">
            <v xml:space="preserve">NDF NR 11/28/07 (60)               </v>
          </cell>
          <cell r="E202">
            <v>196.2</v>
          </cell>
          <cell r="F202" t="str">
            <v>D</v>
          </cell>
          <cell r="G202">
            <v>196.2</v>
          </cell>
        </row>
        <row r="203">
          <cell r="A203">
            <v>370499</v>
          </cell>
          <cell r="B203" t="str">
            <v>2007/11</v>
          </cell>
          <cell r="C203">
            <v>625100</v>
          </cell>
          <cell r="D203" t="str">
            <v xml:space="preserve">NDF NR 11/28/07 (99)               </v>
          </cell>
          <cell r="E203">
            <v>65.349999999999994</v>
          </cell>
          <cell r="F203" t="str">
            <v>D</v>
          </cell>
          <cell r="G203">
            <v>65.349999999999994</v>
          </cell>
        </row>
        <row r="204">
          <cell r="A204">
            <v>342627</v>
          </cell>
          <cell r="B204" t="str">
            <v>2007/11</v>
          </cell>
          <cell r="C204">
            <v>627000</v>
          </cell>
          <cell r="D204" t="str">
            <v xml:space="preserve">NDF NR WIRE FEE                    </v>
          </cell>
          <cell r="E204">
            <v>21</v>
          </cell>
          <cell r="F204" t="str">
            <v>D</v>
          </cell>
          <cell r="G204">
            <v>21</v>
          </cell>
        </row>
        <row r="205">
          <cell r="A205">
            <v>230068</v>
          </cell>
          <cell r="B205" t="str">
            <v>2007/11</v>
          </cell>
          <cell r="C205">
            <v>455002</v>
          </cell>
          <cell r="D205" t="str">
            <v xml:space="preserve">NDF NR 11/28/07                    </v>
          </cell>
          <cell r="E205">
            <v>2021.02</v>
          </cell>
          <cell r="F205" t="str">
            <v>C</v>
          </cell>
          <cell r="G205">
            <v>-2021.02</v>
          </cell>
        </row>
        <row r="206">
          <cell r="A206">
            <v>370500</v>
          </cell>
          <cell r="B206" t="str">
            <v>2007/11</v>
          </cell>
          <cell r="C206">
            <v>625100</v>
          </cell>
          <cell r="D206" t="str">
            <v xml:space="preserve">NDF PC 11/28/07 (40)               </v>
          </cell>
          <cell r="E206">
            <v>165.5</v>
          </cell>
          <cell r="F206" t="str">
            <v>D</v>
          </cell>
          <cell r="G206">
            <v>165.5</v>
          </cell>
        </row>
        <row r="207">
          <cell r="A207">
            <v>370499</v>
          </cell>
          <cell r="B207" t="str">
            <v>2007/11</v>
          </cell>
          <cell r="C207">
            <v>625100</v>
          </cell>
          <cell r="D207" t="str">
            <v xml:space="preserve">NDF PC 11/28/07 (70)               </v>
          </cell>
          <cell r="E207">
            <v>23</v>
          </cell>
          <cell r="F207" t="str">
            <v>D</v>
          </cell>
          <cell r="G207">
            <v>23</v>
          </cell>
        </row>
        <row r="208">
          <cell r="A208">
            <v>370499</v>
          </cell>
          <cell r="B208" t="str">
            <v>2007/11</v>
          </cell>
          <cell r="C208">
            <v>625100</v>
          </cell>
          <cell r="D208" t="str">
            <v xml:space="preserve">NDF PC 11/28/07 (99)               </v>
          </cell>
          <cell r="E208">
            <v>154.94999999999999</v>
          </cell>
          <cell r="F208" t="str">
            <v>D</v>
          </cell>
          <cell r="G208">
            <v>154.94999999999999</v>
          </cell>
        </row>
        <row r="209">
          <cell r="A209">
            <v>370500</v>
          </cell>
          <cell r="B209" t="str">
            <v>2007/11</v>
          </cell>
          <cell r="C209">
            <v>625100</v>
          </cell>
          <cell r="D209" t="str">
            <v xml:space="preserve">NDF PC 11/28/07 (20)               </v>
          </cell>
          <cell r="E209">
            <v>71</v>
          </cell>
          <cell r="F209" t="str">
            <v>D</v>
          </cell>
          <cell r="G209">
            <v>71</v>
          </cell>
        </row>
        <row r="210">
          <cell r="A210">
            <v>370500</v>
          </cell>
          <cell r="B210" t="str">
            <v>2007/11</v>
          </cell>
          <cell r="C210">
            <v>625100</v>
          </cell>
          <cell r="D210" t="str">
            <v xml:space="preserve">NDF PC 11/28/07 (40)               </v>
          </cell>
          <cell r="E210">
            <v>209.5</v>
          </cell>
          <cell r="F210" t="str">
            <v>D</v>
          </cell>
          <cell r="G210">
            <v>209.5</v>
          </cell>
        </row>
        <row r="211">
          <cell r="A211">
            <v>341771</v>
          </cell>
          <cell r="B211" t="str">
            <v>2007/11</v>
          </cell>
          <cell r="C211">
            <v>625100</v>
          </cell>
          <cell r="D211" t="str">
            <v xml:space="preserve">NDF PC 11/28/07 (50)               </v>
          </cell>
          <cell r="E211">
            <v>114.35</v>
          </cell>
          <cell r="F211" t="str">
            <v>D</v>
          </cell>
          <cell r="G211">
            <v>114.35</v>
          </cell>
        </row>
        <row r="212">
          <cell r="A212">
            <v>370500</v>
          </cell>
          <cell r="B212" t="str">
            <v>2007/11</v>
          </cell>
          <cell r="C212">
            <v>625100</v>
          </cell>
          <cell r="D212" t="str">
            <v xml:space="preserve">NDF PC 11/28/07 (60)               </v>
          </cell>
          <cell r="E212">
            <v>34.700000000000003</v>
          </cell>
          <cell r="F212" t="str">
            <v>D</v>
          </cell>
          <cell r="G212">
            <v>34.700000000000003</v>
          </cell>
        </row>
        <row r="213">
          <cell r="A213">
            <v>370499</v>
          </cell>
          <cell r="B213" t="str">
            <v>2007/11</v>
          </cell>
          <cell r="C213">
            <v>625100</v>
          </cell>
          <cell r="D213" t="str">
            <v xml:space="preserve">NDF PC 11/28/07 (70)               </v>
          </cell>
          <cell r="E213">
            <v>146.63999999999999</v>
          </cell>
          <cell r="F213" t="str">
            <v>D</v>
          </cell>
          <cell r="G213">
            <v>146.63999999999999</v>
          </cell>
        </row>
        <row r="214">
          <cell r="A214">
            <v>370499</v>
          </cell>
          <cell r="B214" t="str">
            <v>2007/11</v>
          </cell>
          <cell r="C214">
            <v>625100</v>
          </cell>
          <cell r="D214" t="str">
            <v xml:space="preserve">NDF PC 11/28/07 (99)               </v>
          </cell>
          <cell r="E214">
            <v>719.65</v>
          </cell>
          <cell r="F214" t="str">
            <v>D</v>
          </cell>
          <cell r="G214">
            <v>719.65</v>
          </cell>
        </row>
        <row r="215">
          <cell r="A215">
            <v>370500</v>
          </cell>
          <cell r="B215" t="str">
            <v>2007/11</v>
          </cell>
          <cell r="C215">
            <v>625100</v>
          </cell>
          <cell r="D215" t="str">
            <v xml:space="preserve">NDF PC 11/28/07 (40)               </v>
          </cell>
          <cell r="E215">
            <v>190.1</v>
          </cell>
          <cell r="F215" t="str">
            <v>D</v>
          </cell>
          <cell r="G215">
            <v>190.1</v>
          </cell>
        </row>
        <row r="216">
          <cell r="A216">
            <v>341773</v>
          </cell>
          <cell r="B216" t="str">
            <v>2007/11</v>
          </cell>
          <cell r="C216">
            <v>625100</v>
          </cell>
          <cell r="D216" t="str">
            <v xml:space="preserve">NDF PC 11/28/07 (55)               </v>
          </cell>
          <cell r="E216">
            <v>121.81</v>
          </cell>
          <cell r="F216" t="str">
            <v>D</v>
          </cell>
          <cell r="G216">
            <v>121.81</v>
          </cell>
        </row>
        <row r="217">
          <cell r="A217">
            <v>370500</v>
          </cell>
          <cell r="B217" t="str">
            <v>2007/11</v>
          </cell>
          <cell r="C217">
            <v>625100</v>
          </cell>
          <cell r="D217" t="str">
            <v xml:space="preserve">NDF PC 11/28/07 (60)               </v>
          </cell>
          <cell r="E217">
            <v>61</v>
          </cell>
          <cell r="F217" t="str">
            <v>D</v>
          </cell>
          <cell r="G217">
            <v>61</v>
          </cell>
        </row>
        <row r="218">
          <cell r="A218">
            <v>370499</v>
          </cell>
          <cell r="B218" t="str">
            <v>2007/11</v>
          </cell>
          <cell r="C218">
            <v>625100</v>
          </cell>
          <cell r="D218" t="str">
            <v xml:space="preserve">NDF PC 11/28/07 (70)               </v>
          </cell>
          <cell r="E218">
            <v>216.7</v>
          </cell>
          <cell r="F218" t="str">
            <v>D</v>
          </cell>
          <cell r="G218">
            <v>216.7</v>
          </cell>
        </row>
        <row r="219">
          <cell r="A219">
            <v>370499</v>
          </cell>
          <cell r="B219" t="str">
            <v>2007/11</v>
          </cell>
          <cell r="C219">
            <v>625100</v>
          </cell>
          <cell r="D219" t="str">
            <v xml:space="preserve">NDF PC 11/28/07 (99)               </v>
          </cell>
          <cell r="E219">
            <v>1094.6300000000001</v>
          </cell>
          <cell r="F219" t="str">
            <v>D</v>
          </cell>
          <cell r="G219">
            <v>1094.6300000000001</v>
          </cell>
        </row>
        <row r="220">
          <cell r="A220">
            <v>342627</v>
          </cell>
          <cell r="B220" t="str">
            <v>2007/11</v>
          </cell>
          <cell r="C220">
            <v>627000</v>
          </cell>
          <cell r="D220" t="str">
            <v xml:space="preserve">NDF PC 11/28/07 WIRE               </v>
          </cell>
          <cell r="E220">
            <v>16.5</v>
          </cell>
          <cell r="F220" t="str">
            <v>D</v>
          </cell>
          <cell r="G220">
            <v>16.5</v>
          </cell>
        </row>
        <row r="221">
          <cell r="A221">
            <v>230068</v>
          </cell>
          <cell r="B221" t="str">
            <v>2007/11</v>
          </cell>
          <cell r="C221">
            <v>455002</v>
          </cell>
          <cell r="D221" t="str">
            <v xml:space="preserve">NDF PC 11/28/07                    </v>
          </cell>
          <cell r="E221">
            <v>3340.03</v>
          </cell>
          <cell r="F221" t="str">
            <v>C</v>
          </cell>
          <cell r="G221">
            <v>-3340.03</v>
          </cell>
        </row>
        <row r="222">
          <cell r="A222">
            <v>381980</v>
          </cell>
          <cell r="B222" t="str">
            <v>2007/11</v>
          </cell>
          <cell r="C222">
            <v>658000</v>
          </cell>
          <cell r="D222" t="str">
            <v xml:space="preserve">OD ECART FRA 101                   </v>
          </cell>
          <cell r="E222">
            <v>1.34</v>
          </cell>
          <cell r="F222" t="str">
            <v>D</v>
          </cell>
          <cell r="G222">
            <v>1.34</v>
          </cell>
        </row>
        <row r="223">
          <cell r="A223">
            <v>230068</v>
          </cell>
          <cell r="B223" t="str">
            <v>2007/11</v>
          </cell>
          <cell r="C223">
            <v>455001</v>
          </cell>
          <cell r="D223" t="str">
            <v xml:space="preserve">OD ECART FRA 101                   </v>
          </cell>
          <cell r="E223">
            <v>1.34</v>
          </cell>
          <cell r="F223" t="str">
            <v>C</v>
          </cell>
          <cell r="G223">
            <v>-1.34</v>
          </cell>
        </row>
        <row r="224">
          <cell r="A224">
            <v>370499</v>
          </cell>
          <cell r="B224" t="str">
            <v>2007/11</v>
          </cell>
          <cell r="C224">
            <v>625100</v>
          </cell>
          <cell r="D224" t="str">
            <v xml:space="preserve">TVA NDF PC (70)                    </v>
          </cell>
          <cell r="E224">
            <v>8.0299999999999994</v>
          </cell>
          <cell r="F224" t="str">
            <v>C</v>
          </cell>
          <cell r="G224">
            <v>-8.0299999999999994</v>
          </cell>
        </row>
        <row r="225">
          <cell r="A225">
            <v>148550</v>
          </cell>
          <cell r="B225" t="str">
            <v>2007/11</v>
          </cell>
          <cell r="C225">
            <v>445660</v>
          </cell>
          <cell r="D225" t="str">
            <v xml:space="preserve">TVA NDF PC                         </v>
          </cell>
          <cell r="E225">
            <v>8.0299999999999994</v>
          </cell>
          <cell r="F225" t="str">
            <v>D</v>
          </cell>
          <cell r="G225">
            <v>8.0299999999999994</v>
          </cell>
        </row>
        <row r="226">
          <cell r="A226">
            <v>341773</v>
          </cell>
          <cell r="B226" t="str">
            <v>2007/11</v>
          </cell>
          <cell r="C226">
            <v>625100</v>
          </cell>
          <cell r="D226" t="str">
            <v xml:space="preserve">TVA NDF PC (55)                    </v>
          </cell>
          <cell r="E226">
            <v>8.6199999999999992</v>
          </cell>
          <cell r="F226" t="str">
            <v>C</v>
          </cell>
          <cell r="G226">
            <v>-8.6199999999999992</v>
          </cell>
        </row>
        <row r="227">
          <cell r="A227">
            <v>370500</v>
          </cell>
          <cell r="B227" t="str">
            <v>2007/11</v>
          </cell>
          <cell r="C227">
            <v>625100</v>
          </cell>
          <cell r="D227" t="str">
            <v xml:space="preserve">TVA NDF PC (20)                    </v>
          </cell>
          <cell r="E227">
            <v>65.62</v>
          </cell>
          <cell r="F227" t="str">
            <v>C</v>
          </cell>
          <cell r="G227">
            <v>-65.62</v>
          </cell>
        </row>
        <row r="228">
          <cell r="A228">
            <v>370499</v>
          </cell>
          <cell r="B228" t="str">
            <v>2007/11</v>
          </cell>
          <cell r="C228">
            <v>625100</v>
          </cell>
          <cell r="D228" t="str">
            <v xml:space="preserve">TVA NDF PC (99)                    </v>
          </cell>
          <cell r="E228">
            <v>5.0999999999999996</v>
          </cell>
          <cell r="F228" t="str">
            <v>C</v>
          </cell>
          <cell r="G228">
            <v>-5.0999999999999996</v>
          </cell>
        </row>
        <row r="229">
          <cell r="A229">
            <v>370499</v>
          </cell>
          <cell r="B229" t="str">
            <v>2007/11</v>
          </cell>
          <cell r="C229">
            <v>625100</v>
          </cell>
          <cell r="D229" t="str">
            <v xml:space="preserve">TVA NDF PC (70)                    </v>
          </cell>
          <cell r="E229">
            <v>1.93</v>
          </cell>
          <cell r="F229" t="str">
            <v>C</v>
          </cell>
          <cell r="G229">
            <v>-1.93</v>
          </cell>
        </row>
        <row r="230">
          <cell r="A230">
            <v>148550</v>
          </cell>
          <cell r="B230" t="str">
            <v>2007/11</v>
          </cell>
          <cell r="C230">
            <v>445660</v>
          </cell>
          <cell r="D230" t="str">
            <v xml:space="preserve">TVA NDF PC                         </v>
          </cell>
          <cell r="E230">
            <v>81.27</v>
          </cell>
          <cell r="F230" t="str">
            <v>D</v>
          </cell>
          <cell r="G230">
            <v>81.27</v>
          </cell>
        </row>
        <row r="231">
          <cell r="A231">
            <v>370499</v>
          </cell>
          <cell r="B231" t="str">
            <v>2007/11</v>
          </cell>
          <cell r="C231">
            <v>625100</v>
          </cell>
          <cell r="D231" t="str">
            <v xml:space="preserve">TVA NDF PC (99)                    </v>
          </cell>
          <cell r="E231">
            <v>3.15</v>
          </cell>
          <cell r="F231" t="str">
            <v>C</v>
          </cell>
          <cell r="G231">
            <v>-3.15</v>
          </cell>
        </row>
        <row r="232">
          <cell r="A232">
            <v>148550</v>
          </cell>
          <cell r="B232" t="str">
            <v>2007/11</v>
          </cell>
          <cell r="C232">
            <v>445660</v>
          </cell>
          <cell r="D232" t="str">
            <v xml:space="preserve">TVA NDF PC                         </v>
          </cell>
          <cell r="E232">
            <v>3.15</v>
          </cell>
          <cell r="F232" t="str">
            <v>D</v>
          </cell>
          <cell r="G232">
            <v>3.15</v>
          </cell>
        </row>
        <row r="233">
          <cell r="A233">
            <v>370500</v>
          </cell>
          <cell r="B233" t="str">
            <v>2007/11</v>
          </cell>
          <cell r="C233">
            <v>625100</v>
          </cell>
          <cell r="D233" t="str">
            <v xml:space="preserve">TVA NDF PC (20)                    </v>
          </cell>
          <cell r="E233">
            <v>9.5299999999999994</v>
          </cell>
          <cell r="F233" t="str">
            <v>C</v>
          </cell>
          <cell r="G233">
            <v>-9.5299999999999994</v>
          </cell>
        </row>
        <row r="234">
          <cell r="A234">
            <v>341773</v>
          </cell>
          <cell r="B234" t="str">
            <v>2007/11</v>
          </cell>
          <cell r="C234">
            <v>625100</v>
          </cell>
          <cell r="D234" t="str">
            <v xml:space="preserve">TVA NDF PC (55)                    </v>
          </cell>
          <cell r="E234">
            <v>7.01</v>
          </cell>
          <cell r="F234" t="str">
            <v>C</v>
          </cell>
          <cell r="G234">
            <v>-7.01</v>
          </cell>
        </row>
        <row r="235">
          <cell r="A235">
            <v>370499</v>
          </cell>
          <cell r="B235" t="str">
            <v>2007/11</v>
          </cell>
          <cell r="C235">
            <v>625100</v>
          </cell>
          <cell r="D235" t="str">
            <v xml:space="preserve">TVA NDF PC (99)                    </v>
          </cell>
          <cell r="E235">
            <v>17.25</v>
          </cell>
          <cell r="F235" t="str">
            <v>C</v>
          </cell>
          <cell r="G235">
            <v>-17.25</v>
          </cell>
        </row>
        <row r="236">
          <cell r="A236">
            <v>341771</v>
          </cell>
          <cell r="B236" t="str">
            <v>2007/11</v>
          </cell>
          <cell r="C236">
            <v>625100</v>
          </cell>
          <cell r="D236" t="str">
            <v xml:space="preserve">TVA NDF PC (50)                    </v>
          </cell>
          <cell r="E236">
            <v>60.81</v>
          </cell>
          <cell r="F236" t="str">
            <v>C</v>
          </cell>
          <cell r="G236">
            <v>-60.81</v>
          </cell>
        </row>
        <row r="237">
          <cell r="A237">
            <v>370500</v>
          </cell>
          <cell r="B237" t="str">
            <v>2007/11</v>
          </cell>
          <cell r="C237">
            <v>625100</v>
          </cell>
          <cell r="D237" t="str">
            <v xml:space="preserve">TVA NDF PC (60)                    </v>
          </cell>
          <cell r="E237">
            <v>10.8</v>
          </cell>
          <cell r="F237" t="str">
            <v>C</v>
          </cell>
          <cell r="G237">
            <v>-10.8</v>
          </cell>
        </row>
        <row r="238">
          <cell r="A238">
            <v>370499</v>
          </cell>
          <cell r="B238" t="str">
            <v>2007/11</v>
          </cell>
          <cell r="C238">
            <v>625100</v>
          </cell>
          <cell r="D238" t="str">
            <v xml:space="preserve">TVA NDF PC (70)                    </v>
          </cell>
          <cell r="E238">
            <v>35.39</v>
          </cell>
          <cell r="F238" t="str">
            <v>C</v>
          </cell>
          <cell r="G238">
            <v>-35.39</v>
          </cell>
        </row>
        <row r="239">
          <cell r="A239">
            <v>148550</v>
          </cell>
          <cell r="B239" t="str">
            <v>2007/11</v>
          </cell>
          <cell r="C239">
            <v>445660</v>
          </cell>
          <cell r="D239" t="str">
            <v xml:space="preserve">TVA NDF PC                         </v>
          </cell>
          <cell r="E239">
            <v>140.79</v>
          </cell>
          <cell r="F239" t="str">
            <v>D</v>
          </cell>
          <cell r="G239">
            <v>140.79</v>
          </cell>
        </row>
        <row r="240">
          <cell r="A240">
            <v>341773</v>
          </cell>
          <cell r="B240" t="str">
            <v>2007/11</v>
          </cell>
          <cell r="C240">
            <v>625100</v>
          </cell>
          <cell r="D240" t="str">
            <v xml:space="preserve">TVA NDF PC (55)                    </v>
          </cell>
          <cell r="E240">
            <v>21.24</v>
          </cell>
          <cell r="F240" t="str">
            <v>C</v>
          </cell>
          <cell r="G240">
            <v>-21.24</v>
          </cell>
        </row>
        <row r="241">
          <cell r="A241">
            <v>370500</v>
          </cell>
          <cell r="B241" t="str">
            <v>2007/11</v>
          </cell>
          <cell r="C241">
            <v>625100</v>
          </cell>
          <cell r="D241" t="str">
            <v xml:space="preserve">TVA NDF PC (60)                    </v>
          </cell>
          <cell r="E241">
            <v>4.4400000000000004</v>
          </cell>
          <cell r="F241" t="str">
            <v>C</v>
          </cell>
          <cell r="G241">
            <v>-4.4400000000000004</v>
          </cell>
        </row>
        <row r="242">
          <cell r="A242">
            <v>370499</v>
          </cell>
          <cell r="B242" t="str">
            <v>2007/11</v>
          </cell>
          <cell r="C242">
            <v>625100</v>
          </cell>
          <cell r="D242" t="str">
            <v xml:space="preserve">TVA NDF PC (70)                    </v>
          </cell>
          <cell r="E242">
            <v>23.77</v>
          </cell>
          <cell r="F242" t="str">
            <v>C</v>
          </cell>
          <cell r="G242">
            <v>-23.77</v>
          </cell>
        </row>
        <row r="243">
          <cell r="A243">
            <v>370499</v>
          </cell>
          <cell r="B243" t="str">
            <v>2007/11</v>
          </cell>
          <cell r="C243">
            <v>625100</v>
          </cell>
          <cell r="D243" t="str">
            <v xml:space="preserve">TVA NDF PC (99)                    </v>
          </cell>
          <cell r="E243">
            <v>4.07</v>
          </cell>
          <cell r="F243" t="str">
            <v>C</v>
          </cell>
          <cell r="G243">
            <v>-4.07</v>
          </cell>
        </row>
        <row r="244">
          <cell r="A244">
            <v>148550</v>
          </cell>
          <cell r="B244" t="str">
            <v>2007/11</v>
          </cell>
          <cell r="C244">
            <v>445660</v>
          </cell>
          <cell r="D244" t="str">
            <v xml:space="preserve">TVA NDF PC                         </v>
          </cell>
          <cell r="E244">
            <v>53.52</v>
          </cell>
          <cell r="F244" t="str">
            <v>D</v>
          </cell>
          <cell r="G244">
            <v>53.52</v>
          </cell>
        </row>
        <row r="245">
          <cell r="A245">
            <v>370500</v>
          </cell>
          <cell r="B245" t="str">
            <v>2007/11</v>
          </cell>
          <cell r="C245">
            <v>625100</v>
          </cell>
          <cell r="D245" t="str">
            <v xml:space="preserve">TVA NDF PC (60)                    </v>
          </cell>
          <cell r="E245">
            <v>8.82</v>
          </cell>
          <cell r="F245" t="str">
            <v>C</v>
          </cell>
          <cell r="G245">
            <v>-8.82</v>
          </cell>
        </row>
        <row r="246">
          <cell r="A246">
            <v>148550</v>
          </cell>
          <cell r="B246" t="str">
            <v>2007/11</v>
          </cell>
          <cell r="C246">
            <v>445660</v>
          </cell>
          <cell r="D246" t="str">
            <v xml:space="preserve">TVA NDF PC                         </v>
          </cell>
          <cell r="E246">
            <v>8.82</v>
          </cell>
          <cell r="F246" t="str">
            <v>D</v>
          </cell>
          <cell r="G246">
            <v>8.82</v>
          </cell>
        </row>
        <row r="247">
          <cell r="A247">
            <v>370500</v>
          </cell>
          <cell r="B247" t="str">
            <v>2007/11</v>
          </cell>
          <cell r="C247">
            <v>625100</v>
          </cell>
          <cell r="D247" t="str">
            <v xml:space="preserve">TVA NDF PC (60)                    </v>
          </cell>
          <cell r="E247">
            <v>27</v>
          </cell>
          <cell r="F247" t="str">
            <v>C</v>
          </cell>
          <cell r="G247">
            <v>-27</v>
          </cell>
        </row>
        <row r="248">
          <cell r="A248">
            <v>370500</v>
          </cell>
          <cell r="B248" t="str">
            <v>2007/11</v>
          </cell>
          <cell r="C248">
            <v>625100</v>
          </cell>
          <cell r="D248" t="str">
            <v xml:space="preserve">TVA NDF PC (20)                    </v>
          </cell>
          <cell r="E248">
            <v>34.619999999999997</v>
          </cell>
          <cell r="F248" t="str">
            <v>C</v>
          </cell>
          <cell r="G248">
            <v>-34.619999999999997</v>
          </cell>
        </row>
        <row r="249">
          <cell r="A249">
            <v>341773</v>
          </cell>
          <cell r="B249" t="str">
            <v>2007/11</v>
          </cell>
          <cell r="C249">
            <v>625100</v>
          </cell>
          <cell r="D249" t="str">
            <v xml:space="preserve">TVA NDF PC (55)                    </v>
          </cell>
          <cell r="E249">
            <v>43.76</v>
          </cell>
          <cell r="F249" t="str">
            <v>C</v>
          </cell>
          <cell r="G249">
            <v>-43.76</v>
          </cell>
        </row>
        <row r="250">
          <cell r="A250">
            <v>370499</v>
          </cell>
          <cell r="B250" t="str">
            <v>2007/11</v>
          </cell>
          <cell r="C250">
            <v>625100</v>
          </cell>
          <cell r="D250" t="str">
            <v xml:space="preserve">TVA NDF PC (99)                    </v>
          </cell>
          <cell r="E250">
            <v>12.62</v>
          </cell>
          <cell r="F250" t="str">
            <v>C</v>
          </cell>
          <cell r="G250">
            <v>-12.62</v>
          </cell>
        </row>
        <row r="251">
          <cell r="A251">
            <v>370499</v>
          </cell>
          <cell r="B251" t="str">
            <v>2007/11</v>
          </cell>
          <cell r="C251">
            <v>625100</v>
          </cell>
          <cell r="D251" t="str">
            <v xml:space="preserve">TVA NDF PC (10)                    </v>
          </cell>
          <cell r="E251">
            <v>0.55000000000000004</v>
          </cell>
          <cell r="F251" t="str">
            <v>C</v>
          </cell>
          <cell r="G251">
            <v>-0.55000000000000004</v>
          </cell>
        </row>
        <row r="252">
          <cell r="A252">
            <v>148550</v>
          </cell>
          <cell r="B252" t="str">
            <v>2007/11</v>
          </cell>
          <cell r="C252">
            <v>445660</v>
          </cell>
          <cell r="D252" t="str">
            <v xml:space="preserve">TVA NDF PC                         </v>
          </cell>
          <cell r="E252">
            <v>118.55</v>
          </cell>
          <cell r="F252" t="str">
            <v>D</v>
          </cell>
          <cell r="G252">
            <v>118.55</v>
          </cell>
        </row>
        <row r="253">
          <cell r="A253">
            <v>370500</v>
          </cell>
          <cell r="B253" t="str">
            <v>2007/11</v>
          </cell>
          <cell r="C253">
            <v>625100</v>
          </cell>
          <cell r="D253" t="str">
            <v xml:space="preserve">TVA NDF NR (60)                    </v>
          </cell>
          <cell r="E253">
            <v>17.100000000000001</v>
          </cell>
          <cell r="F253" t="str">
            <v>C</v>
          </cell>
          <cell r="G253">
            <v>-17.100000000000001</v>
          </cell>
        </row>
        <row r="254">
          <cell r="A254">
            <v>370499</v>
          </cell>
          <cell r="B254" t="str">
            <v>2007/11</v>
          </cell>
          <cell r="C254">
            <v>625100</v>
          </cell>
          <cell r="D254" t="str">
            <v xml:space="preserve">TVA NDF NR (10)                    </v>
          </cell>
          <cell r="E254">
            <v>6.75</v>
          </cell>
          <cell r="F254" t="str">
            <v>C</v>
          </cell>
          <cell r="G254">
            <v>-6.75</v>
          </cell>
        </row>
        <row r="255">
          <cell r="A255">
            <v>341771</v>
          </cell>
          <cell r="B255" t="str">
            <v>2007/11</v>
          </cell>
          <cell r="C255">
            <v>625100</v>
          </cell>
          <cell r="D255" t="str">
            <v xml:space="preserve">TVA NDF NR (50)                    </v>
          </cell>
          <cell r="E255">
            <v>12.89</v>
          </cell>
          <cell r="F255" t="str">
            <v>C</v>
          </cell>
          <cell r="G255">
            <v>-12.89</v>
          </cell>
        </row>
        <row r="256">
          <cell r="A256">
            <v>148550</v>
          </cell>
          <cell r="B256" t="str">
            <v>2007/11</v>
          </cell>
          <cell r="C256">
            <v>445660</v>
          </cell>
          <cell r="D256" t="str">
            <v xml:space="preserve">TVA NDF NR                         </v>
          </cell>
          <cell r="E256">
            <v>36.74</v>
          </cell>
          <cell r="F256" t="str">
            <v>D</v>
          </cell>
          <cell r="G256">
            <v>36.74</v>
          </cell>
        </row>
        <row r="257">
          <cell r="A257">
            <v>370499</v>
          </cell>
          <cell r="B257" t="str">
            <v>2007/11</v>
          </cell>
          <cell r="C257">
            <v>625100</v>
          </cell>
          <cell r="D257" t="str">
            <v xml:space="preserve">TVA NDF NR (99)                    </v>
          </cell>
          <cell r="E257">
            <v>3.27</v>
          </cell>
          <cell r="F257" t="str">
            <v>C</v>
          </cell>
          <cell r="G257">
            <v>-3.27</v>
          </cell>
        </row>
        <row r="258">
          <cell r="A258">
            <v>370500</v>
          </cell>
          <cell r="B258" t="str">
            <v>2007/11</v>
          </cell>
          <cell r="C258">
            <v>625100</v>
          </cell>
          <cell r="D258" t="str">
            <v xml:space="preserve">TVA NDF NR (60)                    </v>
          </cell>
          <cell r="E258">
            <v>24.68</v>
          </cell>
          <cell r="F258" t="str">
            <v>C</v>
          </cell>
          <cell r="G258">
            <v>-24.68</v>
          </cell>
        </row>
        <row r="259">
          <cell r="A259">
            <v>370499</v>
          </cell>
          <cell r="B259" t="str">
            <v>2007/11</v>
          </cell>
          <cell r="C259">
            <v>625100</v>
          </cell>
          <cell r="D259" t="str">
            <v xml:space="preserve">TVA NDF NR (10)                    </v>
          </cell>
          <cell r="E259">
            <v>2.62</v>
          </cell>
          <cell r="F259" t="str">
            <v>C</v>
          </cell>
          <cell r="G259">
            <v>-2.62</v>
          </cell>
        </row>
        <row r="260">
          <cell r="A260">
            <v>341771</v>
          </cell>
          <cell r="B260" t="str">
            <v>2007/11</v>
          </cell>
          <cell r="C260">
            <v>625100</v>
          </cell>
          <cell r="D260" t="str">
            <v xml:space="preserve">TVA NDF NR (50)                    </v>
          </cell>
          <cell r="E260">
            <v>11.94</v>
          </cell>
          <cell r="F260" t="str">
            <v>C</v>
          </cell>
          <cell r="G260">
            <v>-11.94</v>
          </cell>
        </row>
        <row r="261">
          <cell r="A261">
            <v>148550</v>
          </cell>
          <cell r="B261" t="str">
            <v>2007/11</v>
          </cell>
          <cell r="C261">
            <v>445660</v>
          </cell>
          <cell r="D261" t="str">
            <v xml:space="preserve">TVA NDF NR                         </v>
          </cell>
          <cell r="E261">
            <v>42.51</v>
          </cell>
          <cell r="F261" t="str">
            <v>D</v>
          </cell>
          <cell r="G261">
            <v>42.51</v>
          </cell>
        </row>
        <row r="262">
          <cell r="A262">
            <v>341773</v>
          </cell>
          <cell r="B262" t="str">
            <v>2007/11</v>
          </cell>
          <cell r="C262">
            <v>625100</v>
          </cell>
          <cell r="D262" t="str">
            <v xml:space="preserve">TVA NDF NR (55)                    </v>
          </cell>
          <cell r="E262">
            <v>79.930000000000007</v>
          </cell>
          <cell r="F262" t="str">
            <v>C</v>
          </cell>
          <cell r="G262">
            <v>-79.930000000000007</v>
          </cell>
        </row>
        <row r="263">
          <cell r="A263">
            <v>370499</v>
          </cell>
          <cell r="B263" t="str">
            <v>2007/11</v>
          </cell>
          <cell r="C263">
            <v>625100</v>
          </cell>
          <cell r="D263" t="str">
            <v xml:space="preserve">TVA NDF NR (99)                    </v>
          </cell>
          <cell r="E263">
            <v>62.6</v>
          </cell>
          <cell r="F263" t="str">
            <v>C</v>
          </cell>
          <cell r="G263">
            <v>-62.6</v>
          </cell>
        </row>
        <row r="264">
          <cell r="A264">
            <v>370500</v>
          </cell>
          <cell r="B264" t="str">
            <v>2007/11</v>
          </cell>
          <cell r="C264">
            <v>625100</v>
          </cell>
          <cell r="D264" t="str">
            <v xml:space="preserve">TVA NDF NR (60)                    </v>
          </cell>
          <cell r="E264">
            <v>27.94</v>
          </cell>
          <cell r="F264" t="str">
            <v>C</v>
          </cell>
          <cell r="G264">
            <v>-27.94</v>
          </cell>
        </row>
        <row r="265">
          <cell r="A265">
            <v>148550</v>
          </cell>
          <cell r="B265" t="str">
            <v>2007/11</v>
          </cell>
          <cell r="C265">
            <v>445660</v>
          </cell>
          <cell r="D265" t="str">
            <v xml:space="preserve">TVA NDF NR                         </v>
          </cell>
          <cell r="E265">
            <v>170.47</v>
          </cell>
          <cell r="F265" t="str">
            <v>D</v>
          </cell>
          <cell r="G265">
            <v>170.47</v>
          </cell>
        </row>
        <row r="266">
          <cell r="A266">
            <v>370500</v>
          </cell>
          <cell r="B266" t="str">
            <v>2007/11</v>
          </cell>
          <cell r="C266">
            <v>625100</v>
          </cell>
          <cell r="D266" t="str">
            <v xml:space="preserve">TVA NDF PC (40)                    </v>
          </cell>
          <cell r="E266">
            <v>0.88</v>
          </cell>
          <cell r="F266" t="str">
            <v>C</v>
          </cell>
          <cell r="G266">
            <v>-0.88</v>
          </cell>
        </row>
        <row r="267">
          <cell r="A267">
            <v>370499</v>
          </cell>
          <cell r="B267" t="str">
            <v>2007/11</v>
          </cell>
          <cell r="C267">
            <v>625100</v>
          </cell>
          <cell r="D267" t="str">
            <v xml:space="preserve">TVA NDF PC (70)                    </v>
          </cell>
          <cell r="E267">
            <v>1.2</v>
          </cell>
          <cell r="F267" t="str">
            <v>C</v>
          </cell>
          <cell r="G267">
            <v>-1.2</v>
          </cell>
        </row>
        <row r="268">
          <cell r="A268">
            <v>148550</v>
          </cell>
          <cell r="B268" t="str">
            <v>2007/11</v>
          </cell>
          <cell r="C268">
            <v>445660</v>
          </cell>
          <cell r="D268" t="str">
            <v xml:space="preserve">TVA NDF PC                         </v>
          </cell>
          <cell r="E268">
            <v>2.08</v>
          </cell>
          <cell r="F268" t="str">
            <v>D</v>
          </cell>
          <cell r="G268">
            <v>2.08</v>
          </cell>
        </row>
        <row r="269">
          <cell r="A269">
            <v>370499</v>
          </cell>
          <cell r="B269" t="str">
            <v>2007/11</v>
          </cell>
          <cell r="C269">
            <v>625100</v>
          </cell>
          <cell r="D269" t="str">
            <v xml:space="preserve">TVA NDF PC (99)                    </v>
          </cell>
          <cell r="E269">
            <v>4.97</v>
          </cell>
          <cell r="F269" t="str">
            <v>C</v>
          </cell>
          <cell r="G269">
            <v>-4.97</v>
          </cell>
        </row>
        <row r="270">
          <cell r="A270">
            <v>341771</v>
          </cell>
          <cell r="B270" t="str">
            <v>2007/11</v>
          </cell>
          <cell r="C270">
            <v>625100</v>
          </cell>
          <cell r="D270" t="str">
            <v xml:space="preserve">TVA NDF PC (50)                    </v>
          </cell>
          <cell r="E270">
            <v>18.739999999999998</v>
          </cell>
          <cell r="F270" t="str">
            <v>C</v>
          </cell>
          <cell r="G270">
            <v>-18.739999999999998</v>
          </cell>
        </row>
        <row r="271">
          <cell r="A271">
            <v>370499</v>
          </cell>
          <cell r="B271" t="str">
            <v>2007/11</v>
          </cell>
          <cell r="C271">
            <v>625100</v>
          </cell>
          <cell r="D271" t="str">
            <v xml:space="preserve">TVA NDF PC (70)                    </v>
          </cell>
          <cell r="E271">
            <v>14.02</v>
          </cell>
          <cell r="F271" t="str">
            <v>C</v>
          </cell>
          <cell r="G271">
            <v>-14.02</v>
          </cell>
        </row>
        <row r="272">
          <cell r="A272">
            <v>370500</v>
          </cell>
          <cell r="B272" t="str">
            <v>2007/11</v>
          </cell>
          <cell r="C272">
            <v>625100</v>
          </cell>
          <cell r="D272" t="str">
            <v xml:space="preserve">TVA NDF PC (60)                    </v>
          </cell>
          <cell r="E272">
            <v>5.24</v>
          </cell>
          <cell r="F272" t="str">
            <v>C</v>
          </cell>
          <cell r="G272">
            <v>-5.24</v>
          </cell>
        </row>
        <row r="273">
          <cell r="A273">
            <v>148550</v>
          </cell>
          <cell r="B273" t="str">
            <v>2007/11</v>
          </cell>
          <cell r="C273">
            <v>445660</v>
          </cell>
          <cell r="D273" t="str">
            <v xml:space="preserve">TVA NDF PC                         </v>
          </cell>
          <cell r="E273">
            <v>42.97</v>
          </cell>
          <cell r="F273" t="str">
            <v>D</v>
          </cell>
          <cell r="G273">
            <v>42.97</v>
          </cell>
        </row>
        <row r="274">
          <cell r="A274">
            <v>370499</v>
          </cell>
          <cell r="B274" t="str">
            <v>2007/11</v>
          </cell>
          <cell r="C274">
            <v>625100</v>
          </cell>
          <cell r="D274" t="str">
            <v xml:space="preserve">TVA NDF PC (99)                    </v>
          </cell>
          <cell r="E274">
            <v>179.39</v>
          </cell>
          <cell r="F274" t="str">
            <v>C</v>
          </cell>
          <cell r="G274">
            <v>-179.39</v>
          </cell>
        </row>
        <row r="275">
          <cell r="A275">
            <v>341773</v>
          </cell>
          <cell r="B275" t="str">
            <v>2007/11</v>
          </cell>
          <cell r="C275">
            <v>625100</v>
          </cell>
          <cell r="D275" t="str">
            <v xml:space="preserve">TVA NDF PC (55)                    </v>
          </cell>
          <cell r="E275">
            <v>19.96</v>
          </cell>
          <cell r="F275" t="str">
            <v>C</v>
          </cell>
          <cell r="G275">
            <v>-19.96</v>
          </cell>
        </row>
        <row r="276">
          <cell r="A276">
            <v>370499</v>
          </cell>
          <cell r="B276" t="str">
            <v>2007/11</v>
          </cell>
          <cell r="C276">
            <v>625100</v>
          </cell>
          <cell r="D276" t="str">
            <v xml:space="preserve">TVA NDF PC (70)                    </v>
          </cell>
          <cell r="E276">
            <v>33.58</v>
          </cell>
          <cell r="F276" t="str">
            <v>C</v>
          </cell>
          <cell r="G276">
            <v>-33.58</v>
          </cell>
        </row>
        <row r="277">
          <cell r="A277">
            <v>148550</v>
          </cell>
          <cell r="B277" t="str">
            <v>2007/11</v>
          </cell>
          <cell r="C277">
            <v>445660</v>
          </cell>
          <cell r="D277" t="str">
            <v xml:space="preserve">TVA NDF PC                         </v>
          </cell>
          <cell r="E277">
            <v>232.93</v>
          </cell>
          <cell r="F277" t="str">
            <v>D</v>
          </cell>
          <cell r="G277">
            <v>232.93</v>
          </cell>
        </row>
        <row r="278">
          <cell r="A278">
            <v>321200</v>
          </cell>
          <cell r="B278" t="str">
            <v>2007/11</v>
          </cell>
          <cell r="C278">
            <v>641110</v>
          </cell>
          <cell r="D278" t="str">
            <v xml:space="preserve">ACCRUAL PAYROLL 07/11              </v>
          </cell>
          <cell r="E278">
            <v>565</v>
          </cell>
          <cell r="F278" t="str">
            <v>D</v>
          </cell>
          <cell r="G278">
            <v>565</v>
          </cell>
        </row>
        <row r="279">
          <cell r="A279">
            <v>325875</v>
          </cell>
          <cell r="B279" t="str">
            <v>2007/11</v>
          </cell>
          <cell r="C279">
            <v>645100</v>
          </cell>
          <cell r="D279" t="str">
            <v xml:space="preserve">ACC TAXPAYROLL 07/11               </v>
          </cell>
          <cell r="E279">
            <v>130</v>
          </cell>
          <cell r="F279" t="str">
            <v>D</v>
          </cell>
          <cell r="G279">
            <v>130</v>
          </cell>
        </row>
        <row r="280">
          <cell r="A280">
            <v>325875</v>
          </cell>
          <cell r="B280" t="str">
            <v>2007/11</v>
          </cell>
          <cell r="C280">
            <v>645300</v>
          </cell>
          <cell r="D280" t="str">
            <v xml:space="preserve">ACC TAXPAYROLL 07/11               </v>
          </cell>
          <cell r="E280">
            <v>68</v>
          </cell>
          <cell r="F280" t="str">
            <v>D</v>
          </cell>
          <cell r="G280">
            <v>68</v>
          </cell>
        </row>
        <row r="281">
          <cell r="A281">
            <v>325875</v>
          </cell>
          <cell r="B281" t="str">
            <v>2007/11</v>
          </cell>
          <cell r="C281">
            <v>645400</v>
          </cell>
          <cell r="D281" t="str">
            <v xml:space="preserve">ACC TAXPAYROLL 07/11               </v>
          </cell>
          <cell r="E281">
            <v>23</v>
          </cell>
          <cell r="F281" t="str">
            <v>D</v>
          </cell>
          <cell r="G281">
            <v>23</v>
          </cell>
        </row>
        <row r="282">
          <cell r="A282">
            <v>325875</v>
          </cell>
          <cell r="B282" t="str">
            <v>2007/11</v>
          </cell>
          <cell r="C282">
            <v>631200</v>
          </cell>
          <cell r="D282" t="str">
            <v xml:space="preserve">ACC TAXPAYROLL 07/11               </v>
          </cell>
          <cell r="E282">
            <v>4</v>
          </cell>
          <cell r="F282" t="str">
            <v>D</v>
          </cell>
          <cell r="G282">
            <v>4</v>
          </cell>
        </row>
        <row r="283">
          <cell r="A283">
            <v>325875</v>
          </cell>
          <cell r="B283" t="str">
            <v>2007/11</v>
          </cell>
          <cell r="C283">
            <v>633300</v>
          </cell>
          <cell r="D283" t="str">
            <v xml:space="preserve">ACC TAXPAYROLL 07/11               </v>
          </cell>
          <cell r="E283">
            <v>3</v>
          </cell>
          <cell r="F283" t="str">
            <v>D</v>
          </cell>
          <cell r="G283">
            <v>3</v>
          </cell>
        </row>
        <row r="284">
          <cell r="A284">
            <v>249530</v>
          </cell>
          <cell r="B284" t="str">
            <v>2007/11</v>
          </cell>
          <cell r="C284">
            <v>421000</v>
          </cell>
          <cell r="D284" t="str">
            <v xml:space="preserve">ACC PAYROLL 07/11                  </v>
          </cell>
          <cell r="E284">
            <v>448</v>
          </cell>
          <cell r="F284" t="str">
            <v>C</v>
          </cell>
          <cell r="G284">
            <v>-448</v>
          </cell>
        </row>
        <row r="285">
          <cell r="A285">
            <v>249530</v>
          </cell>
          <cell r="B285" t="str">
            <v>2007/11</v>
          </cell>
          <cell r="C285">
            <v>448600</v>
          </cell>
          <cell r="D285" t="str">
            <v xml:space="preserve">ACC PAYROLL TAX 07/11              </v>
          </cell>
          <cell r="E285">
            <v>345</v>
          </cell>
          <cell r="F285" t="str">
            <v>C</v>
          </cell>
          <cell r="G285">
            <v>-345</v>
          </cell>
        </row>
        <row r="286">
          <cell r="A286">
            <v>342631</v>
          </cell>
          <cell r="B286" t="str">
            <v>2007/11</v>
          </cell>
          <cell r="C286">
            <v>622605</v>
          </cell>
          <cell r="D286" t="str">
            <v xml:space="preserve">ACCRUAL AUDIT CPA                  </v>
          </cell>
          <cell r="E286">
            <v>5490.84</v>
          </cell>
          <cell r="F286" t="str">
            <v>D</v>
          </cell>
          <cell r="G286">
            <v>5490.84</v>
          </cell>
        </row>
        <row r="287">
          <cell r="A287">
            <v>249530</v>
          </cell>
          <cell r="B287" t="str">
            <v>2007/11</v>
          </cell>
          <cell r="C287">
            <v>408100</v>
          </cell>
          <cell r="D287" t="str">
            <v xml:space="preserve">ACCRUAL AUDIT CPA                  </v>
          </cell>
          <cell r="E287">
            <v>5490.84</v>
          </cell>
          <cell r="F287" t="str">
            <v>C</v>
          </cell>
          <cell r="G287">
            <v>-5490.84</v>
          </cell>
        </row>
        <row r="288">
          <cell r="A288">
            <v>361108</v>
          </cell>
          <cell r="B288" t="str">
            <v>2007/11</v>
          </cell>
          <cell r="C288">
            <v>613200</v>
          </cell>
          <cell r="D288" t="str">
            <v xml:space="preserve">ACCRUAL RENT                       </v>
          </cell>
          <cell r="E288">
            <v>147</v>
          </cell>
          <cell r="F288" t="str">
            <v>D</v>
          </cell>
          <cell r="G288">
            <v>147</v>
          </cell>
        </row>
        <row r="289">
          <cell r="A289">
            <v>249530</v>
          </cell>
          <cell r="B289" t="str">
            <v>2007/11</v>
          </cell>
          <cell r="C289">
            <v>408100</v>
          </cell>
          <cell r="D289" t="str">
            <v xml:space="preserve">ACCRUAL RENT                       </v>
          </cell>
          <cell r="E289">
            <v>147</v>
          </cell>
          <cell r="F289" t="str">
            <v>C</v>
          </cell>
          <cell r="G289">
            <v>-147</v>
          </cell>
        </row>
        <row r="290">
          <cell r="A290">
            <v>263100</v>
          </cell>
          <cell r="B290" t="str">
            <v>2007/11</v>
          </cell>
          <cell r="C290">
            <v>445200</v>
          </cell>
          <cell r="D290" t="str">
            <v xml:space="preserve">AUTOLIQ TVA                        </v>
          </cell>
          <cell r="E290">
            <v>21797.43</v>
          </cell>
          <cell r="F290" t="str">
            <v>D</v>
          </cell>
          <cell r="G290">
            <v>21797.43</v>
          </cell>
        </row>
        <row r="291">
          <cell r="A291">
            <v>263161</v>
          </cell>
          <cell r="B291" t="str">
            <v>2007/11</v>
          </cell>
          <cell r="C291">
            <v>445661</v>
          </cell>
          <cell r="D291" t="str">
            <v xml:space="preserve">AUTOLIQ TVA                        </v>
          </cell>
          <cell r="E291">
            <v>21797.43</v>
          </cell>
          <cell r="F291" t="str">
            <v>C</v>
          </cell>
          <cell r="G291">
            <v>-21797.43</v>
          </cell>
        </row>
        <row r="292">
          <cell r="A292">
            <v>323860</v>
          </cell>
          <cell r="B292" t="str">
            <v>2007/11</v>
          </cell>
          <cell r="C292">
            <v>641110</v>
          </cell>
          <cell r="D292" t="str">
            <v xml:space="preserve">ACCRUAL BONUS PC                   </v>
          </cell>
          <cell r="E292">
            <v>6875</v>
          </cell>
          <cell r="F292" t="str">
            <v>D</v>
          </cell>
          <cell r="G292">
            <v>6875</v>
          </cell>
        </row>
        <row r="293">
          <cell r="A293">
            <v>249530</v>
          </cell>
          <cell r="B293" t="str">
            <v>2007/11</v>
          </cell>
          <cell r="C293">
            <v>421000</v>
          </cell>
          <cell r="D293" t="str">
            <v xml:space="preserve">ACCRUAL BONUS PC                   </v>
          </cell>
          <cell r="E293">
            <v>6875</v>
          </cell>
          <cell r="F293" t="str">
            <v>C</v>
          </cell>
          <cell r="G293">
            <v>-6875</v>
          </cell>
        </row>
        <row r="294">
          <cell r="A294">
            <v>325875</v>
          </cell>
          <cell r="B294" t="str">
            <v>2007/11</v>
          </cell>
          <cell r="C294">
            <v>645100</v>
          </cell>
          <cell r="D294" t="str">
            <v xml:space="preserve">ACCRUAL BONUS PC                   </v>
          </cell>
          <cell r="E294">
            <v>2750</v>
          </cell>
          <cell r="F294" t="str">
            <v>D</v>
          </cell>
          <cell r="G294">
            <v>2750</v>
          </cell>
        </row>
        <row r="295">
          <cell r="A295">
            <v>249530</v>
          </cell>
          <cell r="B295" t="str">
            <v>2007/11</v>
          </cell>
          <cell r="C295">
            <v>448600</v>
          </cell>
          <cell r="D295" t="str">
            <v xml:space="preserve">ACCRUAL BONUS PC                   </v>
          </cell>
          <cell r="E295">
            <v>2750</v>
          </cell>
          <cell r="F295" t="str">
            <v>C</v>
          </cell>
          <cell r="G295">
            <v>-2750</v>
          </cell>
        </row>
        <row r="296">
          <cell r="A296">
            <v>342637</v>
          </cell>
          <cell r="B296" t="str">
            <v>2007/11</v>
          </cell>
          <cell r="C296">
            <v>622601</v>
          </cell>
          <cell r="D296" t="str">
            <v xml:space="preserve">SIRCA 406310                       </v>
          </cell>
          <cell r="E296">
            <v>20000</v>
          </cell>
          <cell r="F296" t="str">
            <v>D</v>
          </cell>
          <cell r="G296">
            <v>20000</v>
          </cell>
        </row>
        <row r="297">
          <cell r="A297">
            <v>230068</v>
          </cell>
          <cell r="B297" t="str">
            <v>2007/11</v>
          </cell>
          <cell r="C297">
            <v>455000</v>
          </cell>
          <cell r="D297" t="str">
            <v xml:space="preserve">SIRCA 406310                       </v>
          </cell>
          <cell r="E297">
            <v>20000</v>
          </cell>
          <cell r="F297" t="str">
            <v>C</v>
          </cell>
          <cell r="G297">
            <v>-20000</v>
          </cell>
        </row>
        <row r="298">
          <cell r="A298">
            <v>263161</v>
          </cell>
          <cell r="B298" t="str">
            <v>2007/11</v>
          </cell>
          <cell r="C298">
            <v>445661</v>
          </cell>
          <cell r="D298" t="str">
            <v xml:space="preserve">SIRCA 406310                       </v>
          </cell>
          <cell r="E298">
            <v>3920</v>
          </cell>
          <cell r="F298" t="str">
            <v>D</v>
          </cell>
          <cell r="G298">
            <v>3920</v>
          </cell>
        </row>
        <row r="299">
          <cell r="A299">
            <v>263100</v>
          </cell>
          <cell r="B299" t="str">
            <v>2007/11</v>
          </cell>
          <cell r="C299">
            <v>445200</v>
          </cell>
          <cell r="D299" t="str">
            <v xml:space="preserve">SIRCA 406310                       </v>
          </cell>
          <cell r="E299">
            <v>3920</v>
          </cell>
          <cell r="F299" t="str">
            <v>C</v>
          </cell>
          <cell r="G299">
            <v>-3920</v>
          </cell>
        </row>
        <row r="300">
          <cell r="A300">
            <v>342637</v>
          </cell>
          <cell r="B300" t="str">
            <v>2007/11</v>
          </cell>
          <cell r="C300">
            <v>622601</v>
          </cell>
          <cell r="D300" t="str">
            <v xml:space="preserve">SIRCA 406387                       </v>
          </cell>
          <cell r="E300">
            <v>20046</v>
          </cell>
          <cell r="F300" t="str">
            <v>D</v>
          </cell>
          <cell r="G300">
            <v>20046</v>
          </cell>
        </row>
        <row r="301">
          <cell r="A301">
            <v>230068</v>
          </cell>
          <cell r="B301" t="str">
            <v>2007/11</v>
          </cell>
          <cell r="C301">
            <v>455000</v>
          </cell>
          <cell r="D301" t="str">
            <v xml:space="preserve">SIRCA 406387                       </v>
          </cell>
          <cell r="E301">
            <v>20046</v>
          </cell>
          <cell r="F301" t="str">
            <v>C</v>
          </cell>
          <cell r="G301">
            <v>-20046</v>
          </cell>
        </row>
        <row r="302">
          <cell r="A302">
            <v>263161</v>
          </cell>
          <cell r="B302" t="str">
            <v>2007/11</v>
          </cell>
          <cell r="C302">
            <v>445661</v>
          </cell>
          <cell r="D302" t="str">
            <v xml:space="preserve">SIRCA 406387                       </v>
          </cell>
          <cell r="E302">
            <v>3929.02</v>
          </cell>
          <cell r="F302" t="str">
            <v>D</v>
          </cell>
          <cell r="G302">
            <v>3929.02</v>
          </cell>
        </row>
        <row r="303">
          <cell r="A303">
            <v>263100</v>
          </cell>
          <cell r="B303" t="str">
            <v>2007/11</v>
          </cell>
          <cell r="C303">
            <v>445200</v>
          </cell>
          <cell r="D303" t="str">
            <v xml:space="preserve">SIRCA 406387                       </v>
          </cell>
          <cell r="E303">
            <v>3929.02</v>
          </cell>
          <cell r="F303" t="str">
            <v>C</v>
          </cell>
          <cell r="G303">
            <v>-3929.02</v>
          </cell>
        </row>
        <row r="304">
          <cell r="A304">
            <v>342637</v>
          </cell>
          <cell r="B304" t="str">
            <v>2007/11</v>
          </cell>
          <cell r="C304">
            <v>622601</v>
          </cell>
          <cell r="D304" t="str">
            <v xml:space="preserve">SIRCA 406435                       </v>
          </cell>
          <cell r="E304">
            <v>10177.1</v>
          </cell>
          <cell r="F304" t="str">
            <v>D</v>
          </cell>
          <cell r="G304">
            <v>10177.1</v>
          </cell>
        </row>
        <row r="305">
          <cell r="A305">
            <v>230068</v>
          </cell>
          <cell r="B305" t="str">
            <v>2007/11</v>
          </cell>
          <cell r="C305">
            <v>455000</v>
          </cell>
          <cell r="D305" t="str">
            <v xml:space="preserve">SIRCA 406435                       </v>
          </cell>
          <cell r="E305">
            <v>10177.1</v>
          </cell>
          <cell r="F305" t="str">
            <v>C</v>
          </cell>
          <cell r="G305">
            <v>-10177.1</v>
          </cell>
        </row>
        <row r="306">
          <cell r="A306">
            <v>263161</v>
          </cell>
          <cell r="B306" t="str">
            <v>2007/11</v>
          </cell>
          <cell r="C306">
            <v>445661</v>
          </cell>
          <cell r="D306" t="str">
            <v xml:space="preserve">SIRCA 406435                       </v>
          </cell>
          <cell r="E306">
            <v>1994.71</v>
          </cell>
          <cell r="F306" t="str">
            <v>D</v>
          </cell>
          <cell r="G306">
            <v>1994.71</v>
          </cell>
        </row>
        <row r="307">
          <cell r="A307">
            <v>263100</v>
          </cell>
          <cell r="B307" t="str">
            <v>2007/11</v>
          </cell>
          <cell r="C307">
            <v>445200</v>
          </cell>
          <cell r="D307" t="str">
            <v xml:space="preserve">SIRCA 406435                       </v>
          </cell>
          <cell r="E307">
            <v>1994.71</v>
          </cell>
          <cell r="F307" t="str">
            <v>C</v>
          </cell>
          <cell r="G307">
            <v>-1994.71</v>
          </cell>
        </row>
        <row r="308">
          <cell r="A308">
            <v>342637</v>
          </cell>
          <cell r="B308" t="str">
            <v>2007/11</v>
          </cell>
          <cell r="C308">
            <v>622601</v>
          </cell>
          <cell r="D308" t="str">
            <v xml:space="preserve">SIRCA 406523                       </v>
          </cell>
          <cell r="E308">
            <v>25000</v>
          </cell>
          <cell r="F308" t="str">
            <v>D</v>
          </cell>
          <cell r="G308">
            <v>25000</v>
          </cell>
        </row>
        <row r="309">
          <cell r="A309">
            <v>230068</v>
          </cell>
          <cell r="B309" t="str">
            <v>2007/11</v>
          </cell>
          <cell r="C309">
            <v>455000</v>
          </cell>
          <cell r="D309" t="str">
            <v xml:space="preserve">SIRCA 406523                       </v>
          </cell>
          <cell r="E309">
            <v>25000</v>
          </cell>
          <cell r="F309" t="str">
            <v>C</v>
          </cell>
          <cell r="G309">
            <v>-25000</v>
          </cell>
        </row>
        <row r="310">
          <cell r="A310">
            <v>263161</v>
          </cell>
          <cell r="B310" t="str">
            <v>2007/11</v>
          </cell>
          <cell r="C310">
            <v>445661</v>
          </cell>
          <cell r="D310" t="str">
            <v xml:space="preserve">SIRCA 406523                       </v>
          </cell>
          <cell r="E310">
            <v>4900</v>
          </cell>
          <cell r="F310" t="str">
            <v>D</v>
          </cell>
          <cell r="G310">
            <v>4900</v>
          </cell>
        </row>
        <row r="311">
          <cell r="A311">
            <v>263100</v>
          </cell>
          <cell r="B311" t="str">
            <v>2007/11</v>
          </cell>
          <cell r="C311">
            <v>445200</v>
          </cell>
          <cell r="D311" t="str">
            <v xml:space="preserve">SIRCA 406523                       </v>
          </cell>
          <cell r="E311">
            <v>4900</v>
          </cell>
          <cell r="F311" t="str">
            <v>C</v>
          </cell>
          <cell r="G311">
            <v>-4900</v>
          </cell>
        </row>
        <row r="312">
          <cell r="A312">
            <v>342437</v>
          </cell>
          <cell r="B312" t="str">
            <v>2007/11</v>
          </cell>
          <cell r="C312">
            <v>622602</v>
          </cell>
          <cell r="D312" t="str">
            <v xml:space="preserve">FISCHER 100994                     </v>
          </cell>
          <cell r="E312">
            <v>2854</v>
          </cell>
          <cell r="F312" t="str">
            <v>D</v>
          </cell>
          <cell r="G312">
            <v>2854</v>
          </cell>
        </row>
        <row r="313">
          <cell r="A313">
            <v>342437</v>
          </cell>
          <cell r="B313" t="str">
            <v>2007/11</v>
          </cell>
          <cell r="C313">
            <v>622602</v>
          </cell>
          <cell r="D313" t="str">
            <v xml:space="preserve">FISCHER 100995                     </v>
          </cell>
          <cell r="E313">
            <v>2892</v>
          </cell>
          <cell r="F313" t="str">
            <v>D</v>
          </cell>
          <cell r="G313">
            <v>2892</v>
          </cell>
        </row>
        <row r="314">
          <cell r="A314">
            <v>342437</v>
          </cell>
          <cell r="B314" t="str">
            <v>2007/11</v>
          </cell>
          <cell r="C314">
            <v>622602</v>
          </cell>
          <cell r="D314" t="str">
            <v xml:space="preserve">FISCHER 100998                     </v>
          </cell>
          <cell r="E314">
            <v>8274</v>
          </cell>
          <cell r="F314" t="str">
            <v>D</v>
          </cell>
          <cell r="G314">
            <v>8274</v>
          </cell>
        </row>
        <row r="315">
          <cell r="A315">
            <v>342437</v>
          </cell>
          <cell r="B315" t="str">
            <v>2007/11</v>
          </cell>
          <cell r="C315">
            <v>622602</v>
          </cell>
          <cell r="D315" t="str">
            <v xml:space="preserve">FISCHER 110000                     </v>
          </cell>
          <cell r="E315">
            <v>935.13</v>
          </cell>
          <cell r="F315" t="str">
            <v>D</v>
          </cell>
          <cell r="G315">
            <v>935.13</v>
          </cell>
        </row>
        <row r="316">
          <cell r="A316">
            <v>342437</v>
          </cell>
          <cell r="B316" t="str">
            <v>2007/11</v>
          </cell>
          <cell r="C316">
            <v>622602</v>
          </cell>
          <cell r="D316" t="str">
            <v xml:space="preserve">FISCHER 110001                     </v>
          </cell>
          <cell r="E316">
            <v>1248</v>
          </cell>
          <cell r="F316" t="str">
            <v>D</v>
          </cell>
          <cell r="G316">
            <v>1248</v>
          </cell>
        </row>
        <row r="317">
          <cell r="A317">
            <v>342437</v>
          </cell>
          <cell r="B317" t="str">
            <v>2007/11</v>
          </cell>
          <cell r="C317">
            <v>622602</v>
          </cell>
          <cell r="D317" t="str">
            <v xml:space="preserve">FISCHER 110029                     </v>
          </cell>
          <cell r="E317">
            <v>1924</v>
          </cell>
          <cell r="F317" t="str">
            <v>D</v>
          </cell>
          <cell r="G317">
            <v>1924</v>
          </cell>
        </row>
        <row r="318">
          <cell r="A318">
            <v>342437</v>
          </cell>
          <cell r="B318" t="str">
            <v>2007/11</v>
          </cell>
          <cell r="C318">
            <v>622602</v>
          </cell>
          <cell r="D318" t="str">
            <v xml:space="preserve">FISCHER 110143                     </v>
          </cell>
          <cell r="E318">
            <v>2630</v>
          </cell>
          <cell r="F318" t="str">
            <v>D</v>
          </cell>
          <cell r="G318">
            <v>2630</v>
          </cell>
        </row>
        <row r="319">
          <cell r="A319">
            <v>342437</v>
          </cell>
          <cell r="B319" t="str">
            <v>2007/11</v>
          </cell>
          <cell r="C319">
            <v>622602</v>
          </cell>
          <cell r="D319" t="str">
            <v xml:space="preserve">FISCHER 110148                     </v>
          </cell>
          <cell r="E319">
            <v>8362</v>
          </cell>
          <cell r="F319" t="str">
            <v>D</v>
          </cell>
          <cell r="G319">
            <v>8362</v>
          </cell>
        </row>
        <row r="320">
          <cell r="A320">
            <v>342437</v>
          </cell>
          <cell r="B320" t="str">
            <v>2007/11</v>
          </cell>
          <cell r="C320">
            <v>622602</v>
          </cell>
          <cell r="D320" t="str">
            <v xml:space="preserve">FISCHER 110152                     </v>
          </cell>
          <cell r="E320">
            <v>1140</v>
          </cell>
          <cell r="F320" t="str">
            <v>D</v>
          </cell>
          <cell r="G320">
            <v>1140</v>
          </cell>
        </row>
        <row r="321">
          <cell r="A321">
            <v>342437</v>
          </cell>
          <cell r="B321" t="str">
            <v>2007/11</v>
          </cell>
          <cell r="C321">
            <v>622602</v>
          </cell>
          <cell r="D321" t="str">
            <v xml:space="preserve">FISCHER 110142                     </v>
          </cell>
          <cell r="E321">
            <v>1680</v>
          </cell>
          <cell r="F321" t="str">
            <v>D</v>
          </cell>
          <cell r="G321">
            <v>1680</v>
          </cell>
        </row>
        <row r="322">
          <cell r="A322">
            <v>230068</v>
          </cell>
          <cell r="B322" t="str">
            <v>2007/11</v>
          </cell>
          <cell r="C322">
            <v>455002</v>
          </cell>
          <cell r="D322" t="str">
            <v xml:space="preserve">FISCHER 09/25                      </v>
          </cell>
          <cell r="E322">
            <v>31939.13</v>
          </cell>
          <cell r="F322" t="str">
            <v>C</v>
          </cell>
          <cell r="G322">
            <v>-31939.13</v>
          </cell>
        </row>
        <row r="323">
          <cell r="A323">
            <v>263161</v>
          </cell>
          <cell r="B323" t="str">
            <v>2007/11</v>
          </cell>
          <cell r="C323">
            <v>445661</v>
          </cell>
          <cell r="D323" t="str">
            <v xml:space="preserve">FISCHER VAT EU                     </v>
          </cell>
          <cell r="E323">
            <v>6260.07</v>
          </cell>
          <cell r="F323" t="str">
            <v>D</v>
          </cell>
          <cell r="G323">
            <v>6260.07</v>
          </cell>
        </row>
        <row r="324">
          <cell r="A324">
            <v>263100</v>
          </cell>
          <cell r="B324" t="str">
            <v>2007/11</v>
          </cell>
          <cell r="C324">
            <v>445200</v>
          </cell>
          <cell r="D324" t="str">
            <v xml:space="preserve">FISCHER VAT EU                     </v>
          </cell>
          <cell r="E324">
            <v>6260.07</v>
          </cell>
          <cell r="F324" t="str">
            <v>C</v>
          </cell>
          <cell r="G324">
            <v>-6260.07</v>
          </cell>
        </row>
        <row r="325">
          <cell r="A325">
            <v>369601</v>
          </cell>
          <cell r="B325" t="str">
            <v>2007/11</v>
          </cell>
          <cell r="C325">
            <v>622604</v>
          </cell>
          <cell r="D325" t="str">
            <v xml:space="preserve">MAESINA 2070423                    </v>
          </cell>
          <cell r="E325">
            <v>6000</v>
          </cell>
          <cell r="F325" t="str">
            <v>D</v>
          </cell>
          <cell r="G325">
            <v>6000</v>
          </cell>
        </row>
        <row r="326">
          <cell r="A326">
            <v>230068</v>
          </cell>
          <cell r="B326" t="str">
            <v>2007/11</v>
          </cell>
          <cell r="C326">
            <v>455002</v>
          </cell>
          <cell r="D326" t="str">
            <v xml:space="preserve">MAESINA 2070423                    </v>
          </cell>
          <cell r="E326">
            <v>7176</v>
          </cell>
          <cell r="F326" t="str">
            <v>C</v>
          </cell>
          <cell r="G326">
            <v>-7176</v>
          </cell>
        </row>
        <row r="327">
          <cell r="A327">
            <v>148550</v>
          </cell>
          <cell r="B327" t="str">
            <v>2007/11</v>
          </cell>
          <cell r="C327">
            <v>445660</v>
          </cell>
          <cell r="D327" t="str">
            <v xml:space="preserve">MAESINA 2070423                    </v>
          </cell>
          <cell r="E327">
            <v>1176</v>
          </cell>
          <cell r="F327" t="str">
            <v>D</v>
          </cell>
          <cell r="G327">
            <v>1176</v>
          </cell>
        </row>
        <row r="328">
          <cell r="A328">
            <v>312701</v>
          </cell>
          <cell r="B328" t="str">
            <v>2007/11</v>
          </cell>
          <cell r="C328">
            <v>604000</v>
          </cell>
          <cell r="D328" t="str">
            <v xml:space="preserve">PROSODIE 70711409                  </v>
          </cell>
          <cell r="E328">
            <v>8000</v>
          </cell>
          <cell r="F328" t="str">
            <v>D</v>
          </cell>
          <cell r="G328">
            <v>8000</v>
          </cell>
        </row>
        <row r="329">
          <cell r="A329">
            <v>148550</v>
          </cell>
          <cell r="B329" t="str">
            <v>2007/11</v>
          </cell>
          <cell r="C329">
            <v>445660</v>
          </cell>
          <cell r="D329" t="str">
            <v xml:space="preserve">PROSODIE 70711409                  </v>
          </cell>
          <cell r="E329">
            <v>1568</v>
          </cell>
          <cell r="F329" t="str">
            <v>D</v>
          </cell>
          <cell r="G329">
            <v>1568</v>
          </cell>
        </row>
        <row r="330">
          <cell r="A330">
            <v>230068</v>
          </cell>
          <cell r="B330" t="str">
            <v>2007/11</v>
          </cell>
          <cell r="C330">
            <v>455002</v>
          </cell>
          <cell r="D330" t="str">
            <v xml:space="preserve">PROSODIE 70711409                  </v>
          </cell>
          <cell r="E330">
            <v>9568</v>
          </cell>
          <cell r="F330" t="str">
            <v>C</v>
          </cell>
          <cell r="G330">
            <v>-9568</v>
          </cell>
        </row>
        <row r="331">
          <cell r="A331">
            <v>312730</v>
          </cell>
          <cell r="B331" t="str">
            <v>2007/11</v>
          </cell>
          <cell r="C331">
            <v>601100</v>
          </cell>
          <cell r="D331" t="str">
            <v xml:space="preserve">POINTER 21893                      </v>
          </cell>
          <cell r="E331">
            <v>3963.9</v>
          </cell>
          <cell r="F331" t="str">
            <v>D</v>
          </cell>
          <cell r="G331">
            <v>3963.9</v>
          </cell>
        </row>
        <row r="332">
          <cell r="A332">
            <v>230068</v>
          </cell>
          <cell r="B332" t="str">
            <v>2007/11</v>
          </cell>
          <cell r="C332">
            <v>455002</v>
          </cell>
          <cell r="D332" t="str">
            <v xml:space="preserve">POINTER 21893                      </v>
          </cell>
          <cell r="E332">
            <v>3963.9</v>
          </cell>
          <cell r="F332" t="str">
            <v>C</v>
          </cell>
          <cell r="G332">
            <v>-3963.9</v>
          </cell>
        </row>
        <row r="333">
          <cell r="A333">
            <v>263161</v>
          </cell>
          <cell r="B333" t="str">
            <v>2007/11</v>
          </cell>
          <cell r="C333">
            <v>445661</v>
          </cell>
          <cell r="D333" t="str">
            <v xml:space="preserve">POINTER 21893                      </v>
          </cell>
          <cell r="E333">
            <v>793.63</v>
          </cell>
          <cell r="F333" t="str">
            <v>D</v>
          </cell>
          <cell r="G333">
            <v>793.63</v>
          </cell>
        </row>
        <row r="334">
          <cell r="A334">
            <v>263100</v>
          </cell>
          <cell r="B334" t="str">
            <v>2007/11</v>
          </cell>
          <cell r="C334">
            <v>445200</v>
          </cell>
          <cell r="D334" t="str">
            <v xml:space="preserve">POINTER 21893                      </v>
          </cell>
          <cell r="E334">
            <v>793.63</v>
          </cell>
          <cell r="F334" t="str">
            <v>C</v>
          </cell>
          <cell r="G334">
            <v>-793.63</v>
          </cell>
        </row>
        <row r="335">
          <cell r="A335">
            <v>290001</v>
          </cell>
          <cell r="B335" t="str">
            <v>2007/11</v>
          </cell>
          <cell r="C335">
            <v>101300</v>
          </cell>
          <cell r="D335" t="str">
            <v xml:space="preserve">VERSEMENT CAPITAL                  </v>
          </cell>
          <cell r="E335">
            <v>7500</v>
          </cell>
          <cell r="F335" t="str">
            <v>C</v>
          </cell>
          <cell r="G335">
            <v>-7500</v>
          </cell>
        </row>
        <row r="336">
          <cell r="A336">
            <v>110303</v>
          </cell>
          <cell r="B336" t="str">
            <v>2007/11</v>
          </cell>
          <cell r="C336">
            <v>512100</v>
          </cell>
          <cell r="D336" t="str">
            <v xml:space="preserve">VERSEMENT CAPITAL                  </v>
          </cell>
          <cell r="E336">
            <v>7500</v>
          </cell>
          <cell r="F336" t="str">
            <v>D</v>
          </cell>
          <cell r="G336">
            <v>7500</v>
          </cell>
        </row>
        <row r="337">
          <cell r="A337">
            <v>342437</v>
          </cell>
          <cell r="B337" t="str">
            <v>2007/11</v>
          </cell>
          <cell r="C337">
            <v>622602</v>
          </cell>
          <cell r="D337" t="str">
            <v xml:space="preserve">FISCHER additional invoices   </v>
          </cell>
          <cell r="E337">
            <v>45353</v>
          </cell>
          <cell r="F337" t="str">
            <v>D</v>
          </cell>
          <cell r="G337">
            <v>45353</v>
          </cell>
        </row>
        <row r="338">
          <cell r="A338">
            <v>230068</v>
          </cell>
          <cell r="B338" t="str">
            <v>2007/11</v>
          </cell>
          <cell r="C338">
            <v>455002</v>
          </cell>
          <cell r="D338" t="str">
            <v xml:space="preserve">FISCHER                     </v>
          </cell>
          <cell r="E338">
            <v>45353</v>
          </cell>
          <cell r="F338" t="str">
            <v>C</v>
          </cell>
          <cell r="G338">
            <v>-45353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NC Marg (2)"/>
      <sheetName val="IS"/>
      <sheetName val="MNC Revenue"/>
      <sheetName val="MNC Marg"/>
      <sheetName val="MTI Marg"/>
      <sheetName val="MIS Marg"/>
      <sheetName val="MSC Marg"/>
      <sheetName val="MLS Marg"/>
      <sheetName val="Tickmarks"/>
      <sheetName val="M-2 (J-2)"/>
      <sheetName val="M-1"/>
    </sheetNames>
    <sheetDataSet>
      <sheetData sheetId="0">
        <row r="1">
          <cell r="A1" t="str">
            <v>MATSON NAVIGATION COMPANY</v>
          </cell>
        </row>
        <row r="2">
          <cell r="A2" t="str">
            <v>GROSS MARGIN ANALYSIS</v>
          </cell>
        </row>
        <row r="3">
          <cell r="A3" t="str">
            <v>DECEMBER 31, 1999</v>
          </cell>
        </row>
        <row r="6">
          <cell r="A6" t="str">
            <v>(shown in 000's)</v>
          </cell>
        </row>
        <row r="7">
          <cell r="B7" t="str">
            <v>BALANCE @</v>
          </cell>
          <cell r="C7" t="str">
            <v>%</v>
          </cell>
          <cell r="D7">
            <v>1999</v>
          </cell>
          <cell r="F7" t="str">
            <v>BALANCE @</v>
          </cell>
          <cell r="H7" t="str">
            <v>%</v>
          </cell>
        </row>
        <row r="8">
          <cell r="A8" t="str">
            <v>DESCRIPTION</v>
          </cell>
          <cell r="B8" t="str">
            <v>12/26/98</v>
          </cell>
          <cell r="C8" t="str">
            <v>OF REV</v>
          </cell>
          <cell r="D8" t="str">
            <v>EXPECTATION</v>
          </cell>
          <cell r="F8">
            <v>36525</v>
          </cell>
          <cell r="H8" t="str">
            <v>OF REV</v>
          </cell>
        </row>
        <row r="10">
          <cell r="A10" t="str">
            <v>OPERATING REVENUE:</v>
          </cell>
        </row>
        <row r="11">
          <cell r="A11" t="str">
            <v xml:space="preserve">  Hawaii </v>
          </cell>
          <cell r="B11">
            <v>438670</v>
          </cell>
          <cell r="D11">
            <v>444399.02900000004</v>
          </cell>
          <cell r="E11" t="str">
            <v>&lt;A&gt;</v>
          </cell>
          <cell r="F11">
            <v>444991</v>
          </cell>
          <cell r="G11" t="str">
            <v>&lt;E&gt;</v>
          </cell>
          <cell r="H11">
            <v>0.7406098754418784</v>
          </cell>
        </row>
        <row r="12">
          <cell r="A12" t="str">
            <v xml:space="preserve">  Mid-Pacific Service</v>
          </cell>
          <cell r="B12">
            <v>14983</v>
          </cell>
          <cell r="D12">
            <v>12710.596</v>
          </cell>
          <cell r="E12" t="str">
            <v>&lt;B&gt;</v>
          </cell>
          <cell r="F12">
            <v>12896</v>
          </cell>
          <cell r="G12" t="str">
            <v>&lt;F&gt;</v>
          </cell>
          <cell r="H12">
            <v>2.146314184713503E-2</v>
          </cell>
        </row>
        <row r="13">
          <cell r="A13" t="str">
            <v xml:space="preserve">  Pacific Coast Service</v>
          </cell>
          <cell r="B13">
            <v>24773</v>
          </cell>
          <cell r="D13">
            <v>22925.418999999998</v>
          </cell>
          <cell r="E13" t="str">
            <v>&lt;C&gt;</v>
          </cell>
          <cell r="F13">
            <v>23661</v>
          </cell>
          <cell r="G13" t="str">
            <v>&lt;G&gt;</v>
          </cell>
          <cell r="H13">
            <v>3.9379606020863982E-2</v>
          </cell>
        </row>
        <row r="14">
          <cell r="A14" t="str">
            <v xml:space="preserve">  Guam/Alliance Service</v>
          </cell>
          <cell r="B14">
            <v>82233</v>
          </cell>
          <cell r="D14">
            <v>67420.456000000006</v>
          </cell>
          <cell r="E14" t="str">
            <v>&lt;D&gt;</v>
          </cell>
          <cell r="F14">
            <v>68591</v>
          </cell>
          <cell r="G14" t="str">
            <v>&lt;H&gt;</v>
          </cell>
          <cell r="H14">
            <v>0.11415775142965562</v>
          </cell>
        </row>
        <row r="15">
          <cell r="A15" t="str">
            <v xml:space="preserve">  Charter Hire</v>
          </cell>
          <cell r="B15">
            <v>1169</v>
          </cell>
          <cell r="F15">
            <v>50705</v>
          </cell>
          <cell r="G15" t="str">
            <v>&lt;I&gt;</v>
          </cell>
          <cell r="H15">
            <v>8.4389625260466949E-2</v>
          </cell>
        </row>
        <row r="16">
          <cell r="B16">
            <v>561828</v>
          </cell>
          <cell r="D16">
            <v>547455.5</v>
          </cell>
          <cell r="F16">
            <v>600844</v>
          </cell>
        </row>
        <row r="18">
          <cell r="A18" t="str">
            <v>OPERATING EXPENSE:</v>
          </cell>
        </row>
        <row r="19">
          <cell r="A19" t="str">
            <v xml:space="preserve">  Total Cargo Handling Expense</v>
          </cell>
          <cell r="B19">
            <v>120217</v>
          </cell>
          <cell r="D19" t="str">
            <v>{f}</v>
          </cell>
          <cell r="F19">
            <v>153869</v>
          </cell>
          <cell r="G19" t="str">
            <v>8110[M]</v>
          </cell>
          <cell r="H19">
            <v>-33652</v>
          </cell>
        </row>
        <row r="20">
          <cell r="A20" t="str">
            <v xml:space="preserve">  Total Vessel &amp; Voyage Expense</v>
          </cell>
          <cell r="B20">
            <v>98224</v>
          </cell>
          <cell r="C20">
            <v>0.1748293071901009</v>
          </cell>
          <cell r="D20">
            <v>105045.14024932898</v>
          </cell>
          <cell r="E20" t="str">
            <v>{g}</v>
          </cell>
          <cell r="F20">
            <v>103916</v>
          </cell>
          <cell r="G20" t="str">
            <v>8110[M]</v>
          </cell>
        </row>
        <row r="21">
          <cell r="A21" t="str">
            <v xml:space="preserve">  Total Other Direct Operating OH Expense</v>
          </cell>
          <cell r="B21">
            <v>179840</v>
          </cell>
          <cell r="D21" t="str">
            <v>{f}</v>
          </cell>
          <cell r="F21">
            <v>157210</v>
          </cell>
          <cell r="G21" t="str">
            <v>8110[M]</v>
          </cell>
          <cell r="H21">
            <v>22630</v>
          </cell>
        </row>
        <row r="23">
          <cell r="A23" t="str">
            <v xml:space="preserve">     TOTAL OPERATING EXPENSES</v>
          </cell>
          <cell r="B23">
            <v>398281</v>
          </cell>
          <cell r="F23">
            <v>414995</v>
          </cell>
          <cell r="G23" t="str">
            <v>&lt;H&gt;</v>
          </cell>
          <cell r="H23">
            <v>-11022</v>
          </cell>
        </row>
        <row r="25">
          <cell r="A25" t="str">
            <v xml:space="preserve">     GROSS MARGIN</v>
          </cell>
          <cell r="B25">
            <v>163547</v>
          </cell>
          <cell r="F25">
            <v>185849</v>
          </cell>
        </row>
        <row r="27">
          <cell r="A27" t="str">
            <v xml:space="preserve">     GROSS PROFIT %</v>
          </cell>
          <cell r="B27">
            <v>0.29109798728436459</v>
          </cell>
          <cell r="F27">
            <v>0.30931323271930816</v>
          </cell>
        </row>
      </sheetData>
      <sheetData sheetId="1"/>
      <sheetData sheetId="2"/>
      <sheetData sheetId="3" refreshError="1"/>
      <sheetData sheetId="4" refreshError="1"/>
      <sheetData sheetId="5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Financials -&gt;"/>
      <sheetName val="Talking Points"/>
      <sheetName val="Pre-tax NI roll"/>
      <sheetName val="BHN Income Roll-Up"/>
      <sheetName val="Platinum"/>
      <sheetName val="BHN Other Revenue Summary"/>
      <sheetName val="BHN Revenue Detail - YTD"/>
      <sheetName val="BHN Revenue Detail - Q2"/>
      <sheetName val="PMF Revenue Detail"/>
      <sheetName val="Cash Flow Summary"/>
      <sheetName val="Turnover calculation"/>
      <sheetName val="Key Metrics -&gt;"/>
      <sheetName val="Balance Sheet"/>
      <sheetName val="FV Sales by Productline"/>
      <sheetName val="FV Sales by Region"/>
      <sheetName val="FV by Product Detail $"/>
      <sheetName val="FV by Product Detail %"/>
      <sheetName val="FV Seasonality"/>
      <sheetName val="Store Productivity and Roll-Fwd"/>
      <sheetName val="Key Metrics I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>
        <row r="3">
          <cell r="Y3">
            <v>1000000</v>
          </cell>
        </row>
      </sheetData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COST CENTER LISTING"/>
      <sheetName val="Active GL Accts"/>
      <sheetName val="Detail GL Accts w.Acct Unit"/>
      <sheetName val="FV by Product Detail $"/>
      <sheetName val="2008 Actual"/>
      <sheetName val="data"/>
    </sheetNames>
    <sheetDataSet>
      <sheetData sheetId="0">
        <row r="3">
          <cell r="A3" t="str">
            <v>ACCT-UNIT</v>
          </cell>
        </row>
      </sheetData>
      <sheetData sheetId="1">
        <row r="3">
          <cell r="A3" t="str">
            <v>ACCT-UNIT</v>
          </cell>
        </row>
      </sheetData>
      <sheetData sheetId="2">
        <row r="3">
          <cell r="A3" t="str">
            <v>ACCT-UNIT</v>
          </cell>
        </row>
      </sheetData>
      <sheetData sheetId="3">
        <row r="3">
          <cell r="A3" t="str">
            <v>ACCT-UNIT</v>
          </cell>
          <cell r="B3" t="str">
            <v>ACCOUNT</v>
          </cell>
          <cell r="C3" t="str">
            <v>ACCT-DESC</v>
          </cell>
        </row>
        <row r="4">
          <cell r="A4">
            <v>8001054179</v>
          </cell>
          <cell r="B4">
            <v>110002</v>
          </cell>
          <cell r="C4" t="str">
            <v>EXTRA CHANGE (FLOATING) FUNDS</v>
          </cell>
        </row>
        <row r="5">
          <cell r="A5">
            <v>8001059542</v>
          </cell>
          <cell r="B5">
            <v>110002</v>
          </cell>
          <cell r="C5" t="str">
            <v>EXTRA CHANGE (FLOATING) FUNDS</v>
          </cell>
        </row>
        <row r="6">
          <cell r="A6">
            <v>8010512510</v>
          </cell>
          <cell r="B6">
            <v>110002</v>
          </cell>
          <cell r="C6" t="str">
            <v>EXTRA CHANGE (FLOATING) FUNDS</v>
          </cell>
        </row>
        <row r="7">
          <cell r="A7">
            <v>9969681</v>
          </cell>
          <cell r="B7">
            <v>110002</v>
          </cell>
          <cell r="C7" t="str">
            <v>EXTRA CHANGE (FLOATING) FUNDS</v>
          </cell>
        </row>
        <row r="8">
          <cell r="A8">
            <v>9969901</v>
          </cell>
          <cell r="B8">
            <v>110002</v>
          </cell>
          <cell r="C8" t="str">
            <v>EXTRA CHANGE (FLOATING) FUNDS</v>
          </cell>
        </row>
        <row r="9">
          <cell r="A9" t="str">
            <v>ZONE-0105-POST</v>
          </cell>
          <cell r="B9">
            <v>110002</v>
          </cell>
          <cell r="C9" t="str">
            <v>EXTRA CHANGE (FLOATING) FUNDS</v>
          </cell>
        </row>
        <row r="10">
          <cell r="A10" t="str">
            <v>ZONE-0112-POST</v>
          </cell>
          <cell r="B10">
            <v>110002</v>
          </cell>
          <cell r="C10" t="str">
            <v>EXTRA CHANGE (FLOATING) FUNDS</v>
          </cell>
        </row>
        <row r="11">
          <cell r="A11">
            <v>8001054179</v>
          </cell>
          <cell r="B11">
            <v>110100</v>
          </cell>
          <cell r="C11" t="str">
            <v>PETTY CASH</v>
          </cell>
        </row>
        <row r="12">
          <cell r="A12">
            <v>8001059542</v>
          </cell>
          <cell r="B12">
            <v>110100</v>
          </cell>
          <cell r="C12" t="str">
            <v>PETTY CASH</v>
          </cell>
        </row>
        <row r="13">
          <cell r="A13">
            <v>8010512510</v>
          </cell>
          <cell r="B13">
            <v>110100</v>
          </cell>
          <cell r="C13" t="str">
            <v>PETTY CASH</v>
          </cell>
        </row>
        <row r="14">
          <cell r="A14">
            <v>9090999</v>
          </cell>
          <cell r="B14">
            <v>110100</v>
          </cell>
          <cell r="C14" t="str">
            <v>PETTY CASH</v>
          </cell>
        </row>
        <row r="15">
          <cell r="A15">
            <v>9100999</v>
          </cell>
          <cell r="B15">
            <v>110100</v>
          </cell>
          <cell r="C15" t="str">
            <v>PETTY CASH</v>
          </cell>
        </row>
        <row r="16">
          <cell r="A16">
            <v>9969681</v>
          </cell>
          <cell r="B16">
            <v>110100</v>
          </cell>
          <cell r="C16" t="str">
            <v>PETTY CASH</v>
          </cell>
        </row>
        <row r="17">
          <cell r="A17">
            <v>9969901</v>
          </cell>
          <cell r="B17">
            <v>110100</v>
          </cell>
          <cell r="C17" t="str">
            <v>PETTY CASH</v>
          </cell>
        </row>
        <row r="18">
          <cell r="A18" t="str">
            <v>ZONE-0105-POST</v>
          </cell>
          <cell r="B18">
            <v>110100</v>
          </cell>
          <cell r="C18" t="str">
            <v>PETTY CASH</v>
          </cell>
        </row>
        <row r="19">
          <cell r="A19" t="str">
            <v>ZONE-0112-POST</v>
          </cell>
          <cell r="B19">
            <v>110100</v>
          </cell>
          <cell r="C19" t="str">
            <v>PETTY CASH</v>
          </cell>
        </row>
        <row r="20">
          <cell r="A20">
            <v>9722709</v>
          </cell>
          <cell r="B20">
            <v>110300</v>
          </cell>
          <cell r="C20" t="str">
            <v>CASH IN BANK(S)</v>
          </cell>
        </row>
        <row r="21">
          <cell r="A21">
            <v>9722713</v>
          </cell>
          <cell r="B21">
            <v>110300</v>
          </cell>
          <cell r="C21" t="str">
            <v>CASH IN BANK(S)</v>
          </cell>
        </row>
        <row r="22">
          <cell r="A22">
            <v>9966681</v>
          </cell>
          <cell r="B22">
            <v>110300</v>
          </cell>
          <cell r="C22" t="str">
            <v>CASH IN BANK(S)</v>
          </cell>
        </row>
        <row r="23">
          <cell r="A23">
            <v>9967681</v>
          </cell>
          <cell r="B23">
            <v>110300</v>
          </cell>
          <cell r="C23" t="str">
            <v>CASH IN BANK(S)</v>
          </cell>
        </row>
        <row r="24">
          <cell r="A24">
            <v>8001054179</v>
          </cell>
          <cell r="B24">
            <v>110301</v>
          </cell>
          <cell r="C24" t="str">
            <v>CASH IN BANK (U.S. FUNDS)</v>
          </cell>
        </row>
        <row r="25">
          <cell r="A25">
            <v>8001059542</v>
          </cell>
          <cell r="B25">
            <v>110301</v>
          </cell>
          <cell r="C25" t="str">
            <v>CASH IN BANK (U.S. FUNDS)</v>
          </cell>
        </row>
        <row r="26">
          <cell r="A26">
            <v>8010512510</v>
          </cell>
          <cell r="B26">
            <v>110301</v>
          </cell>
          <cell r="C26" t="str">
            <v>CASH IN BANK (U.S. FUNDS)</v>
          </cell>
        </row>
        <row r="27">
          <cell r="A27">
            <v>9969681</v>
          </cell>
          <cell r="B27">
            <v>110301</v>
          </cell>
          <cell r="C27" t="str">
            <v>CASH IN BANK (U.S. FUNDS)</v>
          </cell>
        </row>
        <row r="28">
          <cell r="A28">
            <v>9969901</v>
          </cell>
          <cell r="B28">
            <v>110301</v>
          </cell>
          <cell r="C28" t="str">
            <v>CASH IN BANK (U.S. FUNDS)</v>
          </cell>
        </row>
        <row r="29">
          <cell r="A29" t="str">
            <v>ZONE-0105-POST</v>
          </cell>
          <cell r="B29">
            <v>110301</v>
          </cell>
          <cell r="C29" t="str">
            <v>CASH IN BANK (U.S. FUNDS)</v>
          </cell>
        </row>
        <row r="30">
          <cell r="A30" t="str">
            <v>ZONE-0112-POST</v>
          </cell>
          <cell r="B30">
            <v>110301</v>
          </cell>
          <cell r="C30" t="str">
            <v>CASH IN BANK (U.S. FUNDS)</v>
          </cell>
        </row>
        <row r="31">
          <cell r="A31">
            <v>8001054179</v>
          </cell>
          <cell r="B31">
            <v>110302</v>
          </cell>
          <cell r="C31" t="str">
            <v>CASH IN BANK - OTHER</v>
          </cell>
        </row>
        <row r="32">
          <cell r="A32">
            <v>8001059542</v>
          </cell>
          <cell r="B32">
            <v>110302</v>
          </cell>
          <cell r="C32" t="str">
            <v>CASH IN BANK - OTHER</v>
          </cell>
        </row>
        <row r="33">
          <cell r="A33">
            <v>8010512510</v>
          </cell>
          <cell r="B33">
            <v>110302</v>
          </cell>
          <cell r="C33" t="str">
            <v>CASH IN BANK - OTHER</v>
          </cell>
        </row>
        <row r="34">
          <cell r="A34">
            <v>9080999</v>
          </cell>
          <cell r="B34">
            <v>110302</v>
          </cell>
          <cell r="C34" t="str">
            <v>CASH IN BANK - OTHER</v>
          </cell>
        </row>
        <row r="35">
          <cell r="A35">
            <v>9110999</v>
          </cell>
          <cell r="B35">
            <v>110302</v>
          </cell>
          <cell r="C35" t="str">
            <v>CASH IN BANK - OTHER</v>
          </cell>
        </row>
        <row r="36">
          <cell r="A36">
            <v>9722709</v>
          </cell>
          <cell r="B36">
            <v>110302</v>
          </cell>
          <cell r="C36" t="str">
            <v>CASH IN BANK - OTHER</v>
          </cell>
        </row>
        <row r="37">
          <cell r="A37">
            <v>9722713</v>
          </cell>
          <cell r="B37">
            <v>110302</v>
          </cell>
          <cell r="C37" t="str">
            <v>CASH IN BANK - OTHER</v>
          </cell>
        </row>
        <row r="38">
          <cell r="A38">
            <v>9966681</v>
          </cell>
          <cell r="B38">
            <v>110302</v>
          </cell>
          <cell r="C38" t="str">
            <v>CASH IN BANK - OTHER</v>
          </cell>
        </row>
        <row r="39">
          <cell r="A39">
            <v>9967681</v>
          </cell>
          <cell r="B39">
            <v>110302</v>
          </cell>
          <cell r="C39" t="str">
            <v>CASH IN BANK - OTHER</v>
          </cell>
        </row>
        <row r="40">
          <cell r="A40">
            <v>9968681</v>
          </cell>
          <cell r="B40">
            <v>110302</v>
          </cell>
          <cell r="C40" t="str">
            <v>CASH IN BANK - OTHER</v>
          </cell>
        </row>
        <row r="41">
          <cell r="A41">
            <v>9969681</v>
          </cell>
          <cell r="B41">
            <v>110302</v>
          </cell>
          <cell r="C41" t="str">
            <v>CASH IN BANK - OTHER</v>
          </cell>
        </row>
        <row r="42">
          <cell r="A42">
            <v>9969901</v>
          </cell>
          <cell r="B42">
            <v>110302</v>
          </cell>
          <cell r="C42" t="str">
            <v>CASH IN BANK - OTHER</v>
          </cell>
        </row>
        <row r="43">
          <cell r="A43" t="str">
            <v>ZONE-0105-POST</v>
          </cell>
          <cell r="B43">
            <v>110302</v>
          </cell>
          <cell r="C43" t="str">
            <v>CASH IN BANK - OTHER</v>
          </cell>
        </row>
        <row r="44">
          <cell r="A44" t="str">
            <v>ZONE-0112-POST</v>
          </cell>
          <cell r="B44">
            <v>110302</v>
          </cell>
          <cell r="C44" t="str">
            <v>CASH IN BANK - OTHER</v>
          </cell>
        </row>
        <row r="45">
          <cell r="A45">
            <v>8001093644</v>
          </cell>
          <cell r="B45">
            <v>110310</v>
          </cell>
          <cell r="C45" t="str">
            <v>CASH IN BANKS</v>
          </cell>
        </row>
        <row r="46">
          <cell r="A46">
            <v>8001096244</v>
          </cell>
          <cell r="B46">
            <v>110310</v>
          </cell>
          <cell r="C46" t="str">
            <v>CASH IN BANKS</v>
          </cell>
        </row>
        <row r="47">
          <cell r="A47">
            <v>8001097026</v>
          </cell>
          <cell r="B47">
            <v>110310</v>
          </cell>
          <cell r="C47" t="str">
            <v>CASH IN BANKS</v>
          </cell>
        </row>
        <row r="48">
          <cell r="A48">
            <v>8001097097</v>
          </cell>
          <cell r="B48">
            <v>110310</v>
          </cell>
          <cell r="C48" t="str">
            <v>CASH IN BANKS</v>
          </cell>
        </row>
        <row r="49">
          <cell r="A49">
            <v>8001097513</v>
          </cell>
          <cell r="B49">
            <v>110310</v>
          </cell>
          <cell r="C49" t="str">
            <v>CASH IN BANKS</v>
          </cell>
        </row>
        <row r="50">
          <cell r="A50">
            <v>8001097629</v>
          </cell>
          <cell r="B50">
            <v>110310</v>
          </cell>
          <cell r="C50" t="str">
            <v>CASH IN BANKS</v>
          </cell>
        </row>
        <row r="51">
          <cell r="A51">
            <v>8001097645</v>
          </cell>
          <cell r="B51">
            <v>110310</v>
          </cell>
          <cell r="C51" t="str">
            <v>CASH IN BANKS</v>
          </cell>
        </row>
        <row r="52">
          <cell r="A52">
            <v>8001102535</v>
          </cell>
          <cell r="B52">
            <v>110310</v>
          </cell>
          <cell r="C52" t="str">
            <v>CASH IN BANKS</v>
          </cell>
        </row>
        <row r="53">
          <cell r="A53">
            <v>8001103131</v>
          </cell>
          <cell r="B53">
            <v>110310</v>
          </cell>
          <cell r="C53" t="str">
            <v>CASH IN BANKS</v>
          </cell>
        </row>
        <row r="54">
          <cell r="A54">
            <v>8001104714</v>
          </cell>
          <cell r="B54">
            <v>110310</v>
          </cell>
          <cell r="C54" t="str">
            <v>CASH IN BANKS</v>
          </cell>
        </row>
        <row r="55">
          <cell r="A55">
            <v>8006812246</v>
          </cell>
          <cell r="B55">
            <v>110310</v>
          </cell>
          <cell r="C55" t="str">
            <v>CASH IN BANKS</v>
          </cell>
        </row>
        <row r="56">
          <cell r="A56">
            <v>8006818659</v>
          </cell>
          <cell r="B56">
            <v>110310</v>
          </cell>
          <cell r="C56" t="str">
            <v>CASH IN BANKS</v>
          </cell>
        </row>
        <row r="57">
          <cell r="A57">
            <v>8006819586</v>
          </cell>
          <cell r="B57">
            <v>110310</v>
          </cell>
          <cell r="C57" t="str">
            <v>CASH IN BANKS</v>
          </cell>
        </row>
        <row r="58">
          <cell r="A58">
            <v>8006819599</v>
          </cell>
          <cell r="B58">
            <v>110310</v>
          </cell>
          <cell r="C58" t="str">
            <v>CASH IN BANKS</v>
          </cell>
        </row>
        <row r="59">
          <cell r="A59">
            <v>8007212178</v>
          </cell>
          <cell r="B59">
            <v>110310</v>
          </cell>
          <cell r="C59" t="str">
            <v>CASH IN BANKS</v>
          </cell>
        </row>
        <row r="60">
          <cell r="A60">
            <v>8007215777</v>
          </cell>
          <cell r="B60">
            <v>110310</v>
          </cell>
          <cell r="C60" t="str">
            <v>CASH IN BANKS</v>
          </cell>
        </row>
        <row r="61">
          <cell r="A61">
            <v>8007218662</v>
          </cell>
          <cell r="B61">
            <v>110310</v>
          </cell>
          <cell r="C61" t="str">
            <v>CASH IN BANKS</v>
          </cell>
        </row>
        <row r="62">
          <cell r="A62">
            <v>8007219609</v>
          </cell>
          <cell r="B62">
            <v>110310</v>
          </cell>
          <cell r="C62" t="str">
            <v>CASH IN BANKS</v>
          </cell>
        </row>
        <row r="63">
          <cell r="A63">
            <v>9090999</v>
          </cell>
          <cell r="B63">
            <v>110310</v>
          </cell>
          <cell r="C63" t="str">
            <v>CASH IN BANKS</v>
          </cell>
        </row>
        <row r="64">
          <cell r="A64">
            <v>9100999</v>
          </cell>
          <cell r="B64">
            <v>110310</v>
          </cell>
          <cell r="C64" t="str">
            <v>CASH IN BANKS</v>
          </cell>
        </row>
        <row r="65">
          <cell r="A65">
            <v>9080999</v>
          </cell>
          <cell r="B65">
            <v>110315</v>
          </cell>
          <cell r="C65" t="str">
            <v>BANK CLEARING - DEPOSITORIES</v>
          </cell>
        </row>
        <row r="66">
          <cell r="A66">
            <v>9090999</v>
          </cell>
          <cell r="B66">
            <v>110315</v>
          </cell>
          <cell r="C66" t="str">
            <v>BANK CLEARING - DEPOSITORIES</v>
          </cell>
        </row>
        <row r="67">
          <cell r="A67">
            <v>9100999</v>
          </cell>
          <cell r="B67">
            <v>110315</v>
          </cell>
          <cell r="C67" t="str">
            <v>BANK CLEARING - DEPOSITORIES</v>
          </cell>
        </row>
        <row r="68">
          <cell r="A68">
            <v>9110999</v>
          </cell>
          <cell r="B68">
            <v>110315</v>
          </cell>
          <cell r="C68" t="str">
            <v>BANK CLEARING - DEPOSITORIES</v>
          </cell>
        </row>
        <row r="69">
          <cell r="A69">
            <v>9689999</v>
          </cell>
          <cell r="B69">
            <v>110315</v>
          </cell>
          <cell r="C69" t="str">
            <v>BANK CLEARING - DEPOSITORIES</v>
          </cell>
        </row>
        <row r="70">
          <cell r="A70">
            <v>9090999</v>
          </cell>
          <cell r="B70">
            <v>110400</v>
          </cell>
          <cell r="C70" t="str">
            <v>BANK CREDIT PLAN - VISA</v>
          </cell>
        </row>
        <row r="71">
          <cell r="A71">
            <v>9100999</v>
          </cell>
          <cell r="B71">
            <v>110400</v>
          </cell>
          <cell r="C71" t="str">
            <v>BANK CREDIT PLAN - VISA</v>
          </cell>
        </row>
        <row r="72">
          <cell r="A72">
            <v>8001093644</v>
          </cell>
          <cell r="B72">
            <v>110900</v>
          </cell>
          <cell r="C72" t="str">
            <v>CASH IN BANK CLEARING DEPOSIT</v>
          </cell>
        </row>
        <row r="73">
          <cell r="A73">
            <v>9080999</v>
          </cell>
          <cell r="B73">
            <v>110900</v>
          </cell>
          <cell r="C73" t="str">
            <v>CASH IN BANK CLEARING DEPOSIT</v>
          </cell>
        </row>
        <row r="74">
          <cell r="A74">
            <v>9090999</v>
          </cell>
          <cell r="B74">
            <v>110900</v>
          </cell>
          <cell r="C74" t="str">
            <v>CASH IN BANK CLEARING DEPOSIT</v>
          </cell>
        </row>
        <row r="75">
          <cell r="A75">
            <v>9110999</v>
          </cell>
          <cell r="B75">
            <v>110900</v>
          </cell>
          <cell r="C75" t="str">
            <v>CASH IN BANK CLEARING DEPOSIT</v>
          </cell>
        </row>
        <row r="76">
          <cell r="A76">
            <v>9689999</v>
          </cell>
          <cell r="B76">
            <v>110900</v>
          </cell>
          <cell r="C76" t="str">
            <v>CASH IN BANK CLEARING DEPOSIT</v>
          </cell>
        </row>
        <row r="77">
          <cell r="A77">
            <v>9722709</v>
          </cell>
          <cell r="B77">
            <v>110900</v>
          </cell>
          <cell r="C77" t="str">
            <v>CASH IN BANK CLEARING DEPOSIT</v>
          </cell>
        </row>
        <row r="78">
          <cell r="A78">
            <v>9722713</v>
          </cell>
          <cell r="B78">
            <v>110900</v>
          </cell>
          <cell r="C78" t="str">
            <v>CASH IN BANK CLEARING DEPOSIT</v>
          </cell>
        </row>
        <row r="79">
          <cell r="A79">
            <v>9729999</v>
          </cell>
          <cell r="B79">
            <v>110900</v>
          </cell>
          <cell r="C79" t="str">
            <v>CASH IN BANK CLEARING DEPOSIT</v>
          </cell>
        </row>
        <row r="80">
          <cell r="A80">
            <v>9969681</v>
          </cell>
          <cell r="B80">
            <v>110900</v>
          </cell>
          <cell r="C80" t="str">
            <v>CASH IN BANK CLEARING DEPOSIT</v>
          </cell>
        </row>
        <row r="81">
          <cell r="A81">
            <v>9689999</v>
          </cell>
          <cell r="B81">
            <v>110991</v>
          </cell>
          <cell r="C81" t="str">
            <v>CASH - CLEARING</v>
          </cell>
        </row>
        <row r="82">
          <cell r="A82">
            <v>9080999</v>
          </cell>
          <cell r="B82">
            <v>115001</v>
          </cell>
          <cell r="C82" t="str">
            <v>INVESTMENT - SHORT TERM - CASH</v>
          </cell>
        </row>
        <row r="83">
          <cell r="A83">
            <v>9110999</v>
          </cell>
          <cell r="B83">
            <v>115001</v>
          </cell>
          <cell r="C83" t="str">
            <v>INVESTMENT - SHORT TERM - CASH</v>
          </cell>
        </row>
        <row r="84">
          <cell r="A84">
            <v>9689999</v>
          </cell>
          <cell r="B84">
            <v>115001</v>
          </cell>
          <cell r="C84" t="str">
            <v>INVESTMENT - SHORT TERM - CASH</v>
          </cell>
        </row>
        <row r="85">
          <cell r="A85">
            <v>9723723</v>
          </cell>
          <cell r="B85">
            <v>125101</v>
          </cell>
          <cell r="C85" t="str">
            <v>M.I.T. - OUTSIDE VENDORS GROC</v>
          </cell>
        </row>
        <row r="86">
          <cell r="A86">
            <v>9723729</v>
          </cell>
          <cell r="B86">
            <v>125101</v>
          </cell>
          <cell r="C86" t="str">
            <v>M.I.T. - OUTSIDE VENDORS GROC</v>
          </cell>
        </row>
        <row r="87">
          <cell r="A87">
            <v>9090999</v>
          </cell>
          <cell r="B87">
            <v>130001</v>
          </cell>
          <cell r="C87" t="str">
            <v>A/R - INTER-INTRA COMPANY</v>
          </cell>
        </row>
        <row r="88">
          <cell r="A88">
            <v>9100999</v>
          </cell>
          <cell r="B88">
            <v>130001</v>
          </cell>
          <cell r="C88" t="str">
            <v>A/R - INTER-INTRA COMPANY</v>
          </cell>
        </row>
        <row r="89">
          <cell r="A89">
            <v>8001054179</v>
          </cell>
          <cell r="B89">
            <v>130051</v>
          </cell>
          <cell r="C89" t="str">
            <v>A/R - RETAIL - CSL</v>
          </cell>
        </row>
        <row r="90">
          <cell r="A90">
            <v>8001059542</v>
          </cell>
          <cell r="B90">
            <v>130051</v>
          </cell>
          <cell r="C90" t="str">
            <v>A/R - RETAIL - CSL</v>
          </cell>
        </row>
        <row r="91">
          <cell r="A91">
            <v>8010512510</v>
          </cell>
          <cell r="B91">
            <v>130051</v>
          </cell>
          <cell r="C91" t="str">
            <v>A/R - RETAIL - CSL</v>
          </cell>
        </row>
        <row r="92">
          <cell r="A92">
            <v>9969681</v>
          </cell>
          <cell r="B92">
            <v>130051</v>
          </cell>
          <cell r="C92" t="str">
            <v>A/R - RETAIL - CSL</v>
          </cell>
        </row>
        <row r="93">
          <cell r="A93">
            <v>9969901</v>
          </cell>
          <cell r="B93">
            <v>130051</v>
          </cell>
          <cell r="C93" t="str">
            <v>A/R - RETAIL - CSL</v>
          </cell>
        </row>
        <row r="94">
          <cell r="A94" t="str">
            <v>ZONE-0105-POST</v>
          </cell>
          <cell r="B94">
            <v>130051</v>
          </cell>
          <cell r="C94" t="str">
            <v>A/R - RETAIL - CSL</v>
          </cell>
        </row>
        <row r="95">
          <cell r="A95" t="str">
            <v>ZONE-0112-POST</v>
          </cell>
          <cell r="B95">
            <v>130051</v>
          </cell>
          <cell r="C95" t="str">
            <v>A/R - RETAIL - CSL</v>
          </cell>
        </row>
        <row r="96">
          <cell r="A96">
            <v>9080999</v>
          </cell>
          <cell r="B96">
            <v>130068</v>
          </cell>
          <cell r="C96" t="str">
            <v>I/C GIFT CARD RECEIVABLE - BHN</v>
          </cell>
        </row>
        <row r="97">
          <cell r="A97">
            <v>9110999</v>
          </cell>
          <cell r="B97">
            <v>130068</v>
          </cell>
          <cell r="C97" t="str">
            <v>I/C GIFT CARD RECEIVABLE - BHN</v>
          </cell>
        </row>
        <row r="98">
          <cell r="A98">
            <v>9689999</v>
          </cell>
          <cell r="B98">
            <v>130068</v>
          </cell>
          <cell r="C98" t="str">
            <v>I/C GIFT CARD RECEIVABLE - BHN</v>
          </cell>
        </row>
        <row r="99">
          <cell r="A99">
            <v>9969681</v>
          </cell>
          <cell r="B99">
            <v>130068</v>
          </cell>
          <cell r="C99" t="str">
            <v>I/C GIFT CARD RECEIVABLE - BHN</v>
          </cell>
        </row>
        <row r="100">
          <cell r="A100">
            <v>8001054179</v>
          </cell>
          <cell r="B100">
            <v>130097</v>
          </cell>
          <cell r="C100" t="str">
            <v>A/R - ADMIN LEDGER</v>
          </cell>
        </row>
        <row r="101">
          <cell r="A101">
            <v>8001059542</v>
          </cell>
          <cell r="B101">
            <v>130097</v>
          </cell>
          <cell r="C101" t="str">
            <v>A/R - ADMIN LEDGER</v>
          </cell>
        </row>
        <row r="102">
          <cell r="A102">
            <v>8010512510</v>
          </cell>
          <cell r="B102">
            <v>130097</v>
          </cell>
          <cell r="C102" t="str">
            <v>A/R - ADMIN LEDGER</v>
          </cell>
        </row>
        <row r="103">
          <cell r="A103">
            <v>9682715</v>
          </cell>
          <cell r="B103">
            <v>130097</v>
          </cell>
          <cell r="C103" t="str">
            <v>A/R - ADMIN LEDGER</v>
          </cell>
        </row>
        <row r="104">
          <cell r="A104">
            <v>9682722</v>
          </cell>
          <cell r="B104">
            <v>130097</v>
          </cell>
          <cell r="C104" t="str">
            <v>A/R - ADMIN LEDGER</v>
          </cell>
        </row>
        <row r="105">
          <cell r="A105">
            <v>9682999</v>
          </cell>
          <cell r="B105">
            <v>130097</v>
          </cell>
          <cell r="C105" t="str">
            <v>A/R - ADMIN LEDGER</v>
          </cell>
        </row>
        <row r="106">
          <cell r="A106">
            <v>9689999</v>
          </cell>
          <cell r="B106">
            <v>130097</v>
          </cell>
          <cell r="C106" t="str">
            <v>A/R - ADMIN LEDGER</v>
          </cell>
        </row>
        <row r="107">
          <cell r="A107">
            <v>9722709</v>
          </cell>
          <cell r="B107">
            <v>130097</v>
          </cell>
          <cell r="C107" t="str">
            <v>A/R - ADMIN LEDGER</v>
          </cell>
        </row>
        <row r="108">
          <cell r="A108">
            <v>9722713</v>
          </cell>
          <cell r="B108">
            <v>130097</v>
          </cell>
          <cell r="C108" t="str">
            <v>A/R - ADMIN LEDGER</v>
          </cell>
        </row>
        <row r="109">
          <cell r="A109">
            <v>9966681</v>
          </cell>
          <cell r="B109">
            <v>130097</v>
          </cell>
          <cell r="C109" t="str">
            <v>A/R - ADMIN LEDGER</v>
          </cell>
        </row>
        <row r="110">
          <cell r="A110">
            <v>9967681</v>
          </cell>
          <cell r="B110">
            <v>130097</v>
          </cell>
          <cell r="C110" t="str">
            <v>A/R - ADMIN LEDGER</v>
          </cell>
        </row>
        <row r="111">
          <cell r="A111">
            <v>9968681</v>
          </cell>
          <cell r="B111">
            <v>130097</v>
          </cell>
          <cell r="C111" t="str">
            <v>A/R - ADMIN LEDGER</v>
          </cell>
        </row>
        <row r="112">
          <cell r="A112">
            <v>9969681</v>
          </cell>
          <cell r="B112">
            <v>130097</v>
          </cell>
          <cell r="C112" t="str">
            <v>A/R - ADMIN LEDGER</v>
          </cell>
        </row>
        <row r="113">
          <cell r="A113">
            <v>9969901</v>
          </cell>
          <cell r="B113">
            <v>130097</v>
          </cell>
          <cell r="C113" t="str">
            <v>A/R - ADMIN LEDGER</v>
          </cell>
        </row>
        <row r="114">
          <cell r="A114" t="str">
            <v>ZONE-0105-POST</v>
          </cell>
          <cell r="B114">
            <v>130097</v>
          </cell>
          <cell r="C114" t="str">
            <v>A/R - ADMIN LEDGER</v>
          </cell>
        </row>
        <row r="115">
          <cell r="A115" t="str">
            <v>ZONE-0112-POST</v>
          </cell>
          <cell r="B115">
            <v>130097</v>
          </cell>
          <cell r="C115" t="str">
            <v>A/R - ADMIN LEDGER</v>
          </cell>
        </row>
        <row r="116">
          <cell r="A116">
            <v>8001054179</v>
          </cell>
          <cell r="B116">
            <v>130097</v>
          </cell>
          <cell r="C116" t="str">
            <v>A/R - ADMIN LEDGER - FULL TIME HOURS</v>
          </cell>
        </row>
        <row r="117">
          <cell r="A117">
            <v>8001059542</v>
          </cell>
          <cell r="B117">
            <v>130097</v>
          </cell>
          <cell r="C117" t="str">
            <v>A/R - ADMIN LEDGER - FULL TIME HOURS</v>
          </cell>
        </row>
        <row r="118">
          <cell r="A118">
            <v>8010512510</v>
          </cell>
          <cell r="B118">
            <v>130097</v>
          </cell>
          <cell r="C118" t="str">
            <v>A/R - ADMIN LEDGER - FULL TIME HOURS</v>
          </cell>
        </row>
        <row r="119">
          <cell r="A119">
            <v>9969681</v>
          </cell>
          <cell r="B119">
            <v>130097</v>
          </cell>
          <cell r="C119" t="str">
            <v>A/R - ADMIN LEDGER - FULL TIME HOURS</v>
          </cell>
        </row>
        <row r="120">
          <cell r="A120">
            <v>9969901</v>
          </cell>
          <cell r="B120">
            <v>130097</v>
          </cell>
          <cell r="C120" t="str">
            <v>A/R - ADMIN LEDGER - FULL TIME HOURS</v>
          </cell>
        </row>
        <row r="121">
          <cell r="A121" t="str">
            <v>ZONE-0105-POST</v>
          </cell>
          <cell r="B121">
            <v>130097</v>
          </cell>
          <cell r="C121" t="str">
            <v>A/R - ADMIN LEDGER - FULL TIME HOURS</v>
          </cell>
        </row>
        <row r="122">
          <cell r="A122" t="str">
            <v>ZONE-0112-POST</v>
          </cell>
          <cell r="B122">
            <v>130097</v>
          </cell>
          <cell r="C122" t="str">
            <v>A/R - ADMIN LEDGER - FULL TIME HOURS</v>
          </cell>
        </row>
        <row r="123">
          <cell r="A123">
            <v>8001054179</v>
          </cell>
          <cell r="B123">
            <v>130097</v>
          </cell>
          <cell r="C123" t="str">
            <v>A/R - ADMIN LEDGER - PART TIME HOURS</v>
          </cell>
        </row>
        <row r="124">
          <cell r="A124">
            <v>8001059542</v>
          </cell>
          <cell r="B124">
            <v>130097</v>
          </cell>
          <cell r="C124" t="str">
            <v>A/R - ADMIN LEDGER - PART TIME HOURS</v>
          </cell>
        </row>
        <row r="125">
          <cell r="A125">
            <v>8010512510</v>
          </cell>
          <cell r="B125">
            <v>130097</v>
          </cell>
          <cell r="C125" t="str">
            <v>A/R - ADMIN LEDGER - PART TIME HOURS</v>
          </cell>
        </row>
        <row r="126">
          <cell r="A126">
            <v>9969681</v>
          </cell>
          <cell r="B126">
            <v>130097</v>
          </cell>
          <cell r="C126" t="str">
            <v>A/R - ADMIN LEDGER - PART TIME HOURS</v>
          </cell>
        </row>
        <row r="127">
          <cell r="A127">
            <v>9969901</v>
          </cell>
          <cell r="B127">
            <v>130097</v>
          </cell>
          <cell r="C127" t="str">
            <v>A/R - ADMIN LEDGER - PART TIME HOURS</v>
          </cell>
        </row>
        <row r="128">
          <cell r="A128" t="str">
            <v>ZONE-0105-POST</v>
          </cell>
          <cell r="B128">
            <v>130097</v>
          </cell>
          <cell r="C128" t="str">
            <v>A/R - ADMIN LEDGER - PART TIME HOURS</v>
          </cell>
        </row>
        <row r="129">
          <cell r="A129" t="str">
            <v>ZONE-0112-POST</v>
          </cell>
          <cell r="B129">
            <v>130097</v>
          </cell>
          <cell r="C129" t="str">
            <v>A/R - ADMIN LEDGER - PART TIME HOURS</v>
          </cell>
        </row>
        <row r="130">
          <cell r="A130">
            <v>8001054179</v>
          </cell>
          <cell r="B130">
            <v>130097</v>
          </cell>
          <cell r="C130" t="str">
            <v>A/R - ADMIN LEDGER - PREM A HOURS</v>
          </cell>
        </row>
        <row r="131">
          <cell r="A131">
            <v>8001059542</v>
          </cell>
          <cell r="B131">
            <v>130097</v>
          </cell>
          <cell r="C131" t="str">
            <v>A/R - ADMIN LEDGER - PREM A HOURS</v>
          </cell>
        </row>
        <row r="132">
          <cell r="A132">
            <v>8010512510</v>
          </cell>
          <cell r="B132">
            <v>130097</v>
          </cell>
          <cell r="C132" t="str">
            <v>A/R - ADMIN LEDGER - PREM A HOURS</v>
          </cell>
        </row>
        <row r="133">
          <cell r="A133">
            <v>9969681</v>
          </cell>
          <cell r="B133">
            <v>130097</v>
          </cell>
          <cell r="C133" t="str">
            <v>A/R - ADMIN LEDGER - PREM A HOURS</v>
          </cell>
        </row>
        <row r="134">
          <cell r="A134">
            <v>9969901</v>
          </cell>
          <cell r="B134">
            <v>130097</v>
          </cell>
          <cell r="C134" t="str">
            <v>A/R - ADMIN LEDGER - PREM A HOURS</v>
          </cell>
        </row>
        <row r="135">
          <cell r="A135" t="str">
            <v>ZONE-0105-POST</v>
          </cell>
          <cell r="B135">
            <v>130097</v>
          </cell>
          <cell r="C135" t="str">
            <v>A/R - ADMIN LEDGER - PREM A HOURS</v>
          </cell>
        </row>
        <row r="136">
          <cell r="A136" t="str">
            <v>ZONE-0112-POST</v>
          </cell>
          <cell r="B136">
            <v>130097</v>
          </cell>
          <cell r="C136" t="str">
            <v>A/R - ADMIN LEDGER - PREM A HOURS</v>
          </cell>
        </row>
        <row r="137">
          <cell r="A137">
            <v>8001054179</v>
          </cell>
          <cell r="B137">
            <v>130097</v>
          </cell>
          <cell r="C137" t="str">
            <v>A/R - ADMIN LEDGER - PREM B HOURS</v>
          </cell>
        </row>
        <row r="138">
          <cell r="A138">
            <v>8001059542</v>
          </cell>
          <cell r="B138">
            <v>130097</v>
          </cell>
          <cell r="C138" t="str">
            <v>A/R - ADMIN LEDGER - PREM B HOURS</v>
          </cell>
        </row>
        <row r="139">
          <cell r="A139">
            <v>8010512510</v>
          </cell>
          <cell r="B139">
            <v>130097</v>
          </cell>
          <cell r="C139" t="str">
            <v>A/R - ADMIN LEDGER - PREM B HOURS</v>
          </cell>
        </row>
        <row r="140">
          <cell r="A140">
            <v>9969681</v>
          </cell>
          <cell r="B140">
            <v>130097</v>
          </cell>
          <cell r="C140" t="str">
            <v>A/R - ADMIN LEDGER - PREM B HOURS</v>
          </cell>
        </row>
        <row r="141">
          <cell r="A141">
            <v>9969901</v>
          </cell>
          <cell r="B141">
            <v>130097</v>
          </cell>
          <cell r="C141" t="str">
            <v>A/R - ADMIN LEDGER - PREM B HOURS</v>
          </cell>
        </row>
        <row r="142">
          <cell r="A142" t="str">
            <v>ZONE-0105-POST</v>
          </cell>
          <cell r="B142">
            <v>130097</v>
          </cell>
          <cell r="C142" t="str">
            <v>A/R - ADMIN LEDGER - PREM B HOURS</v>
          </cell>
        </row>
        <row r="143">
          <cell r="A143" t="str">
            <v>ZONE-0112-POST</v>
          </cell>
          <cell r="B143">
            <v>130097</v>
          </cell>
          <cell r="C143" t="str">
            <v>A/R - ADMIN LEDGER - PREM B HOURS</v>
          </cell>
        </row>
        <row r="144">
          <cell r="A144">
            <v>8001054179</v>
          </cell>
          <cell r="B144">
            <v>130097</v>
          </cell>
          <cell r="C144" t="str">
            <v>A/R - ADMIN LEDGER - PREM C HOURS</v>
          </cell>
        </row>
        <row r="145">
          <cell r="A145">
            <v>8001059542</v>
          </cell>
          <cell r="B145">
            <v>130097</v>
          </cell>
          <cell r="C145" t="str">
            <v>A/R - ADMIN LEDGER - PREM C HOURS</v>
          </cell>
        </row>
        <row r="146">
          <cell r="A146">
            <v>8010512510</v>
          </cell>
          <cell r="B146">
            <v>130097</v>
          </cell>
          <cell r="C146" t="str">
            <v>A/R - ADMIN LEDGER - PREM C HOURS</v>
          </cell>
        </row>
        <row r="147">
          <cell r="A147">
            <v>9969681</v>
          </cell>
          <cell r="B147">
            <v>130097</v>
          </cell>
          <cell r="C147" t="str">
            <v>A/R - ADMIN LEDGER - PREM C HOURS</v>
          </cell>
        </row>
        <row r="148">
          <cell r="A148">
            <v>9969901</v>
          </cell>
          <cell r="B148">
            <v>130097</v>
          </cell>
          <cell r="C148" t="str">
            <v>A/R - ADMIN LEDGER - PREM C HOURS</v>
          </cell>
        </row>
        <row r="149">
          <cell r="A149" t="str">
            <v>ZONE-0105-POST</v>
          </cell>
          <cell r="B149">
            <v>130097</v>
          </cell>
          <cell r="C149" t="str">
            <v>A/R - ADMIN LEDGER - PREM C HOURS</v>
          </cell>
        </row>
        <row r="150">
          <cell r="A150" t="str">
            <v>ZONE-0112-POST</v>
          </cell>
          <cell r="B150">
            <v>130097</v>
          </cell>
          <cell r="C150" t="str">
            <v>A/R - ADMIN LEDGER - PREM C HOURS</v>
          </cell>
        </row>
        <row r="151">
          <cell r="A151">
            <v>9080999</v>
          </cell>
          <cell r="B151">
            <v>130900</v>
          </cell>
          <cell r="C151" t="str">
            <v>A/R- ACCRUED INT.-INTERCOMPANY</v>
          </cell>
        </row>
        <row r="152">
          <cell r="A152">
            <v>9110999</v>
          </cell>
          <cell r="B152">
            <v>130900</v>
          </cell>
          <cell r="C152" t="str">
            <v>A/R- ACCRUED INT.-INTERCOMPANY</v>
          </cell>
        </row>
        <row r="153">
          <cell r="A153">
            <v>9689999</v>
          </cell>
          <cell r="B153">
            <v>130900</v>
          </cell>
          <cell r="C153" t="str">
            <v>A/R- ACCRUED INT.-INTERCOMPANY</v>
          </cell>
        </row>
        <row r="154">
          <cell r="A154">
            <v>9080999</v>
          </cell>
          <cell r="B154">
            <v>148034</v>
          </cell>
          <cell r="C154" t="str">
            <v>A/R -ACCRUED INTEREST - OTHER</v>
          </cell>
        </row>
        <row r="155">
          <cell r="A155">
            <v>9110999</v>
          </cell>
          <cell r="B155">
            <v>148034</v>
          </cell>
          <cell r="C155" t="str">
            <v>A/R -ACCRUED INTEREST - OTHER</v>
          </cell>
        </row>
        <row r="156">
          <cell r="A156">
            <v>9689999</v>
          </cell>
          <cell r="B156">
            <v>148034</v>
          </cell>
          <cell r="C156" t="str">
            <v>A/R -ACCRUED INTEREST - OTHER</v>
          </cell>
        </row>
        <row r="157">
          <cell r="A157">
            <v>9689883</v>
          </cell>
          <cell r="B157">
            <v>148048</v>
          </cell>
          <cell r="C157" t="str">
            <v>A/R -ACCRUED INT S/T INVESTMENTS</v>
          </cell>
        </row>
        <row r="158">
          <cell r="A158">
            <v>9689992</v>
          </cell>
          <cell r="B158">
            <v>148048</v>
          </cell>
          <cell r="C158" t="str">
            <v>A/R -ACCRUED INT S/T INVESTMENTS</v>
          </cell>
        </row>
        <row r="159">
          <cell r="A159">
            <v>9080999</v>
          </cell>
          <cell r="B159">
            <v>148304</v>
          </cell>
          <cell r="C159" t="str">
            <v>A/R - DEPOSITS - SECURITY</v>
          </cell>
        </row>
        <row r="160">
          <cell r="A160">
            <v>9110999</v>
          </cell>
          <cell r="B160">
            <v>148304</v>
          </cell>
          <cell r="C160" t="str">
            <v>A/R - DEPOSITS - SECURITY</v>
          </cell>
        </row>
        <row r="161">
          <cell r="A161">
            <v>9090999</v>
          </cell>
          <cell r="B161">
            <v>148305</v>
          </cell>
          <cell r="C161" t="str">
            <v>A/R - DEPOSITS - BONDS - OTHER</v>
          </cell>
        </row>
        <row r="162">
          <cell r="A162">
            <v>9100999</v>
          </cell>
          <cell r="B162">
            <v>148305</v>
          </cell>
          <cell r="C162" t="str">
            <v>A/R - DEPOSITS - BONDS - OTHER</v>
          </cell>
        </row>
        <row r="163">
          <cell r="A163">
            <v>9080999</v>
          </cell>
          <cell r="B163">
            <v>148310</v>
          </cell>
          <cell r="C163" t="str">
            <v>A/R - DEPOSITS - CORPORATE</v>
          </cell>
        </row>
        <row r="164">
          <cell r="A164">
            <v>9110999</v>
          </cell>
          <cell r="B164">
            <v>148310</v>
          </cell>
          <cell r="C164" t="str">
            <v>A/R - DEPOSITS - CORPORATE</v>
          </cell>
        </row>
        <row r="165">
          <cell r="A165">
            <v>9080999</v>
          </cell>
          <cell r="B165">
            <v>148344</v>
          </cell>
          <cell r="C165" t="str">
            <v>A/R -EMPLOYEE ASSISTANCE</v>
          </cell>
        </row>
        <row r="166">
          <cell r="A166">
            <v>9110999</v>
          </cell>
          <cell r="B166">
            <v>148344</v>
          </cell>
          <cell r="C166" t="str">
            <v>A/R -EMPLOYEE ASSISTANCE</v>
          </cell>
        </row>
        <row r="167">
          <cell r="A167">
            <v>9689999</v>
          </cell>
          <cell r="B167">
            <v>148344</v>
          </cell>
          <cell r="C167" t="str">
            <v>A/R -EMPLOYEE ASSISTANCE</v>
          </cell>
        </row>
        <row r="168">
          <cell r="A168">
            <v>9080999</v>
          </cell>
          <cell r="B168">
            <v>148350</v>
          </cell>
          <cell r="C168" t="str">
            <v>A/R -ADVANCE TO EMPLOYEES</v>
          </cell>
        </row>
        <row r="169">
          <cell r="A169">
            <v>9110999</v>
          </cell>
          <cell r="B169">
            <v>148350</v>
          </cell>
          <cell r="C169" t="str">
            <v>A/R -ADVANCE TO EMPLOYEES</v>
          </cell>
        </row>
        <row r="170">
          <cell r="A170">
            <v>9689999</v>
          </cell>
          <cell r="B170">
            <v>148350</v>
          </cell>
          <cell r="C170" t="str">
            <v>A/R -ADVANCE TO EMPLOYEES</v>
          </cell>
        </row>
        <row r="171">
          <cell r="A171">
            <v>9722709</v>
          </cell>
          <cell r="B171">
            <v>148353</v>
          </cell>
          <cell r="C171" t="str">
            <v>A/R -ADVANCES ON PURCHASES</v>
          </cell>
        </row>
        <row r="172">
          <cell r="A172">
            <v>9722713</v>
          </cell>
          <cell r="B172">
            <v>148353</v>
          </cell>
          <cell r="C172" t="str">
            <v>A/R -ADVANCES ON PURCHASES</v>
          </cell>
        </row>
        <row r="173">
          <cell r="A173">
            <v>9080999</v>
          </cell>
          <cell r="B173">
            <v>148410</v>
          </cell>
          <cell r="C173" t="str">
            <v>A/R-EMPLOYEE STCK OPTIONS EXER</v>
          </cell>
        </row>
        <row r="174">
          <cell r="A174">
            <v>9110999</v>
          </cell>
          <cell r="B174">
            <v>148410</v>
          </cell>
          <cell r="C174" t="str">
            <v>A/R-EMPLOYEE STCK OPTIONS EXER</v>
          </cell>
        </row>
        <row r="175">
          <cell r="A175">
            <v>9689999</v>
          </cell>
          <cell r="B175">
            <v>148410</v>
          </cell>
          <cell r="C175" t="str">
            <v>A/R-EMPLOYEE STCK OPTIONS EXER</v>
          </cell>
        </row>
        <row r="176">
          <cell r="A176">
            <v>8001054179</v>
          </cell>
          <cell r="B176">
            <v>148550</v>
          </cell>
          <cell r="C176" t="str">
            <v>A/R - TAX REFUNDS</v>
          </cell>
        </row>
        <row r="177">
          <cell r="A177">
            <v>8001059542</v>
          </cell>
          <cell r="B177">
            <v>148550</v>
          </cell>
          <cell r="C177" t="str">
            <v>A/R - TAX REFUNDS</v>
          </cell>
        </row>
        <row r="178">
          <cell r="A178">
            <v>8010512510</v>
          </cell>
          <cell r="B178">
            <v>148550</v>
          </cell>
          <cell r="C178" t="str">
            <v>A/R - TAX REFUNDS</v>
          </cell>
        </row>
        <row r="179">
          <cell r="A179">
            <v>9090999</v>
          </cell>
          <cell r="B179">
            <v>148550</v>
          </cell>
          <cell r="C179" t="str">
            <v>A/R - TAX REFUNDS</v>
          </cell>
        </row>
        <row r="180">
          <cell r="A180">
            <v>9100999</v>
          </cell>
          <cell r="B180">
            <v>148550</v>
          </cell>
          <cell r="C180" t="str">
            <v>A/R - TAX REFUNDS</v>
          </cell>
        </row>
        <row r="181">
          <cell r="A181">
            <v>9969681</v>
          </cell>
          <cell r="B181">
            <v>148550</v>
          </cell>
          <cell r="C181" t="str">
            <v>A/R - TAX REFUNDS</v>
          </cell>
        </row>
        <row r="182">
          <cell r="A182">
            <v>9969901</v>
          </cell>
          <cell r="B182">
            <v>148550</v>
          </cell>
          <cell r="C182" t="str">
            <v>A/R - TAX REFUNDS</v>
          </cell>
        </row>
        <row r="183">
          <cell r="A183" t="str">
            <v>ZONE-0105-POST</v>
          </cell>
          <cell r="B183">
            <v>148550</v>
          </cell>
          <cell r="C183" t="str">
            <v>A/R - TAX REFUNDS</v>
          </cell>
        </row>
        <row r="184">
          <cell r="A184" t="str">
            <v>ZONE-0112-POST</v>
          </cell>
          <cell r="B184">
            <v>148550</v>
          </cell>
          <cell r="C184" t="str">
            <v>A/R - TAX REFUNDS</v>
          </cell>
        </row>
        <row r="185">
          <cell r="A185">
            <v>9722709</v>
          </cell>
          <cell r="B185">
            <v>148670</v>
          </cell>
          <cell r="C185" t="str">
            <v>A/R RETURNED CHECK CHEQUE RITE</v>
          </cell>
        </row>
        <row r="186">
          <cell r="A186">
            <v>9722713</v>
          </cell>
          <cell r="B186">
            <v>148670</v>
          </cell>
          <cell r="C186" t="str">
            <v>A/R RETURNED CHECK CHEQUE RITE</v>
          </cell>
        </row>
        <row r="187">
          <cell r="A187">
            <v>9682715</v>
          </cell>
          <cell r="B187">
            <v>148907</v>
          </cell>
          <cell r="C187" t="str">
            <v>GIFT CARD - O/S CUST</v>
          </cell>
        </row>
        <row r="188">
          <cell r="A188">
            <v>9682722</v>
          </cell>
          <cell r="B188">
            <v>148907</v>
          </cell>
          <cell r="C188" t="str">
            <v>GIFT CARD - O/S CUST</v>
          </cell>
        </row>
        <row r="189">
          <cell r="A189">
            <v>9682999</v>
          </cell>
          <cell r="B189">
            <v>148907</v>
          </cell>
          <cell r="C189" t="str">
            <v>GIFT CARD - O/S CUST</v>
          </cell>
        </row>
        <row r="190">
          <cell r="A190">
            <v>9722709</v>
          </cell>
          <cell r="B190">
            <v>148907</v>
          </cell>
          <cell r="C190" t="str">
            <v>GIFT CARD - O/S CUST</v>
          </cell>
        </row>
        <row r="191">
          <cell r="A191">
            <v>9722713</v>
          </cell>
          <cell r="B191">
            <v>148907</v>
          </cell>
          <cell r="C191" t="str">
            <v>GIFT CARD - O/S CUST</v>
          </cell>
        </row>
        <row r="192">
          <cell r="A192">
            <v>9965681</v>
          </cell>
          <cell r="B192">
            <v>148907</v>
          </cell>
          <cell r="C192" t="str">
            <v>GIFT CARD - O/S CUST</v>
          </cell>
        </row>
        <row r="193">
          <cell r="A193">
            <v>8001054179</v>
          </cell>
          <cell r="B193">
            <v>148990</v>
          </cell>
          <cell r="C193" t="str">
            <v>A/R - OTHER</v>
          </cell>
        </row>
        <row r="194">
          <cell r="A194">
            <v>8001059542</v>
          </cell>
          <cell r="B194">
            <v>148990</v>
          </cell>
          <cell r="C194" t="str">
            <v>A/R - OTHER</v>
          </cell>
        </row>
        <row r="195">
          <cell r="A195">
            <v>8010512510</v>
          </cell>
          <cell r="B195">
            <v>148990</v>
          </cell>
          <cell r="C195" t="str">
            <v>A/R - OTHER</v>
          </cell>
        </row>
        <row r="196">
          <cell r="A196">
            <v>9090999</v>
          </cell>
          <cell r="B196">
            <v>148990</v>
          </cell>
          <cell r="C196" t="str">
            <v>A/R - OTHER</v>
          </cell>
        </row>
        <row r="197">
          <cell r="A197">
            <v>9100999</v>
          </cell>
          <cell r="B197">
            <v>148990</v>
          </cell>
          <cell r="C197" t="str">
            <v>A/R - OTHER</v>
          </cell>
        </row>
        <row r="198">
          <cell r="A198">
            <v>9680700</v>
          </cell>
          <cell r="B198">
            <v>148990</v>
          </cell>
          <cell r="C198" t="str">
            <v>A/R - OTHER</v>
          </cell>
        </row>
        <row r="199">
          <cell r="A199">
            <v>9680701</v>
          </cell>
          <cell r="B199">
            <v>148990</v>
          </cell>
          <cell r="C199" t="str">
            <v>A/R - OTHER</v>
          </cell>
        </row>
        <row r="200">
          <cell r="A200">
            <v>9680702</v>
          </cell>
          <cell r="B200">
            <v>148990</v>
          </cell>
          <cell r="C200" t="str">
            <v>A/R - OTHER</v>
          </cell>
        </row>
        <row r="201">
          <cell r="A201">
            <v>9680705</v>
          </cell>
          <cell r="B201">
            <v>148990</v>
          </cell>
          <cell r="C201" t="str">
            <v>A/R - OTHER</v>
          </cell>
        </row>
        <row r="202">
          <cell r="A202">
            <v>9680707</v>
          </cell>
          <cell r="B202">
            <v>148990</v>
          </cell>
          <cell r="C202" t="str">
            <v>A/R - OTHER</v>
          </cell>
        </row>
        <row r="203">
          <cell r="A203">
            <v>9680710</v>
          </cell>
          <cell r="B203">
            <v>148990</v>
          </cell>
          <cell r="C203" t="str">
            <v>A/R - OTHER</v>
          </cell>
        </row>
        <row r="204">
          <cell r="A204">
            <v>9680712</v>
          </cell>
          <cell r="B204">
            <v>148990</v>
          </cell>
          <cell r="C204" t="str">
            <v>A/R - OTHER</v>
          </cell>
        </row>
        <row r="205">
          <cell r="A205">
            <v>9680714</v>
          </cell>
          <cell r="B205">
            <v>148990</v>
          </cell>
          <cell r="C205" t="str">
            <v>A/R - OTHER</v>
          </cell>
        </row>
        <row r="206">
          <cell r="A206">
            <v>9680734</v>
          </cell>
          <cell r="B206">
            <v>148990</v>
          </cell>
          <cell r="C206" t="str">
            <v>A/R - OTHER</v>
          </cell>
        </row>
        <row r="207">
          <cell r="A207">
            <v>9680748</v>
          </cell>
          <cell r="B207">
            <v>148990</v>
          </cell>
          <cell r="C207" t="str">
            <v>A/R - OTHER</v>
          </cell>
        </row>
        <row r="208">
          <cell r="A208">
            <v>9680749</v>
          </cell>
          <cell r="B208">
            <v>148990</v>
          </cell>
          <cell r="C208" t="str">
            <v>A/R - OTHER</v>
          </cell>
        </row>
        <row r="209">
          <cell r="A209">
            <v>9680894</v>
          </cell>
          <cell r="B209">
            <v>148990</v>
          </cell>
          <cell r="C209" t="str">
            <v>A/R - OTHER</v>
          </cell>
        </row>
        <row r="210">
          <cell r="A210">
            <v>9680999</v>
          </cell>
          <cell r="B210">
            <v>148990</v>
          </cell>
          <cell r="C210" t="str">
            <v>A/R - OTHER</v>
          </cell>
        </row>
        <row r="211">
          <cell r="A211">
            <v>9681710</v>
          </cell>
          <cell r="B211">
            <v>148990</v>
          </cell>
          <cell r="C211" t="str">
            <v>A/R - OTHER</v>
          </cell>
        </row>
        <row r="212">
          <cell r="A212">
            <v>9681734</v>
          </cell>
          <cell r="B212">
            <v>148990</v>
          </cell>
          <cell r="C212" t="str">
            <v>A/R - OTHER</v>
          </cell>
        </row>
        <row r="213">
          <cell r="A213">
            <v>9681748</v>
          </cell>
          <cell r="B213">
            <v>148990</v>
          </cell>
          <cell r="C213" t="str">
            <v>A/R - OTHER</v>
          </cell>
        </row>
        <row r="214">
          <cell r="A214">
            <v>9681894</v>
          </cell>
          <cell r="B214">
            <v>148990</v>
          </cell>
          <cell r="C214" t="str">
            <v>A/R - OTHER</v>
          </cell>
        </row>
        <row r="215">
          <cell r="A215">
            <v>9682715</v>
          </cell>
          <cell r="B215">
            <v>148990</v>
          </cell>
          <cell r="C215" t="str">
            <v>A/R - OTHER</v>
          </cell>
        </row>
        <row r="216">
          <cell r="A216">
            <v>9682722</v>
          </cell>
          <cell r="B216">
            <v>148990</v>
          </cell>
          <cell r="C216" t="str">
            <v>A/R - OTHER</v>
          </cell>
        </row>
        <row r="217">
          <cell r="A217">
            <v>9682999</v>
          </cell>
          <cell r="B217">
            <v>148990</v>
          </cell>
          <cell r="C217" t="str">
            <v>A/R - OTHER</v>
          </cell>
        </row>
        <row r="218">
          <cell r="A218">
            <v>9689999</v>
          </cell>
          <cell r="B218">
            <v>148990</v>
          </cell>
          <cell r="C218" t="str">
            <v>A/R - OTHER</v>
          </cell>
        </row>
        <row r="219">
          <cell r="A219">
            <v>9722709</v>
          </cell>
          <cell r="B219">
            <v>148990</v>
          </cell>
          <cell r="C219" t="str">
            <v>A/R - OTHER</v>
          </cell>
        </row>
        <row r="220">
          <cell r="A220">
            <v>9722713</v>
          </cell>
          <cell r="B220">
            <v>148990</v>
          </cell>
          <cell r="C220" t="str">
            <v>A/R - OTHER</v>
          </cell>
        </row>
        <row r="221">
          <cell r="A221">
            <v>9969681</v>
          </cell>
          <cell r="B221">
            <v>148990</v>
          </cell>
          <cell r="C221" t="str">
            <v>A/R - OTHER</v>
          </cell>
        </row>
        <row r="222">
          <cell r="A222">
            <v>9969901</v>
          </cell>
          <cell r="B222">
            <v>148990</v>
          </cell>
          <cell r="C222" t="str">
            <v>A/R - OTHER</v>
          </cell>
        </row>
        <row r="223">
          <cell r="A223" t="str">
            <v>ZONE-0105-POST</v>
          </cell>
          <cell r="B223">
            <v>148990</v>
          </cell>
          <cell r="C223" t="str">
            <v>A/R - OTHER</v>
          </cell>
        </row>
        <row r="224">
          <cell r="A224" t="str">
            <v>ZONE-0112-POST</v>
          </cell>
          <cell r="B224">
            <v>148990</v>
          </cell>
          <cell r="C224" t="str">
            <v>A/R - OTHER</v>
          </cell>
        </row>
        <row r="225">
          <cell r="A225">
            <v>8001054179</v>
          </cell>
          <cell r="B225">
            <v>149000</v>
          </cell>
          <cell r="C225" t="str">
            <v>ACCOUNTS RECEIVABLE</v>
          </cell>
        </row>
        <row r="226">
          <cell r="A226">
            <v>8001059542</v>
          </cell>
          <cell r="B226">
            <v>149000</v>
          </cell>
          <cell r="C226" t="str">
            <v>ACCOUNTS RECEIVABLE</v>
          </cell>
        </row>
        <row r="227">
          <cell r="A227">
            <v>8010512510</v>
          </cell>
          <cell r="B227">
            <v>149000</v>
          </cell>
          <cell r="C227" t="str">
            <v>ACCOUNTS RECEIVABLE</v>
          </cell>
        </row>
        <row r="228">
          <cell r="A228">
            <v>9050999</v>
          </cell>
          <cell r="B228">
            <v>149000</v>
          </cell>
          <cell r="C228" t="str">
            <v>ACCOUNTS RECEIVABLE</v>
          </cell>
        </row>
        <row r="229">
          <cell r="A229">
            <v>9080999</v>
          </cell>
          <cell r="B229">
            <v>149000</v>
          </cell>
          <cell r="C229" t="str">
            <v>ACCOUNTS RECEIVABLE</v>
          </cell>
        </row>
        <row r="230">
          <cell r="A230">
            <v>9090999</v>
          </cell>
          <cell r="B230">
            <v>149000</v>
          </cell>
          <cell r="C230" t="str">
            <v>ACCOUNTS RECEIVABLE</v>
          </cell>
        </row>
        <row r="231">
          <cell r="A231">
            <v>9100999</v>
          </cell>
          <cell r="B231">
            <v>149000</v>
          </cell>
          <cell r="C231" t="str">
            <v>ACCOUNTS RECEIVABLE</v>
          </cell>
        </row>
        <row r="232">
          <cell r="A232">
            <v>9110999</v>
          </cell>
          <cell r="B232">
            <v>149000</v>
          </cell>
          <cell r="C232" t="str">
            <v>ACCOUNTS RECEIVABLE</v>
          </cell>
        </row>
        <row r="233">
          <cell r="A233">
            <v>9682715</v>
          </cell>
          <cell r="B233">
            <v>149000</v>
          </cell>
          <cell r="C233" t="str">
            <v>ACCOUNTS RECEIVABLE</v>
          </cell>
        </row>
        <row r="234">
          <cell r="A234">
            <v>9682722</v>
          </cell>
          <cell r="B234">
            <v>149000</v>
          </cell>
          <cell r="C234" t="str">
            <v>ACCOUNTS RECEIVABLE</v>
          </cell>
        </row>
        <row r="235">
          <cell r="A235">
            <v>9682999</v>
          </cell>
          <cell r="B235">
            <v>149000</v>
          </cell>
          <cell r="C235" t="str">
            <v>ACCOUNTS RECEIVABLE</v>
          </cell>
        </row>
        <row r="236">
          <cell r="A236">
            <v>9689999</v>
          </cell>
          <cell r="B236">
            <v>149000</v>
          </cell>
          <cell r="C236" t="str">
            <v>ACCOUNTS RECEIVABLE</v>
          </cell>
        </row>
        <row r="237">
          <cell r="A237">
            <v>9722709</v>
          </cell>
          <cell r="B237">
            <v>149000</v>
          </cell>
          <cell r="C237" t="str">
            <v>ACCOUNTS RECEIVABLE</v>
          </cell>
        </row>
        <row r="238">
          <cell r="A238">
            <v>9722713</v>
          </cell>
          <cell r="B238">
            <v>149000</v>
          </cell>
          <cell r="C238" t="str">
            <v>ACCOUNTS RECEIVABLE</v>
          </cell>
        </row>
        <row r="239">
          <cell r="A239">
            <v>9729999</v>
          </cell>
          <cell r="B239">
            <v>149000</v>
          </cell>
          <cell r="C239" t="str">
            <v>ACCOUNTS RECEIVABLE</v>
          </cell>
        </row>
        <row r="240">
          <cell r="A240">
            <v>9968681</v>
          </cell>
          <cell r="B240">
            <v>149000</v>
          </cell>
          <cell r="C240" t="str">
            <v>ACCOUNTS RECEIVABLE</v>
          </cell>
        </row>
        <row r="241">
          <cell r="A241">
            <v>9969681</v>
          </cell>
          <cell r="B241">
            <v>149000</v>
          </cell>
          <cell r="C241" t="str">
            <v>ACCOUNTS RECEIVABLE</v>
          </cell>
        </row>
        <row r="242">
          <cell r="A242">
            <v>9969901</v>
          </cell>
          <cell r="B242">
            <v>149000</v>
          </cell>
          <cell r="C242" t="str">
            <v>ACCOUNTS RECEIVABLE</v>
          </cell>
        </row>
        <row r="243">
          <cell r="A243" t="str">
            <v>ZONE-0105-POST</v>
          </cell>
          <cell r="B243">
            <v>149000</v>
          </cell>
          <cell r="C243" t="str">
            <v>ACCOUNTS RECEIVABLE</v>
          </cell>
        </row>
        <row r="244">
          <cell r="A244" t="str">
            <v>ZONE-0112-POST</v>
          </cell>
          <cell r="B244">
            <v>149000</v>
          </cell>
          <cell r="C244" t="str">
            <v>ACCOUNTS RECEIVABLE</v>
          </cell>
        </row>
        <row r="245">
          <cell r="A245">
            <v>9090999</v>
          </cell>
          <cell r="B245">
            <v>149108</v>
          </cell>
          <cell r="C245" t="str">
            <v>A/R - CUSTOMER - BAD DEBTS</v>
          </cell>
        </row>
        <row r="246">
          <cell r="A246">
            <v>9100999</v>
          </cell>
          <cell r="B246">
            <v>149108</v>
          </cell>
          <cell r="C246" t="str">
            <v>A/R - CUSTOMER - BAD DEBTS</v>
          </cell>
        </row>
        <row r="247">
          <cell r="A247">
            <v>8001054179</v>
          </cell>
          <cell r="B247">
            <v>149201</v>
          </cell>
          <cell r="C247" t="str">
            <v>A/R - CUSTOMER RNA - CORE</v>
          </cell>
        </row>
        <row r="248">
          <cell r="A248">
            <v>8001059542</v>
          </cell>
          <cell r="B248">
            <v>149201</v>
          </cell>
          <cell r="C248" t="str">
            <v>A/R - CUSTOMER RNA - CORE</v>
          </cell>
        </row>
        <row r="249">
          <cell r="A249">
            <v>8010512510</v>
          </cell>
          <cell r="B249">
            <v>149201</v>
          </cell>
          <cell r="C249" t="str">
            <v>A/R - CUSTOMER RNA - CORE</v>
          </cell>
        </row>
        <row r="250">
          <cell r="A250">
            <v>9050999</v>
          </cell>
          <cell r="B250">
            <v>149201</v>
          </cell>
          <cell r="C250" t="str">
            <v>A/R - CUSTOMER RNA - CORE</v>
          </cell>
        </row>
        <row r="251">
          <cell r="A251">
            <v>9080999</v>
          </cell>
          <cell r="B251">
            <v>149201</v>
          </cell>
          <cell r="C251" t="str">
            <v>A/R - CUSTOMER RNA - CORE</v>
          </cell>
        </row>
        <row r="252">
          <cell r="A252">
            <v>9090999</v>
          </cell>
          <cell r="B252">
            <v>149201</v>
          </cell>
          <cell r="C252" t="str">
            <v>A/R - CUSTOMER RNA - CORE</v>
          </cell>
        </row>
        <row r="253">
          <cell r="A253">
            <v>9100999</v>
          </cell>
          <cell r="B253">
            <v>149201</v>
          </cell>
          <cell r="C253" t="str">
            <v>A/R - CUSTOMER RNA - CORE</v>
          </cell>
        </row>
        <row r="254">
          <cell r="A254">
            <v>9110999</v>
          </cell>
          <cell r="B254">
            <v>149201</v>
          </cell>
          <cell r="C254" t="str">
            <v>A/R - CUSTOMER RNA - CORE</v>
          </cell>
        </row>
        <row r="255">
          <cell r="A255">
            <v>9682715</v>
          </cell>
          <cell r="B255">
            <v>149201</v>
          </cell>
          <cell r="C255" t="str">
            <v>A/R - CUSTOMER RNA - CORE</v>
          </cell>
        </row>
        <row r="256">
          <cell r="A256">
            <v>9682722</v>
          </cell>
          <cell r="B256">
            <v>149201</v>
          </cell>
          <cell r="C256" t="str">
            <v>A/R - CUSTOMER RNA - CORE</v>
          </cell>
        </row>
        <row r="257">
          <cell r="A257">
            <v>9682999</v>
          </cell>
          <cell r="B257">
            <v>149201</v>
          </cell>
          <cell r="C257" t="str">
            <v>A/R - CUSTOMER RNA - CORE</v>
          </cell>
        </row>
        <row r="258">
          <cell r="A258">
            <v>9689999</v>
          </cell>
          <cell r="B258">
            <v>149201</v>
          </cell>
          <cell r="C258" t="str">
            <v>A/R - CUSTOMER RNA - CORE</v>
          </cell>
        </row>
        <row r="259">
          <cell r="A259">
            <v>9722709</v>
          </cell>
          <cell r="B259">
            <v>149201</v>
          </cell>
          <cell r="C259" t="str">
            <v>A/R - CUSTOMER RNA - CORE</v>
          </cell>
        </row>
        <row r="260">
          <cell r="A260">
            <v>9722713</v>
          </cell>
          <cell r="B260">
            <v>149201</v>
          </cell>
          <cell r="C260" t="str">
            <v>A/R - CUSTOMER RNA - CORE</v>
          </cell>
        </row>
        <row r="261">
          <cell r="A261">
            <v>9729999</v>
          </cell>
          <cell r="B261">
            <v>149201</v>
          </cell>
          <cell r="C261" t="str">
            <v>A/R - CUSTOMER RNA - CORE</v>
          </cell>
        </row>
        <row r="262">
          <cell r="A262">
            <v>9968681</v>
          </cell>
          <cell r="B262">
            <v>149201</v>
          </cell>
          <cell r="C262" t="str">
            <v>A/R - CUSTOMER RNA - CORE</v>
          </cell>
        </row>
        <row r="263">
          <cell r="A263">
            <v>9969681</v>
          </cell>
          <cell r="B263">
            <v>149201</v>
          </cell>
          <cell r="C263" t="str">
            <v>A/R - CUSTOMER RNA - CORE</v>
          </cell>
        </row>
        <row r="264">
          <cell r="A264">
            <v>9969901</v>
          </cell>
          <cell r="B264">
            <v>149201</v>
          </cell>
          <cell r="C264" t="str">
            <v>A/R - CUSTOMER RNA - CORE</v>
          </cell>
        </row>
        <row r="265">
          <cell r="A265" t="str">
            <v>ZONE-0105-POST</v>
          </cell>
          <cell r="B265">
            <v>149201</v>
          </cell>
          <cell r="C265" t="str">
            <v>A/R - CUSTOMER RNA - CORE</v>
          </cell>
        </row>
        <row r="266">
          <cell r="A266" t="str">
            <v>ZONE-0112-POST</v>
          </cell>
          <cell r="B266">
            <v>149201</v>
          </cell>
          <cell r="C266" t="str">
            <v>A/R - CUSTOMER RNA - CORE</v>
          </cell>
        </row>
        <row r="267">
          <cell r="A267">
            <v>9722709</v>
          </cell>
          <cell r="B267">
            <v>149202</v>
          </cell>
          <cell r="C267" t="str">
            <v>A/R - CUSTOMER PAYMENT CLEARING</v>
          </cell>
        </row>
        <row r="268">
          <cell r="A268">
            <v>9722713</v>
          </cell>
          <cell r="B268">
            <v>149202</v>
          </cell>
          <cell r="C268" t="str">
            <v>A/R - CUSTOMER PAYMENT CLEARING</v>
          </cell>
        </row>
        <row r="269">
          <cell r="A269">
            <v>9682715</v>
          </cell>
          <cell r="B269">
            <v>149402</v>
          </cell>
          <cell r="C269" t="str">
            <v>A/R-UNPROCESSED FREIGHT CLAIMS</v>
          </cell>
        </row>
        <row r="270">
          <cell r="A270">
            <v>9682722</v>
          </cell>
          <cell r="B270">
            <v>149402</v>
          </cell>
          <cell r="C270" t="str">
            <v>A/R-UNPROCESSED FREIGHT CLAIMS</v>
          </cell>
        </row>
        <row r="271">
          <cell r="A271">
            <v>9682999</v>
          </cell>
          <cell r="B271">
            <v>149402</v>
          </cell>
          <cell r="C271" t="str">
            <v>A/R-UNPROCESSED FREIGHT CLAIMS</v>
          </cell>
        </row>
        <row r="272">
          <cell r="A272">
            <v>9080999</v>
          </cell>
          <cell r="B272">
            <v>149405</v>
          </cell>
          <cell r="C272" t="str">
            <v>A/R ITEMS TRANS TO A/P DED CLEARING</v>
          </cell>
        </row>
        <row r="273">
          <cell r="A273">
            <v>9110999</v>
          </cell>
          <cell r="B273">
            <v>149405</v>
          </cell>
          <cell r="C273" t="str">
            <v>A/R ITEMS TRANS TO A/P DED CLEARING</v>
          </cell>
        </row>
        <row r="274">
          <cell r="A274">
            <v>9689999</v>
          </cell>
          <cell r="B274">
            <v>149405</v>
          </cell>
          <cell r="C274" t="str">
            <v>A/R ITEMS TRANS TO A/P DED CLEARING</v>
          </cell>
        </row>
        <row r="275">
          <cell r="A275">
            <v>9722709</v>
          </cell>
          <cell r="B275">
            <v>149405</v>
          </cell>
          <cell r="C275" t="str">
            <v>A/R ITEMS TRANS TO A/P DED CLEARING</v>
          </cell>
        </row>
        <row r="276">
          <cell r="A276">
            <v>9722713</v>
          </cell>
          <cell r="B276">
            <v>149405</v>
          </cell>
          <cell r="C276" t="str">
            <v>A/R ITEMS TRANS TO A/P DED CLEARING</v>
          </cell>
        </row>
        <row r="277">
          <cell r="A277">
            <v>9729999</v>
          </cell>
          <cell r="B277">
            <v>149405</v>
          </cell>
          <cell r="C277" t="str">
            <v>A/R ITEMS TRANS TO A/P DED CLEARING</v>
          </cell>
        </row>
        <row r="278">
          <cell r="A278">
            <v>9968681</v>
          </cell>
          <cell r="B278">
            <v>149405</v>
          </cell>
          <cell r="C278" t="str">
            <v>A/R ITEMS TRANS TO A/P DED CLEARING</v>
          </cell>
        </row>
        <row r="279">
          <cell r="A279">
            <v>8001054179</v>
          </cell>
          <cell r="B279">
            <v>149535</v>
          </cell>
          <cell r="C279" t="str">
            <v>A/R -A/R - CONTRA US &amp; CAN</v>
          </cell>
        </row>
        <row r="280">
          <cell r="A280">
            <v>8001059542</v>
          </cell>
          <cell r="B280">
            <v>149535</v>
          </cell>
          <cell r="C280" t="str">
            <v>A/R -A/R - CONTRA US &amp; CAN</v>
          </cell>
        </row>
        <row r="281">
          <cell r="A281">
            <v>8010512510</v>
          </cell>
          <cell r="B281">
            <v>149535</v>
          </cell>
          <cell r="C281" t="str">
            <v>A/R -A/R - CONTRA US &amp; CAN</v>
          </cell>
        </row>
        <row r="282">
          <cell r="A282">
            <v>9080999</v>
          </cell>
          <cell r="B282">
            <v>149535</v>
          </cell>
          <cell r="C282" t="str">
            <v>A/R -A/R - CONTRA US &amp; CAN</v>
          </cell>
        </row>
        <row r="283">
          <cell r="A283">
            <v>9110999</v>
          </cell>
          <cell r="B283">
            <v>149535</v>
          </cell>
          <cell r="C283" t="str">
            <v>A/R -A/R - CONTRA US &amp; CAN</v>
          </cell>
        </row>
        <row r="284">
          <cell r="A284">
            <v>9689999</v>
          </cell>
          <cell r="B284">
            <v>149535</v>
          </cell>
          <cell r="C284" t="str">
            <v>A/R -A/R - CONTRA US &amp; CAN</v>
          </cell>
        </row>
        <row r="285">
          <cell r="A285">
            <v>9969681</v>
          </cell>
          <cell r="B285">
            <v>149535</v>
          </cell>
          <cell r="C285" t="str">
            <v>A/R -A/R - CONTRA US &amp; CAN</v>
          </cell>
        </row>
        <row r="286">
          <cell r="A286">
            <v>9969901</v>
          </cell>
          <cell r="B286">
            <v>149535</v>
          </cell>
          <cell r="C286" t="str">
            <v>A/R -A/R - CONTRA US &amp; CAN</v>
          </cell>
        </row>
        <row r="287">
          <cell r="A287" t="str">
            <v>ZONE-0105-POST</v>
          </cell>
          <cell r="B287">
            <v>149535</v>
          </cell>
          <cell r="C287" t="str">
            <v>A/R -A/R - CONTRA US &amp; CAN</v>
          </cell>
        </row>
        <row r="288">
          <cell r="A288" t="str">
            <v>ZONE-0112-POST</v>
          </cell>
          <cell r="B288">
            <v>149535</v>
          </cell>
          <cell r="C288" t="str">
            <v>A/R -A/R - CONTRA US &amp; CAN</v>
          </cell>
        </row>
        <row r="289">
          <cell r="A289">
            <v>9052999</v>
          </cell>
          <cell r="B289">
            <v>149872</v>
          </cell>
          <cell r="C289" t="str">
            <v>A/R - STARBUCKS GIFT CARDS</v>
          </cell>
        </row>
        <row r="290">
          <cell r="A290">
            <v>9682715</v>
          </cell>
          <cell r="B290">
            <v>149872</v>
          </cell>
          <cell r="C290" t="str">
            <v>A/R - STARBUCKS GIFT CARDS</v>
          </cell>
        </row>
        <row r="291">
          <cell r="A291">
            <v>9682722</v>
          </cell>
          <cell r="B291">
            <v>149872</v>
          </cell>
          <cell r="C291" t="str">
            <v>A/R - STARBUCKS GIFT CARDS</v>
          </cell>
        </row>
        <row r="292">
          <cell r="A292">
            <v>9682999</v>
          </cell>
          <cell r="B292">
            <v>149872</v>
          </cell>
          <cell r="C292" t="str">
            <v>A/R - STARBUCKS GIFT CARDS</v>
          </cell>
        </row>
        <row r="293">
          <cell r="A293">
            <v>9689999</v>
          </cell>
          <cell r="B293">
            <v>149900</v>
          </cell>
          <cell r="C293" t="str">
            <v>OTHER-RESERVE FOR DOUBTFUL ACC</v>
          </cell>
        </row>
        <row r="294">
          <cell r="A294">
            <v>9090999</v>
          </cell>
          <cell r="B294">
            <v>164995</v>
          </cell>
          <cell r="C294" t="str">
            <v>PPD INSURANCE - OTHER - OUTSIDE MANAGEMENT</v>
          </cell>
        </row>
        <row r="295">
          <cell r="A295">
            <v>9100999</v>
          </cell>
          <cell r="B295">
            <v>164995</v>
          </cell>
          <cell r="C295" t="str">
            <v>PPD INSURANCE - OTHER - OUTSIDE MANAGEMENT</v>
          </cell>
        </row>
        <row r="296">
          <cell r="A296">
            <v>9090730</v>
          </cell>
          <cell r="B296">
            <v>168025</v>
          </cell>
          <cell r="C296" t="str">
            <v>PREPAID TELECOM PIN</v>
          </cell>
        </row>
        <row r="297">
          <cell r="A297">
            <v>9090731</v>
          </cell>
          <cell r="B297">
            <v>168025</v>
          </cell>
          <cell r="C297" t="str">
            <v>PREPAID TELECOM PIN</v>
          </cell>
        </row>
        <row r="298">
          <cell r="A298">
            <v>9090999</v>
          </cell>
          <cell r="B298">
            <v>168025</v>
          </cell>
          <cell r="C298" t="str">
            <v>PREPAID TELECOM PIN</v>
          </cell>
        </row>
        <row r="299">
          <cell r="A299">
            <v>9100730</v>
          </cell>
          <cell r="B299">
            <v>168025</v>
          </cell>
          <cell r="C299" t="str">
            <v>PREPAID TELECOM PIN</v>
          </cell>
        </row>
        <row r="300">
          <cell r="A300">
            <v>9100731</v>
          </cell>
          <cell r="B300">
            <v>168025</v>
          </cell>
          <cell r="C300" t="str">
            <v>PREPAID TELECOM PIN</v>
          </cell>
        </row>
        <row r="301">
          <cell r="A301">
            <v>9100999</v>
          </cell>
          <cell r="B301">
            <v>168025</v>
          </cell>
          <cell r="C301" t="str">
            <v>PREPAID TELECOM PIN</v>
          </cell>
        </row>
        <row r="302">
          <cell r="A302">
            <v>9090730</v>
          </cell>
          <cell r="B302">
            <v>168026</v>
          </cell>
          <cell r="C302" t="str">
            <v>PREPAID TELECOM PIN - RETURNS</v>
          </cell>
        </row>
        <row r="303">
          <cell r="A303">
            <v>9090731</v>
          </cell>
          <cell r="B303">
            <v>168026</v>
          </cell>
          <cell r="C303" t="str">
            <v>PREPAID TELECOM PIN - RETURNS</v>
          </cell>
        </row>
        <row r="304">
          <cell r="A304">
            <v>9090999</v>
          </cell>
          <cell r="B304">
            <v>168026</v>
          </cell>
          <cell r="C304" t="str">
            <v>PREPAID TELECOM PIN - RETURNS</v>
          </cell>
        </row>
        <row r="305">
          <cell r="A305">
            <v>9100730</v>
          </cell>
          <cell r="B305">
            <v>168026</v>
          </cell>
          <cell r="C305" t="str">
            <v>PREPAID TELECOM PIN - RETURNS</v>
          </cell>
        </row>
        <row r="306">
          <cell r="A306">
            <v>9100731</v>
          </cell>
          <cell r="B306">
            <v>168026</v>
          </cell>
          <cell r="C306" t="str">
            <v>PREPAID TELECOM PIN - RETURNS</v>
          </cell>
        </row>
        <row r="307">
          <cell r="A307">
            <v>9100999</v>
          </cell>
          <cell r="B307">
            <v>168026</v>
          </cell>
          <cell r="C307" t="str">
            <v>PREPAID TELECOM PIN - RETURNS</v>
          </cell>
        </row>
        <row r="308">
          <cell r="A308">
            <v>9689999</v>
          </cell>
          <cell r="B308">
            <v>168585</v>
          </cell>
          <cell r="C308" t="str">
            <v>PEOPLE SOFT PAYROLL ADVANCE</v>
          </cell>
        </row>
        <row r="309">
          <cell r="A309">
            <v>9682999</v>
          </cell>
          <cell r="B309">
            <v>168625</v>
          </cell>
          <cell r="C309" t="str">
            <v>PREPAID PHONE CARDS</v>
          </cell>
        </row>
        <row r="310">
          <cell r="A310">
            <v>9080999</v>
          </cell>
          <cell r="B310">
            <v>168731</v>
          </cell>
          <cell r="C310" t="str">
            <v>PREPAID RENT- PROPERTY-OUTSIDE</v>
          </cell>
        </row>
        <row r="311">
          <cell r="A311">
            <v>9110999</v>
          </cell>
          <cell r="B311">
            <v>168731</v>
          </cell>
          <cell r="C311" t="str">
            <v>PREPAID RENT- PROPERTY-OUTSIDE</v>
          </cell>
        </row>
        <row r="312">
          <cell r="A312">
            <v>9689999</v>
          </cell>
          <cell r="B312">
            <v>168866</v>
          </cell>
          <cell r="C312" t="str">
            <v>PREPAID MONEY ORDERS</v>
          </cell>
        </row>
        <row r="313">
          <cell r="A313">
            <v>8001054179</v>
          </cell>
          <cell r="B313">
            <v>168990</v>
          </cell>
          <cell r="C313" t="str">
            <v>PREPAID EXPENSE - OTHER</v>
          </cell>
        </row>
        <row r="314">
          <cell r="A314">
            <v>8001059542</v>
          </cell>
          <cell r="B314">
            <v>168990</v>
          </cell>
          <cell r="C314" t="str">
            <v>PREPAID EXPENSE - OTHER</v>
          </cell>
        </row>
        <row r="315">
          <cell r="A315">
            <v>8010512510</v>
          </cell>
          <cell r="B315">
            <v>168990</v>
          </cell>
          <cell r="C315" t="str">
            <v>PREPAID EXPENSE - OTHER</v>
          </cell>
        </row>
        <row r="316">
          <cell r="A316">
            <v>9090999</v>
          </cell>
          <cell r="B316">
            <v>168990</v>
          </cell>
          <cell r="C316" t="str">
            <v>PREPAID EXPENSE - OTHER</v>
          </cell>
        </row>
        <row r="317">
          <cell r="A317">
            <v>9100999</v>
          </cell>
          <cell r="B317">
            <v>168990</v>
          </cell>
          <cell r="C317" t="str">
            <v>PREPAID EXPENSE - OTHER</v>
          </cell>
        </row>
        <row r="318">
          <cell r="A318">
            <v>9682999</v>
          </cell>
          <cell r="B318">
            <v>168990</v>
          </cell>
          <cell r="C318" t="str">
            <v>PREPAID EXPENSE - OTHER</v>
          </cell>
        </row>
        <row r="319">
          <cell r="A319">
            <v>9722709</v>
          </cell>
          <cell r="B319">
            <v>168990</v>
          </cell>
          <cell r="C319" t="str">
            <v>PREPAID EXPENSE - OTHER</v>
          </cell>
        </row>
        <row r="320">
          <cell r="A320">
            <v>9722713</v>
          </cell>
          <cell r="B320">
            <v>168990</v>
          </cell>
          <cell r="C320" t="str">
            <v>PREPAID EXPENSE - OTHER</v>
          </cell>
        </row>
        <row r="321">
          <cell r="A321">
            <v>9967681</v>
          </cell>
          <cell r="B321">
            <v>168990</v>
          </cell>
          <cell r="C321" t="str">
            <v>PREPAID EXPENSE - OTHER</v>
          </cell>
        </row>
        <row r="322">
          <cell r="A322">
            <v>9968681</v>
          </cell>
          <cell r="B322">
            <v>168990</v>
          </cell>
          <cell r="C322" t="str">
            <v>PREPAID EXPENSE - OTHER</v>
          </cell>
        </row>
        <row r="323">
          <cell r="A323">
            <v>9969681</v>
          </cell>
          <cell r="B323">
            <v>168990</v>
          </cell>
          <cell r="C323" t="str">
            <v>PREPAID EXPENSE - OTHER</v>
          </cell>
        </row>
        <row r="324">
          <cell r="A324">
            <v>9969901</v>
          </cell>
          <cell r="B324">
            <v>168990</v>
          </cell>
          <cell r="C324" t="str">
            <v>PREPAID EXPENSE - OTHER</v>
          </cell>
        </row>
        <row r="325">
          <cell r="A325" t="str">
            <v>ZONE-0105-POST</v>
          </cell>
          <cell r="B325">
            <v>168990</v>
          </cell>
          <cell r="C325" t="str">
            <v>PREPAID EXPENSE - OTHER</v>
          </cell>
        </row>
        <row r="326">
          <cell r="A326" t="str">
            <v>ZONE-0112-POST</v>
          </cell>
          <cell r="B326">
            <v>168990</v>
          </cell>
          <cell r="C326" t="str">
            <v>PREPAID EXPENSE - OTHER</v>
          </cell>
        </row>
        <row r="327">
          <cell r="A327">
            <v>9080700</v>
          </cell>
          <cell r="B327">
            <v>168999</v>
          </cell>
          <cell r="C327" t="str">
            <v>PPD EXP -OTHER -BY SECTION</v>
          </cell>
        </row>
        <row r="328">
          <cell r="A328">
            <v>9080701</v>
          </cell>
          <cell r="B328">
            <v>168999</v>
          </cell>
          <cell r="C328" t="str">
            <v>PPD EXP -OTHER -BY SECTION</v>
          </cell>
        </row>
        <row r="329">
          <cell r="A329">
            <v>9080702</v>
          </cell>
          <cell r="B329">
            <v>168999</v>
          </cell>
          <cell r="C329" t="str">
            <v>PPD EXP -OTHER -BY SECTION</v>
          </cell>
        </row>
        <row r="330">
          <cell r="A330">
            <v>9080705</v>
          </cell>
          <cell r="B330">
            <v>168999</v>
          </cell>
          <cell r="C330" t="str">
            <v>PPD EXP -OTHER -BY SECTION</v>
          </cell>
        </row>
        <row r="331">
          <cell r="A331">
            <v>9080707</v>
          </cell>
          <cell r="B331">
            <v>168999</v>
          </cell>
          <cell r="C331" t="str">
            <v>PPD EXP -OTHER -BY SECTION</v>
          </cell>
        </row>
        <row r="332">
          <cell r="A332">
            <v>9080710</v>
          </cell>
          <cell r="B332">
            <v>168999</v>
          </cell>
          <cell r="C332" t="str">
            <v>PPD EXP -OTHER -BY SECTION</v>
          </cell>
        </row>
        <row r="333">
          <cell r="A333">
            <v>9080999</v>
          </cell>
          <cell r="B333">
            <v>168999</v>
          </cell>
          <cell r="C333" t="str">
            <v>PPD EXP -OTHER -BY SECTION</v>
          </cell>
        </row>
        <row r="334">
          <cell r="A334">
            <v>9110700</v>
          </cell>
          <cell r="B334">
            <v>168999</v>
          </cell>
          <cell r="C334" t="str">
            <v>PPD EXP -OTHER -BY SECTION</v>
          </cell>
        </row>
        <row r="335">
          <cell r="A335">
            <v>9110702</v>
          </cell>
          <cell r="B335">
            <v>168999</v>
          </cell>
          <cell r="C335" t="str">
            <v>PPD EXP -OTHER -BY SECTION</v>
          </cell>
        </row>
        <row r="336">
          <cell r="A336">
            <v>9110705</v>
          </cell>
          <cell r="B336">
            <v>168999</v>
          </cell>
          <cell r="C336" t="str">
            <v>PPD EXP -OTHER -BY SECTION</v>
          </cell>
        </row>
        <row r="337">
          <cell r="A337">
            <v>9110707</v>
          </cell>
          <cell r="B337">
            <v>168999</v>
          </cell>
          <cell r="C337" t="str">
            <v>PPD EXP -OTHER -BY SECTION</v>
          </cell>
        </row>
        <row r="338">
          <cell r="A338">
            <v>9110999</v>
          </cell>
          <cell r="B338">
            <v>168999</v>
          </cell>
          <cell r="C338" t="str">
            <v>PPD EXP -OTHER -BY SECTION</v>
          </cell>
        </row>
        <row r="339">
          <cell r="A339">
            <v>9681700</v>
          </cell>
          <cell r="B339">
            <v>168999</v>
          </cell>
          <cell r="C339" t="str">
            <v>PPD EXP -OTHER -BY SECTION</v>
          </cell>
        </row>
        <row r="340">
          <cell r="A340">
            <v>9681701</v>
          </cell>
          <cell r="B340">
            <v>168999</v>
          </cell>
          <cell r="C340" t="str">
            <v>PPD EXP -OTHER -BY SECTION</v>
          </cell>
        </row>
        <row r="341">
          <cell r="A341">
            <v>9681702</v>
          </cell>
          <cell r="B341">
            <v>168999</v>
          </cell>
          <cell r="C341" t="str">
            <v>PPD EXP -OTHER -BY SECTION</v>
          </cell>
        </row>
        <row r="342">
          <cell r="A342">
            <v>9681705</v>
          </cell>
          <cell r="B342">
            <v>168999</v>
          </cell>
          <cell r="C342" t="str">
            <v>PPD EXP -OTHER -BY SECTION</v>
          </cell>
        </row>
        <row r="343">
          <cell r="A343">
            <v>9681706</v>
          </cell>
          <cell r="B343">
            <v>168999</v>
          </cell>
          <cell r="C343" t="str">
            <v>PPD EXP -OTHER -BY SECTION</v>
          </cell>
        </row>
        <row r="344">
          <cell r="A344">
            <v>9681707</v>
          </cell>
          <cell r="B344">
            <v>168999</v>
          </cell>
          <cell r="C344" t="str">
            <v>PPD EXP -OTHER -BY SECTION</v>
          </cell>
        </row>
        <row r="345">
          <cell r="A345">
            <v>9681712</v>
          </cell>
          <cell r="B345">
            <v>168999</v>
          </cell>
          <cell r="C345" t="str">
            <v>PPD EXP -OTHER -BY SECTION</v>
          </cell>
        </row>
        <row r="346">
          <cell r="A346">
            <v>9681727</v>
          </cell>
          <cell r="B346">
            <v>168999</v>
          </cell>
          <cell r="C346" t="str">
            <v>PPD EXP -OTHER -BY SECTION</v>
          </cell>
        </row>
        <row r="347">
          <cell r="A347">
            <v>9681749</v>
          </cell>
          <cell r="B347">
            <v>168999</v>
          </cell>
          <cell r="C347" t="str">
            <v>PPD EXP -OTHER -BY SECTION</v>
          </cell>
        </row>
        <row r="348">
          <cell r="A348">
            <v>9681999</v>
          </cell>
          <cell r="B348">
            <v>168999</v>
          </cell>
          <cell r="C348" t="str">
            <v>PPD EXP -OTHER -BY SECTION</v>
          </cell>
        </row>
        <row r="349">
          <cell r="A349">
            <v>9682715</v>
          </cell>
          <cell r="B349">
            <v>168999</v>
          </cell>
          <cell r="C349" t="str">
            <v>PPD EXP -OTHER -BY SECTION</v>
          </cell>
        </row>
        <row r="350">
          <cell r="A350">
            <v>9682722</v>
          </cell>
          <cell r="B350">
            <v>168999</v>
          </cell>
          <cell r="C350" t="str">
            <v>PPD EXP -OTHER -BY SECTION</v>
          </cell>
        </row>
        <row r="351">
          <cell r="A351">
            <v>9682999</v>
          </cell>
          <cell r="B351">
            <v>168999</v>
          </cell>
          <cell r="C351" t="str">
            <v>PPD EXP -OTHER -BY SECTION</v>
          </cell>
        </row>
        <row r="352">
          <cell r="A352">
            <v>9080999</v>
          </cell>
          <cell r="B352">
            <v>170150</v>
          </cell>
          <cell r="C352" t="str">
            <v>INVESTMENT IN SUBSIDIARIES</v>
          </cell>
        </row>
        <row r="353">
          <cell r="A353">
            <v>9090999</v>
          </cell>
          <cell r="B353">
            <v>170150</v>
          </cell>
          <cell r="C353" t="str">
            <v>INVESTMENT IN SUBSIDIARIES</v>
          </cell>
        </row>
        <row r="354">
          <cell r="A354">
            <v>9110999</v>
          </cell>
          <cell r="B354">
            <v>170150</v>
          </cell>
          <cell r="C354" t="str">
            <v>INVESTMENT IN SUBSIDIARIES</v>
          </cell>
        </row>
        <row r="355">
          <cell r="A355">
            <v>9120999</v>
          </cell>
          <cell r="B355">
            <v>170150</v>
          </cell>
          <cell r="C355" t="str">
            <v>INVESTMENT IN SUBSIDIARIES</v>
          </cell>
        </row>
        <row r="356">
          <cell r="A356">
            <v>9689999</v>
          </cell>
          <cell r="B356">
            <v>170150</v>
          </cell>
          <cell r="C356" t="str">
            <v>INVESTMENT IN SUBSIDIARIES</v>
          </cell>
        </row>
        <row r="357">
          <cell r="A357">
            <v>9966681</v>
          </cell>
          <cell r="B357">
            <v>170150</v>
          </cell>
          <cell r="C357" t="str">
            <v>INVESTMENT IN SUBSIDIARIES</v>
          </cell>
        </row>
        <row r="358">
          <cell r="A358">
            <v>9090999</v>
          </cell>
          <cell r="B358">
            <v>171163</v>
          </cell>
          <cell r="C358" t="str">
            <v>INVESTMENT IN ACQUISITION - GENERAL</v>
          </cell>
        </row>
        <row r="359">
          <cell r="A359">
            <v>9100999</v>
          </cell>
          <cell r="B359">
            <v>171163</v>
          </cell>
          <cell r="C359" t="str">
            <v>INVESTMENT IN ACQUISITION - GENERAL</v>
          </cell>
        </row>
        <row r="360">
          <cell r="A360">
            <v>9689883</v>
          </cell>
          <cell r="B360">
            <v>171163</v>
          </cell>
          <cell r="C360" t="str">
            <v>INVESTMENT IN ACQUISITION - GENERAL</v>
          </cell>
        </row>
        <row r="361">
          <cell r="A361">
            <v>9689999</v>
          </cell>
          <cell r="B361">
            <v>171163</v>
          </cell>
          <cell r="C361" t="str">
            <v>INVESTMENT IN ACQUISITION - GENERAL</v>
          </cell>
        </row>
        <row r="362">
          <cell r="A362">
            <v>9090999</v>
          </cell>
          <cell r="B362">
            <v>171200</v>
          </cell>
          <cell r="C362" t="str">
            <v>INVESTMENT - MISCELLANEOUS</v>
          </cell>
        </row>
        <row r="363">
          <cell r="A363">
            <v>9100999</v>
          </cell>
          <cell r="B363">
            <v>171200</v>
          </cell>
          <cell r="C363" t="str">
            <v>INVESTMENT - MISCELLANEOUS</v>
          </cell>
        </row>
        <row r="364">
          <cell r="A364">
            <v>9080999</v>
          </cell>
          <cell r="B364">
            <v>173100</v>
          </cell>
          <cell r="C364" t="str">
            <v>NOTES RECEIV.-INTER/INTRA CO.</v>
          </cell>
        </row>
        <row r="365">
          <cell r="A365">
            <v>9110999</v>
          </cell>
          <cell r="B365">
            <v>173100</v>
          </cell>
          <cell r="C365" t="str">
            <v>NOTES RECEIV.-INTER/INTRA CO.</v>
          </cell>
        </row>
        <row r="366">
          <cell r="A366">
            <v>9689999</v>
          </cell>
          <cell r="B366">
            <v>173100</v>
          </cell>
          <cell r="C366" t="str">
            <v>NOTES RECEIV.-INTER/INTRA CO.</v>
          </cell>
        </row>
        <row r="367">
          <cell r="A367">
            <v>9090999</v>
          </cell>
          <cell r="B367">
            <v>173300</v>
          </cell>
          <cell r="C367" t="str">
            <v>NOTES REC. - OTHER</v>
          </cell>
        </row>
        <row r="368">
          <cell r="A368">
            <v>9100999</v>
          </cell>
          <cell r="B368">
            <v>173300</v>
          </cell>
          <cell r="C368" t="str">
            <v>NOTES REC. - OTHER</v>
          </cell>
        </row>
        <row r="369">
          <cell r="A369">
            <v>9682999</v>
          </cell>
          <cell r="B369">
            <v>174152</v>
          </cell>
          <cell r="C369" t="str">
            <v>ACQUIRED DOMAIN NAMES</v>
          </cell>
        </row>
        <row r="370">
          <cell r="A370">
            <v>9682999</v>
          </cell>
          <cell r="B370">
            <v>174153</v>
          </cell>
          <cell r="C370" t="str">
            <v>AMORT - ACQUIRED DOMAIN NAMES</v>
          </cell>
        </row>
        <row r="371">
          <cell r="A371">
            <v>9090999</v>
          </cell>
          <cell r="B371">
            <v>180411</v>
          </cell>
          <cell r="C371" t="str">
            <v>BUILDINGS.</v>
          </cell>
        </row>
        <row r="372">
          <cell r="A372">
            <v>9100999</v>
          </cell>
          <cell r="B372">
            <v>180411</v>
          </cell>
          <cell r="C372" t="str">
            <v>BUILDINGS.</v>
          </cell>
        </row>
        <row r="373">
          <cell r="A373">
            <v>9680999</v>
          </cell>
          <cell r="B373">
            <v>180411</v>
          </cell>
          <cell r="C373" t="str">
            <v>BUILDINGS.</v>
          </cell>
        </row>
        <row r="374">
          <cell r="A374">
            <v>9090999</v>
          </cell>
          <cell r="B374">
            <v>180429</v>
          </cell>
          <cell r="C374" t="str">
            <v>LEASEHOLD IMPROVEMENTS</v>
          </cell>
        </row>
        <row r="375">
          <cell r="A375">
            <v>9100999</v>
          </cell>
          <cell r="B375">
            <v>180429</v>
          </cell>
          <cell r="C375" t="str">
            <v>LEASEHOLD IMPROVEMENTS</v>
          </cell>
        </row>
        <row r="376">
          <cell r="A376">
            <v>9689883</v>
          </cell>
          <cell r="B376">
            <v>180429</v>
          </cell>
          <cell r="C376" t="str">
            <v>LEASEHOLD IMPROVEMENTS</v>
          </cell>
        </row>
        <row r="377">
          <cell r="A377">
            <v>9689906</v>
          </cell>
          <cell r="B377">
            <v>180429</v>
          </cell>
          <cell r="C377" t="str">
            <v>LEASEHOLD IMPROVEMENTS</v>
          </cell>
        </row>
        <row r="378">
          <cell r="A378">
            <v>9689990</v>
          </cell>
          <cell r="B378">
            <v>180429</v>
          </cell>
          <cell r="C378" t="str">
            <v>LEASEHOLD IMPROVEMENTS</v>
          </cell>
        </row>
        <row r="379">
          <cell r="A379">
            <v>9689992</v>
          </cell>
          <cell r="B379">
            <v>180429</v>
          </cell>
          <cell r="C379" t="str">
            <v>LEASEHOLD IMPROVEMENTS</v>
          </cell>
        </row>
        <row r="380">
          <cell r="A380">
            <v>9090999</v>
          </cell>
          <cell r="B380">
            <v>180433</v>
          </cell>
          <cell r="C380" t="str">
            <v>CAPITAL LEASE 9-6-86 COST</v>
          </cell>
        </row>
        <row r="381">
          <cell r="A381">
            <v>9682999</v>
          </cell>
          <cell r="B381">
            <v>180466</v>
          </cell>
          <cell r="C381" t="str">
            <v>STORE EQUIPMENT</v>
          </cell>
        </row>
        <row r="382">
          <cell r="A382">
            <v>9689883</v>
          </cell>
          <cell r="B382">
            <v>180466</v>
          </cell>
          <cell r="C382" t="str">
            <v>STORE EQUIPMENT</v>
          </cell>
        </row>
        <row r="383">
          <cell r="A383">
            <v>9689906</v>
          </cell>
          <cell r="B383">
            <v>180466</v>
          </cell>
          <cell r="C383" t="str">
            <v>STORE EQUIPMENT</v>
          </cell>
        </row>
        <row r="384">
          <cell r="A384">
            <v>9689992</v>
          </cell>
          <cell r="B384">
            <v>180466</v>
          </cell>
          <cell r="C384" t="str">
            <v>STORE EQUIPMENT</v>
          </cell>
        </row>
        <row r="385">
          <cell r="A385">
            <v>9720703</v>
          </cell>
          <cell r="B385">
            <v>180466</v>
          </cell>
          <cell r="C385" t="str">
            <v>STORE EQUIPMENT</v>
          </cell>
        </row>
        <row r="386">
          <cell r="A386">
            <v>9724718</v>
          </cell>
          <cell r="B386">
            <v>180466</v>
          </cell>
          <cell r="C386" t="str">
            <v>STORE EQUIPMENT</v>
          </cell>
        </row>
        <row r="387">
          <cell r="A387">
            <v>9724721</v>
          </cell>
          <cell r="B387">
            <v>180466</v>
          </cell>
          <cell r="C387" t="str">
            <v>STORE EQUIPMENT</v>
          </cell>
        </row>
        <row r="388">
          <cell r="A388">
            <v>9724724</v>
          </cell>
          <cell r="B388">
            <v>180466</v>
          </cell>
          <cell r="C388" t="str">
            <v>STORE EQUIPMENT</v>
          </cell>
        </row>
        <row r="389">
          <cell r="A389">
            <v>9725703</v>
          </cell>
          <cell r="B389">
            <v>180466</v>
          </cell>
          <cell r="C389" t="str">
            <v>STORE EQUIPMENT</v>
          </cell>
        </row>
        <row r="390">
          <cell r="A390">
            <v>9725704</v>
          </cell>
          <cell r="B390">
            <v>180466</v>
          </cell>
          <cell r="C390" t="str">
            <v>STORE EQUIPMENT</v>
          </cell>
        </row>
        <row r="391">
          <cell r="A391">
            <v>9725711</v>
          </cell>
          <cell r="B391">
            <v>180466</v>
          </cell>
          <cell r="C391" t="str">
            <v>STORE EQUIPMENT</v>
          </cell>
        </row>
        <row r="392">
          <cell r="A392">
            <v>9725717</v>
          </cell>
          <cell r="B392">
            <v>180466</v>
          </cell>
          <cell r="C392" t="str">
            <v>STORE EQUIPMENT</v>
          </cell>
        </row>
        <row r="393">
          <cell r="A393">
            <v>9725725</v>
          </cell>
          <cell r="B393">
            <v>180466</v>
          </cell>
          <cell r="C393" t="str">
            <v>STORE EQUIPMENT</v>
          </cell>
        </row>
        <row r="394">
          <cell r="A394">
            <v>9080700</v>
          </cell>
          <cell r="B394">
            <v>180467</v>
          </cell>
          <cell r="C394" t="str">
            <v>OFFICE EQUIP</v>
          </cell>
        </row>
        <row r="395">
          <cell r="A395">
            <v>9080701</v>
          </cell>
          <cell r="B395">
            <v>180467</v>
          </cell>
          <cell r="C395" t="str">
            <v>OFFICE EQUIP</v>
          </cell>
        </row>
        <row r="396">
          <cell r="A396">
            <v>9080702</v>
          </cell>
          <cell r="B396">
            <v>180467</v>
          </cell>
          <cell r="C396" t="str">
            <v>OFFICE EQUIP</v>
          </cell>
        </row>
        <row r="397">
          <cell r="A397">
            <v>9080705</v>
          </cell>
          <cell r="B397">
            <v>180467</v>
          </cell>
          <cell r="C397" t="str">
            <v>OFFICE EQUIP</v>
          </cell>
        </row>
        <row r="398">
          <cell r="A398">
            <v>9080707</v>
          </cell>
          <cell r="B398">
            <v>180467</v>
          </cell>
          <cell r="C398" t="str">
            <v>OFFICE EQUIP</v>
          </cell>
        </row>
        <row r="399">
          <cell r="A399">
            <v>9080710</v>
          </cell>
          <cell r="B399">
            <v>180467</v>
          </cell>
          <cell r="C399" t="str">
            <v>OFFICE EQUIP</v>
          </cell>
        </row>
        <row r="400">
          <cell r="A400">
            <v>9080999</v>
          </cell>
          <cell r="B400">
            <v>180467</v>
          </cell>
          <cell r="C400" t="str">
            <v>OFFICE EQUIP</v>
          </cell>
        </row>
        <row r="401">
          <cell r="A401">
            <v>9090999</v>
          </cell>
          <cell r="B401">
            <v>180467</v>
          </cell>
          <cell r="C401" t="str">
            <v>OFFICE EQUIP</v>
          </cell>
        </row>
        <row r="402">
          <cell r="A402">
            <v>9100999</v>
          </cell>
          <cell r="B402">
            <v>180467</v>
          </cell>
          <cell r="C402" t="str">
            <v>OFFICE EQUIP</v>
          </cell>
        </row>
        <row r="403">
          <cell r="A403">
            <v>9110700</v>
          </cell>
          <cell r="B403">
            <v>180467</v>
          </cell>
          <cell r="C403" t="str">
            <v>OFFICE EQUIP</v>
          </cell>
        </row>
        <row r="404">
          <cell r="A404">
            <v>9110702</v>
          </cell>
          <cell r="B404">
            <v>180467</v>
          </cell>
          <cell r="C404" t="str">
            <v>OFFICE EQUIP</v>
          </cell>
        </row>
        <row r="405">
          <cell r="A405">
            <v>9110705</v>
          </cell>
          <cell r="B405">
            <v>180467</v>
          </cell>
          <cell r="C405" t="str">
            <v>OFFICE EQUIP</v>
          </cell>
        </row>
        <row r="406">
          <cell r="A406">
            <v>9110707</v>
          </cell>
          <cell r="B406">
            <v>180467</v>
          </cell>
          <cell r="C406" t="str">
            <v>OFFICE EQUIP</v>
          </cell>
        </row>
        <row r="407">
          <cell r="A407">
            <v>9110999</v>
          </cell>
          <cell r="B407">
            <v>180467</v>
          </cell>
          <cell r="C407" t="str">
            <v>OFFICE EQUIP</v>
          </cell>
        </row>
        <row r="408">
          <cell r="A408">
            <v>9680999</v>
          </cell>
          <cell r="B408">
            <v>180467</v>
          </cell>
          <cell r="C408" t="str">
            <v>OFFICE EQUIP</v>
          </cell>
        </row>
        <row r="409">
          <cell r="A409">
            <v>9681700</v>
          </cell>
          <cell r="B409">
            <v>180467</v>
          </cell>
          <cell r="C409" t="str">
            <v>OFFICE EQUIP</v>
          </cell>
        </row>
        <row r="410">
          <cell r="A410">
            <v>9681701</v>
          </cell>
          <cell r="B410">
            <v>180467</v>
          </cell>
          <cell r="C410" t="str">
            <v>OFFICE EQUIP</v>
          </cell>
        </row>
        <row r="411">
          <cell r="A411">
            <v>9681702</v>
          </cell>
          <cell r="B411">
            <v>180467</v>
          </cell>
          <cell r="C411" t="str">
            <v>OFFICE EQUIP</v>
          </cell>
        </row>
        <row r="412">
          <cell r="A412">
            <v>9681705</v>
          </cell>
          <cell r="B412">
            <v>180467</v>
          </cell>
          <cell r="C412" t="str">
            <v>OFFICE EQUIP</v>
          </cell>
        </row>
        <row r="413">
          <cell r="A413">
            <v>9681706</v>
          </cell>
          <cell r="B413">
            <v>180467</v>
          </cell>
          <cell r="C413" t="str">
            <v>OFFICE EQUIP</v>
          </cell>
        </row>
        <row r="414">
          <cell r="A414">
            <v>9681707</v>
          </cell>
          <cell r="B414">
            <v>180467</v>
          </cell>
          <cell r="C414" t="str">
            <v>OFFICE EQUIP</v>
          </cell>
        </row>
        <row r="415">
          <cell r="A415">
            <v>9681712</v>
          </cell>
          <cell r="B415">
            <v>180467</v>
          </cell>
          <cell r="C415" t="str">
            <v>OFFICE EQUIP</v>
          </cell>
        </row>
        <row r="416">
          <cell r="A416">
            <v>9681714</v>
          </cell>
          <cell r="B416">
            <v>180467</v>
          </cell>
          <cell r="C416" t="str">
            <v>OFFICE EQUIP</v>
          </cell>
        </row>
        <row r="417">
          <cell r="A417">
            <v>9681727</v>
          </cell>
          <cell r="B417">
            <v>180467</v>
          </cell>
          <cell r="C417" t="str">
            <v>OFFICE EQUIP</v>
          </cell>
        </row>
        <row r="418">
          <cell r="A418">
            <v>9681749</v>
          </cell>
          <cell r="B418">
            <v>180467</v>
          </cell>
          <cell r="C418" t="str">
            <v>OFFICE EQUIP</v>
          </cell>
        </row>
        <row r="419">
          <cell r="A419">
            <v>9681999</v>
          </cell>
          <cell r="B419">
            <v>180467</v>
          </cell>
          <cell r="C419" t="str">
            <v>OFFICE EQUIP</v>
          </cell>
        </row>
        <row r="420">
          <cell r="A420">
            <v>9682715</v>
          </cell>
          <cell r="B420">
            <v>180467</v>
          </cell>
          <cell r="C420" t="str">
            <v>OFFICE EQUIP</v>
          </cell>
        </row>
        <row r="421">
          <cell r="A421">
            <v>9682722</v>
          </cell>
          <cell r="B421">
            <v>180467</v>
          </cell>
          <cell r="C421" t="str">
            <v>OFFICE EQUIP</v>
          </cell>
        </row>
        <row r="422">
          <cell r="A422">
            <v>9682999</v>
          </cell>
          <cell r="B422">
            <v>180467</v>
          </cell>
          <cell r="C422" t="str">
            <v>OFFICE EQUIP</v>
          </cell>
        </row>
        <row r="423">
          <cell r="A423">
            <v>9689883</v>
          </cell>
          <cell r="B423">
            <v>180467</v>
          </cell>
          <cell r="C423" t="str">
            <v>OFFICE EQUIP</v>
          </cell>
        </row>
        <row r="424">
          <cell r="A424">
            <v>9689906</v>
          </cell>
          <cell r="B424">
            <v>180467</v>
          </cell>
          <cell r="C424" t="str">
            <v>OFFICE EQUIP</v>
          </cell>
        </row>
        <row r="425">
          <cell r="A425">
            <v>9689991</v>
          </cell>
          <cell r="B425">
            <v>180467</v>
          </cell>
          <cell r="C425" t="str">
            <v>OFFICE EQUIP</v>
          </cell>
        </row>
        <row r="426">
          <cell r="A426">
            <v>9689992</v>
          </cell>
          <cell r="B426">
            <v>180467</v>
          </cell>
          <cell r="C426" t="str">
            <v>OFFICE EQUIP</v>
          </cell>
        </row>
        <row r="427">
          <cell r="A427">
            <v>9689993</v>
          </cell>
          <cell r="B427">
            <v>180467</v>
          </cell>
          <cell r="C427" t="str">
            <v>OFFICE EQUIP</v>
          </cell>
        </row>
        <row r="428">
          <cell r="A428">
            <v>9689994</v>
          </cell>
          <cell r="B428">
            <v>180467</v>
          </cell>
          <cell r="C428" t="str">
            <v>OFFICE EQUIP</v>
          </cell>
        </row>
        <row r="429">
          <cell r="A429">
            <v>9689999</v>
          </cell>
          <cell r="B429">
            <v>180467</v>
          </cell>
          <cell r="C429" t="str">
            <v>OFFICE EQUIP</v>
          </cell>
        </row>
        <row r="430">
          <cell r="A430">
            <v>9090999</v>
          </cell>
          <cell r="B430">
            <v>180480</v>
          </cell>
          <cell r="C430" t="str">
            <v>CAP LEASES</v>
          </cell>
        </row>
        <row r="431">
          <cell r="A431">
            <v>9100999</v>
          </cell>
          <cell r="B431">
            <v>180480</v>
          </cell>
          <cell r="C431" t="str">
            <v>CAP LEASES</v>
          </cell>
        </row>
        <row r="432">
          <cell r="A432">
            <v>9090999</v>
          </cell>
          <cell r="B432">
            <v>180629</v>
          </cell>
          <cell r="C432" t="str">
            <v>LEASE IMPROV - WRITE-UP</v>
          </cell>
        </row>
        <row r="433">
          <cell r="A433">
            <v>9100999</v>
          </cell>
          <cell r="B433">
            <v>180629</v>
          </cell>
          <cell r="C433" t="str">
            <v>LEASE IMPROV - WRITE-UP</v>
          </cell>
        </row>
        <row r="434">
          <cell r="A434">
            <v>9680700</v>
          </cell>
          <cell r="B434">
            <v>180629</v>
          </cell>
          <cell r="C434" t="str">
            <v>LEASE IMPROV - WRITE-UP</v>
          </cell>
        </row>
        <row r="435">
          <cell r="A435">
            <v>9680701</v>
          </cell>
          <cell r="B435">
            <v>180629</v>
          </cell>
          <cell r="C435" t="str">
            <v>LEASE IMPROV - WRITE-UP</v>
          </cell>
        </row>
        <row r="436">
          <cell r="A436">
            <v>9680702</v>
          </cell>
          <cell r="B436">
            <v>180629</v>
          </cell>
          <cell r="C436" t="str">
            <v>LEASE IMPROV - WRITE-UP</v>
          </cell>
        </row>
        <row r="437">
          <cell r="A437">
            <v>9680705</v>
          </cell>
          <cell r="B437">
            <v>180629</v>
          </cell>
          <cell r="C437" t="str">
            <v>LEASE IMPROV - WRITE-UP</v>
          </cell>
        </row>
        <row r="438">
          <cell r="A438">
            <v>9680707</v>
          </cell>
          <cell r="B438">
            <v>180629</v>
          </cell>
          <cell r="C438" t="str">
            <v>LEASE IMPROV - WRITE-UP</v>
          </cell>
        </row>
        <row r="439">
          <cell r="A439">
            <v>9680710</v>
          </cell>
          <cell r="B439">
            <v>180629</v>
          </cell>
          <cell r="C439" t="str">
            <v>LEASE IMPROV - WRITE-UP</v>
          </cell>
        </row>
        <row r="440">
          <cell r="A440">
            <v>9680712</v>
          </cell>
          <cell r="B440">
            <v>180629</v>
          </cell>
          <cell r="C440" t="str">
            <v>LEASE IMPROV - WRITE-UP</v>
          </cell>
        </row>
        <row r="441">
          <cell r="A441">
            <v>9680714</v>
          </cell>
          <cell r="B441">
            <v>180629</v>
          </cell>
          <cell r="C441" t="str">
            <v>LEASE IMPROV - WRITE-UP</v>
          </cell>
        </row>
        <row r="442">
          <cell r="A442">
            <v>9680734</v>
          </cell>
          <cell r="B442">
            <v>180629</v>
          </cell>
          <cell r="C442" t="str">
            <v>LEASE IMPROV - WRITE-UP</v>
          </cell>
        </row>
        <row r="443">
          <cell r="A443">
            <v>9680748</v>
          </cell>
          <cell r="B443">
            <v>180629</v>
          </cell>
          <cell r="C443" t="str">
            <v>LEASE IMPROV - WRITE-UP</v>
          </cell>
        </row>
        <row r="444">
          <cell r="A444">
            <v>9680749</v>
          </cell>
          <cell r="B444">
            <v>180629</v>
          </cell>
          <cell r="C444" t="str">
            <v>LEASE IMPROV - WRITE-UP</v>
          </cell>
        </row>
        <row r="445">
          <cell r="A445">
            <v>9680894</v>
          </cell>
          <cell r="B445">
            <v>180629</v>
          </cell>
          <cell r="C445" t="str">
            <v>LEASE IMPROV - WRITE-UP</v>
          </cell>
        </row>
        <row r="446">
          <cell r="A446">
            <v>9680999</v>
          </cell>
          <cell r="B446">
            <v>180629</v>
          </cell>
          <cell r="C446" t="str">
            <v>LEASE IMPROV - WRITE-UP</v>
          </cell>
        </row>
        <row r="447">
          <cell r="A447">
            <v>9681710</v>
          </cell>
          <cell r="B447">
            <v>180629</v>
          </cell>
          <cell r="C447" t="str">
            <v>LEASE IMPROV - WRITE-UP</v>
          </cell>
        </row>
        <row r="448">
          <cell r="A448">
            <v>9681734</v>
          </cell>
          <cell r="B448">
            <v>180629</v>
          </cell>
          <cell r="C448" t="str">
            <v>LEASE IMPROV - WRITE-UP</v>
          </cell>
        </row>
        <row r="449">
          <cell r="A449">
            <v>9681748</v>
          </cell>
          <cell r="B449">
            <v>180629</v>
          </cell>
          <cell r="C449" t="str">
            <v>LEASE IMPROV - WRITE-UP</v>
          </cell>
        </row>
        <row r="450">
          <cell r="A450">
            <v>9681894</v>
          </cell>
          <cell r="B450">
            <v>180629</v>
          </cell>
          <cell r="C450" t="str">
            <v>LEASE IMPROV - WRITE-UP</v>
          </cell>
        </row>
        <row r="451">
          <cell r="A451">
            <v>9684999</v>
          </cell>
          <cell r="B451">
            <v>180629</v>
          </cell>
          <cell r="C451" t="str">
            <v>LEASE IMPROV - WRITE-UP</v>
          </cell>
        </row>
        <row r="452">
          <cell r="A452">
            <v>9689883</v>
          </cell>
          <cell r="B452">
            <v>180629</v>
          </cell>
          <cell r="C452" t="str">
            <v>LEASE IMPROV - WRITE-UP</v>
          </cell>
        </row>
        <row r="453">
          <cell r="A453">
            <v>9689906</v>
          </cell>
          <cell r="B453">
            <v>180629</v>
          </cell>
          <cell r="C453" t="str">
            <v>LEASE IMPROV - WRITE-UP</v>
          </cell>
        </row>
        <row r="454">
          <cell r="A454">
            <v>9689992</v>
          </cell>
          <cell r="B454">
            <v>180629</v>
          </cell>
          <cell r="C454" t="str">
            <v>LEASE IMPROV - WRITE-UP</v>
          </cell>
        </row>
        <row r="455">
          <cell r="A455">
            <v>9090999</v>
          </cell>
          <cell r="B455">
            <v>181511</v>
          </cell>
          <cell r="C455" t="str">
            <v>RESERVE FOR DEPREC - BUILDINGS</v>
          </cell>
        </row>
        <row r="456">
          <cell r="A456">
            <v>9100999</v>
          </cell>
          <cell r="B456">
            <v>181511</v>
          </cell>
          <cell r="C456" t="str">
            <v>RESERVE FOR DEPREC - BUILDINGS</v>
          </cell>
        </row>
        <row r="457">
          <cell r="A457">
            <v>9680999</v>
          </cell>
          <cell r="B457">
            <v>181511</v>
          </cell>
          <cell r="C457" t="str">
            <v>RESERVE FOR DEPREC - BUILDINGS</v>
          </cell>
        </row>
        <row r="458">
          <cell r="A458">
            <v>9090999</v>
          </cell>
          <cell r="B458">
            <v>181529</v>
          </cell>
          <cell r="C458" t="str">
            <v>RESERVE FOR AMORT-LEASE IMPROV</v>
          </cell>
        </row>
        <row r="459">
          <cell r="A459">
            <v>9100999</v>
          </cell>
          <cell r="B459">
            <v>181529</v>
          </cell>
          <cell r="C459" t="str">
            <v>RESERVE FOR AMORT-LEASE IMPROV</v>
          </cell>
        </row>
        <row r="460">
          <cell r="A460">
            <v>9689883</v>
          </cell>
          <cell r="B460">
            <v>181529</v>
          </cell>
          <cell r="C460" t="str">
            <v>RESERVE FOR AMORT-LEASE IMPROV</v>
          </cell>
        </row>
        <row r="461">
          <cell r="A461">
            <v>9689906</v>
          </cell>
          <cell r="B461">
            <v>181529</v>
          </cell>
          <cell r="C461" t="str">
            <v>RESERVE FOR AMORT-LEASE IMPROV</v>
          </cell>
        </row>
        <row r="462">
          <cell r="A462">
            <v>9689990</v>
          </cell>
          <cell r="B462">
            <v>181529</v>
          </cell>
          <cell r="C462" t="str">
            <v>RESERVE FOR AMORT-LEASE IMPROV</v>
          </cell>
        </row>
        <row r="463">
          <cell r="A463">
            <v>9689992</v>
          </cell>
          <cell r="B463">
            <v>181529</v>
          </cell>
          <cell r="C463" t="str">
            <v>RESERVE FOR AMORT-LEASE IMPROV</v>
          </cell>
        </row>
        <row r="464">
          <cell r="A464">
            <v>9090999</v>
          </cell>
          <cell r="B464">
            <v>181533</v>
          </cell>
          <cell r="C464" t="str">
            <v>CAPITAL LEASE 9-6-86 ACCUM</v>
          </cell>
        </row>
        <row r="465">
          <cell r="A465">
            <v>9682999</v>
          </cell>
          <cell r="B465">
            <v>181566</v>
          </cell>
          <cell r="C465" t="str">
            <v>RESERVE FOR DEPREC-STORE EQUIP</v>
          </cell>
        </row>
        <row r="466">
          <cell r="A466">
            <v>9689883</v>
          </cell>
          <cell r="B466">
            <v>181566</v>
          </cell>
          <cell r="C466" t="str">
            <v>RESERVE FOR DEPREC-STORE EQUIP</v>
          </cell>
        </row>
        <row r="467">
          <cell r="A467">
            <v>9689906</v>
          </cell>
          <cell r="B467">
            <v>181566</v>
          </cell>
          <cell r="C467" t="str">
            <v>RESERVE FOR DEPREC-STORE EQUIP</v>
          </cell>
        </row>
        <row r="468">
          <cell r="A468">
            <v>9689992</v>
          </cell>
          <cell r="B468">
            <v>181566</v>
          </cell>
          <cell r="C468" t="str">
            <v>RESERVE FOR DEPREC-STORE EQUIP</v>
          </cell>
        </row>
        <row r="469">
          <cell r="A469">
            <v>9720703</v>
          </cell>
          <cell r="B469">
            <v>181566</v>
          </cell>
          <cell r="C469" t="str">
            <v>RESERVE FOR DEPREC-STORE EQUIP</v>
          </cell>
        </row>
        <row r="470">
          <cell r="A470">
            <v>9724718</v>
          </cell>
          <cell r="B470">
            <v>181566</v>
          </cell>
          <cell r="C470" t="str">
            <v>RESERVE FOR DEPREC-STORE EQUIP</v>
          </cell>
        </row>
        <row r="471">
          <cell r="A471">
            <v>9724721</v>
          </cell>
          <cell r="B471">
            <v>181566</v>
          </cell>
          <cell r="C471" t="str">
            <v>RESERVE FOR DEPREC-STORE EQUIP</v>
          </cell>
        </row>
        <row r="472">
          <cell r="A472">
            <v>9724724</v>
          </cell>
          <cell r="B472">
            <v>181566</v>
          </cell>
          <cell r="C472" t="str">
            <v>RESERVE FOR DEPREC-STORE EQUIP</v>
          </cell>
        </row>
        <row r="473">
          <cell r="A473">
            <v>9725703</v>
          </cell>
          <cell r="B473">
            <v>181566</v>
          </cell>
          <cell r="C473" t="str">
            <v>RESERVE FOR DEPREC-STORE EQUIP</v>
          </cell>
        </row>
        <row r="474">
          <cell r="A474">
            <v>9725704</v>
          </cell>
          <cell r="B474">
            <v>181566</v>
          </cell>
          <cell r="C474" t="str">
            <v>RESERVE FOR DEPREC-STORE EQUIP</v>
          </cell>
        </row>
        <row r="475">
          <cell r="A475">
            <v>9725711</v>
          </cell>
          <cell r="B475">
            <v>181566</v>
          </cell>
          <cell r="C475" t="str">
            <v>RESERVE FOR DEPREC-STORE EQUIP</v>
          </cell>
        </row>
        <row r="476">
          <cell r="A476">
            <v>9725717</v>
          </cell>
          <cell r="B476">
            <v>181566</v>
          </cell>
          <cell r="C476" t="str">
            <v>RESERVE FOR DEPREC-STORE EQUIP</v>
          </cell>
        </row>
        <row r="477">
          <cell r="A477">
            <v>9725725</v>
          </cell>
          <cell r="B477">
            <v>181566</v>
          </cell>
          <cell r="C477" t="str">
            <v>RESERVE FOR DEPREC-STORE EQUIP</v>
          </cell>
        </row>
        <row r="478">
          <cell r="A478">
            <v>9080700</v>
          </cell>
          <cell r="B478">
            <v>181567</v>
          </cell>
          <cell r="C478" t="str">
            <v>RESERVE FOR DEPREC-OFFICE EQUI</v>
          </cell>
        </row>
        <row r="479">
          <cell r="A479">
            <v>9080701</v>
          </cell>
          <cell r="B479">
            <v>181567</v>
          </cell>
          <cell r="C479" t="str">
            <v>RESERVE FOR DEPREC-OFFICE EQUI</v>
          </cell>
        </row>
        <row r="480">
          <cell r="A480">
            <v>9080702</v>
          </cell>
          <cell r="B480">
            <v>181567</v>
          </cell>
          <cell r="C480" t="str">
            <v>RESERVE FOR DEPREC-OFFICE EQUI</v>
          </cell>
        </row>
        <row r="481">
          <cell r="A481">
            <v>9080705</v>
          </cell>
          <cell r="B481">
            <v>181567</v>
          </cell>
          <cell r="C481" t="str">
            <v>RESERVE FOR DEPREC-OFFICE EQUI</v>
          </cell>
        </row>
        <row r="482">
          <cell r="A482">
            <v>9080707</v>
          </cell>
          <cell r="B482">
            <v>181567</v>
          </cell>
          <cell r="C482" t="str">
            <v>RESERVE FOR DEPREC-OFFICE EQUI</v>
          </cell>
        </row>
        <row r="483">
          <cell r="A483">
            <v>9080710</v>
          </cell>
          <cell r="B483">
            <v>181567</v>
          </cell>
          <cell r="C483" t="str">
            <v>RESERVE FOR DEPREC-OFFICE EQUI</v>
          </cell>
        </row>
        <row r="484">
          <cell r="A484">
            <v>9080999</v>
          </cell>
          <cell r="B484">
            <v>181567</v>
          </cell>
          <cell r="C484" t="str">
            <v>RESERVE FOR DEPREC-OFFICE EQUI</v>
          </cell>
        </row>
        <row r="485">
          <cell r="A485">
            <v>9090999</v>
          </cell>
          <cell r="B485">
            <v>181567</v>
          </cell>
          <cell r="C485" t="str">
            <v>RESERVE FOR DEPREC-OFFICE EQUI</v>
          </cell>
        </row>
        <row r="486">
          <cell r="A486">
            <v>9100999</v>
          </cell>
          <cell r="B486">
            <v>181567</v>
          </cell>
          <cell r="C486" t="str">
            <v>RESERVE FOR DEPREC-OFFICE EQUI</v>
          </cell>
        </row>
        <row r="487">
          <cell r="A487">
            <v>9110700</v>
          </cell>
          <cell r="B487">
            <v>181567</v>
          </cell>
          <cell r="C487" t="str">
            <v>RESERVE FOR DEPREC-OFFICE EQUI</v>
          </cell>
        </row>
        <row r="488">
          <cell r="A488">
            <v>9110702</v>
          </cell>
          <cell r="B488">
            <v>181567</v>
          </cell>
          <cell r="C488" t="str">
            <v>RESERVE FOR DEPREC-OFFICE EQUI</v>
          </cell>
        </row>
        <row r="489">
          <cell r="A489">
            <v>9110705</v>
          </cell>
          <cell r="B489">
            <v>181567</v>
          </cell>
          <cell r="C489" t="str">
            <v>RESERVE FOR DEPREC-OFFICE EQUI</v>
          </cell>
        </row>
        <row r="490">
          <cell r="A490">
            <v>9110707</v>
          </cell>
          <cell r="B490">
            <v>181567</v>
          </cell>
          <cell r="C490" t="str">
            <v>RESERVE FOR DEPREC-OFFICE EQUI</v>
          </cell>
        </row>
        <row r="491">
          <cell r="A491">
            <v>9110999</v>
          </cell>
          <cell r="B491">
            <v>181567</v>
          </cell>
          <cell r="C491" t="str">
            <v>RESERVE FOR DEPREC-OFFICE EQUI</v>
          </cell>
        </row>
        <row r="492">
          <cell r="A492">
            <v>9680999</v>
          </cell>
          <cell r="B492">
            <v>181567</v>
          </cell>
          <cell r="C492" t="str">
            <v>RESERVE FOR DEPREC-OFFICE EQUI</v>
          </cell>
        </row>
        <row r="493">
          <cell r="A493">
            <v>9681700</v>
          </cell>
          <cell r="B493">
            <v>181567</v>
          </cell>
          <cell r="C493" t="str">
            <v>RESERVE FOR DEPREC-OFFICE EQUI</v>
          </cell>
        </row>
        <row r="494">
          <cell r="A494">
            <v>9681701</v>
          </cell>
          <cell r="B494">
            <v>181567</v>
          </cell>
          <cell r="C494" t="str">
            <v>RESERVE FOR DEPREC-OFFICE EQUI</v>
          </cell>
        </row>
        <row r="495">
          <cell r="A495">
            <v>9681702</v>
          </cell>
          <cell r="B495">
            <v>181567</v>
          </cell>
          <cell r="C495" t="str">
            <v>RESERVE FOR DEPREC-OFFICE EQUI</v>
          </cell>
        </row>
        <row r="496">
          <cell r="A496">
            <v>9681705</v>
          </cell>
          <cell r="B496">
            <v>181567</v>
          </cell>
          <cell r="C496" t="str">
            <v>RESERVE FOR DEPREC-OFFICE EQUI</v>
          </cell>
        </row>
        <row r="497">
          <cell r="A497">
            <v>9681706</v>
          </cell>
          <cell r="B497">
            <v>181567</v>
          </cell>
          <cell r="C497" t="str">
            <v>RESERVE FOR DEPREC-OFFICE EQUI</v>
          </cell>
        </row>
        <row r="498">
          <cell r="A498">
            <v>9681707</v>
          </cell>
          <cell r="B498">
            <v>181567</v>
          </cell>
          <cell r="C498" t="str">
            <v>RESERVE FOR DEPREC-OFFICE EQUI</v>
          </cell>
        </row>
        <row r="499">
          <cell r="A499">
            <v>9681712</v>
          </cell>
          <cell r="B499">
            <v>181567</v>
          </cell>
          <cell r="C499" t="str">
            <v>RESERVE FOR DEPREC-OFFICE EQUI</v>
          </cell>
        </row>
        <row r="500">
          <cell r="A500">
            <v>9681714</v>
          </cell>
          <cell r="B500">
            <v>181567</v>
          </cell>
          <cell r="C500" t="str">
            <v>RESERVE FOR DEPREC-OFFICE EQUI</v>
          </cell>
        </row>
        <row r="501">
          <cell r="A501">
            <v>9681727</v>
          </cell>
          <cell r="B501">
            <v>181567</v>
          </cell>
          <cell r="C501" t="str">
            <v>RESERVE FOR DEPREC-OFFICE EQUI</v>
          </cell>
        </row>
        <row r="502">
          <cell r="A502">
            <v>9681749</v>
          </cell>
          <cell r="B502">
            <v>181567</v>
          </cell>
          <cell r="C502" t="str">
            <v>RESERVE FOR DEPREC-OFFICE EQUI</v>
          </cell>
        </row>
        <row r="503">
          <cell r="A503">
            <v>9681999</v>
          </cell>
          <cell r="B503">
            <v>181567</v>
          </cell>
          <cell r="C503" t="str">
            <v>RESERVE FOR DEPREC-OFFICE EQUI</v>
          </cell>
        </row>
        <row r="504">
          <cell r="A504">
            <v>9682715</v>
          </cell>
          <cell r="B504">
            <v>181567</v>
          </cell>
          <cell r="C504" t="str">
            <v>RESERVE FOR DEPREC-OFFICE EQUI</v>
          </cell>
        </row>
        <row r="505">
          <cell r="A505">
            <v>9682722</v>
          </cell>
          <cell r="B505">
            <v>181567</v>
          </cell>
          <cell r="C505" t="str">
            <v>RESERVE FOR DEPREC-OFFICE EQUI</v>
          </cell>
        </row>
        <row r="506">
          <cell r="A506">
            <v>9682999</v>
          </cell>
          <cell r="B506">
            <v>181567</v>
          </cell>
          <cell r="C506" t="str">
            <v>RESERVE FOR DEPREC-OFFICE EQUI</v>
          </cell>
        </row>
        <row r="507">
          <cell r="A507">
            <v>9689883</v>
          </cell>
          <cell r="B507">
            <v>181567</v>
          </cell>
          <cell r="C507" t="str">
            <v>RESERVE FOR DEPREC-OFFICE EQUI</v>
          </cell>
        </row>
        <row r="508">
          <cell r="A508">
            <v>9689906</v>
          </cell>
          <cell r="B508">
            <v>181567</v>
          </cell>
          <cell r="C508" t="str">
            <v>RESERVE FOR DEPREC-OFFICE EQUI</v>
          </cell>
        </row>
        <row r="509">
          <cell r="A509">
            <v>9689991</v>
          </cell>
          <cell r="B509">
            <v>181567</v>
          </cell>
          <cell r="C509" t="str">
            <v>RESERVE FOR DEPREC-OFFICE EQUI</v>
          </cell>
        </row>
        <row r="510">
          <cell r="A510">
            <v>9689992</v>
          </cell>
          <cell r="B510">
            <v>181567</v>
          </cell>
          <cell r="C510" t="str">
            <v>RESERVE FOR DEPREC-OFFICE EQUI</v>
          </cell>
        </row>
        <row r="511">
          <cell r="A511">
            <v>9689993</v>
          </cell>
          <cell r="B511">
            <v>181567</v>
          </cell>
          <cell r="C511" t="str">
            <v>RESERVE FOR DEPREC-OFFICE EQUI</v>
          </cell>
        </row>
        <row r="512">
          <cell r="A512">
            <v>9689994</v>
          </cell>
          <cell r="B512">
            <v>181567</v>
          </cell>
          <cell r="C512" t="str">
            <v>RESERVE FOR DEPREC-OFFICE EQUI</v>
          </cell>
        </row>
        <row r="513">
          <cell r="A513">
            <v>9689999</v>
          </cell>
          <cell r="B513">
            <v>181567</v>
          </cell>
          <cell r="C513" t="str">
            <v>RESERVE FOR DEPREC-OFFICE EQUI</v>
          </cell>
        </row>
        <row r="514">
          <cell r="A514">
            <v>9090999</v>
          </cell>
          <cell r="B514">
            <v>181580</v>
          </cell>
          <cell r="C514" t="str">
            <v>RESERVE FOR AMORT-CAPITAL LEAS</v>
          </cell>
        </row>
        <row r="515">
          <cell r="A515">
            <v>9100999</v>
          </cell>
          <cell r="B515">
            <v>181580</v>
          </cell>
          <cell r="C515" t="str">
            <v>RESERVE FOR AMORT-CAPITAL LEAS</v>
          </cell>
        </row>
        <row r="516">
          <cell r="A516">
            <v>9090999</v>
          </cell>
          <cell r="B516">
            <v>181729</v>
          </cell>
          <cell r="C516" t="str">
            <v>RES FOR AMORT-LEASE IMPR-WRITE</v>
          </cell>
        </row>
        <row r="517">
          <cell r="A517">
            <v>9100999</v>
          </cell>
          <cell r="B517">
            <v>181729</v>
          </cell>
          <cell r="C517" t="str">
            <v>RES FOR AMORT-LEASE IMPR-WRITE</v>
          </cell>
        </row>
        <row r="518">
          <cell r="A518">
            <v>9680700</v>
          </cell>
          <cell r="B518">
            <v>181729</v>
          </cell>
          <cell r="C518" t="str">
            <v>RES FOR AMORT-LEASE IMPR-WRITE</v>
          </cell>
        </row>
        <row r="519">
          <cell r="A519">
            <v>9680701</v>
          </cell>
          <cell r="B519">
            <v>181729</v>
          </cell>
          <cell r="C519" t="str">
            <v>RES FOR AMORT-LEASE IMPR-WRITE</v>
          </cell>
        </row>
        <row r="520">
          <cell r="A520">
            <v>9680702</v>
          </cell>
          <cell r="B520">
            <v>181729</v>
          </cell>
          <cell r="C520" t="str">
            <v>RES FOR AMORT-LEASE IMPR-WRITE</v>
          </cell>
        </row>
        <row r="521">
          <cell r="A521">
            <v>9680705</v>
          </cell>
          <cell r="B521">
            <v>181729</v>
          </cell>
          <cell r="C521" t="str">
            <v>RES FOR AMORT-LEASE IMPR-WRITE</v>
          </cell>
        </row>
        <row r="522">
          <cell r="A522">
            <v>9680707</v>
          </cell>
          <cell r="B522">
            <v>181729</v>
          </cell>
          <cell r="C522" t="str">
            <v>RES FOR AMORT-LEASE IMPR-WRITE</v>
          </cell>
        </row>
        <row r="523">
          <cell r="A523">
            <v>9680710</v>
          </cell>
          <cell r="B523">
            <v>181729</v>
          </cell>
          <cell r="C523" t="str">
            <v>RES FOR AMORT-LEASE IMPR-WRITE</v>
          </cell>
        </row>
        <row r="524">
          <cell r="A524">
            <v>9680712</v>
          </cell>
          <cell r="B524">
            <v>181729</v>
          </cell>
          <cell r="C524" t="str">
            <v>RES FOR AMORT-LEASE IMPR-WRITE</v>
          </cell>
        </row>
        <row r="525">
          <cell r="A525">
            <v>9680714</v>
          </cell>
          <cell r="B525">
            <v>181729</v>
          </cell>
          <cell r="C525" t="str">
            <v>RES FOR AMORT-LEASE IMPR-WRITE</v>
          </cell>
        </row>
        <row r="526">
          <cell r="A526">
            <v>9680734</v>
          </cell>
          <cell r="B526">
            <v>181729</v>
          </cell>
          <cell r="C526" t="str">
            <v>RES FOR AMORT-LEASE IMPR-WRITE</v>
          </cell>
        </row>
        <row r="527">
          <cell r="A527">
            <v>9680748</v>
          </cell>
          <cell r="B527">
            <v>181729</v>
          </cell>
          <cell r="C527" t="str">
            <v>RES FOR AMORT-LEASE IMPR-WRITE</v>
          </cell>
        </row>
        <row r="528">
          <cell r="A528">
            <v>9680749</v>
          </cell>
          <cell r="B528">
            <v>181729</v>
          </cell>
          <cell r="C528" t="str">
            <v>RES FOR AMORT-LEASE IMPR-WRITE</v>
          </cell>
        </row>
        <row r="529">
          <cell r="A529">
            <v>9680894</v>
          </cell>
          <cell r="B529">
            <v>181729</v>
          </cell>
          <cell r="C529" t="str">
            <v>RES FOR AMORT-LEASE IMPR-WRITE</v>
          </cell>
        </row>
        <row r="530">
          <cell r="A530">
            <v>9680999</v>
          </cell>
          <cell r="B530">
            <v>181729</v>
          </cell>
          <cell r="C530" t="str">
            <v>RES FOR AMORT-LEASE IMPR-WRITE</v>
          </cell>
        </row>
        <row r="531">
          <cell r="A531">
            <v>9681710</v>
          </cell>
          <cell r="B531">
            <v>181729</v>
          </cell>
          <cell r="C531" t="str">
            <v>RES FOR AMORT-LEASE IMPR-WRITE</v>
          </cell>
        </row>
        <row r="532">
          <cell r="A532">
            <v>9681734</v>
          </cell>
          <cell r="B532">
            <v>181729</v>
          </cell>
          <cell r="C532" t="str">
            <v>RES FOR AMORT-LEASE IMPR-WRITE</v>
          </cell>
        </row>
        <row r="533">
          <cell r="A533">
            <v>9681748</v>
          </cell>
          <cell r="B533">
            <v>181729</v>
          </cell>
          <cell r="C533" t="str">
            <v>RES FOR AMORT-LEASE IMPR-WRITE</v>
          </cell>
        </row>
        <row r="534">
          <cell r="A534">
            <v>9681894</v>
          </cell>
          <cell r="B534">
            <v>181729</v>
          </cell>
          <cell r="C534" t="str">
            <v>RES FOR AMORT-LEASE IMPR-WRITE</v>
          </cell>
        </row>
        <row r="535">
          <cell r="A535">
            <v>9684999</v>
          </cell>
          <cell r="B535">
            <v>181729</v>
          </cell>
          <cell r="C535" t="str">
            <v>RES FOR AMORT-LEASE IMPR-WRITE</v>
          </cell>
        </row>
        <row r="536">
          <cell r="A536">
            <v>9689883</v>
          </cell>
          <cell r="B536">
            <v>181729</v>
          </cell>
          <cell r="C536" t="str">
            <v>RES FOR AMORT-LEASE IMPR-WRITE</v>
          </cell>
        </row>
        <row r="537">
          <cell r="A537">
            <v>9689906</v>
          </cell>
          <cell r="B537">
            <v>181729</v>
          </cell>
          <cell r="C537" t="str">
            <v>RES FOR AMORT-LEASE IMPR-WRITE</v>
          </cell>
        </row>
        <row r="538">
          <cell r="A538">
            <v>9689990</v>
          </cell>
          <cell r="B538">
            <v>181729</v>
          </cell>
          <cell r="C538" t="str">
            <v>RES FOR AMORT-LEASE IMPR-WRITE</v>
          </cell>
        </row>
        <row r="539">
          <cell r="A539">
            <v>9689992</v>
          </cell>
          <cell r="B539">
            <v>181729</v>
          </cell>
          <cell r="C539" t="str">
            <v>RES FOR AMORT-LEASE IMPR-WRITE</v>
          </cell>
        </row>
        <row r="540">
          <cell r="A540">
            <v>9090999</v>
          </cell>
          <cell r="B540">
            <v>182629</v>
          </cell>
          <cell r="C540" t="str">
            <v>LEASEHOLD IMPROVEMENTS CLEARING - WU/D</v>
          </cell>
        </row>
        <row r="541">
          <cell r="A541">
            <v>9100999</v>
          </cell>
          <cell r="B541">
            <v>182629</v>
          </cell>
          <cell r="C541" t="str">
            <v>LEASEHOLD IMPROVEMENTS CLEARING - WU/D</v>
          </cell>
        </row>
        <row r="542">
          <cell r="A542">
            <v>9680999</v>
          </cell>
          <cell r="B542">
            <v>182629</v>
          </cell>
          <cell r="C542" t="str">
            <v>LEASEHOLD IMPROVEMENTS CLEARING - WU/D</v>
          </cell>
        </row>
        <row r="543">
          <cell r="A543">
            <v>9684999</v>
          </cell>
          <cell r="B543">
            <v>182629</v>
          </cell>
          <cell r="C543" t="str">
            <v>LEASEHOLD IMPROVEMENTS CLEARING - WU/D</v>
          </cell>
        </row>
        <row r="544">
          <cell r="A544">
            <v>9080999</v>
          </cell>
          <cell r="B544">
            <v>182650</v>
          </cell>
          <cell r="C544" t="str">
            <v>EQUIP CLEAR-NEW STORES-&lt;$500</v>
          </cell>
        </row>
        <row r="545">
          <cell r="A545">
            <v>9110999</v>
          </cell>
          <cell r="B545">
            <v>182650</v>
          </cell>
          <cell r="C545" t="str">
            <v>EQUIP CLEAR-NEW STORES-&lt;$500</v>
          </cell>
        </row>
        <row r="546">
          <cell r="A546">
            <v>9689994</v>
          </cell>
          <cell r="B546">
            <v>182650</v>
          </cell>
          <cell r="C546" t="str">
            <v>EQUIP CLEAR-NEW STORES-&lt;$500</v>
          </cell>
        </row>
        <row r="547">
          <cell r="A547">
            <v>8001054179</v>
          </cell>
          <cell r="B547">
            <v>182661</v>
          </cell>
          <cell r="C547" t="str">
            <v>EQUIPMENT CLEARING FREIGHT</v>
          </cell>
        </row>
        <row r="548">
          <cell r="A548">
            <v>8001059542</v>
          </cell>
          <cell r="B548">
            <v>182661</v>
          </cell>
          <cell r="C548" t="str">
            <v>EQUIPMENT CLEARING FREIGHT</v>
          </cell>
        </row>
        <row r="549">
          <cell r="A549">
            <v>8010512510</v>
          </cell>
          <cell r="B549">
            <v>182661</v>
          </cell>
          <cell r="C549" t="str">
            <v>EQUIPMENT CLEARING FREIGHT</v>
          </cell>
        </row>
        <row r="550">
          <cell r="A550">
            <v>9969681</v>
          </cell>
          <cell r="B550">
            <v>182661</v>
          </cell>
          <cell r="C550" t="str">
            <v>EQUIPMENT CLEARING FREIGHT</v>
          </cell>
        </row>
        <row r="551">
          <cell r="A551">
            <v>9969901</v>
          </cell>
          <cell r="B551">
            <v>182661</v>
          </cell>
          <cell r="C551" t="str">
            <v>EQUIPMENT CLEARING FREIGHT</v>
          </cell>
        </row>
        <row r="552">
          <cell r="A552" t="str">
            <v>ZONE-0105-POST</v>
          </cell>
          <cell r="B552">
            <v>182661</v>
          </cell>
          <cell r="C552" t="str">
            <v>EQUIPMENT CLEARING FREIGHT</v>
          </cell>
        </row>
        <row r="553">
          <cell r="A553" t="str">
            <v>ZONE-0112-POST</v>
          </cell>
          <cell r="B553">
            <v>182661</v>
          </cell>
          <cell r="C553" t="str">
            <v>EQUIPMENT CLEARING FREIGHT</v>
          </cell>
        </row>
        <row r="554">
          <cell r="A554">
            <v>9682999</v>
          </cell>
          <cell r="B554">
            <v>182666</v>
          </cell>
          <cell r="C554" t="str">
            <v>EQUIP CLEAR - NEW STORES</v>
          </cell>
        </row>
        <row r="555">
          <cell r="A555">
            <v>9689883</v>
          </cell>
          <cell r="B555">
            <v>182666</v>
          </cell>
          <cell r="C555" t="str">
            <v>EQUIP CLEAR - NEW STORES</v>
          </cell>
        </row>
        <row r="556">
          <cell r="A556">
            <v>9689906</v>
          </cell>
          <cell r="B556">
            <v>182666</v>
          </cell>
          <cell r="C556" t="str">
            <v>EQUIP CLEAR - NEW STORES</v>
          </cell>
        </row>
        <row r="557">
          <cell r="A557">
            <v>9689992</v>
          </cell>
          <cell r="B557">
            <v>182666</v>
          </cell>
          <cell r="C557" t="str">
            <v>EQUIP CLEAR - NEW STORES</v>
          </cell>
        </row>
        <row r="558">
          <cell r="A558">
            <v>9720703</v>
          </cell>
          <cell r="B558">
            <v>182666</v>
          </cell>
          <cell r="C558" t="str">
            <v>EQUIP CLEAR - NEW STORES</v>
          </cell>
        </row>
        <row r="559">
          <cell r="A559">
            <v>9724718</v>
          </cell>
          <cell r="B559">
            <v>182666</v>
          </cell>
          <cell r="C559" t="str">
            <v>EQUIP CLEAR - NEW STORES</v>
          </cell>
        </row>
        <row r="560">
          <cell r="A560">
            <v>9724721</v>
          </cell>
          <cell r="B560">
            <v>182666</v>
          </cell>
          <cell r="C560" t="str">
            <v>EQUIP CLEAR - NEW STORES</v>
          </cell>
        </row>
        <row r="561">
          <cell r="A561">
            <v>9724724</v>
          </cell>
          <cell r="B561">
            <v>182666</v>
          </cell>
          <cell r="C561" t="str">
            <v>EQUIP CLEAR - NEW STORES</v>
          </cell>
        </row>
        <row r="562">
          <cell r="A562">
            <v>9725703</v>
          </cell>
          <cell r="B562">
            <v>182666</v>
          </cell>
          <cell r="C562" t="str">
            <v>EQUIP CLEAR - NEW STORES</v>
          </cell>
        </row>
        <row r="563">
          <cell r="A563">
            <v>9725704</v>
          </cell>
          <cell r="B563">
            <v>182666</v>
          </cell>
          <cell r="C563" t="str">
            <v>EQUIP CLEAR - NEW STORES</v>
          </cell>
        </row>
        <row r="564">
          <cell r="A564">
            <v>9725711</v>
          </cell>
          <cell r="B564">
            <v>182666</v>
          </cell>
          <cell r="C564" t="str">
            <v>EQUIP CLEAR - NEW STORES</v>
          </cell>
        </row>
        <row r="565">
          <cell r="A565">
            <v>9725717</v>
          </cell>
          <cell r="B565">
            <v>182666</v>
          </cell>
          <cell r="C565" t="str">
            <v>EQUIP CLEAR - NEW STORES</v>
          </cell>
        </row>
        <row r="566">
          <cell r="A566">
            <v>9725725</v>
          </cell>
          <cell r="B566">
            <v>182666</v>
          </cell>
          <cell r="C566" t="str">
            <v>EQUIP CLEAR - NEW STORES</v>
          </cell>
        </row>
        <row r="567">
          <cell r="A567">
            <v>9080700</v>
          </cell>
          <cell r="B567">
            <v>182667</v>
          </cell>
          <cell r="C567" t="str">
            <v>EQUIPMENT CLEAR - OFFICES</v>
          </cell>
        </row>
        <row r="568">
          <cell r="A568">
            <v>9080701</v>
          </cell>
          <cell r="B568">
            <v>182667</v>
          </cell>
          <cell r="C568" t="str">
            <v>EQUIPMENT CLEAR - OFFICES</v>
          </cell>
        </row>
        <row r="569">
          <cell r="A569">
            <v>9080702</v>
          </cell>
          <cell r="B569">
            <v>182667</v>
          </cell>
          <cell r="C569" t="str">
            <v>EQUIPMENT CLEAR - OFFICES</v>
          </cell>
        </row>
        <row r="570">
          <cell r="A570">
            <v>9080705</v>
          </cell>
          <cell r="B570">
            <v>182667</v>
          </cell>
          <cell r="C570" t="str">
            <v>EQUIPMENT CLEAR - OFFICES</v>
          </cell>
        </row>
        <row r="571">
          <cell r="A571">
            <v>9080707</v>
          </cell>
          <cell r="B571">
            <v>182667</v>
          </cell>
          <cell r="C571" t="str">
            <v>EQUIPMENT CLEAR - OFFICES</v>
          </cell>
        </row>
        <row r="572">
          <cell r="A572">
            <v>9080710</v>
          </cell>
          <cell r="B572">
            <v>182667</v>
          </cell>
          <cell r="C572" t="str">
            <v>EQUIPMENT CLEAR - OFFICES</v>
          </cell>
        </row>
        <row r="573">
          <cell r="A573">
            <v>9080999</v>
          </cell>
          <cell r="B573">
            <v>182667</v>
          </cell>
          <cell r="C573" t="str">
            <v>EQUIPMENT CLEAR - OFFICES</v>
          </cell>
        </row>
        <row r="574">
          <cell r="A574">
            <v>9090999</v>
          </cell>
          <cell r="B574">
            <v>182667</v>
          </cell>
          <cell r="C574" t="str">
            <v>EQUIPMENT CLEAR - OFFICES</v>
          </cell>
        </row>
        <row r="575">
          <cell r="A575">
            <v>9100999</v>
          </cell>
          <cell r="B575">
            <v>182667</v>
          </cell>
          <cell r="C575" t="str">
            <v>EQUIPMENT CLEAR - OFFICES</v>
          </cell>
        </row>
        <row r="576">
          <cell r="A576">
            <v>9110700</v>
          </cell>
          <cell r="B576">
            <v>182667</v>
          </cell>
          <cell r="C576" t="str">
            <v>EQUIPMENT CLEAR - OFFICES</v>
          </cell>
        </row>
        <row r="577">
          <cell r="A577">
            <v>9110702</v>
          </cell>
          <cell r="B577">
            <v>182667</v>
          </cell>
          <cell r="C577" t="str">
            <v>EQUIPMENT CLEAR - OFFICES</v>
          </cell>
        </row>
        <row r="578">
          <cell r="A578">
            <v>9110705</v>
          </cell>
          <cell r="B578">
            <v>182667</v>
          </cell>
          <cell r="C578" t="str">
            <v>EQUIPMENT CLEAR - OFFICES</v>
          </cell>
        </row>
        <row r="579">
          <cell r="A579">
            <v>9110707</v>
          </cell>
          <cell r="B579">
            <v>182667</v>
          </cell>
          <cell r="C579" t="str">
            <v>EQUIPMENT CLEAR - OFFICES</v>
          </cell>
        </row>
        <row r="580">
          <cell r="A580">
            <v>9110999</v>
          </cell>
          <cell r="B580">
            <v>182667</v>
          </cell>
          <cell r="C580" t="str">
            <v>EQUIPMENT CLEAR - OFFICES</v>
          </cell>
        </row>
        <row r="581">
          <cell r="A581">
            <v>9680700</v>
          </cell>
          <cell r="B581">
            <v>182667</v>
          </cell>
          <cell r="C581" t="str">
            <v>EQUIPMENT CLEAR - OFFICES</v>
          </cell>
        </row>
        <row r="582">
          <cell r="A582">
            <v>9680701</v>
          </cell>
          <cell r="B582">
            <v>182667</v>
          </cell>
          <cell r="C582" t="str">
            <v>EQUIPMENT CLEAR - OFFICES</v>
          </cell>
        </row>
        <row r="583">
          <cell r="A583">
            <v>9680702</v>
          </cell>
          <cell r="B583">
            <v>182667</v>
          </cell>
          <cell r="C583" t="str">
            <v>EQUIPMENT CLEAR - OFFICES</v>
          </cell>
        </row>
        <row r="584">
          <cell r="A584">
            <v>9680705</v>
          </cell>
          <cell r="B584">
            <v>182667</v>
          </cell>
          <cell r="C584" t="str">
            <v>EQUIPMENT CLEAR - OFFICES</v>
          </cell>
        </row>
        <row r="585">
          <cell r="A585">
            <v>9680707</v>
          </cell>
          <cell r="B585">
            <v>182667</v>
          </cell>
          <cell r="C585" t="str">
            <v>EQUIPMENT CLEAR - OFFICES</v>
          </cell>
        </row>
        <row r="586">
          <cell r="A586">
            <v>9680710</v>
          </cell>
          <cell r="B586">
            <v>182667</v>
          </cell>
          <cell r="C586" t="str">
            <v>EQUIPMENT CLEAR - OFFICES</v>
          </cell>
        </row>
        <row r="587">
          <cell r="A587">
            <v>9680712</v>
          </cell>
          <cell r="B587">
            <v>182667</v>
          </cell>
          <cell r="C587" t="str">
            <v>EQUIPMENT CLEAR - OFFICES</v>
          </cell>
        </row>
        <row r="588">
          <cell r="A588">
            <v>9680714</v>
          </cell>
          <cell r="B588">
            <v>182667</v>
          </cell>
          <cell r="C588" t="str">
            <v>EQUIPMENT CLEAR - OFFICES</v>
          </cell>
        </row>
        <row r="589">
          <cell r="A589">
            <v>9680734</v>
          </cell>
          <cell r="B589">
            <v>182667</v>
          </cell>
          <cell r="C589" t="str">
            <v>EQUIPMENT CLEAR - OFFICES</v>
          </cell>
        </row>
        <row r="590">
          <cell r="A590">
            <v>9680748</v>
          </cell>
          <cell r="B590">
            <v>182667</v>
          </cell>
          <cell r="C590" t="str">
            <v>EQUIPMENT CLEAR - OFFICES</v>
          </cell>
        </row>
        <row r="591">
          <cell r="A591">
            <v>9680749</v>
          </cell>
          <cell r="B591">
            <v>182667</v>
          </cell>
          <cell r="C591" t="str">
            <v>EQUIPMENT CLEAR - OFFICES</v>
          </cell>
        </row>
        <row r="592">
          <cell r="A592">
            <v>9680894</v>
          </cell>
          <cell r="B592">
            <v>182667</v>
          </cell>
          <cell r="C592" t="str">
            <v>EQUIPMENT CLEAR - OFFICES</v>
          </cell>
        </row>
        <row r="593">
          <cell r="A593">
            <v>9680999</v>
          </cell>
          <cell r="B593">
            <v>182667</v>
          </cell>
          <cell r="C593" t="str">
            <v>EQUIPMENT CLEAR - OFFICES</v>
          </cell>
        </row>
        <row r="594">
          <cell r="A594">
            <v>9681700</v>
          </cell>
          <cell r="B594">
            <v>182667</v>
          </cell>
          <cell r="C594" t="str">
            <v>EQUIPMENT CLEAR - OFFICES</v>
          </cell>
        </row>
        <row r="595">
          <cell r="A595">
            <v>9681701</v>
          </cell>
          <cell r="B595">
            <v>182667</v>
          </cell>
          <cell r="C595" t="str">
            <v>EQUIPMENT CLEAR - OFFICES</v>
          </cell>
        </row>
        <row r="596">
          <cell r="A596">
            <v>9681702</v>
          </cell>
          <cell r="B596">
            <v>182667</v>
          </cell>
          <cell r="C596" t="str">
            <v>EQUIPMENT CLEAR - OFFICES</v>
          </cell>
        </row>
        <row r="597">
          <cell r="A597">
            <v>9681705</v>
          </cell>
          <cell r="B597">
            <v>182667</v>
          </cell>
          <cell r="C597" t="str">
            <v>EQUIPMENT CLEAR - OFFICES</v>
          </cell>
        </row>
        <row r="598">
          <cell r="A598">
            <v>9681706</v>
          </cell>
          <cell r="B598">
            <v>182667</v>
          </cell>
          <cell r="C598" t="str">
            <v>EQUIPMENT CLEAR - OFFICES</v>
          </cell>
        </row>
        <row r="599">
          <cell r="A599">
            <v>9681707</v>
          </cell>
          <cell r="B599">
            <v>182667</v>
          </cell>
          <cell r="C599" t="str">
            <v>EQUIPMENT CLEAR - OFFICES</v>
          </cell>
        </row>
        <row r="600">
          <cell r="A600">
            <v>9681710</v>
          </cell>
          <cell r="B600">
            <v>182667</v>
          </cell>
          <cell r="C600" t="str">
            <v>EQUIPMENT CLEAR - OFFICES</v>
          </cell>
        </row>
        <row r="601">
          <cell r="A601">
            <v>9681712</v>
          </cell>
          <cell r="B601">
            <v>182667</v>
          </cell>
          <cell r="C601" t="str">
            <v>EQUIPMENT CLEAR - OFFICES</v>
          </cell>
        </row>
        <row r="602">
          <cell r="A602">
            <v>9681714</v>
          </cell>
          <cell r="B602">
            <v>182667</v>
          </cell>
          <cell r="C602" t="str">
            <v>EQUIPMENT CLEAR - OFFICES</v>
          </cell>
        </row>
        <row r="603">
          <cell r="A603">
            <v>9681727</v>
          </cell>
          <cell r="B603">
            <v>182667</v>
          </cell>
          <cell r="C603" t="str">
            <v>EQUIPMENT CLEAR - OFFICES</v>
          </cell>
        </row>
        <row r="604">
          <cell r="A604">
            <v>9681734</v>
          </cell>
          <cell r="B604">
            <v>182667</v>
          </cell>
          <cell r="C604" t="str">
            <v>EQUIPMENT CLEAR - OFFICES</v>
          </cell>
        </row>
        <row r="605">
          <cell r="A605">
            <v>9681748</v>
          </cell>
          <cell r="B605">
            <v>182667</v>
          </cell>
          <cell r="C605" t="str">
            <v>EQUIPMENT CLEAR - OFFICES</v>
          </cell>
        </row>
        <row r="606">
          <cell r="A606">
            <v>9681749</v>
          </cell>
          <cell r="B606">
            <v>182667</v>
          </cell>
          <cell r="C606" t="str">
            <v>EQUIPMENT CLEAR - OFFICES</v>
          </cell>
        </row>
        <row r="607">
          <cell r="A607">
            <v>9681894</v>
          </cell>
          <cell r="B607">
            <v>182667</v>
          </cell>
          <cell r="C607" t="str">
            <v>EQUIPMENT CLEAR - OFFICES</v>
          </cell>
        </row>
        <row r="608">
          <cell r="A608">
            <v>9681999</v>
          </cell>
          <cell r="B608">
            <v>182667</v>
          </cell>
          <cell r="C608" t="str">
            <v>EQUIPMENT CLEAR - OFFICES</v>
          </cell>
        </row>
        <row r="609">
          <cell r="A609">
            <v>9682715</v>
          </cell>
          <cell r="B609">
            <v>182667</v>
          </cell>
          <cell r="C609" t="str">
            <v>EQUIPMENT CLEAR - OFFICES</v>
          </cell>
        </row>
        <row r="610">
          <cell r="A610">
            <v>9682722</v>
          </cell>
          <cell r="B610">
            <v>182667</v>
          </cell>
          <cell r="C610" t="str">
            <v>EQUIPMENT CLEAR - OFFICES</v>
          </cell>
        </row>
        <row r="611">
          <cell r="A611">
            <v>9682999</v>
          </cell>
          <cell r="B611">
            <v>182667</v>
          </cell>
          <cell r="C611" t="str">
            <v>EQUIPMENT CLEAR - OFFICES</v>
          </cell>
        </row>
        <row r="612">
          <cell r="A612">
            <v>9689883</v>
          </cell>
          <cell r="B612">
            <v>182667</v>
          </cell>
          <cell r="C612" t="str">
            <v>EQUIPMENT CLEAR - OFFICES</v>
          </cell>
        </row>
        <row r="613">
          <cell r="A613">
            <v>9689906</v>
          </cell>
          <cell r="B613">
            <v>182667</v>
          </cell>
          <cell r="C613" t="str">
            <v>EQUIPMENT CLEAR - OFFICES</v>
          </cell>
        </row>
        <row r="614">
          <cell r="A614">
            <v>9689991</v>
          </cell>
          <cell r="B614">
            <v>182667</v>
          </cell>
          <cell r="C614" t="str">
            <v>EQUIPMENT CLEAR - OFFICES</v>
          </cell>
        </row>
        <row r="615">
          <cell r="A615">
            <v>9689992</v>
          </cell>
          <cell r="B615">
            <v>182667</v>
          </cell>
          <cell r="C615" t="str">
            <v>EQUIPMENT CLEAR - OFFICES</v>
          </cell>
        </row>
        <row r="616">
          <cell r="A616">
            <v>9689993</v>
          </cell>
          <cell r="B616">
            <v>182667</v>
          </cell>
          <cell r="C616" t="str">
            <v>EQUIPMENT CLEAR - OFFICES</v>
          </cell>
        </row>
        <row r="617">
          <cell r="A617">
            <v>9689994</v>
          </cell>
          <cell r="B617">
            <v>182667</v>
          </cell>
          <cell r="C617" t="str">
            <v>EQUIPMENT CLEAR - OFFICES</v>
          </cell>
        </row>
        <row r="618">
          <cell r="A618">
            <v>9689999</v>
          </cell>
          <cell r="B618">
            <v>182667</v>
          </cell>
          <cell r="C618" t="str">
            <v>EQUIPMENT CLEAR - OFFICES</v>
          </cell>
        </row>
        <row r="619">
          <cell r="A619">
            <v>9090999</v>
          </cell>
          <cell r="B619">
            <v>182771</v>
          </cell>
          <cell r="C619" t="str">
            <v>BUILDING CIP CLEARING</v>
          </cell>
        </row>
        <row r="620">
          <cell r="A620">
            <v>9100999</v>
          </cell>
          <cell r="B620">
            <v>182771</v>
          </cell>
          <cell r="C620" t="str">
            <v>BUILDING CIP CLEARING</v>
          </cell>
        </row>
        <row r="621">
          <cell r="A621">
            <v>9680999</v>
          </cell>
          <cell r="B621">
            <v>182771</v>
          </cell>
          <cell r="C621" t="str">
            <v>BUILDING CIP CLEARING</v>
          </cell>
        </row>
        <row r="622">
          <cell r="A622">
            <v>9689990</v>
          </cell>
          <cell r="B622">
            <v>182771</v>
          </cell>
          <cell r="C622" t="str">
            <v>BUILDING CIP CLEARING</v>
          </cell>
        </row>
        <row r="623">
          <cell r="A623">
            <v>9090999</v>
          </cell>
          <cell r="B623">
            <v>182773</v>
          </cell>
          <cell r="C623" t="str">
            <v>LAND CIP CLEARING</v>
          </cell>
        </row>
        <row r="624">
          <cell r="A624">
            <v>9100999</v>
          </cell>
          <cell r="B624">
            <v>182773</v>
          </cell>
          <cell r="C624" t="str">
            <v>LAND CIP CLEARING</v>
          </cell>
        </row>
        <row r="625">
          <cell r="A625">
            <v>9680999</v>
          </cell>
          <cell r="B625">
            <v>182773</v>
          </cell>
          <cell r="C625" t="str">
            <v>LAND CIP CLEARING</v>
          </cell>
        </row>
        <row r="626">
          <cell r="A626">
            <v>9689990</v>
          </cell>
          <cell r="B626">
            <v>182773</v>
          </cell>
          <cell r="C626" t="str">
            <v>LAND CIP CLEARING</v>
          </cell>
        </row>
        <row r="627">
          <cell r="A627">
            <v>9090999</v>
          </cell>
          <cell r="B627">
            <v>182774</v>
          </cell>
          <cell r="C627" t="str">
            <v>LEASEHOLD CIP CLEARING</v>
          </cell>
        </row>
        <row r="628">
          <cell r="A628">
            <v>9100999</v>
          </cell>
          <cell r="B628">
            <v>182774</v>
          </cell>
          <cell r="C628" t="str">
            <v>LEASEHOLD CIP CLEARING</v>
          </cell>
        </row>
        <row r="629">
          <cell r="A629">
            <v>9680999</v>
          </cell>
          <cell r="B629">
            <v>182774</v>
          </cell>
          <cell r="C629" t="str">
            <v>LEASEHOLD CIP CLEARING</v>
          </cell>
        </row>
        <row r="630">
          <cell r="A630">
            <v>9689883</v>
          </cell>
          <cell r="B630">
            <v>182774</v>
          </cell>
          <cell r="C630" t="str">
            <v>LEASEHOLD CIP CLEARING</v>
          </cell>
        </row>
        <row r="631">
          <cell r="A631">
            <v>9689906</v>
          </cell>
          <cell r="B631">
            <v>182774</v>
          </cell>
          <cell r="C631" t="str">
            <v>LEASEHOLD CIP CLEARING</v>
          </cell>
        </row>
        <row r="632">
          <cell r="A632">
            <v>9689990</v>
          </cell>
          <cell r="B632">
            <v>182774</v>
          </cell>
          <cell r="C632" t="str">
            <v>LEASEHOLD CIP CLEARING</v>
          </cell>
        </row>
        <row r="633">
          <cell r="A633">
            <v>9689992</v>
          </cell>
          <cell r="B633">
            <v>182774</v>
          </cell>
          <cell r="C633" t="str">
            <v>LEASEHOLD CIP CLEARING</v>
          </cell>
        </row>
        <row r="634">
          <cell r="A634">
            <v>8001054179</v>
          </cell>
          <cell r="B634">
            <v>201005</v>
          </cell>
          <cell r="C634" t="str">
            <v>C. IN BNK.-AGAINST SSI DRAFTS</v>
          </cell>
        </row>
        <row r="635">
          <cell r="A635">
            <v>8001059542</v>
          </cell>
          <cell r="B635">
            <v>201005</v>
          </cell>
          <cell r="C635" t="str">
            <v>C. IN BNK.-AGAINST SSI DRAFTS</v>
          </cell>
        </row>
        <row r="636">
          <cell r="A636">
            <v>8010512510</v>
          </cell>
          <cell r="B636">
            <v>201005</v>
          </cell>
          <cell r="C636" t="str">
            <v>C. IN BNK.-AGAINST SSI DRAFTS</v>
          </cell>
        </row>
        <row r="637">
          <cell r="A637">
            <v>9969681</v>
          </cell>
          <cell r="B637">
            <v>201005</v>
          </cell>
          <cell r="C637" t="str">
            <v>C. IN BNK.-AGAINST SSI DRAFTS</v>
          </cell>
        </row>
        <row r="638">
          <cell r="A638">
            <v>9969901</v>
          </cell>
          <cell r="B638">
            <v>201005</v>
          </cell>
          <cell r="C638" t="str">
            <v>C. IN BNK.-AGAINST SSI DRAFTS</v>
          </cell>
        </row>
        <row r="639">
          <cell r="A639" t="str">
            <v>ZONE-0105-POST</v>
          </cell>
          <cell r="B639">
            <v>201005</v>
          </cell>
          <cell r="C639" t="str">
            <v>C. IN BNK.-AGAINST SSI DRAFTS</v>
          </cell>
        </row>
        <row r="640">
          <cell r="A640" t="str">
            <v>ZONE-0112-POST</v>
          </cell>
          <cell r="B640">
            <v>201005</v>
          </cell>
          <cell r="C640" t="str">
            <v>C. IN BNK.-AGAINST SSI DRAFTS</v>
          </cell>
        </row>
        <row r="641">
          <cell r="A641">
            <v>9090999</v>
          </cell>
          <cell r="B641">
            <v>204005</v>
          </cell>
          <cell r="C641" t="str">
            <v>NOTES PAYABLE-INTERCOMPANY</v>
          </cell>
        </row>
        <row r="642">
          <cell r="A642">
            <v>9100999</v>
          </cell>
          <cell r="B642">
            <v>204005</v>
          </cell>
          <cell r="C642" t="str">
            <v>NOTES PAYABLE-INTERCOMPANY</v>
          </cell>
        </row>
        <row r="643">
          <cell r="A643">
            <v>9689999</v>
          </cell>
          <cell r="B643">
            <v>204005</v>
          </cell>
          <cell r="C643" t="str">
            <v>NOTES PAYABLE-INTERCOMPANY</v>
          </cell>
        </row>
        <row r="644">
          <cell r="A644">
            <v>8001054179</v>
          </cell>
          <cell r="B644">
            <v>205005</v>
          </cell>
          <cell r="C644" t="str">
            <v>ACCR EXP-DEFERRED FEDERAL TAX</v>
          </cell>
        </row>
        <row r="645">
          <cell r="A645">
            <v>8001059542</v>
          </cell>
          <cell r="B645">
            <v>205005</v>
          </cell>
          <cell r="C645" t="str">
            <v>ACCR EXP-DEFERRED FEDERAL TAX</v>
          </cell>
        </row>
        <row r="646">
          <cell r="A646">
            <v>8010512510</v>
          </cell>
          <cell r="B646">
            <v>205005</v>
          </cell>
          <cell r="C646" t="str">
            <v>ACCR EXP-DEFERRED FEDERAL TAX</v>
          </cell>
        </row>
        <row r="647">
          <cell r="A647">
            <v>9090999</v>
          </cell>
          <cell r="B647">
            <v>205005</v>
          </cell>
          <cell r="C647" t="str">
            <v>ACCR EXP-DEFERRED FEDERAL TAX</v>
          </cell>
        </row>
        <row r="648">
          <cell r="A648">
            <v>9100999</v>
          </cell>
          <cell r="B648">
            <v>205005</v>
          </cell>
          <cell r="C648" t="str">
            <v>ACCR EXP-DEFERRED FEDERAL TAX</v>
          </cell>
        </row>
        <row r="649">
          <cell r="A649">
            <v>9969681</v>
          </cell>
          <cell r="B649">
            <v>205005</v>
          </cell>
          <cell r="C649" t="str">
            <v>ACCR EXP-DEFERRED FEDERAL TAX</v>
          </cell>
        </row>
        <row r="650">
          <cell r="A650">
            <v>9969901</v>
          </cell>
          <cell r="B650">
            <v>205005</v>
          </cell>
          <cell r="C650" t="str">
            <v>ACCR EXP-DEFERRED FEDERAL TAX</v>
          </cell>
        </row>
        <row r="651">
          <cell r="A651" t="str">
            <v>ZONE-0105-POST</v>
          </cell>
          <cell r="B651">
            <v>205005</v>
          </cell>
          <cell r="C651" t="str">
            <v>ACCR EXP-DEFERRED FEDERAL TAX</v>
          </cell>
        </row>
        <row r="652">
          <cell r="A652" t="str">
            <v>ZONE-0112-POST</v>
          </cell>
          <cell r="B652">
            <v>205005</v>
          </cell>
          <cell r="C652" t="str">
            <v>ACCR EXP-DEFERRED FEDERAL TAX</v>
          </cell>
        </row>
        <row r="653">
          <cell r="A653">
            <v>9090999</v>
          </cell>
          <cell r="B653">
            <v>205010</v>
          </cell>
          <cell r="C653" t="str">
            <v>ACCR EXP-DEFERRED RENT</v>
          </cell>
        </row>
        <row r="654">
          <cell r="A654">
            <v>9100999</v>
          </cell>
          <cell r="B654">
            <v>205010</v>
          </cell>
          <cell r="C654" t="str">
            <v>ACCR EXP-DEFERRED RENT</v>
          </cell>
        </row>
        <row r="655">
          <cell r="A655">
            <v>9090999</v>
          </cell>
          <cell r="B655">
            <v>206015</v>
          </cell>
          <cell r="C655" t="str">
            <v>CAP LEASE OBLIG - EQUIP</v>
          </cell>
        </row>
        <row r="656">
          <cell r="A656">
            <v>9100999</v>
          </cell>
          <cell r="B656">
            <v>206015</v>
          </cell>
          <cell r="C656" t="str">
            <v>CAP LEASE OBLIG - EQUIP</v>
          </cell>
        </row>
        <row r="657">
          <cell r="A657">
            <v>9100999</v>
          </cell>
          <cell r="B657">
            <v>230001</v>
          </cell>
          <cell r="C657" t="str">
            <v>A/P INTERCO ASB</v>
          </cell>
        </row>
        <row r="658">
          <cell r="A658">
            <v>8001054179</v>
          </cell>
          <cell r="B658">
            <v>230051</v>
          </cell>
          <cell r="C658" t="str">
            <v>A/P INTERCO RETAIL CSL</v>
          </cell>
        </row>
        <row r="659">
          <cell r="A659">
            <v>8001059542</v>
          </cell>
          <cell r="B659">
            <v>230051</v>
          </cell>
          <cell r="C659" t="str">
            <v>A/P INTERCO RETAIL CSL</v>
          </cell>
        </row>
        <row r="660">
          <cell r="A660">
            <v>8010512510</v>
          </cell>
          <cell r="B660">
            <v>230051</v>
          </cell>
          <cell r="C660" t="str">
            <v>A/P INTERCO RETAIL CSL</v>
          </cell>
        </row>
        <row r="661">
          <cell r="A661">
            <v>9969681</v>
          </cell>
          <cell r="B661">
            <v>230051</v>
          </cell>
          <cell r="C661" t="str">
            <v>A/P INTERCO RETAIL CSL</v>
          </cell>
        </row>
        <row r="662">
          <cell r="A662">
            <v>9969901</v>
          </cell>
          <cell r="B662">
            <v>230051</v>
          </cell>
          <cell r="C662" t="str">
            <v>A/P INTERCO RETAIL CSL</v>
          </cell>
        </row>
        <row r="663">
          <cell r="A663" t="str">
            <v>ZONE-0105-POST</v>
          </cell>
          <cell r="B663">
            <v>230051</v>
          </cell>
          <cell r="C663" t="str">
            <v>A/P INTERCO RETAIL CSL</v>
          </cell>
        </row>
        <row r="664">
          <cell r="A664" t="str">
            <v>ZONE-0112-POST</v>
          </cell>
          <cell r="B664">
            <v>230051</v>
          </cell>
          <cell r="C664" t="str">
            <v>A/P INTERCO RETAIL CSL</v>
          </cell>
        </row>
        <row r="665">
          <cell r="A665">
            <v>9090999</v>
          </cell>
          <cell r="B665">
            <v>230068</v>
          </cell>
          <cell r="C665" t="str">
            <v>INTERCOMPANY GIFT CARD PAYABLE - BHN</v>
          </cell>
        </row>
        <row r="666">
          <cell r="A666">
            <v>9100999</v>
          </cell>
          <cell r="B666">
            <v>230068</v>
          </cell>
          <cell r="C666" t="str">
            <v>INTERCOMPANY GIFT CARD PAYABLE - BHN</v>
          </cell>
        </row>
        <row r="667">
          <cell r="A667">
            <v>9682999</v>
          </cell>
          <cell r="B667">
            <v>230068</v>
          </cell>
          <cell r="C667" t="str">
            <v>INTERCOMPANY GIFT CARD PAYABLE - BHN</v>
          </cell>
        </row>
        <row r="668">
          <cell r="A668">
            <v>8001054179</v>
          </cell>
          <cell r="B668">
            <v>230097</v>
          </cell>
          <cell r="C668" t="str">
            <v>A/P INTERCO ADMIN LEDGER</v>
          </cell>
        </row>
        <row r="669">
          <cell r="A669">
            <v>8001059542</v>
          </cell>
          <cell r="B669">
            <v>230097</v>
          </cell>
          <cell r="C669" t="str">
            <v>A/P INTERCO ADMIN LEDGER</v>
          </cell>
        </row>
        <row r="670">
          <cell r="A670">
            <v>8010512510</v>
          </cell>
          <cell r="B670">
            <v>230097</v>
          </cell>
          <cell r="C670" t="str">
            <v>A/P INTERCO ADMIN LEDGER</v>
          </cell>
        </row>
        <row r="671">
          <cell r="A671">
            <v>9689999</v>
          </cell>
          <cell r="B671">
            <v>230097</v>
          </cell>
          <cell r="C671" t="str">
            <v>A/P INTERCO ADMIN LEDGER</v>
          </cell>
        </row>
        <row r="672">
          <cell r="A672">
            <v>9722709</v>
          </cell>
          <cell r="B672">
            <v>230097</v>
          </cell>
          <cell r="C672" t="str">
            <v>A/P INTERCO ADMIN LEDGER</v>
          </cell>
        </row>
        <row r="673">
          <cell r="A673">
            <v>9722713</v>
          </cell>
          <cell r="B673">
            <v>230097</v>
          </cell>
          <cell r="C673" t="str">
            <v>A/P INTERCO ADMIN LEDGER</v>
          </cell>
        </row>
        <row r="674">
          <cell r="A674">
            <v>9967681</v>
          </cell>
          <cell r="B674">
            <v>230097</v>
          </cell>
          <cell r="C674" t="str">
            <v>A/P INTERCO ADMIN LEDGER</v>
          </cell>
        </row>
        <row r="675">
          <cell r="A675">
            <v>9968681</v>
          </cell>
          <cell r="B675">
            <v>230097</v>
          </cell>
          <cell r="C675" t="str">
            <v>A/P INTERCO ADMIN LEDGER</v>
          </cell>
        </row>
        <row r="676">
          <cell r="A676">
            <v>9969681</v>
          </cell>
          <cell r="B676">
            <v>230097</v>
          </cell>
          <cell r="C676" t="str">
            <v>A/P INTERCO ADMIN LEDGER</v>
          </cell>
        </row>
        <row r="677">
          <cell r="A677">
            <v>9969901</v>
          </cell>
          <cell r="B677">
            <v>230097</v>
          </cell>
          <cell r="C677" t="str">
            <v>A/P INTERCO ADMIN LEDGER</v>
          </cell>
        </row>
        <row r="678">
          <cell r="A678" t="str">
            <v>ZONE-0105-POST</v>
          </cell>
          <cell r="B678">
            <v>230097</v>
          </cell>
          <cell r="C678" t="str">
            <v>A/P INTERCO ADMIN LEDGER</v>
          </cell>
        </row>
        <row r="679">
          <cell r="A679" t="str">
            <v>ZONE-0112-POST</v>
          </cell>
          <cell r="B679">
            <v>230097</v>
          </cell>
          <cell r="C679" t="str">
            <v>A/P INTERCO ADMIN LEDGER</v>
          </cell>
        </row>
        <row r="680">
          <cell r="A680" t="str">
            <v>I/C-1510-POST</v>
          </cell>
          <cell r="B680">
            <v>239101</v>
          </cell>
          <cell r="C680" t="str">
            <v>INTERZONE BALANCING</v>
          </cell>
        </row>
        <row r="681">
          <cell r="A681" t="str">
            <v>ZONE-0068-POST</v>
          </cell>
          <cell r="B681">
            <v>239101</v>
          </cell>
          <cell r="C681" t="str">
            <v>INTERZONE BALANCING</v>
          </cell>
        </row>
        <row r="682">
          <cell r="A682" t="str">
            <v>ZONE-0072-POST</v>
          </cell>
          <cell r="B682">
            <v>239101</v>
          </cell>
          <cell r="C682" t="str">
            <v>INTERZONE BALANCING</v>
          </cell>
        </row>
        <row r="683">
          <cell r="A683" t="str">
            <v>ZONE-0102-POST</v>
          </cell>
          <cell r="B683">
            <v>239101</v>
          </cell>
          <cell r="C683" t="str">
            <v>INTERZONE BALANCING</v>
          </cell>
        </row>
        <row r="684">
          <cell r="A684" t="str">
            <v>ZONE-0103-POST</v>
          </cell>
          <cell r="B684">
            <v>239101</v>
          </cell>
          <cell r="C684" t="str">
            <v>INTERZONE BALANCING</v>
          </cell>
        </row>
        <row r="685">
          <cell r="A685" t="str">
            <v>ZONE-0104-POST</v>
          </cell>
          <cell r="B685">
            <v>239101</v>
          </cell>
          <cell r="C685" t="str">
            <v>INTERZONE BALANCING</v>
          </cell>
        </row>
        <row r="686">
          <cell r="A686" t="str">
            <v>ZONE-0105-POST</v>
          </cell>
          <cell r="B686">
            <v>239101</v>
          </cell>
          <cell r="C686" t="str">
            <v>INTERZONE BALANCING</v>
          </cell>
        </row>
        <row r="687">
          <cell r="A687" t="str">
            <v>ZONE-0108-POST</v>
          </cell>
          <cell r="B687">
            <v>239101</v>
          </cell>
          <cell r="C687" t="str">
            <v>INTERZONE BALANCING</v>
          </cell>
        </row>
        <row r="688">
          <cell r="A688" t="str">
            <v>ZONE-0109-POST</v>
          </cell>
          <cell r="B688">
            <v>239101</v>
          </cell>
          <cell r="C688" t="str">
            <v>INTERZONE BALANCING</v>
          </cell>
        </row>
        <row r="689">
          <cell r="A689" t="str">
            <v>ZONE-0110-POST</v>
          </cell>
          <cell r="B689">
            <v>239101</v>
          </cell>
          <cell r="C689" t="str">
            <v>INTERZONE BALANCING</v>
          </cell>
        </row>
        <row r="690">
          <cell r="A690" t="str">
            <v>ZONE-0111-POST</v>
          </cell>
          <cell r="B690">
            <v>239101</v>
          </cell>
          <cell r="C690" t="str">
            <v>INTERZONE BALANCING</v>
          </cell>
        </row>
        <row r="691">
          <cell r="A691" t="str">
            <v>ZONE-0112-POST</v>
          </cell>
          <cell r="B691">
            <v>239101</v>
          </cell>
          <cell r="C691" t="str">
            <v>INTERZONE BALANCING</v>
          </cell>
        </row>
        <row r="692">
          <cell r="A692" t="str">
            <v>ZONE-9998-POST</v>
          </cell>
          <cell r="B692">
            <v>239101</v>
          </cell>
          <cell r="C692" t="str">
            <v>INTERZONE BALANCING</v>
          </cell>
        </row>
        <row r="693">
          <cell r="A693" t="str">
            <v>ZONE-9999-POST</v>
          </cell>
          <cell r="B693">
            <v>239101</v>
          </cell>
          <cell r="C693" t="str">
            <v>INTERZONE BALANCING</v>
          </cell>
        </row>
        <row r="694">
          <cell r="A694" t="str">
            <v>I/C-1510-POST</v>
          </cell>
          <cell r="B694">
            <v>239102</v>
          </cell>
          <cell r="C694" t="str">
            <v>INTERCOMPANY BALANCING</v>
          </cell>
        </row>
        <row r="695">
          <cell r="A695" t="str">
            <v>ZONE-0068-POST</v>
          </cell>
          <cell r="B695">
            <v>239102</v>
          </cell>
          <cell r="C695" t="str">
            <v>INTERCOMPANY BALANCING</v>
          </cell>
        </row>
        <row r="696">
          <cell r="A696" t="str">
            <v>ZONE-0072-POST</v>
          </cell>
          <cell r="B696">
            <v>239102</v>
          </cell>
          <cell r="C696" t="str">
            <v>INTERCOMPANY BALANCING</v>
          </cell>
        </row>
        <row r="697">
          <cell r="A697" t="str">
            <v>ZONE-0102-POST</v>
          </cell>
          <cell r="B697">
            <v>239102</v>
          </cell>
          <cell r="C697" t="str">
            <v>INTERCOMPANY BALANCING</v>
          </cell>
        </row>
        <row r="698">
          <cell r="A698" t="str">
            <v>ZONE-0103-POST</v>
          </cell>
          <cell r="B698">
            <v>239102</v>
          </cell>
          <cell r="C698" t="str">
            <v>INTERCOMPANY BALANCING</v>
          </cell>
        </row>
        <row r="699">
          <cell r="A699" t="str">
            <v>ZONE-0104-POST</v>
          </cell>
          <cell r="B699">
            <v>239102</v>
          </cell>
          <cell r="C699" t="str">
            <v>INTERCOMPANY BALANCING</v>
          </cell>
        </row>
        <row r="700">
          <cell r="A700" t="str">
            <v>ZONE-0110-POST</v>
          </cell>
          <cell r="B700">
            <v>239102</v>
          </cell>
          <cell r="C700" t="str">
            <v>INTERCOMPANY BALANCING</v>
          </cell>
        </row>
        <row r="701">
          <cell r="A701" t="str">
            <v>ZONE-0111-POST</v>
          </cell>
          <cell r="B701">
            <v>239102</v>
          </cell>
          <cell r="C701" t="str">
            <v>INTERCOMPANY BALANCING</v>
          </cell>
        </row>
        <row r="702">
          <cell r="A702" t="str">
            <v>ZONE-9998-POST</v>
          </cell>
          <cell r="B702">
            <v>239102</v>
          </cell>
          <cell r="C702" t="str">
            <v>INTERCOMPANY BALANCING</v>
          </cell>
        </row>
        <row r="703">
          <cell r="A703" t="str">
            <v>ZONE-9999-POST</v>
          </cell>
          <cell r="B703">
            <v>239102</v>
          </cell>
          <cell r="C703" t="str">
            <v>INTERCOMPANY BALANCING</v>
          </cell>
        </row>
        <row r="704">
          <cell r="A704">
            <v>9080999</v>
          </cell>
          <cell r="B704">
            <v>243004</v>
          </cell>
          <cell r="C704" t="str">
            <v>A/P - TAX - SALES - CA</v>
          </cell>
        </row>
        <row r="705">
          <cell r="A705">
            <v>9110999</v>
          </cell>
          <cell r="B705">
            <v>243004</v>
          </cell>
          <cell r="C705" t="str">
            <v>A/P - TAX - SALES - CA</v>
          </cell>
        </row>
        <row r="706">
          <cell r="A706">
            <v>9689999</v>
          </cell>
          <cell r="B706">
            <v>243004</v>
          </cell>
          <cell r="C706" t="str">
            <v>A/P - TAX - SALES - CA</v>
          </cell>
        </row>
        <row r="707">
          <cell r="A707">
            <v>8001054179</v>
          </cell>
          <cell r="B707">
            <v>243072</v>
          </cell>
          <cell r="C707" t="str">
            <v>A/P SALES TAX PROV OF B.C.</v>
          </cell>
        </row>
        <row r="708">
          <cell r="A708">
            <v>8001059542</v>
          </cell>
          <cell r="B708">
            <v>243072</v>
          </cell>
          <cell r="C708" t="str">
            <v>A/P SALES TAX PROV OF B.C.</v>
          </cell>
        </row>
        <row r="709">
          <cell r="A709">
            <v>8010512510</v>
          </cell>
          <cell r="B709">
            <v>243072</v>
          </cell>
          <cell r="C709" t="str">
            <v>A/P SALES TAX PROV OF B.C.</v>
          </cell>
        </row>
        <row r="710">
          <cell r="A710">
            <v>9969681</v>
          </cell>
          <cell r="B710">
            <v>243072</v>
          </cell>
          <cell r="C710" t="str">
            <v>A/P SALES TAX PROV OF B.C.</v>
          </cell>
        </row>
        <row r="711">
          <cell r="A711">
            <v>9969901</v>
          </cell>
          <cell r="B711">
            <v>243072</v>
          </cell>
          <cell r="C711" t="str">
            <v>A/P SALES TAX PROV OF B.C.</v>
          </cell>
        </row>
        <row r="712">
          <cell r="A712" t="str">
            <v>ZONE-0105-POST</v>
          </cell>
          <cell r="B712">
            <v>243072</v>
          </cell>
          <cell r="C712" t="str">
            <v>A/P SALES TAX PROV OF B.C.</v>
          </cell>
        </row>
        <row r="713">
          <cell r="A713" t="str">
            <v>ZONE-0112-POST</v>
          </cell>
          <cell r="B713">
            <v>243072</v>
          </cell>
          <cell r="C713" t="str">
            <v>A/P SALES TAX PROV OF B.C.</v>
          </cell>
        </row>
        <row r="714">
          <cell r="A714">
            <v>8001054179</v>
          </cell>
          <cell r="B714">
            <v>243073</v>
          </cell>
          <cell r="C714" t="str">
            <v>A/P SALES TAX PROV OF MANITOBA</v>
          </cell>
        </row>
        <row r="715">
          <cell r="A715">
            <v>8001059542</v>
          </cell>
          <cell r="B715">
            <v>243073</v>
          </cell>
          <cell r="C715" t="str">
            <v>A/P SALES TAX PROV OF MANITOBA</v>
          </cell>
        </row>
        <row r="716">
          <cell r="A716">
            <v>8010512510</v>
          </cell>
          <cell r="B716">
            <v>243073</v>
          </cell>
          <cell r="C716" t="str">
            <v>A/P SALES TAX PROV OF MANITOBA</v>
          </cell>
        </row>
        <row r="717">
          <cell r="A717">
            <v>9969681</v>
          </cell>
          <cell r="B717">
            <v>243073</v>
          </cell>
          <cell r="C717" t="str">
            <v>A/P SALES TAX PROV OF MANITOBA</v>
          </cell>
        </row>
        <row r="718">
          <cell r="A718">
            <v>9969901</v>
          </cell>
          <cell r="B718">
            <v>243073</v>
          </cell>
          <cell r="C718" t="str">
            <v>A/P SALES TAX PROV OF MANITOBA</v>
          </cell>
        </row>
        <row r="719">
          <cell r="A719" t="str">
            <v>ZONE-0105-POST</v>
          </cell>
          <cell r="B719">
            <v>243073</v>
          </cell>
          <cell r="C719" t="str">
            <v>A/P SALES TAX PROV OF MANITOBA</v>
          </cell>
        </row>
        <row r="720">
          <cell r="A720" t="str">
            <v>ZONE-0112-POST</v>
          </cell>
          <cell r="B720">
            <v>243073</v>
          </cell>
          <cell r="C720" t="str">
            <v>A/P SALES TAX PROV OF MANITOBA</v>
          </cell>
        </row>
        <row r="721">
          <cell r="A721">
            <v>8001054179</v>
          </cell>
          <cell r="B721">
            <v>243081</v>
          </cell>
          <cell r="C721" t="str">
            <v>A/P SALES TAX PROV OF ONTARIO</v>
          </cell>
        </row>
        <row r="722">
          <cell r="A722">
            <v>8001059542</v>
          </cell>
          <cell r="B722">
            <v>243081</v>
          </cell>
          <cell r="C722" t="str">
            <v>A/P SALES TAX PROV OF ONTARIO</v>
          </cell>
        </row>
        <row r="723">
          <cell r="A723">
            <v>8010512510</v>
          </cell>
          <cell r="B723">
            <v>243081</v>
          </cell>
          <cell r="C723" t="str">
            <v>A/P SALES TAX PROV OF ONTARIO</v>
          </cell>
        </row>
        <row r="724">
          <cell r="A724">
            <v>9969681</v>
          </cell>
          <cell r="B724">
            <v>243081</v>
          </cell>
          <cell r="C724" t="str">
            <v>A/P SALES TAX PROV OF ONTARIO</v>
          </cell>
        </row>
        <row r="725">
          <cell r="A725">
            <v>9969901</v>
          </cell>
          <cell r="B725">
            <v>243081</v>
          </cell>
          <cell r="C725" t="str">
            <v>A/P SALES TAX PROV OF ONTARIO</v>
          </cell>
        </row>
        <row r="726">
          <cell r="A726" t="str">
            <v>ZONE-0105-POST</v>
          </cell>
          <cell r="B726">
            <v>243081</v>
          </cell>
          <cell r="C726" t="str">
            <v>A/P SALES TAX PROV OF ONTARIO</v>
          </cell>
        </row>
        <row r="727">
          <cell r="A727" t="str">
            <v>ZONE-0112-POST</v>
          </cell>
          <cell r="B727">
            <v>243081</v>
          </cell>
          <cell r="C727" t="str">
            <v>A/P SALES TAX PROV OF ONTARIO</v>
          </cell>
        </row>
        <row r="728">
          <cell r="A728">
            <v>8001054179</v>
          </cell>
          <cell r="B728">
            <v>243084</v>
          </cell>
          <cell r="C728" t="str">
            <v>A/P SALES TAX PROV OF SASK.</v>
          </cell>
        </row>
        <row r="729">
          <cell r="A729">
            <v>8001059542</v>
          </cell>
          <cell r="B729">
            <v>243084</v>
          </cell>
          <cell r="C729" t="str">
            <v>A/P SALES TAX PROV OF SASK.</v>
          </cell>
        </row>
        <row r="730">
          <cell r="A730">
            <v>8010512510</v>
          </cell>
          <cell r="B730">
            <v>243084</v>
          </cell>
          <cell r="C730" t="str">
            <v>A/P SALES TAX PROV OF SASK.</v>
          </cell>
        </row>
        <row r="731">
          <cell r="A731">
            <v>9969681</v>
          </cell>
          <cell r="B731">
            <v>243084</v>
          </cell>
          <cell r="C731" t="str">
            <v>A/P SALES TAX PROV OF SASK.</v>
          </cell>
        </row>
        <row r="732">
          <cell r="A732">
            <v>9969901</v>
          </cell>
          <cell r="B732">
            <v>243084</v>
          </cell>
          <cell r="C732" t="str">
            <v>A/P SALES TAX PROV OF SASK.</v>
          </cell>
        </row>
        <row r="733">
          <cell r="A733" t="str">
            <v>ZONE-0105-POST</v>
          </cell>
          <cell r="B733">
            <v>243084</v>
          </cell>
          <cell r="C733" t="str">
            <v>A/P SALES TAX PROV OF SASK.</v>
          </cell>
        </row>
        <row r="734">
          <cell r="A734" t="str">
            <v>ZONE-0112-POST</v>
          </cell>
          <cell r="B734">
            <v>243084</v>
          </cell>
          <cell r="C734" t="str">
            <v>A/P SALES TAX PROV OF SASK.</v>
          </cell>
        </row>
        <row r="735">
          <cell r="A735">
            <v>9080999</v>
          </cell>
          <cell r="B735">
            <v>243100</v>
          </cell>
          <cell r="C735" t="str">
            <v>ACCTS PAY-SALES TAX</v>
          </cell>
        </row>
        <row r="736">
          <cell r="A736">
            <v>9090999</v>
          </cell>
          <cell r="B736">
            <v>243100</v>
          </cell>
          <cell r="C736" t="str">
            <v>ACCTS PAY-SALES TAX</v>
          </cell>
        </row>
        <row r="737">
          <cell r="A737">
            <v>9100999</v>
          </cell>
          <cell r="B737">
            <v>243100</v>
          </cell>
          <cell r="C737" t="str">
            <v>ACCTS PAY-SALES TAX</v>
          </cell>
        </row>
        <row r="738">
          <cell r="A738">
            <v>9110999</v>
          </cell>
          <cell r="B738">
            <v>243100</v>
          </cell>
          <cell r="C738" t="str">
            <v>ACCTS PAY-SALES TAX</v>
          </cell>
        </row>
        <row r="739">
          <cell r="A739">
            <v>9689999</v>
          </cell>
          <cell r="B739">
            <v>243100</v>
          </cell>
          <cell r="C739" t="str">
            <v>ACCTS PAY-SALES TAX</v>
          </cell>
        </row>
        <row r="740">
          <cell r="A740">
            <v>9080999</v>
          </cell>
          <cell r="B740">
            <v>247002</v>
          </cell>
          <cell r="C740" t="str">
            <v>A/P WITHHOLDING TAX - AZ</v>
          </cell>
        </row>
        <row r="741">
          <cell r="A741">
            <v>9110999</v>
          </cell>
          <cell r="B741">
            <v>247002</v>
          </cell>
          <cell r="C741" t="str">
            <v>A/P WITHHOLDING TAX - AZ</v>
          </cell>
        </row>
        <row r="742">
          <cell r="A742">
            <v>9689999</v>
          </cell>
          <cell r="B742">
            <v>247002</v>
          </cell>
          <cell r="C742" t="str">
            <v>A/P WITHHOLDING TAX - AZ</v>
          </cell>
        </row>
        <row r="743">
          <cell r="A743">
            <v>9080999</v>
          </cell>
          <cell r="B743">
            <v>247006</v>
          </cell>
          <cell r="C743" t="str">
            <v>A/P WITHHOLDING TAX - CT</v>
          </cell>
        </row>
        <row r="744">
          <cell r="A744">
            <v>9110999</v>
          </cell>
          <cell r="B744">
            <v>247006</v>
          </cell>
          <cell r="C744" t="str">
            <v>A/P WITHHOLDING TAX - CT</v>
          </cell>
        </row>
        <row r="745">
          <cell r="A745">
            <v>9689999</v>
          </cell>
          <cell r="B745">
            <v>247006</v>
          </cell>
          <cell r="C745" t="str">
            <v>A/P WITHHOLDING TAX - CT</v>
          </cell>
        </row>
        <row r="746">
          <cell r="A746">
            <v>9080999</v>
          </cell>
          <cell r="B746">
            <v>247010</v>
          </cell>
          <cell r="C746" t="str">
            <v>A/P WITHHOLDING TAX - GA</v>
          </cell>
        </row>
        <row r="747">
          <cell r="A747">
            <v>9110999</v>
          </cell>
          <cell r="B747">
            <v>247010</v>
          </cell>
          <cell r="C747" t="str">
            <v>A/P WITHHOLDING TAX - GA</v>
          </cell>
        </row>
        <row r="748">
          <cell r="A748">
            <v>9689999</v>
          </cell>
          <cell r="B748">
            <v>247010</v>
          </cell>
          <cell r="C748" t="str">
            <v>A/P WITHHOLDING TAX - GA</v>
          </cell>
        </row>
        <row r="749">
          <cell r="A749">
            <v>9080999</v>
          </cell>
          <cell r="B749">
            <v>247012</v>
          </cell>
          <cell r="C749" t="str">
            <v>A/P WITHHOLDING TAX - IL</v>
          </cell>
        </row>
        <row r="750">
          <cell r="A750">
            <v>9110999</v>
          </cell>
          <cell r="B750">
            <v>247012</v>
          </cell>
          <cell r="C750" t="str">
            <v>A/P WITHHOLDING TAX - IL</v>
          </cell>
        </row>
        <row r="751">
          <cell r="A751">
            <v>9689999</v>
          </cell>
          <cell r="B751">
            <v>247012</v>
          </cell>
          <cell r="C751" t="str">
            <v>A/P WITHHOLDING TAX - IL</v>
          </cell>
        </row>
        <row r="752">
          <cell r="A752">
            <v>9080999</v>
          </cell>
          <cell r="B752">
            <v>247015</v>
          </cell>
          <cell r="C752" t="str">
            <v>A/P WITHHOLDING TAX - KS</v>
          </cell>
        </row>
        <row r="753">
          <cell r="A753">
            <v>9110999</v>
          </cell>
          <cell r="B753">
            <v>247015</v>
          </cell>
          <cell r="C753" t="str">
            <v>A/P WITHHOLDING TAX - KS</v>
          </cell>
        </row>
        <row r="754">
          <cell r="A754">
            <v>9689999</v>
          </cell>
          <cell r="B754">
            <v>247015</v>
          </cell>
          <cell r="C754" t="str">
            <v>A/P WITHHOLDING TAX - KS</v>
          </cell>
        </row>
        <row r="755">
          <cell r="A755">
            <v>9080999</v>
          </cell>
          <cell r="B755">
            <v>247018</v>
          </cell>
          <cell r="C755" t="str">
            <v>A/P WITHHOLDING- MAINE</v>
          </cell>
        </row>
        <row r="756">
          <cell r="A756">
            <v>9110999</v>
          </cell>
          <cell r="B756">
            <v>247018</v>
          </cell>
          <cell r="C756" t="str">
            <v>A/P WITHHOLDING- MAINE</v>
          </cell>
        </row>
        <row r="757">
          <cell r="A757">
            <v>9689999</v>
          </cell>
          <cell r="B757">
            <v>247018</v>
          </cell>
          <cell r="C757" t="str">
            <v>A/P WITHHOLDING- MAINE</v>
          </cell>
        </row>
        <row r="758">
          <cell r="A758">
            <v>9080999</v>
          </cell>
          <cell r="B758">
            <v>247020</v>
          </cell>
          <cell r="C758" t="str">
            <v>A/P WITHHOLDING TAX - MA</v>
          </cell>
        </row>
        <row r="759">
          <cell r="A759">
            <v>9110999</v>
          </cell>
          <cell r="B759">
            <v>247020</v>
          </cell>
          <cell r="C759" t="str">
            <v>A/P WITHHOLDING TAX - MA</v>
          </cell>
        </row>
        <row r="760">
          <cell r="A760">
            <v>9689883</v>
          </cell>
          <cell r="B760">
            <v>247020</v>
          </cell>
          <cell r="C760" t="str">
            <v>A/P WITHHOLDING TAX - MA</v>
          </cell>
        </row>
        <row r="761">
          <cell r="A761">
            <v>9689906</v>
          </cell>
          <cell r="B761">
            <v>247020</v>
          </cell>
          <cell r="C761" t="str">
            <v>A/P WITHHOLDING TAX - MA</v>
          </cell>
        </row>
        <row r="762">
          <cell r="A762">
            <v>9689992</v>
          </cell>
          <cell r="B762">
            <v>247020</v>
          </cell>
          <cell r="C762" t="str">
            <v>A/P WITHHOLDING TAX - MA</v>
          </cell>
        </row>
        <row r="763">
          <cell r="A763">
            <v>9689999</v>
          </cell>
          <cell r="B763">
            <v>247020</v>
          </cell>
          <cell r="C763" t="str">
            <v>A/P WITHHOLDING TAX - MA</v>
          </cell>
        </row>
        <row r="764">
          <cell r="A764">
            <v>9080999</v>
          </cell>
          <cell r="B764">
            <v>247022</v>
          </cell>
          <cell r="C764" t="str">
            <v>A/P WITHHOLDING TAX - MN</v>
          </cell>
        </row>
        <row r="765">
          <cell r="A765">
            <v>9110999</v>
          </cell>
          <cell r="B765">
            <v>247022</v>
          </cell>
          <cell r="C765" t="str">
            <v>A/P WITHHOLDING TAX - MN</v>
          </cell>
        </row>
        <row r="766">
          <cell r="A766">
            <v>9689999</v>
          </cell>
          <cell r="B766">
            <v>247022</v>
          </cell>
          <cell r="C766" t="str">
            <v>A/P WITHHOLDING TAX - MN</v>
          </cell>
        </row>
        <row r="767">
          <cell r="A767">
            <v>9080999</v>
          </cell>
          <cell r="B767">
            <v>247029</v>
          </cell>
          <cell r="C767" t="str">
            <v>A/P WITHHOLDING TAX - NJ</v>
          </cell>
        </row>
        <row r="768">
          <cell r="A768">
            <v>9110999</v>
          </cell>
          <cell r="B768">
            <v>247029</v>
          </cell>
          <cell r="C768" t="str">
            <v>A/P WITHHOLDING TAX - NJ</v>
          </cell>
        </row>
        <row r="769">
          <cell r="A769">
            <v>9689999</v>
          </cell>
          <cell r="B769">
            <v>247029</v>
          </cell>
          <cell r="C769" t="str">
            <v>A/P WITHHOLDING TAX - NJ</v>
          </cell>
        </row>
        <row r="770">
          <cell r="A770">
            <v>9080999</v>
          </cell>
          <cell r="B770">
            <v>247031</v>
          </cell>
          <cell r="C770" t="str">
            <v>A/P WITHHOLDING TAX - NY</v>
          </cell>
        </row>
        <row r="771">
          <cell r="A771">
            <v>9110999</v>
          </cell>
          <cell r="B771">
            <v>247031</v>
          </cell>
          <cell r="C771" t="str">
            <v>A/P WITHHOLDING TAX - NY</v>
          </cell>
        </row>
        <row r="772">
          <cell r="A772">
            <v>9689999</v>
          </cell>
          <cell r="B772">
            <v>247031</v>
          </cell>
          <cell r="C772" t="str">
            <v>A/P WITHHOLDING TAX - NY</v>
          </cell>
        </row>
        <row r="773">
          <cell r="A773">
            <v>9080999</v>
          </cell>
          <cell r="B773">
            <v>247032</v>
          </cell>
          <cell r="C773" t="str">
            <v>A/E WITHHOLDING TAX - NC</v>
          </cell>
        </row>
        <row r="774">
          <cell r="A774">
            <v>9110999</v>
          </cell>
          <cell r="B774">
            <v>247032</v>
          </cell>
          <cell r="C774" t="str">
            <v>A/E WITHHOLDING TAX - NC</v>
          </cell>
        </row>
        <row r="775">
          <cell r="A775">
            <v>9689999</v>
          </cell>
          <cell r="B775">
            <v>247032</v>
          </cell>
          <cell r="C775" t="str">
            <v>A/E WITHHOLDING TAX - NC</v>
          </cell>
        </row>
        <row r="776">
          <cell r="A776">
            <v>9080999</v>
          </cell>
          <cell r="B776">
            <v>247035</v>
          </cell>
          <cell r="C776" t="str">
            <v>A/P WITHHOLDING TAX - OK</v>
          </cell>
        </row>
        <row r="777">
          <cell r="A777">
            <v>9110999</v>
          </cell>
          <cell r="B777">
            <v>247035</v>
          </cell>
          <cell r="C777" t="str">
            <v>A/P WITHHOLDING TAX - OK</v>
          </cell>
        </row>
        <row r="778">
          <cell r="A778">
            <v>9689999</v>
          </cell>
          <cell r="B778">
            <v>247035</v>
          </cell>
          <cell r="C778" t="str">
            <v>A/P WITHHOLDING TAX - OK</v>
          </cell>
        </row>
        <row r="779">
          <cell r="A779">
            <v>9080999</v>
          </cell>
          <cell r="B779">
            <v>247037</v>
          </cell>
          <cell r="C779" t="str">
            <v>A/P WITHHOLDING TAX - PA</v>
          </cell>
        </row>
        <row r="780">
          <cell r="A780">
            <v>9110999</v>
          </cell>
          <cell r="B780">
            <v>247037</v>
          </cell>
          <cell r="C780" t="str">
            <v>A/P WITHHOLDING TAX - PA</v>
          </cell>
        </row>
        <row r="781">
          <cell r="A781">
            <v>9689883</v>
          </cell>
          <cell r="B781">
            <v>247037</v>
          </cell>
          <cell r="C781" t="str">
            <v>A/P WITHHOLDING TAX - PA</v>
          </cell>
        </row>
        <row r="782">
          <cell r="A782">
            <v>9689906</v>
          </cell>
          <cell r="B782">
            <v>247037</v>
          </cell>
          <cell r="C782" t="str">
            <v>A/P WITHHOLDING TAX - PA</v>
          </cell>
        </row>
        <row r="783">
          <cell r="A783">
            <v>9689992</v>
          </cell>
          <cell r="B783">
            <v>247037</v>
          </cell>
          <cell r="C783" t="str">
            <v>A/P WITHHOLDING TAX - PA</v>
          </cell>
        </row>
        <row r="784">
          <cell r="A784">
            <v>9689999</v>
          </cell>
          <cell r="B784">
            <v>247037</v>
          </cell>
          <cell r="C784" t="str">
            <v>A/P WITHHOLDING TAX - PA</v>
          </cell>
        </row>
        <row r="785">
          <cell r="A785">
            <v>9080999</v>
          </cell>
          <cell r="B785">
            <v>247100</v>
          </cell>
          <cell r="C785" t="str">
            <v>A/P WITHHOLDING TAX-EXPATRIATE</v>
          </cell>
        </row>
        <row r="786">
          <cell r="A786">
            <v>9110999</v>
          </cell>
          <cell r="B786">
            <v>247100</v>
          </cell>
          <cell r="C786" t="str">
            <v>A/P WITHHOLDING TAX-EXPATRIATE</v>
          </cell>
        </row>
        <row r="787">
          <cell r="A787">
            <v>9689999</v>
          </cell>
          <cell r="B787">
            <v>247100</v>
          </cell>
          <cell r="C787" t="str">
            <v>A/P WITHHOLDING TAX-EXPATRIATE</v>
          </cell>
        </row>
        <row r="788">
          <cell r="A788">
            <v>9080999</v>
          </cell>
          <cell r="B788">
            <v>247210</v>
          </cell>
          <cell r="C788" t="str">
            <v>ACCR EXP-HEALTH MAINTENANCE-PS</v>
          </cell>
        </row>
        <row r="789">
          <cell r="A789">
            <v>9110999</v>
          </cell>
          <cell r="B789">
            <v>247210</v>
          </cell>
          <cell r="C789" t="str">
            <v>ACCR EXP-HEALTH MAINTENANCE-PS</v>
          </cell>
        </row>
        <row r="790">
          <cell r="A790">
            <v>9689999</v>
          </cell>
          <cell r="B790">
            <v>247210</v>
          </cell>
          <cell r="C790" t="str">
            <v>ACCR EXP-HEALTH MAINTENANCE-PS</v>
          </cell>
        </row>
        <row r="791">
          <cell r="A791">
            <v>9080999</v>
          </cell>
          <cell r="B791">
            <v>247211</v>
          </cell>
          <cell r="C791" t="str">
            <v>ACCR EXP-UNEMP INSUR-EMPLYR-PS</v>
          </cell>
        </row>
        <row r="792">
          <cell r="A792">
            <v>9110999</v>
          </cell>
          <cell r="B792">
            <v>247211</v>
          </cell>
          <cell r="C792" t="str">
            <v>ACCR EXP-UNEMP INSUR-EMPLYR-PS</v>
          </cell>
        </row>
        <row r="793">
          <cell r="A793">
            <v>9689999</v>
          </cell>
          <cell r="B793">
            <v>247211</v>
          </cell>
          <cell r="C793" t="str">
            <v>ACCR EXP-UNEMP INSUR-EMPLYR-PS</v>
          </cell>
        </row>
        <row r="794">
          <cell r="A794">
            <v>9080999</v>
          </cell>
          <cell r="B794">
            <v>247212</v>
          </cell>
          <cell r="C794" t="str">
            <v>ACCR EXP-FED INS CONTRI ACT-PS</v>
          </cell>
        </row>
        <row r="795">
          <cell r="A795">
            <v>9110999</v>
          </cell>
          <cell r="B795">
            <v>247212</v>
          </cell>
          <cell r="C795" t="str">
            <v>ACCR EXP-FED INS CONTRI ACT-PS</v>
          </cell>
        </row>
        <row r="796">
          <cell r="A796">
            <v>9689999</v>
          </cell>
          <cell r="B796">
            <v>247212</v>
          </cell>
          <cell r="C796" t="str">
            <v>ACCR EXP-FED INS CONTRI ACT-PS</v>
          </cell>
        </row>
        <row r="797">
          <cell r="A797">
            <v>9080999</v>
          </cell>
          <cell r="B797">
            <v>247213</v>
          </cell>
          <cell r="C797" t="str">
            <v>A/E MEDICARE - EMPLOYER-PS</v>
          </cell>
        </row>
        <row r="798">
          <cell r="A798">
            <v>9110999</v>
          </cell>
          <cell r="B798">
            <v>247213</v>
          </cell>
          <cell r="C798" t="str">
            <v>A/E MEDICARE - EMPLOYER-PS</v>
          </cell>
        </row>
        <row r="799">
          <cell r="A799">
            <v>9689999</v>
          </cell>
          <cell r="B799">
            <v>247213</v>
          </cell>
          <cell r="C799" t="str">
            <v>A/E MEDICARE - EMPLOYER-PS</v>
          </cell>
        </row>
        <row r="800">
          <cell r="A800">
            <v>9080999</v>
          </cell>
          <cell r="B800">
            <v>247350</v>
          </cell>
          <cell r="C800" t="str">
            <v>A/P DIRECT DEPOSIT-EMP DEDUCT</v>
          </cell>
        </row>
        <row r="801">
          <cell r="A801">
            <v>9110999</v>
          </cell>
          <cell r="B801">
            <v>247350</v>
          </cell>
          <cell r="C801" t="str">
            <v>A/P DIRECT DEPOSIT-EMP DEDUCT</v>
          </cell>
        </row>
        <row r="802">
          <cell r="A802">
            <v>9689999</v>
          </cell>
          <cell r="B802">
            <v>247350</v>
          </cell>
          <cell r="C802" t="str">
            <v>A/P DIRECT DEPOSIT-EMP DEDUCT</v>
          </cell>
        </row>
        <row r="803">
          <cell r="A803">
            <v>9080999</v>
          </cell>
          <cell r="B803">
            <v>247471</v>
          </cell>
          <cell r="C803" t="str">
            <v>A/P OTHER SALARY DEFERRAL</v>
          </cell>
        </row>
        <row r="804">
          <cell r="A804">
            <v>9110999</v>
          </cell>
          <cell r="B804">
            <v>247471</v>
          </cell>
          <cell r="C804" t="str">
            <v>A/P OTHER SALARY DEFERRAL</v>
          </cell>
        </row>
        <row r="805">
          <cell r="A805">
            <v>9689999</v>
          </cell>
          <cell r="B805">
            <v>247471</v>
          </cell>
          <cell r="C805" t="str">
            <v>A/P OTHER SALARY DEFERRAL</v>
          </cell>
        </row>
        <row r="806">
          <cell r="A806">
            <v>9080999</v>
          </cell>
          <cell r="B806">
            <v>247525</v>
          </cell>
          <cell r="C806" t="str">
            <v>A/P DISABL INS-ST OF CA (SDI)</v>
          </cell>
        </row>
        <row r="807">
          <cell r="A807">
            <v>9110999</v>
          </cell>
          <cell r="B807">
            <v>247525</v>
          </cell>
          <cell r="C807" t="str">
            <v>A/P DISABL INS-ST OF CA (SDI)</v>
          </cell>
        </row>
        <row r="808">
          <cell r="A808">
            <v>9689999</v>
          </cell>
          <cell r="B808">
            <v>247525</v>
          </cell>
          <cell r="C808" t="str">
            <v>A/P DISABL INS-ST OF CA (SDI)</v>
          </cell>
        </row>
        <row r="809">
          <cell r="A809">
            <v>9080999</v>
          </cell>
          <cell r="B809">
            <v>247537</v>
          </cell>
          <cell r="C809" t="str">
            <v>A/P - OCCUPATIONAL PRIVILEDGE TAX - PA</v>
          </cell>
        </row>
        <row r="810">
          <cell r="A810">
            <v>9110999</v>
          </cell>
          <cell r="B810">
            <v>247537</v>
          </cell>
          <cell r="C810" t="str">
            <v>A/P - OCCUPATIONAL PRIVILEDGE TAX - PA</v>
          </cell>
        </row>
        <row r="811">
          <cell r="A811">
            <v>9689999</v>
          </cell>
          <cell r="B811">
            <v>247537</v>
          </cell>
          <cell r="C811" t="str">
            <v>A/P - OCCUPATIONAL PRIVILEDGE TAX - PA</v>
          </cell>
        </row>
        <row r="812">
          <cell r="A812">
            <v>9080999</v>
          </cell>
          <cell r="B812">
            <v>247637</v>
          </cell>
          <cell r="C812" t="str">
            <v>A/P - LOCAL INCOME WITHHOLDING TAX - PA</v>
          </cell>
        </row>
        <row r="813">
          <cell r="A813">
            <v>9110999</v>
          </cell>
          <cell r="B813">
            <v>247637</v>
          </cell>
          <cell r="C813" t="str">
            <v>A/P - LOCAL INCOME WITHHOLDING TAX - PA</v>
          </cell>
        </row>
        <row r="814">
          <cell r="A814">
            <v>9689999</v>
          </cell>
          <cell r="B814">
            <v>247637</v>
          </cell>
          <cell r="C814" t="str">
            <v>A/P - LOCAL INCOME WITHHOLDING TAX - PA</v>
          </cell>
        </row>
        <row r="815">
          <cell r="A815">
            <v>9090999</v>
          </cell>
          <cell r="B815">
            <v>247900</v>
          </cell>
          <cell r="C815" t="str">
            <v>A/P FLEX SPEND ACCT-HLTH CARE</v>
          </cell>
        </row>
        <row r="816">
          <cell r="A816">
            <v>9100999</v>
          </cell>
          <cell r="B816">
            <v>247900</v>
          </cell>
          <cell r="C816" t="str">
            <v>A/P FLEX SPEND ACCT-HLTH CARE</v>
          </cell>
        </row>
        <row r="817">
          <cell r="A817">
            <v>9080999</v>
          </cell>
          <cell r="B817">
            <v>247948</v>
          </cell>
          <cell r="C817" t="str">
            <v>SAFEWAY FOUNDATION</v>
          </cell>
        </row>
        <row r="818">
          <cell r="A818">
            <v>9110999</v>
          </cell>
          <cell r="B818">
            <v>247948</v>
          </cell>
          <cell r="C818" t="str">
            <v>SAFEWAY FOUNDATION</v>
          </cell>
        </row>
        <row r="819">
          <cell r="A819">
            <v>9689999</v>
          </cell>
          <cell r="B819">
            <v>247948</v>
          </cell>
          <cell r="C819" t="str">
            <v>SAFEWAY FOUNDATION</v>
          </cell>
        </row>
        <row r="820">
          <cell r="A820">
            <v>9080999</v>
          </cell>
          <cell r="B820">
            <v>247950</v>
          </cell>
          <cell r="C820" t="str">
            <v>A/P WITHHOLDING TAX-FED PS</v>
          </cell>
        </row>
        <row r="821">
          <cell r="A821">
            <v>9110999</v>
          </cell>
          <cell r="B821">
            <v>247950</v>
          </cell>
          <cell r="C821" t="str">
            <v>A/P WITHHOLDING TAX-FED PS</v>
          </cell>
        </row>
        <row r="822">
          <cell r="A822">
            <v>9689999</v>
          </cell>
          <cell r="B822">
            <v>247950</v>
          </cell>
          <cell r="C822" t="str">
            <v>A/P WITHHOLDING TAX-FED PS</v>
          </cell>
        </row>
        <row r="823">
          <cell r="A823">
            <v>9080999</v>
          </cell>
          <cell r="B823">
            <v>247955</v>
          </cell>
          <cell r="C823" t="str">
            <v>ACCTS PAY-STOCK PURCHASE PL-PS</v>
          </cell>
        </row>
        <row r="824">
          <cell r="A824">
            <v>9110999</v>
          </cell>
          <cell r="B824">
            <v>247955</v>
          </cell>
          <cell r="C824" t="str">
            <v>ACCTS PAY-STOCK PURCHASE PL-PS</v>
          </cell>
        </row>
        <row r="825">
          <cell r="A825">
            <v>9689999</v>
          </cell>
          <cell r="B825">
            <v>247955</v>
          </cell>
          <cell r="C825" t="str">
            <v>ACCTS PAY-STOCK PURCHASE PL-PS</v>
          </cell>
        </row>
        <row r="826">
          <cell r="A826">
            <v>9080701</v>
          </cell>
          <cell r="B826">
            <v>247959</v>
          </cell>
          <cell r="C826" t="str">
            <v>A/P LONG TERM DISABIL - EMP-PS</v>
          </cell>
        </row>
        <row r="827">
          <cell r="A827">
            <v>9080702</v>
          </cell>
          <cell r="B827">
            <v>247959</v>
          </cell>
          <cell r="C827" t="str">
            <v>A/P LONG TERM DISABIL - EMP-PS</v>
          </cell>
        </row>
        <row r="828">
          <cell r="A828">
            <v>9080705</v>
          </cell>
          <cell r="B828">
            <v>247959</v>
          </cell>
          <cell r="C828" t="str">
            <v>A/P LONG TERM DISABIL - EMP-PS</v>
          </cell>
        </row>
        <row r="829">
          <cell r="A829">
            <v>9080707</v>
          </cell>
          <cell r="B829">
            <v>247959</v>
          </cell>
          <cell r="C829" t="str">
            <v>A/P LONG TERM DISABIL - EMP-PS</v>
          </cell>
        </row>
        <row r="830">
          <cell r="A830">
            <v>9080710</v>
          </cell>
          <cell r="B830">
            <v>247959</v>
          </cell>
          <cell r="C830" t="str">
            <v>A/P LONG TERM DISABIL - EMP-PS</v>
          </cell>
        </row>
        <row r="831">
          <cell r="A831">
            <v>9080712</v>
          </cell>
          <cell r="B831">
            <v>247959</v>
          </cell>
          <cell r="C831" t="str">
            <v>A/P LONG TERM DISABIL - EMP-PS</v>
          </cell>
        </row>
        <row r="832">
          <cell r="A832">
            <v>9080999</v>
          </cell>
          <cell r="B832">
            <v>247959</v>
          </cell>
          <cell r="C832" t="str">
            <v>A/P LONG TERM DISABIL - EMP-PS</v>
          </cell>
        </row>
        <row r="833">
          <cell r="A833">
            <v>9110702</v>
          </cell>
          <cell r="B833">
            <v>247959</v>
          </cell>
          <cell r="C833" t="str">
            <v>A/P LONG TERM DISABIL - EMP-PS</v>
          </cell>
        </row>
        <row r="834">
          <cell r="A834">
            <v>9110705</v>
          </cell>
          <cell r="B834">
            <v>247959</v>
          </cell>
          <cell r="C834" t="str">
            <v>A/P LONG TERM DISABIL - EMP-PS</v>
          </cell>
        </row>
        <row r="835">
          <cell r="A835">
            <v>9110707</v>
          </cell>
          <cell r="B835">
            <v>247959</v>
          </cell>
          <cell r="C835" t="str">
            <v>A/P LONG TERM DISABIL - EMP-PS</v>
          </cell>
        </row>
        <row r="836">
          <cell r="A836">
            <v>9110712</v>
          </cell>
          <cell r="B836">
            <v>247959</v>
          </cell>
          <cell r="C836" t="str">
            <v>A/P LONG TERM DISABIL - EMP-PS</v>
          </cell>
        </row>
        <row r="837">
          <cell r="A837">
            <v>9110999</v>
          </cell>
          <cell r="B837">
            <v>247959</v>
          </cell>
          <cell r="C837" t="str">
            <v>A/P LONG TERM DISABIL - EMP-PS</v>
          </cell>
        </row>
        <row r="838">
          <cell r="A838">
            <v>9689999</v>
          </cell>
          <cell r="B838">
            <v>247959</v>
          </cell>
          <cell r="C838" t="str">
            <v>A/P LONG TERM DISABIL - EMP-PS</v>
          </cell>
        </row>
        <row r="839">
          <cell r="A839">
            <v>9080701</v>
          </cell>
          <cell r="B839">
            <v>247960</v>
          </cell>
          <cell r="C839" t="str">
            <v>A/P SUPLEMENT LIF INS-EM PD-PS</v>
          </cell>
        </row>
        <row r="840">
          <cell r="A840">
            <v>9080702</v>
          </cell>
          <cell r="B840">
            <v>247960</v>
          </cell>
          <cell r="C840" t="str">
            <v>A/P SUPLEMENT LIF INS-EM PD-PS</v>
          </cell>
        </row>
        <row r="841">
          <cell r="A841">
            <v>9080705</v>
          </cell>
          <cell r="B841">
            <v>247960</v>
          </cell>
          <cell r="C841" t="str">
            <v>A/P SUPLEMENT LIF INS-EM PD-PS</v>
          </cell>
        </row>
        <row r="842">
          <cell r="A842">
            <v>9080707</v>
          </cell>
          <cell r="B842">
            <v>247960</v>
          </cell>
          <cell r="C842" t="str">
            <v>A/P SUPLEMENT LIF INS-EM PD-PS</v>
          </cell>
        </row>
        <row r="843">
          <cell r="A843">
            <v>9080710</v>
          </cell>
          <cell r="B843">
            <v>247960</v>
          </cell>
          <cell r="C843" t="str">
            <v>A/P SUPLEMENT LIF INS-EM PD-PS</v>
          </cell>
        </row>
        <row r="844">
          <cell r="A844">
            <v>9080712</v>
          </cell>
          <cell r="B844">
            <v>247960</v>
          </cell>
          <cell r="C844" t="str">
            <v>A/P SUPLEMENT LIF INS-EM PD-PS</v>
          </cell>
        </row>
        <row r="845">
          <cell r="A845">
            <v>9080999</v>
          </cell>
          <cell r="B845">
            <v>247960</v>
          </cell>
          <cell r="C845" t="str">
            <v>A/P SUPLEMENT LIF INS-EM PD-PS</v>
          </cell>
        </row>
        <row r="846">
          <cell r="A846">
            <v>9110702</v>
          </cell>
          <cell r="B846">
            <v>247960</v>
          </cell>
          <cell r="C846" t="str">
            <v>A/P SUPLEMENT LIF INS-EM PD-PS</v>
          </cell>
        </row>
        <row r="847">
          <cell r="A847">
            <v>9110705</v>
          </cell>
          <cell r="B847">
            <v>247960</v>
          </cell>
          <cell r="C847" t="str">
            <v>A/P SUPLEMENT LIF INS-EM PD-PS</v>
          </cell>
        </row>
        <row r="848">
          <cell r="A848">
            <v>9110707</v>
          </cell>
          <cell r="B848">
            <v>247960</v>
          </cell>
          <cell r="C848" t="str">
            <v>A/P SUPLEMENT LIF INS-EM PD-PS</v>
          </cell>
        </row>
        <row r="849">
          <cell r="A849">
            <v>9110712</v>
          </cell>
          <cell r="B849">
            <v>247960</v>
          </cell>
          <cell r="C849" t="str">
            <v>A/P SUPLEMENT LIF INS-EM PD-PS</v>
          </cell>
        </row>
        <row r="850">
          <cell r="A850">
            <v>9110999</v>
          </cell>
          <cell r="B850">
            <v>247960</v>
          </cell>
          <cell r="C850" t="str">
            <v>A/P SUPLEMENT LIF INS-EM PD-PS</v>
          </cell>
        </row>
        <row r="851">
          <cell r="A851">
            <v>9689999</v>
          </cell>
          <cell r="B851">
            <v>247960</v>
          </cell>
          <cell r="C851" t="str">
            <v>A/P SUPLEMENT LIF INS-EM PD-PS</v>
          </cell>
        </row>
        <row r="852">
          <cell r="A852">
            <v>9080701</v>
          </cell>
          <cell r="B852">
            <v>247961</v>
          </cell>
          <cell r="C852" t="str">
            <v>A PAY-SAFEWAY EMPLOYEES AS-PS</v>
          </cell>
        </row>
        <row r="853">
          <cell r="A853">
            <v>9080702</v>
          </cell>
          <cell r="B853">
            <v>247961</v>
          </cell>
          <cell r="C853" t="str">
            <v>A PAY-SAFEWAY EMPLOYEES AS-PS</v>
          </cell>
        </row>
        <row r="854">
          <cell r="A854">
            <v>9080705</v>
          </cell>
          <cell r="B854">
            <v>247961</v>
          </cell>
          <cell r="C854" t="str">
            <v>A PAY-SAFEWAY EMPLOYEES AS-PS</v>
          </cell>
        </row>
        <row r="855">
          <cell r="A855">
            <v>9080707</v>
          </cell>
          <cell r="B855">
            <v>247961</v>
          </cell>
          <cell r="C855" t="str">
            <v>A PAY-SAFEWAY EMPLOYEES AS-PS</v>
          </cell>
        </row>
        <row r="856">
          <cell r="A856">
            <v>9080710</v>
          </cell>
          <cell r="B856">
            <v>247961</v>
          </cell>
          <cell r="C856" t="str">
            <v>A PAY-SAFEWAY EMPLOYEES AS-PS</v>
          </cell>
        </row>
        <row r="857">
          <cell r="A857">
            <v>9080712</v>
          </cell>
          <cell r="B857">
            <v>247961</v>
          </cell>
          <cell r="C857" t="str">
            <v>A PAY-SAFEWAY EMPLOYEES AS-PS</v>
          </cell>
        </row>
        <row r="858">
          <cell r="A858">
            <v>9080999</v>
          </cell>
          <cell r="B858">
            <v>247961</v>
          </cell>
          <cell r="C858" t="str">
            <v>A PAY-SAFEWAY EMPLOYEES AS-PS</v>
          </cell>
        </row>
        <row r="859">
          <cell r="A859">
            <v>9110702</v>
          </cell>
          <cell r="B859">
            <v>247961</v>
          </cell>
          <cell r="C859" t="str">
            <v>A PAY-SAFEWAY EMPLOYEES AS-PS</v>
          </cell>
        </row>
        <row r="860">
          <cell r="A860">
            <v>9110705</v>
          </cell>
          <cell r="B860">
            <v>247961</v>
          </cell>
          <cell r="C860" t="str">
            <v>A PAY-SAFEWAY EMPLOYEES AS-PS</v>
          </cell>
        </row>
        <row r="861">
          <cell r="A861">
            <v>9110707</v>
          </cell>
          <cell r="B861">
            <v>247961</v>
          </cell>
          <cell r="C861" t="str">
            <v>A PAY-SAFEWAY EMPLOYEES AS-PS</v>
          </cell>
        </row>
        <row r="862">
          <cell r="A862">
            <v>9110712</v>
          </cell>
          <cell r="B862">
            <v>247961</v>
          </cell>
          <cell r="C862" t="str">
            <v>A PAY-SAFEWAY EMPLOYEES AS-PS</v>
          </cell>
        </row>
        <row r="863">
          <cell r="A863">
            <v>9110999</v>
          </cell>
          <cell r="B863">
            <v>247961</v>
          </cell>
          <cell r="C863" t="str">
            <v>A PAY-SAFEWAY EMPLOYEES AS-PS</v>
          </cell>
        </row>
        <row r="864">
          <cell r="A864">
            <v>9689999</v>
          </cell>
          <cell r="B864">
            <v>247961</v>
          </cell>
          <cell r="C864" t="str">
            <v>A PAY-SAFEWAY EMPLOYEES AS-PS</v>
          </cell>
        </row>
        <row r="865">
          <cell r="A865">
            <v>9080999</v>
          </cell>
          <cell r="B865">
            <v>247963</v>
          </cell>
          <cell r="C865" t="str">
            <v>A/PAY-SAFEPAC EMPLOYEE PAY-PS</v>
          </cell>
        </row>
        <row r="866">
          <cell r="A866">
            <v>9110999</v>
          </cell>
          <cell r="B866">
            <v>247963</v>
          </cell>
          <cell r="C866" t="str">
            <v>A/PAY-SAFEPAC EMPLOYEE PAY-PS</v>
          </cell>
        </row>
        <row r="867">
          <cell r="A867">
            <v>9689999</v>
          </cell>
          <cell r="B867">
            <v>247963</v>
          </cell>
          <cell r="C867" t="str">
            <v>A/PAY-SAFEPAC EMPLOYEE PAY-PS</v>
          </cell>
        </row>
        <row r="868">
          <cell r="A868">
            <v>9080999</v>
          </cell>
          <cell r="B868">
            <v>247971</v>
          </cell>
          <cell r="C868" t="str">
            <v>EXECUTIVE DEFERRED COMPENSATIO</v>
          </cell>
        </row>
        <row r="869">
          <cell r="A869">
            <v>9110999</v>
          </cell>
          <cell r="B869">
            <v>247971</v>
          </cell>
          <cell r="C869" t="str">
            <v>EXECUTIVE DEFERRED COMPENSATIO</v>
          </cell>
        </row>
        <row r="870">
          <cell r="A870">
            <v>9689999</v>
          </cell>
          <cell r="B870">
            <v>247971</v>
          </cell>
          <cell r="C870" t="str">
            <v>EXECUTIVE DEFERRED COMPENSATIO</v>
          </cell>
        </row>
        <row r="871">
          <cell r="A871">
            <v>9080999</v>
          </cell>
          <cell r="B871">
            <v>247975</v>
          </cell>
          <cell r="C871" t="str">
            <v>ACCTS PAY-FEDERAL INSURANCE-PS</v>
          </cell>
        </row>
        <row r="872">
          <cell r="A872">
            <v>9110999</v>
          </cell>
          <cell r="B872">
            <v>247975</v>
          </cell>
          <cell r="C872" t="str">
            <v>ACCTS PAY-FEDERAL INSURANCE-PS</v>
          </cell>
        </row>
        <row r="873">
          <cell r="A873">
            <v>9689999</v>
          </cell>
          <cell r="B873">
            <v>247975</v>
          </cell>
          <cell r="C873" t="str">
            <v>ACCTS PAY-FEDERAL INSURANCE-PS</v>
          </cell>
        </row>
        <row r="874">
          <cell r="A874">
            <v>9080999</v>
          </cell>
          <cell r="B874">
            <v>247976</v>
          </cell>
          <cell r="C874" t="str">
            <v>A/P MEDICARE - EMPLOYEE-PS</v>
          </cell>
        </row>
        <row r="875">
          <cell r="A875">
            <v>9110999</v>
          </cell>
          <cell r="B875">
            <v>247976</v>
          </cell>
          <cell r="C875" t="str">
            <v>A/P MEDICARE - EMPLOYEE-PS</v>
          </cell>
        </row>
        <row r="876">
          <cell r="A876">
            <v>9689999</v>
          </cell>
          <cell r="B876">
            <v>247976</v>
          </cell>
          <cell r="C876" t="str">
            <v>A/P MEDICARE - EMPLOYEE-PS</v>
          </cell>
        </row>
        <row r="877">
          <cell r="A877">
            <v>9080999</v>
          </cell>
          <cell r="B877">
            <v>247977</v>
          </cell>
          <cell r="C877" t="str">
            <v>A/P FLEX SPEND AC-HLTH CARE-PS</v>
          </cell>
        </row>
        <row r="878">
          <cell r="A878">
            <v>9110999</v>
          </cell>
          <cell r="B878">
            <v>247977</v>
          </cell>
          <cell r="C878" t="str">
            <v>A/P FLEX SPEND AC-HLTH CARE-PS</v>
          </cell>
        </row>
        <row r="879">
          <cell r="A879">
            <v>9689999</v>
          </cell>
          <cell r="B879">
            <v>247977</v>
          </cell>
          <cell r="C879" t="str">
            <v>A/P FLEX SPEND AC-HLTH CARE-PS</v>
          </cell>
        </row>
        <row r="880">
          <cell r="A880">
            <v>9080999</v>
          </cell>
          <cell r="B880">
            <v>247978</v>
          </cell>
          <cell r="C880" t="str">
            <v>A/P FLEX SPEND -DEPNT CARE-PS</v>
          </cell>
        </row>
        <row r="881">
          <cell r="A881">
            <v>9110999</v>
          </cell>
          <cell r="B881">
            <v>247978</v>
          </cell>
          <cell r="C881" t="str">
            <v>A/P FLEX SPEND -DEPNT CARE-PS</v>
          </cell>
        </row>
        <row r="882">
          <cell r="A882">
            <v>9689999</v>
          </cell>
          <cell r="B882">
            <v>247978</v>
          </cell>
          <cell r="C882" t="str">
            <v>A/P FLEX SPEND -DEPNT CARE-PS</v>
          </cell>
        </row>
        <row r="883">
          <cell r="A883">
            <v>9080999</v>
          </cell>
          <cell r="B883">
            <v>247980</v>
          </cell>
          <cell r="C883" t="str">
            <v>A/P SAVINGS PLUS - PR</v>
          </cell>
        </row>
        <row r="884">
          <cell r="A884">
            <v>9110999</v>
          </cell>
          <cell r="B884">
            <v>247980</v>
          </cell>
          <cell r="C884" t="str">
            <v>A/P SAVINGS PLUS - PR</v>
          </cell>
        </row>
        <row r="885">
          <cell r="A885">
            <v>9689999</v>
          </cell>
          <cell r="B885">
            <v>247980</v>
          </cell>
          <cell r="C885" t="str">
            <v>A/P SAVINGS PLUS - PR</v>
          </cell>
        </row>
        <row r="886">
          <cell r="A886">
            <v>9080999</v>
          </cell>
          <cell r="B886">
            <v>247981</v>
          </cell>
          <cell r="C886" t="str">
            <v>A/P 401K LOAN DEDUCTIONS - 2</v>
          </cell>
        </row>
        <row r="887">
          <cell r="A887">
            <v>9110999</v>
          </cell>
          <cell r="B887">
            <v>247981</v>
          </cell>
          <cell r="C887" t="str">
            <v>A/P 401K LOAN DEDUCTIONS - 2</v>
          </cell>
        </row>
        <row r="888">
          <cell r="A888">
            <v>9689999</v>
          </cell>
          <cell r="B888">
            <v>247981</v>
          </cell>
          <cell r="C888" t="str">
            <v>A/P 401K LOAN DEDUCTIONS - 2</v>
          </cell>
        </row>
        <row r="889">
          <cell r="A889">
            <v>9080999</v>
          </cell>
          <cell r="B889">
            <v>247982</v>
          </cell>
          <cell r="C889" t="str">
            <v>A/P WITHHOLDING TAX - CA</v>
          </cell>
        </row>
        <row r="890">
          <cell r="A890">
            <v>9110999</v>
          </cell>
          <cell r="B890">
            <v>247982</v>
          </cell>
          <cell r="C890" t="str">
            <v>A/P WITHHOLDING TAX - CA</v>
          </cell>
        </row>
        <row r="891">
          <cell r="A891">
            <v>9689999</v>
          </cell>
          <cell r="B891">
            <v>247982</v>
          </cell>
          <cell r="C891" t="str">
            <v>A/P WITHHOLDING TAX - CA</v>
          </cell>
        </row>
        <row r="892">
          <cell r="A892">
            <v>9080999</v>
          </cell>
          <cell r="B892">
            <v>247983</v>
          </cell>
          <cell r="C892" t="str">
            <v>ACCTS PAY-GARNISHMENTS &amp; LIENS - PR</v>
          </cell>
        </row>
        <row r="893">
          <cell r="A893">
            <v>9110999</v>
          </cell>
          <cell r="B893">
            <v>247983</v>
          </cell>
          <cell r="C893" t="str">
            <v>ACCTS PAY-GARNISHMENTS &amp; LIENS - PR</v>
          </cell>
        </row>
        <row r="894">
          <cell r="A894">
            <v>9689999</v>
          </cell>
          <cell r="B894">
            <v>247983</v>
          </cell>
          <cell r="C894" t="str">
            <v>ACCTS PAY-GARNISHMENTS &amp; LIENS - PR</v>
          </cell>
        </row>
        <row r="895">
          <cell r="A895">
            <v>9722709</v>
          </cell>
          <cell r="B895">
            <v>247998</v>
          </cell>
          <cell r="C895" t="str">
            <v>GENUARDIS ACCRUED 1% TAX</v>
          </cell>
        </row>
        <row r="896">
          <cell r="A896">
            <v>9722713</v>
          </cell>
          <cell r="B896">
            <v>247998</v>
          </cell>
          <cell r="C896" t="str">
            <v>GENUARDIS ACCRUED 1% TAX</v>
          </cell>
        </row>
        <row r="897">
          <cell r="A897">
            <v>9080999</v>
          </cell>
          <cell r="B897">
            <v>248001</v>
          </cell>
          <cell r="C897" t="str">
            <v>DIV EQUITY - GIFT CERTIFICATES</v>
          </cell>
        </row>
        <row r="898">
          <cell r="A898">
            <v>9110999</v>
          </cell>
          <cell r="B898">
            <v>248001</v>
          </cell>
          <cell r="C898" t="str">
            <v>DIV EQUITY - GIFT CERTIFICATES</v>
          </cell>
        </row>
        <row r="899">
          <cell r="A899">
            <v>9689999</v>
          </cell>
          <cell r="B899">
            <v>248001</v>
          </cell>
          <cell r="C899" t="str">
            <v>DIV EQUITY - GIFT CERTIFICATES</v>
          </cell>
        </row>
        <row r="900">
          <cell r="A900">
            <v>9080700</v>
          </cell>
          <cell r="B900">
            <v>248016</v>
          </cell>
          <cell r="C900" t="str">
            <v>GIFT CARD - O/S CUSTOMERS</v>
          </cell>
        </row>
        <row r="901">
          <cell r="A901">
            <v>9080701</v>
          </cell>
          <cell r="B901">
            <v>248016</v>
          </cell>
          <cell r="C901" t="str">
            <v>GIFT CARD - O/S CUSTOMERS</v>
          </cell>
        </row>
        <row r="902">
          <cell r="A902">
            <v>9080702</v>
          </cell>
          <cell r="B902">
            <v>248016</v>
          </cell>
          <cell r="C902" t="str">
            <v>GIFT CARD - O/S CUSTOMERS</v>
          </cell>
        </row>
        <row r="903">
          <cell r="A903">
            <v>9080705</v>
          </cell>
          <cell r="B903">
            <v>248016</v>
          </cell>
          <cell r="C903" t="str">
            <v>GIFT CARD - O/S CUSTOMERS</v>
          </cell>
        </row>
        <row r="904">
          <cell r="A904">
            <v>9080707</v>
          </cell>
          <cell r="B904">
            <v>248016</v>
          </cell>
          <cell r="C904" t="str">
            <v>GIFT CARD - O/S CUSTOMERS</v>
          </cell>
        </row>
        <row r="905">
          <cell r="A905">
            <v>9080710</v>
          </cell>
          <cell r="B905">
            <v>248016</v>
          </cell>
          <cell r="C905" t="str">
            <v>GIFT CARD - O/S CUSTOMERS</v>
          </cell>
        </row>
        <row r="906">
          <cell r="A906">
            <v>9110700</v>
          </cell>
          <cell r="B906">
            <v>248016</v>
          </cell>
          <cell r="C906" t="str">
            <v>GIFT CARD - O/S CUSTOMERS</v>
          </cell>
        </row>
        <row r="907">
          <cell r="A907">
            <v>9110702</v>
          </cell>
          <cell r="B907">
            <v>248016</v>
          </cell>
          <cell r="C907" t="str">
            <v>GIFT CARD - O/S CUSTOMERS</v>
          </cell>
        </row>
        <row r="908">
          <cell r="A908">
            <v>9110705</v>
          </cell>
          <cell r="B908">
            <v>248016</v>
          </cell>
          <cell r="C908" t="str">
            <v>GIFT CARD - O/S CUSTOMERS</v>
          </cell>
        </row>
        <row r="909">
          <cell r="A909">
            <v>9110707</v>
          </cell>
          <cell r="B909">
            <v>248016</v>
          </cell>
          <cell r="C909" t="str">
            <v>GIFT CARD - O/S CUSTOMERS</v>
          </cell>
        </row>
        <row r="910">
          <cell r="A910">
            <v>9681700</v>
          </cell>
          <cell r="B910">
            <v>248016</v>
          </cell>
          <cell r="C910" t="str">
            <v>GIFT CARD - O/S CUSTOMERS</v>
          </cell>
        </row>
        <row r="911">
          <cell r="A911">
            <v>9681701</v>
          </cell>
          <cell r="B911">
            <v>248016</v>
          </cell>
          <cell r="C911" t="str">
            <v>GIFT CARD - O/S CUSTOMERS</v>
          </cell>
        </row>
        <row r="912">
          <cell r="A912">
            <v>9681702</v>
          </cell>
          <cell r="B912">
            <v>248016</v>
          </cell>
          <cell r="C912" t="str">
            <v>GIFT CARD - O/S CUSTOMERS</v>
          </cell>
        </row>
        <row r="913">
          <cell r="A913">
            <v>9681705</v>
          </cell>
          <cell r="B913">
            <v>248016</v>
          </cell>
          <cell r="C913" t="str">
            <v>GIFT CARD - O/S CUSTOMERS</v>
          </cell>
        </row>
        <row r="914">
          <cell r="A914">
            <v>9681706</v>
          </cell>
          <cell r="B914">
            <v>248016</v>
          </cell>
          <cell r="C914" t="str">
            <v>GIFT CARD - O/S CUSTOMERS</v>
          </cell>
        </row>
        <row r="915">
          <cell r="A915">
            <v>9681707</v>
          </cell>
          <cell r="B915">
            <v>248016</v>
          </cell>
          <cell r="C915" t="str">
            <v>GIFT CARD - O/S CUSTOMERS</v>
          </cell>
        </row>
        <row r="916">
          <cell r="A916">
            <v>9681712</v>
          </cell>
          <cell r="B916">
            <v>248016</v>
          </cell>
          <cell r="C916" t="str">
            <v>GIFT CARD - O/S CUSTOMERS</v>
          </cell>
        </row>
        <row r="917">
          <cell r="A917">
            <v>9681727</v>
          </cell>
          <cell r="B917">
            <v>248016</v>
          </cell>
          <cell r="C917" t="str">
            <v>GIFT CARD - O/S CUSTOMERS</v>
          </cell>
        </row>
        <row r="918">
          <cell r="A918">
            <v>9681749</v>
          </cell>
          <cell r="B918">
            <v>248016</v>
          </cell>
          <cell r="C918" t="str">
            <v>GIFT CARD - O/S CUSTOMERS</v>
          </cell>
        </row>
        <row r="919">
          <cell r="A919">
            <v>9681999</v>
          </cell>
          <cell r="B919">
            <v>248016</v>
          </cell>
          <cell r="C919" t="str">
            <v>GIFT CARD - O/S CUSTOMERS</v>
          </cell>
        </row>
        <row r="920">
          <cell r="A920">
            <v>9682715</v>
          </cell>
          <cell r="B920">
            <v>248016</v>
          </cell>
          <cell r="C920" t="str">
            <v>GIFT CARD - O/S CUSTOMERS</v>
          </cell>
        </row>
        <row r="921">
          <cell r="A921">
            <v>9682722</v>
          </cell>
          <cell r="B921">
            <v>248016</v>
          </cell>
          <cell r="C921" t="str">
            <v>GIFT CARD - O/S CUSTOMERS</v>
          </cell>
        </row>
        <row r="922">
          <cell r="A922">
            <v>9682999</v>
          </cell>
          <cell r="B922">
            <v>248016</v>
          </cell>
          <cell r="C922" t="str">
            <v>GIFT CARD - O/S CUSTOMERS</v>
          </cell>
        </row>
        <row r="923">
          <cell r="A923">
            <v>9689883</v>
          </cell>
          <cell r="B923">
            <v>248090</v>
          </cell>
          <cell r="C923" t="str">
            <v>A/P CASH RECEIPTS CLEARING</v>
          </cell>
        </row>
        <row r="924">
          <cell r="A924">
            <v>9689906</v>
          </cell>
          <cell r="B924">
            <v>248090</v>
          </cell>
          <cell r="C924" t="str">
            <v>A/P CASH RECEIPTS CLEARING</v>
          </cell>
        </row>
        <row r="925">
          <cell r="A925">
            <v>9689992</v>
          </cell>
          <cell r="B925">
            <v>248090</v>
          </cell>
          <cell r="C925" t="str">
            <v>A/P CASH RECEIPTS CLEARING</v>
          </cell>
        </row>
        <row r="926">
          <cell r="A926">
            <v>9090999</v>
          </cell>
          <cell r="B926">
            <v>248091</v>
          </cell>
          <cell r="C926" t="str">
            <v>A/P REAL ESTATE CLEARING</v>
          </cell>
        </row>
        <row r="927">
          <cell r="A927">
            <v>9100999</v>
          </cell>
          <cell r="B927">
            <v>248091</v>
          </cell>
          <cell r="C927" t="str">
            <v>A/P REAL ESTATE CLEARING</v>
          </cell>
        </row>
        <row r="928">
          <cell r="A928">
            <v>9680999</v>
          </cell>
          <cell r="B928">
            <v>248091</v>
          </cell>
          <cell r="C928" t="str">
            <v>A/P REAL ESTATE CLEARING</v>
          </cell>
        </row>
        <row r="929">
          <cell r="A929">
            <v>9684999</v>
          </cell>
          <cell r="B929">
            <v>248091</v>
          </cell>
          <cell r="C929" t="str">
            <v>A/P REAL ESTATE CLEARING</v>
          </cell>
        </row>
        <row r="930">
          <cell r="A930">
            <v>9689883</v>
          </cell>
          <cell r="B930">
            <v>248091</v>
          </cell>
          <cell r="C930" t="str">
            <v>A/P REAL ESTATE CLEARING</v>
          </cell>
        </row>
        <row r="931">
          <cell r="A931">
            <v>9689906</v>
          </cell>
          <cell r="B931">
            <v>248091</v>
          </cell>
          <cell r="C931" t="str">
            <v>A/P REAL ESTATE CLEARING</v>
          </cell>
        </row>
        <row r="932">
          <cell r="A932">
            <v>9689990</v>
          </cell>
          <cell r="B932">
            <v>248091</v>
          </cell>
          <cell r="C932" t="str">
            <v>A/P REAL ESTATE CLEARING</v>
          </cell>
        </row>
        <row r="933">
          <cell r="A933">
            <v>9689992</v>
          </cell>
          <cell r="B933">
            <v>248091</v>
          </cell>
          <cell r="C933" t="str">
            <v>A/P REAL ESTATE CLEARING</v>
          </cell>
        </row>
        <row r="934">
          <cell r="A934">
            <v>9080700</v>
          </cell>
          <cell r="B934">
            <v>248093</v>
          </cell>
          <cell r="C934" t="str">
            <v>ACCTS PAY-UNAPPLIED SALES PROC</v>
          </cell>
        </row>
        <row r="935">
          <cell r="A935">
            <v>9080701</v>
          </cell>
          <cell r="B935">
            <v>248093</v>
          </cell>
          <cell r="C935" t="str">
            <v>ACCTS PAY-UNAPPLIED SALES PROC</v>
          </cell>
        </row>
        <row r="936">
          <cell r="A936">
            <v>9080702</v>
          </cell>
          <cell r="B936">
            <v>248093</v>
          </cell>
          <cell r="C936" t="str">
            <v>ACCTS PAY-UNAPPLIED SALES PROC</v>
          </cell>
        </row>
        <row r="937">
          <cell r="A937">
            <v>9080705</v>
          </cell>
          <cell r="B937">
            <v>248093</v>
          </cell>
          <cell r="C937" t="str">
            <v>ACCTS PAY-UNAPPLIED SALES PROC</v>
          </cell>
        </row>
        <row r="938">
          <cell r="A938">
            <v>9080707</v>
          </cell>
          <cell r="B938">
            <v>248093</v>
          </cell>
          <cell r="C938" t="str">
            <v>ACCTS PAY-UNAPPLIED SALES PROC</v>
          </cell>
        </row>
        <row r="939">
          <cell r="A939">
            <v>9080710</v>
          </cell>
          <cell r="B939">
            <v>248093</v>
          </cell>
          <cell r="C939" t="str">
            <v>ACCTS PAY-UNAPPLIED SALES PROC</v>
          </cell>
        </row>
        <row r="940">
          <cell r="A940">
            <v>9080999</v>
          </cell>
          <cell r="B940">
            <v>248093</v>
          </cell>
          <cell r="C940" t="str">
            <v>ACCTS PAY-UNAPPLIED SALES PROC</v>
          </cell>
        </row>
        <row r="941">
          <cell r="A941">
            <v>9090999</v>
          </cell>
          <cell r="B941">
            <v>248093</v>
          </cell>
          <cell r="C941" t="str">
            <v>ACCTS PAY-UNAPPLIED SALES PROC</v>
          </cell>
        </row>
        <row r="942">
          <cell r="A942">
            <v>9100999</v>
          </cell>
          <cell r="B942">
            <v>248093</v>
          </cell>
          <cell r="C942" t="str">
            <v>ACCTS PAY-UNAPPLIED SALES PROC</v>
          </cell>
        </row>
        <row r="943">
          <cell r="A943">
            <v>9110700</v>
          </cell>
          <cell r="B943">
            <v>248093</v>
          </cell>
          <cell r="C943" t="str">
            <v>ACCTS PAY-UNAPPLIED SALES PROC</v>
          </cell>
        </row>
        <row r="944">
          <cell r="A944">
            <v>9110702</v>
          </cell>
          <cell r="B944">
            <v>248093</v>
          </cell>
          <cell r="C944" t="str">
            <v>ACCTS PAY-UNAPPLIED SALES PROC</v>
          </cell>
        </row>
        <row r="945">
          <cell r="A945">
            <v>9110705</v>
          </cell>
          <cell r="B945">
            <v>248093</v>
          </cell>
          <cell r="C945" t="str">
            <v>ACCTS PAY-UNAPPLIED SALES PROC</v>
          </cell>
        </row>
        <row r="946">
          <cell r="A946">
            <v>9110707</v>
          </cell>
          <cell r="B946">
            <v>248093</v>
          </cell>
          <cell r="C946" t="str">
            <v>ACCTS PAY-UNAPPLIED SALES PROC</v>
          </cell>
        </row>
        <row r="947">
          <cell r="A947">
            <v>9110999</v>
          </cell>
          <cell r="B947">
            <v>248093</v>
          </cell>
          <cell r="C947" t="str">
            <v>ACCTS PAY-UNAPPLIED SALES PROC</v>
          </cell>
        </row>
        <row r="948">
          <cell r="A948">
            <v>9680999</v>
          </cell>
          <cell r="B948">
            <v>248093</v>
          </cell>
          <cell r="C948" t="str">
            <v>ACCTS PAY-UNAPPLIED SALES PROC</v>
          </cell>
        </row>
        <row r="949">
          <cell r="A949">
            <v>9681700</v>
          </cell>
          <cell r="B949">
            <v>248093</v>
          </cell>
          <cell r="C949" t="str">
            <v>ACCTS PAY-UNAPPLIED SALES PROC</v>
          </cell>
        </row>
        <row r="950">
          <cell r="A950">
            <v>9681701</v>
          </cell>
          <cell r="B950">
            <v>248093</v>
          </cell>
          <cell r="C950" t="str">
            <v>ACCTS PAY-UNAPPLIED SALES PROC</v>
          </cell>
        </row>
        <row r="951">
          <cell r="A951">
            <v>9681702</v>
          </cell>
          <cell r="B951">
            <v>248093</v>
          </cell>
          <cell r="C951" t="str">
            <v>ACCTS PAY-UNAPPLIED SALES PROC</v>
          </cell>
        </row>
        <row r="952">
          <cell r="A952">
            <v>9681705</v>
          </cell>
          <cell r="B952">
            <v>248093</v>
          </cell>
          <cell r="C952" t="str">
            <v>ACCTS PAY-UNAPPLIED SALES PROC</v>
          </cell>
        </row>
        <row r="953">
          <cell r="A953">
            <v>9681706</v>
          </cell>
          <cell r="B953">
            <v>248093</v>
          </cell>
          <cell r="C953" t="str">
            <v>ACCTS PAY-UNAPPLIED SALES PROC</v>
          </cell>
        </row>
        <row r="954">
          <cell r="A954">
            <v>9681707</v>
          </cell>
          <cell r="B954">
            <v>248093</v>
          </cell>
          <cell r="C954" t="str">
            <v>ACCTS PAY-UNAPPLIED SALES PROC</v>
          </cell>
        </row>
        <row r="955">
          <cell r="A955">
            <v>9681712</v>
          </cell>
          <cell r="B955">
            <v>248093</v>
          </cell>
          <cell r="C955" t="str">
            <v>ACCTS PAY-UNAPPLIED SALES PROC</v>
          </cell>
        </row>
        <row r="956">
          <cell r="A956">
            <v>9681714</v>
          </cell>
          <cell r="B956">
            <v>248093</v>
          </cell>
          <cell r="C956" t="str">
            <v>ACCTS PAY-UNAPPLIED SALES PROC</v>
          </cell>
        </row>
        <row r="957">
          <cell r="A957">
            <v>9681727</v>
          </cell>
          <cell r="B957">
            <v>248093</v>
          </cell>
          <cell r="C957" t="str">
            <v>ACCTS PAY-UNAPPLIED SALES PROC</v>
          </cell>
        </row>
        <row r="958">
          <cell r="A958">
            <v>9681749</v>
          </cell>
          <cell r="B958">
            <v>248093</v>
          </cell>
          <cell r="C958" t="str">
            <v>ACCTS PAY-UNAPPLIED SALES PROC</v>
          </cell>
        </row>
        <row r="959">
          <cell r="A959">
            <v>9681999</v>
          </cell>
          <cell r="B959">
            <v>248093</v>
          </cell>
          <cell r="C959" t="str">
            <v>ACCTS PAY-UNAPPLIED SALES PROC</v>
          </cell>
        </row>
        <row r="960">
          <cell r="A960">
            <v>9682715</v>
          </cell>
          <cell r="B960">
            <v>248093</v>
          </cell>
          <cell r="C960" t="str">
            <v>ACCTS PAY-UNAPPLIED SALES PROC</v>
          </cell>
        </row>
        <row r="961">
          <cell r="A961">
            <v>9682722</v>
          </cell>
          <cell r="B961">
            <v>248093</v>
          </cell>
          <cell r="C961" t="str">
            <v>ACCTS PAY-UNAPPLIED SALES PROC</v>
          </cell>
        </row>
        <row r="962">
          <cell r="A962">
            <v>9682999</v>
          </cell>
          <cell r="B962">
            <v>248093</v>
          </cell>
          <cell r="C962" t="str">
            <v>ACCTS PAY-UNAPPLIED SALES PROC</v>
          </cell>
        </row>
        <row r="963">
          <cell r="A963">
            <v>9689883</v>
          </cell>
          <cell r="B963">
            <v>248093</v>
          </cell>
          <cell r="C963" t="str">
            <v>ACCTS PAY-UNAPPLIED SALES PROC</v>
          </cell>
        </row>
        <row r="964">
          <cell r="A964">
            <v>9689906</v>
          </cell>
          <cell r="B964">
            <v>248093</v>
          </cell>
          <cell r="C964" t="str">
            <v>ACCTS PAY-UNAPPLIED SALES PROC</v>
          </cell>
        </row>
        <row r="965">
          <cell r="A965">
            <v>9689991</v>
          </cell>
          <cell r="B965">
            <v>248093</v>
          </cell>
          <cell r="C965" t="str">
            <v>ACCTS PAY-UNAPPLIED SALES PROC</v>
          </cell>
        </row>
        <row r="966">
          <cell r="A966">
            <v>9689992</v>
          </cell>
          <cell r="B966">
            <v>248093</v>
          </cell>
          <cell r="C966" t="str">
            <v>ACCTS PAY-UNAPPLIED SALES PROC</v>
          </cell>
        </row>
        <row r="967">
          <cell r="A967">
            <v>9689993</v>
          </cell>
          <cell r="B967">
            <v>248093</v>
          </cell>
          <cell r="C967" t="str">
            <v>ACCTS PAY-UNAPPLIED SALES PROC</v>
          </cell>
        </row>
        <row r="968">
          <cell r="A968">
            <v>9689994</v>
          </cell>
          <cell r="B968">
            <v>248093</v>
          </cell>
          <cell r="C968" t="str">
            <v>ACCTS PAY-UNAPPLIED SALES PROC</v>
          </cell>
        </row>
        <row r="969">
          <cell r="A969">
            <v>9720703</v>
          </cell>
          <cell r="B969">
            <v>248093</v>
          </cell>
          <cell r="C969" t="str">
            <v>ACCTS PAY-UNAPPLIED SALES PROC</v>
          </cell>
        </row>
        <row r="970">
          <cell r="A970">
            <v>9724718</v>
          </cell>
          <cell r="B970">
            <v>248093</v>
          </cell>
          <cell r="C970" t="str">
            <v>ACCTS PAY-UNAPPLIED SALES PROC</v>
          </cell>
        </row>
        <row r="971">
          <cell r="A971">
            <v>9724721</v>
          </cell>
          <cell r="B971">
            <v>248093</v>
          </cell>
          <cell r="C971" t="str">
            <v>ACCTS PAY-UNAPPLIED SALES PROC</v>
          </cell>
        </row>
        <row r="972">
          <cell r="A972">
            <v>9724724</v>
          </cell>
          <cell r="B972">
            <v>248093</v>
          </cell>
          <cell r="C972" t="str">
            <v>ACCTS PAY-UNAPPLIED SALES PROC</v>
          </cell>
        </row>
        <row r="973">
          <cell r="A973">
            <v>9725703</v>
          </cell>
          <cell r="B973">
            <v>248093</v>
          </cell>
          <cell r="C973" t="str">
            <v>ACCTS PAY-UNAPPLIED SALES PROC</v>
          </cell>
        </row>
        <row r="974">
          <cell r="A974">
            <v>9725704</v>
          </cell>
          <cell r="B974">
            <v>248093</v>
          </cell>
          <cell r="C974" t="str">
            <v>ACCTS PAY-UNAPPLIED SALES PROC</v>
          </cell>
        </row>
        <row r="975">
          <cell r="A975">
            <v>9725711</v>
          </cell>
          <cell r="B975">
            <v>248093</v>
          </cell>
          <cell r="C975" t="str">
            <v>ACCTS PAY-UNAPPLIED SALES PROC</v>
          </cell>
        </row>
        <row r="976">
          <cell r="A976">
            <v>9725717</v>
          </cell>
          <cell r="B976">
            <v>248093</v>
          </cell>
          <cell r="C976" t="str">
            <v>ACCTS PAY-UNAPPLIED SALES PROC</v>
          </cell>
        </row>
        <row r="977">
          <cell r="A977">
            <v>9725725</v>
          </cell>
          <cell r="B977">
            <v>248093</v>
          </cell>
          <cell r="C977" t="str">
            <v>ACCTS PAY-UNAPPLIED SALES PROC</v>
          </cell>
        </row>
        <row r="978">
          <cell r="A978">
            <v>9090999</v>
          </cell>
          <cell r="B978">
            <v>248170</v>
          </cell>
          <cell r="C978" t="str">
            <v>A/P-CONTRACTORS &amp; EQUIP VENDOR</v>
          </cell>
        </row>
        <row r="979">
          <cell r="A979">
            <v>9100999</v>
          </cell>
          <cell r="B979">
            <v>248170</v>
          </cell>
          <cell r="C979" t="str">
            <v>A/P-CONTRACTORS &amp; EQUIP VENDOR</v>
          </cell>
        </row>
        <row r="980">
          <cell r="A980">
            <v>9722709</v>
          </cell>
          <cell r="B980">
            <v>248170</v>
          </cell>
          <cell r="C980" t="str">
            <v>A/P-CONTRACTORS &amp; EQUIP VENDOR</v>
          </cell>
        </row>
        <row r="981">
          <cell r="A981">
            <v>9722713</v>
          </cell>
          <cell r="B981">
            <v>248170</v>
          </cell>
          <cell r="C981" t="str">
            <v>A/P-CONTRACTORS &amp; EQUIP VENDOR</v>
          </cell>
        </row>
        <row r="982">
          <cell r="A982">
            <v>9090999</v>
          </cell>
          <cell r="B982">
            <v>248210</v>
          </cell>
          <cell r="C982" t="str">
            <v>A/P - DEPOSITS - OUTSIDE SALE</v>
          </cell>
        </row>
        <row r="983">
          <cell r="A983">
            <v>9100999</v>
          </cell>
          <cell r="B983">
            <v>248210</v>
          </cell>
          <cell r="C983" t="str">
            <v>A/P - DEPOSITS - OUTSIDE SALE</v>
          </cell>
        </row>
        <row r="984">
          <cell r="A984">
            <v>8001054179</v>
          </cell>
          <cell r="B984">
            <v>248604</v>
          </cell>
          <cell r="C984" t="str">
            <v>A/P-PARTNER GIFT CARD SALES</v>
          </cell>
        </row>
        <row r="985">
          <cell r="A985">
            <v>8001059542</v>
          </cell>
          <cell r="B985">
            <v>248604</v>
          </cell>
          <cell r="C985" t="str">
            <v>A/P-PARTNER GIFT CARD SALES</v>
          </cell>
        </row>
        <row r="986">
          <cell r="A986">
            <v>8010512510</v>
          </cell>
          <cell r="B986">
            <v>248604</v>
          </cell>
          <cell r="C986" t="str">
            <v>A/P-PARTNER GIFT CARD SALES</v>
          </cell>
        </row>
        <row r="987">
          <cell r="A987">
            <v>9080999</v>
          </cell>
          <cell r="B987">
            <v>248604</v>
          </cell>
          <cell r="C987" t="str">
            <v>A/P-PARTNER GIFT CARD SALES</v>
          </cell>
        </row>
        <row r="988">
          <cell r="A988">
            <v>9110999</v>
          </cell>
          <cell r="B988">
            <v>248604</v>
          </cell>
          <cell r="C988" t="str">
            <v>A/P-PARTNER GIFT CARD SALES</v>
          </cell>
        </row>
        <row r="989">
          <cell r="A989">
            <v>9682715</v>
          </cell>
          <cell r="B989">
            <v>248604</v>
          </cell>
          <cell r="C989" t="str">
            <v>A/P-PARTNER GIFT CARD SALES</v>
          </cell>
        </row>
        <row r="990">
          <cell r="A990">
            <v>9682722</v>
          </cell>
          <cell r="B990">
            <v>248604</v>
          </cell>
          <cell r="C990" t="str">
            <v>A/P-PARTNER GIFT CARD SALES</v>
          </cell>
        </row>
        <row r="991">
          <cell r="A991">
            <v>9682999</v>
          </cell>
          <cell r="B991">
            <v>248604</v>
          </cell>
          <cell r="C991" t="str">
            <v>A/P-PARTNER GIFT CARD SALES</v>
          </cell>
        </row>
        <row r="992">
          <cell r="A992">
            <v>9969681</v>
          </cell>
          <cell r="B992">
            <v>248604</v>
          </cell>
          <cell r="C992" t="str">
            <v>A/P-PARTNER GIFT CARD SALES</v>
          </cell>
        </row>
        <row r="993">
          <cell r="A993">
            <v>9969901</v>
          </cell>
          <cell r="B993">
            <v>248604</v>
          </cell>
          <cell r="C993" t="str">
            <v>A/P-PARTNER GIFT CARD SALES</v>
          </cell>
        </row>
        <row r="994">
          <cell r="A994" t="str">
            <v>ZONE-0105-POST</v>
          </cell>
          <cell r="B994">
            <v>248604</v>
          </cell>
          <cell r="C994" t="str">
            <v>A/P-PARTNER GIFT CARD SALES</v>
          </cell>
        </row>
        <row r="995">
          <cell r="A995" t="str">
            <v>ZONE-0112-POST</v>
          </cell>
          <cell r="B995">
            <v>248604</v>
          </cell>
          <cell r="C995" t="str">
            <v>A/P-PARTNER GIFT CARD SALES</v>
          </cell>
        </row>
        <row r="996">
          <cell r="A996">
            <v>9080999</v>
          </cell>
          <cell r="B996">
            <v>248605</v>
          </cell>
          <cell r="C996" t="str">
            <v>A/P SPA WISH GIFT CARDS</v>
          </cell>
        </row>
        <row r="997">
          <cell r="A997">
            <v>9110999</v>
          </cell>
          <cell r="B997">
            <v>248605</v>
          </cell>
          <cell r="C997" t="str">
            <v>A/P SPA WISH GIFT CARDS</v>
          </cell>
        </row>
        <row r="998">
          <cell r="A998">
            <v>9682715</v>
          </cell>
          <cell r="B998">
            <v>248605</v>
          </cell>
          <cell r="C998" t="str">
            <v>A/P SPA WISH GIFT CARDS</v>
          </cell>
        </row>
        <row r="999">
          <cell r="A999">
            <v>9682722</v>
          </cell>
          <cell r="B999">
            <v>248605</v>
          </cell>
          <cell r="C999" t="str">
            <v>A/P SPA WISH GIFT CARDS</v>
          </cell>
        </row>
        <row r="1000">
          <cell r="A1000">
            <v>9682999</v>
          </cell>
          <cell r="B1000">
            <v>248605</v>
          </cell>
          <cell r="C1000" t="str">
            <v>A/P SPA WISH GIFT CARDS</v>
          </cell>
        </row>
        <row r="1001">
          <cell r="A1001">
            <v>9090999</v>
          </cell>
          <cell r="B1001">
            <v>248606</v>
          </cell>
          <cell r="C1001" t="str">
            <v>A/P-TELECOM GIFT CARDS</v>
          </cell>
        </row>
        <row r="1002">
          <cell r="A1002">
            <v>9100999</v>
          </cell>
          <cell r="B1002">
            <v>248606</v>
          </cell>
          <cell r="C1002" t="str">
            <v>A/P-TELECOM GIFT CARDS</v>
          </cell>
        </row>
        <row r="1003">
          <cell r="A1003">
            <v>9682715</v>
          </cell>
          <cell r="B1003">
            <v>248606</v>
          </cell>
          <cell r="C1003" t="str">
            <v>A/P-TELECOM GIFT CARDS</v>
          </cell>
        </row>
        <row r="1004">
          <cell r="A1004">
            <v>9682722</v>
          </cell>
          <cell r="B1004">
            <v>248606</v>
          </cell>
          <cell r="C1004" t="str">
            <v>A/P-TELECOM GIFT CARDS</v>
          </cell>
        </row>
        <row r="1005">
          <cell r="A1005">
            <v>9682999</v>
          </cell>
          <cell r="B1005">
            <v>248606</v>
          </cell>
          <cell r="C1005" t="str">
            <v>A/P-TELECOM GIFT CARDS</v>
          </cell>
        </row>
        <row r="1006">
          <cell r="A1006">
            <v>9682715</v>
          </cell>
          <cell r="B1006">
            <v>248607</v>
          </cell>
          <cell r="C1006" t="str">
            <v>A/P-BANK GIFT CARD SALES</v>
          </cell>
        </row>
        <row r="1007">
          <cell r="A1007">
            <v>9682722</v>
          </cell>
          <cell r="B1007">
            <v>248607</v>
          </cell>
          <cell r="C1007" t="str">
            <v>A/P-BANK GIFT CARD SALES</v>
          </cell>
        </row>
        <row r="1008">
          <cell r="A1008">
            <v>9682999</v>
          </cell>
          <cell r="B1008">
            <v>248607</v>
          </cell>
          <cell r="C1008" t="str">
            <v>A/P-BANK GIFT CARD SALES</v>
          </cell>
        </row>
        <row r="1009">
          <cell r="A1009">
            <v>9080999</v>
          </cell>
          <cell r="B1009">
            <v>248608</v>
          </cell>
          <cell r="C1009" t="str">
            <v>A/P-RECREATIONAL GIFT CARD SALES</v>
          </cell>
        </row>
        <row r="1010">
          <cell r="A1010">
            <v>9090730</v>
          </cell>
          <cell r="B1010">
            <v>248608</v>
          </cell>
          <cell r="C1010" t="str">
            <v>A/P-RECREATIONAL GIFT CARD SALES</v>
          </cell>
        </row>
        <row r="1011">
          <cell r="A1011">
            <v>9090731</v>
          </cell>
          <cell r="B1011">
            <v>248608</v>
          </cell>
          <cell r="C1011" t="str">
            <v>A/P-RECREATIONAL GIFT CARD SALES</v>
          </cell>
        </row>
        <row r="1012">
          <cell r="A1012">
            <v>9090732</v>
          </cell>
          <cell r="B1012">
            <v>248608</v>
          </cell>
          <cell r="C1012" t="str">
            <v>A/P-RECREATIONAL GIFT CARD SALES</v>
          </cell>
        </row>
        <row r="1013">
          <cell r="A1013">
            <v>9090999</v>
          </cell>
          <cell r="B1013">
            <v>248608</v>
          </cell>
          <cell r="C1013" t="str">
            <v>A/P-RECREATIONAL GIFT CARD SALES</v>
          </cell>
        </row>
        <row r="1014">
          <cell r="A1014">
            <v>9110999</v>
          </cell>
          <cell r="B1014">
            <v>248608</v>
          </cell>
          <cell r="C1014" t="str">
            <v>A/P-RECREATIONAL GIFT CARD SALES</v>
          </cell>
        </row>
        <row r="1015">
          <cell r="A1015">
            <v>9682715</v>
          </cell>
          <cell r="B1015">
            <v>248608</v>
          </cell>
          <cell r="C1015" t="str">
            <v>A/P-RECREATIONAL GIFT CARD SALES</v>
          </cell>
        </row>
        <row r="1016">
          <cell r="A1016">
            <v>9682722</v>
          </cell>
          <cell r="B1016">
            <v>248608</v>
          </cell>
          <cell r="C1016" t="str">
            <v>A/P-RECREATIONAL GIFT CARD SALES</v>
          </cell>
        </row>
        <row r="1017">
          <cell r="A1017">
            <v>9682999</v>
          </cell>
          <cell r="B1017">
            <v>248608</v>
          </cell>
          <cell r="C1017" t="str">
            <v>A/P-RECREATIONAL GIFT CARD SALES</v>
          </cell>
        </row>
        <row r="1018">
          <cell r="A1018">
            <v>9052999</v>
          </cell>
          <cell r="B1018">
            <v>248615</v>
          </cell>
          <cell r="C1018" t="str">
            <v>A/P ML SPORTS GIFT CARDS</v>
          </cell>
        </row>
        <row r="1019">
          <cell r="A1019">
            <v>9080999</v>
          </cell>
          <cell r="B1019">
            <v>248615</v>
          </cell>
          <cell r="C1019" t="str">
            <v>A/P ML SPORTS GIFT CARDS</v>
          </cell>
        </row>
        <row r="1020">
          <cell r="A1020">
            <v>9110999</v>
          </cell>
          <cell r="B1020">
            <v>248615</v>
          </cell>
          <cell r="C1020" t="str">
            <v>A/P ML SPORTS GIFT CARDS</v>
          </cell>
        </row>
        <row r="1021">
          <cell r="A1021">
            <v>9680707</v>
          </cell>
          <cell r="B1021">
            <v>248615</v>
          </cell>
          <cell r="C1021" t="str">
            <v>A/P ML SPORTS GIFT CARDS</v>
          </cell>
        </row>
        <row r="1022">
          <cell r="A1022">
            <v>9681707</v>
          </cell>
          <cell r="B1022">
            <v>248615</v>
          </cell>
          <cell r="C1022" t="str">
            <v>A/P ML SPORTS GIFT CARDS</v>
          </cell>
        </row>
        <row r="1023">
          <cell r="A1023">
            <v>9682715</v>
          </cell>
          <cell r="B1023">
            <v>248615</v>
          </cell>
          <cell r="C1023" t="str">
            <v>A/P ML SPORTS GIFT CARDS</v>
          </cell>
        </row>
        <row r="1024">
          <cell r="A1024">
            <v>9682722</v>
          </cell>
          <cell r="B1024">
            <v>248615</v>
          </cell>
          <cell r="C1024" t="str">
            <v>A/P ML SPORTS GIFT CARDS</v>
          </cell>
        </row>
        <row r="1025">
          <cell r="A1025">
            <v>9682999</v>
          </cell>
          <cell r="B1025">
            <v>248615</v>
          </cell>
          <cell r="C1025" t="str">
            <v>A/P ML SPORTS GIFT CARDS</v>
          </cell>
        </row>
        <row r="1026">
          <cell r="A1026">
            <v>9682715</v>
          </cell>
          <cell r="B1026">
            <v>248616</v>
          </cell>
          <cell r="C1026" t="str">
            <v>CONTRA TO ML SPORTS GIFT CARDS</v>
          </cell>
        </row>
        <row r="1027">
          <cell r="A1027">
            <v>9682722</v>
          </cell>
          <cell r="B1027">
            <v>248616</v>
          </cell>
          <cell r="C1027" t="str">
            <v>CONTRA TO ML SPORTS GIFT CARDS</v>
          </cell>
        </row>
        <row r="1028">
          <cell r="A1028">
            <v>9682999</v>
          </cell>
          <cell r="B1028">
            <v>248616</v>
          </cell>
          <cell r="C1028" t="str">
            <v>CONTRA TO ML SPORTS GIFT CARDS</v>
          </cell>
        </row>
        <row r="1029">
          <cell r="A1029">
            <v>9682999</v>
          </cell>
          <cell r="B1029">
            <v>248617</v>
          </cell>
          <cell r="C1029" t="str">
            <v>A/P LOCAL AND REGIONAL GIFT CARDS</v>
          </cell>
        </row>
        <row r="1030">
          <cell r="A1030">
            <v>9682999</v>
          </cell>
          <cell r="B1030">
            <v>248618</v>
          </cell>
          <cell r="C1030" t="str">
            <v>CONTRA TO LOCAL AND REGIONAL GIFT CARDS</v>
          </cell>
        </row>
        <row r="1031">
          <cell r="A1031">
            <v>9080999</v>
          </cell>
          <cell r="B1031">
            <v>248835</v>
          </cell>
          <cell r="C1031" t="str">
            <v>ACCTS PAY-CORP UNCLAIMED DRAFT</v>
          </cell>
        </row>
        <row r="1032">
          <cell r="A1032">
            <v>9110999</v>
          </cell>
          <cell r="B1032">
            <v>248835</v>
          </cell>
          <cell r="C1032" t="str">
            <v>ACCTS PAY-CORP UNCLAIMED DRAFT</v>
          </cell>
        </row>
        <row r="1033">
          <cell r="A1033">
            <v>9682715</v>
          </cell>
          <cell r="B1033">
            <v>248835</v>
          </cell>
          <cell r="C1033" t="str">
            <v>ACCTS PAY-CORP UNCLAIMED DRAFT</v>
          </cell>
        </row>
        <row r="1034">
          <cell r="A1034">
            <v>9682722</v>
          </cell>
          <cell r="B1034">
            <v>248835</v>
          </cell>
          <cell r="C1034" t="str">
            <v>ACCTS PAY-CORP UNCLAIMED DRAFT</v>
          </cell>
        </row>
        <row r="1035">
          <cell r="A1035">
            <v>9682999</v>
          </cell>
          <cell r="B1035">
            <v>248835</v>
          </cell>
          <cell r="C1035" t="str">
            <v>ACCTS PAY-CORP UNCLAIMED DRAFT</v>
          </cell>
        </row>
        <row r="1036">
          <cell r="A1036">
            <v>9689999</v>
          </cell>
          <cell r="B1036">
            <v>248835</v>
          </cell>
          <cell r="C1036" t="str">
            <v>ACCTS PAY-CORP UNCLAIMED DRAFT</v>
          </cell>
        </row>
        <row r="1037">
          <cell r="A1037">
            <v>9080999</v>
          </cell>
          <cell r="B1037">
            <v>248900</v>
          </cell>
          <cell r="C1037" t="str">
            <v>WH LIAB SYSTEM CLEARING</v>
          </cell>
        </row>
        <row r="1038">
          <cell r="A1038">
            <v>9110999</v>
          </cell>
          <cell r="B1038">
            <v>248900</v>
          </cell>
          <cell r="C1038" t="str">
            <v>WH LIAB SYSTEM CLEARING</v>
          </cell>
        </row>
        <row r="1039">
          <cell r="A1039">
            <v>9689999</v>
          </cell>
          <cell r="B1039">
            <v>248900</v>
          </cell>
          <cell r="C1039" t="str">
            <v>WH LIAB SYSTEM CLEARING</v>
          </cell>
        </row>
        <row r="1040">
          <cell r="A1040">
            <v>9720703</v>
          </cell>
          <cell r="B1040">
            <v>248900</v>
          </cell>
          <cell r="C1040" t="str">
            <v>WH LIAB SYSTEM CLEARING</v>
          </cell>
        </row>
        <row r="1041">
          <cell r="A1041">
            <v>9724718</v>
          </cell>
          <cell r="B1041">
            <v>248900</v>
          </cell>
          <cell r="C1041" t="str">
            <v>WH LIAB SYSTEM CLEARING</v>
          </cell>
        </row>
        <row r="1042">
          <cell r="A1042">
            <v>9724721</v>
          </cell>
          <cell r="B1042">
            <v>248900</v>
          </cell>
          <cell r="C1042" t="str">
            <v>WH LIAB SYSTEM CLEARING</v>
          </cell>
        </row>
        <row r="1043">
          <cell r="A1043">
            <v>9724724</v>
          </cell>
          <cell r="B1043">
            <v>248900</v>
          </cell>
          <cell r="C1043" t="str">
            <v>WH LIAB SYSTEM CLEARING</v>
          </cell>
        </row>
        <row r="1044">
          <cell r="A1044">
            <v>9725703</v>
          </cell>
          <cell r="B1044">
            <v>248900</v>
          </cell>
          <cell r="C1044" t="str">
            <v>WH LIAB SYSTEM CLEARING</v>
          </cell>
        </row>
        <row r="1045">
          <cell r="A1045">
            <v>9725704</v>
          </cell>
          <cell r="B1045">
            <v>248900</v>
          </cell>
          <cell r="C1045" t="str">
            <v>WH LIAB SYSTEM CLEARING</v>
          </cell>
        </row>
        <row r="1046">
          <cell r="A1046">
            <v>9725711</v>
          </cell>
          <cell r="B1046">
            <v>248900</v>
          </cell>
          <cell r="C1046" t="str">
            <v>WH LIAB SYSTEM CLEARING</v>
          </cell>
        </row>
        <row r="1047">
          <cell r="A1047">
            <v>9725717</v>
          </cell>
          <cell r="B1047">
            <v>248900</v>
          </cell>
          <cell r="C1047" t="str">
            <v>WH LIAB SYSTEM CLEARING</v>
          </cell>
        </row>
        <row r="1048">
          <cell r="A1048">
            <v>9725725</v>
          </cell>
          <cell r="B1048">
            <v>248900</v>
          </cell>
          <cell r="C1048" t="str">
            <v>WH LIAB SYSTEM CLEARING</v>
          </cell>
        </row>
        <row r="1049">
          <cell r="A1049">
            <v>8001054179</v>
          </cell>
          <cell r="B1049">
            <v>249188</v>
          </cell>
          <cell r="C1049" t="str">
            <v>A/P UNREALIZED CASH DISCOUNTS</v>
          </cell>
        </row>
        <row r="1050">
          <cell r="A1050">
            <v>8001059542</v>
          </cell>
          <cell r="B1050">
            <v>249188</v>
          </cell>
          <cell r="C1050" t="str">
            <v>A/P UNREALIZED CASH DISCOUNTS</v>
          </cell>
        </row>
        <row r="1051">
          <cell r="A1051">
            <v>8010512510</v>
          </cell>
          <cell r="B1051">
            <v>249188</v>
          </cell>
          <cell r="C1051" t="str">
            <v>A/P UNREALIZED CASH DISCOUNTS</v>
          </cell>
        </row>
        <row r="1052">
          <cell r="A1052">
            <v>9969681</v>
          </cell>
          <cell r="B1052">
            <v>249188</v>
          </cell>
          <cell r="C1052" t="str">
            <v>A/P UNREALIZED CASH DISCOUNTS</v>
          </cell>
        </row>
        <row r="1053">
          <cell r="A1053">
            <v>9969901</v>
          </cell>
          <cell r="B1053">
            <v>249188</v>
          </cell>
          <cell r="C1053" t="str">
            <v>A/P UNREALIZED CASH DISCOUNTS</v>
          </cell>
        </row>
        <row r="1054">
          <cell r="A1054" t="str">
            <v>ZONE-0105-POST</v>
          </cell>
          <cell r="B1054">
            <v>249188</v>
          </cell>
          <cell r="C1054" t="str">
            <v>A/P UNREALIZED CASH DISCOUNTS</v>
          </cell>
        </row>
        <row r="1055">
          <cell r="A1055" t="str">
            <v>ZONE-0112-POST</v>
          </cell>
          <cell r="B1055">
            <v>249188</v>
          </cell>
          <cell r="C1055" t="str">
            <v>A/P UNREALIZED CASH DISCOUNTS</v>
          </cell>
        </row>
        <row r="1056">
          <cell r="A1056">
            <v>9080999</v>
          </cell>
          <cell r="B1056">
            <v>249326</v>
          </cell>
          <cell r="C1056" t="str">
            <v>A/P SAFEWAY GIFT CARD-INCOME</v>
          </cell>
        </row>
        <row r="1057">
          <cell r="A1057">
            <v>9110999</v>
          </cell>
          <cell r="B1057">
            <v>249326</v>
          </cell>
          <cell r="C1057" t="str">
            <v>A/P SAFEWAY GIFT CARD-INCOME</v>
          </cell>
        </row>
        <row r="1058">
          <cell r="A1058">
            <v>9689999</v>
          </cell>
          <cell r="B1058">
            <v>249326</v>
          </cell>
          <cell r="C1058" t="str">
            <v>A/P SAFEWAY GIFT CARD-INCOME</v>
          </cell>
        </row>
        <row r="1059">
          <cell r="A1059">
            <v>9080999</v>
          </cell>
          <cell r="B1059">
            <v>249327</v>
          </cell>
          <cell r="C1059" t="str">
            <v>A/P SAFEWAY GIFT CARDS</v>
          </cell>
        </row>
        <row r="1060">
          <cell r="A1060">
            <v>9110999</v>
          </cell>
          <cell r="B1060">
            <v>249327</v>
          </cell>
          <cell r="C1060" t="str">
            <v>A/P SAFEWAY GIFT CARDS</v>
          </cell>
        </row>
        <row r="1061">
          <cell r="A1061">
            <v>9689999</v>
          </cell>
          <cell r="B1061">
            <v>249327</v>
          </cell>
          <cell r="C1061" t="str">
            <v>A/P SAFEWAY GIFT CARDS</v>
          </cell>
        </row>
        <row r="1062">
          <cell r="A1062">
            <v>8001054179</v>
          </cell>
          <cell r="B1062">
            <v>249500</v>
          </cell>
          <cell r="C1062" t="str">
            <v>ACCTS PAY-MASTER ACCOUNT</v>
          </cell>
        </row>
        <row r="1063">
          <cell r="A1063">
            <v>8001059542</v>
          </cell>
          <cell r="B1063">
            <v>249500</v>
          </cell>
          <cell r="C1063" t="str">
            <v>ACCTS PAY-MASTER ACCOUNT</v>
          </cell>
        </row>
        <row r="1064">
          <cell r="A1064">
            <v>8010512510</v>
          </cell>
          <cell r="B1064">
            <v>249500</v>
          </cell>
          <cell r="C1064" t="str">
            <v>ACCTS PAY-MASTER ACCOUNT</v>
          </cell>
        </row>
        <row r="1065">
          <cell r="A1065">
            <v>9080999</v>
          </cell>
          <cell r="B1065">
            <v>249500</v>
          </cell>
          <cell r="C1065" t="str">
            <v>ACCTS PAY-MASTER ACCOUNT</v>
          </cell>
        </row>
        <row r="1066">
          <cell r="A1066">
            <v>9090999</v>
          </cell>
          <cell r="B1066">
            <v>249500</v>
          </cell>
          <cell r="C1066" t="str">
            <v>ACCTS PAY-MASTER ACCOUNT</v>
          </cell>
        </row>
        <row r="1067">
          <cell r="A1067">
            <v>9100999</v>
          </cell>
          <cell r="B1067">
            <v>249500</v>
          </cell>
          <cell r="C1067" t="str">
            <v>ACCTS PAY-MASTER ACCOUNT</v>
          </cell>
        </row>
        <row r="1068">
          <cell r="A1068">
            <v>9110999</v>
          </cell>
          <cell r="B1068">
            <v>249500</v>
          </cell>
          <cell r="C1068" t="str">
            <v>ACCTS PAY-MASTER ACCOUNT</v>
          </cell>
        </row>
        <row r="1069">
          <cell r="A1069">
            <v>9689999</v>
          </cell>
          <cell r="B1069">
            <v>249500</v>
          </cell>
          <cell r="C1069" t="str">
            <v>ACCTS PAY-MASTER ACCOUNT</v>
          </cell>
        </row>
        <row r="1070">
          <cell r="A1070">
            <v>9722709</v>
          </cell>
          <cell r="B1070">
            <v>249500</v>
          </cell>
          <cell r="C1070" t="str">
            <v>ACCTS PAY-MASTER ACCOUNT</v>
          </cell>
        </row>
        <row r="1071">
          <cell r="A1071">
            <v>9722713</v>
          </cell>
          <cell r="B1071">
            <v>249500</v>
          </cell>
          <cell r="C1071" t="str">
            <v>ACCTS PAY-MASTER ACCOUNT</v>
          </cell>
        </row>
        <row r="1072">
          <cell r="A1072">
            <v>9729999</v>
          </cell>
          <cell r="B1072">
            <v>249500</v>
          </cell>
          <cell r="C1072" t="str">
            <v>ACCTS PAY-MASTER ACCOUNT</v>
          </cell>
        </row>
        <row r="1073">
          <cell r="A1073">
            <v>9969681</v>
          </cell>
          <cell r="B1073">
            <v>249500</v>
          </cell>
          <cell r="C1073" t="str">
            <v>ACCTS PAY-MASTER ACCOUNT</v>
          </cell>
        </row>
        <row r="1074">
          <cell r="A1074">
            <v>9969901</v>
          </cell>
          <cell r="B1074">
            <v>249500</v>
          </cell>
          <cell r="C1074" t="str">
            <v>ACCTS PAY-MASTER ACCOUNT</v>
          </cell>
        </row>
        <row r="1075">
          <cell r="A1075" t="str">
            <v>ZONE-0105-POST</v>
          </cell>
          <cell r="B1075">
            <v>249500</v>
          </cell>
          <cell r="C1075" t="str">
            <v>ACCTS PAY-MASTER ACCOUNT</v>
          </cell>
        </row>
        <row r="1076">
          <cell r="A1076" t="str">
            <v>ZONE-0112-POST</v>
          </cell>
          <cell r="B1076">
            <v>249500</v>
          </cell>
          <cell r="C1076" t="str">
            <v>ACCTS PAY-MASTER ACCOUNT</v>
          </cell>
        </row>
        <row r="1077">
          <cell r="A1077" t="str">
            <v>ZONE-9999-POST</v>
          </cell>
          <cell r="B1077">
            <v>249500</v>
          </cell>
          <cell r="C1077" t="str">
            <v>ACCTS PAY-MASTER ACCOUNT</v>
          </cell>
        </row>
        <row r="1078">
          <cell r="A1078">
            <v>8001054179</v>
          </cell>
          <cell r="B1078">
            <v>249500</v>
          </cell>
          <cell r="C1078" t="str">
            <v>ACCTS PAY-MASTER ACCOUNT - CASES</v>
          </cell>
        </row>
        <row r="1079">
          <cell r="A1079">
            <v>8001059542</v>
          </cell>
          <cell r="B1079">
            <v>249500</v>
          </cell>
          <cell r="C1079" t="str">
            <v>ACCTS PAY-MASTER ACCOUNT - CASES</v>
          </cell>
        </row>
        <row r="1080">
          <cell r="A1080">
            <v>8010512510</v>
          </cell>
          <cell r="B1080">
            <v>249500</v>
          </cell>
          <cell r="C1080" t="str">
            <v>ACCTS PAY-MASTER ACCOUNT - CASES</v>
          </cell>
        </row>
        <row r="1081">
          <cell r="A1081">
            <v>9969681</v>
          </cell>
          <cell r="B1081">
            <v>249500</v>
          </cell>
          <cell r="C1081" t="str">
            <v>ACCTS PAY-MASTER ACCOUNT - CASES</v>
          </cell>
        </row>
        <row r="1082">
          <cell r="A1082">
            <v>9969901</v>
          </cell>
          <cell r="B1082">
            <v>249500</v>
          </cell>
          <cell r="C1082" t="str">
            <v>ACCTS PAY-MASTER ACCOUNT - CASES</v>
          </cell>
        </row>
        <row r="1083">
          <cell r="A1083" t="str">
            <v>ZONE-0105-POST</v>
          </cell>
          <cell r="B1083">
            <v>249500</v>
          </cell>
          <cell r="C1083" t="str">
            <v>ACCTS PAY-MASTER ACCOUNT - CASES</v>
          </cell>
        </row>
        <row r="1084">
          <cell r="A1084" t="str">
            <v>ZONE-0112-POST</v>
          </cell>
          <cell r="B1084">
            <v>249500</v>
          </cell>
          <cell r="C1084" t="str">
            <v>ACCTS PAY-MASTER ACCOUNT - CASES</v>
          </cell>
        </row>
        <row r="1085">
          <cell r="A1085">
            <v>9080700</v>
          </cell>
          <cell r="B1085">
            <v>249530</v>
          </cell>
          <cell r="C1085" t="str">
            <v>ACCTS PAY-EXPENSE-OTHER</v>
          </cell>
        </row>
        <row r="1086">
          <cell r="A1086">
            <v>9080701</v>
          </cell>
          <cell r="B1086">
            <v>249530</v>
          </cell>
          <cell r="C1086" t="str">
            <v>ACCTS PAY-EXPENSE-OTHER</v>
          </cell>
        </row>
        <row r="1087">
          <cell r="A1087">
            <v>9080702</v>
          </cell>
          <cell r="B1087">
            <v>249530</v>
          </cell>
          <cell r="C1087" t="str">
            <v>ACCTS PAY-EXPENSE-OTHER</v>
          </cell>
        </row>
        <row r="1088">
          <cell r="A1088">
            <v>9080705</v>
          </cell>
          <cell r="B1088">
            <v>249530</v>
          </cell>
          <cell r="C1088" t="str">
            <v>ACCTS PAY-EXPENSE-OTHER</v>
          </cell>
        </row>
        <row r="1089">
          <cell r="A1089">
            <v>9080707</v>
          </cell>
          <cell r="B1089">
            <v>249530</v>
          </cell>
          <cell r="C1089" t="str">
            <v>ACCTS PAY-EXPENSE-OTHER</v>
          </cell>
        </row>
        <row r="1090">
          <cell r="A1090">
            <v>9080710</v>
          </cell>
          <cell r="B1090">
            <v>249530</v>
          </cell>
          <cell r="C1090" t="str">
            <v>ACCTS PAY-EXPENSE-OTHER</v>
          </cell>
        </row>
        <row r="1091">
          <cell r="A1091">
            <v>9080999</v>
          </cell>
          <cell r="B1091">
            <v>249530</v>
          </cell>
          <cell r="C1091" t="str">
            <v>ACCTS PAY-EXPENSE-OTHER</v>
          </cell>
        </row>
        <row r="1092">
          <cell r="A1092">
            <v>9090999</v>
          </cell>
          <cell r="B1092">
            <v>249530</v>
          </cell>
          <cell r="C1092" t="str">
            <v>ACCTS PAY-EXPENSE-OTHER</v>
          </cell>
        </row>
        <row r="1093">
          <cell r="A1093">
            <v>9100999</v>
          </cell>
          <cell r="B1093">
            <v>249530</v>
          </cell>
          <cell r="C1093" t="str">
            <v>ACCTS PAY-EXPENSE-OTHER</v>
          </cell>
        </row>
        <row r="1094">
          <cell r="A1094">
            <v>9110700</v>
          </cell>
          <cell r="B1094">
            <v>249530</v>
          </cell>
          <cell r="C1094" t="str">
            <v>ACCTS PAY-EXPENSE-OTHER</v>
          </cell>
        </row>
        <row r="1095">
          <cell r="A1095">
            <v>9110702</v>
          </cell>
          <cell r="B1095">
            <v>249530</v>
          </cell>
          <cell r="C1095" t="str">
            <v>ACCTS PAY-EXPENSE-OTHER</v>
          </cell>
        </row>
        <row r="1096">
          <cell r="A1096">
            <v>9110705</v>
          </cell>
          <cell r="B1096">
            <v>249530</v>
          </cell>
          <cell r="C1096" t="str">
            <v>ACCTS PAY-EXPENSE-OTHER</v>
          </cell>
        </row>
        <row r="1097">
          <cell r="A1097">
            <v>9110707</v>
          </cell>
          <cell r="B1097">
            <v>249530</v>
          </cell>
          <cell r="C1097" t="str">
            <v>ACCTS PAY-EXPENSE-OTHER</v>
          </cell>
        </row>
        <row r="1098">
          <cell r="A1098">
            <v>9110999</v>
          </cell>
          <cell r="B1098">
            <v>249530</v>
          </cell>
          <cell r="C1098" t="str">
            <v>ACCTS PAY-EXPENSE-OTHER</v>
          </cell>
        </row>
        <row r="1099">
          <cell r="A1099">
            <v>9681700</v>
          </cell>
          <cell r="B1099">
            <v>249530</v>
          </cell>
          <cell r="C1099" t="str">
            <v>ACCTS PAY-EXPENSE-OTHER</v>
          </cell>
        </row>
        <row r="1100">
          <cell r="A1100">
            <v>9681701</v>
          </cell>
          <cell r="B1100">
            <v>249530</v>
          </cell>
          <cell r="C1100" t="str">
            <v>ACCTS PAY-EXPENSE-OTHER</v>
          </cell>
        </row>
        <row r="1101">
          <cell r="A1101">
            <v>9681702</v>
          </cell>
          <cell r="B1101">
            <v>249530</v>
          </cell>
          <cell r="C1101" t="str">
            <v>ACCTS PAY-EXPENSE-OTHER</v>
          </cell>
        </row>
        <row r="1102">
          <cell r="A1102">
            <v>9681705</v>
          </cell>
          <cell r="B1102">
            <v>249530</v>
          </cell>
          <cell r="C1102" t="str">
            <v>ACCTS PAY-EXPENSE-OTHER</v>
          </cell>
        </row>
        <row r="1103">
          <cell r="A1103">
            <v>9681706</v>
          </cell>
          <cell r="B1103">
            <v>249530</v>
          </cell>
          <cell r="C1103" t="str">
            <v>ACCTS PAY-EXPENSE-OTHER</v>
          </cell>
        </row>
        <row r="1104">
          <cell r="A1104">
            <v>9681707</v>
          </cell>
          <cell r="B1104">
            <v>249530</v>
          </cell>
          <cell r="C1104" t="str">
            <v>ACCTS PAY-EXPENSE-OTHER</v>
          </cell>
        </row>
        <row r="1105">
          <cell r="A1105">
            <v>9681712</v>
          </cell>
          <cell r="B1105">
            <v>249530</v>
          </cell>
          <cell r="C1105" t="str">
            <v>ACCTS PAY-EXPENSE-OTHER</v>
          </cell>
        </row>
        <row r="1106">
          <cell r="A1106">
            <v>9681727</v>
          </cell>
          <cell r="B1106">
            <v>249530</v>
          </cell>
          <cell r="C1106" t="str">
            <v>ACCTS PAY-EXPENSE-OTHER</v>
          </cell>
        </row>
        <row r="1107">
          <cell r="A1107">
            <v>9681749</v>
          </cell>
          <cell r="B1107">
            <v>249530</v>
          </cell>
          <cell r="C1107" t="str">
            <v>ACCTS PAY-EXPENSE-OTHER</v>
          </cell>
        </row>
        <row r="1108">
          <cell r="A1108">
            <v>9681999</v>
          </cell>
          <cell r="B1108">
            <v>249530</v>
          </cell>
          <cell r="C1108" t="str">
            <v>ACCTS PAY-EXPENSE-OTHER</v>
          </cell>
        </row>
        <row r="1109">
          <cell r="A1109">
            <v>9682715</v>
          </cell>
          <cell r="B1109">
            <v>249530</v>
          </cell>
          <cell r="C1109" t="str">
            <v>ACCTS PAY-EXPENSE-OTHER</v>
          </cell>
        </row>
        <row r="1110">
          <cell r="A1110">
            <v>9682722</v>
          </cell>
          <cell r="B1110">
            <v>249530</v>
          </cell>
          <cell r="C1110" t="str">
            <v>ACCTS PAY-EXPENSE-OTHER</v>
          </cell>
        </row>
        <row r="1111">
          <cell r="A1111">
            <v>9682999</v>
          </cell>
          <cell r="B1111">
            <v>249530</v>
          </cell>
          <cell r="C1111" t="str">
            <v>ACCTS PAY-EXPENSE-OTHER</v>
          </cell>
        </row>
        <row r="1112">
          <cell r="A1112">
            <v>9722709</v>
          </cell>
          <cell r="B1112">
            <v>249530</v>
          </cell>
          <cell r="C1112" t="str">
            <v>ACCTS PAY-EXPENSE-OTHER</v>
          </cell>
        </row>
        <row r="1113">
          <cell r="A1113">
            <v>9722713</v>
          </cell>
          <cell r="B1113">
            <v>249530</v>
          </cell>
          <cell r="C1113" t="str">
            <v>ACCTS PAY-EXPENSE-OTHER</v>
          </cell>
        </row>
        <row r="1114">
          <cell r="A1114">
            <v>8001054179</v>
          </cell>
          <cell r="B1114">
            <v>249545</v>
          </cell>
          <cell r="C1114" t="str">
            <v>A/P - MANUAL ACCRUED EXPENSE</v>
          </cell>
        </row>
        <row r="1115">
          <cell r="A1115">
            <v>8001059542</v>
          </cell>
          <cell r="B1115">
            <v>249545</v>
          </cell>
          <cell r="C1115" t="str">
            <v>A/P - MANUAL ACCRUED EXPENSE</v>
          </cell>
        </row>
        <row r="1116">
          <cell r="A1116">
            <v>8010512510</v>
          </cell>
          <cell r="B1116">
            <v>249545</v>
          </cell>
          <cell r="C1116" t="str">
            <v>A/P - MANUAL ACCRUED EXPENSE</v>
          </cell>
        </row>
        <row r="1117">
          <cell r="A1117">
            <v>9969681</v>
          </cell>
          <cell r="B1117">
            <v>249545</v>
          </cell>
          <cell r="C1117" t="str">
            <v>A/P - MANUAL ACCRUED EXPENSE</v>
          </cell>
        </row>
        <row r="1118">
          <cell r="A1118">
            <v>9969901</v>
          </cell>
          <cell r="B1118">
            <v>249545</v>
          </cell>
          <cell r="C1118" t="str">
            <v>A/P - MANUAL ACCRUED EXPENSE</v>
          </cell>
        </row>
        <row r="1119">
          <cell r="A1119" t="str">
            <v>ZONE-0105-POST</v>
          </cell>
          <cell r="B1119">
            <v>249545</v>
          </cell>
          <cell r="C1119" t="str">
            <v>A/P - MANUAL ACCRUED EXPENSE</v>
          </cell>
        </row>
        <row r="1120">
          <cell r="A1120" t="str">
            <v>ZONE-0112-POST</v>
          </cell>
          <cell r="B1120">
            <v>249545</v>
          </cell>
          <cell r="C1120" t="str">
            <v>A/P - MANUAL ACCRUED EXPENSE</v>
          </cell>
        </row>
        <row r="1121">
          <cell r="A1121">
            <v>8001054179</v>
          </cell>
          <cell r="B1121">
            <v>263100</v>
          </cell>
          <cell r="C1121" t="str">
            <v>GOODS AND SERVICES TAX CANADA</v>
          </cell>
        </row>
        <row r="1122">
          <cell r="A1122">
            <v>8001059542</v>
          </cell>
          <cell r="B1122">
            <v>263100</v>
          </cell>
          <cell r="C1122" t="str">
            <v>GOODS AND SERVICES TAX CANADA</v>
          </cell>
        </row>
        <row r="1123">
          <cell r="A1123">
            <v>8010512510</v>
          </cell>
          <cell r="B1123">
            <v>263100</v>
          </cell>
          <cell r="C1123" t="str">
            <v>GOODS AND SERVICES TAX CANADA</v>
          </cell>
        </row>
        <row r="1124">
          <cell r="A1124">
            <v>9080999</v>
          </cell>
          <cell r="B1124">
            <v>263100</v>
          </cell>
          <cell r="C1124" t="str">
            <v>GOODS AND SERVICES TAX CANADA</v>
          </cell>
        </row>
        <row r="1125">
          <cell r="A1125">
            <v>9110999</v>
          </cell>
          <cell r="B1125">
            <v>263100</v>
          </cell>
          <cell r="C1125" t="str">
            <v>GOODS AND SERVICES TAX CANADA</v>
          </cell>
        </row>
        <row r="1126">
          <cell r="A1126">
            <v>9969681</v>
          </cell>
          <cell r="B1126">
            <v>263100</v>
          </cell>
          <cell r="C1126" t="str">
            <v>GOODS AND SERVICES TAX CANADA</v>
          </cell>
        </row>
        <row r="1127">
          <cell r="A1127">
            <v>9969901</v>
          </cell>
          <cell r="B1127">
            <v>263100</v>
          </cell>
          <cell r="C1127" t="str">
            <v>GOODS AND SERVICES TAX CANADA</v>
          </cell>
        </row>
        <row r="1128">
          <cell r="A1128" t="str">
            <v>ZONE-0105-POST</v>
          </cell>
          <cell r="B1128">
            <v>263100</v>
          </cell>
          <cell r="C1128" t="str">
            <v>GOODS AND SERVICES TAX CANADA</v>
          </cell>
        </row>
        <row r="1129">
          <cell r="A1129" t="str">
            <v>ZONE-0112-POST</v>
          </cell>
          <cell r="B1129">
            <v>263100</v>
          </cell>
          <cell r="C1129" t="str">
            <v>GOODS AND SERVICES TAX CANADA</v>
          </cell>
        </row>
        <row r="1130">
          <cell r="A1130">
            <v>8001054179</v>
          </cell>
          <cell r="B1130">
            <v>263101</v>
          </cell>
          <cell r="C1130" t="str">
            <v>INPUT TAX CREDIT (GST CANADA)</v>
          </cell>
        </row>
        <row r="1131">
          <cell r="A1131">
            <v>8001059542</v>
          </cell>
          <cell r="B1131">
            <v>263101</v>
          </cell>
          <cell r="C1131" t="str">
            <v>INPUT TAX CREDIT (GST CANADA)</v>
          </cell>
        </row>
        <row r="1132">
          <cell r="A1132">
            <v>8010512510</v>
          </cell>
          <cell r="B1132">
            <v>263101</v>
          </cell>
          <cell r="C1132" t="str">
            <v>INPUT TAX CREDIT (GST CANADA)</v>
          </cell>
        </row>
        <row r="1133">
          <cell r="A1133">
            <v>9969681</v>
          </cell>
          <cell r="B1133">
            <v>263101</v>
          </cell>
          <cell r="C1133" t="str">
            <v>INPUT TAX CREDIT (GST CANADA)</v>
          </cell>
        </row>
        <row r="1134">
          <cell r="A1134">
            <v>9969901</v>
          </cell>
          <cell r="B1134">
            <v>263101</v>
          </cell>
          <cell r="C1134" t="str">
            <v>INPUT TAX CREDIT (GST CANADA)</v>
          </cell>
        </row>
        <row r="1135">
          <cell r="A1135" t="str">
            <v>ZONE-0105-POST</v>
          </cell>
          <cell r="B1135">
            <v>263101</v>
          </cell>
          <cell r="C1135" t="str">
            <v>INPUT TAX CREDIT (GST CANADA)</v>
          </cell>
        </row>
        <row r="1136">
          <cell r="A1136" t="str">
            <v>ZONE-0112-POST</v>
          </cell>
          <cell r="B1136">
            <v>263101</v>
          </cell>
          <cell r="C1136" t="str">
            <v>INPUT TAX CREDIT (GST CANADA)</v>
          </cell>
        </row>
        <row r="1137">
          <cell r="A1137">
            <v>8001054179</v>
          </cell>
          <cell r="B1137">
            <v>263485</v>
          </cell>
          <cell r="C1137" t="str">
            <v>ACCR EXP-FED/DOMINION INCOME</v>
          </cell>
        </row>
        <row r="1138">
          <cell r="A1138">
            <v>8001059542</v>
          </cell>
          <cell r="B1138">
            <v>263485</v>
          </cell>
          <cell r="C1138" t="str">
            <v>ACCR EXP-FED/DOMINION INCOME</v>
          </cell>
        </row>
        <row r="1139">
          <cell r="A1139">
            <v>8010512510</v>
          </cell>
          <cell r="B1139">
            <v>263485</v>
          </cell>
          <cell r="C1139" t="str">
            <v>ACCR EXP-FED/DOMINION INCOME</v>
          </cell>
        </row>
        <row r="1140">
          <cell r="A1140">
            <v>9969681</v>
          </cell>
          <cell r="B1140">
            <v>263485</v>
          </cell>
          <cell r="C1140" t="str">
            <v>ACCR EXP-FED/DOMINION INCOME</v>
          </cell>
        </row>
        <row r="1141">
          <cell r="A1141">
            <v>9969901</v>
          </cell>
          <cell r="B1141">
            <v>263485</v>
          </cell>
          <cell r="C1141" t="str">
            <v>ACCR EXP-FED/DOMINION INCOME</v>
          </cell>
        </row>
        <row r="1142">
          <cell r="A1142" t="str">
            <v>ZONE-0105-POST</v>
          </cell>
          <cell r="B1142">
            <v>263485</v>
          </cell>
          <cell r="C1142" t="str">
            <v>ACCR EXP-FED/DOMINION INCOME</v>
          </cell>
        </row>
        <row r="1143">
          <cell r="A1143" t="str">
            <v>ZONE-0112-POST</v>
          </cell>
          <cell r="B1143">
            <v>263485</v>
          </cell>
          <cell r="C1143" t="str">
            <v>ACCR EXP-FED/DOMINION INCOME</v>
          </cell>
        </row>
        <row r="1144">
          <cell r="A1144">
            <v>8001054179</v>
          </cell>
          <cell r="B1144">
            <v>263998</v>
          </cell>
          <cell r="C1144" t="str">
            <v>A/E TAX OTHER</v>
          </cell>
        </row>
        <row r="1145">
          <cell r="A1145">
            <v>8001059542</v>
          </cell>
          <cell r="B1145">
            <v>263998</v>
          </cell>
          <cell r="C1145" t="str">
            <v>A/E TAX OTHER</v>
          </cell>
        </row>
        <row r="1146">
          <cell r="A1146">
            <v>8010512510</v>
          </cell>
          <cell r="B1146">
            <v>263998</v>
          </cell>
          <cell r="C1146" t="str">
            <v>A/E TAX OTHER</v>
          </cell>
        </row>
        <row r="1147">
          <cell r="A1147">
            <v>9969681</v>
          </cell>
          <cell r="B1147">
            <v>263998</v>
          </cell>
          <cell r="C1147" t="str">
            <v>A/E TAX OTHER</v>
          </cell>
        </row>
        <row r="1148">
          <cell r="A1148">
            <v>9969901</v>
          </cell>
          <cell r="B1148">
            <v>263998</v>
          </cell>
          <cell r="C1148" t="str">
            <v>A/E TAX OTHER</v>
          </cell>
        </row>
        <row r="1149">
          <cell r="A1149" t="str">
            <v>ZONE-0105-POST</v>
          </cell>
          <cell r="B1149">
            <v>263998</v>
          </cell>
          <cell r="C1149" t="str">
            <v>A/E TAX OTHER</v>
          </cell>
        </row>
        <row r="1150">
          <cell r="A1150" t="str">
            <v>ZONE-0112-POST</v>
          </cell>
          <cell r="B1150">
            <v>263998</v>
          </cell>
          <cell r="C1150" t="str">
            <v>A/E TAX OTHER</v>
          </cell>
        </row>
        <row r="1151">
          <cell r="A1151">
            <v>9090999</v>
          </cell>
          <cell r="B1151">
            <v>266402</v>
          </cell>
          <cell r="C1151" t="str">
            <v>ACC EXP - SEVERENCE</v>
          </cell>
        </row>
        <row r="1152">
          <cell r="A1152">
            <v>9100999</v>
          </cell>
          <cell r="B1152">
            <v>266402</v>
          </cell>
          <cell r="C1152" t="str">
            <v>ACC EXP - SEVERENCE</v>
          </cell>
        </row>
        <row r="1153">
          <cell r="A1153">
            <v>9080999</v>
          </cell>
          <cell r="B1153">
            <v>266411</v>
          </cell>
          <cell r="C1153" t="str">
            <v>OTHER VACATION WAGES - PAID</v>
          </cell>
        </row>
        <row r="1154">
          <cell r="A1154">
            <v>9110999</v>
          </cell>
          <cell r="B1154">
            <v>266411</v>
          </cell>
          <cell r="C1154" t="str">
            <v>OTHER VACATION WAGES - PAID</v>
          </cell>
        </row>
        <row r="1155">
          <cell r="A1155">
            <v>9689999</v>
          </cell>
          <cell r="B1155">
            <v>266411</v>
          </cell>
          <cell r="C1155" t="str">
            <v>OTHER VACATION WAGES - PAID</v>
          </cell>
        </row>
        <row r="1156">
          <cell r="A1156">
            <v>8001054179</v>
          </cell>
          <cell r="B1156">
            <v>266850</v>
          </cell>
          <cell r="C1156" t="str">
            <v>A/E BONUS -DIVISION/ZONE</v>
          </cell>
        </row>
        <row r="1157">
          <cell r="A1157">
            <v>8001059542</v>
          </cell>
          <cell r="B1157">
            <v>266850</v>
          </cell>
          <cell r="C1157" t="str">
            <v>A/E BONUS -DIVISION/ZONE</v>
          </cell>
        </row>
        <row r="1158">
          <cell r="A1158">
            <v>8010512510</v>
          </cell>
          <cell r="B1158">
            <v>266850</v>
          </cell>
          <cell r="C1158" t="str">
            <v>A/E BONUS -DIVISION/ZONE</v>
          </cell>
        </row>
        <row r="1159">
          <cell r="A1159">
            <v>9090999</v>
          </cell>
          <cell r="B1159">
            <v>266850</v>
          </cell>
          <cell r="C1159" t="str">
            <v>A/E BONUS -DIVISION/ZONE</v>
          </cell>
        </row>
        <row r="1160">
          <cell r="A1160">
            <v>9100999</v>
          </cell>
          <cell r="B1160">
            <v>266850</v>
          </cell>
          <cell r="C1160" t="str">
            <v>A/E BONUS -DIVISION/ZONE</v>
          </cell>
        </row>
        <row r="1161">
          <cell r="A1161">
            <v>9969681</v>
          </cell>
          <cell r="B1161">
            <v>266850</v>
          </cell>
          <cell r="C1161" t="str">
            <v>A/E BONUS -DIVISION/ZONE</v>
          </cell>
        </row>
        <row r="1162">
          <cell r="A1162">
            <v>9969901</v>
          </cell>
          <cell r="B1162">
            <v>266850</v>
          </cell>
          <cell r="C1162" t="str">
            <v>A/E BONUS -DIVISION/ZONE</v>
          </cell>
        </row>
        <row r="1163">
          <cell r="A1163" t="str">
            <v>ZONE-0105-POST</v>
          </cell>
          <cell r="B1163">
            <v>266850</v>
          </cell>
          <cell r="C1163" t="str">
            <v>A/E BONUS -DIVISION/ZONE</v>
          </cell>
        </row>
        <row r="1164">
          <cell r="A1164" t="str">
            <v>ZONE-0112-POST</v>
          </cell>
          <cell r="B1164">
            <v>266850</v>
          </cell>
          <cell r="C1164" t="str">
            <v>A/E BONUS -DIVISION/ZONE</v>
          </cell>
        </row>
        <row r="1165">
          <cell r="A1165">
            <v>9080999</v>
          </cell>
          <cell r="B1165">
            <v>266860</v>
          </cell>
          <cell r="C1165" t="str">
            <v>A/E BONUS -EXECUTIVE</v>
          </cell>
        </row>
        <row r="1166">
          <cell r="A1166">
            <v>9090999</v>
          </cell>
          <cell r="B1166">
            <v>266860</v>
          </cell>
          <cell r="C1166" t="str">
            <v>A/E BONUS -EXECUTIVE</v>
          </cell>
        </row>
        <row r="1167">
          <cell r="A1167">
            <v>9100999</v>
          </cell>
          <cell r="B1167">
            <v>266860</v>
          </cell>
          <cell r="C1167" t="str">
            <v>A/E BONUS -EXECUTIVE</v>
          </cell>
        </row>
        <row r="1168">
          <cell r="A1168">
            <v>9110999</v>
          </cell>
          <cell r="B1168">
            <v>266860</v>
          </cell>
          <cell r="C1168" t="str">
            <v>A/E BONUS -EXECUTIVE</v>
          </cell>
        </row>
        <row r="1169">
          <cell r="A1169">
            <v>9689999</v>
          </cell>
          <cell r="B1169">
            <v>266860</v>
          </cell>
          <cell r="C1169" t="str">
            <v>A/E BONUS -EXECUTIVE</v>
          </cell>
        </row>
        <row r="1170">
          <cell r="A1170">
            <v>9080700</v>
          </cell>
          <cell r="B1170">
            <v>266981</v>
          </cell>
          <cell r="C1170" t="str">
            <v>ACC EXP - SEVERENCE -PEOPLESOFT</v>
          </cell>
        </row>
        <row r="1171">
          <cell r="A1171">
            <v>9080701</v>
          </cell>
          <cell r="B1171">
            <v>266981</v>
          </cell>
          <cell r="C1171" t="str">
            <v>ACC EXP - SEVERENCE -PEOPLESOFT</v>
          </cell>
        </row>
        <row r="1172">
          <cell r="A1172">
            <v>9080702</v>
          </cell>
          <cell r="B1172">
            <v>266981</v>
          </cell>
          <cell r="C1172" t="str">
            <v>ACC EXP - SEVERENCE -PEOPLESOFT</v>
          </cell>
        </row>
        <row r="1173">
          <cell r="A1173">
            <v>9080705</v>
          </cell>
          <cell r="B1173">
            <v>266981</v>
          </cell>
          <cell r="C1173" t="str">
            <v>ACC EXP - SEVERENCE -PEOPLESOFT</v>
          </cell>
        </row>
        <row r="1174">
          <cell r="A1174">
            <v>9080707</v>
          </cell>
          <cell r="B1174">
            <v>266981</v>
          </cell>
          <cell r="C1174" t="str">
            <v>ACC EXP - SEVERENCE -PEOPLESOFT</v>
          </cell>
        </row>
        <row r="1175">
          <cell r="A1175">
            <v>9080710</v>
          </cell>
          <cell r="B1175">
            <v>266981</v>
          </cell>
          <cell r="C1175" t="str">
            <v>ACC EXP - SEVERENCE -PEOPLESOFT</v>
          </cell>
        </row>
        <row r="1176">
          <cell r="A1176">
            <v>9080999</v>
          </cell>
          <cell r="B1176">
            <v>266981</v>
          </cell>
          <cell r="C1176" t="str">
            <v>ACC EXP - SEVERENCE -PEOPLESOFT</v>
          </cell>
        </row>
        <row r="1177">
          <cell r="A1177">
            <v>9090999</v>
          </cell>
          <cell r="B1177">
            <v>266981</v>
          </cell>
          <cell r="C1177" t="str">
            <v>ACC EXP - SEVERENCE -PEOPLESOFT</v>
          </cell>
        </row>
        <row r="1178">
          <cell r="A1178">
            <v>9100999</v>
          </cell>
          <cell r="B1178">
            <v>266981</v>
          </cell>
          <cell r="C1178" t="str">
            <v>ACC EXP - SEVERENCE -PEOPLESOFT</v>
          </cell>
        </row>
        <row r="1179">
          <cell r="A1179">
            <v>9110700</v>
          </cell>
          <cell r="B1179">
            <v>266981</v>
          </cell>
          <cell r="C1179" t="str">
            <v>ACC EXP - SEVERENCE -PEOPLESOFT</v>
          </cell>
        </row>
        <row r="1180">
          <cell r="A1180">
            <v>9110702</v>
          </cell>
          <cell r="B1180">
            <v>266981</v>
          </cell>
          <cell r="C1180" t="str">
            <v>ACC EXP - SEVERENCE -PEOPLESOFT</v>
          </cell>
        </row>
        <row r="1181">
          <cell r="A1181">
            <v>9110705</v>
          </cell>
          <cell r="B1181">
            <v>266981</v>
          </cell>
          <cell r="C1181" t="str">
            <v>ACC EXP - SEVERENCE -PEOPLESOFT</v>
          </cell>
        </row>
        <row r="1182">
          <cell r="A1182">
            <v>9110707</v>
          </cell>
          <cell r="B1182">
            <v>266981</v>
          </cell>
          <cell r="C1182" t="str">
            <v>ACC EXP - SEVERENCE -PEOPLESOFT</v>
          </cell>
        </row>
        <row r="1183">
          <cell r="A1183">
            <v>9110999</v>
          </cell>
          <cell r="B1183">
            <v>266981</v>
          </cell>
          <cell r="C1183" t="str">
            <v>ACC EXP - SEVERENCE -PEOPLESOFT</v>
          </cell>
        </row>
        <row r="1184">
          <cell r="A1184">
            <v>9681700</v>
          </cell>
          <cell r="B1184">
            <v>266981</v>
          </cell>
          <cell r="C1184" t="str">
            <v>ACC EXP - SEVERENCE -PEOPLESOFT</v>
          </cell>
        </row>
        <row r="1185">
          <cell r="A1185">
            <v>9681701</v>
          </cell>
          <cell r="B1185">
            <v>266981</v>
          </cell>
          <cell r="C1185" t="str">
            <v>ACC EXP - SEVERENCE -PEOPLESOFT</v>
          </cell>
        </row>
        <row r="1186">
          <cell r="A1186">
            <v>9681702</v>
          </cell>
          <cell r="B1186">
            <v>266981</v>
          </cell>
          <cell r="C1186" t="str">
            <v>ACC EXP - SEVERENCE -PEOPLESOFT</v>
          </cell>
        </row>
        <row r="1187">
          <cell r="A1187">
            <v>9681705</v>
          </cell>
          <cell r="B1187">
            <v>266981</v>
          </cell>
          <cell r="C1187" t="str">
            <v>ACC EXP - SEVERENCE -PEOPLESOFT</v>
          </cell>
        </row>
        <row r="1188">
          <cell r="A1188">
            <v>9681706</v>
          </cell>
          <cell r="B1188">
            <v>266981</v>
          </cell>
          <cell r="C1188" t="str">
            <v>ACC EXP - SEVERENCE -PEOPLESOFT</v>
          </cell>
        </row>
        <row r="1189">
          <cell r="A1189">
            <v>9681707</v>
          </cell>
          <cell r="B1189">
            <v>266981</v>
          </cell>
          <cell r="C1189" t="str">
            <v>ACC EXP - SEVERENCE -PEOPLESOFT</v>
          </cell>
        </row>
        <row r="1190">
          <cell r="A1190">
            <v>9681712</v>
          </cell>
          <cell r="B1190">
            <v>266981</v>
          </cell>
          <cell r="C1190" t="str">
            <v>ACC EXP - SEVERENCE -PEOPLESOFT</v>
          </cell>
        </row>
        <row r="1191">
          <cell r="A1191">
            <v>9681727</v>
          </cell>
          <cell r="B1191">
            <v>266981</v>
          </cell>
          <cell r="C1191" t="str">
            <v>ACC EXP - SEVERENCE -PEOPLESOFT</v>
          </cell>
        </row>
        <row r="1192">
          <cell r="A1192">
            <v>9681749</v>
          </cell>
          <cell r="B1192">
            <v>266981</v>
          </cell>
          <cell r="C1192" t="str">
            <v>ACC EXP - SEVERENCE -PEOPLESOFT</v>
          </cell>
        </row>
        <row r="1193">
          <cell r="A1193">
            <v>9681999</v>
          </cell>
          <cell r="B1193">
            <v>266981</v>
          </cell>
          <cell r="C1193" t="str">
            <v>ACC EXP - SEVERENCE -PEOPLESOFT</v>
          </cell>
        </row>
        <row r="1194">
          <cell r="A1194">
            <v>9689999</v>
          </cell>
          <cell r="B1194">
            <v>266981</v>
          </cell>
          <cell r="C1194" t="str">
            <v>ACC EXP - SEVERENCE -PEOPLESOFT</v>
          </cell>
        </row>
        <row r="1195">
          <cell r="A1195">
            <v>9090999</v>
          </cell>
          <cell r="B1195">
            <v>266985</v>
          </cell>
          <cell r="C1195" t="str">
            <v>PAYROLL CLEARING - 1</v>
          </cell>
        </row>
        <row r="1196">
          <cell r="A1196">
            <v>9100999</v>
          </cell>
          <cell r="B1196">
            <v>266985</v>
          </cell>
          <cell r="C1196" t="str">
            <v>PAYROLL CLEARING - 1</v>
          </cell>
        </row>
        <row r="1197">
          <cell r="A1197">
            <v>9080999</v>
          </cell>
          <cell r="B1197">
            <v>267490</v>
          </cell>
          <cell r="C1197" t="str">
            <v>ACCR EXP-SPECIAL GROUP LIF-PS</v>
          </cell>
        </row>
        <row r="1198">
          <cell r="A1198">
            <v>9110999</v>
          </cell>
          <cell r="B1198">
            <v>267490</v>
          </cell>
          <cell r="C1198" t="str">
            <v>ACCR EXP-SPECIAL GROUP LIF-PS</v>
          </cell>
        </row>
        <row r="1199">
          <cell r="A1199">
            <v>9689999</v>
          </cell>
          <cell r="B1199">
            <v>267490</v>
          </cell>
          <cell r="C1199" t="str">
            <v>ACCR EXP-SPECIAL GROUP LIF-PS</v>
          </cell>
        </row>
        <row r="1200">
          <cell r="A1200">
            <v>9080999</v>
          </cell>
          <cell r="B1200">
            <v>267602</v>
          </cell>
          <cell r="C1200" t="str">
            <v>A/E UNEMP INS EMPLR - AZ</v>
          </cell>
        </row>
        <row r="1201">
          <cell r="A1201">
            <v>9110999</v>
          </cell>
          <cell r="B1201">
            <v>267602</v>
          </cell>
          <cell r="C1201" t="str">
            <v>A/E UNEMP INS EMPLR - AZ</v>
          </cell>
        </row>
        <row r="1202">
          <cell r="A1202">
            <v>9689999</v>
          </cell>
          <cell r="B1202">
            <v>267602</v>
          </cell>
          <cell r="C1202" t="str">
            <v>A/E UNEMP INS EMPLR - AZ</v>
          </cell>
        </row>
        <row r="1203">
          <cell r="A1203">
            <v>9080999</v>
          </cell>
          <cell r="B1203">
            <v>267604</v>
          </cell>
          <cell r="C1203" t="str">
            <v>A/E UNEMP INS EMPLR - CA</v>
          </cell>
        </row>
        <row r="1204">
          <cell r="A1204">
            <v>9110999</v>
          </cell>
          <cell r="B1204">
            <v>267604</v>
          </cell>
          <cell r="C1204" t="str">
            <v>A/E UNEMP INS EMPLR - CA</v>
          </cell>
        </row>
        <row r="1205">
          <cell r="A1205">
            <v>9689999</v>
          </cell>
          <cell r="B1205">
            <v>267604</v>
          </cell>
          <cell r="C1205" t="str">
            <v>A/E UNEMP INS EMPLR - CA</v>
          </cell>
        </row>
        <row r="1206">
          <cell r="A1206">
            <v>9080999</v>
          </cell>
          <cell r="B1206">
            <v>267606</v>
          </cell>
          <cell r="C1206" t="str">
            <v>A/P - STTE UNEMPLOYMENT - CT</v>
          </cell>
        </row>
        <row r="1207">
          <cell r="A1207">
            <v>9110999</v>
          </cell>
          <cell r="B1207">
            <v>267606</v>
          </cell>
          <cell r="C1207" t="str">
            <v>A/P - STTE UNEMPLOYMENT - CT</v>
          </cell>
        </row>
        <row r="1208">
          <cell r="A1208">
            <v>9689999</v>
          </cell>
          <cell r="B1208">
            <v>267606</v>
          </cell>
          <cell r="C1208" t="str">
            <v>A/P - STTE UNEMPLOYMENT - CT</v>
          </cell>
        </row>
        <row r="1209">
          <cell r="A1209">
            <v>9689999</v>
          </cell>
          <cell r="B1209">
            <v>267609</v>
          </cell>
          <cell r="C1209" t="str">
            <v>A/E UNEMP INS EMPLR - FL</v>
          </cell>
        </row>
        <row r="1210">
          <cell r="A1210">
            <v>9080999</v>
          </cell>
          <cell r="B1210">
            <v>267610</v>
          </cell>
          <cell r="C1210" t="str">
            <v>A/P GA-UNEMP INS ER</v>
          </cell>
        </row>
        <row r="1211">
          <cell r="A1211">
            <v>9110999</v>
          </cell>
          <cell r="B1211">
            <v>267610</v>
          </cell>
          <cell r="C1211" t="str">
            <v>A/P GA-UNEMP INS ER</v>
          </cell>
        </row>
        <row r="1212">
          <cell r="A1212">
            <v>9689999</v>
          </cell>
          <cell r="B1212">
            <v>267610</v>
          </cell>
          <cell r="C1212" t="str">
            <v>A/P GA-UNEMP INS ER</v>
          </cell>
        </row>
        <row r="1213">
          <cell r="A1213">
            <v>9080999</v>
          </cell>
          <cell r="B1213">
            <v>267612</v>
          </cell>
          <cell r="C1213" t="str">
            <v>A/E UNEMP INS EMPLR. IL</v>
          </cell>
        </row>
        <row r="1214">
          <cell r="A1214">
            <v>9110999</v>
          </cell>
          <cell r="B1214">
            <v>267612</v>
          </cell>
          <cell r="C1214" t="str">
            <v>A/E UNEMP INS EMPLR. IL</v>
          </cell>
        </row>
        <row r="1215">
          <cell r="A1215">
            <v>9689999</v>
          </cell>
          <cell r="B1215">
            <v>267612</v>
          </cell>
          <cell r="C1215" t="str">
            <v>A/E UNEMP INS EMPLR. IL</v>
          </cell>
        </row>
        <row r="1216">
          <cell r="A1216">
            <v>9080999</v>
          </cell>
          <cell r="B1216">
            <v>267615</v>
          </cell>
          <cell r="C1216" t="str">
            <v>A/E UNEMP INS EMPLR - KS</v>
          </cell>
        </row>
        <row r="1217">
          <cell r="A1217">
            <v>9110999</v>
          </cell>
          <cell r="B1217">
            <v>267615</v>
          </cell>
          <cell r="C1217" t="str">
            <v>A/E UNEMP INS EMPLR - KS</v>
          </cell>
        </row>
        <row r="1218">
          <cell r="A1218">
            <v>9689999</v>
          </cell>
          <cell r="B1218">
            <v>267615</v>
          </cell>
          <cell r="C1218" t="str">
            <v>A/E UNEMP INS EMPLR - KS</v>
          </cell>
        </row>
        <row r="1219">
          <cell r="A1219">
            <v>9080999</v>
          </cell>
          <cell r="B1219">
            <v>267618</v>
          </cell>
          <cell r="C1219" t="str">
            <v>A/P UNEMPLOYMENT - MAINE</v>
          </cell>
        </row>
        <row r="1220">
          <cell r="A1220">
            <v>9110999</v>
          </cell>
          <cell r="B1220">
            <v>267618</v>
          </cell>
          <cell r="C1220" t="str">
            <v>A/P UNEMPLOYMENT - MAINE</v>
          </cell>
        </row>
        <row r="1221">
          <cell r="A1221">
            <v>9689999</v>
          </cell>
          <cell r="B1221">
            <v>267618</v>
          </cell>
          <cell r="C1221" t="str">
            <v>A/P UNEMPLOYMENT - MAINE</v>
          </cell>
        </row>
        <row r="1222">
          <cell r="A1222">
            <v>9080999</v>
          </cell>
          <cell r="B1222">
            <v>267620</v>
          </cell>
          <cell r="C1222" t="str">
            <v>A/E UNEMP INS EMPLR - MA</v>
          </cell>
        </row>
        <row r="1223">
          <cell r="A1223">
            <v>9110999</v>
          </cell>
          <cell r="B1223">
            <v>267620</v>
          </cell>
          <cell r="C1223" t="str">
            <v>A/E UNEMP INS EMPLR - MA</v>
          </cell>
        </row>
        <row r="1224">
          <cell r="A1224">
            <v>9689883</v>
          </cell>
          <cell r="B1224">
            <v>267620</v>
          </cell>
          <cell r="C1224" t="str">
            <v>A/E UNEMP INS EMPLR - MA</v>
          </cell>
        </row>
        <row r="1225">
          <cell r="A1225">
            <v>9689906</v>
          </cell>
          <cell r="B1225">
            <v>267620</v>
          </cell>
          <cell r="C1225" t="str">
            <v>A/E UNEMP INS EMPLR - MA</v>
          </cell>
        </row>
        <row r="1226">
          <cell r="A1226">
            <v>9689992</v>
          </cell>
          <cell r="B1226">
            <v>267620</v>
          </cell>
          <cell r="C1226" t="str">
            <v>A/E UNEMP INS EMPLR - MA</v>
          </cell>
        </row>
        <row r="1227">
          <cell r="A1227">
            <v>9689999</v>
          </cell>
          <cell r="B1227">
            <v>267620</v>
          </cell>
          <cell r="C1227" t="str">
            <v>A/E UNEMP INS EMPLR - MA</v>
          </cell>
        </row>
        <row r="1228">
          <cell r="A1228">
            <v>9080999</v>
          </cell>
          <cell r="B1228">
            <v>267622</v>
          </cell>
          <cell r="C1228" t="str">
            <v>A/E UNEMP INS EMPLR - MN</v>
          </cell>
        </row>
        <row r="1229">
          <cell r="A1229">
            <v>9110999</v>
          </cell>
          <cell r="B1229">
            <v>267622</v>
          </cell>
          <cell r="C1229" t="str">
            <v>A/E UNEMP INS EMPLR - MN</v>
          </cell>
        </row>
        <row r="1230">
          <cell r="A1230">
            <v>9689999</v>
          </cell>
          <cell r="B1230">
            <v>267622</v>
          </cell>
          <cell r="C1230" t="str">
            <v>A/E UNEMP INS EMPLR - MN</v>
          </cell>
        </row>
        <row r="1231">
          <cell r="A1231">
            <v>9080999</v>
          </cell>
          <cell r="B1231">
            <v>267628</v>
          </cell>
          <cell r="C1231" t="str">
            <v>A/E UNEMP INS EMPLR - NJ</v>
          </cell>
        </row>
        <row r="1232">
          <cell r="A1232">
            <v>9110999</v>
          </cell>
          <cell r="B1232">
            <v>267628</v>
          </cell>
          <cell r="C1232" t="str">
            <v>A/E UNEMP INS EMPLR - NJ</v>
          </cell>
        </row>
        <row r="1233">
          <cell r="A1233">
            <v>9689999</v>
          </cell>
          <cell r="B1233">
            <v>267628</v>
          </cell>
          <cell r="C1233" t="str">
            <v>A/E UNEMP INS EMPLR - NJ</v>
          </cell>
        </row>
        <row r="1234">
          <cell r="A1234">
            <v>9080999</v>
          </cell>
          <cell r="B1234">
            <v>267631</v>
          </cell>
          <cell r="C1234" t="str">
            <v>A/E UNEMP INS EMPLR - NY</v>
          </cell>
        </row>
        <row r="1235">
          <cell r="A1235">
            <v>9110999</v>
          </cell>
          <cell r="B1235">
            <v>267631</v>
          </cell>
          <cell r="C1235" t="str">
            <v>A/E UNEMP INS EMPLR - NY</v>
          </cell>
        </row>
        <row r="1236">
          <cell r="A1236">
            <v>9689999</v>
          </cell>
          <cell r="B1236">
            <v>267631</v>
          </cell>
          <cell r="C1236" t="str">
            <v>A/E UNEMP INS EMPLR - NY</v>
          </cell>
        </row>
        <row r="1237">
          <cell r="A1237">
            <v>9080999</v>
          </cell>
          <cell r="B1237">
            <v>267632</v>
          </cell>
          <cell r="C1237" t="str">
            <v>A/E UNEMP INS EMPLR - NC</v>
          </cell>
        </row>
        <row r="1238">
          <cell r="A1238">
            <v>9110999</v>
          </cell>
          <cell r="B1238">
            <v>267632</v>
          </cell>
          <cell r="C1238" t="str">
            <v>A/E UNEMP INS EMPLR - NC</v>
          </cell>
        </row>
        <row r="1239">
          <cell r="A1239">
            <v>9689999</v>
          </cell>
          <cell r="B1239">
            <v>267632</v>
          </cell>
          <cell r="C1239" t="str">
            <v>A/E UNEMP INS EMPLR - NC</v>
          </cell>
        </row>
        <row r="1240">
          <cell r="A1240">
            <v>9080999</v>
          </cell>
          <cell r="B1240">
            <v>267635</v>
          </cell>
          <cell r="C1240" t="str">
            <v>A/E UNEMP INS EMPLR - OK</v>
          </cell>
        </row>
        <row r="1241">
          <cell r="A1241">
            <v>9110999</v>
          </cell>
          <cell r="B1241">
            <v>267635</v>
          </cell>
          <cell r="C1241" t="str">
            <v>A/E UNEMP INS EMPLR - OK</v>
          </cell>
        </row>
        <row r="1242">
          <cell r="A1242">
            <v>9689999</v>
          </cell>
          <cell r="B1242">
            <v>267635</v>
          </cell>
          <cell r="C1242" t="str">
            <v>A/E UNEMP INS EMPLR - OK</v>
          </cell>
        </row>
        <row r="1243">
          <cell r="A1243">
            <v>9080999</v>
          </cell>
          <cell r="B1243">
            <v>267642</v>
          </cell>
          <cell r="C1243" t="str">
            <v>A/E UNEMP INS EMPLR - TX</v>
          </cell>
        </row>
        <row r="1244">
          <cell r="A1244">
            <v>9110999</v>
          </cell>
          <cell r="B1244">
            <v>267642</v>
          </cell>
          <cell r="C1244" t="str">
            <v>A/E UNEMP INS EMPLR - TX</v>
          </cell>
        </row>
        <row r="1245">
          <cell r="A1245">
            <v>9689999</v>
          </cell>
          <cell r="B1245">
            <v>267642</v>
          </cell>
          <cell r="C1245" t="str">
            <v>A/E UNEMP INS EMPLR - TX</v>
          </cell>
        </row>
        <row r="1246">
          <cell r="A1246">
            <v>9689991</v>
          </cell>
          <cell r="B1246">
            <v>268170</v>
          </cell>
          <cell r="C1246" t="str">
            <v>ACCR EXP-LITIGATION &amp; CLAIMS</v>
          </cell>
        </row>
        <row r="1247">
          <cell r="A1247">
            <v>9090999</v>
          </cell>
          <cell r="B1247">
            <v>268300</v>
          </cell>
          <cell r="C1247" t="str">
            <v>ACCR EXP-INTEREST-INTERCOMPANY</v>
          </cell>
        </row>
        <row r="1248">
          <cell r="A1248">
            <v>9100999</v>
          </cell>
          <cell r="B1248">
            <v>268300</v>
          </cell>
          <cell r="C1248" t="str">
            <v>ACCR EXP-INTEREST-INTERCOMPANY</v>
          </cell>
        </row>
        <row r="1249">
          <cell r="A1249">
            <v>9689999</v>
          </cell>
          <cell r="B1249">
            <v>268300</v>
          </cell>
          <cell r="C1249" t="str">
            <v>ACCR EXP-INTEREST-INTERCOMPANY</v>
          </cell>
        </row>
        <row r="1250">
          <cell r="A1250">
            <v>9080999</v>
          </cell>
          <cell r="B1250">
            <v>268627</v>
          </cell>
          <cell r="C1250" t="str">
            <v>BANK SERVICE CHARGES</v>
          </cell>
        </row>
        <row r="1251">
          <cell r="A1251">
            <v>9110999</v>
          </cell>
          <cell r="B1251">
            <v>268627</v>
          </cell>
          <cell r="C1251" t="str">
            <v>BANK SERVICE CHARGES</v>
          </cell>
        </row>
        <row r="1252">
          <cell r="A1252">
            <v>9689999</v>
          </cell>
          <cell r="B1252">
            <v>268627</v>
          </cell>
          <cell r="C1252" t="str">
            <v>BANK SERVICE CHARGES</v>
          </cell>
        </row>
        <row r="1253">
          <cell r="A1253">
            <v>9684999</v>
          </cell>
          <cell r="B1253">
            <v>268754</v>
          </cell>
          <cell r="C1253" t="str">
            <v>A/E CURRENT LANDLORD REIMBUR LI</v>
          </cell>
        </row>
        <row r="1254">
          <cell r="A1254">
            <v>9685999</v>
          </cell>
          <cell r="B1254">
            <v>268754</v>
          </cell>
          <cell r="C1254" t="str">
            <v>A/E CURRENT LANDLORD REIMBUR LI</v>
          </cell>
        </row>
        <row r="1255">
          <cell r="A1255">
            <v>9689883</v>
          </cell>
          <cell r="B1255">
            <v>268754</v>
          </cell>
          <cell r="C1255" t="str">
            <v>A/E CURRENT LANDLORD REIMBUR LI</v>
          </cell>
        </row>
        <row r="1256">
          <cell r="A1256">
            <v>9689906</v>
          </cell>
          <cell r="B1256">
            <v>268754</v>
          </cell>
          <cell r="C1256" t="str">
            <v>A/E CURRENT LANDLORD REIMBUR LI</v>
          </cell>
        </row>
        <row r="1257">
          <cell r="A1257">
            <v>9689990</v>
          </cell>
          <cell r="B1257">
            <v>268754</v>
          </cell>
          <cell r="C1257" t="str">
            <v>A/E CURRENT LANDLORD REIMBUR LI</v>
          </cell>
        </row>
        <row r="1258">
          <cell r="A1258">
            <v>9689992</v>
          </cell>
          <cell r="B1258">
            <v>268754</v>
          </cell>
          <cell r="C1258" t="str">
            <v>A/E CURRENT LANDLORD REIMBUR LI</v>
          </cell>
        </row>
        <row r="1259">
          <cell r="A1259">
            <v>9967681</v>
          </cell>
          <cell r="B1259">
            <v>268990</v>
          </cell>
          <cell r="C1259" t="str">
            <v>A/E SUNDRY</v>
          </cell>
        </row>
        <row r="1260">
          <cell r="A1260">
            <v>9968681</v>
          </cell>
          <cell r="B1260">
            <v>268990</v>
          </cell>
          <cell r="C1260" t="str">
            <v>A/E SUNDRY</v>
          </cell>
        </row>
        <row r="1261">
          <cell r="A1261">
            <v>9968681</v>
          </cell>
          <cell r="B1261">
            <v>268996</v>
          </cell>
          <cell r="C1261" t="str">
            <v>RESERVE FOR EXCHANGE GAIN/LOSS</v>
          </cell>
        </row>
        <row r="1262">
          <cell r="A1262">
            <v>9090999</v>
          </cell>
          <cell r="B1262">
            <v>274960</v>
          </cell>
          <cell r="C1262" t="str">
            <v>ASSET RETIREMENT OBLIGATIONS</v>
          </cell>
        </row>
        <row r="1263">
          <cell r="A1263">
            <v>9100999</v>
          </cell>
          <cell r="B1263">
            <v>274960</v>
          </cell>
          <cell r="C1263" t="str">
            <v>ASSET RETIREMENT OBLIGATIONS</v>
          </cell>
        </row>
        <row r="1264">
          <cell r="A1264">
            <v>9680700</v>
          </cell>
          <cell r="B1264">
            <v>274960</v>
          </cell>
          <cell r="C1264" t="str">
            <v>ASSET RETIREMENT OBLIGATIONS</v>
          </cell>
        </row>
        <row r="1265">
          <cell r="A1265">
            <v>9680701</v>
          </cell>
          <cell r="B1265">
            <v>274960</v>
          </cell>
          <cell r="C1265" t="str">
            <v>ASSET RETIREMENT OBLIGATIONS</v>
          </cell>
        </row>
        <row r="1266">
          <cell r="A1266">
            <v>9680702</v>
          </cell>
          <cell r="B1266">
            <v>274960</v>
          </cell>
          <cell r="C1266" t="str">
            <v>ASSET RETIREMENT OBLIGATIONS</v>
          </cell>
        </row>
        <row r="1267">
          <cell r="A1267">
            <v>9680705</v>
          </cell>
          <cell r="B1267">
            <v>274960</v>
          </cell>
          <cell r="C1267" t="str">
            <v>ASSET RETIREMENT OBLIGATIONS</v>
          </cell>
        </row>
        <row r="1268">
          <cell r="A1268">
            <v>9680707</v>
          </cell>
          <cell r="B1268">
            <v>274960</v>
          </cell>
          <cell r="C1268" t="str">
            <v>ASSET RETIREMENT OBLIGATIONS</v>
          </cell>
        </row>
        <row r="1269">
          <cell r="A1269">
            <v>9680710</v>
          </cell>
          <cell r="B1269">
            <v>274960</v>
          </cell>
          <cell r="C1269" t="str">
            <v>ASSET RETIREMENT OBLIGATIONS</v>
          </cell>
        </row>
        <row r="1270">
          <cell r="A1270">
            <v>9680712</v>
          </cell>
          <cell r="B1270">
            <v>274960</v>
          </cell>
          <cell r="C1270" t="str">
            <v>ASSET RETIREMENT OBLIGATIONS</v>
          </cell>
        </row>
        <row r="1271">
          <cell r="A1271">
            <v>9680714</v>
          </cell>
          <cell r="B1271">
            <v>274960</v>
          </cell>
          <cell r="C1271" t="str">
            <v>ASSET RETIREMENT OBLIGATIONS</v>
          </cell>
        </row>
        <row r="1272">
          <cell r="A1272">
            <v>9680734</v>
          </cell>
          <cell r="B1272">
            <v>274960</v>
          </cell>
          <cell r="C1272" t="str">
            <v>ASSET RETIREMENT OBLIGATIONS</v>
          </cell>
        </row>
        <row r="1273">
          <cell r="A1273">
            <v>9680748</v>
          </cell>
          <cell r="B1273">
            <v>274960</v>
          </cell>
          <cell r="C1273" t="str">
            <v>ASSET RETIREMENT OBLIGATIONS</v>
          </cell>
        </row>
        <row r="1274">
          <cell r="A1274">
            <v>9680749</v>
          </cell>
          <cell r="B1274">
            <v>274960</v>
          </cell>
          <cell r="C1274" t="str">
            <v>ASSET RETIREMENT OBLIGATIONS</v>
          </cell>
        </row>
        <row r="1275">
          <cell r="A1275">
            <v>9680894</v>
          </cell>
          <cell r="B1275">
            <v>274960</v>
          </cell>
          <cell r="C1275" t="str">
            <v>ASSET RETIREMENT OBLIGATIONS</v>
          </cell>
        </row>
        <row r="1276">
          <cell r="A1276">
            <v>9680999</v>
          </cell>
          <cell r="B1276">
            <v>274960</v>
          </cell>
          <cell r="C1276" t="str">
            <v>ASSET RETIREMENT OBLIGATIONS</v>
          </cell>
        </row>
        <row r="1277">
          <cell r="A1277">
            <v>9681710</v>
          </cell>
          <cell r="B1277">
            <v>274960</v>
          </cell>
          <cell r="C1277" t="str">
            <v>ASSET RETIREMENT OBLIGATIONS</v>
          </cell>
        </row>
        <row r="1278">
          <cell r="A1278">
            <v>9681734</v>
          </cell>
          <cell r="B1278">
            <v>274960</v>
          </cell>
          <cell r="C1278" t="str">
            <v>ASSET RETIREMENT OBLIGATIONS</v>
          </cell>
        </row>
        <row r="1279">
          <cell r="A1279">
            <v>9681748</v>
          </cell>
          <cell r="B1279">
            <v>274960</v>
          </cell>
          <cell r="C1279" t="str">
            <v>ASSET RETIREMENT OBLIGATIONS</v>
          </cell>
        </row>
        <row r="1280">
          <cell r="A1280">
            <v>9681894</v>
          </cell>
          <cell r="B1280">
            <v>274960</v>
          </cell>
          <cell r="C1280" t="str">
            <v>ASSET RETIREMENT OBLIGATIONS</v>
          </cell>
        </row>
        <row r="1281">
          <cell r="A1281">
            <v>9684999</v>
          </cell>
          <cell r="B1281">
            <v>274960</v>
          </cell>
          <cell r="C1281" t="str">
            <v>ASSET RETIREMENT OBLIGATIONS</v>
          </cell>
        </row>
        <row r="1282">
          <cell r="A1282">
            <v>9689883</v>
          </cell>
          <cell r="B1282">
            <v>274960</v>
          </cell>
          <cell r="C1282" t="str">
            <v>ASSET RETIREMENT OBLIGATIONS</v>
          </cell>
        </row>
        <row r="1283">
          <cell r="A1283">
            <v>9689906</v>
          </cell>
          <cell r="B1283">
            <v>274960</v>
          </cell>
          <cell r="C1283" t="str">
            <v>ASSET RETIREMENT OBLIGATIONS</v>
          </cell>
        </row>
        <row r="1284">
          <cell r="A1284">
            <v>9689990</v>
          </cell>
          <cell r="B1284">
            <v>274960</v>
          </cell>
          <cell r="C1284" t="str">
            <v>ASSET RETIREMENT OBLIGATIONS</v>
          </cell>
        </row>
        <row r="1285">
          <cell r="A1285">
            <v>9689992</v>
          </cell>
          <cell r="B1285">
            <v>274960</v>
          </cell>
          <cell r="C1285" t="str">
            <v>ASSET RETIREMENT OBLIGATIONS</v>
          </cell>
        </row>
        <row r="1286">
          <cell r="A1286">
            <v>9090999</v>
          </cell>
          <cell r="B1286">
            <v>274961</v>
          </cell>
          <cell r="C1286" t="str">
            <v>DEFERRED REVENUE - LT</v>
          </cell>
        </row>
        <row r="1287">
          <cell r="A1287">
            <v>9100999</v>
          </cell>
          <cell r="B1287">
            <v>274961</v>
          </cell>
          <cell r="C1287" t="str">
            <v>DEFERRED REVENUE - LT</v>
          </cell>
        </row>
        <row r="1288">
          <cell r="A1288">
            <v>9689990</v>
          </cell>
          <cell r="B1288">
            <v>274962</v>
          </cell>
          <cell r="C1288" t="str">
            <v>DEFFERED G/L SALE SLE BACK - L/T</v>
          </cell>
        </row>
        <row r="1289">
          <cell r="A1289">
            <v>9684999</v>
          </cell>
          <cell r="B1289">
            <v>274963</v>
          </cell>
          <cell r="C1289" t="str">
            <v>LANDLORD REIMBUR FOR LI'S - L/T</v>
          </cell>
        </row>
        <row r="1290">
          <cell r="A1290">
            <v>9685999</v>
          </cell>
          <cell r="B1290">
            <v>274963</v>
          </cell>
          <cell r="C1290" t="str">
            <v>LANDLORD REIMBUR FOR LI'S - L/T</v>
          </cell>
        </row>
        <row r="1291">
          <cell r="A1291">
            <v>9689883</v>
          </cell>
          <cell r="B1291">
            <v>274963</v>
          </cell>
          <cell r="C1291" t="str">
            <v>LANDLORD REIMBUR FOR LI'S - L/T</v>
          </cell>
        </row>
        <row r="1292">
          <cell r="A1292">
            <v>9689906</v>
          </cell>
          <cell r="B1292">
            <v>274963</v>
          </cell>
          <cell r="C1292" t="str">
            <v>LANDLORD REIMBUR FOR LI'S - L/T</v>
          </cell>
        </row>
        <row r="1293">
          <cell r="A1293">
            <v>9689990</v>
          </cell>
          <cell r="B1293">
            <v>274963</v>
          </cell>
          <cell r="C1293" t="str">
            <v>LANDLORD REIMBUR FOR LI'S - L/T</v>
          </cell>
        </row>
        <row r="1294">
          <cell r="A1294">
            <v>9689992</v>
          </cell>
          <cell r="B1294">
            <v>274963</v>
          </cell>
          <cell r="C1294" t="str">
            <v>LANDLORD REIMBUR FOR LI'S - L/T</v>
          </cell>
        </row>
        <row r="1295">
          <cell r="A1295">
            <v>9080700</v>
          </cell>
          <cell r="B1295">
            <v>274998</v>
          </cell>
          <cell r="C1295" t="str">
            <v>DEFERRED INCOME- CURRENT</v>
          </cell>
        </row>
        <row r="1296">
          <cell r="A1296">
            <v>9080701</v>
          </cell>
          <cell r="B1296">
            <v>274998</v>
          </cell>
          <cell r="C1296" t="str">
            <v>DEFERRED INCOME- CURRENT</v>
          </cell>
        </row>
        <row r="1297">
          <cell r="A1297">
            <v>9080702</v>
          </cell>
          <cell r="B1297">
            <v>274998</v>
          </cell>
          <cell r="C1297" t="str">
            <v>DEFERRED INCOME- CURRENT</v>
          </cell>
        </row>
        <row r="1298">
          <cell r="A1298">
            <v>9080705</v>
          </cell>
          <cell r="B1298">
            <v>274998</v>
          </cell>
          <cell r="C1298" t="str">
            <v>DEFERRED INCOME- CURRENT</v>
          </cell>
        </row>
        <row r="1299">
          <cell r="A1299">
            <v>9080707</v>
          </cell>
          <cell r="B1299">
            <v>274998</v>
          </cell>
          <cell r="C1299" t="str">
            <v>DEFERRED INCOME- CURRENT</v>
          </cell>
        </row>
        <row r="1300">
          <cell r="A1300">
            <v>9080710</v>
          </cell>
          <cell r="B1300">
            <v>274998</v>
          </cell>
          <cell r="C1300" t="str">
            <v>DEFERRED INCOME- CURRENT</v>
          </cell>
        </row>
        <row r="1301">
          <cell r="A1301">
            <v>9090999</v>
          </cell>
          <cell r="B1301">
            <v>274998</v>
          </cell>
          <cell r="C1301" t="str">
            <v>DEFERRED INCOME- CURRENT</v>
          </cell>
        </row>
        <row r="1302">
          <cell r="A1302">
            <v>9100999</v>
          </cell>
          <cell r="B1302">
            <v>274998</v>
          </cell>
          <cell r="C1302" t="str">
            <v>DEFERRED INCOME- CURRENT</v>
          </cell>
        </row>
        <row r="1303">
          <cell r="A1303">
            <v>9110700</v>
          </cell>
          <cell r="B1303">
            <v>274998</v>
          </cell>
          <cell r="C1303" t="str">
            <v>DEFERRED INCOME- CURRENT</v>
          </cell>
        </row>
        <row r="1304">
          <cell r="A1304">
            <v>9110702</v>
          </cell>
          <cell r="B1304">
            <v>274998</v>
          </cell>
          <cell r="C1304" t="str">
            <v>DEFERRED INCOME- CURRENT</v>
          </cell>
        </row>
        <row r="1305">
          <cell r="A1305">
            <v>9110705</v>
          </cell>
          <cell r="B1305">
            <v>274998</v>
          </cell>
          <cell r="C1305" t="str">
            <v>DEFERRED INCOME- CURRENT</v>
          </cell>
        </row>
        <row r="1306">
          <cell r="A1306">
            <v>9110707</v>
          </cell>
          <cell r="B1306">
            <v>274998</v>
          </cell>
          <cell r="C1306" t="str">
            <v>DEFERRED INCOME- CURRENT</v>
          </cell>
        </row>
        <row r="1307">
          <cell r="A1307">
            <v>9681700</v>
          </cell>
          <cell r="B1307">
            <v>274998</v>
          </cell>
          <cell r="C1307" t="str">
            <v>DEFERRED INCOME- CURRENT</v>
          </cell>
        </row>
        <row r="1308">
          <cell r="A1308">
            <v>9681701</v>
          </cell>
          <cell r="B1308">
            <v>274998</v>
          </cell>
          <cell r="C1308" t="str">
            <v>DEFERRED INCOME- CURRENT</v>
          </cell>
        </row>
        <row r="1309">
          <cell r="A1309">
            <v>9681702</v>
          </cell>
          <cell r="B1309">
            <v>274998</v>
          </cell>
          <cell r="C1309" t="str">
            <v>DEFERRED INCOME- CURRENT</v>
          </cell>
        </row>
        <row r="1310">
          <cell r="A1310">
            <v>9681705</v>
          </cell>
          <cell r="B1310">
            <v>274998</v>
          </cell>
          <cell r="C1310" t="str">
            <v>DEFERRED INCOME- CURRENT</v>
          </cell>
        </row>
        <row r="1311">
          <cell r="A1311">
            <v>9681706</v>
          </cell>
          <cell r="B1311">
            <v>274998</v>
          </cell>
          <cell r="C1311" t="str">
            <v>DEFERRED INCOME- CURRENT</v>
          </cell>
        </row>
        <row r="1312">
          <cell r="A1312">
            <v>9681707</v>
          </cell>
          <cell r="B1312">
            <v>274998</v>
          </cell>
          <cell r="C1312" t="str">
            <v>DEFERRED INCOME- CURRENT</v>
          </cell>
        </row>
        <row r="1313">
          <cell r="A1313">
            <v>9681712</v>
          </cell>
          <cell r="B1313">
            <v>274998</v>
          </cell>
          <cell r="C1313" t="str">
            <v>DEFERRED INCOME- CURRENT</v>
          </cell>
        </row>
        <row r="1314">
          <cell r="A1314">
            <v>9681727</v>
          </cell>
          <cell r="B1314">
            <v>274998</v>
          </cell>
          <cell r="C1314" t="str">
            <v>DEFERRED INCOME- CURRENT</v>
          </cell>
        </row>
        <row r="1315">
          <cell r="A1315">
            <v>9681749</v>
          </cell>
          <cell r="B1315">
            <v>274998</v>
          </cell>
          <cell r="C1315" t="str">
            <v>DEFERRED INCOME- CURRENT</v>
          </cell>
        </row>
        <row r="1316">
          <cell r="A1316">
            <v>9681999</v>
          </cell>
          <cell r="B1316">
            <v>274998</v>
          </cell>
          <cell r="C1316" t="str">
            <v>DEFERRED INCOME- CURRENT</v>
          </cell>
        </row>
        <row r="1317">
          <cell r="A1317">
            <v>9682715</v>
          </cell>
          <cell r="B1317">
            <v>274998</v>
          </cell>
          <cell r="C1317" t="str">
            <v>DEFERRED INCOME- CURRENT</v>
          </cell>
        </row>
        <row r="1318">
          <cell r="A1318">
            <v>9682722</v>
          </cell>
          <cell r="B1318">
            <v>274998</v>
          </cell>
          <cell r="C1318" t="str">
            <v>DEFERRED INCOME- CURRENT</v>
          </cell>
        </row>
        <row r="1319">
          <cell r="A1319">
            <v>9682999</v>
          </cell>
          <cell r="B1319">
            <v>274998</v>
          </cell>
          <cell r="C1319" t="str">
            <v>DEFERRED INCOME- CURRENT</v>
          </cell>
        </row>
        <row r="1320">
          <cell r="A1320">
            <v>9722709</v>
          </cell>
          <cell r="B1320">
            <v>274998</v>
          </cell>
          <cell r="C1320" t="str">
            <v>DEFERRED INCOME- CURRENT</v>
          </cell>
        </row>
        <row r="1321">
          <cell r="A1321">
            <v>9722713</v>
          </cell>
          <cell r="B1321">
            <v>274998</v>
          </cell>
          <cell r="C1321" t="str">
            <v>DEFERRED INCOME- CURRENT</v>
          </cell>
        </row>
        <row r="1322">
          <cell r="A1322">
            <v>9080999</v>
          </cell>
          <cell r="B1322">
            <v>276439</v>
          </cell>
          <cell r="C1322" t="str">
            <v>A/E VACATION WAGES PAID</v>
          </cell>
        </row>
        <row r="1323">
          <cell r="A1323">
            <v>9090999</v>
          </cell>
          <cell r="B1323">
            <v>276439</v>
          </cell>
          <cell r="C1323" t="str">
            <v>A/E VACATION WAGES PAID</v>
          </cell>
        </row>
        <row r="1324">
          <cell r="A1324">
            <v>9100999</v>
          </cell>
          <cell r="B1324">
            <v>276439</v>
          </cell>
          <cell r="C1324" t="str">
            <v>A/E VACATION WAGES PAID</v>
          </cell>
        </row>
        <row r="1325">
          <cell r="A1325">
            <v>9110999</v>
          </cell>
          <cell r="B1325">
            <v>276439</v>
          </cell>
          <cell r="C1325" t="str">
            <v>A/E VACATION WAGES PAID</v>
          </cell>
        </row>
        <row r="1326">
          <cell r="A1326">
            <v>9689999</v>
          </cell>
          <cell r="B1326">
            <v>276439</v>
          </cell>
          <cell r="C1326" t="str">
            <v>A/E VACATION WAGES PAID</v>
          </cell>
        </row>
        <row r="1327">
          <cell r="A1327">
            <v>8001054179</v>
          </cell>
          <cell r="B1327">
            <v>290001</v>
          </cell>
          <cell r="C1327" t="str">
            <v>CAPITAL STOCK-COMMON STOCK</v>
          </cell>
        </row>
        <row r="1328">
          <cell r="A1328">
            <v>8001059542</v>
          </cell>
          <cell r="B1328">
            <v>290001</v>
          </cell>
          <cell r="C1328" t="str">
            <v>CAPITAL STOCK-COMMON STOCK</v>
          </cell>
        </row>
        <row r="1329">
          <cell r="A1329">
            <v>8010512510</v>
          </cell>
          <cell r="B1329">
            <v>290001</v>
          </cell>
          <cell r="C1329" t="str">
            <v>CAPITAL STOCK-COMMON STOCK</v>
          </cell>
        </row>
        <row r="1330">
          <cell r="A1330">
            <v>9080999</v>
          </cell>
          <cell r="B1330">
            <v>290001</v>
          </cell>
          <cell r="C1330" t="str">
            <v>CAPITAL STOCK-COMMON STOCK</v>
          </cell>
        </row>
        <row r="1331">
          <cell r="A1331">
            <v>9090999</v>
          </cell>
          <cell r="B1331">
            <v>290001</v>
          </cell>
          <cell r="C1331" t="str">
            <v>CAPITAL STOCK-COMMON STOCK</v>
          </cell>
        </row>
        <row r="1332">
          <cell r="A1332">
            <v>9100999</v>
          </cell>
          <cell r="B1332">
            <v>290001</v>
          </cell>
          <cell r="C1332" t="str">
            <v>CAPITAL STOCK-COMMON STOCK</v>
          </cell>
        </row>
        <row r="1333">
          <cell r="A1333">
            <v>9110999</v>
          </cell>
          <cell r="B1333">
            <v>290001</v>
          </cell>
          <cell r="C1333" t="str">
            <v>CAPITAL STOCK-COMMON STOCK</v>
          </cell>
        </row>
        <row r="1334">
          <cell r="A1334">
            <v>9689883</v>
          </cell>
          <cell r="B1334">
            <v>290001</v>
          </cell>
          <cell r="C1334" t="str">
            <v>CAPITAL STOCK-COMMON STOCK</v>
          </cell>
        </row>
        <row r="1335">
          <cell r="A1335">
            <v>9689906</v>
          </cell>
          <cell r="B1335">
            <v>290001</v>
          </cell>
          <cell r="C1335" t="str">
            <v>CAPITAL STOCK-COMMON STOCK</v>
          </cell>
        </row>
        <row r="1336">
          <cell r="A1336">
            <v>9689992</v>
          </cell>
          <cell r="B1336">
            <v>290001</v>
          </cell>
          <cell r="C1336" t="str">
            <v>CAPITAL STOCK-COMMON STOCK</v>
          </cell>
        </row>
        <row r="1337">
          <cell r="A1337">
            <v>9689999</v>
          </cell>
          <cell r="B1337">
            <v>290001</v>
          </cell>
          <cell r="C1337" t="str">
            <v>CAPITAL STOCK-COMMON STOCK</v>
          </cell>
        </row>
        <row r="1338">
          <cell r="A1338">
            <v>9966681</v>
          </cell>
          <cell r="B1338">
            <v>290001</v>
          </cell>
          <cell r="C1338" t="str">
            <v>CAPITAL STOCK-COMMON STOCK</v>
          </cell>
        </row>
        <row r="1339">
          <cell r="A1339">
            <v>9967681</v>
          </cell>
          <cell r="B1339">
            <v>290001</v>
          </cell>
          <cell r="C1339" t="str">
            <v>CAPITAL STOCK-COMMON STOCK</v>
          </cell>
        </row>
        <row r="1340">
          <cell r="A1340">
            <v>9968681</v>
          </cell>
          <cell r="B1340">
            <v>290001</v>
          </cell>
          <cell r="C1340" t="str">
            <v>CAPITAL STOCK-COMMON STOCK</v>
          </cell>
        </row>
        <row r="1341">
          <cell r="A1341">
            <v>9969681</v>
          </cell>
          <cell r="B1341">
            <v>290001</v>
          </cell>
          <cell r="C1341" t="str">
            <v>CAPITAL STOCK-COMMON STOCK</v>
          </cell>
        </row>
        <row r="1342">
          <cell r="A1342">
            <v>9969901</v>
          </cell>
          <cell r="B1342">
            <v>290001</v>
          </cell>
          <cell r="C1342" t="str">
            <v>CAPITAL STOCK-COMMON STOCK</v>
          </cell>
        </row>
        <row r="1343">
          <cell r="A1343" t="str">
            <v>ZONE-0105-POST</v>
          </cell>
          <cell r="B1343">
            <v>290001</v>
          </cell>
          <cell r="C1343" t="str">
            <v>CAPITAL STOCK-COMMON STOCK</v>
          </cell>
        </row>
        <row r="1344">
          <cell r="A1344" t="str">
            <v>ZONE-0112-POST</v>
          </cell>
          <cell r="B1344">
            <v>290001</v>
          </cell>
          <cell r="C1344" t="str">
            <v>CAPITAL STOCK-COMMON STOCK</v>
          </cell>
        </row>
        <row r="1345">
          <cell r="A1345">
            <v>9090999</v>
          </cell>
          <cell r="B1345">
            <v>290020</v>
          </cell>
          <cell r="C1345" t="str">
            <v>CAPITAL STOCK-PREFERRED STOCK</v>
          </cell>
        </row>
        <row r="1346">
          <cell r="A1346">
            <v>9100999</v>
          </cell>
          <cell r="B1346">
            <v>290020</v>
          </cell>
          <cell r="C1346" t="str">
            <v>CAPITAL STOCK-PREFERRED STOCK</v>
          </cell>
        </row>
        <row r="1347">
          <cell r="A1347">
            <v>9090999</v>
          </cell>
          <cell r="B1347">
            <v>290050</v>
          </cell>
          <cell r="C1347" t="str">
            <v>NOTES REC.-SUBSCRIPTION LOANS</v>
          </cell>
        </row>
        <row r="1348">
          <cell r="A1348">
            <v>9100999</v>
          </cell>
          <cell r="B1348">
            <v>290050</v>
          </cell>
          <cell r="C1348" t="str">
            <v>NOTES REC.-SUBSCRIPTION LOANS</v>
          </cell>
        </row>
        <row r="1349">
          <cell r="A1349">
            <v>9689883</v>
          </cell>
          <cell r="B1349">
            <v>290050</v>
          </cell>
          <cell r="C1349" t="str">
            <v>NOTES REC.-SUBSCRIPTION LOANS</v>
          </cell>
        </row>
        <row r="1350">
          <cell r="A1350">
            <v>9689906</v>
          </cell>
          <cell r="B1350">
            <v>290050</v>
          </cell>
          <cell r="C1350" t="str">
            <v>NOTES REC.-SUBSCRIPTION LOANS</v>
          </cell>
        </row>
        <row r="1351">
          <cell r="A1351">
            <v>9689992</v>
          </cell>
          <cell r="B1351">
            <v>290050</v>
          </cell>
          <cell r="C1351" t="str">
            <v>NOTES REC.-SUBSCRIPTION LOANS</v>
          </cell>
        </row>
        <row r="1352">
          <cell r="A1352">
            <v>8001054179</v>
          </cell>
          <cell r="B1352">
            <v>290100</v>
          </cell>
          <cell r="C1352" t="str">
            <v>CAPITAL STOCK-ADDITIONAL PAID-</v>
          </cell>
        </row>
        <row r="1353">
          <cell r="A1353">
            <v>8001059542</v>
          </cell>
          <cell r="B1353">
            <v>290100</v>
          </cell>
          <cell r="C1353" t="str">
            <v>CAPITAL STOCK-ADDITIONAL PAID-</v>
          </cell>
        </row>
        <row r="1354">
          <cell r="A1354">
            <v>8010512510</v>
          </cell>
          <cell r="B1354">
            <v>290100</v>
          </cell>
          <cell r="C1354" t="str">
            <v>CAPITAL STOCK-ADDITIONAL PAID-</v>
          </cell>
        </row>
        <row r="1355">
          <cell r="A1355">
            <v>9080999</v>
          </cell>
          <cell r="B1355">
            <v>290100</v>
          </cell>
          <cell r="C1355" t="str">
            <v>CAPITAL STOCK-ADDITIONAL PAID-</v>
          </cell>
        </row>
        <row r="1356">
          <cell r="A1356">
            <v>9090999</v>
          </cell>
          <cell r="B1356">
            <v>290100</v>
          </cell>
          <cell r="C1356" t="str">
            <v>CAPITAL STOCK-ADDITIONAL PAID-</v>
          </cell>
        </row>
        <row r="1357">
          <cell r="A1357">
            <v>9100999</v>
          </cell>
          <cell r="B1357">
            <v>290100</v>
          </cell>
          <cell r="C1357" t="str">
            <v>CAPITAL STOCK-ADDITIONAL PAID-</v>
          </cell>
        </row>
        <row r="1358">
          <cell r="A1358">
            <v>9110999</v>
          </cell>
          <cell r="B1358">
            <v>290100</v>
          </cell>
          <cell r="C1358" t="str">
            <v>CAPITAL STOCK-ADDITIONAL PAID-</v>
          </cell>
        </row>
        <row r="1359">
          <cell r="A1359">
            <v>9689999</v>
          </cell>
          <cell r="B1359">
            <v>290100</v>
          </cell>
          <cell r="C1359" t="str">
            <v>CAPITAL STOCK-ADDITIONAL PAID-</v>
          </cell>
        </row>
        <row r="1360">
          <cell r="A1360">
            <v>9966681</v>
          </cell>
          <cell r="B1360">
            <v>290100</v>
          </cell>
          <cell r="C1360" t="str">
            <v>CAPITAL STOCK-ADDITIONAL PAID-</v>
          </cell>
        </row>
        <row r="1361">
          <cell r="A1361">
            <v>9969681</v>
          </cell>
          <cell r="B1361">
            <v>290100</v>
          </cell>
          <cell r="C1361" t="str">
            <v>CAPITAL STOCK-ADDITIONAL PAID-</v>
          </cell>
        </row>
        <row r="1362">
          <cell r="A1362">
            <v>9969901</v>
          </cell>
          <cell r="B1362">
            <v>290100</v>
          </cell>
          <cell r="C1362" t="str">
            <v>CAPITAL STOCK-ADDITIONAL PAID-</v>
          </cell>
        </row>
        <row r="1363">
          <cell r="A1363" t="str">
            <v>ZONE-0105-POST</v>
          </cell>
          <cell r="B1363">
            <v>290100</v>
          </cell>
          <cell r="C1363" t="str">
            <v>CAPITAL STOCK-ADDITIONAL PAID-</v>
          </cell>
        </row>
        <row r="1364">
          <cell r="A1364" t="str">
            <v>ZONE-0112-POST</v>
          </cell>
          <cell r="B1364">
            <v>290100</v>
          </cell>
          <cell r="C1364" t="str">
            <v>CAPITAL STOCK-ADDITIONAL PAID-</v>
          </cell>
        </row>
        <row r="1365">
          <cell r="A1365">
            <v>9729999</v>
          </cell>
          <cell r="B1365">
            <v>290202</v>
          </cell>
          <cell r="C1365" t="str">
            <v>PARTNERSHIP CAPITAL</v>
          </cell>
        </row>
        <row r="1366">
          <cell r="A1366">
            <v>9967681</v>
          </cell>
          <cell r="B1366">
            <v>291001</v>
          </cell>
          <cell r="C1366" t="str">
            <v>CUMULA TRANSL ADJ-SAFEWAY - PRIOR</v>
          </cell>
        </row>
        <row r="1367">
          <cell r="A1367">
            <v>9969681</v>
          </cell>
          <cell r="B1367">
            <v>291001</v>
          </cell>
          <cell r="C1367" t="str">
            <v>CUMULA TRANSL ADJ-SAFEWAY - PRIOR</v>
          </cell>
        </row>
        <row r="1368">
          <cell r="A1368" t="str">
            <v>ZONE-0105-POST</v>
          </cell>
          <cell r="B1368">
            <v>291001</v>
          </cell>
          <cell r="C1368" t="str">
            <v>CUMULA TRANSL ADJ-SAFEWAY - PRIOR</v>
          </cell>
        </row>
        <row r="1369">
          <cell r="A1369" t="str">
            <v>ZONE-0112-POST</v>
          </cell>
          <cell r="B1369">
            <v>291001</v>
          </cell>
          <cell r="C1369" t="str">
            <v>CUMULA TRANSL ADJ-SAFEWAY - PRIOR</v>
          </cell>
        </row>
        <row r="1370">
          <cell r="A1370">
            <v>9080999</v>
          </cell>
          <cell r="B1370">
            <v>291010</v>
          </cell>
          <cell r="C1370" t="str">
            <v>CUMULA TRANSL ADJ-SAFEWAY - CURRENT</v>
          </cell>
        </row>
        <row r="1371">
          <cell r="A1371">
            <v>9100999</v>
          </cell>
          <cell r="B1371">
            <v>291010</v>
          </cell>
          <cell r="C1371" t="str">
            <v>CUMULA TRANSL ADJ-SAFEWAY - CURRENT</v>
          </cell>
        </row>
        <row r="1372">
          <cell r="A1372">
            <v>9110999</v>
          </cell>
          <cell r="B1372">
            <v>291010</v>
          </cell>
          <cell r="C1372" t="str">
            <v>CUMULA TRANSL ADJ-SAFEWAY - CURRENT</v>
          </cell>
        </row>
        <row r="1373">
          <cell r="A1373">
            <v>9967681</v>
          </cell>
          <cell r="B1373">
            <v>291010</v>
          </cell>
          <cell r="C1373" t="str">
            <v>CUMULA TRANSL ADJ-SAFEWAY - CURRENT</v>
          </cell>
        </row>
        <row r="1374">
          <cell r="A1374">
            <v>9968681</v>
          </cell>
          <cell r="B1374">
            <v>291010</v>
          </cell>
          <cell r="C1374" t="str">
            <v>CUMULA TRANSL ADJ-SAFEWAY - CURRENT</v>
          </cell>
        </row>
        <row r="1375">
          <cell r="A1375">
            <v>9969681</v>
          </cell>
          <cell r="B1375">
            <v>291010</v>
          </cell>
          <cell r="C1375" t="str">
            <v>CUMULA TRANSL ADJ-SAFEWAY - CURRENT</v>
          </cell>
        </row>
        <row r="1376">
          <cell r="A1376" t="str">
            <v>I/C-1510-POST</v>
          </cell>
          <cell r="B1376">
            <v>291010</v>
          </cell>
          <cell r="C1376" t="str">
            <v>CUMULA TRANSL ADJ-SAFEWAY - CURRENT</v>
          </cell>
        </row>
        <row r="1377">
          <cell r="A1377" t="str">
            <v>ZONE-0068-POST</v>
          </cell>
          <cell r="B1377">
            <v>291010</v>
          </cell>
          <cell r="C1377" t="str">
            <v>CUMULA TRANSL ADJ-SAFEWAY - CURRENT</v>
          </cell>
        </row>
        <row r="1378">
          <cell r="A1378" t="str">
            <v>ZONE-0072-POST</v>
          </cell>
          <cell r="B1378">
            <v>291010</v>
          </cell>
          <cell r="C1378" t="str">
            <v>CUMULA TRANSL ADJ-SAFEWAY - CURRENT</v>
          </cell>
        </row>
        <row r="1379">
          <cell r="A1379" t="str">
            <v>ZONE-0102-POST</v>
          </cell>
          <cell r="B1379">
            <v>291010</v>
          </cell>
          <cell r="C1379" t="str">
            <v>CUMULA TRANSL ADJ-SAFEWAY - CURRENT</v>
          </cell>
        </row>
        <row r="1380">
          <cell r="A1380" t="str">
            <v>ZONE-0103-POST</v>
          </cell>
          <cell r="B1380">
            <v>291010</v>
          </cell>
          <cell r="C1380" t="str">
            <v>CUMULA TRANSL ADJ-SAFEWAY - CURRENT</v>
          </cell>
        </row>
        <row r="1381">
          <cell r="A1381" t="str">
            <v>ZONE-0104-POST</v>
          </cell>
          <cell r="B1381">
            <v>291010</v>
          </cell>
          <cell r="C1381" t="str">
            <v>CUMULA TRANSL ADJ-SAFEWAY - CURRENT</v>
          </cell>
        </row>
        <row r="1382">
          <cell r="A1382" t="str">
            <v>ZONE-0105-POST</v>
          </cell>
          <cell r="B1382">
            <v>291010</v>
          </cell>
          <cell r="C1382" t="str">
            <v>CUMULA TRANSL ADJ-SAFEWAY - CURRENT</v>
          </cell>
        </row>
        <row r="1383">
          <cell r="A1383" t="str">
            <v>ZONE-0108-POST</v>
          </cell>
          <cell r="B1383">
            <v>291010</v>
          </cell>
          <cell r="C1383" t="str">
            <v>CUMULA TRANSL ADJ-SAFEWAY - CURRENT</v>
          </cell>
        </row>
        <row r="1384">
          <cell r="A1384" t="str">
            <v>ZONE-0109-POST</v>
          </cell>
          <cell r="B1384">
            <v>291010</v>
          </cell>
          <cell r="C1384" t="str">
            <v>CUMULA TRANSL ADJ-SAFEWAY - CURRENT</v>
          </cell>
        </row>
        <row r="1385">
          <cell r="A1385" t="str">
            <v>ZONE-0110-POST</v>
          </cell>
          <cell r="B1385">
            <v>291010</v>
          </cell>
          <cell r="C1385" t="str">
            <v>CUMULA TRANSL ADJ-SAFEWAY - CURRENT</v>
          </cell>
        </row>
        <row r="1386">
          <cell r="A1386" t="str">
            <v>ZONE-0111-POST</v>
          </cell>
          <cell r="B1386">
            <v>291010</v>
          </cell>
          <cell r="C1386" t="str">
            <v>CUMULA TRANSL ADJ-SAFEWAY - CURRENT</v>
          </cell>
        </row>
        <row r="1387">
          <cell r="A1387" t="str">
            <v>ZONE-0112-POST</v>
          </cell>
          <cell r="B1387">
            <v>291010</v>
          </cell>
          <cell r="C1387" t="str">
            <v>CUMULA TRANSL ADJ-SAFEWAY - CURRENT</v>
          </cell>
        </row>
        <row r="1388">
          <cell r="A1388" t="str">
            <v>ZONE-9998-POST</v>
          </cell>
          <cell r="B1388">
            <v>291010</v>
          </cell>
          <cell r="C1388" t="str">
            <v>CUMULA TRANSL ADJ-SAFEWAY - CURRENT</v>
          </cell>
        </row>
        <row r="1389">
          <cell r="A1389" t="str">
            <v>ZONE-9999-POST</v>
          </cell>
          <cell r="B1389">
            <v>291010</v>
          </cell>
          <cell r="C1389" t="str">
            <v>CUMULA TRANSL ADJ-SAFEWAY - CURRENT</v>
          </cell>
        </row>
        <row r="1390">
          <cell r="A1390">
            <v>9080999</v>
          </cell>
          <cell r="B1390">
            <v>291055</v>
          </cell>
          <cell r="C1390" t="str">
            <v>EQUITY UNEARNED COMPENSATION EXP</v>
          </cell>
        </row>
        <row r="1391">
          <cell r="A1391">
            <v>9110999</v>
          </cell>
          <cell r="B1391">
            <v>291055</v>
          </cell>
          <cell r="C1391" t="str">
            <v>EQUITY UNEARNED COMPENSATION EXP</v>
          </cell>
        </row>
        <row r="1392">
          <cell r="A1392">
            <v>9689999</v>
          </cell>
          <cell r="B1392">
            <v>291055</v>
          </cell>
          <cell r="C1392" t="str">
            <v>EQUITY UNEARNED COMPENSATION EXP</v>
          </cell>
        </row>
        <row r="1393">
          <cell r="A1393">
            <v>9090999</v>
          </cell>
          <cell r="B1393">
            <v>292001</v>
          </cell>
          <cell r="C1393" t="str">
            <v>PRIOR YEAR RETAINED EARNINGS</v>
          </cell>
        </row>
        <row r="1394">
          <cell r="A1394">
            <v>9100999</v>
          </cell>
          <cell r="B1394">
            <v>292001</v>
          </cell>
          <cell r="C1394" t="str">
            <v>PRIOR YEAR RETAINED EARNINGS</v>
          </cell>
        </row>
        <row r="1395">
          <cell r="A1395" t="str">
            <v>I/C-1510-POST</v>
          </cell>
          <cell r="B1395">
            <v>292001</v>
          </cell>
          <cell r="C1395" t="str">
            <v>PRIOR YEAR RETAINED EARNINGS</v>
          </cell>
        </row>
        <row r="1396">
          <cell r="A1396" t="str">
            <v>ZONE-0068-POST</v>
          </cell>
          <cell r="B1396">
            <v>292001</v>
          </cell>
          <cell r="C1396" t="str">
            <v>PRIOR YEAR RETAINED EARNINGS</v>
          </cell>
        </row>
        <row r="1397">
          <cell r="A1397" t="str">
            <v>ZONE-0072-POST</v>
          </cell>
          <cell r="B1397">
            <v>292001</v>
          </cell>
          <cell r="C1397" t="str">
            <v>PRIOR YEAR RETAINED EARNINGS</v>
          </cell>
        </row>
        <row r="1398">
          <cell r="A1398" t="str">
            <v>ZONE-0102-POST</v>
          </cell>
          <cell r="B1398">
            <v>292001</v>
          </cell>
          <cell r="C1398" t="str">
            <v>PRIOR YEAR RETAINED EARNINGS</v>
          </cell>
        </row>
        <row r="1399">
          <cell r="A1399" t="str">
            <v>ZONE-0103-POST</v>
          </cell>
          <cell r="B1399">
            <v>292001</v>
          </cell>
          <cell r="C1399" t="str">
            <v>PRIOR YEAR RETAINED EARNINGS</v>
          </cell>
        </row>
        <row r="1400">
          <cell r="A1400" t="str">
            <v>ZONE-0104-POST</v>
          </cell>
          <cell r="B1400">
            <v>292001</v>
          </cell>
          <cell r="C1400" t="str">
            <v>PRIOR YEAR RETAINED EARNINGS</v>
          </cell>
        </row>
        <row r="1401">
          <cell r="A1401" t="str">
            <v>ZONE-0105-POST</v>
          </cell>
          <cell r="B1401">
            <v>292001</v>
          </cell>
          <cell r="C1401" t="str">
            <v>PRIOR YEAR RETAINED EARNINGS</v>
          </cell>
        </row>
        <row r="1402">
          <cell r="A1402" t="str">
            <v>ZONE-0108-POST</v>
          </cell>
          <cell r="B1402">
            <v>292001</v>
          </cell>
          <cell r="C1402" t="str">
            <v>PRIOR YEAR RETAINED EARNINGS</v>
          </cell>
        </row>
        <row r="1403">
          <cell r="A1403" t="str">
            <v>ZONE-0109-POST</v>
          </cell>
          <cell r="B1403">
            <v>292001</v>
          </cell>
          <cell r="C1403" t="str">
            <v>PRIOR YEAR RETAINED EARNINGS</v>
          </cell>
        </row>
        <row r="1404">
          <cell r="A1404" t="str">
            <v>ZONE-0110-POST</v>
          </cell>
          <cell r="B1404">
            <v>292001</v>
          </cell>
          <cell r="C1404" t="str">
            <v>PRIOR YEAR RETAINED EARNINGS</v>
          </cell>
        </row>
        <row r="1405">
          <cell r="A1405" t="str">
            <v>ZONE-0111-POST</v>
          </cell>
          <cell r="B1405">
            <v>292001</v>
          </cell>
          <cell r="C1405" t="str">
            <v>PRIOR YEAR RETAINED EARNINGS</v>
          </cell>
        </row>
        <row r="1406">
          <cell r="A1406" t="str">
            <v>ZONE-0112-POST</v>
          </cell>
          <cell r="B1406">
            <v>292001</v>
          </cell>
          <cell r="C1406" t="str">
            <v>PRIOR YEAR RETAINED EARNINGS</v>
          </cell>
        </row>
        <row r="1407">
          <cell r="A1407" t="str">
            <v>ZONE-9998-POST</v>
          </cell>
          <cell r="B1407">
            <v>292001</v>
          </cell>
          <cell r="C1407" t="str">
            <v>PRIOR YEAR RETAINED EARNINGS</v>
          </cell>
        </row>
        <row r="1408">
          <cell r="A1408" t="str">
            <v>ZONE-9999-POST</v>
          </cell>
          <cell r="B1408">
            <v>292001</v>
          </cell>
          <cell r="C1408" t="str">
            <v>PRIOR YEAR RETAINED EARNINGS</v>
          </cell>
        </row>
        <row r="1409">
          <cell r="A1409">
            <v>9090999</v>
          </cell>
          <cell r="B1409">
            <v>292100</v>
          </cell>
          <cell r="C1409" t="str">
            <v>PRIOR YEAR RET EARN-SUBS</v>
          </cell>
        </row>
        <row r="1410">
          <cell r="A1410">
            <v>9120999</v>
          </cell>
          <cell r="B1410">
            <v>292100</v>
          </cell>
          <cell r="C1410" t="str">
            <v>PRIOR YEAR RET EARN-SUBS</v>
          </cell>
        </row>
        <row r="1411">
          <cell r="A1411">
            <v>9689999</v>
          </cell>
          <cell r="B1411">
            <v>292100</v>
          </cell>
          <cell r="C1411" t="str">
            <v>PRIOR YEAR RET EARN-SUBS</v>
          </cell>
        </row>
        <row r="1412">
          <cell r="A1412">
            <v>9966681</v>
          </cell>
          <cell r="B1412">
            <v>292100</v>
          </cell>
          <cell r="C1412" t="str">
            <v>PRIOR YEAR RET EARN-SUBS</v>
          </cell>
        </row>
        <row r="1413">
          <cell r="A1413" t="str">
            <v>ZONE-0109-POST</v>
          </cell>
          <cell r="B1413">
            <v>292102</v>
          </cell>
          <cell r="C1413" t="str">
            <v>History Retained Earnins</v>
          </cell>
        </row>
        <row r="1414">
          <cell r="A1414" t="str">
            <v>ZONE-0110-POST</v>
          </cell>
          <cell r="B1414">
            <v>292102</v>
          </cell>
          <cell r="C1414" t="str">
            <v>History Retained Earnins</v>
          </cell>
        </row>
        <row r="1415">
          <cell r="A1415" t="str">
            <v>ZONE-0111-POST</v>
          </cell>
          <cell r="B1415">
            <v>292102</v>
          </cell>
          <cell r="C1415" t="str">
            <v>History Retained Earnins</v>
          </cell>
        </row>
        <row r="1416">
          <cell r="A1416">
            <v>9080999</v>
          </cell>
          <cell r="B1416">
            <v>292150</v>
          </cell>
          <cell r="C1416" t="str">
            <v>CURR YEARS EARNINGS OF SUBS</v>
          </cell>
        </row>
        <row r="1417">
          <cell r="A1417">
            <v>9090999</v>
          </cell>
          <cell r="B1417">
            <v>292150</v>
          </cell>
          <cell r="C1417" t="str">
            <v>CURR YEARS EARNINGS OF SUBS</v>
          </cell>
        </row>
        <row r="1418">
          <cell r="A1418">
            <v>9110999</v>
          </cell>
          <cell r="B1418">
            <v>292150</v>
          </cell>
          <cell r="C1418" t="str">
            <v>CURR YEARS EARNINGS OF SUBS</v>
          </cell>
        </row>
        <row r="1419">
          <cell r="A1419">
            <v>9120999</v>
          </cell>
          <cell r="B1419">
            <v>292150</v>
          </cell>
          <cell r="C1419" t="str">
            <v>CURR YEARS EARNINGS OF SUBS</v>
          </cell>
        </row>
        <row r="1420">
          <cell r="A1420">
            <v>9689999</v>
          </cell>
          <cell r="B1420">
            <v>292150</v>
          </cell>
          <cell r="C1420" t="str">
            <v>CURR YEARS EARNINGS OF SUBS</v>
          </cell>
        </row>
        <row r="1421">
          <cell r="A1421">
            <v>9966681</v>
          </cell>
          <cell r="B1421">
            <v>292150</v>
          </cell>
          <cell r="C1421" t="str">
            <v>CURR YEARS EARNINGS OF SUBS</v>
          </cell>
        </row>
        <row r="1422">
          <cell r="A1422" t="str">
            <v>I/C-1510-POST</v>
          </cell>
          <cell r="B1422">
            <v>292501</v>
          </cell>
          <cell r="C1422" t="str">
            <v>RET EARN-GAINLOSS EARN-CURR</v>
          </cell>
        </row>
        <row r="1423">
          <cell r="A1423" t="str">
            <v>ZONE-0068-POST</v>
          </cell>
          <cell r="B1423">
            <v>292501</v>
          </cell>
          <cell r="C1423" t="str">
            <v>RET EARN-GAINLOSS EARN-CURR</v>
          </cell>
        </row>
        <row r="1424">
          <cell r="A1424" t="str">
            <v>ZONE-0072-POST</v>
          </cell>
          <cell r="B1424">
            <v>292501</v>
          </cell>
          <cell r="C1424" t="str">
            <v>RET EARN-GAINLOSS EARN-CURR</v>
          </cell>
        </row>
        <row r="1425">
          <cell r="A1425" t="str">
            <v>ZONE-0102-POST</v>
          </cell>
          <cell r="B1425">
            <v>292501</v>
          </cell>
          <cell r="C1425" t="str">
            <v>RET EARN-GAINLOSS EARN-CURR</v>
          </cell>
        </row>
        <row r="1426">
          <cell r="A1426" t="str">
            <v>ZONE-0103-POST</v>
          </cell>
          <cell r="B1426">
            <v>292501</v>
          </cell>
          <cell r="C1426" t="str">
            <v>RET EARN-GAINLOSS EARN-CURR</v>
          </cell>
        </row>
        <row r="1427">
          <cell r="A1427" t="str">
            <v>ZONE-0104-POST</v>
          </cell>
          <cell r="B1427">
            <v>292501</v>
          </cell>
          <cell r="C1427" t="str">
            <v>RET EARN-GAINLOSS EARN-CURR</v>
          </cell>
        </row>
        <row r="1428">
          <cell r="A1428" t="str">
            <v>ZONE-0105-POST</v>
          </cell>
          <cell r="B1428">
            <v>292501</v>
          </cell>
          <cell r="C1428" t="str">
            <v>RET EARN-GAINLOSS EARN-CURR</v>
          </cell>
        </row>
        <row r="1429">
          <cell r="A1429" t="str">
            <v>ZONE-0108-POST</v>
          </cell>
          <cell r="B1429">
            <v>292501</v>
          </cell>
          <cell r="C1429" t="str">
            <v>RET EARN-GAINLOSS EARN-CURR</v>
          </cell>
        </row>
        <row r="1430">
          <cell r="A1430" t="str">
            <v>ZONE-0109-POST</v>
          </cell>
          <cell r="B1430">
            <v>292501</v>
          </cell>
          <cell r="C1430" t="str">
            <v>RET EARN-GAINLOSS EARN-CURR</v>
          </cell>
        </row>
        <row r="1431">
          <cell r="A1431" t="str">
            <v>ZONE-0110-POST</v>
          </cell>
          <cell r="B1431">
            <v>292501</v>
          </cell>
          <cell r="C1431" t="str">
            <v>RET EARN-GAINLOSS EARN-CURR</v>
          </cell>
        </row>
        <row r="1432">
          <cell r="A1432" t="str">
            <v>ZONE-0111-POST</v>
          </cell>
          <cell r="B1432">
            <v>292501</v>
          </cell>
          <cell r="C1432" t="str">
            <v>RET EARN-GAINLOSS EARN-CURR</v>
          </cell>
        </row>
        <row r="1433">
          <cell r="A1433" t="str">
            <v>ZONE-0112-POST</v>
          </cell>
          <cell r="B1433">
            <v>292501</v>
          </cell>
          <cell r="C1433" t="str">
            <v>RET EARN-GAINLOSS EARN-CURR</v>
          </cell>
        </row>
        <row r="1434">
          <cell r="A1434" t="str">
            <v>ZONE-9998-POST</v>
          </cell>
          <cell r="B1434">
            <v>292501</v>
          </cell>
          <cell r="C1434" t="str">
            <v>RET EARN-GAINLOSS EARN-CURR</v>
          </cell>
        </row>
        <row r="1435">
          <cell r="A1435" t="str">
            <v>ZONE-9999-POST</v>
          </cell>
          <cell r="B1435">
            <v>292501</v>
          </cell>
          <cell r="C1435" t="str">
            <v>RET EARN-GAINLOSS EARN-CURR</v>
          </cell>
        </row>
        <row r="1436">
          <cell r="A1436">
            <v>9090999</v>
          </cell>
          <cell r="B1436">
            <v>292502</v>
          </cell>
          <cell r="C1436" t="str">
            <v>RET EARN-GAIN/LOSS EARN-YTD</v>
          </cell>
        </row>
        <row r="1437">
          <cell r="A1437">
            <v>9100999</v>
          </cell>
          <cell r="B1437">
            <v>292502</v>
          </cell>
          <cell r="C1437" t="str">
            <v>RET EARN-GAIN/LOSS EARN-YTD</v>
          </cell>
        </row>
        <row r="1438">
          <cell r="A1438" t="str">
            <v>I/C-1510-POST</v>
          </cell>
          <cell r="B1438">
            <v>299100</v>
          </cell>
          <cell r="C1438" t="str">
            <v>ERROR SUSPENSE - NON SPECIFIC</v>
          </cell>
        </row>
        <row r="1439">
          <cell r="A1439" t="str">
            <v>ZONE-0068-POST</v>
          </cell>
          <cell r="B1439">
            <v>299100</v>
          </cell>
          <cell r="C1439" t="str">
            <v>ERROR SUSPENSE - NON SPECIFIC</v>
          </cell>
        </row>
        <row r="1440">
          <cell r="A1440" t="str">
            <v>ZONE-0072-POST</v>
          </cell>
          <cell r="B1440">
            <v>299100</v>
          </cell>
          <cell r="C1440" t="str">
            <v>ERROR SUSPENSE - NON SPECIFIC</v>
          </cell>
        </row>
        <row r="1441">
          <cell r="A1441" t="str">
            <v>ZONE-0102-POST</v>
          </cell>
          <cell r="B1441">
            <v>299100</v>
          </cell>
          <cell r="C1441" t="str">
            <v>ERROR SUSPENSE - NON SPECIFIC</v>
          </cell>
        </row>
        <row r="1442">
          <cell r="A1442" t="str">
            <v>ZONE-0103-POST</v>
          </cell>
          <cell r="B1442">
            <v>299100</v>
          </cell>
          <cell r="C1442" t="str">
            <v>ERROR SUSPENSE - NON SPECIFIC</v>
          </cell>
        </row>
        <row r="1443">
          <cell r="A1443" t="str">
            <v>ZONE-0104-POST</v>
          </cell>
          <cell r="B1443">
            <v>299100</v>
          </cell>
          <cell r="C1443" t="str">
            <v>ERROR SUSPENSE - NON SPECIFIC</v>
          </cell>
        </row>
        <row r="1444">
          <cell r="A1444" t="str">
            <v>ZONE-0105-POST</v>
          </cell>
          <cell r="B1444">
            <v>299100</v>
          </cell>
          <cell r="C1444" t="str">
            <v>ERROR SUSPENSE - NON SPECIFIC</v>
          </cell>
        </row>
        <row r="1445">
          <cell r="A1445" t="str">
            <v>ZONE-0108-POST</v>
          </cell>
          <cell r="B1445">
            <v>299100</v>
          </cell>
          <cell r="C1445" t="str">
            <v>ERROR SUSPENSE - NON SPECIFIC</v>
          </cell>
        </row>
        <row r="1446">
          <cell r="A1446" t="str">
            <v>ZONE-0109-POST</v>
          </cell>
          <cell r="B1446">
            <v>299100</v>
          </cell>
          <cell r="C1446" t="str">
            <v>ERROR SUSPENSE - NON SPECIFIC</v>
          </cell>
        </row>
        <row r="1447">
          <cell r="A1447" t="str">
            <v>ZONE-0110-POST</v>
          </cell>
          <cell r="B1447">
            <v>299100</v>
          </cell>
          <cell r="C1447" t="str">
            <v>ERROR SUSPENSE - NON SPECIFIC</v>
          </cell>
        </row>
        <row r="1448">
          <cell r="A1448" t="str">
            <v>ZONE-0111-POST</v>
          </cell>
          <cell r="B1448">
            <v>299100</v>
          </cell>
          <cell r="C1448" t="str">
            <v>ERROR SUSPENSE - NON SPECIFIC</v>
          </cell>
        </row>
        <row r="1449">
          <cell r="A1449" t="str">
            <v>ZONE-0112-POST</v>
          </cell>
          <cell r="B1449">
            <v>299100</v>
          </cell>
          <cell r="C1449" t="str">
            <v>ERROR SUSPENSE - NON SPECIFIC</v>
          </cell>
        </row>
        <row r="1450">
          <cell r="A1450" t="str">
            <v>ZONE-9998-POST</v>
          </cell>
          <cell r="B1450">
            <v>299100</v>
          </cell>
          <cell r="C1450" t="str">
            <v>ERROR SUSPENSE - NON SPECIFIC</v>
          </cell>
        </row>
        <row r="1451">
          <cell r="A1451" t="str">
            <v>ZONE-9999-POST</v>
          </cell>
          <cell r="B1451">
            <v>299100</v>
          </cell>
          <cell r="C1451" t="str">
            <v>ERROR SUSPENSE - NON SPECIFIC</v>
          </cell>
        </row>
        <row r="1452">
          <cell r="A1452" t="str">
            <v>I/C-1510-POST</v>
          </cell>
          <cell r="B1452">
            <v>299101</v>
          </cell>
          <cell r="C1452" t="str">
            <v>ERROR SUSPENSE - AC - ACTIVITY MGMT</v>
          </cell>
        </row>
        <row r="1453">
          <cell r="A1453" t="str">
            <v>ZONE-0068-POST</v>
          </cell>
          <cell r="B1453">
            <v>299101</v>
          </cell>
          <cell r="C1453" t="str">
            <v>ERROR SUSPENSE - AC - ACTIVITY MGMT</v>
          </cell>
        </row>
        <row r="1454">
          <cell r="A1454" t="str">
            <v>ZONE-0072-POST</v>
          </cell>
          <cell r="B1454">
            <v>299101</v>
          </cell>
          <cell r="C1454" t="str">
            <v>ERROR SUSPENSE - AC - ACTIVITY MGMT</v>
          </cell>
        </row>
        <row r="1455">
          <cell r="A1455" t="str">
            <v>ZONE-0102-POST</v>
          </cell>
          <cell r="B1455">
            <v>299101</v>
          </cell>
          <cell r="C1455" t="str">
            <v>ERROR SUSPENSE - AC - ACTIVITY MGMT</v>
          </cell>
        </row>
        <row r="1456">
          <cell r="A1456" t="str">
            <v>ZONE-0103-POST</v>
          </cell>
          <cell r="B1456">
            <v>299101</v>
          </cell>
          <cell r="C1456" t="str">
            <v>ERROR SUSPENSE - AC - ACTIVITY MGMT</v>
          </cell>
        </row>
        <row r="1457">
          <cell r="A1457" t="str">
            <v>ZONE-0104-POST</v>
          </cell>
          <cell r="B1457">
            <v>299101</v>
          </cell>
          <cell r="C1457" t="str">
            <v>ERROR SUSPENSE - AC - ACTIVITY MGMT</v>
          </cell>
        </row>
        <row r="1458">
          <cell r="A1458" t="str">
            <v>ZONE-0105-POST</v>
          </cell>
          <cell r="B1458">
            <v>299101</v>
          </cell>
          <cell r="C1458" t="str">
            <v>ERROR SUSPENSE - AC - ACTIVITY MGMT</v>
          </cell>
        </row>
        <row r="1459">
          <cell r="A1459" t="str">
            <v>ZONE-0108-POST</v>
          </cell>
          <cell r="B1459">
            <v>299101</v>
          </cell>
          <cell r="C1459" t="str">
            <v>ERROR SUSPENSE - AC - ACTIVITY MGMT</v>
          </cell>
        </row>
        <row r="1460">
          <cell r="A1460" t="str">
            <v>ZONE-0109-POST</v>
          </cell>
          <cell r="B1460">
            <v>299101</v>
          </cell>
          <cell r="C1460" t="str">
            <v>ERROR SUSPENSE - AC - ACTIVITY MGMT</v>
          </cell>
        </row>
        <row r="1461">
          <cell r="A1461" t="str">
            <v>ZONE-0110-POST</v>
          </cell>
          <cell r="B1461">
            <v>299101</v>
          </cell>
          <cell r="C1461" t="str">
            <v>ERROR SUSPENSE - AC - ACTIVITY MGMT</v>
          </cell>
        </row>
        <row r="1462">
          <cell r="A1462" t="str">
            <v>ZONE-0111-POST</v>
          </cell>
          <cell r="B1462">
            <v>299101</v>
          </cell>
          <cell r="C1462" t="str">
            <v>ERROR SUSPENSE - AC - ACTIVITY MGMT</v>
          </cell>
        </row>
        <row r="1463">
          <cell r="A1463" t="str">
            <v>ZONE-0112-POST</v>
          </cell>
          <cell r="B1463">
            <v>299101</v>
          </cell>
          <cell r="C1463" t="str">
            <v>ERROR SUSPENSE - AC - ACTIVITY MGMT</v>
          </cell>
        </row>
        <row r="1464">
          <cell r="A1464" t="str">
            <v>ZONE-9998-POST</v>
          </cell>
          <cell r="B1464">
            <v>299101</v>
          </cell>
          <cell r="C1464" t="str">
            <v>ERROR SUSPENSE - AC - ACTIVITY MGMT</v>
          </cell>
        </row>
        <row r="1465">
          <cell r="A1465" t="str">
            <v>ZONE-9999-POST</v>
          </cell>
          <cell r="B1465">
            <v>299101</v>
          </cell>
          <cell r="C1465" t="str">
            <v>ERROR SUSPENSE - AC - ACTIVITY MGMT</v>
          </cell>
        </row>
        <row r="1466">
          <cell r="A1466" t="str">
            <v>I/C-1510-POST</v>
          </cell>
          <cell r="B1466">
            <v>299102</v>
          </cell>
          <cell r="C1466" t="str">
            <v>ERROR SUSPENSE - AM - ASSET MGMT</v>
          </cell>
        </row>
        <row r="1467">
          <cell r="A1467" t="str">
            <v>ZONE-0068-POST</v>
          </cell>
          <cell r="B1467">
            <v>299102</v>
          </cell>
          <cell r="C1467" t="str">
            <v>ERROR SUSPENSE - AM - ASSET MGMT</v>
          </cell>
        </row>
        <row r="1468">
          <cell r="A1468" t="str">
            <v>ZONE-0072-POST</v>
          </cell>
          <cell r="B1468">
            <v>299102</v>
          </cell>
          <cell r="C1468" t="str">
            <v>ERROR SUSPENSE - AM - ASSET MGMT</v>
          </cell>
        </row>
        <row r="1469">
          <cell r="A1469" t="str">
            <v>ZONE-0102-POST</v>
          </cell>
          <cell r="B1469">
            <v>299102</v>
          </cell>
          <cell r="C1469" t="str">
            <v>ERROR SUSPENSE - AM - ASSET MGMT</v>
          </cell>
        </row>
        <row r="1470">
          <cell r="A1470" t="str">
            <v>ZONE-0103-POST</v>
          </cell>
          <cell r="B1470">
            <v>299102</v>
          </cell>
          <cell r="C1470" t="str">
            <v>ERROR SUSPENSE - AM - ASSET MGMT</v>
          </cell>
        </row>
        <row r="1471">
          <cell r="A1471" t="str">
            <v>ZONE-0104-POST</v>
          </cell>
          <cell r="B1471">
            <v>299102</v>
          </cell>
          <cell r="C1471" t="str">
            <v>ERROR SUSPENSE - AM - ASSET MGMT</v>
          </cell>
        </row>
        <row r="1472">
          <cell r="A1472" t="str">
            <v>ZONE-0105-POST</v>
          </cell>
          <cell r="B1472">
            <v>299102</v>
          </cell>
          <cell r="C1472" t="str">
            <v>ERROR SUSPENSE - AM - ASSET MGMT</v>
          </cell>
        </row>
        <row r="1473">
          <cell r="A1473" t="str">
            <v>ZONE-0108-POST</v>
          </cell>
          <cell r="B1473">
            <v>299102</v>
          </cell>
          <cell r="C1473" t="str">
            <v>ERROR SUSPENSE - AM - ASSET MGMT</v>
          </cell>
        </row>
        <row r="1474">
          <cell r="A1474" t="str">
            <v>ZONE-0109-POST</v>
          </cell>
          <cell r="B1474">
            <v>299102</v>
          </cell>
          <cell r="C1474" t="str">
            <v>ERROR SUSPENSE - AM - ASSET MGMT</v>
          </cell>
        </row>
        <row r="1475">
          <cell r="A1475" t="str">
            <v>ZONE-0110-POST</v>
          </cell>
          <cell r="B1475">
            <v>299102</v>
          </cell>
          <cell r="C1475" t="str">
            <v>ERROR SUSPENSE - AM - ASSET MGMT</v>
          </cell>
        </row>
        <row r="1476">
          <cell r="A1476" t="str">
            <v>ZONE-0111-POST</v>
          </cell>
          <cell r="B1476">
            <v>299102</v>
          </cell>
          <cell r="C1476" t="str">
            <v>ERROR SUSPENSE - AM - ASSET MGMT</v>
          </cell>
        </row>
        <row r="1477">
          <cell r="A1477" t="str">
            <v>ZONE-0112-POST</v>
          </cell>
          <cell r="B1477">
            <v>299102</v>
          </cell>
          <cell r="C1477" t="str">
            <v>ERROR SUSPENSE - AM - ASSET MGMT</v>
          </cell>
        </row>
        <row r="1478">
          <cell r="A1478" t="str">
            <v>ZONE-9998-POST</v>
          </cell>
          <cell r="B1478">
            <v>299102</v>
          </cell>
          <cell r="C1478" t="str">
            <v>ERROR SUSPENSE - AM - ASSET MGMT</v>
          </cell>
        </row>
        <row r="1479">
          <cell r="A1479" t="str">
            <v>ZONE-9999-POST</v>
          </cell>
          <cell r="B1479">
            <v>299102</v>
          </cell>
          <cell r="C1479" t="str">
            <v>ERROR SUSPENSE - AM - ASSET MGMT</v>
          </cell>
        </row>
        <row r="1480">
          <cell r="A1480" t="str">
            <v>I/C-1510-POST</v>
          </cell>
          <cell r="B1480">
            <v>299103</v>
          </cell>
          <cell r="C1480" t="str">
            <v>ERROR SUSPENSE - AP - ACCOUNTS PAYABLE</v>
          </cell>
        </row>
        <row r="1481">
          <cell r="A1481" t="str">
            <v>ZONE-0068-POST</v>
          </cell>
          <cell r="B1481">
            <v>299103</v>
          </cell>
          <cell r="C1481" t="str">
            <v>ERROR SUSPENSE - AP - ACCOUNTS PAYABLE</v>
          </cell>
        </row>
        <row r="1482">
          <cell r="A1482" t="str">
            <v>ZONE-0072-POST</v>
          </cell>
          <cell r="B1482">
            <v>299103</v>
          </cell>
          <cell r="C1482" t="str">
            <v>ERROR SUSPENSE - AP - ACCOUNTS PAYABLE</v>
          </cell>
        </row>
        <row r="1483">
          <cell r="A1483" t="str">
            <v>ZONE-0102-POST</v>
          </cell>
          <cell r="B1483">
            <v>299103</v>
          </cell>
          <cell r="C1483" t="str">
            <v>ERROR SUSPENSE - AP - ACCOUNTS PAYABLE</v>
          </cell>
        </row>
        <row r="1484">
          <cell r="A1484" t="str">
            <v>ZONE-0103-POST</v>
          </cell>
          <cell r="B1484">
            <v>299103</v>
          </cell>
          <cell r="C1484" t="str">
            <v>ERROR SUSPENSE - AP - ACCOUNTS PAYABLE</v>
          </cell>
        </row>
        <row r="1485">
          <cell r="A1485" t="str">
            <v>ZONE-0104-POST</v>
          </cell>
          <cell r="B1485">
            <v>299103</v>
          </cell>
          <cell r="C1485" t="str">
            <v>ERROR SUSPENSE - AP - ACCOUNTS PAYABLE</v>
          </cell>
        </row>
        <row r="1486">
          <cell r="A1486" t="str">
            <v>ZONE-0105-POST</v>
          </cell>
          <cell r="B1486">
            <v>299103</v>
          </cell>
          <cell r="C1486" t="str">
            <v>ERROR SUSPENSE - AP - ACCOUNTS PAYABLE</v>
          </cell>
        </row>
        <row r="1487">
          <cell r="A1487" t="str">
            <v>ZONE-0108-POST</v>
          </cell>
          <cell r="B1487">
            <v>299103</v>
          </cell>
          <cell r="C1487" t="str">
            <v>ERROR SUSPENSE - AP - ACCOUNTS PAYABLE</v>
          </cell>
        </row>
        <row r="1488">
          <cell r="A1488" t="str">
            <v>ZONE-0109-POST</v>
          </cell>
          <cell r="B1488">
            <v>299103</v>
          </cell>
          <cell r="C1488" t="str">
            <v>ERROR SUSPENSE - AP - ACCOUNTS PAYABLE</v>
          </cell>
        </row>
        <row r="1489">
          <cell r="A1489" t="str">
            <v>ZONE-0110-POST</v>
          </cell>
          <cell r="B1489">
            <v>299103</v>
          </cell>
          <cell r="C1489" t="str">
            <v>ERROR SUSPENSE - AP - ACCOUNTS PAYABLE</v>
          </cell>
        </row>
        <row r="1490">
          <cell r="A1490" t="str">
            <v>ZONE-0111-POST</v>
          </cell>
          <cell r="B1490">
            <v>299103</v>
          </cell>
          <cell r="C1490" t="str">
            <v>ERROR SUSPENSE - AP - ACCOUNTS PAYABLE</v>
          </cell>
        </row>
        <row r="1491">
          <cell r="A1491" t="str">
            <v>ZONE-0112-POST</v>
          </cell>
          <cell r="B1491">
            <v>299103</v>
          </cell>
          <cell r="C1491" t="str">
            <v>ERROR SUSPENSE - AP - ACCOUNTS PAYABLE</v>
          </cell>
        </row>
        <row r="1492">
          <cell r="A1492" t="str">
            <v>ZONE-9998-POST</v>
          </cell>
          <cell r="B1492">
            <v>299103</v>
          </cell>
          <cell r="C1492" t="str">
            <v>ERROR SUSPENSE - AP - ACCOUNTS PAYABLE</v>
          </cell>
        </row>
        <row r="1493">
          <cell r="A1493" t="str">
            <v>ZONE-9999-POST</v>
          </cell>
          <cell r="B1493">
            <v>299103</v>
          </cell>
          <cell r="C1493" t="str">
            <v>ERROR SUSPENSE - AP - ACCOUNTS PAYABLE</v>
          </cell>
        </row>
        <row r="1494">
          <cell r="A1494" t="str">
            <v>I/C-1510-POST</v>
          </cell>
          <cell r="B1494">
            <v>299104</v>
          </cell>
          <cell r="C1494" t="str">
            <v>ERROR SUSPENSE - AR - ACCOUNTS REC</v>
          </cell>
        </row>
        <row r="1495">
          <cell r="A1495" t="str">
            <v>ZONE-0068-POST</v>
          </cell>
          <cell r="B1495">
            <v>299104</v>
          </cell>
          <cell r="C1495" t="str">
            <v>ERROR SUSPENSE - AR - ACCOUNTS REC</v>
          </cell>
        </row>
        <row r="1496">
          <cell r="A1496" t="str">
            <v>ZONE-0072-POST</v>
          </cell>
          <cell r="B1496">
            <v>299104</v>
          </cell>
          <cell r="C1496" t="str">
            <v>ERROR SUSPENSE - AR - ACCOUNTS REC</v>
          </cell>
        </row>
        <row r="1497">
          <cell r="A1497" t="str">
            <v>ZONE-0102-POST</v>
          </cell>
          <cell r="B1497">
            <v>299104</v>
          </cell>
          <cell r="C1497" t="str">
            <v>ERROR SUSPENSE - AR - ACCOUNTS REC</v>
          </cell>
        </row>
        <row r="1498">
          <cell r="A1498" t="str">
            <v>ZONE-0103-POST</v>
          </cell>
          <cell r="B1498">
            <v>299104</v>
          </cell>
          <cell r="C1498" t="str">
            <v>ERROR SUSPENSE - AR - ACCOUNTS REC</v>
          </cell>
        </row>
        <row r="1499">
          <cell r="A1499" t="str">
            <v>ZONE-0104-POST</v>
          </cell>
          <cell r="B1499">
            <v>299104</v>
          </cell>
          <cell r="C1499" t="str">
            <v>ERROR SUSPENSE - AR - ACCOUNTS REC</v>
          </cell>
        </row>
        <row r="1500">
          <cell r="A1500" t="str">
            <v>ZONE-0105-POST</v>
          </cell>
          <cell r="B1500">
            <v>299104</v>
          </cell>
          <cell r="C1500" t="str">
            <v>ERROR SUSPENSE - AR - ACCOUNTS REC</v>
          </cell>
        </row>
        <row r="1501">
          <cell r="A1501" t="str">
            <v>ZONE-0108-POST</v>
          </cell>
          <cell r="B1501">
            <v>299104</v>
          </cell>
          <cell r="C1501" t="str">
            <v>ERROR SUSPENSE - AR - ACCOUNTS REC</v>
          </cell>
        </row>
        <row r="1502">
          <cell r="A1502" t="str">
            <v>ZONE-0109-POST</v>
          </cell>
          <cell r="B1502">
            <v>299104</v>
          </cell>
          <cell r="C1502" t="str">
            <v>ERROR SUSPENSE - AR - ACCOUNTS REC</v>
          </cell>
        </row>
        <row r="1503">
          <cell r="A1503" t="str">
            <v>ZONE-0110-POST</v>
          </cell>
          <cell r="B1503">
            <v>299104</v>
          </cell>
          <cell r="C1503" t="str">
            <v>ERROR SUSPENSE - AR - ACCOUNTS REC</v>
          </cell>
        </row>
        <row r="1504">
          <cell r="A1504" t="str">
            <v>ZONE-0111-POST</v>
          </cell>
          <cell r="B1504">
            <v>299104</v>
          </cell>
          <cell r="C1504" t="str">
            <v>ERROR SUSPENSE - AR - ACCOUNTS REC</v>
          </cell>
        </row>
        <row r="1505">
          <cell r="A1505" t="str">
            <v>ZONE-0112-POST</v>
          </cell>
          <cell r="B1505">
            <v>299104</v>
          </cell>
          <cell r="C1505" t="str">
            <v>ERROR SUSPENSE - AR - ACCOUNTS REC</v>
          </cell>
        </row>
        <row r="1506">
          <cell r="A1506" t="str">
            <v>ZONE-9998-POST</v>
          </cell>
          <cell r="B1506">
            <v>299104</v>
          </cell>
          <cell r="C1506" t="str">
            <v>ERROR SUSPENSE - AR - ACCOUNTS REC</v>
          </cell>
        </row>
        <row r="1507">
          <cell r="A1507" t="str">
            <v>ZONE-9999-POST</v>
          </cell>
          <cell r="B1507">
            <v>299104</v>
          </cell>
          <cell r="C1507" t="str">
            <v>ERROR SUSPENSE - AR - ACCOUNTS REC</v>
          </cell>
        </row>
        <row r="1508">
          <cell r="A1508" t="str">
            <v>I/C-1510-POST</v>
          </cell>
          <cell r="B1508">
            <v>299105</v>
          </cell>
          <cell r="C1508" t="str">
            <v>ERROR SUSPENSE - BL - BILLING</v>
          </cell>
        </row>
        <row r="1509">
          <cell r="A1509" t="str">
            <v>ZONE-0068-POST</v>
          </cell>
          <cell r="B1509">
            <v>299105</v>
          </cell>
          <cell r="C1509" t="str">
            <v>ERROR SUSPENSE - BL - BILLING</v>
          </cell>
        </row>
        <row r="1510">
          <cell r="A1510" t="str">
            <v>ZONE-0072-POST</v>
          </cell>
          <cell r="B1510">
            <v>299105</v>
          </cell>
          <cell r="C1510" t="str">
            <v>ERROR SUSPENSE - BL - BILLING</v>
          </cell>
        </row>
        <row r="1511">
          <cell r="A1511" t="str">
            <v>ZONE-0102-POST</v>
          </cell>
          <cell r="B1511">
            <v>299105</v>
          </cell>
          <cell r="C1511" t="str">
            <v>ERROR SUSPENSE - BL - BILLING</v>
          </cell>
        </row>
        <row r="1512">
          <cell r="A1512" t="str">
            <v>ZONE-0103-POST</v>
          </cell>
          <cell r="B1512">
            <v>299105</v>
          </cell>
          <cell r="C1512" t="str">
            <v>ERROR SUSPENSE - BL - BILLING</v>
          </cell>
        </row>
        <row r="1513">
          <cell r="A1513" t="str">
            <v>ZONE-0104-POST</v>
          </cell>
          <cell r="B1513">
            <v>299105</v>
          </cell>
          <cell r="C1513" t="str">
            <v>ERROR SUSPENSE - BL - BILLING</v>
          </cell>
        </row>
        <row r="1514">
          <cell r="A1514" t="str">
            <v>ZONE-0105-POST</v>
          </cell>
          <cell r="B1514">
            <v>299105</v>
          </cell>
          <cell r="C1514" t="str">
            <v>ERROR SUSPENSE - BL - BILLING</v>
          </cell>
        </row>
        <row r="1515">
          <cell r="A1515" t="str">
            <v>ZONE-0108-POST</v>
          </cell>
          <cell r="B1515">
            <v>299105</v>
          </cell>
          <cell r="C1515" t="str">
            <v>ERROR SUSPENSE - BL - BILLING</v>
          </cell>
        </row>
        <row r="1516">
          <cell r="A1516" t="str">
            <v>ZONE-0109-POST</v>
          </cell>
          <cell r="B1516">
            <v>299105</v>
          </cell>
          <cell r="C1516" t="str">
            <v>ERROR SUSPENSE - BL - BILLING</v>
          </cell>
        </row>
        <row r="1517">
          <cell r="A1517" t="str">
            <v>ZONE-0110-POST</v>
          </cell>
          <cell r="B1517">
            <v>299105</v>
          </cell>
          <cell r="C1517" t="str">
            <v>ERROR SUSPENSE - BL - BILLING</v>
          </cell>
        </row>
        <row r="1518">
          <cell r="A1518" t="str">
            <v>ZONE-0111-POST</v>
          </cell>
          <cell r="B1518">
            <v>299105</v>
          </cell>
          <cell r="C1518" t="str">
            <v>ERROR SUSPENSE - BL - BILLING</v>
          </cell>
        </row>
        <row r="1519">
          <cell r="A1519" t="str">
            <v>ZONE-0112-POST</v>
          </cell>
          <cell r="B1519">
            <v>299105</v>
          </cell>
          <cell r="C1519" t="str">
            <v>ERROR SUSPENSE - BL - BILLING</v>
          </cell>
        </row>
        <row r="1520">
          <cell r="A1520" t="str">
            <v>ZONE-9998-POST</v>
          </cell>
          <cell r="B1520">
            <v>299105</v>
          </cell>
          <cell r="C1520" t="str">
            <v>ERROR SUSPENSE - BL - BILLING</v>
          </cell>
        </row>
        <row r="1521">
          <cell r="A1521" t="str">
            <v>ZONE-9999-POST</v>
          </cell>
          <cell r="B1521">
            <v>299105</v>
          </cell>
          <cell r="C1521" t="str">
            <v>ERROR SUSPENSE - BL - BILLING</v>
          </cell>
        </row>
        <row r="1522">
          <cell r="A1522" t="str">
            <v>I/C-1510-POST</v>
          </cell>
          <cell r="B1522">
            <v>299107</v>
          </cell>
          <cell r="C1522" t="str">
            <v>ERROR SUSPENSE - BR - BILLING &amp; REVIEW</v>
          </cell>
        </row>
        <row r="1523">
          <cell r="A1523" t="str">
            <v>ZONE-0068-POST</v>
          </cell>
          <cell r="B1523">
            <v>299107</v>
          </cell>
          <cell r="C1523" t="str">
            <v>ERROR SUSPENSE - BR - BILLING &amp; REVIEW</v>
          </cell>
        </row>
        <row r="1524">
          <cell r="A1524" t="str">
            <v>ZONE-0072-POST</v>
          </cell>
          <cell r="B1524">
            <v>299107</v>
          </cell>
          <cell r="C1524" t="str">
            <v>ERROR SUSPENSE - BR - BILLING &amp; REVIEW</v>
          </cell>
        </row>
        <row r="1525">
          <cell r="A1525" t="str">
            <v>ZONE-0102-POST</v>
          </cell>
          <cell r="B1525">
            <v>299107</v>
          </cell>
          <cell r="C1525" t="str">
            <v>ERROR SUSPENSE - BR - BILLING &amp; REVIEW</v>
          </cell>
        </row>
        <row r="1526">
          <cell r="A1526" t="str">
            <v>ZONE-0103-POST</v>
          </cell>
          <cell r="B1526">
            <v>299107</v>
          </cell>
          <cell r="C1526" t="str">
            <v>ERROR SUSPENSE - BR - BILLING &amp; REVIEW</v>
          </cell>
        </row>
        <row r="1527">
          <cell r="A1527" t="str">
            <v>ZONE-0104-POST</v>
          </cell>
          <cell r="B1527">
            <v>299107</v>
          </cell>
          <cell r="C1527" t="str">
            <v>ERROR SUSPENSE - BR - BILLING &amp; REVIEW</v>
          </cell>
        </row>
        <row r="1528">
          <cell r="A1528" t="str">
            <v>ZONE-0105-POST</v>
          </cell>
          <cell r="B1528">
            <v>299107</v>
          </cell>
          <cell r="C1528" t="str">
            <v>ERROR SUSPENSE - BR - BILLING &amp; REVIEW</v>
          </cell>
        </row>
        <row r="1529">
          <cell r="A1529" t="str">
            <v>ZONE-0108-POST</v>
          </cell>
          <cell r="B1529">
            <v>299107</v>
          </cell>
          <cell r="C1529" t="str">
            <v>ERROR SUSPENSE - BR - BILLING &amp; REVIEW</v>
          </cell>
        </row>
        <row r="1530">
          <cell r="A1530" t="str">
            <v>ZONE-0109-POST</v>
          </cell>
          <cell r="B1530">
            <v>299107</v>
          </cell>
          <cell r="C1530" t="str">
            <v>ERROR SUSPENSE - BR - BILLING &amp; REVIEW</v>
          </cell>
        </row>
        <row r="1531">
          <cell r="A1531" t="str">
            <v>ZONE-0110-POST</v>
          </cell>
          <cell r="B1531">
            <v>299107</v>
          </cell>
          <cell r="C1531" t="str">
            <v>ERROR SUSPENSE - BR - BILLING &amp; REVIEW</v>
          </cell>
        </row>
        <row r="1532">
          <cell r="A1532" t="str">
            <v>ZONE-0111-POST</v>
          </cell>
          <cell r="B1532">
            <v>299107</v>
          </cell>
          <cell r="C1532" t="str">
            <v>ERROR SUSPENSE - BR - BILLING &amp; REVIEW</v>
          </cell>
        </row>
        <row r="1533">
          <cell r="A1533" t="str">
            <v>ZONE-0112-POST</v>
          </cell>
          <cell r="B1533">
            <v>299107</v>
          </cell>
          <cell r="C1533" t="str">
            <v>ERROR SUSPENSE - BR - BILLING &amp; REVIEW</v>
          </cell>
        </row>
        <row r="1534">
          <cell r="A1534" t="str">
            <v>ZONE-9998-POST</v>
          </cell>
          <cell r="B1534">
            <v>299107</v>
          </cell>
          <cell r="C1534" t="str">
            <v>ERROR SUSPENSE - BR - BILLING &amp; REVIEW</v>
          </cell>
        </row>
        <row r="1535">
          <cell r="A1535" t="str">
            <v>ZONE-9999-POST</v>
          </cell>
          <cell r="B1535">
            <v>299107</v>
          </cell>
          <cell r="C1535" t="str">
            <v>ERROR SUSPENSE - BR - BILLING &amp; REVIEW</v>
          </cell>
        </row>
        <row r="1536">
          <cell r="A1536" t="str">
            <v>I/C-1510-POST</v>
          </cell>
          <cell r="B1536">
            <v>299108</v>
          </cell>
          <cell r="C1536" t="str">
            <v>ERROR SUSPENSE - CA - COST ALLOCATION</v>
          </cell>
        </row>
        <row r="1537">
          <cell r="A1537" t="str">
            <v>ZONE-0068-POST</v>
          </cell>
          <cell r="B1537">
            <v>299108</v>
          </cell>
          <cell r="C1537" t="str">
            <v>ERROR SUSPENSE - CA - COST ALLOCATION</v>
          </cell>
        </row>
        <row r="1538">
          <cell r="A1538" t="str">
            <v>ZONE-0072-POST</v>
          </cell>
          <cell r="B1538">
            <v>299108</v>
          </cell>
          <cell r="C1538" t="str">
            <v>ERROR SUSPENSE - CA - COST ALLOCATION</v>
          </cell>
        </row>
        <row r="1539">
          <cell r="A1539" t="str">
            <v>ZONE-0102-POST</v>
          </cell>
          <cell r="B1539">
            <v>299108</v>
          </cell>
          <cell r="C1539" t="str">
            <v>ERROR SUSPENSE - CA - COST ALLOCATION</v>
          </cell>
        </row>
        <row r="1540">
          <cell r="A1540" t="str">
            <v>ZONE-0103-POST</v>
          </cell>
          <cell r="B1540">
            <v>299108</v>
          </cell>
          <cell r="C1540" t="str">
            <v>ERROR SUSPENSE - CA - COST ALLOCATION</v>
          </cell>
        </row>
        <row r="1541">
          <cell r="A1541" t="str">
            <v>ZONE-0104-POST</v>
          </cell>
          <cell r="B1541">
            <v>299108</v>
          </cell>
          <cell r="C1541" t="str">
            <v>ERROR SUSPENSE - CA - COST ALLOCATION</v>
          </cell>
        </row>
        <row r="1542">
          <cell r="A1542" t="str">
            <v>ZONE-0105-POST</v>
          </cell>
          <cell r="B1542">
            <v>299108</v>
          </cell>
          <cell r="C1542" t="str">
            <v>ERROR SUSPENSE - CA - COST ALLOCATION</v>
          </cell>
        </row>
        <row r="1543">
          <cell r="A1543" t="str">
            <v>ZONE-0108-POST</v>
          </cell>
          <cell r="B1543">
            <v>299108</v>
          </cell>
          <cell r="C1543" t="str">
            <v>ERROR SUSPENSE - CA - COST ALLOCATION</v>
          </cell>
        </row>
        <row r="1544">
          <cell r="A1544" t="str">
            <v>ZONE-0109-POST</v>
          </cell>
          <cell r="B1544">
            <v>299108</v>
          </cell>
          <cell r="C1544" t="str">
            <v>ERROR SUSPENSE - CA - COST ALLOCATION</v>
          </cell>
        </row>
        <row r="1545">
          <cell r="A1545" t="str">
            <v>ZONE-0110-POST</v>
          </cell>
          <cell r="B1545">
            <v>299108</v>
          </cell>
          <cell r="C1545" t="str">
            <v>ERROR SUSPENSE - CA - COST ALLOCATION</v>
          </cell>
        </row>
        <row r="1546">
          <cell r="A1546" t="str">
            <v>ZONE-0111-POST</v>
          </cell>
          <cell r="B1546">
            <v>299108</v>
          </cell>
          <cell r="C1546" t="str">
            <v>ERROR SUSPENSE - CA - COST ALLOCATION</v>
          </cell>
        </row>
        <row r="1547">
          <cell r="A1547" t="str">
            <v>ZONE-0112-POST</v>
          </cell>
          <cell r="B1547">
            <v>299108</v>
          </cell>
          <cell r="C1547" t="str">
            <v>ERROR SUSPENSE - CA - COST ALLOCATION</v>
          </cell>
        </row>
        <row r="1548">
          <cell r="A1548" t="str">
            <v>ZONE-9998-POST</v>
          </cell>
          <cell r="B1548">
            <v>299108</v>
          </cell>
          <cell r="C1548" t="str">
            <v>ERROR SUSPENSE - CA - COST ALLOCATION</v>
          </cell>
        </row>
        <row r="1549">
          <cell r="A1549" t="str">
            <v>ZONE-9999-POST</v>
          </cell>
          <cell r="B1549">
            <v>299108</v>
          </cell>
          <cell r="C1549" t="str">
            <v>ERROR SUSPENSE - CA - COST ALLOCATION</v>
          </cell>
        </row>
        <row r="1550">
          <cell r="A1550" t="str">
            <v>I/C-1510-POST</v>
          </cell>
          <cell r="B1550">
            <v>299109</v>
          </cell>
          <cell r="C1550" t="str">
            <v>ERROR SUSPENSE - CB - CASH LEDGER</v>
          </cell>
        </row>
        <row r="1551">
          <cell r="A1551" t="str">
            <v>ZONE-0068-POST</v>
          </cell>
          <cell r="B1551">
            <v>299109</v>
          </cell>
          <cell r="C1551" t="str">
            <v>ERROR SUSPENSE - CB - CASH LEDGER</v>
          </cell>
        </row>
        <row r="1552">
          <cell r="A1552" t="str">
            <v>ZONE-0072-POST</v>
          </cell>
          <cell r="B1552">
            <v>299109</v>
          </cell>
          <cell r="C1552" t="str">
            <v>ERROR SUSPENSE - CB - CASH LEDGER</v>
          </cell>
        </row>
        <row r="1553">
          <cell r="A1553" t="str">
            <v>ZONE-0102-POST</v>
          </cell>
          <cell r="B1553">
            <v>299109</v>
          </cell>
          <cell r="C1553" t="str">
            <v>ERROR SUSPENSE - CB - CASH LEDGER</v>
          </cell>
        </row>
        <row r="1554">
          <cell r="A1554" t="str">
            <v>ZONE-0103-POST</v>
          </cell>
          <cell r="B1554">
            <v>299109</v>
          </cell>
          <cell r="C1554" t="str">
            <v>ERROR SUSPENSE - CB - CASH LEDGER</v>
          </cell>
        </row>
        <row r="1555">
          <cell r="A1555" t="str">
            <v>ZONE-0104-POST</v>
          </cell>
          <cell r="B1555">
            <v>299109</v>
          </cell>
          <cell r="C1555" t="str">
            <v>ERROR SUSPENSE - CB - CASH LEDGER</v>
          </cell>
        </row>
        <row r="1556">
          <cell r="A1556" t="str">
            <v>ZONE-0105-POST</v>
          </cell>
          <cell r="B1556">
            <v>299109</v>
          </cell>
          <cell r="C1556" t="str">
            <v>ERROR SUSPENSE - CB - CASH LEDGER</v>
          </cell>
        </row>
        <row r="1557">
          <cell r="A1557" t="str">
            <v>ZONE-0108-POST</v>
          </cell>
          <cell r="B1557">
            <v>299109</v>
          </cell>
          <cell r="C1557" t="str">
            <v>ERROR SUSPENSE - CB - CASH LEDGER</v>
          </cell>
        </row>
        <row r="1558">
          <cell r="A1558" t="str">
            <v>ZONE-0109-POST</v>
          </cell>
          <cell r="B1558">
            <v>299109</v>
          </cell>
          <cell r="C1558" t="str">
            <v>ERROR SUSPENSE - CB - CASH LEDGER</v>
          </cell>
        </row>
        <row r="1559">
          <cell r="A1559" t="str">
            <v>ZONE-0110-POST</v>
          </cell>
          <cell r="B1559">
            <v>299109</v>
          </cell>
          <cell r="C1559" t="str">
            <v>ERROR SUSPENSE - CB - CASH LEDGER</v>
          </cell>
        </row>
        <row r="1560">
          <cell r="A1560" t="str">
            <v>ZONE-0111-POST</v>
          </cell>
          <cell r="B1560">
            <v>299109</v>
          </cell>
          <cell r="C1560" t="str">
            <v>ERROR SUSPENSE - CB - CASH LEDGER</v>
          </cell>
        </row>
        <row r="1561">
          <cell r="A1561" t="str">
            <v>ZONE-0112-POST</v>
          </cell>
          <cell r="B1561">
            <v>299109</v>
          </cell>
          <cell r="C1561" t="str">
            <v>ERROR SUSPENSE - CB - CASH LEDGER</v>
          </cell>
        </row>
        <row r="1562">
          <cell r="A1562" t="str">
            <v>ZONE-9998-POST</v>
          </cell>
          <cell r="B1562">
            <v>299109</v>
          </cell>
          <cell r="C1562" t="str">
            <v>ERROR SUSPENSE - CB - CASH LEDGER</v>
          </cell>
        </row>
        <row r="1563">
          <cell r="A1563" t="str">
            <v>ZONE-9999-POST</v>
          </cell>
          <cell r="B1563">
            <v>299109</v>
          </cell>
          <cell r="C1563" t="str">
            <v>ERROR SUSPENSE - CB - CASH LEDGER</v>
          </cell>
        </row>
        <row r="1564">
          <cell r="A1564" t="str">
            <v>I/C-1510-POST</v>
          </cell>
          <cell r="B1564">
            <v>299111</v>
          </cell>
          <cell r="C1564" t="str">
            <v>ERROR SUSPENSE - EE - EMPLOYEE EXPENSE</v>
          </cell>
        </row>
        <row r="1565">
          <cell r="A1565" t="str">
            <v>ZONE-0068-POST</v>
          </cell>
          <cell r="B1565">
            <v>299111</v>
          </cell>
          <cell r="C1565" t="str">
            <v>ERROR SUSPENSE - EE - EMPLOYEE EXPENSE</v>
          </cell>
        </row>
        <row r="1566">
          <cell r="A1566" t="str">
            <v>ZONE-0072-POST</v>
          </cell>
          <cell r="B1566">
            <v>299111</v>
          </cell>
          <cell r="C1566" t="str">
            <v>ERROR SUSPENSE - EE - EMPLOYEE EXPENSE</v>
          </cell>
        </row>
        <row r="1567">
          <cell r="A1567" t="str">
            <v>ZONE-0102-POST</v>
          </cell>
          <cell r="B1567">
            <v>299111</v>
          </cell>
          <cell r="C1567" t="str">
            <v>ERROR SUSPENSE - EE - EMPLOYEE EXPENSE</v>
          </cell>
        </row>
        <row r="1568">
          <cell r="A1568" t="str">
            <v>ZONE-0103-POST</v>
          </cell>
          <cell r="B1568">
            <v>299111</v>
          </cell>
          <cell r="C1568" t="str">
            <v>ERROR SUSPENSE - EE - EMPLOYEE EXPENSE</v>
          </cell>
        </row>
        <row r="1569">
          <cell r="A1569" t="str">
            <v>ZONE-0104-POST</v>
          </cell>
          <cell r="B1569">
            <v>299111</v>
          </cell>
          <cell r="C1569" t="str">
            <v>ERROR SUSPENSE - EE - EMPLOYEE EXPENSE</v>
          </cell>
        </row>
        <row r="1570">
          <cell r="A1570" t="str">
            <v>ZONE-0105-POST</v>
          </cell>
          <cell r="B1570">
            <v>299111</v>
          </cell>
          <cell r="C1570" t="str">
            <v>ERROR SUSPENSE - EE - EMPLOYEE EXPENSE</v>
          </cell>
        </row>
        <row r="1571">
          <cell r="A1571" t="str">
            <v>ZONE-0108-POST</v>
          </cell>
          <cell r="B1571">
            <v>299111</v>
          </cell>
          <cell r="C1571" t="str">
            <v>ERROR SUSPENSE - EE - EMPLOYEE EXPENSE</v>
          </cell>
        </row>
        <row r="1572">
          <cell r="A1572" t="str">
            <v>ZONE-0109-POST</v>
          </cell>
          <cell r="B1572">
            <v>299111</v>
          </cell>
          <cell r="C1572" t="str">
            <v>ERROR SUSPENSE - EE - EMPLOYEE EXPENSE</v>
          </cell>
        </row>
        <row r="1573">
          <cell r="A1573" t="str">
            <v>ZONE-0110-POST</v>
          </cell>
          <cell r="B1573">
            <v>299111</v>
          </cell>
          <cell r="C1573" t="str">
            <v>ERROR SUSPENSE - EE - EMPLOYEE EXPENSE</v>
          </cell>
        </row>
        <row r="1574">
          <cell r="A1574" t="str">
            <v>ZONE-0111-POST</v>
          </cell>
          <cell r="B1574">
            <v>299111</v>
          </cell>
          <cell r="C1574" t="str">
            <v>ERROR SUSPENSE - EE - EMPLOYEE EXPENSE</v>
          </cell>
        </row>
        <row r="1575">
          <cell r="A1575" t="str">
            <v>ZONE-0112-POST</v>
          </cell>
          <cell r="B1575">
            <v>299111</v>
          </cell>
          <cell r="C1575" t="str">
            <v>ERROR SUSPENSE - EE - EMPLOYEE EXPENSE</v>
          </cell>
        </row>
        <row r="1576">
          <cell r="A1576" t="str">
            <v>ZONE-9998-POST</v>
          </cell>
          <cell r="B1576">
            <v>299111</v>
          </cell>
          <cell r="C1576" t="str">
            <v>ERROR SUSPENSE - EE - EMPLOYEE EXPENSE</v>
          </cell>
        </row>
        <row r="1577">
          <cell r="A1577" t="str">
            <v>ZONE-9999-POST</v>
          </cell>
          <cell r="B1577">
            <v>299111</v>
          </cell>
          <cell r="C1577" t="str">
            <v>ERROR SUSPENSE - EE - EMPLOYEE EXPENSE</v>
          </cell>
        </row>
        <row r="1578">
          <cell r="A1578" t="str">
            <v>I/C-1510-POST</v>
          </cell>
          <cell r="B1578">
            <v>299113</v>
          </cell>
          <cell r="C1578" t="str">
            <v>ERROR SUSPENSE - GL - GENERAL LEDGER</v>
          </cell>
        </row>
        <row r="1579">
          <cell r="A1579" t="str">
            <v>ZONE-0068-POST</v>
          </cell>
          <cell r="B1579">
            <v>299113</v>
          </cell>
          <cell r="C1579" t="str">
            <v>ERROR SUSPENSE - GL - GENERAL LEDGER</v>
          </cell>
        </row>
        <row r="1580">
          <cell r="A1580" t="str">
            <v>ZONE-0072-POST</v>
          </cell>
          <cell r="B1580">
            <v>299113</v>
          </cell>
          <cell r="C1580" t="str">
            <v>ERROR SUSPENSE - GL - GENERAL LEDGER</v>
          </cell>
        </row>
        <row r="1581">
          <cell r="A1581" t="str">
            <v>ZONE-0102-POST</v>
          </cell>
          <cell r="B1581">
            <v>299113</v>
          </cell>
          <cell r="C1581" t="str">
            <v>ERROR SUSPENSE - GL - GENERAL LEDGER</v>
          </cell>
        </row>
        <row r="1582">
          <cell r="A1582" t="str">
            <v>ZONE-0103-POST</v>
          </cell>
          <cell r="B1582">
            <v>299113</v>
          </cell>
          <cell r="C1582" t="str">
            <v>ERROR SUSPENSE - GL - GENERAL LEDGER</v>
          </cell>
        </row>
        <row r="1583">
          <cell r="A1583" t="str">
            <v>ZONE-0104-POST</v>
          </cell>
          <cell r="B1583">
            <v>299113</v>
          </cell>
          <cell r="C1583" t="str">
            <v>ERROR SUSPENSE - GL - GENERAL LEDGER</v>
          </cell>
        </row>
        <row r="1584">
          <cell r="A1584" t="str">
            <v>ZONE-0105-POST</v>
          </cell>
          <cell r="B1584">
            <v>299113</v>
          </cell>
          <cell r="C1584" t="str">
            <v>ERROR SUSPENSE - GL - GENERAL LEDGER</v>
          </cell>
        </row>
        <row r="1585">
          <cell r="A1585" t="str">
            <v>ZONE-0108-POST</v>
          </cell>
          <cell r="B1585">
            <v>299113</v>
          </cell>
          <cell r="C1585" t="str">
            <v>ERROR SUSPENSE - GL - GENERAL LEDGER</v>
          </cell>
        </row>
        <row r="1586">
          <cell r="A1586" t="str">
            <v>ZONE-0109-POST</v>
          </cell>
          <cell r="B1586">
            <v>299113</v>
          </cell>
          <cell r="C1586" t="str">
            <v>ERROR SUSPENSE - GL - GENERAL LEDGER</v>
          </cell>
        </row>
        <row r="1587">
          <cell r="A1587" t="str">
            <v>ZONE-0110-POST</v>
          </cell>
          <cell r="B1587">
            <v>299113</v>
          </cell>
          <cell r="C1587" t="str">
            <v>ERROR SUSPENSE - GL - GENERAL LEDGER</v>
          </cell>
        </row>
        <row r="1588">
          <cell r="A1588" t="str">
            <v>ZONE-0111-POST</v>
          </cell>
          <cell r="B1588">
            <v>299113</v>
          </cell>
          <cell r="C1588" t="str">
            <v>ERROR SUSPENSE - GL - GENERAL LEDGER</v>
          </cell>
        </row>
        <row r="1589">
          <cell r="A1589" t="str">
            <v>ZONE-0112-POST</v>
          </cell>
          <cell r="B1589">
            <v>299113</v>
          </cell>
          <cell r="C1589" t="str">
            <v>ERROR SUSPENSE - GL - GENERAL LEDGER</v>
          </cell>
        </row>
        <row r="1590">
          <cell r="A1590" t="str">
            <v>ZONE-9998-POST</v>
          </cell>
          <cell r="B1590">
            <v>299113</v>
          </cell>
          <cell r="C1590" t="str">
            <v>ERROR SUSPENSE - GL - GENERAL LEDGER</v>
          </cell>
        </row>
        <row r="1591">
          <cell r="A1591" t="str">
            <v>ZONE-9999-POST</v>
          </cell>
          <cell r="B1591">
            <v>299113</v>
          </cell>
          <cell r="C1591" t="str">
            <v>ERROR SUSPENSE - GL - GENERAL LEDGER</v>
          </cell>
        </row>
        <row r="1592">
          <cell r="A1592" t="str">
            <v>I/C-1510-POST</v>
          </cell>
          <cell r="B1592">
            <v>299114</v>
          </cell>
          <cell r="C1592" t="str">
            <v>ERROR SUSPENSE - I0 - COST INVENTORIES</v>
          </cell>
        </row>
        <row r="1593">
          <cell r="A1593" t="str">
            <v>ZONE-0068-POST</v>
          </cell>
          <cell r="B1593">
            <v>299114</v>
          </cell>
          <cell r="C1593" t="str">
            <v>ERROR SUSPENSE - I0 - COST INVENTORIES</v>
          </cell>
        </row>
        <row r="1594">
          <cell r="A1594" t="str">
            <v>ZONE-0072-POST</v>
          </cell>
          <cell r="B1594">
            <v>299114</v>
          </cell>
          <cell r="C1594" t="str">
            <v>ERROR SUSPENSE - I0 - COST INVENTORIES</v>
          </cell>
        </row>
        <row r="1595">
          <cell r="A1595" t="str">
            <v>ZONE-0102-POST</v>
          </cell>
          <cell r="B1595">
            <v>299114</v>
          </cell>
          <cell r="C1595" t="str">
            <v>ERROR SUSPENSE - I0 - COST INVENTORIES</v>
          </cell>
        </row>
        <row r="1596">
          <cell r="A1596" t="str">
            <v>ZONE-0103-POST</v>
          </cell>
          <cell r="B1596">
            <v>299114</v>
          </cell>
          <cell r="C1596" t="str">
            <v>ERROR SUSPENSE - I0 - COST INVENTORIES</v>
          </cell>
        </row>
        <row r="1597">
          <cell r="A1597" t="str">
            <v>ZONE-0104-POST</v>
          </cell>
          <cell r="B1597">
            <v>299114</v>
          </cell>
          <cell r="C1597" t="str">
            <v>ERROR SUSPENSE - I0 - COST INVENTORIES</v>
          </cell>
        </row>
        <row r="1598">
          <cell r="A1598" t="str">
            <v>ZONE-0105-POST</v>
          </cell>
          <cell r="B1598">
            <v>299114</v>
          </cell>
          <cell r="C1598" t="str">
            <v>ERROR SUSPENSE - I0 - COST INVENTORIES</v>
          </cell>
        </row>
        <row r="1599">
          <cell r="A1599" t="str">
            <v>ZONE-0108-POST</v>
          </cell>
          <cell r="B1599">
            <v>299114</v>
          </cell>
          <cell r="C1599" t="str">
            <v>ERROR SUSPENSE - I0 - COST INVENTORIES</v>
          </cell>
        </row>
        <row r="1600">
          <cell r="A1600" t="str">
            <v>ZONE-0109-POST</v>
          </cell>
          <cell r="B1600">
            <v>299114</v>
          </cell>
          <cell r="C1600" t="str">
            <v>ERROR SUSPENSE - I0 - COST INVENTORIES</v>
          </cell>
        </row>
        <row r="1601">
          <cell r="A1601" t="str">
            <v>ZONE-0110-POST</v>
          </cell>
          <cell r="B1601">
            <v>299114</v>
          </cell>
          <cell r="C1601" t="str">
            <v>ERROR SUSPENSE - I0 - COST INVENTORIES</v>
          </cell>
        </row>
        <row r="1602">
          <cell r="A1602" t="str">
            <v>ZONE-0111-POST</v>
          </cell>
          <cell r="B1602">
            <v>299114</v>
          </cell>
          <cell r="C1602" t="str">
            <v>ERROR SUSPENSE - I0 - COST INVENTORIES</v>
          </cell>
        </row>
        <row r="1603">
          <cell r="A1603" t="str">
            <v>ZONE-0112-POST</v>
          </cell>
          <cell r="B1603">
            <v>299114</v>
          </cell>
          <cell r="C1603" t="str">
            <v>ERROR SUSPENSE - I0 - COST INVENTORIES</v>
          </cell>
        </row>
        <row r="1604">
          <cell r="A1604" t="str">
            <v>ZONE-9998-POST</v>
          </cell>
          <cell r="B1604">
            <v>299114</v>
          </cell>
          <cell r="C1604" t="str">
            <v>ERROR SUSPENSE - I0 - COST INVENTORIES</v>
          </cell>
        </row>
        <row r="1605">
          <cell r="A1605" t="str">
            <v>ZONE-9999-POST</v>
          </cell>
          <cell r="B1605">
            <v>299114</v>
          </cell>
          <cell r="C1605" t="str">
            <v>ERROR SUSPENSE - I0 - COST INVENTORIES</v>
          </cell>
        </row>
        <row r="1606">
          <cell r="A1606" t="str">
            <v>I/C-1510-POST</v>
          </cell>
          <cell r="B1606">
            <v>299116</v>
          </cell>
          <cell r="C1606" t="str">
            <v>ERROR SUSPENSE - ML - MULTI LEDGER</v>
          </cell>
        </row>
        <row r="1607">
          <cell r="A1607" t="str">
            <v>ZONE-0068-POST</v>
          </cell>
          <cell r="B1607">
            <v>299116</v>
          </cell>
          <cell r="C1607" t="str">
            <v>ERROR SUSPENSE - ML - MULTI LEDGER</v>
          </cell>
        </row>
        <row r="1608">
          <cell r="A1608" t="str">
            <v>ZONE-0072-POST</v>
          </cell>
          <cell r="B1608">
            <v>299116</v>
          </cell>
          <cell r="C1608" t="str">
            <v>ERROR SUSPENSE - ML - MULTI LEDGER</v>
          </cell>
        </row>
        <row r="1609">
          <cell r="A1609" t="str">
            <v>ZONE-0102-POST</v>
          </cell>
          <cell r="B1609">
            <v>299116</v>
          </cell>
          <cell r="C1609" t="str">
            <v>ERROR SUSPENSE - ML - MULTI LEDGER</v>
          </cell>
        </row>
        <row r="1610">
          <cell r="A1610" t="str">
            <v>ZONE-0103-POST</v>
          </cell>
          <cell r="B1610">
            <v>299116</v>
          </cell>
          <cell r="C1610" t="str">
            <v>ERROR SUSPENSE - ML - MULTI LEDGER</v>
          </cell>
        </row>
        <row r="1611">
          <cell r="A1611" t="str">
            <v>ZONE-0104-POST</v>
          </cell>
          <cell r="B1611">
            <v>299116</v>
          </cell>
          <cell r="C1611" t="str">
            <v>ERROR SUSPENSE - ML - MULTI LEDGER</v>
          </cell>
        </row>
        <row r="1612">
          <cell r="A1612" t="str">
            <v>ZONE-0105-POST</v>
          </cell>
          <cell r="B1612">
            <v>299116</v>
          </cell>
          <cell r="C1612" t="str">
            <v>ERROR SUSPENSE - ML - MULTI LEDGER</v>
          </cell>
        </row>
        <row r="1613">
          <cell r="A1613" t="str">
            <v>ZONE-0108-POST</v>
          </cell>
          <cell r="B1613">
            <v>299116</v>
          </cell>
          <cell r="C1613" t="str">
            <v>ERROR SUSPENSE - ML - MULTI LEDGER</v>
          </cell>
        </row>
        <row r="1614">
          <cell r="A1614" t="str">
            <v>ZONE-0109-POST</v>
          </cell>
          <cell r="B1614">
            <v>299116</v>
          </cell>
          <cell r="C1614" t="str">
            <v>ERROR SUSPENSE - ML - MULTI LEDGER</v>
          </cell>
        </row>
        <row r="1615">
          <cell r="A1615" t="str">
            <v>ZONE-0110-POST</v>
          </cell>
          <cell r="B1615">
            <v>299116</v>
          </cell>
          <cell r="C1615" t="str">
            <v>ERROR SUSPENSE - ML - MULTI LEDGER</v>
          </cell>
        </row>
        <row r="1616">
          <cell r="A1616" t="str">
            <v>ZONE-0111-POST</v>
          </cell>
          <cell r="B1616">
            <v>299116</v>
          </cell>
          <cell r="C1616" t="str">
            <v>ERROR SUSPENSE - ML - MULTI LEDGER</v>
          </cell>
        </row>
        <row r="1617">
          <cell r="A1617" t="str">
            <v>ZONE-0112-POST</v>
          </cell>
          <cell r="B1617">
            <v>299116</v>
          </cell>
          <cell r="C1617" t="str">
            <v>ERROR SUSPENSE - ML - MULTI LEDGER</v>
          </cell>
        </row>
        <row r="1618">
          <cell r="A1618" t="str">
            <v>ZONE-9998-POST</v>
          </cell>
          <cell r="B1618">
            <v>299116</v>
          </cell>
          <cell r="C1618" t="str">
            <v>ERROR SUSPENSE - ML - MULTI LEDGER</v>
          </cell>
        </row>
        <row r="1619">
          <cell r="A1619" t="str">
            <v>ZONE-9999-POST</v>
          </cell>
          <cell r="B1619">
            <v>299116</v>
          </cell>
          <cell r="C1619" t="str">
            <v>ERROR SUSPENSE - ML - MULTI LEDGER</v>
          </cell>
        </row>
        <row r="1620">
          <cell r="A1620" t="str">
            <v>I/C-1510-POST</v>
          </cell>
          <cell r="B1620">
            <v>299119</v>
          </cell>
          <cell r="C1620" t="str">
            <v>ERROR SUSPENSE - PO - PURCHASE ORDER</v>
          </cell>
        </row>
        <row r="1621">
          <cell r="A1621" t="str">
            <v>ZONE-0068-POST</v>
          </cell>
          <cell r="B1621">
            <v>299119</v>
          </cell>
          <cell r="C1621" t="str">
            <v>ERROR SUSPENSE - PO - PURCHASE ORDER</v>
          </cell>
        </row>
        <row r="1622">
          <cell r="A1622" t="str">
            <v>ZONE-0072-POST</v>
          </cell>
          <cell r="B1622">
            <v>299119</v>
          </cell>
          <cell r="C1622" t="str">
            <v>ERROR SUSPENSE - PO - PURCHASE ORDER</v>
          </cell>
        </row>
        <row r="1623">
          <cell r="A1623" t="str">
            <v>ZONE-0102-POST</v>
          </cell>
          <cell r="B1623">
            <v>299119</v>
          </cell>
          <cell r="C1623" t="str">
            <v>ERROR SUSPENSE - PO - PURCHASE ORDER</v>
          </cell>
        </row>
        <row r="1624">
          <cell r="A1624" t="str">
            <v>ZONE-0103-POST</v>
          </cell>
          <cell r="B1624">
            <v>299119</v>
          </cell>
          <cell r="C1624" t="str">
            <v>ERROR SUSPENSE - PO - PURCHASE ORDER</v>
          </cell>
        </row>
        <row r="1625">
          <cell r="A1625" t="str">
            <v>ZONE-0104-POST</v>
          </cell>
          <cell r="B1625">
            <v>299119</v>
          </cell>
          <cell r="C1625" t="str">
            <v>ERROR SUSPENSE - PO - PURCHASE ORDER</v>
          </cell>
        </row>
        <row r="1626">
          <cell r="A1626" t="str">
            <v>ZONE-0105-POST</v>
          </cell>
          <cell r="B1626">
            <v>299119</v>
          </cell>
          <cell r="C1626" t="str">
            <v>ERROR SUSPENSE - PO - PURCHASE ORDER</v>
          </cell>
        </row>
        <row r="1627">
          <cell r="A1627" t="str">
            <v>ZONE-0108-POST</v>
          </cell>
          <cell r="B1627">
            <v>299119</v>
          </cell>
          <cell r="C1627" t="str">
            <v>ERROR SUSPENSE - PO - PURCHASE ORDER</v>
          </cell>
        </row>
        <row r="1628">
          <cell r="A1628" t="str">
            <v>ZONE-0109-POST</v>
          </cell>
          <cell r="B1628">
            <v>299119</v>
          </cell>
          <cell r="C1628" t="str">
            <v>ERROR SUSPENSE - PO - PURCHASE ORDER</v>
          </cell>
        </row>
        <row r="1629">
          <cell r="A1629" t="str">
            <v>ZONE-0110-POST</v>
          </cell>
          <cell r="B1629">
            <v>299119</v>
          </cell>
          <cell r="C1629" t="str">
            <v>ERROR SUSPENSE - PO - PURCHASE ORDER</v>
          </cell>
        </row>
        <row r="1630">
          <cell r="A1630" t="str">
            <v>ZONE-0111-POST</v>
          </cell>
          <cell r="B1630">
            <v>299119</v>
          </cell>
          <cell r="C1630" t="str">
            <v>ERROR SUSPENSE - PO - PURCHASE ORDER</v>
          </cell>
        </row>
        <row r="1631">
          <cell r="A1631" t="str">
            <v>ZONE-0112-POST</v>
          </cell>
          <cell r="B1631">
            <v>299119</v>
          </cell>
          <cell r="C1631" t="str">
            <v>ERROR SUSPENSE - PO - PURCHASE ORDER</v>
          </cell>
        </row>
        <row r="1632">
          <cell r="A1632" t="str">
            <v>ZONE-9998-POST</v>
          </cell>
          <cell r="B1632">
            <v>299119</v>
          </cell>
          <cell r="C1632" t="str">
            <v>ERROR SUSPENSE - PO - PURCHASE ORDER</v>
          </cell>
        </row>
        <row r="1633">
          <cell r="A1633" t="str">
            <v>ZONE-9999-POST</v>
          </cell>
          <cell r="B1633">
            <v>299119</v>
          </cell>
          <cell r="C1633" t="str">
            <v>ERROR SUSPENSE - PO - PURCHASE ORDER</v>
          </cell>
        </row>
        <row r="1634">
          <cell r="A1634" t="str">
            <v>I/C-1510-POST</v>
          </cell>
          <cell r="B1634">
            <v>299121</v>
          </cell>
          <cell r="C1634" t="str">
            <v>ERROR SUSPENSE - RJ - RECURRING JOURNAL</v>
          </cell>
        </row>
        <row r="1635">
          <cell r="A1635" t="str">
            <v>ZONE-0068-POST</v>
          </cell>
          <cell r="B1635">
            <v>299121</v>
          </cell>
          <cell r="C1635" t="str">
            <v>ERROR SUSPENSE - RJ - RECURRING JOURNAL</v>
          </cell>
        </row>
        <row r="1636">
          <cell r="A1636" t="str">
            <v>ZONE-0072-POST</v>
          </cell>
          <cell r="B1636">
            <v>299121</v>
          </cell>
          <cell r="C1636" t="str">
            <v>ERROR SUSPENSE - RJ - RECURRING JOURNAL</v>
          </cell>
        </row>
        <row r="1637">
          <cell r="A1637" t="str">
            <v>ZONE-0102-POST</v>
          </cell>
          <cell r="B1637">
            <v>299121</v>
          </cell>
          <cell r="C1637" t="str">
            <v>ERROR SUSPENSE - RJ - RECURRING JOURNAL</v>
          </cell>
        </row>
        <row r="1638">
          <cell r="A1638" t="str">
            <v>ZONE-0103-POST</v>
          </cell>
          <cell r="B1638">
            <v>299121</v>
          </cell>
          <cell r="C1638" t="str">
            <v>ERROR SUSPENSE - RJ - RECURRING JOURNAL</v>
          </cell>
        </row>
        <row r="1639">
          <cell r="A1639" t="str">
            <v>ZONE-0104-POST</v>
          </cell>
          <cell r="B1639">
            <v>299121</v>
          </cell>
          <cell r="C1639" t="str">
            <v>ERROR SUSPENSE - RJ - RECURRING JOURNAL</v>
          </cell>
        </row>
        <row r="1640">
          <cell r="A1640" t="str">
            <v>ZONE-0105-POST</v>
          </cell>
          <cell r="B1640">
            <v>299121</v>
          </cell>
          <cell r="C1640" t="str">
            <v>ERROR SUSPENSE - RJ - RECURRING JOURNAL</v>
          </cell>
        </row>
        <row r="1641">
          <cell r="A1641" t="str">
            <v>ZONE-0108-POST</v>
          </cell>
          <cell r="B1641">
            <v>299121</v>
          </cell>
          <cell r="C1641" t="str">
            <v>ERROR SUSPENSE - RJ - RECURRING JOURNAL</v>
          </cell>
        </row>
        <row r="1642">
          <cell r="A1642" t="str">
            <v>ZONE-0109-POST</v>
          </cell>
          <cell r="B1642">
            <v>299121</v>
          </cell>
          <cell r="C1642" t="str">
            <v>ERROR SUSPENSE - RJ - RECURRING JOURNAL</v>
          </cell>
        </row>
        <row r="1643">
          <cell r="A1643" t="str">
            <v>ZONE-0110-POST</v>
          </cell>
          <cell r="B1643">
            <v>299121</v>
          </cell>
          <cell r="C1643" t="str">
            <v>ERROR SUSPENSE - RJ - RECURRING JOURNAL</v>
          </cell>
        </row>
        <row r="1644">
          <cell r="A1644" t="str">
            <v>ZONE-0111-POST</v>
          </cell>
          <cell r="B1644">
            <v>299121</v>
          </cell>
          <cell r="C1644" t="str">
            <v>ERROR SUSPENSE - RJ - RECURRING JOURNAL</v>
          </cell>
        </row>
        <row r="1645">
          <cell r="A1645" t="str">
            <v>ZONE-0112-POST</v>
          </cell>
          <cell r="B1645">
            <v>299121</v>
          </cell>
          <cell r="C1645" t="str">
            <v>ERROR SUSPENSE - RJ - RECURRING JOURNAL</v>
          </cell>
        </row>
        <row r="1646">
          <cell r="A1646" t="str">
            <v>ZONE-9998-POST</v>
          </cell>
          <cell r="B1646">
            <v>299121</v>
          </cell>
          <cell r="C1646" t="str">
            <v>ERROR SUSPENSE - RJ - RECURRING JOURNAL</v>
          </cell>
        </row>
        <row r="1647">
          <cell r="A1647" t="str">
            <v>ZONE-9999-POST</v>
          </cell>
          <cell r="B1647">
            <v>299121</v>
          </cell>
          <cell r="C1647" t="str">
            <v>ERROR SUSPENSE - RJ - RECURRING JOURNAL</v>
          </cell>
        </row>
        <row r="1648">
          <cell r="A1648" t="str">
            <v>I/C-1510-POST</v>
          </cell>
          <cell r="B1648">
            <v>299122</v>
          </cell>
          <cell r="C1648" t="str">
            <v>ERROR SUSPENSE - RL - RECURRING LEDGER</v>
          </cell>
        </row>
        <row r="1649">
          <cell r="A1649" t="str">
            <v>ZONE-0068-POST</v>
          </cell>
          <cell r="B1649">
            <v>299122</v>
          </cell>
          <cell r="C1649" t="str">
            <v>ERROR SUSPENSE - RL - RECURRING LEDGER</v>
          </cell>
        </row>
        <row r="1650">
          <cell r="A1650" t="str">
            <v>ZONE-0072-POST</v>
          </cell>
          <cell r="B1650">
            <v>299122</v>
          </cell>
          <cell r="C1650" t="str">
            <v>ERROR SUSPENSE - RL - RECURRING LEDGER</v>
          </cell>
        </row>
        <row r="1651">
          <cell r="A1651" t="str">
            <v>ZONE-0102-POST</v>
          </cell>
          <cell r="B1651">
            <v>299122</v>
          </cell>
          <cell r="C1651" t="str">
            <v>ERROR SUSPENSE - RL - RECURRING LEDGER</v>
          </cell>
        </row>
        <row r="1652">
          <cell r="A1652" t="str">
            <v>ZONE-0103-POST</v>
          </cell>
          <cell r="B1652">
            <v>299122</v>
          </cell>
          <cell r="C1652" t="str">
            <v>ERROR SUSPENSE - RL - RECURRING LEDGER</v>
          </cell>
        </row>
        <row r="1653">
          <cell r="A1653" t="str">
            <v>ZONE-0104-POST</v>
          </cell>
          <cell r="B1653">
            <v>299122</v>
          </cell>
          <cell r="C1653" t="str">
            <v>ERROR SUSPENSE - RL - RECURRING LEDGER</v>
          </cell>
        </row>
        <row r="1654">
          <cell r="A1654" t="str">
            <v>ZONE-0105-POST</v>
          </cell>
          <cell r="B1654">
            <v>299122</v>
          </cell>
          <cell r="C1654" t="str">
            <v>ERROR SUSPENSE - RL - RECURRING LEDGER</v>
          </cell>
        </row>
        <row r="1655">
          <cell r="A1655" t="str">
            <v>ZONE-0108-POST</v>
          </cell>
          <cell r="B1655">
            <v>299122</v>
          </cell>
          <cell r="C1655" t="str">
            <v>ERROR SUSPENSE - RL - RECURRING LEDGER</v>
          </cell>
        </row>
        <row r="1656">
          <cell r="A1656" t="str">
            <v>ZONE-0109-POST</v>
          </cell>
          <cell r="B1656">
            <v>299122</v>
          </cell>
          <cell r="C1656" t="str">
            <v>ERROR SUSPENSE - RL - RECURRING LEDGER</v>
          </cell>
        </row>
        <row r="1657">
          <cell r="A1657" t="str">
            <v>ZONE-0110-POST</v>
          </cell>
          <cell r="B1657">
            <v>299122</v>
          </cell>
          <cell r="C1657" t="str">
            <v>ERROR SUSPENSE - RL - RECURRING LEDGER</v>
          </cell>
        </row>
        <row r="1658">
          <cell r="A1658" t="str">
            <v>ZONE-0111-POST</v>
          </cell>
          <cell r="B1658">
            <v>299122</v>
          </cell>
          <cell r="C1658" t="str">
            <v>ERROR SUSPENSE - RL - RECURRING LEDGER</v>
          </cell>
        </row>
        <row r="1659">
          <cell r="A1659" t="str">
            <v>ZONE-0112-POST</v>
          </cell>
          <cell r="B1659">
            <v>299122</v>
          </cell>
          <cell r="C1659" t="str">
            <v>ERROR SUSPENSE - RL - RECURRING LEDGER</v>
          </cell>
        </row>
        <row r="1660">
          <cell r="A1660" t="str">
            <v>ZONE-9998-POST</v>
          </cell>
          <cell r="B1660">
            <v>299122</v>
          </cell>
          <cell r="C1660" t="str">
            <v>ERROR SUSPENSE - RL - RECURRING LEDGER</v>
          </cell>
        </row>
        <row r="1661">
          <cell r="A1661" t="str">
            <v>ZONE-9999-POST</v>
          </cell>
          <cell r="B1661">
            <v>299122</v>
          </cell>
          <cell r="C1661" t="str">
            <v>ERROR SUSPENSE - RL - RECURRING LEDGER</v>
          </cell>
        </row>
        <row r="1662">
          <cell r="A1662" t="str">
            <v>I/C-1510-POST</v>
          </cell>
          <cell r="B1662">
            <v>299123</v>
          </cell>
          <cell r="C1662" t="str">
            <v>ERROR SUSPENSE - SL - STRATEGIC LEDGER</v>
          </cell>
        </row>
        <row r="1663">
          <cell r="A1663" t="str">
            <v>ZONE-0068-POST</v>
          </cell>
          <cell r="B1663">
            <v>299123</v>
          </cell>
          <cell r="C1663" t="str">
            <v>ERROR SUSPENSE - SL - STRATEGIC LEDGER</v>
          </cell>
        </row>
        <row r="1664">
          <cell r="A1664" t="str">
            <v>ZONE-0072-POST</v>
          </cell>
          <cell r="B1664">
            <v>299123</v>
          </cell>
          <cell r="C1664" t="str">
            <v>ERROR SUSPENSE - SL - STRATEGIC LEDGER</v>
          </cell>
        </row>
        <row r="1665">
          <cell r="A1665" t="str">
            <v>ZONE-0102-POST</v>
          </cell>
          <cell r="B1665">
            <v>299123</v>
          </cell>
          <cell r="C1665" t="str">
            <v>ERROR SUSPENSE - SL - STRATEGIC LEDGER</v>
          </cell>
        </row>
        <row r="1666">
          <cell r="A1666" t="str">
            <v>ZONE-0103-POST</v>
          </cell>
          <cell r="B1666">
            <v>299123</v>
          </cell>
          <cell r="C1666" t="str">
            <v>ERROR SUSPENSE - SL - STRATEGIC LEDGER</v>
          </cell>
        </row>
        <row r="1667">
          <cell r="A1667" t="str">
            <v>ZONE-0104-POST</v>
          </cell>
          <cell r="B1667">
            <v>299123</v>
          </cell>
          <cell r="C1667" t="str">
            <v>ERROR SUSPENSE - SL - STRATEGIC LEDGER</v>
          </cell>
        </row>
        <row r="1668">
          <cell r="A1668" t="str">
            <v>ZONE-0105-POST</v>
          </cell>
          <cell r="B1668">
            <v>299123</v>
          </cell>
          <cell r="C1668" t="str">
            <v>ERROR SUSPENSE - SL - STRATEGIC LEDGER</v>
          </cell>
        </row>
        <row r="1669">
          <cell r="A1669" t="str">
            <v>ZONE-0108-POST</v>
          </cell>
          <cell r="B1669">
            <v>299123</v>
          </cell>
          <cell r="C1669" t="str">
            <v>ERROR SUSPENSE - SL - STRATEGIC LEDGER</v>
          </cell>
        </row>
        <row r="1670">
          <cell r="A1670" t="str">
            <v>ZONE-0109-POST</v>
          </cell>
          <cell r="B1670">
            <v>299123</v>
          </cell>
          <cell r="C1670" t="str">
            <v>ERROR SUSPENSE - SL - STRATEGIC LEDGER</v>
          </cell>
        </row>
        <row r="1671">
          <cell r="A1671" t="str">
            <v>ZONE-0110-POST</v>
          </cell>
          <cell r="B1671">
            <v>299123</v>
          </cell>
          <cell r="C1671" t="str">
            <v>ERROR SUSPENSE - SL - STRATEGIC LEDGER</v>
          </cell>
        </row>
        <row r="1672">
          <cell r="A1672" t="str">
            <v>ZONE-0111-POST</v>
          </cell>
          <cell r="B1672">
            <v>299123</v>
          </cell>
          <cell r="C1672" t="str">
            <v>ERROR SUSPENSE - SL - STRATEGIC LEDGER</v>
          </cell>
        </row>
        <row r="1673">
          <cell r="A1673" t="str">
            <v>ZONE-0112-POST</v>
          </cell>
          <cell r="B1673">
            <v>299123</v>
          </cell>
          <cell r="C1673" t="str">
            <v>ERROR SUSPENSE - SL - STRATEGIC LEDGER</v>
          </cell>
        </row>
        <row r="1674">
          <cell r="A1674" t="str">
            <v>ZONE-9998-POST</v>
          </cell>
          <cell r="B1674">
            <v>299123</v>
          </cell>
          <cell r="C1674" t="str">
            <v>ERROR SUSPENSE - SL - STRATEGIC LEDGER</v>
          </cell>
        </row>
        <row r="1675">
          <cell r="A1675" t="str">
            <v>ZONE-9999-POST</v>
          </cell>
          <cell r="B1675">
            <v>299123</v>
          </cell>
          <cell r="C1675" t="str">
            <v>ERROR SUSPENSE - SL - STRATEGIC LEDGER</v>
          </cell>
        </row>
        <row r="1676">
          <cell r="A1676" t="str">
            <v>I/C-1510-POST</v>
          </cell>
          <cell r="B1676">
            <v>299126</v>
          </cell>
          <cell r="C1676" t="str">
            <v>ERROR SUSPENSE - AS - ASI ACCTS RECEIVABLE</v>
          </cell>
        </row>
        <row r="1677">
          <cell r="A1677" t="str">
            <v>ZONE-0068-POST</v>
          </cell>
          <cell r="B1677">
            <v>299126</v>
          </cell>
          <cell r="C1677" t="str">
            <v>ERROR SUSPENSE - AS - ASI ACCTS RECEIVABLE</v>
          </cell>
        </row>
        <row r="1678">
          <cell r="A1678" t="str">
            <v>ZONE-0072-POST</v>
          </cell>
          <cell r="B1678">
            <v>299126</v>
          </cell>
          <cell r="C1678" t="str">
            <v>ERROR SUSPENSE - AS - ASI ACCTS RECEIVABLE</v>
          </cell>
        </row>
        <row r="1679">
          <cell r="A1679" t="str">
            <v>ZONE-0102-POST</v>
          </cell>
          <cell r="B1679">
            <v>299126</v>
          </cell>
          <cell r="C1679" t="str">
            <v>ERROR SUSPENSE - AS - ASI ACCTS RECEIVABLE</v>
          </cell>
        </row>
        <row r="1680">
          <cell r="A1680" t="str">
            <v>ZONE-0103-POST</v>
          </cell>
          <cell r="B1680">
            <v>299126</v>
          </cell>
          <cell r="C1680" t="str">
            <v>ERROR SUSPENSE - AS - ASI ACCTS RECEIVABLE</v>
          </cell>
        </row>
        <row r="1681">
          <cell r="A1681" t="str">
            <v>ZONE-0104-POST</v>
          </cell>
          <cell r="B1681">
            <v>299126</v>
          </cell>
          <cell r="C1681" t="str">
            <v>ERROR SUSPENSE - AS - ASI ACCTS RECEIVABLE</v>
          </cell>
        </row>
        <row r="1682">
          <cell r="A1682" t="str">
            <v>ZONE-0105-POST</v>
          </cell>
          <cell r="B1682">
            <v>299126</v>
          </cell>
          <cell r="C1682" t="str">
            <v>ERROR SUSPENSE - AS - ASI ACCTS RECEIVABLE</v>
          </cell>
        </row>
        <row r="1683">
          <cell r="A1683" t="str">
            <v>ZONE-0108-POST</v>
          </cell>
          <cell r="B1683">
            <v>299126</v>
          </cell>
          <cell r="C1683" t="str">
            <v>ERROR SUSPENSE - AS - ASI ACCTS RECEIVABLE</v>
          </cell>
        </row>
        <row r="1684">
          <cell r="A1684" t="str">
            <v>ZONE-0109-POST</v>
          </cell>
          <cell r="B1684">
            <v>299126</v>
          </cell>
          <cell r="C1684" t="str">
            <v>ERROR SUSPENSE - AS - ASI ACCTS RECEIVABLE</v>
          </cell>
        </row>
        <row r="1685">
          <cell r="A1685" t="str">
            <v>ZONE-0110-POST</v>
          </cell>
          <cell r="B1685">
            <v>299126</v>
          </cell>
          <cell r="C1685" t="str">
            <v>ERROR SUSPENSE - AS - ASI ACCTS RECEIVABLE</v>
          </cell>
        </row>
        <row r="1686">
          <cell r="A1686" t="str">
            <v>ZONE-0111-POST</v>
          </cell>
          <cell r="B1686">
            <v>299126</v>
          </cell>
          <cell r="C1686" t="str">
            <v>ERROR SUSPENSE - AS - ASI ACCTS RECEIVABLE</v>
          </cell>
        </row>
        <row r="1687">
          <cell r="A1687" t="str">
            <v>ZONE-0112-POST</v>
          </cell>
          <cell r="B1687">
            <v>299126</v>
          </cell>
          <cell r="C1687" t="str">
            <v>ERROR SUSPENSE - AS - ASI ACCTS RECEIVABLE</v>
          </cell>
        </row>
        <row r="1688">
          <cell r="A1688" t="str">
            <v>ZONE-9998-POST</v>
          </cell>
          <cell r="B1688">
            <v>299126</v>
          </cell>
          <cell r="C1688" t="str">
            <v>ERROR SUSPENSE - AS - ASI ACCTS RECEIVABLE</v>
          </cell>
        </row>
        <row r="1689">
          <cell r="A1689" t="str">
            <v>ZONE-9999-POST</v>
          </cell>
          <cell r="B1689">
            <v>299126</v>
          </cell>
          <cell r="C1689" t="str">
            <v>ERROR SUSPENSE - AS - ASI ACCTS RECEIVABLE</v>
          </cell>
        </row>
        <row r="1690">
          <cell r="A1690" t="str">
            <v>I/C-1510-POST</v>
          </cell>
          <cell r="B1690">
            <v>299127</v>
          </cell>
          <cell r="C1690" t="str">
            <v>ERROR SUSPENSE - CE - CAP EXP</v>
          </cell>
        </row>
        <row r="1691">
          <cell r="A1691" t="str">
            <v>ZONE-0068-POST</v>
          </cell>
          <cell r="B1691">
            <v>299127</v>
          </cell>
          <cell r="C1691" t="str">
            <v>ERROR SUSPENSE - CE - CAP EXP</v>
          </cell>
        </row>
        <row r="1692">
          <cell r="A1692" t="str">
            <v>ZONE-0072-POST</v>
          </cell>
          <cell r="B1692">
            <v>299127</v>
          </cell>
          <cell r="C1692" t="str">
            <v>ERROR SUSPENSE - CE - CAP EXP</v>
          </cell>
        </row>
        <row r="1693">
          <cell r="A1693" t="str">
            <v>ZONE-0102-POST</v>
          </cell>
          <cell r="B1693">
            <v>299127</v>
          </cell>
          <cell r="C1693" t="str">
            <v>ERROR SUSPENSE - CE - CAP EXP</v>
          </cell>
        </row>
        <row r="1694">
          <cell r="A1694" t="str">
            <v>ZONE-0103-POST</v>
          </cell>
          <cell r="B1694">
            <v>299127</v>
          </cell>
          <cell r="C1694" t="str">
            <v>ERROR SUSPENSE - CE - CAP EXP</v>
          </cell>
        </row>
        <row r="1695">
          <cell r="A1695" t="str">
            <v>ZONE-0104-POST</v>
          </cell>
          <cell r="B1695">
            <v>299127</v>
          </cell>
          <cell r="C1695" t="str">
            <v>ERROR SUSPENSE - CE - CAP EXP</v>
          </cell>
        </row>
        <row r="1696">
          <cell r="A1696" t="str">
            <v>ZONE-0105-POST</v>
          </cell>
          <cell r="B1696">
            <v>299127</v>
          </cell>
          <cell r="C1696" t="str">
            <v>ERROR SUSPENSE - CE - CAP EXP</v>
          </cell>
        </row>
        <row r="1697">
          <cell r="A1697" t="str">
            <v>ZONE-0108-POST</v>
          </cell>
          <cell r="B1697">
            <v>299127</v>
          </cell>
          <cell r="C1697" t="str">
            <v>ERROR SUSPENSE - CE - CAP EXP</v>
          </cell>
        </row>
        <row r="1698">
          <cell r="A1698" t="str">
            <v>ZONE-0109-POST</v>
          </cell>
          <cell r="B1698">
            <v>299127</v>
          </cell>
          <cell r="C1698" t="str">
            <v>ERROR SUSPENSE - CE - CAP EXP</v>
          </cell>
        </row>
        <row r="1699">
          <cell r="A1699" t="str">
            <v>ZONE-0110-POST</v>
          </cell>
          <cell r="B1699">
            <v>299127</v>
          </cell>
          <cell r="C1699" t="str">
            <v>ERROR SUSPENSE - CE - CAP EXP</v>
          </cell>
        </row>
        <row r="1700">
          <cell r="A1700" t="str">
            <v>ZONE-0111-POST</v>
          </cell>
          <cell r="B1700">
            <v>299127</v>
          </cell>
          <cell r="C1700" t="str">
            <v>ERROR SUSPENSE - CE - CAP EXP</v>
          </cell>
        </row>
        <row r="1701">
          <cell r="A1701" t="str">
            <v>ZONE-0112-POST</v>
          </cell>
          <cell r="B1701">
            <v>299127</v>
          </cell>
          <cell r="C1701" t="str">
            <v>ERROR SUSPENSE - CE - CAP EXP</v>
          </cell>
        </row>
        <row r="1702">
          <cell r="A1702" t="str">
            <v>ZONE-9998-POST</v>
          </cell>
          <cell r="B1702">
            <v>299127</v>
          </cell>
          <cell r="C1702" t="str">
            <v>ERROR SUSPENSE - CE - CAP EXP</v>
          </cell>
        </row>
        <row r="1703">
          <cell r="A1703" t="str">
            <v>ZONE-9999-POST</v>
          </cell>
          <cell r="B1703">
            <v>299127</v>
          </cell>
          <cell r="C1703" t="str">
            <v>ERROR SUSPENSE - CE - CAP EXP</v>
          </cell>
        </row>
        <row r="1704">
          <cell r="A1704" t="str">
            <v>I/C-1510-POST</v>
          </cell>
          <cell r="B1704">
            <v>299128</v>
          </cell>
          <cell r="C1704" t="str">
            <v>ERROR SUSPENSE - CO - CUST ORDER PROC</v>
          </cell>
        </row>
        <row r="1705">
          <cell r="A1705" t="str">
            <v>ZONE-0068-POST</v>
          </cell>
          <cell r="B1705">
            <v>299128</v>
          </cell>
          <cell r="C1705" t="str">
            <v>ERROR SUSPENSE - CO - CUST ORDER PROC</v>
          </cell>
        </row>
        <row r="1706">
          <cell r="A1706" t="str">
            <v>ZONE-0072-POST</v>
          </cell>
          <cell r="B1706">
            <v>299128</v>
          </cell>
          <cell r="C1706" t="str">
            <v>ERROR SUSPENSE - CO - CUST ORDER PROC</v>
          </cell>
        </row>
        <row r="1707">
          <cell r="A1707" t="str">
            <v>ZONE-0102-POST</v>
          </cell>
          <cell r="B1707">
            <v>299128</v>
          </cell>
          <cell r="C1707" t="str">
            <v>ERROR SUSPENSE - CO - CUST ORDER PROC</v>
          </cell>
        </row>
        <row r="1708">
          <cell r="A1708" t="str">
            <v>ZONE-0103-POST</v>
          </cell>
          <cell r="B1708">
            <v>299128</v>
          </cell>
          <cell r="C1708" t="str">
            <v>ERROR SUSPENSE - CO - CUST ORDER PROC</v>
          </cell>
        </row>
        <row r="1709">
          <cell r="A1709" t="str">
            <v>ZONE-0104-POST</v>
          </cell>
          <cell r="B1709">
            <v>299128</v>
          </cell>
          <cell r="C1709" t="str">
            <v>ERROR SUSPENSE - CO - CUST ORDER PROC</v>
          </cell>
        </row>
        <row r="1710">
          <cell r="A1710" t="str">
            <v>ZONE-0105-POST</v>
          </cell>
          <cell r="B1710">
            <v>299128</v>
          </cell>
          <cell r="C1710" t="str">
            <v>ERROR SUSPENSE - CO - CUST ORDER PROC</v>
          </cell>
        </row>
        <row r="1711">
          <cell r="A1711" t="str">
            <v>ZONE-0108-POST</v>
          </cell>
          <cell r="B1711">
            <v>299128</v>
          </cell>
          <cell r="C1711" t="str">
            <v>ERROR SUSPENSE - CO - CUST ORDER PROC</v>
          </cell>
        </row>
        <row r="1712">
          <cell r="A1712" t="str">
            <v>ZONE-0109-POST</v>
          </cell>
          <cell r="B1712">
            <v>299128</v>
          </cell>
          <cell r="C1712" t="str">
            <v>ERROR SUSPENSE - CO - CUST ORDER PROC</v>
          </cell>
        </row>
        <row r="1713">
          <cell r="A1713" t="str">
            <v>ZONE-0110-POST</v>
          </cell>
          <cell r="B1713">
            <v>299128</v>
          </cell>
          <cell r="C1713" t="str">
            <v>ERROR SUSPENSE - CO - CUST ORDER PROC</v>
          </cell>
        </row>
        <row r="1714">
          <cell r="A1714" t="str">
            <v>ZONE-0111-POST</v>
          </cell>
          <cell r="B1714">
            <v>299128</v>
          </cell>
          <cell r="C1714" t="str">
            <v>ERROR SUSPENSE - CO - CUST ORDER PROC</v>
          </cell>
        </row>
        <row r="1715">
          <cell r="A1715" t="str">
            <v>ZONE-0112-POST</v>
          </cell>
          <cell r="B1715">
            <v>299128</v>
          </cell>
          <cell r="C1715" t="str">
            <v>ERROR SUSPENSE - CO - CUST ORDER PROC</v>
          </cell>
        </row>
        <row r="1716">
          <cell r="A1716" t="str">
            <v>ZONE-9998-POST</v>
          </cell>
          <cell r="B1716">
            <v>299128</v>
          </cell>
          <cell r="C1716" t="str">
            <v>ERROR SUSPENSE - CO - CUST ORDER PROC</v>
          </cell>
        </row>
        <row r="1717">
          <cell r="A1717" t="str">
            <v>ZONE-9999-POST</v>
          </cell>
          <cell r="B1717">
            <v>299128</v>
          </cell>
          <cell r="C1717" t="str">
            <v>ERROR SUSPENSE - CO - CUST ORDER PROC</v>
          </cell>
        </row>
        <row r="1718">
          <cell r="A1718" t="str">
            <v>I/C-1510-POST</v>
          </cell>
          <cell r="B1718">
            <v>299138</v>
          </cell>
          <cell r="C1718" t="str">
            <v>ERROR SUSPENSE - FS - FACILITY SALES MGMT</v>
          </cell>
        </row>
        <row r="1719">
          <cell r="A1719" t="str">
            <v>ZONE-0068-POST</v>
          </cell>
          <cell r="B1719">
            <v>299138</v>
          </cell>
          <cell r="C1719" t="str">
            <v>ERROR SUSPENSE - FS - FACILITY SALES MGMT</v>
          </cell>
        </row>
        <row r="1720">
          <cell r="A1720" t="str">
            <v>ZONE-0072-POST</v>
          </cell>
          <cell r="B1720">
            <v>299138</v>
          </cell>
          <cell r="C1720" t="str">
            <v>ERROR SUSPENSE - FS - FACILITY SALES MGMT</v>
          </cell>
        </row>
        <row r="1721">
          <cell r="A1721" t="str">
            <v>ZONE-0102-POST</v>
          </cell>
          <cell r="B1721">
            <v>299138</v>
          </cell>
          <cell r="C1721" t="str">
            <v>ERROR SUSPENSE - FS - FACILITY SALES MGMT</v>
          </cell>
        </row>
        <row r="1722">
          <cell r="A1722" t="str">
            <v>ZONE-0103-POST</v>
          </cell>
          <cell r="B1722">
            <v>299138</v>
          </cell>
          <cell r="C1722" t="str">
            <v>ERROR SUSPENSE - FS - FACILITY SALES MGMT</v>
          </cell>
        </row>
        <row r="1723">
          <cell r="A1723" t="str">
            <v>ZONE-0104-POST</v>
          </cell>
          <cell r="B1723">
            <v>299138</v>
          </cell>
          <cell r="C1723" t="str">
            <v>ERROR SUSPENSE - FS - FACILITY SALES MGMT</v>
          </cell>
        </row>
        <row r="1724">
          <cell r="A1724" t="str">
            <v>ZONE-0105-POST</v>
          </cell>
          <cell r="B1724">
            <v>299138</v>
          </cell>
          <cell r="C1724" t="str">
            <v>ERROR SUSPENSE - FS - FACILITY SALES MGMT</v>
          </cell>
        </row>
        <row r="1725">
          <cell r="A1725" t="str">
            <v>ZONE-0108-POST</v>
          </cell>
          <cell r="B1725">
            <v>299138</v>
          </cell>
          <cell r="C1725" t="str">
            <v>ERROR SUSPENSE - FS - FACILITY SALES MGMT</v>
          </cell>
        </row>
        <row r="1726">
          <cell r="A1726" t="str">
            <v>ZONE-0109-POST</v>
          </cell>
          <cell r="B1726">
            <v>299138</v>
          </cell>
          <cell r="C1726" t="str">
            <v>ERROR SUSPENSE - FS - FACILITY SALES MGMT</v>
          </cell>
        </row>
        <row r="1727">
          <cell r="A1727" t="str">
            <v>ZONE-0110-POST</v>
          </cell>
          <cell r="B1727">
            <v>299138</v>
          </cell>
          <cell r="C1727" t="str">
            <v>ERROR SUSPENSE - FS - FACILITY SALES MGMT</v>
          </cell>
        </row>
        <row r="1728">
          <cell r="A1728" t="str">
            <v>ZONE-0111-POST</v>
          </cell>
          <cell r="B1728">
            <v>299138</v>
          </cell>
          <cell r="C1728" t="str">
            <v>ERROR SUSPENSE - FS - FACILITY SALES MGMT</v>
          </cell>
        </row>
        <row r="1729">
          <cell r="A1729" t="str">
            <v>ZONE-0112-POST</v>
          </cell>
          <cell r="B1729">
            <v>299138</v>
          </cell>
          <cell r="C1729" t="str">
            <v>ERROR SUSPENSE - FS - FACILITY SALES MGMT</v>
          </cell>
        </row>
        <row r="1730">
          <cell r="A1730" t="str">
            <v>ZONE-9998-POST</v>
          </cell>
          <cell r="B1730">
            <v>299138</v>
          </cell>
          <cell r="C1730" t="str">
            <v>ERROR SUSPENSE - FS - FACILITY SALES MGMT</v>
          </cell>
        </row>
        <row r="1731">
          <cell r="A1731" t="str">
            <v>ZONE-9999-POST</v>
          </cell>
          <cell r="B1731">
            <v>299138</v>
          </cell>
          <cell r="C1731" t="str">
            <v>ERROR SUSPENSE - FS - FACILITY SALES MGMT</v>
          </cell>
        </row>
        <row r="1732">
          <cell r="A1732" t="str">
            <v>I/C-1510-POST</v>
          </cell>
          <cell r="B1732">
            <v>299139</v>
          </cell>
          <cell r="C1732" t="str">
            <v>ERROR SUSPENSE - GC - GIFT CERTIFICATES</v>
          </cell>
        </row>
        <row r="1733">
          <cell r="A1733" t="str">
            <v>ZONE-0068-POST</v>
          </cell>
          <cell r="B1733">
            <v>299139</v>
          </cell>
          <cell r="C1733" t="str">
            <v>ERROR SUSPENSE - GC - GIFT CERTIFICATES</v>
          </cell>
        </row>
        <row r="1734">
          <cell r="A1734" t="str">
            <v>ZONE-0072-POST</v>
          </cell>
          <cell r="B1734">
            <v>299139</v>
          </cell>
          <cell r="C1734" t="str">
            <v>ERROR SUSPENSE - GC - GIFT CERTIFICATES</v>
          </cell>
        </row>
        <row r="1735">
          <cell r="A1735" t="str">
            <v>ZONE-0102-POST</v>
          </cell>
          <cell r="B1735">
            <v>299139</v>
          </cell>
          <cell r="C1735" t="str">
            <v>ERROR SUSPENSE - GC - GIFT CERTIFICATES</v>
          </cell>
        </row>
        <row r="1736">
          <cell r="A1736" t="str">
            <v>ZONE-0103-POST</v>
          </cell>
          <cell r="B1736">
            <v>299139</v>
          </cell>
          <cell r="C1736" t="str">
            <v>ERROR SUSPENSE - GC - GIFT CERTIFICATES</v>
          </cell>
        </row>
        <row r="1737">
          <cell r="A1737" t="str">
            <v>ZONE-0104-POST</v>
          </cell>
          <cell r="B1737">
            <v>299139</v>
          </cell>
          <cell r="C1737" t="str">
            <v>ERROR SUSPENSE - GC - GIFT CERTIFICATES</v>
          </cell>
        </row>
        <row r="1738">
          <cell r="A1738" t="str">
            <v>ZONE-0105-POST</v>
          </cell>
          <cell r="B1738">
            <v>299139</v>
          </cell>
          <cell r="C1738" t="str">
            <v>ERROR SUSPENSE - GC - GIFT CERTIFICATES</v>
          </cell>
        </row>
        <row r="1739">
          <cell r="A1739" t="str">
            <v>ZONE-0108-POST</v>
          </cell>
          <cell r="B1739">
            <v>299139</v>
          </cell>
          <cell r="C1739" t="str">
            <v>ERROR SUSPENSE - GC - GIFT CERTIFICATES</v>
          </cell>
        </row>
        <row r="1740">
          <cell r="A1740" t="str">
            <v>ZONE-0109-POST</v>
          </cell>
          <cell r="B1740">
            <v>299139</v>
          </cell>
          <cell r="C1740" t="str">
            <v>ERROR SUSPENSE - GC - GIFT CERTIFICATES</v>
          </cell>
        </row>
        <row r="1741">
          <cell r="A1741" t="str">
            <v>ZONE-0110-POST</v>
          </cell>
          <cell r="B1741">
            <v>299139</v>
          </cell>
          <cell r="C1741" t="str">
            <v>ERROR SUSPENSE - GC - GIFT CERTIFICATES</v>
          </cell>
        </row>
        <row r="1742">
          <cell r="A1742" t="str">
            <v>ZONE-0111-POST</v>
          </cell>
          <cell r="B1742">
            <v>299139</v>
          </cell>
          <cell r="C1742" t="str">
            <v>ERROR SUSPENSE - GC - GIFT CERTIFICATES</v>
          </cell>
        </row>
        <row r="1743">
          <cell r="A1743" t="str">
            <v>ZONE-0112-POST</v>
          </cell>
          <cell r="B1743">
            <v>299139</v>
          </cell>
          <cell r="C1743" t="str">
            <v>ERROR SUSPENSE - GC - GIFT CERTIFICATES</v>
          </cell>
        </row>
        <row r="1744">
          <cell r="A1744" t="str">
            <v>ZONE-9998-POST</v>
          </cell>
          <cell r="B1744">
            <v>299139</v>
          </cell>
          <cell r="C1744" t="str">
            <v>ERROR SUSPENSE - GC - GIFT CERTIFICATES</v>
          </cell>
        </row>
        <row r="1745">
          <cell r="A1745" t="str">
            <v>ZONE-9999-POST</v>
          </cell>
          <cell r="B1745">
            <v>299139</v>
          </cell>
          <cell r="C1745" t="str">
            <v>ERROR SUSPENSE - GC - GIFT CERTIFICATES</v>
          </cell>
        </row>
        <row r="1746">
          <cell r="A1746" t="str">
            <v>I/C-1510-POST</v>
          </cell>
          <cell r="B1746">
            <v>299140</v>
          </cell>
          <cell r="C1746" t="str">
            <v>ERROR SUSPENSE - D0 - RETAIL INVENTORIES</v>
          </cell>
        </row>
        <row r="1747">
          <cell r="A1747" t="str">
            <v>ZONE-0068-POST</v>
          </cell>
          <cell r="B1747">
            <v>299140</v>
          </cell>
          <cell r="C1747" t="str">
            <v>ERROR SUSPENSE - D0 - RETAIL INVENTORIES</v>
          </cell>
        </row>
        <row r="1748">
          <cell r="A1748" t="str">
            <v>ZONE-0072-POST</v>
          </cell>
          <cell r="B1748">
            <v>299140</v>
          </cell>
          <cell r="C1748" t="str">
            <v>ERROR SUSPENSE - D0 - RETAIL INVENTORIES</v>
          </cell>
        </row>
        <row r="1749">
          <cell r="A1749" t="str">
            <v>ZONE-0102-POST</v>
          </cell>
          <cell r="B1749">
            <v>299140</v>
          </cell>
          <cell r="C1749" t="str">
            <v>ERROR SUSPENSE - D0 - RETAIL INVENTORIES</v>
          </cell>
        </row>
        <row r="1750">
          <cell r="A1750" t="str">
            <v>ZONE-0103-POST</v>
          </cell>
          <cell r="B1750">
            <v>299140</v>
          </cell>
          <cell r="C1750" t="str">
            <v>ERROR SUSPENSE - D0 - RETAIL INVENTORIES</v>
          </cell>
        </row>
        <row r="1751">
          <cell r="A1751" t="str">
            <v>ZONE-0104-POST</v>
          </cell>
          <cell r="B1751">
            <v>299140</v>
          </cell>
          <cell r="C1751" t="str">
            <v>ERROR SUSPENSE - D0 - RETAIL INVENTORIES</v>
          </cell>
        </row>
        <row r="1752">
          <cell r="A1752" t="str">
            <v>ZONE-0105-POST</v>
          </cell>
          <cell r="B1752">
            <v>299140</v>
          </cell>
          <cell r="C1752" t="str">
            <v>ERROR SUSPENSE - D0 - RETAIL INVENTORIES</v>
          </cell>
        </row>
        <row r="1753">
          <cell r="A1753" t="str">
            <v>ZONE-0108-POST</v>
          </cell>
          <cell r="B1753">
            <v>299140</v>
          </cell>
          <cell r="C1753" t="str">
            <v>ERROR SUSPENSE - D0 - RETAIL INVENTORIES</v>
          </cell>
        </row>
        <row r="1754">
          <cell r="A1754" t="str">
            <v>ZONE-0109-POST</v>
          </cell>
          <cell r="B1754">
            <v>299140</v>
          </cell>
          <cell r="C1754" t="str">
            <v>ERROR SUSPENSE - D0 - RETAIL INVENTORIES</v>
          </cell>
        </row>
        <row r="1755">
          <cell r="A1755" t="str">
            <v>ZONE-0110-POST</v>
          </cell>
          <cell r="B1755">
            <v>299140</v>
          </cell>
          <cell r="C1755" t="str">
            <v>ERROR SUSPENSE - D0 - RETAIL INVENTORIES</v>
          </cell>
        </row>
        <row r="1756">
          <cell r="A1756" t="str">
            <v>ZONE-0111-POST</v>
          </cell>
          <cell r="B1756">
            <v>299140</v>
          </cell>
          <cell r="C1756" t="str">
            <v>ERROR SUSPENSE - D0 - RETAIL INVENTORIES</v>
          </cell>
        </row>
        <row r="1757">
          <cell r="A1757" t="str">
            <v>ZONE-0112-POST</v>
          </cell>
          <cell r="B1757">
            <v>299140</v>
          </cell>
          <cell r="C1757" t="str">
            <v>ERROR SUSPENSE - D0 - RETAIL INVENTORIES</v>
          </cell>
        </row>
        <row r="1758">
          <cell r="A1758" t="str">
            <v>ZONE-9998-POST</v>
          </cell>
          <cell r="B1758">
            <v>299140</v>
          </cell>
          <cell r="C1758" t="str">
            <v>ERROR SUSPENSE - D0 - RETAIL INVENTORIES</v>
          </cell>
        </row>
        <row r="1759">
          <cell r="A1759" t="str">
            <v>ZONE-9999-POST</v>
          </cell>
          <cell r="B1759">
            <v>299140</v>
          </cell>
          <cell r="C1759" t="str">
            <v>ERROR SUSPENSE - D0 - RETAIL INVENTORIES</v>
          </cell>
        </row>
        <row r="1760">
          <cell r="A1760" t="str">
            <v>I/C-1510-POST</v>
          </cell>
          <cell r="B1760">
            <v>299141</v>
          </cell>
          <cell r="C1760" t="str">
            <v>ERROR SUSPENSE - E0 - EXPRESS</v>
          </cell>
        </row>
        <row r="1761">
          <cell r="A1761" t="str">
            <v>ZONE-0068-POST</v>
          </cell>
          <cell r="B1761">
            <v>299141</v>
          </cell>
          <cell r="C1761" t="str">
            <v>ERROR SUSPENSE - E0 - EXPRESS</v>
          </cell>
        </row>
        <row r="1762">
          <cell r="A1762" t="str">
            <v>ZONE-0072-POST</v>
          </cell>
          <cell r="B1762">
            <v>299141</v>
          </cell>
          <cell r="C1762" t="str">
            <v>ERROR SUSPENSE - E0 - EXPRESS</v>
          </cell>
        </row>
        <row r="1763">
          <cell r="A1763" t="str">
            <v>ZONE-0102-POST</v>
          </cell>
          <cell r="B1763">
            <v>299141</v>
          </cell>
          <cell r="C1763" t="str">
            <v>ERROR SUSPENSE - E0 - EXPRESS</v>
          </cell>
        </row>
        <row r="1764">
          <cell r="A1764" t="str">
            <v>ZONE-0103-POST</v>
          </cell>
          <cell r="B1764">
            <v>299141</v>
          </cell>
          <cell r="C1764" t="str">
            <v>ERROR SUSPENSE - E0 - EXPRESS</v>
          </cell>
        </row>
        <row r="1765">
          <cell r="A1765" t="str">
            <v>ZONE-0104-POST</v>
          </cell>
          <cell r="B1765">
            <v>299141</v>
          </cell>
          <cell r="C1765" t="str">
            <v>ERROR SUSPENSE - E0 - EXPRESS</v>
          </cell>
        </row>
        <row r="1766">
          <cell r="A1766" t="str">
            <v>ZONE-0105-POST</v>
          </cell>
          <cell r="B1766">
            <v>299141</v>
          </cell>
          <cell r="C1766" t="str">
            <v>ERROR SUSPENSE - E0 - EXPRESS</v>
          </cell>
        </row>
        <row r="1767">
          <cell r="A1767" t="str">
            <v>ZONE-0108-POST</v>
          </cell>
          <cell r="B1767">
            <v>299141</v>
          </cell>
          <cell r="C1767" t="str">
            <v>ERROR SUSPENSE - E0 - EXPRESS</v>
          </cell>
        </row>
        <row r="1768">
          <cell r="A1768" t="str">
            <v>ZONE-0109-POST</v>
          </cell>
          <cell r="B1768">
            <v>299141</v>
          </cell>
          <cell r="C1768" t="str">
            <v>ERROR SUSPENSE - E0 - EXPRESS</v>
          </cell>
        </row>
        <row r="1769">
          <cell r="A1769" t="str">
            <v>ZONE-0110-POST</v>
          </cell>
          <cell r="B1769">
            <v>299141</v>
          </cell>
          <cell r="C1769" t="str">
            <v>ERROR SUSPENSE - E0 - EXPRESS</v>
          </cell>
        </row>
        <row r="1770">
          <cell r="A1770" t="str">
            <v>ZONE-0111-POST</v>
          </cell>
          <cell r="B1770">
            <v>299141</v>
          </cell>
          <cell r="C1770" t="str">
            <v>ERROR SUSPENSE - E0 - EXPRESS</v>
          </cell>
        </row>
        <row r="1771">
          <cell r="A1771" t="str">
            <v>ZONE-0112-POST</v>
          </cell>
          <cell r="B1771">
            <v>299141</v>
          </cell>
          <cell r="C1771" t="str">
            <v>ERROR SUSPENSE - E0 - EXPRESS</v>
          </cell>
        </row>
        <row r="1772">
          <cell r="A1772" t="str">
            <v>ZONE-9998-POST</v>
          </cell>
          <cell r="B1772">
            <v>299141</v>
          </cell>
          <cell r="C1772" t="str">
            <v>ERROR SUSPENSE - E0 - EXPRESS</v>
          </cell>
        </row>
        <row r="1773">
          <cell r="A1773" t="str">
            <v>ZONE-9999-POST</v>
          </cell>
          <cell r="B1773">
            <v>299141</v>
          </cell>
          <cell r="C1773" t="str">
            <v>ERROR SUSPENSE - E0 - EXPRESS</v>
          </cell>
        </row>
        <row r="1774">
          <cell r="A1774" t="str">
            <v>I/C-1510-POST</v>
          </cell>
          <cell r="B1774">
            <v>299145</v>
          </cell>
          <cell r="C1774" t="str">
            <v>ERROR SUSPENSE - MD - MARKDOWNS</v>
          </cell>
        </row>
        <row r="1775">
          <cell r="A1775" t="str">
            <v>ZONE-0068-POST</v>
          </cell>
          <cell r="B1775">
            <v>299145</v>
          </cell>
          <cell r="C1775" t="str">
            <v>ERROR SUSPENSE - MD - MARKDOWNS</v>
          </cell>
        </row>
        <row r="1776">
          <cell r="A1776" t="str">
            <v>ZONE-0072-POST</v>
          </cell>
          <cell r="B1776">
            <v>299145</v>
          </cell>
          <cell r="C1776" t="str">
            <v>ERROR SUSPENSE - MD - MARKDOWNS</v>
          </cell>
        </row>
        <row r="1777">
          <cell r="A1777" t="str">
            <v>ZONE-0102-POST</v>
          </cell>
          <cell r="B1777">
            <v>299145</v>
          </cell>
          <cell r="C1777" t="str">
            <v>ERROR SUSPENSE - MD - MARKDOWNS</v>
          </cell>
        </row>
        <row r="1778">
          <cell r="A1778" t="str">
            <v>ZONE-0103-POST</v>
          </cell>
          <cell r="B1778">
            <v>299145</v>
          </cell>
          <cell r="C1778" t="str">
            <v>ERROR SUSPENSE - MD - MARKDOWNS</v>
          </cell>
        </row>
        <row r="1779">
          <cell r="A1779" t="str">
            <v>ZONE-0104-POST</v>
          </cell>
          <cell r="B1779">
            <v>299145</v>
          </cell>
          <cell r="C1779" t="str">
            <v>ERROR SUSPENSE - MD - MARKDOWNS</v>
          </cell>
        </row>
        <row r="1780">
          <cell r="A1780" t="str">
            <v>ZONE-0105-POST</v>
          </cell>
          <cell r="B1780">
            <v>299145</v>
          </cell>
          <cell r="C1780" t="str">
            <v>ERROR SUSPENSE - MD - MARKDOWNS</v>
          </cell>
        </row>
        <row r="1781">
          <cell r="A1781" t="str">
            <v>ZONE-0108-POST</v>
          </cell>
          <cell r="B1781">
            <v>299145</v>
          </cell>
          <cell r="C1781" t="str">
            <v>ERROR SUSPENSE - MD - MARKDOWNS</v>
          </cell>
        </row>
        <row r="1782">
          <cell r="A1782" t="str">
            <v>ZONE-0109-POST</v>
          </cell>
          <cell r="B1782">
            <v>299145</v>
          </cell>
          <cell r="C1782" t="str">
            <v>ERROR SUSPENSE - MD - MARKDOWNS</v>
          </cell>
        </row>
        <row r="1783">
          <cell r="A1783" t="str">
            <v>ZONE-0110-POST</v>
          </cell>
          <cell r="B1783">
            <v>299145</v>
          </cell>
          <cell r="C1783" t="str">
            <v>ERROR SUSPENSE - MD - MARKDOWNS</v>
          </cell>
        </row>
        <row r="1784">
          <cell r="A1784" t="str">
            <v>ZONE-0111-POST</v>
          </cell>
          <cell r="B1784">
            <v>299145</v>
          </cell>
          <cell r="C1784" t="str">
            <v>ERROR SUSPENSE - MD - MARKDOWNS</v>
          </cell>
        </row>
        <row r="1785">
          <cell r="A1785" t="str">
            <v>ZONE-0112-POST</v>
          </cell>
          <cell r="B1785">
            <v>299145</v>
          </cell>
          <cell r="C1785" t="str">
            <v>ERROR SUSPENSE - MD - MARKDOWNS</v>
          </cell>
        </row>
        <row r="1786">
          <cell r="A1786" t="str">
            <v>ZONE-9998-POST</v>
          </cell>
          <cell r="B1786">
            <v>299145</v>
          </cell>
          <cell r="C1786" t="str">
            <v>ERROR SUSPENSE - MD - MARKDOWNS</v>
          </cell>
        </row>
        <row r="1787">
          <cell r="A1787" t="str">
            <v>ZONE-9999-POST</v>
          </cell>
          <cell r="B1787">
            <v>299145</v>
          </cell>
          <cell r="C1787" t="str">
            <v>ERROR SUSPENSE - MD - MARKDOWNS</v>
          </cell>
        </row>
        <row r="1788">
          <cell r="A1788" t="str">
            <v>I/C-1510-POST</v>
          </cell>
          <cell r="B1788">
            <v>299147</v>
          </cell>
          <cell r="C1788" t="str">
            <v>ERROR SUSPENSE - MP - MAP (STAR)</v>
          </cell>
        </row>
        <row r="1789">
          <cell r="A1789" t="str">
            <v>ZONE-0068-POST</v>
          </cell>
          <cell r="B1789">
            <v>299147</v>
          </cell>
          <cell r="C1789" t="str">
            <v>ERROR SUSPENSE - MP - MAP (STAR)</v>
          </cell>
        </row>
        <row r="1790">
          <cell r="A1790" t="str">
            <v>ZONE-0072-POST</v>
          </cell>
          <cell r="B1790">
            <v>299147</v>
          </cell>
          <cell r="C1790" t="str">
            <v>ERROR SUSPENSE - MP - MAP (STAR)</v>
          </cell>
        </row>
        <row r="1791">
          <cell r="A1791" t="str">
            <v>ZONE-0102-POST</v>
          </cell>
          <cell r="B1791">
            <v>299147</v>
          </cell>
          <cell r="C1791" t="str">
            <v>ERROR SUSPENSE - MP - MAP (STAR)</v>
          </cell>
        </row>
        <row r="1792">
          <cell r="A1792" t="str">
            <v>ZONE-0103-POST</v>
          </cell>
          <cell r="B1792">
            <v>299147</v>
          </cell>
          <cell r="C1792" t="str">
            <v>ERROR SUSPENSE - MP - MAP (STAR)</v>
          </cell>
        </row>
        <row r="1793">
          <cell r="A1793" t="str">
            <v>ZONE-0104-POST</v>
          </cell>
          <cell r="B1793">
            <v>299147</v>
          </cell>
          <cell r="C1793" t="str">
            <v>ERROR SUSPENSE - MP - MAP (STAR)</v>
          </cell>
        </row>
        <row r="1794">
          <cell r="A1794" t="str">
            <v>ZONE-0105-POST</v>
          </cell>
          <cell r="B1794">
            <v>299147</v>
          </cell>
          <cell r="C1794" t="str">
            <v>ERROR SUSPENSE - MP - MAP (STAR)</v>
          </cell>
        </row>
        <row r="1795">
          <cell r="A1795" t="str">
            <v>ZONE-0108-POST</v>
          </cell>
          <cell r="B1795">
            <v>299147</v>
          </cell>
          <cell r="C1795" t="str">
            <v>ERROR SUSPENSE - MP - MAP (STAR)</v>
          </cell>
        </row>
        <row r="1796">
          <cell r="A1796" t="str">
            <v>ZONE-0109-POST</v>
          </cell>
          <cell r="B1796">
            <v>299147</v>
          </cell>
          <cell r="C1796" t="str">
            <v>ERROR SUSPENSE - MP - MAP (STAR)</v>
          </cell>
        </row>
        <row r="1797">
          <cell r="A1797" t="str">
            <v>ZONE-0110-POST</v>
          </cell>
          <cell r="B1797">
            <v>299147</v>
          </cell>
          <cell r="C1797" t="str">
            <v>ERROR SUSPENSE - MP - MAP (STAR)</v>
          </cell>
        </row>
        <row r="1798">
          <cell r="A1798" t="str">
            <v>ZONE-0111-POST</v>
          </cell>
          <cell r="B1798">
            <v>299147</v>
          </cell>
          <cell r="C1798" t="str">
            <v>ERROR SUSPENSE - MP - MAP (STAR)</v>
          </cell>
        </row>
        <row r="1799">
          <cell r="A1799" t="str">
            <v>ZONE-0112-POST</v>
          </cell>
          <cell r="B1799">
            <v>299147</v>
          </cell>
          <cell r="C1799" t="str">
            <v>ERROR SUSPENSE - MP - MAP (STAR)</v>
          </cell>
        </row>
        <row r="1800">
          <cell r="A1800" t="str">
            <v>ZONE-9998-POST</v>
          </cell>
          <cell r="B1800">
            <v>299147</v>
          </cell>
          <cell r="C1800" t="str">
            <v>ERROR SUSPENSE - MP - MAP (STAR)</v>
          </cell>
        </row>
        <row r="1801">
          <cell r="A1801" t="str">
            <v>ZONE-9999-POST</v>
          </cell>
          <cell r="B1801">
            <v>299147</v>
          </cell>
          <cell r="C1801" t="str">
            <v>ERROR SUSPENSE - MP - MAP (STAR)</v>
          </cell>
        </row>
        <row r="1802">
          <cell r="A1802" t="str">
            <v>I/C-1510-POST</v>
          </cell>
          <cell r="B1802">
            <v>299151</v>
          </cell>
          <cell r="C1802" t="str">
            <v>ERROR SUSPENSE - PP - PAYROLL</v>
          </cell>
        </row>
        <row r="1803">
          <cell r="A1803" t="str">
            <v>ZONE-0068-POST</v>
          </cell>
          <cell r="B1803">
            <v>299151</v>
          </cell>
          <cell r="C1803" t="str">
            <v>ERROR SUSPENSE - PP - PAYROLL</v>
          </cell>
        </row>
        <row r="1804">
          <cell r="A1804" t="str">
            <v>ZONE-0072-POST</v>
          </cell>
          <cell r="B1804">
            <v>299151</v>
          </cell>
          <cell r="C1804" t="str">
            <v>ERROR SUSPENSE - PP - PAYROLL</v>
          </cell>
        </row>
        <row r="1805">
          <cell r="A1805" t="str">
            <v>ZONE-0102-POST</v>
          </cell>
          <cell r="B1805">
            <v>299151</v>
          </cell>
          <cell r="C1805" t="str">
            <v>ERROR SUSPENSE - PP - PAYROLL</v>
          </cell>
        </row>
        <row r="1806">
          <cell r="A1806" t="str">
            <v>ZONE-0103-POST</v>
          </cell>
          <cell r="B1806">
            <v>299151</v>
          </cell>
          <cell r="C1806" t="str">
            <v>ERROR SUSPENSE - PP - PAYROLL</v>
          </cell>
        </row>
        <row r="1807">
          <cell r="A1807" t="str">
            <v>ZONE-0104-POST</v>
          </cell>
          <cell r="B1807">
            <v>299151</v>
          </cell>
          <cell r="C1807" t="str">
            <v>ERROR SUSPENSE - PP - PAYROLL</v>
          </cell>
        </row>
        <row r="1808">
          <cell r="A1808" t="str">
            <v>ZONE-0105-POST</v>
          </cell>
          <cell r="B1808">
            <v>299151</v>
          </cell>
          <cell r="C1808" t="str">
            <v>ERROR SUSPENSE - PP - PAYROLL</v>
          </cell>
        </row>
        <row r="1809">
          <cell r="A1809" t="str">
            <v>ZONE-0108-POST</v>
          </cell>
          <cell r="B1809">
            <v>299151</v>
          </cell>
          <cell r="C1809" t="str">
            <v>ERROR SUSPENSE - PP - PAYROLL</v>
          </cell>
        </row>
        <row r="1810">
          <cell r="A1810" t="str">
            <v>ZONE-0109-POST</v>
          </cell>
          <cell r="B1810">
            <v>299151</v>
          </cell>
          <cell r="C1810" t="str">
            <v>ERROR SUSPENSE - PP - PAYROLL</v>
          </cell>
        </row>
        <row r="1811">
          <cell r="A1811" t="str">
            <v>ZONE-0110-POST</v>
          </cell>
          <cell r="B1811">
            <v>299151</v>
          </cell>
          <cell r="C1811" t="str">
            <v>ERROR SUSPENSE - PP - PAYROLL</v>
          </cell>
        </row>
        <row r="1812">
          <cell r="A1812" t="str">
            <v>ZONE-0111-POST</v>
          </cell>
          <cell r="B1812">
            <v>299151</v>
          </cell>
          <cell r="C1812" t="str">
            <v>ERROR SUSPENSE - PP - PAYROLL</v>
          </cell>
        </row>
        <row r="1813">
          <cell r="A1813" t="str">
            <v>ZONE-0112-POST</v>
          </cell>
          <cell r="B1813">
            <v>299151</v>
          </cell>
          <cell r="C1813" t="str">
            <v>ERROR SUSPENSE - PP - PAYROLL</v>
          </cell>
        </row>
        <row r="1814">
          <cell r="A1814" t="str">
            <v>ZONE-9998-POST</v>
          </cell>
          <cell r="B1814">
            <v>299151</v>
          </cell>
          <cell r="C1814" t="str">
            <v>ERROR SUSPENSE - PP - PAYROLL</v>
          </cell>
        </row>
        <row r="1815">
          <cell r="A1815" t="str">
            <v>ZONE-9999-POST</v>
          </cell>
          <cell r="B1815">
            <v>299151</v>
          </cell>
          <cell r="C1815" t="str">
            <v>ERROR SUSPENSE - PP - PAYROLL</v>
          </cell>
        </row>
        <row r="1816">
          <cell r="A1816" t="str">
            <v>I/C-1510-POST</v>
          </cell>
          <cell r="B1816">
            <v>299154</v>
          </cell>
          <cell r="C1816" t="str">
            <v>ERROR SUSPENSE - PY - PEOPLESOFT PAYROLL</v>
          </cell>
        </row>
        <row r="1817">
          <cell r="A1817" t="str">
            <v>ZONE-0068-POST</v>
          </cell>
          <cell r="B1817">
            <v>299154</v>
          </cell>
          <cell r="C1817" t="str">
            <v>ERROR SUSPENSE - PY - PEOPLESOFT PAYROLL</v>
          </cell>
        </row>
        <row r="1818">
          <cell r="A1818" t="str">
            <v>ZONE-0072-POST</v>
          </cell>
          <cell r="B1818">
            <v>299154</v>
          </cell>
          <cell r="C1818" t="str">
            <v>ERROR SUSPENSE - PY - PEOPLESOFT PAYROLL</v>
          </cell>
        </row>
        <row r="1819">
          <cell r="A1819" t="str">
            <v>ZONE-0102-POST</v>
          </cell>
          <cell r="B1819">
            <v>299154</v>
          </cell>
          <cell r="C1819" t="str">
            <v>ERROR SUSPENSE - PY - PEOPLESOFT PAYROLL</v>
          </cell>
        </row>
        <row r="1820">
          <cell r="A1820" t="str">
            <v>ZONE-0103-POST</v>
          </cell>
          <cell r="B1820">
            <v>299154</v>
          </cell>
          <cell r="C1820" t="str">
            <v>ERROR SUSPENSE - PY - PEOPLESOFT PAYROLL</v>
          </cell>
        </row>
        <row r="1821">
          <cell r="A1821" t="str">
            <v>ZONE-0104-POST</v>
          </cell>
          <cell r="B1821">
            <v>299154</v>
          </cell>
          <cell r="C1821" t="str">
            <v>ERROR SUSPENSE - PY - PEOPLESOFT PAYROLL</v>
          </cell>
        </row>
        <row r="1822">
          <cell r="A1822" t="str">
            <v>ZONE-0105-POST</v>
          </cell>
          <cell r="B1822">
            <v>299154</v>
          </cell>
          <cell r="C1822" t="str">
            <v>ERROR SUSPENSE - PY - PEOPLESOFT PAYROLL</v>
          </cell>
        </row>
        <row r="1823">
          <cell r="A1823" t="str">
            <v>ZONE-0108-POST</v>
          </cell>
          <cell r="B1823">
            <v>299154</v>
          </cell>
          <cell r="C1823" t="str">
            <v>ERROR SUSPENSE - PY - PEOPLESOFT PAYROLL</v>
          </cell>
        </row>
        <row r="1824">
          <cell r="A1824" t="str">
            <v>ZONE-0109-POST</v>
          </cell>
          <cell r="B1824">
            <v>299154</v>
          </cell>
          <cell r="C1824" t="str">
            <v>ERROR SUSPENSE - PY - PEOPLESOFT PAYROLL</v>
          </cell>
        </row>
        <row r="1825">
          <cell r="A1825" t="str">
            <v>ZONE-0110-POST</v>
          </cell>
          <cell r="B1825">
            <v>299154</v>
          </cell>
          <cell r="C1825" t="str">
            <v>ERROR SUSPENSE - PY - PEOPLESOFT PAYROLL</v>
          </cell>
        </row>
        <row r="1826">
          <cell r="A1826" t="str">
            <v>ZONE-0111-POST</v>
          </cell>
          <cell r="B1826">
            <v>299154</v>
          </cell>
          <cell r="C1826" t="str">
            <v>ERROR SUSPENSE - PY - PEOPLESOFT PAYROLL</v>
          </cell>
        </row>
        <row r="1827">
          <cell r="A1827" t="str">
            <v>ZONE-0112-POST</v>
          </cell>
          <cell r="B1827">
            <v>299154</v>
          </cell>
          <cell r="C1827" t="str">
            <v>ERROR SUSPENSE - PY - PEOPLESOFT PAYROLL</v>
          </cell>
        </row>
        <row r="1828">
          <cell r="A1828" t="str">
            <v>ZONE-9998-POST</v>
          </cell>
          <cell r="B1828">
            <v>299154</v>
          </cell>
          <cell r="C1828" t="str">
            <v>ERROR SUSPENSE - PY - PEOPLESOFT PAYROLL</v>
          </cell>
        </row>
        <row r="1829">
          <cell r="A1829" t="str">
            <v>ZONE-9999-POST</v>
          </cell>
          <cell r="B1829">
            <v>299154</v>
          </cell>
          <cell r="C1829" t="str">
            <v>ERROR SUSPENSE - PY - PEOPLESOFT PAYROLL</v>
          </cell>
        </row>
        <row r="1830">
          <cell r="A1830" t="str">
            <v>I/C-1510-POST</v>
          </cell>
          <cell r="B1830">
            <v>299155</v>
          </cell>
          <cell r="C1830" t="str">
            <v>ERROR SUSPENSE - J0 - CUBS</v>
          </cell>
        </row>
        <row r="1831">
          <cell r="A1831" t="str">
            <v>ZONE-0068-POST</v>
          </cell>
          <cell r="B1831">
            <v>299155</v>
          </cell>
          <cell r="C1831" t="str">
            <v>ERROR SUSPENSE - J0 - CUBS</v>
          </cell>
        </row>
        <row r="1832">
          <cell r="A1832" t="str">
            <v>ZONE-0072-POST</v>
          </cell>
          <cell r="B1832">
            <v>299155</v>
          </cell>
          <cell r="C1832" t="str">
            <v>ERROR SUSPENSE - J0 - CUBS</v>
          </cell>
        </row>
        <row r="1833">
          <cell r="A1833" t="str">
            <v>ZONE-0102-POST</v>
          </cell>
          <cell r="B1833">
            <v>299155</v>
          </cell>
          <cell r="C1833" t="str">
            <v>ERROR SUSPENSE - J0 - CUBS</v>
          </cell>
        </row>
        <row r="1834">
          <cell r="A1834" t="str">
            <v>ZONE-0103-POST</v>
          </cell>
          <cell r="B1834">
            <v>299155</v>
          </cell>
          <cell r="C1834" t="str">
            <v>ERROR SUSPENSE - J0 - CUBS</v>
          </cell>
        </row>
        <row r="1835">
          <cell r="A1835" t="str">
            <v>ZONE-0104-POST</v>
          </cell>
          <cell r="B1835">
            <v>299155</v>
          </cell>
          <cell r="C1835" t="str">
            <v>ERROR SUSPENSE - J0 - CUBS</v>
          </cell>
        </row>
        <row r="1836">
          <cell r="A1836" t="str">
            <v>ZONE-0105-POST</v>
          </cell>
          <cell r="B1836">
            <v>299155</v>
          </cell>
          <cell r="C1836" t="str">
            <v>ERROR SUSPENSE - J0 - CUBS</v>
          </cell>
        </row>
        <row r="1837">
          <cell r="A1837" t="str">
            <v>ZONE-0108-POST</v>
          </cell>
          <cell r="B1837">
            <v>299155</v>
          </cell>
          <cell r="C1837" t="str">
            <v>ERROR SUSPENSE - J0 - CUBS</v>
          </cell>
        </row>
        <row r="1838">
          <cell r="A1838" t="str">
            <v>ZONE-0109-POST</v>
          </cell>
          <cell r="B1838">
            <v>299155</v>
          </cell>
          <cell r="C1838" t="str">
            <v>ERROR SUSPENSE - J0 - CUBS</v>
          </cell>
        </row>
        <row r="1839">
          <cell r="A1839" t="str">
            <v>ZONE-0110-POST</v>
          </cell>
          <cell r="B1839">
            <v>299155</v>
          </cell>
          <cell r="C1839" t="str">
            <v>ERROR SUSPENSE - J0 - CUBS</v>
          </cell>
        </row>
        <row r="1840">
          <cell r="A1840" t="str">
            <v>ZONE-0111-POST</v>
          </cell>
          <cell r="B1840">
            <v>299155</v>
          </cell>
          <cell r="C1840" t="str">
            <v>ERROR SUSPENSE - J0 - CUBS</v>
          </cell>
        </row>
        <row r="1841">
          <cell r="A1841" t="str">
            <v>ZONE-0112-POST</v>
          </cell>
          <cell r="B1841">
            <v>299155</v>
          </cell>
          <cell r="C1841" t="str">
            <v>ERROR SUSPENSE - J0 - CUBS</v>
          </cell>
        </row>
        <row r="1842">
          <cell r="A1842" t="str">
            <v>ZONE-9998-POST</v>
          </cell>
          <cell r="B1842">
            <v>299155</v>
          </cell>
          <cell r="C1842" t="str">
            <v>ERROR SUSPENSE - J0 - CUBS</v>
          </cell>
        </row>
        <row r="1843">
          <cell r="A1843" t="str">
            <v>ZONE-9999-POST</v>
          </cell>
          <cell r="B1843">
            <v>299155</v>
          </cell>
          <cell r="C1843" t="str">
            <v>ERROR SUSPENSE - J0 - CUBS</v>
          </cell>
        </row>
        <row r="1844">
          <cell r="A1844" t="str">
            <v>I/C-1510-POST</v>
          </cell>
          <cell r="B1844">
            <v>299156</v>
          </cell>
          <cell r="C1844" t="str">
            <v>ERROR SUSPENSE - RE - RECEIVINGS</v>
          </cell>
        </row>
        <row r="1845">
          <cell r="A1845" t="str">
            <v>ZONE-0068-POST</v>
          </cell>
          <cell r="B1845">
            <v>299156</v>
          </cell>
          <cell r="C1845" t="str">
            <v>ERROR SUSPENSE - RE - RECEIVINGS</v>
          </cell>
        </row>
        <row r="1846">
          <cell r="A1846" t="str">
            <v>ZONE-0072-POST</v>
          </cell>
          <cell r="B1846">
            <v>299156</v>
          </cell>
          <cell r="C1846" t="str">
            <v>ERROR SUSPENSE - RE - RECEIVINGS</v>
          </cell>
        </row>
        <row r="1847">
          <cell r="A1847" t="str">
            <v>ZONE-0102-POST</v>
          </cell>
          <cell r="B1847">
            <v>299156</v>
          </cell>
          <cell r="C1847" t="str">
            <v>ERROR SUSPENSE - RE - RECEIVINGS</v>
          </cell>
        </row>
        <row r="1848">
          <cell r="A1848" t="str">
            <v>ZONE-0103-POST</v>
          </cell>
          <cell r="B1848">
            <v>299156</v>
          </cell>
          <cell r="C1848" t="str">
            <v>ERROR SUSPENSE - RE - RECEIVINGS</v>
          </cell>
        </row>
        <row r="1849">
          <cell r="A1849" t="str">
            <v>ZONE-0104-POST</v>
          </cell>
          <cell r="B1849">
            <v>299156</v>
          </cell>
          <cell r="C1849" t="str">
            <v>ERROR SUSPENSE - RE - RECEIVINGS</v>
          </cell>
        </row>
        <row r="1850">
          <cell r="A1850" t="str">
            <v>ZONE-0105-POST</v>
          </cell>
          <cell r="B1850">
            <v>299156</v>
          </cell>
          <cell r="C1850" t="str">
            <v>ERROR SUSPENSE - RE - RECEIVINGS</v>
          </cell>
        </row>
        <row r="1851">
          <cell r="A1851" t="str">
            <v>ZONE-0108-POST</v>
          </cell>
          <cell r="B1851">
            <v>299156</v>
          </cell>
          <cell r="C1851" t="str">
            <v>ERROR SUSPENSE - RE - RECEIVINGS</v>
          </cell>
        </row>
        <row r="1852">
          <cell r="A1852" t="str">
            <v>ZONE-0109-POST</v>
          </cell>
          <cell r="B1852">
            <v>299156</v>
          </cell>
          <cell r="C1852" t="str">
            <v>ERROR SUSPENSE - RE - RECEIVINGS</v>
          </cell>
        </row>
        <row r="1853">
          <cell r="A1853" t="str">
            <v>ZONE-0110-POST</v>
          </cell>
          <cell r="B1853">
            <v>299156</v>
          </cell>
          <cell r="C1853" t="str">
            <v>ERROR SUSPENSE - RE - RECEIVINGS</v>
          </cell>
        </row>
        <row r="1854">
          <cell r="A1854" t="str">
            <v>ZONE-0111-POST</v>
          </cell>
          <cell r="B1854">
            <v>299156</v>
          </cell>
          <cell r="C1854" t="str">
            <v>ERROR SUSPENSE - RE - RECEIVINGS</v>
          </cell>
        </row>
        <row r="1855">
          <cell r="A1855" t="str">
            <v>ZONE-0112-POST</v>
          </cell>
          <cell r="B1855">
            <v>299156</v>
          </cell>
          <cell r="C1855" t="str">
            <v>ERROR SUSPENSE - RE - RECEIVINGS</v>
          </cell>
        </row>
        <row r="1856">
          <cell r="A1856" t="str">
            <v>ZONE-9998-POST</v>
          </cell>
          <cell r="B1856">
            <v>299156</v>
          </cell>
          <cell r="C1856" t="str">
            <v>ERROR SUSPENSE - RE - RECEIVINGS</v>
          </cell>
        </row>
        <row r="1857">
          <cell r="A1857" t="str">
            <v>ZONE-9999-POST</v>
          </cell>
          <cell r="B1857">
            <v>299156</v>
          </cell>
          <cell r="C1857" t="str">
            <v>ERROR SUSPENSE - RE - RECEIVINGS</v>
          </cell>
        </row>
        <row r="1858">
          <cell r="A1858" t="str">
            <v>I/C-1510-POST</v>
          </cell>
          <cell r="B1858">
            <v>299157</v>
          </cell>
          <cell r="C1858" t="str">
            <v>ERROR SUSPENSE - RK - RETURNED CHECKS</v>
          </cell>
        </row>
        <row r="1859">
          <cell r="A1859" t="str">
            <v>ZONE-0068-POST</v>
          </cell>
          <cell r="B1859">
            <v>299157</v>
          </cell>
          <cell r="C1859" t="str">
            <v>ERROR SUSPENSE - RK - RETURNED CHECKS</v>
          </cell>
        </row>
        <row r="1860">
          <cell r="A1860" t="str">
            <v>ZONE-0072-POST</v>
          </cell>
          <cell r="B1860">
            <v>299157</v>
          </cell>
          <cell r="C1860" t="str">
            <v>ERROR SUSPENSE - RK - RETURNED CHECKS</v>
          </cell>
        </row>
        <row r="1861">
          <cell r="A1861" t="str">
            <v>ZONE-0102-POST</v>
          </cell>
          <cell r="B1861">
            <v>299157</v>
          </cell>
          <cell r="C1861" t="str">
            <v>ERROR SUSPENSE - RK - RETURNED CHECKS</v>
          </cell>
        </row>
        <row r="1862">
          <cell r="A1862" t="str">
            <v>ZONE-0103-POST</v>
          </cell>
          <cell r="B1862">
            <v>299157</v>
          </cell>
          <cell r="C1862" t="str">
            <v>ERROR SUSPENSE - RK - RETURNED CHECKS</v>
          </cell>
        </row>
        <row r="1863">
          <cell r="A1863" t="str">
            <v>ZONE-0104-POST</v>
          </cell>
          <cell r="B1863">
            <v>299157</v>
          </cell>
          <cell r="C1863" t="str">
            <v>ERROR SUSPENSE - RK - RETURNED CHECKS</v>
          </cell>
        </row>
        <row r="1864">
          <cell r="A1864" t="str">
            <v>ZONE-0105-POST</v>
          </cell>
          <cell r="B1864">
            <v>299157</v>
          </cell>
          <cell r="C1864" t="str">
            <v>ERROR SUSPENSE - RK - RETURNED CHECKS</v>
          </cell>
        </row>
        <row r="1865">
          <cell r="A1865" t="str">
            <v>ZONE-0108-POST</v>
          </cell>
          <cell r="B1865">
            <v>299157</v>
          </cell>
          <cell r="C1865" t="str">
            <v>ERROR SUSPENSE - RK - RETURNED CHECKS</v>
          </cell>
        </row>
        <row r="1866">
          <cell r="A1866" t="str">
            <v>ZONE-0109-POST</v>
          </cell>
          <cell r="B1866">
            <v>299157</v>
          </cell>
          <cell r="C1866" t="str">
            <v>ERROR SUSPENSE - RK - RETURNED CHECKS</v>
          </cell>
        </row>
        <row r="1867">
          <cell r="A1867" t="str">
            <v>ZONE-0110-POST</v>
          </cell>
          <cell r="B1867">
            <v>299157</v>
          </cell>
          <cell r="C1867" t="str">
            <v>ERROR SUSPENSE - RK - RETURNED CHECKS</v>
          </cell>
        </row>
        <row r="1868">
          <cell r="A1868" t="str">
            <v>ZONE-0111-POST</v>
          </cell>
          <cell r="B1868">
            <v>299157</v>
          </cell>
          <cell r="C1868" t="str">
            <v>ERROR SUSPENSE - RK - RETURNED CHECKS</v>
          </cell>
        </row>
        <row r="1869">
          <cell r="A1869" t="str">
            <v>ZONE-0112-POST</v>
          </cell>
          <cell r="B1869">
            <v>299157</v>
          </cell>
          <cell r="C1869" t="str">
            <v>ERROR SUSPENSE - RK - RETURNED CHECKS</v>
          </cell>
        </row>
        <row r="1870">
          <cell r="A1870" t="str">
            <v>ZONE-9998-POST</v>
          </cell>
          <cell r="B1870">
            <v>299157</v>
          </cell>
          <cell r="C1870" t="str">
            <v>ERROR SUSPENSE - RK - RETURNED CHECKS</v>
          </cell>
        </row>
        <row r="1871">
          <cell r="A1871" t="str">
            <v>ZONE-9999-POST</v>
          </cell>
          <cell r="B1871">
            <v>299157</v>
          </cell>
          <cell r="C1871" t="str">
            <v>ERROR SUSPENSE - RK - RETURNED CHECKS</v>
          </cell>
        </row>
        <row r="1872">
          <cell r="A1872" t="str">
            <v>I/C-1510-POST</v>
          </cell>
          <cell r="B1872">
            <v>299158</v>
          </cell>
          <cell r="C1872" t="str">
            <v>ERROR SUSPENSE - RP - RFM PAYROLL</v>
          </cell>
        </row>
        <row r="1873">
          <cell r="A1873" t="str">
            <v>ZONE-0068-POST</v>
          </cell>
          <cell r="B1873">
            <v>299158</v>
          </cell>
          <cell r="C1873" t="str">
            <v>ERROR SUSPENSE - RP - RFM PAYROLL</v>
          </cell>
        </row>
        <row r="1874">
          <cell r="A1874" t="str">
            <v>ZONE-0072-POST</v>
          </cell>
          <cell r="B1874">
            <v>299158</v>
          </cell>
          <cell r="C1874" t="str">
            <v>ERROR SUSPENSE - RP - RFM PAYROLL</v>
          </cell>
        </row>
        <row r="1875">
          <cell r="A1875" t="str">
            <v>ZONE-0102-POST</v>
          </cell>
          <cell r="B1875">
            <v>299158</v>
          </cell>
          <cell r="C1875" t="str">
            <v>ERROR SUSPENSE - RP - RFM PAYROLL</v>
          </cell>
        </row>
        <row r="1876">
          <cell r="A1876" t="str">
            <v>ZONE-0103-POST</v>
          </cell>
          <cell r="B1876">
            <v>299158</v>
          </cell>
          <cell r="C1876" t="str">
            <v>ERROR SUSPENSE - RP - RFM PAYROLL</v>
          </cell>
        </row>
        <row r="1877">
          <cell r="A1877" t="str">
            <v>ZONE-0104-POST</v>
          </cell>
          <cell r="B1877">
            <v>299158</v>
          </cell>
          <cell r="C1877" t="str">
            <v>ERROR SUSPENSE - RP - RFM PAYROLL</v>
          </cell>
        </row>
        <row r="1878">
          <cell r="A1878" t="str">
            <v>ZONE-0105-POST</v>
          </cell>
          <cell r="B1878">
            <v>299158</v>
          </cell>
          <cell r="C1878" t="str">
            <v>ERROR SUSPENSE - RP - RFM PAYROLL</v>
          </cell>
        </row>
        <row r="1879">
          <cell r="A1879" t="str">
            <v>ZONE-0108-POST</v>
          </cell>
          <cell r="B1879">
            <v>299158</v>
          </cell>
          <cell r="C1879" t="str">
            <v>ERROR SUSPENSE - RP - RFM PAYROLL</v>
          </cell>
        </row>
        <row r="1880">
          <cell r="A1880" t="str">
            <v>ZONE-0109-POST</v>
          </cell>
          <cell r="B1880">
            <v>299158</v>
          </cell>
          <cell r="C1880" t="str">
            <v>ERROR SUSPENSE - RP - RFM PAYROLL</v>
          </cell>
        </row>
        <row r="1881">
          <cell r="A1881" t="str">
            <v>ZONE-0110-POST</v>
          </cell>
          <cell r="B1881">
            <v>299158</v>
          </cell>
          <cell r="C1881" t="str">
            <v>ERROR SUSPENSE - RP - RFM PAYROLL</v>
          </cell>
        </row>
        <row r="1882">
          <cell r="A1882" t="str">
            <v>ZONE-0111-POST</v>
          </cell>
          <cell r="B1882">
            <v>299158</v>
          </cell>
          <cell r="C1882" t="str">
            <v>ERROR SUSPENSE - RP - RFM PAYROLL</v>
          </cell>
        </row>
        <row r="1883">
          <cell r="A1883" t="str">
            <v>ZONE-0112-POST</v>
          </cell>
          <cell r="B1883">
            <v>299158</v>
          </cell>
          <cell r="C1883" t="str">
            <v>ERROR SUSPENSE - RP - RFM PAYROLL</v>
          </cell>
        </row>
        <row r="1884">
          <cell r="A1884" t="str">
            <v>ZONE-9998-POST</v>
          </cell>
          <cell r="B1884">
            <v>299158</v>
          </cell>
          <cell r="C1884" t="str">
            <v>ERROR SUSPENSE - RP - RFM PAYROLL</v>
          </cell>
        </row>
        <row r="1885">
          <cell r="A1885" t="str">
            <v>ZONE-9999-POST</v>
          </cell>
          <cell r="B1885">
            <v>299158</v>
          </cell>
          <cell r="C1885" t="str">
            <v>ERROR SUSPENSE - RP - RFM PAYROLL</v>
          </cell>
        </row>
        <row r="1886">
          <cell r="A1886" t="str">
            <v>I/C-1510-POST</v>
          </cell>
          <cell r="B1886">
            <v>299159</v>
          </cell>
          <cell r="C1886" t="str">
            <v>ERROR SUSPENSE - RS - RFM STORE SHIPMENTS</v>
          </cell>
        </row>
        <row r="1887">
          <cell r="A1887" t="str">
            <v>ZONE-0068-POST</v>
          </cell>
          <cell r="B1887">
            <v>299159</v>
          </cell>
          <cell r="C1887" t="str">
            <v>ERROR SUSPENSE - RS - RFM STORE SHIPMENTS</v>
          </cell>
        </row>
        <row r="1888">
          <cell r="A1888" t="str">
            <v>ZONE-0072-POST</v>
          </cell>
          <cell r="B1888">
            <v>299159</v>
          </cell>
          <cell r="C1888" t="str">
            <v>ERROR SUSPENSE - RS - RFM STORE SHIPMENTS</v>
          </cell>
        </row>
        <row r="1889">
          <cell r="A1889" t="str">
            <v>ZONE-0102-POST</v>
          </cell>
          <cell r="B1889">
            <v>299159</v>
          </cell>
          <cell r="C1889" t="str">
            <v>ERROR SUSPENSE - RS - RFM STORE SHIPMENTS</v>
          </cell>
        </row>
        <row r="1890">
          <cell r="A1890" t="str">
            <v>ZONE-0103-POST</v>
          </cell>
          <cell r="B1890">
            <v>299159</v>
          </cell>
          <cell r="C1890" t="str">
            <v>ERROR SUSPENSE - RS - RFM STORE SHIPMENTS</v>
          </cell>
        </row>
        <row r="1891">
          <cell r="A1891" t="str">
            <v>ZONE-0104-POST</v>
          </cell>
          <cell r="B1891">
            <v>299159</v>
          </cell>
          <cell r="C1891" t="str">
            <v>ERROR SUSPENSE - RS - RFM STORE SHIPMENTS</v>
          </cell>
        </row>
        <row r="1892">
          <cell r="A1892" t="str">
            <v>ZONE-0105-POST</v>
          </cell>
          <cell r="B1892">
            <v>299159</v>
          </cell>
          <cell r="C1892" t="str">
            <v>ERROR SUSPENSE - RS - RFM STORE SHIPMENTS</v>
          </cell>
        </row>
        <row r="1893">
          <cell r="A1893" t="str">
            <v>ZONE-0108-POST</v>
          </cell>
          <cell r="B1893">
            <v>299159</v>
          </cell>
          <cell r="C1893" t="str">
            <v>ERROR SUSPENSE - RS - RFM STORE SHIPMENTS</v>
          </cell>
        </row>
        <row r="1894">
          <cell r="A1894" t="str">
            <v>ZONE-0109-POST</v>
          </cell>
          <cell r="B1894">
            <v>299159</v>
          </cell>
          <cell r="C1894" t="str">
            <v>ERROR SUSPENSE - RS - RFM STORE SHIPMENTS</v>
          </cell>
        </row>
        <row r="1895">
          <cell r="A1895" t="str">
            <v>ZONE-0110-POST</v>
          </cell>
          <cell r="B1895">
            <v>299159</v>
          </cell>
          <cell r="C1895" t="str">
            <v>ERROR SUSPENSE - RS - RFM STORE SHIPMENTS</v>
          </cell>
        </row>
        <row r="1896">
          <cell r="A1896" t="str">
            <v>ZONE-0111-POST</v>
          </cell>
          <cell r="B1896">
            <v>299159</v>
          </cell>
          <cell r="C1896" t="str">
            <v>ERROR SUSPENSE - RS - RFM STORE SHIPMENTS</v>
          </cell>
        </row>
        <row r="1897">
          <cell r="A1897" t="str">
            <v>ZONE-0112-POST</v>
          </cell>
          <cell r="B1897">
            <v>299159</v>
          </cell>
          <cell r="C1897" t="str">
            <v>ERROR SUSPENSE - RS - RFM STORE SHIPMENTS</v>
          </cell>
        </row>
        <row r="1898">
          <cell r="A1898" t="str">
            <v>ZONE-9998-POST</v>
          </cell>
          <cell r="B1898">
            <v>299159</v>
          </cell>
          <cell r="C1898" t="str">
            <v>ERROR SUSPENSE - RS - RFM STORE SHIPMENTS</v>
          </cell>
        </row>
        <row r="1899">
          <cell r="A1899" t="str">
            <v>ZONE-9999-POST</v>
          </cell>
          <cell r="B1899">
            <v>299159</v>
          </cell>
          <cell r="C1899" t="str">
            <v>ERROR SUSPENSE - RS - RFM STORE SHIPMENTS</v>
          </cell>
        </row>
        <row r="1900">
          <cell r="A1900" t="str">
            <v>I/C-1510-POST</v>
          </cell>
          <cell r="B1900">
            <v>299160</v>
          </cell>
          <cell r="C1900" t="str">
            <v>ERROR SUSPENSE - RX - PHARMACY RECEIVABLES</v>
          </cell>
        </row>
        <row r="1901">
          <cell r="A1901" t="str">
            <v>ZONE-0068-POST</v>
          </cell>
          <cell r="B1901">
            <v>299160</v>
          </cell>
          <cell r="C1901" t="str">
            <v>ERROR SUSPENSE - RX - PHARMACY RECEIVABLES</v>
          </cell>
        </row>
        <row r="1902">
          <cell r="A1902" t="str">
            <v>ZONE-0072-POST</v>
          </cell>
          <cell r="B1902">
            <v>299160</v>
          </cell>
          <cell r="C1902" t="str">
            <v>ERROR SUSPENSE - RX - PHARMACY RECEIVABLES</v>
          </cell>
        </row>
        <row r="1903">
          <cell r="A1903" t="str">
            <v>ZONE-0102-POST</v>
          </cell>
          <cell r="B1903">
            <v>299160</v>
          </cell>
          <cell r="C1903" t="str">
            <v>ERROR SUSPENSE - RX - PHARMACY RECEIVABLES</v>
          </cell>
        </row>
        <row r="1904">
          <cell r="A1904" t="str">
            <v>ZONE-0103-POST</v>
          </cell>
          <cell r="B1904">
            <v>299160</v>
          </cell>
          <cell r="C1904" t="str">
            <v>ERROR SUSPENSE - RX - PHARMACY RECEIVABLES</v>
          </cell>
        </row>
        <row r="1905">
          <cell r="A1905" t="str">
            <v>ZONE-0104-POST</v>
          </cell>
          <cell r="B1905">
            <v>299160</v>
          </cell>
          <cell r="C1905" t="str">
            <v>ERROR SUSPENSE - RX - PHARMACY RECEIVABLES</v>
          </cell>
        </row>
        <row r="1906">
          <cell r="A1906" t="str">
            <v>ZONE-0105-POST</v>
          </cell>
          <cell r="B1906">
            <v>299160</v>
          </cell>
          <cell r="C1906" t="str">
            <v>ERROR SUSPENSE - RX - PHARMACY RECEIVABLES</v>
          </cell>
        </row>
        <row r="1907">
          <cell r="A1907" t="str">
            <v>ZONE-0108-POST</v>
          </cell>
          <cell r="B1907">
            <v>299160</v>
          </cell>
          <cell r="C1907" t="str">
            <v>ERROR SUSPENSE - RX - PHARMACY RECEIVABLES</v>
          </cell>
        </row>
        <row r="1908">
          <cell r="A1908" t="str">
            <v>ZONE-0109-POST</v>
          </cell>
          <cell r="B1908">
            <v>299160</v>
          </cell>
          <cell r="C1908" t="str">
            <v>ERROR SUSPENSE - RX - PHARMACY RECEIVABLES</v>
          </cell>
        </row>
        <row r="1909">
          <cell r="A1909" t="str">
            <v>ZONE-0110-POST</v>
          </cell>
          <cell r="B1909">
            <v>299160</v>
          </cell>
          <cell r="C1909" t="str">
            <v>ERROR SUSPENSE - RX - PHARMACY RECEIVABLES</v>
          </cell>
        </row>
        <row r="1910">
          <cell r="A1910" t="str">
            <v>ZONE-0111-POST</v>
          </cell>
          <cell r="B1910">
            <v>299160</v>
          </cell>
          <cell r="C1910" t="str">
            <v>ERROR SUSPENSE - RX - PHARMACY RECEIVABLES</v>
          </cell>
        </row>
        <row r="1911">
          <cell r="A1911" t="str">
            <v>ZONE-0112-POST</v>
          </cell>
          <cell r="B1911">
            <v>299160</v>
          </cell>
          <cell r="C1911" t="str">
            <v>ERROR SUSPENSE - RX - PHARMACY RECEIVABLES</v>
          </cell>
        </row>
        <row r="1912">
          <cell r="A1912" t="str">
            <v>ZONE-9998-POST</v>
          </cell>
          <cell r="B1912">
            <v>299160</v>
          </cell>
          <cell r="C1912" t="str">
            <v>ERROR SUSPENSE - RX - PHARMACY RECEIVABLES</v>
          </cell>
        </row>
        <row r="1913">
          <cell r="A1913" t="str">
            <v>ZONE-9999-POST</v>
          </cell>
          <cell r="B1913">
            <v>299160</v>
          </cell>
          <cell r="C1913" t="str">
            <v>ERROR SUSPENSE - RX - PHARMACY RECEIVABLES</v>
          </cell>
        </row>
        <row r="1914">
          <cell r="A1914" t="str">
            <v>I/C-1510-POST</v>
          </cell>
          <cell r="B1914">
            <v>299162</v>
          </cell>
          <cell r="C1914" t="str">
            <v>ERROR SUSPENSE - SC - STORE CHARGES</v>
          </cell>
        </row>
        <row r="1915">
          <cell r="A1915" t="str">
            <v>ZONE-0068-POST</v>
          </cell>
          <cell r="B1915">
            <v>299162</v>
          </cell>
          <cell r="C1915" t="str">
            <v>ERROR SUSPENSE - SC - STORE CHARGES</v>
          </cell>
        </row>
        <row r="1916">
          <cell r="A1916" t="str">
            <v>ZONE-0072-POST</v>
          </cell>
          <cell r="B1916">
            <v>299162</v>
          </cell>
          <cell r="C1916" t="str">
            <v>ERROR SUSPENSE - SC - STORE CHARGES</v>
          </cell>
        </row>
        <row r="1917">
          <cell r="A1917" t="str">
            <v>ZONE-0102-POST</v>
          </cell>
          <cell r="B1917">
            <v>299162</v>
          </cell>
          <cell r="C1917" t="str">
            <v>ERROR SUSPENSE - SC - STORE CHARGES</v>
          </cell>
        </row>
        <row r="1918">
          <cell r="A1918" t="str">
            <v>ZONE-0103-POST</v>
          </cell>
          <cell r="B1918">
            <v>299162</v>
          </cell>
          <cell r="C1918" t="str">
            <v>ERROR SUSPENSE - SC - STORE CHARGES</v>
          </cell>
        </row>
        <row r="1919">
          <cell r="A1919" t="str">
            <v>ZONE-0104-POST</v>
          </cell>
          <cell r="B1919">
            <v>299162</v>
          </cell>
          <cell r="C1919" t="str">
            <v>ERROR SUSPENSE - SC - STORE CHARGES</v>
          </cell>
        </row>
        <row r="1920">
          <cell r="A1920" t="str">
            <v>ZONE-0105-POST</v>
          </cell>
          <cell r="B1920">
            <v>299162</v>
          </cell>
          <cell r="C1920" t="str">
            <v>ERROR SUSPENSE - SC - STORE CHARGES</v>
          </cell>
        </row>
        <row r="1921">
          <cell r="A1921" t="str">
            <v>ZONE-0108-POST</v>
          </cell>
          <cell r="B1921">
            <v>299162</v>
          </cell>
          <cell r="C1921" t="str">
            <v>ERROR SUSPENSE - SC - STORE CHARGES</v>
          </cell>
        </row>
        <row r="1922">
          <cell r="A1922" t="str">
            <v>ZONE-0109-POST</v>
          </cell>
          <cell r="B1922">
            <v>299162</v>
          </cell>
          <cell r="C1922" t="str">
            <v>ERROR SUSPENSE - SC - STORE CHARGES</v>
          </cell>
        </row>
        <row r="1923">
          <cell r="A1923" t="str">
            <v>ZONE-0110-POST</v>
          </cell>
          <cell r="B1923">
            <v>299162</v>
          </cell>
          <cell r="C1923" t="str">
            <v>ERROR SUSPENSE - SC - STORE CHARGES</v>
          </cell>
        </row>
        <row r="1924">
          <cell r="A1924" t="str">
            <v>ZONE-0111-POST</v>
          </cell>
          <cell r="B1924">
            <v>299162</v>
          </cell>
          <cell r="C1924" t="str">
            <v>ERROR SUSPENSE - SC - STORE CHARGES</v>
          </cell>
        </row>
        <row r="1925">
          <cell r="A1925" t="str">
            <v>ZONE-0112-POST</v>
          </cell>
          <cell r="B1925">
            <v>299162</v>
          </cell>
          <cell r="C1925" t="str">
            <v>ERROR SUSPENSE - SC - STORE CHARGES</v>
          </cell>
        </row>
        <row r="1926">
          <cell r="A1926" t="str">
            <v>ZONE-9998-POST</v>
          </cell>
          <cell r="B1926">
            <v>299162</v>
          </cell>
          <cell r="C1926" t="str">
            <v>ERROR SUSPENSE - SC - STORE CHARGES</v>
          </cell>
        </row>
        <row r="1927">
          <cell r="A1927" t="str">
            <v>ZONE-9999-POST</v>
          </cell>
          <cell r="B1927">
            <v>299162</v>
          </cell>
          <cell r="C1927" t="str">
            <v>ERROR SUSPENSE - SC - STORE CHARGES</v>
          </cell>
        </row>
        <row r="1928">
          <cell r="A1928" t="str">
            <v>I/C-1510-POST</v>
          </cell>
          <cell r="B1928">
            <v>299165</v>
          </cell>
          <cell r="C1928" t="str">
            <v>ERROR SUSPENSE - VA - VACATION ACCRUAL</v>
          </cell>
        </row>
        <row r="1929">
          <cell r="A1929" t="str">
            <v>ZONE-0068-POST</v>
          </cell>
          <cell r="B1929">
            <v>299165</v>
          </cell>
          <cell r="C1929" t="str">
            <v>ERROR SUSPENSE - VA - VACATION ACCRUAL</v>
          </cell>
        </row>
        <row r="1930">
          <cell r="A1930" t="str">
            <v>ZONE-0072-POST</v>
          </cell>
          <cell r="B1930">
            <v>299165</v>
          </cell>
          <cell r="C1930" t="str">
            <v>ERROR SUSPENSE - VA - VACATION ACCRUAL</v>
          </cell>
        </row>
        <row r="1931">
          <cell r="A1931" t="str">
            <v>ZONE-0102-POST</v>
          </cell>
          <cell r="B1931">
            <v>299165</v>
          </cell>
          <cell r="C1931" t="str">
            <v>ERROR SUSPENSE - VA - VACATION ACCRUAL</v>
          </cell>
        </row>
        <row r="1932">
          <cell r="A1932" t="str">
            <v>ZONE-0103-POST</v>
          </cell>
          <cell r="B1932">
            <v>299165</v>
          </cell>
          <cell r="C1932" t="str">
            <v>ERROR SUSPENSE - VA - VACATION ACCRUAL</v>
          </cell>
        </row>
        <row r="1933">
          <cell r="A1933" t="str">
            <v>ZONE-0104-POST</v>
          </cell>
          <cell r="B1933">
            <v>299165</v>
          </cell>
          <cell r="C1933" t="str">
            <v>ERROR SUSPENSE - VA - VACATION ACCRUAL</v>
          </cell>
        </row>
        <row r="1934">
          <cell r="A1934" t="str">
            <v>ZONE-0105-POST</v>
          </cell>
          <cell r="B1934">
            <v>299165</v>
          </cell>
          <cell r="C1934" t="str">
            <v>ERROR SUSPENSE - VA - VACATION ACCRUAL</v>
          </cell>
        </row>
        <row r="1935">
          <cell r="A1935" t="str">
            <v>ZONE-0108-POST</v>
          </cell>
          <cell r="B1935">
            <v>299165</v>
          </cell>
          <cell r="C1935" t="str">
            <v>ERROR SUSPENSE - VA - VACATION ACCRUAL</v>
          </cell>
        </row>
        <row r="1936">
          <cell r="A1936" t="str">
            <v>ZONE-0109-POST</v>
          </cell>
          <cell r="B1936">
            <v>299165</v>
          </cell>
          <cell r="C1936" t="str">
            <v>ERROR SUSPENSE - VA - VACATION ACCRUAL</v>
          </cell>
        </row>
        <row r="1937">
          <cell r="A1937" t="str">
            <v>ZONE-0110-POST</v>
          </cell>
          <cell r="B1937">
            <v>299165</v>
          </cell>
          <cell r="C1937" t="str">
            <v>ERROR SUSPENSE - VA - VACATION ACCRUAL</v>
          </cell>
        </row>
        <row r="1938">
          <cell r="A1938" t="str">
            <v>ZONE-0111-POST</v>
          </cell>
          <cell r="B1938">
            <v>299165</v>
          </cell>
          <cell r="C1938" t="str">
            <v>ERROR SUSPENSE - VA - VACATION ACCRUAL</v>
          </cell>
        </row>
        <row r="1939">
          <cell r="A1939" t="str">
            <v>ZONE-0112-POST</v>
          </cell>
          <cell r="B1939">
            <v>299165</v>
          </cell>
          <cell r="C1939" t="str">
            <v>ERROR SUSPENSE - VA - VACATION ACCRUAL</v>
          </cell>
        </row>
        <row r="1940">
          <cell r="A1940" t="str">
            <v>ZONE-9998-POST</v>
          </cell>
          <cell r="B1940">
            <v>299165</v>
          </cell>
          <cell r="C1940" t="str">
            <v>ERROR SUSPENSE - VA - VACATION ACCRUAL</v>
          </cell>
        </row>
        <row r="1941">
          <cell r="A1941" t="str">
            <v>ZONE-9999-POST</v>
          </cell>
          <cell r="B1941">
            <v>299165</v>
          </cell>
          <cell r="C1941" t="str">
            <v>ERROR SUSPENSE - VA - VACATION ACCRUAL</v>
          </cell>
        </row>
        <row r="1942">
          <cell r="A1942" t="str">
            <v>I/C-1510-POST</v>
          </cell>
          <cell r="B1942">
            <v>299166</v>
          </cell>
          <cell r="C1942" t="str">
            <v>ERROR SUSPENSE - C0 - PRICE/COST - ADV AND DEC</v>
          </cell>
        </row>
        <row r="1943">
          <cell r="A1943" t="str">
            <v>ZONE-0068-POST</v>
          </cell>
          <cell r="B1943">
            <v>299166</v>
          </cell>
          <cell r="C1943" t="str">
            <v>ERROR SUSPENSE - C0 - PRICE/COST - ADV AND DEC</v>
          </cell>
        </row>
        <row r="1944">
          <cell r="A1944" t="str">
            <v>ZONE-0072-POST</v>
          </cell>
          <cell r="B1944">
            <v>299166</v>
          </cell>
          <cell r="C1944" t="str">
            <v>ERROR SUSPENSE - C0 - PRICE/COST - ADV AND DEC</v>
          </cell>
        </row>
        <row r="1945">
          <cell r="A1945" t="str">
            <v>ZONE-0102-POST</v>
          </cell>
          <cell r="B1945">
            <v>299166</v>
          </cell>
          <cell r="C1945" t="str">
            <v>ERROR SUSPENSE - C0 - PRICE/COST - ADV AND DEC</v>
          </cell>
        </row>
        <row r="1946">
          <cell r="A1946" t="str">
            <v>ZONE-0103-POST</v>
          </cell>
          <cell r="B1946">
            <v>299166</v>
          </cell>
          <cell r="C1946" t="str">
            <v>ERROR SUSPENSE - C0 - PRICE/COST - ADV AND DEC</v>
          </cell>
        </row>
        <row r="1947">
          <cell r="A1947" t="str">
            <v>ZONE-0104-POST</v>
          </cell>
          <cell r="B1947">
            <v>299166</v>
          </cell>
          <cell r="C1947" t="str">
            <v>ERROR SUSPENSE - C0 - PRICE/COST - ADV AND DEC</v>
          </cell>
        </row>
        <row r="1948">
          <cell r="A1948" t="str">
            <v>ZONE-0105-POST</v>
          </cell>
          <cell r="B1948">
            <v>299166</v>
          </cell>
          <cell r="C1948" t="str">
            <v>ERROR SUSPENSE - C0 - PRICE/COST - ADV AND DEC</v>
          </cell>
        </row>
        <row r="1949">
          <cell r="A1949" t="str">
            <v>ZONE-0108-POST</v>
          </cell>
          <cell r="B1949">
            <v>299166</v>
          </cell>
          <cell r="C1949" t="str">
            <v>ERROR SUSPENSE - C0 - PRICE/COST - ADV AND DEC</v>
          </cell>
        </row>
        <row r="1950">
          <cell r="A1950" t="str">
            <v>ZONE-0109-POST</v>
          </cell>
          <cell r="B1950">
            <v>299166</v>
          </cell>
          <cell r="C1950" t="str">
            <v>ERROR SUSPENSE - C0 - PRICE/COST - ADV AND DEC</v>
          </cell>
        </row>
        <row r="1951">
          <cell r="A1951" t="str">
            <v>ZONE-0110-POST</v>
          </cell>
          <cell r="B1951">
            <v>299166</v>
          </cell>
          <cell r="C1951" t="str">
            <v>ERROR SUSPENSE - C0 - PRICE/COST - ADV AND DEC</v>
          </cell>
        </row>
        <row r="1952">
          <cell r="A1952" t="str">
            <v>ZONE-0111-POST</v>
          </cell>
          <cell r="B1952">
            <v>299166</v>
          </cell>
          <cell r="C1952" t="str">
            <v>ERROR SUSPENSE - C0 - PRICE/COST - ADV AND DEC</v>
          </cell>
        </row>
        <row r="1953">
          <cell r="A1953" t="str">
            <v>ZONE-0112-POST</v>
          </cell>
          <cell r="B1953">
            <v>299166</v>
          </cell>
          <cell r="C1953" t="str">
            <v>ERROR SUSPENSE - C0 - PRICE/COST - ADV AND DEC</v>
          </cell>
        </row>
        <row r="1954">
          <cell r="A1954" t="str">
            <v>ZONE-9998-POST</v>
          </cell>
          <cell r="B1954">
            <v>299166</v>
          </cell>
          <cell r="C1954" t="str">
            <v>ERROR SUSPENSE - C0 - PRICE/COST - ADV AND DEC</v>
          </cell>
        </row>
        <row r="1955">
          <cell r="A1955" t="str">
            <v>ZONE-9999-POST</v>
          </cell>
          <cell r="B1955">
            <v>299166</v>
          </cell>
          <cell r="C1955" t="str">
            <v>ERROR SUSPENSE - C0 - PRICE/COST - ADV AND DEC</v>
          </cell>
        </row>
        <row r="1956">
          <cell r="A1956" t="str">
            <v>I/C-1510-POST</v>
          </cell>
          <cell r="B1956">
            <v>299167</v>
          </cell>
          <cell r="C1956" t="str">
            <v>ERROR SUSPENSE - WM - WIMS</v>
          </cell>
        </row>
        <row r="1957">
          <cell r="A1957" t="str">
            <v>ZONE-0068-POST</v>
          </cell>
          <cell r="B1957">
            <v>299167</v>
          </cell>
          <cell r="C1957" t="str">
            <v>ERROR SUSPENSE - WM - WIMS</v>
          </cell>
        </row>
        <row r="1958">
          <cell r="A1958" t="str">
            <v>ZONE-0072-POST</v>
          </cell>
          <cell r="B1958">
            <v>299167</v>
          </cell>
          <cell r="C1958" t="str">
            <v>ERROR SUSPENSE - WM - WIMS</v>
          </cell>
        </row>
        <row r="1959">
          <cell r="A1959" t="str">
            <v>ZONE-0102-POST</v>
          </cell>
          <cell r="B1959">
            <v>299167</v>
          </cell>
          <cell r="C1959" t="str">
            <v>ERROR SUSPENSE - WM - WIMS</v>
          </cell>
        </row>
        <row r="1960">
          <cell r="A1960" t="str">
            <v>ZONE-0103-POST</v>
          </cell>
          <cell r="B1960">
            <v>299167</v>
          </cell>
          <cell r="C1960" t="str">
            <v>ERROR SUSPENSE - WM - WIMS</v>
          </cell>
        </row>
        <row r="1961">
          <cell r="A1961" t="str">
            <v>ZONE-0104-POST</v>
          </cell>
          <cell r="B1961">
            <v>299167</v>
          </cell>
          <cell r="C1961" t="str">
            <v>ERROR SUSPENSE - WM - WIMS</v>
          </cell>
        </row>
        <row r="1962">
          <cell r="A1962" t="str">
            <v>ZONE-0105-POST</v>
          </cell>
          <cell r="B1962">
            <v>299167</v>
          </cell>
          <cell r="C1962" t="str">
            <v>ERROR SUSPENSE - WM - WIMS</v>
          </cell>
        </row>
        <row r="1963">
          <cell r="A1963" t="str">
            <v>ZONE-0108-POST</v>
          </cell>
          <cell r="B1963">
            <v>299167</v>
          </cell>
          <cell r="C1963" t="str">
            <v>ERROR SUSPENSE - WM - WIMS</v>
          </cell>
        </row>
        <row r="1964">
          <cell r="A1964" t="str">
            <v>ZONE-0109-POST</v>
          </cell>
          <cell r="B1964">
            <v>299167</v>
          </cell>
          <cell r="C1964" t="str">
            <v>ERROR SUSPENSE - WM - WIMS</v>
          </cell>
        </row>
        <row r="1965">
          <cell r="A1965" t="str">
            <v>ZONE-0110-POST</v>
          </cell>
          <cell r="B1965">
            <v>299167</v>
          </cell>
          <cell r="C1965" t="str">
            <v>ERROR SUSPENSE - WM - WIMS</v>
          </cell>
        </row>
        <row r="1966">
          <cell r="A1966" t="str">
            <v>ZONE-0111-POST</v>
          </cell>
          <cell r="B1966">
            <v>299167</v>
          </cell>
          <cell r="C1966" t="str">
            <v>ERROR SUSPENSE - WM - WIMS</v>
          </cell>
        </row>
        <row r="1967">
          <cell r="A1967" t="str">
            <v>ZONE-0112-POST</v>
          </cell>
          <cell r="B1967">
            <v>299167</v>
          </cell>
          <cell r="C1967" t="str">
            <v>ERROR SUSPENSE - WM - WIMS</v>
          </cell>
        </row>
        <row r="1968">
          <cell r="A1968" t="str">
            <v>ZONE-9998-POST</v>
          </cell>
          <cell r="B1968">
            <v>299167</v>
          </cell>
          <cell r="C1968" t="str">
            <v>ERROR SUSPENSE - WM - WIMS</v>
          </cell>
        </row>
        <row r="1969">
          <cell r="A1969" t="str">
            <v>ZONE-9999-POST</v>
          </cell>
          <cell r="B1969">
            <v>299167</v>
          </cell>
          <cell r="C1969" t="str">
            <v>ERROR SUSPENSE - WM - WIMS</v>
          </cell>
        </row>
        <row r="1970">
          <cell r="A1970" t="str">
            <v>I/C-1510-POST</v>
          </cell>
          <cell r="B1970">
            <v>299171</v>
          </cell>
          <cell r="C1970" t="str">
            <v>ERROR SUSPENSE - PT - PEOPLESOFT TRUST</v>
          </cell>
        </row>
        <row r="1971">
          <cell r="A1971" t="str">
            <v>ZONE-0068-POST</v>
          </cell>
          <cell r="B1971">
            <v>299171</v>
          </cell>
          <cell r="C1971" t="str">
            <v>ERROR SUSPENSE - PT - PEOPLESOFT TRUST</v>
          </cell>
        </row>
        <row r="1972">
          <cell r="A1972" t="str">
            <v>ZONE-0072-POST</v>
          </cell>
          <cell r="B1972">
            <v>299171</v>
          </cell>
          <cell r="C1972" t="str">
            <v>ERROR SUSPENSE - PT - PEOPLESOFT TRUST</v>
          </cell>
        </row>
        <row r="1973">
          <cell r="A1973" t="str">
            <v>ZONE-0102-POST</v>
          </cell>
          <cell r="B1973">
            <v>299171</v>
          </cell>
          <cell r="C1973" t="str">
            <v>ERROR SUSPENSE - PT - PEOPLESOFT TRUST</v>
          </cell>
        </row>
        <row r="1974">
          <cell r="A1974" t="str">
            <v>ZONE-0103-POST</v>
          </cell>
          <cell r="B1974">
            <v>299171</v>
          </cell>
          <cell r="C1974" t="str">
            <v>ERROR SUSPENSE - PT - PEOPLESOFT TRUST</v>
          </cell>
        </row>
        <row r="1975">
          <cell r="A1975" t="str">
            <v>ZONE-0104-POST</v>
          </cell>
          <cell r="B1975">
            <v>299171</v>
          </cell>
          <cell r="C1975" t="str">
            <v>ERROR SUSPENSE - PT - PEOPLESOFT TRUST</v>
          </cell>
        </row>
        <row r="1976">
          <cell r="A1976" t="str">
            <v>ZONE-0105-POST</v>
          </cell>
          <cell r="B1976">
            <v>299171</v>
          </cell>
          <cell r="C1976" t="str">
            <v>ERROR SUSPENSE - PT - PEOPLESOFT TRUST</v>
          </cell>
        </row>
        <row r="1977">
          <cell r="A1977" t="str">
            <v>ZONE-0108-POST</v>
          </cell>
          <cell r="B1977">
            <v>299171</v>
          </cell>
          <cell r="C1977" t="str">
            <v>ERROR SUSPENSE - PT - PEOPLESOFT TRUST</v>
          </cell>
        </row>
        <row r="1978">
          <cell r="A1978" t="str">
            <v>ZONE-0109-POST</v>
          </cell>
          <cell r="B1978">
            <v>299171</v>
          </cell>
          <cell r="C1978" t="str">
            <v>ERROR SUSPENSE - PT - PEOPLESOFT TRUST</v>
          </cell>
        </row>
        <row r="1979">
          <cell r="A1979" t="str">
            <v>ZONE-0110-POST</v>
          </cell>
          <cell r="B1979">
            <v>299171</v>
          </cell>
          <cell r="C1979" t="str">
            <v>ERROR SUSPENSE - PT - PEOPLESOFT TRUST</v>
          </cell>
        </row>
        <row r="1980">
          <cell r="A1980" t="str">
            <v>ZONE-0111-POST</v>
          </cell>
          <cell r="B1980">
            <v>299171</v>
          </cell>
          <cell r="C1980" t="str">
            <v>ERROR SUSPENSE - PT - PEOPLESOFT TRUST</v>
          </cell>
        </row>
        <row r="1981">
          <cell r="A1981" t="str">
            <v>ZONE-0112-POST</v>
          </cell>
          <cell r="B1981">
            <v>299171</v>
          </cell>
          <cell r="C1981" t="str">
            <v>ERROR SUSPENSE - PT - PEOPLESOFT TRUST</v>
          </cell>
        </row>
        <row r="1982">
          <cell r="A1982" t="str">
            <v>ZONE-9998-POST</v>
          </cell>
          <cell r="B1982">
            <v>299171</v>
          </cell>
          <cell r="C1982" t="str">
            <v>ERROR SUSPENSE - PT - PEOPLESOFT TRUST</v>
          </cell>
        </row>
        <row r="1983">
          <cell r="A1983" t="str">
            <v>ZONE-9999-POST</v>
          </cell>
          <cell r="B1983">
            <v>299171</v>
          </cell>
          <cell r="C1983" t="str">
            <v>ERROR SUSPENSE - PT - PEOPLESOFT TRUST</v>
          </cell>
        </row>
        <row r="1984">
          <cell r="A1984">
            <v>9681716</v>
          </cell>
          <cell r="B1984">
            <v>310001</v>
          </cell>
          <cell r="C1984" t="str">
            <v>SALES TO PUBLIC</v>
          </cell>
        </row>
        <row r="1985">
          <cell r="A1985">
            <v>8001054179</v>
          </cell>
          <cell r="B1985">
            <v>310416</v>
          </cell>
          <cell r="C1985" t="str">
            <v>GIFT CARD COMMISSION</v>
          </cell>
        </row>
        <row r="1986">
          <cell r="A1986">
            <v>8001059542</v>
          </cell>
          <cell r="B1986">
            <v>310416</v>
          </cell>
          <cell r="C1986" t="str">
            <v>GIFT CARD COMMISSION</v>
          </cell>
        </row>
        <row r="1987">
          <cell r="A1987">
            <v>8010512510</v>
          </cell>
          <cell r="B1987">
            <v>310416</v>
          </cell>
          <cell r="C1987" t="str">
            <v>GIFT CARD COMMISSION</v>
          </cell>
        </row>
        <row r="1988">
          <cell r="A1988">
            <v>9050702</v>
          </cell>
          <cell r="B1988">
            <v>310416</v>
          </cell>
          <cell r="C1988" t="str">
            <v>GIFT CARD COMMISSION</v>
          </cell>
        </row>
        <row r="1989">
          <cell r="A1989">
            <v>9050712</v>
          </cell>
          <cell r="B1989">
            <v>310416</v>
          </cell>
          <cell r="C1989" t="str">
            <v>GIFT CARD COMMISSION</v>
          </cell>
        </row>
        <row r="1990">
          <cell r="A1990">
            <v>9050999</v>
          </cell>
          <cell r="B1990">
            <v>310416</v>
          </cell>
          <cell r="C1990" t="str">
            <v>GIFT CARD COMMISSION</v>
          </cell>
        </row>
        <row r="1991">
          <cell r="A1991">
            <v>9051702</v>
          </cell>
          <cell r="B1991">
            <v>310416</v>
          </cell>
          <cell r="C1991" t="str">
            <v>GIFT CARD COMMISSION</v>
          </cell>
        </row>
        <row r="1992">
          <cell r="A1992">
            <v>9051712</v>
          </cell>
          <cell r="B1992">
            <v>310416</v>
          </cell>
          <cell r="C1992" t="str">
            <v>GIFT CARD COMMISSION</v>
          </cell>
        </row>
        <row r="1993">
          <cell r="A1993">
            <v>9051999</v>
          </cell>
          <cell r="B1993">
            <v>310416</v>
          </cell>
          <cell r="C1993" t="str">
            <v>GIFT CARD COMMISSION</v>
          </cell>
        </row>
        <row r="1994">
          <cell r="A1994">
            <v>9052999</v>
          </cell>
          <cell r="B1994">
            <v>310416</v>
          </cell>
          <cell r="C1994" t="str">
            <v>GIFT CARD COMMISSION</v>
          </cell>
        </row>
        <row r="1995">
          <cell r="A1995">
            <v>9080700</v>
          </cell>
          <cell r="B1995">
            <v>310416</v>
          </cell>
          <cell r="C1995" t="str">
            <v>GIFT CARD COMMISSION</v>
          </cell>
        </row>
        <row r="1996">
          <cell r="A1996">
            <v>9080701</v>
          </cell>
          <cell r="B1996">
            <v>310416</v>
          </cell>
          <cell r="C1996" t="str">
            <v>GIFT CARD COMMISSION</v>
          </cell>
        </row>
        <row r="1997">
          <cell r="A1997">
            <v>9080702</v>
          </cell>
          <cell r="B1997">
            <v>310416</v>
          </cell>
          <cell r="C1997" t="str">
            <v>GIFT CARD COMMISSION</v>
          </cell>
        </row>
        <row r="1998">
          <cell r="A1998">
            <v>9080705</v>
          </cell>
          <cell r="B1998">
            <v>310416</v>
          </cell>
          <cell r="C1998" t="str">
            <v>GIFT CARD COMMISSION</v>
          </cell>
        </row>
        <row r="1999">
          <cell r="A1999">
            <v>9080707</v>
          </cell>
          <cell r="B1999">
            <v>310416</v>
          </cell>
          <cell r="C1999" t="str">
            <v>GIFT CARD COMMISSION</v>
          </cell>
        </row>
        <row r="2000">
          <cell r="A2000">
            <v>9080710</v>
          </cell>
          <cell r="B2000">
            <v>310416</v>
          </cell>
          <cell r="C2000" t="str">
            <v>GIFT CARD COMMISSION</v>
          </cell>
        </row>
        <row r="2001">
          <cell r="A2001">
            <v>9090730</v>
          </cell>
          <cell r="B2001">
            <v>310416</v>
          </cell>
          <cell r="C2001" t="str">
            <v>GIFT CARD COMMISSION</v>
          </cell>
        </row>
        <row r="2002">
          <cell r="A2002">
            <v>9090731</v>
          </cell>
          <cell r="B2002">
            <v>310416</v>
          </cell>
          <cell r="C2002" t="str">
            <v>GIFT CARD COMMISSION</v>
          </cell>
        </row>
        <row r="2003">
          <cell r="A2003">
            <v>9090732</v>
          </cell>
          <cell r="B2003">
            <v>310416</v>
          </cell>
          <cell r="C2003" t="str">
            <v>GIFT CARD COMMISSION</v>
          </cell>
        </row>
        <row r="2004">
          <cell r="A2004">
            <v>9090999</v>
          </cell>
          <cell r="B2004">
            <v>310416</v>
          </cell>
          <cell r="C2004" t="str">
            <v>GIFT CARD COMMISSION</v>
          </cell>
        </row>
        <row r="2005">
          <cell r="A2005">
            <v>9100999</v>
          </cell>
          <cell r="B2005">
            <v>310416</v>
          </cell>
          <cell r="C2005" t="str">
            <v>GIFT CARD COMMISSION</v>
          </cell>
        </row>
        <row r="2006">
          <cell r="A2006">
            <v>9110700</v>
          </cell>
          <cell r="B2006">
            <v>310416</v>
          </cell>
          <cell r="C2006" t="str">
            <v>GIFT CARD COMMISSION</v>
          </cell>
        </row>
        <row r="2007">
          <cell r="A2007">
            <v>9110702</v>
          </cell>
          <cell r="B2007">
            <v>310416</v>
          </cell>
          <cell r="C2007" t="str">
            <v>GIFT CARD COMMISSION</v>
          </cell>
        </row>
        <row r="2008">
          <cell r="A2008">
            <v>9110705</v>
          </cell>
          <cell r="B2008">
            <v>310416</v>
          </cell>
          <cell r="C2008" t="str">
            <v>GIFT CARD COMMISSION</v>
          </cell>
        </row>
        <row r="2009">
          <cell r="A2009">
            <v>9110707</v>
          </cell>
          <cell r="B2009">
            <v>310416</v>
          </cell>
          <cell r="C2009" t="str">
            <v>GIFT CARD COMMISSION</v>
          </cell>
        </row>
        <row r="2010">
          <cell r="A2010">
            <v>9680700</v>
          </cell>
          <cell r="B2010">
            <v>310416</v>
          </cell>
          <cell r="C2010" t="str">
            <v>GIFT CARD COMMISSION</v>
          </cell>
        </row>
        <row r="2011">
          <cell r="A2011">
            <v>9680701</v>
          </cell>
          <cell r="B2011">
            <v>310416</v>
          </cell>
          <cell r="C2011" t="str">
            <v>GIFT CARD COMMISSION</v>
          </cell>
        </row>
        <row r="2012">
          <cell r="A2012">
            <v>9680702</v>
          </cell>
          <cell r="B2012">
            <v>310416</v>
          </cell>
          <cell r="C2012" t="str">
            <v>GIFT CARD COMMISSION</v>
          </cell>
        </row>
        <row r="2013">
          <cell r="A2013">
            <v>9680705</v>
          </cell>
          <cell r="B2013">
            <v>310416</v>
          </cell>
          <cell r="C2013" t="str">
            <v>GIFT CARD COMMISSION</v>
          </cell>
        </row>
        <row r="2014">
          <cell r="A2014">
            <v>9680707</v>
          </cell>
          <cell r="B2014">
            <v>310416</v>
          </cell>
          <cell r="C2014" t="str">
            <v>GIFT CARD COMMISSION</v>
          </cell>
        </row>
        <row r="2015">
          <cell r="A2015">
            <v>9680710</v>
          </cell>
          <cell r="B2015">
            <v>310416</v>
          </cell>
          <cell r="C2015" t="str">
            <v>GIFT CARD COMMISSION</v>
          </cell>
        </row>
        <row r="2016">
          <cell r="A2016">
            <v>9680712</v>
          </cell>
          <cell r="B2016">
            <v>310416</v>
          </cell>
          <cell r="C2016" t="str">
            <v>GIFT CARD COMMISSION</v>
          </cell>
        </row>
        <row r="2017">
          <cell r="A2017">
            <v>9680714</v>
          </cell>
          <cell r="B2017">
            <v>310416</v>
          </cell>
          <cell r="C2017" t="str">
            <v>GIFT CARD COMMISSION</v>
          </cell>
        </row>
        <row r="2018">
          <cell r="A2018">
            <v>9680734</v>
          </cell>
          <cell r="B2018">
            <v>310416</v>
          </cell>
          <cell r="C2018" t="str">
            <v>GIFT CARD COMMISSION</v>
          </cell>
        </row>
        <row r="2019">
          <cell r="A2019">
            <v>9680748</v>
          </cell>
          <cell r="B2019">
            <v>310416</v>
          </cell>
          <cell r="C2019" t="str">
            <v>GIFT CARD COMMISSION</v>
          </cell>
        </row>
        <row r="2020">
          <cell r="A2020">
            <v>9680749</v>
          </cell>
          <cell r="B2020">
            <v>310416</v>
          </cell>
          <cell r="C2020" t="str">
            <v>GIFT CARD COMMISSION</v>
          </cell>
        </row>
        <row r="2021">
          <cell r="A2021">
            <v>9680894</v>
          </cell>
          <cell r="B2021">
            <v>310416</v>
          </cell>
          <cell r="C2021" t="str">
            <v>GIFT CARD COMMISSION</v>
          </cell>
        </row>
        <row r="2022">
          <cell r="A2022">
            <v>9680999</v>
          </cell>
          <cell r="B2022">
            <v>310416</v>
          </cell>
          <cell r="C2022" t="str">
            <v>GIFT CARD COMMISSION</v>
          </cell>
        </row>
        <row r="2023">
          <cell r="A2023">
            <v>9681700</v>
          </cell>
          <cell r="B2023">
            <v>310416</v>
          </cell>
          <cell r="C2023" t="str">
            <v>GIFT CARD COMMISSION</v>
          </cell>
        </row>
        <row r="2024">
          <cell r="A2024">
            <v>9681701</v>
          </cell>
          <cell r="B2024">
            <v>310416</v>
          </cell>
          <cell r="C2024" t="str">
            <v>GIFT CARD COMMISSION</v>
          </cell>
        </row>
        <row r="2025">
          <cell r="A2025">
            <v>9681702</v>
          </cell>
          <cell r="B2025">
            <v>310416</v>
          </cell>
          <cell r="C2025" t="str">
            <v>GIFT CARD COMMISSION</v>
          </cell>
        </row>
        <row r="2026">
          <cell r="A2026">
            <v>9681705</v>
          </cell>
          <cell r="B2026">
            <v>310416</v>
          </cell>
          <cell r="C2026" t="str">
            <v>GIFT CARD COMMISSION</v>
          </cell>
        </row>
        <row r="2027">
          <cell r="A2027">
            <v>9681706</v>
          </cell>
          <cell r="B2027">
            <v>310416</v>
          </cell>
          <cell r="C2027" t="str">
            <v>GIFT CARD COMMISSION</v>
          </cell>
        </row>
        <row r="2028">
          <cell r="A2028">
            <v>9681707</v>
          </cell>
          <cell r="B2028">
            <v>310416</v>
          </cell>
          <cell r="C2028" t="str">
            <v>GIFT CARD COMMISSION</v>
          </cell>
        </row>
        <row r="2029">
          <cell r="A2029">
            <v>9681710</v>
          </cell>
          <cell r="B2029">
            <v>310416</v>
          </cell>
          <cell r="C2029" t="str">
            <v>GIFT CARD COMMISSION</v>
          </cell>
        </row>
        <row r="2030">
          <cell r="A2030">
            <v>9681712</v>
          </cell>
          <cell r="B2030">
            <v>310416</v>
          </cell>
          <cell r="C2030" t="str">
            <v>GIFT CARD COMMISSION</v>
          </cell>
        </row>
        <row r="2031">
          <cell r="A2031">
            <v>9681714</v>
          </cell>
          <cell r="B2031">
            <v>310416</v>
          </cell>
          <cell r="C2031" t="str">
            <v>GIFT CARD COMMISSION</v>
          </cell>
        </row>
        <row r="2032">
          <cell r="A2032">
            <v>9681716</v>
          </cell>
          <cell r="B2032">
            <v>310416</v>
          </cell>
          <cell r="C2032" t="str">
            <v>GIFT CARD COMMISSION</v>
          </cell>
        </row>
        <row r="2033">
          <cell r="A2033">
            <v>9681727</v>
          </cell>
          <cell r="B2033">
            <v>310416</v>
          </cell>
          <cell r="C2033" t="str">
            <v>GIFT CARD COMMISSION</v>
          </cell>
        </row>
        <row r="2034">
          <cell r="A2034">
            <v>9681734</v>
          </cell>
          <cell r="B2034">
            <v>310416</v>
          </cell>
          <cell r="C2034" t="str">
            <v>GIFT CARD COMMISSION</v>
          </cell>
        </row>
        <row r="2035">
          <cell r="A2035">
            <v>9681748</v>
          </cell>
          <cell r="B2035">
            <v>310416</v>
          </cell>
          <cell r="C2035" t="str">
            <v>GIFT CARD COMMISSION</v>
          </cell>
        </row>
        <row r="2036">
          <cell r="A2036">
            <v>9681749</v>
          </cell>
          <cell r="B2036">
            <v>310416</v>
          </cell>
          <cell r="C2036" t="str">
            <v>GIFT CARD COMMISSION</v>
          </cell>
        </row>
        <row r="2037">
          <cell r="A2037">
            <v>9681894</v>
          </cell>
          <cell r="B2037">
            <v>310416</v>
          </cell>
          <cell r="C2037" t="str">
            <v>GIFT CARD COMMISSION</v>
          </cell>
        </row>
        <row r="2038">
          <cell r="A2038">
            <v>9681999</v>
          </cell>
          <cell r="B2038">
            <v>310416</v>
          </cell>
          <cell r="C2038" t="str">
            <v>GIFT CARD COMMISSION</v>
          </cell>
        </row>
        <row r="2039">
          <cell r="A2039">
            <v>9682715</v>
          </cell>
          <cell r="B2039">
            <v>310416</v>
          </cell>
          <cell r="C2039" t="str">
            <v>GIFT CARD COMMISSION</v>
          </cell>
        </row>
        <row r="2040">
          <cell r="A2040">
            <v>9682722</v>
          </cell>
          <cell r="B2040">
            <v>310416</v>
          </cell>
          <cell r="C2040" t="str">
            <v>GIFT CARD COMMISSION</v>
          </cell>
        </row>
        <row r="2041">
          <cell r="A2041">
            <v>9682999</v>
          </cell>
          <cell r="B2041">
            <v>310416</v>
          </cell>
          <cell r="C2041" t="str">
            <v>GIFT CARD COMMISSION</v>
          </cell>
        </row>
        <row r="2042">
          <cell r="A2042">
            <v>9683999</v>
          </cell>
          <cell r="B2042">
            <v>310416</v>
          </cell>
          <cell r="C2042" t="str">
            <v>GIFT CARD COMMISSION</v>
          </cell>
        </row>
        <row r="2043">
          <cell r="A2043">
            <v>9684999</v>
          </cell>
          <cell r="B2043">
            <v>310416</v>
          </cell>
          <cell r="C2043" t="str">
            <v>GIFT CARD COMMISSION</v>
          </cell>
        </row>
        <row r="2044">
          <cell r="A2044">
            <v>9685999</v>
          </cell>
          <cell r="B2044">
            <v>310416</v>
          </cell>
          <cell r="C2044" t="str">
            <v>GIFT CARD COMMISSION</v>
          </cell>
        </row>
        <row r="2045">
          <cell r="A2045">
            <v>9689692</v>
          </cell>
          <cell r="B2045">
            <v>310416</v>
          </cell>
          <cell r="C2045" t="str">
            <v>GIFT CARD COMMISSION</v>
          </cell>
        </row>
        <row r="2046">
          <cell r="A2046">
            <v>9689747</v>
          </cell>
          <cell r="B2046">
            <v>310416</v>
          </cell>
          <cell r="C2046" t="str">
            <v>GIFT CARD COMMISSION</v>
          </cell>
        </row>
        <row r="2047">
          <cell r="A2047">
            <v>9689883</v>
          </cell>
          <cell r="B2047">
            <v>310416</v>
          </cell>
          <cell r="C2047" t="str">
            <v>GIFT CARD COMMISSION</v>
          </cell>
        </row>
        <row r="2048">
          <cell r="A2048">
            <v>9689890</v>
          </cell>
          <cell r="B2048">
            <v>310416</v>
          </cell>
          <cell r="C2048" t="str">
            <v>GIFT CARD COMMISSION</v>
          </cell>
        </row>
        <row r="2049">
          <cell r="A2049">
            <v>9689906</v>
          </cell>
          <cell r="B2049">
            <v>310416</v>
          </cell>
          <cell r="C2049" t="str">
            <v>GIFT CARD COMMISSION</v>
          </cell>
        </row>
        <row r="2050">
          <cell r="A2050">
            <v>9689925</v>
          </cell>
          <cell r="B2050">
            <v>310416</v>
          </cell>
          <cell r="C2050" t="str">
            <v>GIFT CARD COMMISSION</v>
          </cell>
        </row>
        <row r="2051">
          <cell r="A2051">
            <v>9689990</v>
          </cell>
          <cell r="B2051">
            <v>310416</v>
          </cell>
          <cell r="C2051" t="str">
            <v>GIFT CARD COMMISSION</v>
          </cell>
        </row>
        <row r="2052">
          <cell r="A2052">
            <v>9689991</v>
          </cell>
          <cell r="B2052">
            <v>310416</v>
          </cell>
          <cell r="C2052" t="str">
            <v>GIFT CARD COMMISSION</v>
          </cell>
        </row>
        <row r="2053">
          <cell r="A2053">
            <v>9689992</v>
          </cell>
          <cell r="B2053">
            <v>310416</v>
          </cell>
          <cell r="C2053" t="str">
            <v>GIFT CARD COMMISSION</v>
          </cell>
        </row>
        <row r="2054">
          <cell r="A2054">
            <v>9689993</v>
          </cell>
          <cell r="B2054">
            <v>310416</v>
          </cell>
          <cell r="C2054" t="str">
            <v>GIFT CARD COMMISSION</v>
          </cell>
        </row>
        <row r="2055">
          <cell r="A2055">
            <v>9689994</v>
          </cell>
          <cell r="B2055">
            <v>310416</v>
          </cell>
          <cell r="C2055" t="str">
            <v>GIFT CARD COMMISSION</v>
          </cell>
        </row>
        <row r="2056">
          <cell r="A2056">
            <v>9689999</v>
          </cell>
          <cell r="B2056">
            <v>310416</v>
          </cell>
          <cell r="C2056" t="str">
            <v>GIFT CARD COMMISSION</v>
          </cell>
        </row>
        <row r="2057">
          <cell r="A2057">
            <v>9720703</v>
          </cell>
          <cell r="B2057">
            <v>310416</v>
          </cell>
          <cell r="C2057" t="str">
            <v>GIFT CARD COMMISSION</v>
          </cell>
        </row>
        <row r="2058">
          <cell r="A2058">
            <v>9720704</v>
          </cell>
          <cell r="B2058">
            <v>310416</v>
          </cell>
          <cell r="C2058" t="str">
            <v>GIFT CARD COMMISSION</v>
          </cell>
        </row>
        <row r="2059">
          <cell r="A2059">
            <v>9720716</v>
          </cell>
          <cell r="B2059">
            <v>310416</v>
          </cell>
          <cell r="C2059" t="str">
            <v>GIFT CARD COMMISSION</v>
          </cell>
        </row>
        <row r="2060">
          <cell r="A2060">
            <v>9722708</v>
          </cell>
          <cell r="B2060">
            <v>310416</v>
          </cell>
          <cell r="C2060" t="str">
            <v>GIFT CARD COMMISSION</v>
          </cell>
        </row>
        <row r="2061">
          <cell r="A2061">
            <v>9722709</v>
          </cell>
          <cell r="B2061">
            <v>310416</v>
          </cell>
          <cell r="C2061" t="str">
            <v>GIFT CARD COMMISSION</v>
          </cell>
        </row>
        <row r="2062">
          <cell r="A2062">
            <v>9722713</v>
          </cell>
          <cell r="B2062">
            <v>310416</v>
          </cell>
          <cell r="C2062" t="str">
            <v>GIFT CARD COMMISSION</v>
          </cell>
        </row>
        <row r="2063">
          <cell r="A2063">
            <v>9723723</v>
          </cell>
          <cell r="B2063">
            <v>310416</v>
          </cell>
          <cell r="C2063" t="str">
            <v>GIFT CARD COMMISSION</v>
          </cell>
        </row>
        <row r="2064">
          <cell r="A2064">
            <v>9723729</v>
          </cell>
          <cell r="B2064">
            <v>310416</v>
          </cell>
          <cell r="C2064" t="str">
            <v>GIFT CARD COMMISSION</v>
          </cell>
        </row>
        <row r="2065">
          <cell r="A2065">
            <v>9724718</v>
          </cell>
          <cell r="B2065">
            <v>310416</v>
          </cell>
          <cell r="C2065" t="str">
            <v>GIFT CARD COMMISSION</v>
          </cell>
        </row>
        <row r="2066">
          <cell r="A2066">
            <v>9724721</v>
          </cell>
          <cell r="B2066">
            <v>310416</v>
          </cell>
          <cell r="C2066" t="str">
            <v>GIFT CARD COMMISSION</v>
          </cell>
        </row>
        <row r="2067">
          <cell r="A2067">
            <v>9724724</v>
          </cell>
          <cell r="B2067">
            <v>310416</v>
          </cell>
          <cell r="C2067" t="str">
            <v>GIFT CARD COMMISSION</v>
          </cell>
        </row>
        <row r="2068">
          <cell r="A2068">
            <v>9724726</v>
          </cell>
          <cell r="B2068">
            <v>310416</v>
          </cell>
          <cell r="C2068" t="str">
            <v>GIFT CARD COMMISSION</v>
          </cell>
        </row>
        <row r="2069">
          <cell r="A2069">
            <v>9725703</v>
          </cell>
          <cell r="B2069">
            <v>310416</v>
          </cell>
          <cell r="C2069" t="str">
            <v>GIFT CARD COMMISSION</v>
          </cell>
        </row>
        <row r="2070">
          <cell r="A2070">
            <v>9725704</v>
          </cell>
          <cell r="B2070">
            <v>310416</v>
          </cell>
          <cell r="C2070" t="str">
            <v>GIFT CARD COMMISSION</v>
          </cell>
        </row>
        <row r="2071">
          <cell r="A2071">
            <v>9725711</v>
          </cell>
          <cell r="B2071">
            <v>310416</v>
          </cell>
          <cell r="C2071" t="str">
            <v>GIFT CARD COMMISSION</v>
          </cell>
        </row>
        <row r="2072">
          <cell r="A2072">
            <v>9725717</v>
          </cell>
          <cell r="B2072">
            <v>310416</v>
          </cell>
          <cell r="C2072" t="str">
            <v>GIFT CARD COMMISSION</v>
          </cell>
        </row>
        <row r="2073">
          <cell r="A2073">
            <v>9725725</v>
          </cell>
          <cell r="B2073">
            <v>310416</v>
          </cell>
          <cell r="C2073" t="str">
            <v>GIFT CARD COMMISSION</v>
          </cell>
        </row>
        <row r="2074">
          <cell r="A2074">
            <v>9969681</v>
          </cell>
          <cell r="B2074">
            <v>310416</v>
          </cell>
          <cell r="C2074" t="str">
            <v>GIFT CARD COMMISSION</v>
          </cell>
        </row>
        <row r="2075">
          <cell r="A2075">
            <v>9969901</v>
          </cell>
          <cell r="B2075">
            <v>310416</v>
          </cell>
          <cell r="C2075" t="str">
            <v>GIFT CARD COMMISSION</v>
          </cell>
        </row>
        <row r="2076">
          <cell r="A2076" t="str">
            <v>ZONE-0105-POST</v>
          </cell>
          <cell r="B2076">
            <v>310416</v>
          </cell>
          <cell r="C2076" t="str">
            <v>GIFT CARD COMMISSION</v>
          </cell>
        </row>
        <row r="2077">
          <cell r="A2077" t="str">
            <v>ZONE-0112-POST</v>
          </cell>
          <cell r="B2077">
            <v>310416</v>
          </cell>
          <cell r="C2077" t="str">
            <v>GIFT CARD COMMISSION</v>
          </cell>
        </row>
        <row r="2078">
          <cell r="A2078">
            <v>8001054179</v>
          </cell>
          <cell r="B2078">
            <v>310417</v>
          </cell>
          <cell r="C2078" t="str">
            <v>GIFT CARD COMMISSION DISTRIBUTED</v>
          </cell>
        </row>
        <row r="2079">
          <cell r="A2079">
            <v>8001059542</v>
          </cell>
          <cell r="B2079">
            <v>310417</v>
          </cell>
          <cell r="C2079" t="str">
            <v>GIFT CARD COMMISSION DISTRIBUTED</v>
          </cell>
        </row>
        <row r="2080">
          <cell r="A2080">
            <v>8010512510</v>
          </cell>
          <cell r="B2080">
            <v>310417</v>
          </cell>
          <cell r="C2080" t="str">
            <v>GIFT CARD COMMISSION DISTRIBUTED</v>
          </cell>
        </row>
        <row r="2081">
          <cell r="A2081">
            <v>9050700</v>
          </cell>
          <cell r="B2081">
            <v>310417</v>
          </cell>
          <cell r="C2081" t="str">
            <v>GIFT CARD COMMISSION DISTRIBUTED</v>
          </cell>
        </row>
        <row r="2082">
          <cell r="A2082">
            <v>9050701</v>
          </cell>
          <cell r="B2082">
            <v>310417</v>
          </cell>
          <cell r="C2082" t="str">
            <v>GIFT CARD COMMISSION DISTRIBUTED</v>
          </cell>
        </row>
        <row r="2083">
          <cell r="A2083">
            <v>9050702</v>
          </cell>
          <cell r="B2083">
            <v>310417</v>
          </cell>
          <cell r="C2083" t="str">
            <v>GIFT CARD COMMISSION DISTRIBUTED</v>
          </cell>
        </row>
        <row r="2084">
          <cell r="A2084">
            <v>9050705</v>
          </cell>
          <cell r="B2084">
            <v>310417</v>
          </cell>
          <cell r="C2084" t="str">
            <v>GIFT CARD COMMISSION DISTRIBUTED</v>
          </cell>
        </row>
        <row r="2085">
          <cell r="A2085">
            <v>9050707</v>
          </cell>
          <cell r="B2085">
            <v>310417</v>
          </cell>
          <cell r="C2085" t="str">
            <v>GIFT CARD COMMISSION DISTRIBUTED</v>
          </cell>
        </row>
        <row r="2086">
          <cell r="A2086">
            <v>9050710</v>
          </cell>
          <cell r="B2086">
            <v>310417</v>
          </cell>
          <cell r="C2086" t="str">
            <v>GIFT CARD COMMISSION DISTRIBUTED</v>
          </cell>
        </row>
        <row r="2087">
          <cell r="A2087">
            <v>9050712</v>
          </cell>
          <cell r="B2087">
            <v>310417</v>
          </cell>
          <cell r="C2087" t="str">
            <v>GIFT CARD COMMISSION DISTRIBUTED</v>
          </cell>
        </row>
        <row r="2088">
          <cell r="A2088">
            <v>9050999</v>
          </cell>
          <cell r="B2088">
            <v>310417</v>
          </cell>
          <cell r="C2088" t="str">
            <v>GIFT CARD COMMISSION DISTRIBUTED</v>
          </cell>
        </row>
        <row r="2089">
          <cell r="A2089">
            <v>9051700</v>
          </cell>
          <cell r="B2089">
            <v>310417</v>
          </cell>
          <cell r="C2089" t="str">
            <v>GIFT CARD COMMISSION DISTRIBUTED</v>
          </cell>
        </row>
        <row r="2090">
          <cell r="A2090">
            <v>9051701</v>
          </cell>
          <cell r="B2090">
            <v>310417</v>
          </cell>
          <cell r="C2090" t="str">
            <v>GIFT CARD COMMISSION DISTRIBUTED</v>
          </cell>
        </row>
        <row r="2091">
          <cell r="A2091">
            <v>9051702</v>
          </cell>
          <cell r="B2091">
            <v>310417</v>
          </cell>
          <cell r="C2091" t="str">
            <v>GIFT CARD COMMISSION DISTRIBUTED</v>
          </cell>
        </row>
        <row r="2092">
          <cell r="A2092">
            <v>9051705</v>
          </cell>
          <cell r="B2092">
            <v>310417</v>
          </cell>
          <cell r="C2092" t="str">
            <v>GIFT CARD COMMISSION DISTRIBUTED</v>
          </cell>
        </row>
        <row r="2093">
          <cell r="A2093">
            <v>9051707</v>
          </cell>
          <cell r="B2093">
            <v>310417</v>
          </cell>
          <cell r="C2093" t="str">
            <v>GIFT CARD COMMISSION DISTRIBUTED</v>
          </cell>
        </row>
        <row r="2094">
          <cell r="A2094">
            <v>9051710</v>
          </cell>
          <cell r="B2094">
            <v>310417</v>
          </cell>
          <cell r="C2094" t="str">
            <v>GIFT CARD COMMISSION DISTRIBUTED</v>
          </cell>
        </row>
        <row r="2095">
          <cell r="A2095">
            <v>9051712</v>
          </cell>
          <cell r="B2095">
            <v>310417</v>
          </cell>
          <cell r="C2095" t="str">
            <v>GIFT CARD COMMISSION DISTRIBUTED</v>
          </cell>
        </row>
        <row r="2096">
          <cell r="A2096">
            <v>9080700</v>
          </cell>
          <cell r="B2096">
            <v>310417</v>
          </cell>
          <cell r="C2096" t="str">
            <v>GIFT CARD COMMISSION DISTRIBUTED</v>
          </cell>
        </row>
        <row r="2097">
          <cell r="A2097">
            <v>9080701</v>
          </cell>
          <cell r="B2097">
            <v>310417</v>
          </cell>
          <cell r="C2097" t="str">
            <v>GIFT CARD COMMISSION DISTRIBUTED</v>
          </cell>
        </row>
        <row r="2098">
          <cell r="A2098">
            <v>9080702</v>
          </cell>
          <cell r="B2098">
            <v>310417</v>
          </cell>
          <cell r="C2098" t="str">
            <v>GIFT CARD COMMISSION DISTRIBUTED</v>
          </cell>
        </row>
        <row r="2099">
          <cell r="A2099">
            <v>9080705</v>
          </cell>
          <cell r="B2099">
            <v>310417</v>
          </cell>
          <cell r="C2099" t="str">
            <v>GIFT CARD COMMISSION DISTRIBUTED</v>
          </cell>
        </row>
        <row r="2100">
          <cell r="A2100">
            <v>9080707</v>
          </cell>
          <cell r="B2100">
            <v>310417</v>
          </cell>
          <cell r="C2100" t="str">
            <v>GIFT CARD COMMISSION DISTRIBUTED</v>
          </cell>
        </row>
        <row r="2101">
          <cell r="A2101">
            <v>9080710</v>
          </cell>
          <cell r="B2101">
            <v>310417</v>
          </cell>
          <cell r="C2101" t="str">
            <v>GIFT CARD COMMISSION DISTRIBUTED</v>
          </cell>
        </row>
        <row r="2102">
          <cell r="A2102">
            <v>9090730</v>
          </cell>
          <cell r="B2102">
            <v>310417</v>
          </cell>
          <cell r="C2102" t="str">
            <v>GIFT CARD COMMISSION DISTRIBUTED</v>
          </cell>
        </row>
        <row r="2103">
          <cell r="A2103">
            <v>9090731</v>
          </cell>
          <cell r="B2103">
            <v>310417</v>
          </cell>
          <cell r="C2103" t="str">
            <v>GIFT CARD COMMISSION DISTRIBUTED</v>
          </cell>
        </row>
        <row r="2104">
          <cell r="A2104">
            <v>9090732</v>
          </cell>
          <cell r="B2104">
            <v>310417</v>
          </cell>
          <cell r="C2104" t="str">
            <v>GIFT CARD COMMISSION DISTRIBUTED</v>
          </cell>
        </row>
        <row r="2105">
          <cell r="A2105">
            <v>9090999</v>
          </cell>
          <cell r="B2105">
            <v>310417</v>
          </cell>
          <cell r="C2105" t="str">
            <v>GIFT CARD COMMISSION DISTRIBUTED</v>
          </cell>
        </row>
        <row r="2106">
          <cell r="A2106">
            <v>9100999</v>
          </cell>
          <cell r="B2106">
            <v>310417</v>
          </cell>
          <cell r="C2106" t="str">
            <v>GIFT CARD COMMISSION DISTRIBUTED</v>
          </cell>
        </row>
        <row r="2107">
          <cell r="A2107">
            <v>9110700</v>
          </cell>
          <cell r="B2107">
            <v>310417</v>
          </cell>
          <cell r="C2107" t="str">
            <v>GIFT CARD COMMISSION DISTRIBUTED</v>
          </cell>
        </row>
        <row r="2108">
          <cell r="A2108">
            <v>9110702</v>
          </cell>
          <cell r="B2108">
            <v>310417</v>
          </cell>
          <cell r="C2108" t="str">
            <v>GIFT CARD COMMISSION DISTRIBUTED</v>
          </cell>
        </row>
        <row r="2109">
          <cell r="A2109">
            <v>9110705</v>
          </cell>
          <cell r="B2109">
            <v>310417</v>
          </cell>
          <cell r="C2109" t="str">
            <v>GIFT CARD COMMISSION DISTRIBUTED</v>
          </cell>
        </row>
        <row r="2110">
          <cell r="A2110">
            <v>9110707</v>
          </cell>
          <cell r="B2110">
            <v>310417</v>
          </cell>
          <cell r="C2110" t="str">
            <v>GIFT CARD COMMISSION DISTRIBUTED</v>
          </cell>
        </row>
        <row r="2111">
          <cell r="A2111">
            <v>9680700</v>
          </cell>
          <cell r="B2111">
            <v>310417</v>
          </cell>
          <cell r="C2111" t="str">
            <v>GIFT CARD COMMISSION DISTRIBUTED</v>
          </cell>
        </row>
        <row r="2112">
          <cell r="A2112">
            <v>9680701</v>
          </cell>
          <cell r="B2112">
            <v>310417</v>
          </cell>
          <cell r="C2112" t="str">
            <v>GIFT CARD COMMISSION DISTRIBUTED</v>
          </cell>
        </row>
        <row r="2113">
          <cell r="A2113">
            <v>9680702</v>
          </cell>
          <cell r="B2113">
            <v>310417</v>
          </cell>
          <cell r="C2113" t="str">
            <v>GIFT CARD COMMISSION DISTRIBUTED</v>
          </cell>
        </row>
        <row r="2114">
          <cell r="A2114">
            <v>9680705</v>
          </cell>
          <cell r="B2114">
            <v>310417</v>
          </cell>
          <cell r="C2114" t="str">
            <v>GIFT CARD COMMISSION DISTRIBUTED</v>
          </cell>
        </row>
        <row r="2115">
          <cell r="A2115">
            <v>9680707</v>
          </cell>
          <cell r="B2115">
            <v>310417</v>
          </cell>
          <cell r="C2115" t="str">
            <v>GIFT CARD COMMISSION DISTRIBUTED</v>
          </cell>
        </row>
        <row r="2116">
          <cell r="A2116">
            <v>9680710</v>
          </cell>
          <cell r="B2116">
            <v>310417</v>
          </cell>
          <cell r="C2116" t="str">
            <v>GIFT CARD COMMISSION DISTRIBUTED</v>
          </cell>
        </row>
        <row r="2117">
          <cell r="A2117">
            <v>9680712</v>
          </cell>
          <cell r="B2117">
            <v>310417</v>
          </cell>
          <cell r="C2117" t="str">
            <v>GIFT CARD COMMISSION DISTRIBUTED</v>
          </cell>
        </row>
        <row r="2118">
          <cell r="A2118">
            <v>9680714</v>
          </cell>
          <cell r="B2118">
            <v>310417</v>
          </cell>
          <cell r="C2118" t="str">
            <v>GIFT CARD COMMISSION DISTRIBUTED</v>
          </cell>
        </row>
        <row r="2119">
          <cell r="A2119">
            <v>9680734</v>
          </cell>
          <cell r="B2119">
            <v>310417</v>
          </cell>
          <cell r="C2119" t="str">
            <v>GIFT CARD COMMISSION DISTRIBUTED</v>
          </cell>
        </row>
        <row r="2120">
          <cell r="A2120">
            <v>9680748</v>
          </cell>
          <cell r="B2120">
            <v>310417</v>
          </cell>
          <cell r="C2120" t="str">
            <v>GIFT CARD COMMISSION DISTRIBUTED</v>
          </cell>
        </row>
        <row r="2121">
          <cell r="A2121">
            <v>9680749</v>
          </cell>
          <cell r="B2121">
            <v>310417</v>
          </cell>
          <cell r="C2121" t="str">
            <v>GIFT CARD COMMISSION DISTRIBUTED</v>
          </cell>
        </row>
        <row r="2122">
          <cell r="A2122">
            <v>9680894</v>
          </cell>
          <cell r="B2122">
            <v>310417</v>
          </cell>
          <cell r="C2122" t="str">
            <v>GIFT CARD COMMISSION DISTRIBUTED</v>
          </cell>
        </row>
        <row r="2123">
          <cell r="A2123">
            <v>9680999</v>
          </cell>
          <cell r="B2123">
            <v>310417</v>
          </cell>
          <cell r="C2123" t="str">
            <v>GIFT CARD COMMISSION DISTRIBUTED</v>
          </cell>
        </row>
        <row r="2124">
          <cell r="A2124">
            <v>9681700</v>
          </cell>
          <cell r="B2124">
            <v>310417</v>
          </cell>
          <cell r="C2124" t="str">
            <v>GIFT CARD COMMISSION DISTRIBUTED</v>
          </cell>
        </row>
        <row r="2125">
          <cell r="A2125">
            <v>9681701</v>
          </cell>
          <cell r="B2125">
            <v>310417</v>
          </cell>
          <cell r="C2125" t="str">
            <v>GIFT CARD COMMISSION DISTRIBUTED</v>
          </cell>
        </row>
        <row r="2126">
          <cell r="A2126">
            <v>9681702</v>
          </cell>
          <cell r="B2126">
            <v>310417</v>
          </cell>
          <cell r="C2126" t="str">
            <v>GIFT CARD COMMISSION DISTRIBUTED</v>
          </cell>
        </row>
        <row r="2127">
          <cell r="A2127">
            <v>9681705</v>
          </cell>
          <cell r="B2127">
            <v>310417</v>
          </cell>
          <cell r="C2127" t="str">
            <v>GIFT CARD COMMISSION DISTRIBUTED</v>
          </cell>
        </row>
        <row r="2128">
          <cell r="A2128">
            <v>9681706</v>
          </cell>
          <cell r="B2128">
            <v>310417</v>
          </cell>
          <cell r="C2128" t="str">
            <v>GIFT CARD COMMISSION DISTRIBUTED</v>
          </cell>
        </row>
        <row r="2129">
          <cell r="A2129">
            <v>9681707</v>
          </cell>
          <cell r="B2129">
            <v>310417</v>
          </cell>
          <cell r="C2129" t="str">
            <v>GIFT CARD COMMISSION DISTRIBUTED</v>
          </cell>
        </row>
        <row r="2130">
          <cell r="A2130">
            <v>9681710</v>
          </cell>
          <cell r="B2130">
            <v>310417</v>
          </cell>
          <cell r="C2130" t="str">
            <v>GIFT CARD COMMISSION DISTRIBUTED</v>
          </cell>
        </row>
        <row r="2131">
          <cell r="A2131">
            <v>9681712</v>
          </cell>
          <cell r="B2131">
            <v>310417</v>
          </cell>
          <cell r="C2131" t="str">
            <v>GIFT CARD COMMISSION DISTRIBUTED</v>
          </cell>
        </row>
        <row r="2132">
          <cell r="A2132">
            <v>9681714</v>
          </cell>
          <cell r="B2132">
            <v>310417</v>
          </cell>
          <cell r="C2132" t="str">
            <v>GIFT CARD COMMISSION DISTRIBUTED</v>
          </cell>
        </row>
        <row r="2133">
          <cell r="A2133">
            <v>9681716</v>
          </cell>
          <cell r="B2133">
            <v>310417</v>
          </cell>
          <cell r="C2133" t="str">
            <v>GIFT CARD COMMISSION DISTRIBUTED</v>
          </cell>
        </row>
        <row r="2134">
          <cell r="A2134">
            <v>9681727</v>
          </cell>
          <cell r="B2134">
            <v>310417</v>
          </cell>
          <cell r="C2134" t="str">
            <v>GIFT CARD COMMISSION DISTRIBUTED</v>
          </cell>
        </row>
        <row r="2135">
          <cell r="A2135">
            <v>9681734</v>
          </cell>
          <cell r="B2135">
            <v>310417</v>
          </cell>
          <cell r="C2135" t="str">
            <v>GIFT CARD COMMISSION DISTRIBUTED</v>
          </cell>
        </row>
        <row r="2136">
          <cell r="A2136">
            <v>9681748</v>
          </cell>
          <cell r="B2136">
            <v>310417</v>
          </cell>
          <cell r="C2136" t="str">
            <v>GIFT CARD COMMISSION DISTRIBUTED</v>
          </cell>
        </row>
        <row r="2137">
          <cell r="A2137">
            <v>9681749</v>
          </cell>
          <cell r="B2137">
            <v>310417</v>
          </cell>
          <cell r="C2137" t="str">
            <v>GIFT CARD COMMISSION DISTRIBUTED</v>
          </cell>
        </row>
        <row r="2138">
          <cell r="A2138">
            <v>9681894</v>
          </cell>
          <cell r="B2138">
            <v>310417</v>
          </cell>
          <cell r="C2138" t="str">
            <v>GIFT CARD COMMISSION DISTRIBUTED</v>
          </cell>
        </row>
        <row r="2139">
          <cell r="A2139">
            <v>9681999</v>
          </cell>
          <cell r="B2139">
            <v>310417</v>
          </cell>
          <cell r="C2139" t="str">
            <v>GIFT CARD COMMISSION DISTRIBUTED</v>
          </cell>
        </row>
        <row r="2140">
          <cell r="A2140">
            <v>9682715</v>
          </cell>
          <cell r="B2140">
            <v>310417</v>
          </cell>
          <cell r="C2140" t="str">
            <v>GIFT CARD COMMISSION DISTRIBUTED</v>
          </cell>
        </row>
        <row r="2141">
          <cell r="A2141">
            <v>9682722</v>
          </cell>
          <cell r="B2141">
            <v>310417</v>
          </cell>
          <cell r="C2141" t="str">
            <v>GIFT CARD COMMISSION DISTRIBUTED</v>
          </cell>
        </row>
        <row r="2142">
          <cell r="A2142">
            <v>9682999</v>
          </cell>
          <cell r="B2142">
            <v>310417</v>
          </cell>
          <cell r="C2142" t="str">
            <v>GIFT CARD COMMISSION DISTRIBUTED</v>
          </cell>
        </row>
        <row r="2143">
          <cell r="A2143">
            <v>9683999</v>
          </cell>
          <cell r="B2143">
            <v>310417</v>
          </cell>
          <cell r="C2143" t="str">
            <v>GIFT CARD COMMISSION DISTRIBUTED</v>
          </cell>
        </row>
        <row r="2144">
          <cell r="A2144">
            <v>9684999</v>
          </cell>
          <cell r="B2144">
            <v>310417</v>
          </cell>
          <cell r="C2144" t="str">
            <v>GIFT CARD COMMISSION DISTRIBUTED</v>
          </cell>
        </row>
        <row r="2145">
          <cell r="A2145">
            <v>9685999</v>
          </cell>
          <cell r="B2145">
            <v>310417</v>
          </cell>
          <cell r="C2145" t="str">
            <v>GIFT CARD COMMISSION DISTRIBUTED</v>
          </cell>
        </row>
        <row r="2146">
          <cell r="A2146">
            <v>9689692</v>
          </cell>
          <cell r="B2146">
            <v>310417</v>
          </cell>
          <cell r="C2146" t="str">
            <v>GIFT CARD COMMISSION DISTRIBUTED</v>
          </cell>
        </row>
        <row r="2147">
          <cell r="A2147">
            <v>9689747</v>
          </cell>
          <cell r="B2147">
            <v>310417</v>
          </cell>
          <cell r="C2147" t="str">
            <v>GIFT CARD COMMISSION DISTRIBUTED</v>
          </cell>
        </row>
        <row r="2148">
          <cell r="A2148">
            <v>9689883</v>
          </cell>
          <cell r="B2148">
            <v>310417</v>
          </cell>
          <cell r="C2148" t="str">
            <v>GIFT CARD COMMISSION DISTRIBUTED</v>
          </cell>
        </row>
        <row r="2149">
          <cell r="A2149">
            <v>9689890</v>
          </cell>
          <cell r="B2149">
            <v>310417</v>
          </cell>
          <cell r="C2149" t="str">
            <v>GIFT CARD COMMISSION DISTRIBUTED</v>
          </cell>
        </row>
        <row r="2150">
          <cell r="A2150">
            <v>9689906</v>
          </cell>
          <cell r="B2150">
            <v>310417</v>
          </cell>
          <cell r="C2150" t="str">
            <v>GIFT CARD COMMISSION DISTRIBUTED</v>
          </cell>
        </row>
        <row r="2151">
          <cell r="A2151">
            <v>9689925</v>
          </cell>
          <cell r="B2151">
            <v>310417</v>
          </cell>
          <cell r="C2151" t="str">
            <v>GIFT CARD COMMISSION DISTRIBUTED</v>
          </cell>
        </row>
        <row r="2152">
          <cell r="A2152">
            <v>9689990</v>
          </cell>
          <cell r="B2152">
            <v>310417</v>
          </cell>
          <cell r="C2152" t="str">
            <v>GIFT CARD COMMISSION DISTRIBUTED</v>
          </cell>
        </row>
        <row r="2153">
          <cell r="A2153">
            <v>9689991</v>
          </cell>
          <cell r="B2153">
            <v>310417</v>
          </cell>
          <cell r="C2153" t="str">
            <v>GIFT CARD COMMISSION DISTRIBUTED</v>
          </cell>
        </row>
        <row r="2154">
          <cell r="A2154">
            <v>9689992</v>
          </cell>
          <cell r="B2154">
            <v>310417</v>
          </cell>
          <cell r="C2154" t="str">
            <v>GIFT CARD COMMISSION DISTRIBUTED</v>
          </cell>
        </row>
        <row r="2155">
          <cell r="A2155">
            <v>9689993</v>
          </cell>
          <cell r="B2155">
            <v>310417</v>
          </cell>
          <cell r="C2155" t="str">
            <v>GIFT CARD COMMISSION DISTRIBUTED</v>
          </cell>
        </row>
        <row r="2156">
          <cell r="A2156">
            <v>9689994</v>
          </cell>
          <cell r="B2156">
            <v>310417</v>
          </cell>
          <cell r="C2156" t="str">
            <v>GIFT CARD COMMISSION DISTRIBUTED</v>
          </cell>
        </row>
        <row r="2157">
          <cell r="A2157">
            <v>9689999</v>
          </cell>
          <cell r="B2157">
            <v>310417</v>
          </cell>
          <cell r="C2157" t="str">
            <v>GIFT CARD COMMISSION DISTRIBUTED</v>
          </cell>
        </row>
        <row r="2158">
          <cell r="A2158">
            <v>9720703</v>
          </cell>
          <cell r="B2158">
            <v>310417</v>
          </cell>
          <cell r="C2158" t="str">
            <v>GIFT CARD COMMISSION DISTRIBUTED</v>
          </cell>
        </row>
        <row r="2159">
          <cell r="A2159">
            <v>9720704</v>
          </cell>
          <cell r="B2159">
            <v>310417</v>
          </cell>
          <cell r="C2159" t="str">
            <v>GIFT CARD COMMISSION DISTRIBUTED</v>
          </cell>
        </row>
        <row r="2160">
          <cell r="A2160">
            <v>9720716</v>
          </cell>
          <cell r="B2160">
            <v>310417</v>
          </cell>
          <cell r="C2160" t="str">
            <v>GIFT CARD COMMISSION DISTRIBUTED</v>
          </cell>
        </row>
        <row r="2161">
          <cell r="A2161">
            <v>9722708</v>
          </cell>
          <cell r="B2161">
            <v>310417</v>
          </cell>
          <cell r="C2161" t="str">
            <v>GIFT CARD COMMISSION DISTRIBUTED</v>
          </cell>
        </row>
        <row r="2162">
          <cell r="A2162">
            <v>9722709</v>
          </cell>
          <cell r="B2162">
            <v>310417</v>
          </cell>
          <cell r="C2162" t="str">
            <v>GIFT CARD COMMISSION DISTRIBUTED</v>
          </cell>
        </row>
        <row r="2163">
          <cell r="A2163">
            <v>9722713</v>
          </cell>
          <cell r="B2163">
            <v>310417</v>
          </cell>
          <cell r="C2163" t="str">
            <v>GIFT CARD COMMISSION DISTRIBUTED</v>
          </cell>
        </row>
        <row r="2164">
          <cell r="A2164">
            <v>9723723</v>
          </cell>
          <cell r="B2164">
            <v>310417</v>
          </cell>
          <cell r="C2164" t="str">
            <v>GIFT CARD COMMISSION DISTRIBUTED</v>
          </cell>
        </row>
        <row r="2165">
          <cell r="A2165">
            <v>9723729</v>
          </cell>
          <cell r="B2165">
            <v>310417</v>
          </cell>
          <cell r="C2165" t="str">
            <v>GIFT CARD COMMISSION DISTRIBUTED</v>
          </cell>
        </row>
        <row r="2166">
          <cell r="A2166">
            <v>9724718</v>
          </cell>
          <cell r="B2166">
            <v>310417</v>
          </cell>
          <cell r="C2166" t="str">
            <v>GIFT CARD COMMISSION DISTRIBUTED</v>
          </cell>
        </row>
        <row r="2167">
          <cell r="A2167">
            <v>9724721</v>
          </cell>
          <cell r="B2167">
            <v>310417</v>
          </cell>
          <cell r="C2167" t="str">
            <v>GIFT CARD COMMISSION DISTRIBUTED</v>
          </cell>
        </row>
        <row r="2168">
          <cell r="A2168">
            <v>9724724</v>
          </cell>
          <cell r="B2168">
            <v>310417</v>
          </cell>
          <cell r="C2168" t="str">
            <v>GIFT CARD COMMISSION DISTRIBUTED</v>
          </cell>
        </row>
        <row r="2169">
          <cell r="A2169">
            <v>9724726</v>
          </cell>
          <cell r="B2169">
            <v>310417</v>
          </cell>
          <cell r="C2169" t="str">
            <v>GIFT CARD COMMISSION DISTRIBUTED</v>
          </cell>
        </row>
        <row r="2170">
          <cell r="A2170">
            <v>9725703</v>
          </cell>
          <cell r="B2170">
            <v>310417</v>
          </cell>
          <cell r="C2170" t="str">
            <v>GIFT CARD COMMISSION DISTRIBUTED</v>
          </cell>
        </row>
        <row r="2171">
          <cell r="A2171">
            <v>9725704</v>
          </cell>
          <cell r="B2171">
            <v>310417</v>
          </cell>
          <cell r="C2171" t="str">
            <v>GIFT CARD COMMISSION DISTRIBUTED</v>
          </cell>
        </row>
        <row r="2172">
          <cell r="A2172">
            <v>9725711</v>
          </cell>
          <cell r="B2172">
            <v>310417</v>
          </cell>
          <cell r="C2172" t="str">
            <v>GIFT CARD COMMISSION DISTRIBUTED</v>
          </cell>
        </row>
        <row r="2173">
          <cell r="A2173">
            <v>9725717</v>
          </cell>
          <cell r="B2173">
            <v>310417</v>
          </cell>
          <cell r="C2173" t="str">
            <v>GIFT CARD COMMISSION DISTRIBUTED</v>
          </cell>
        </row>
        <row r="2174">
          <cell r="A2174">
            <v>9725725</v>
          </cell>
          <cell r="B2174">
            <v>310417</v>
          </cell>
          <cell r="C2174" t="str">
            <v>GIFT CARD COMMISSION DISTRIBUTED</v>
          </cell>
        </row>
        <row r="2175">
          <cell r="A2175">
            <v>9969681</v>
          </cell>
          <cell r="B2175">
            <v>310417</v>
          </cell>
          <cell r="C2175" t="str">
            <v>GIFT CARD COMMISSION DISTRIBUTED</v>
          </cell>
        </row>
        <row r="2176">
          <cell r="A2176">
            <v>9969901</v>
          </cell>
          <cell r="B2176">
            <v>310417</v>
          </cell>
          <cell r="C2176" t="str">
            <v>GIFT CARD COMMISSION DISTRIBUTED</v>
          </cell>
        </row>
        <row r="2177">
          <cell r="A2177" t="str">
            <v>ZONE-0105-POST</v>
          </cell>
          <cell r="B2177">
            <v>310417</v>
          </cell>
          <cell r="C2177" t="str">
            <v>GIFT CARD COMMISSION DISTRIBUTED</v>
          </cell>
        </row>
        <row r="2178">
          <cell r="A2178" t="str">
            <v>ZONE-0112-POST</v>
          </cell>
          <cell r="B2178">
            <v>310417</v>
          </cell>
          <cell r="C2178" t="str">
            <v>GIFT CARD COMMISSION DISTRIBUTED</v>
          </cell>
        </row>
        <row r="2179">
          <cell r="A2179">
            <v>8001054179</v>
          </cell>
          <cell r="B2179">
            <v>310418</v>
          </cell>
          <cell r="C2179" t="str">
            <v>GIFT CARD COMMISSION ADJUSTMENTS</v>
          </cell>
        </row>
        <row r="2180">
          <cell r="A2180">
            <v>8001059542</v>
          </cell>
          <cell r="B2180">
            <v>310418</v>
          </cell>
          <cell r="C2180" t="str">
            <v>GIFT CARD COMMISSION ADJUSTMENTS</v>
          </cell>
        </row>
        <row r="2181">
          <cell r="A2181">
            <v>8010512510</v>
          </cell>
          <cell r="B2181">
            <v>310418</v>
          </cell>
          <cell r="C2181" t="str">
            <v>GIFT CARD COMMISSION ADJUSTMENTS</v>
          </cell>
        </row>
        <row r="2182">
          <cell r="A2182">
            <v>9080700</v>
          </cell>
          <cell r="B2182">
            <v>310418</v>
          </cell>
          <cell r="C2182" t="str">
            <v>GIFT CARD COMMISSION ADJUSTMENTS</v>
          </cell>
        </row>
        <row r="2183">
          <cell r="A2183">
            <v>9080701</v>
          </cell>
          <cell r="B2183">
            <v>310418</v>
          </cell>
          <cell r="C2183" t="str">
            <v>GIFT CARD COMMISSION ADJUSTMENTS</v>
          </cell>
        </row>
        <row r="2184">
          <cell r="A2184">
            <v>9080702</v>
          </cell>
          <cell r="B2184">
            <v>310418</v>
          </cell>
          <cell r="C2184" t="str">
            <v>GIFT CARD COMMISSION ADJUSTMENTS</v>
          </cell>
        </row>
        <row r="2185">
          <cell r="A2185">
            <v>9080705</v>
          </cell>
          <cell r="B2185">
            <v>310418</v>
          </cell>
          <cell r="C2185" t="str">
            <v>GIFT CARD COMMISSION ADJUSTMENTS</v>
          </cell>
        </row>
        <row r="2186">
          <cell r="A2186">
            <v>9080707</v>
          </cell>
          <cell r="B2186">
            <v>310418</v>
          </cell>
          <cell r="C2186" t="str">
            <v>GIFT CARD COMMISSION ADJUSTMENTS</v>
          </cell>
        </row>
        <row r="2187">
          <cell r="A2187">
            <v>9080710</v>
          </cell>
          <cell r="B2187">
            <v>310418</v>
          </cell>
          <cell r="C2187" t="str">
            <v>GIFT CARD COMMISSION ADJUSTMENTS</v>
          </cell>
        </row>
        <row r="2188">
          <cell r="A2188">
            <v>9090999</v>
          </cell>
          <cell r="B2188">
            <v>310418</v>
          </cell>
          <cell r="C2188" t="str">
            <v>GIFT CARD COMMISSION ADJUSTMENTS</v>
          </cell>
        </row>
        <row r="2189">
          <cell r="A2189">
            <v>9100999</v>
          </cell>
          <cell r="B2189">
            <v>310418</v>
          </cell>
          <cell r="C2189" t="str">
            <v>GIFT CARD COMMISSION ADJUSTMENTS</v>
          </cell>
        </row>
        <row r="2190">
          <cell r="A2190">
            <v>9110700</v>
          </cell>
          <cell r="B2190">
            <v>310418</v>
          </cell>
          <cell r="C2190" t="str">
            <v>GIFT CARD COMMISSION ADJUSTMENTS</v>
          </cell>
        </row>
        <row r="2191">
          <cell r="A2191">
            <v>9110702</v>
          </cell>
          <cell r="B2191">
            <v>310418</v>
          </cell>
          <cell r="C2191" t="str">
            <v>GIFT CARD COMMISSION ADJUSTMENTS</v>
          </cell>
        </row>
        <row r="2192">
          <cell r="A2192">
            <v>9110705</v>
          </cell>
          <cell r="B2192">
            <v>310418</v>
          </cell>
          <cell r="C2192" t="str">
            <v>GIFT CARD COMMISSION ADJUSTMENTS</v>
          </cell>
        </row>
        <row r="2193">
          <cell r="A2193">
            <v>9110707</v>
          </cell>
          <cell r="B2193">
            <v>310418</v>
          </cell>
          <cell r="C2193" t="str">
            <v>GIFT CARD COMMISSION ADJUSTMENTS</v>
          </cell>
        </row>
        <row r="2194">
          <cell r="A2194">
            <v>9680700</v>
          </cell>
          <cell r="B2194">
            <v>310418</v>
          </cell>
          <cell r="C2194" t="str">
            <v>GIFT CARD COMMISSION ADJUSTMENTS</v>
          </cell>
        </row>
        <row r="2195">
          <cell r="A2195">
            <v>9680701</v>
          </cell>
          <cell r="B2195">
            <v>310418</v>
          </cell>
          <cell r="C2195" t="str">
            <v>GIFT CARD COMMISSION ADJUSTMENTS</v>
          </cell>
        </row>
        <row r="2196">
          <cell r="A2196">
            <v>9680702</v>
          </cell>
          <cell r="B2196">
            <v>310418</v>
          </cell>
          <cell r="C2196" t="str">
            <v>GIFT CARD COMMISSION ADJUSTMENTS</v>
          </cell>
        </row>
        <row r="2197">
          <cell r="A2197">
            <v>9680705</v>
          </cell>
          <cell r="B2197">
            <v>310418</v>
          </cell>
          <cell r="C2197" t="str">
            <v>GIFT CARD COMMISSION ADJUSTMENTS</v>
          </cell>
        </row>
        <row r="2198">
          <cell r="A2198">
            <v>9680707</v>
          </cell>
          <cell r="B2198">
            <v>310418</v>
          </cell>
          <cell r="C2198" t="str">
            <v>GIFT CARD COMMISSION ADJUSTMENTS</v>
          </cell>
        </row>
        <row r="2199">
          <cell r="A2199">
            <v>9680710</v>
          </cell>
          <cell r="B2199">
            <v>310418</v>
          </cell>
          <cell r="C2199" t="str">
            <v>GIFT CARD COMMISSION ADJUSTMENTS</v>
          </cell>
        </row>
        <row r="2200">
          <cell r="A2200">
            <v>9680712</v>
          </cell>
          <cell r="B2200">
            <v>310418</v>
          </cell>
          <cell r="C2200" t="str">
            <v>GIFT CARD COMMISSION ADJUSTMENTS</v>
          </cell>
        </row>
        <row r="2201">
          <cell r="A2201">
            <v>9680734</v>
          </cell>
          <cell r="B2201">
            <v>310418</v>
          </cell>
          <cell r="C2201" t="str">
            <v>GIFT CARD COMMISSION ADJUSTMENTS</v>
          </cell>
        </row>
        <row r="2202">
          <cell r="A2202">
            <v>9680748</v>
          </cell>
          <cell r="B2202">
            <v>310418</v>
          </cell>
          <cell r="C2202" t="str">
            <v>GIFT CARD COMMISSION ADJUSTMENTS</v>
          </cell>
        </row>
        <row r="2203">
          <cell r="A2203">
            <v>9680749</v>
          </cell>
          <cell r="B2203">
            <v>310418</v>
          </cell>
          <cell r="C2203" t="str">
            <v>GIFT CARD COMMISSION ADJUSTMENTS</v>
          </cell>
        </row>
        <row r="2204">
          <cell r="A2204">
            <v>9680894</v>
          </cell>
          <cell r="B2204">
            <v>310418</v>
          </cell>
          <cell r="C2204" t="str">
            <v>GIFT CARD COMMISSION ADJUSTMENTS</v>
          </cell>
        </row>
        <row r="2205">
          <cell r="A2205">
            <v>9680999</v>
          </cell>
          <cell r="B2205">
            <v>310418</v>
          </cell>
          <cell r="C2205" t="str">
            <v>GIFT CARD COMMISSION ADJUSTMENTS</v>
          </cell>
        </row>
        <row r="2206">
          <cell r="A2206">
            <v>9681700</v>
          </cell>
          <cell r="B2206">
            <v>310418</v>
          </cell>
          <cell r="C2206" t="str">
            <v>GIFT CARD COMMISSION ADJUSTMENTS</v>
          </cell>
        </row>
        <row r="2207">
          <cell r="A2207">
            <v>9681701</v>
          </cell>
          <cell r="B2207">
            <v>310418</v>
          </cell>
          <cell r="C2207" t="str">
            <v>GIFT CARD COMMISSION ADJUSTMENTS</v>
          </cell>
        </row>
        <row r="2208">
          <cell r="A2208">
            <v>9681702</v>
          </cell>
          <cell r="B2208">
            <v>310418</v>
          </cell>
          <cell r="C2208" t="str">
            <v>GIFT CARD COMMISSION ADJUSTMENTS</v>
          </cell>
        </row>
        <row r="2209">
          <cell r="A2209">
            <v>9681705</v>
          </cell>
          <cell r="B2209">
            <v>310418</v>
          </cell>
          <cell r="C2209" t="str">
            <v>GIFT CARD COMMISSION ADJUSTMENTS</v>
          </cell>
        </row>
        <row r="2210">
          <cell r="A2210">
            <v>9681707</v>
          </cell>
          <cell r="B2210">
            <v>310418</v>
          </cell>
          <cell r="C2210" t="str">
            <v>GIFT CARD COMMISSION ADJUSTMENTS</v>
          </cell>
        </row>
        <row r="2211">
          <cell r="A2211">
            <v>9681710</v>
          </cell>
          <cell r="B2211">
            <v>310418</v>
          </cell>
          <cell r="C2211" t="str">
            <v>GIFT CARD COMMISSION ADJUSTMENTS</v>
          </cell>
        </row>
        <row r="2212">
          <cell r="A2212">
            <v>9681712</v>
          </cell>
          <cell r="B2212">
            <v>310418</v>
          </cell>
          <cell r="C2212" t="str">
            <v>GIFT CARD COMMISSION ADJUSTMENTS</v>
          </cell>
        </row>
        <row r="2213">
          <cell r="A2213">
            <v>9681734</v>
          </cell>
          <cell r="B2213">
            <v>310418</v>
          </cell>
          <cell r="C2213" t="str">
            <v>GIFT CARD COMMISSION ADJUSTMENTS</v>
          </cell>
        </row>
        <row r="2214">
          <cell r="A2214">
            <v>9681748</v>
          </cell>
          <cell r="B2214">
            <v>310418</v>
          </cell>
          <cell r="C2214" t="str">
            <v>GIFT CARD COMMISSION ADJUSTMENTS</v>
          </cell>
        </row>
        <row r="2215">
          <cell r="A2215">
            <v>9681749</v>
          </cell>
          <cell r="B2215">
            <v>310418</v>
          </cell>
          <cell r="C2215" t="str">
            <v>GIFT CARD COMMISSION ADJUSTMENTS</v>
          </cell>
        </row>
        <row r="2216">
          <cell r="A2216">
            <v>9681894</v>
          </cell>
          <cell r="B2216">
            <v>310418</v>
          </cell>
          <cell r="C2216" t="str">
            <v>GIFT CARD COMMISSION ADJUSTMENTS</v>
          </cell>
        </row>
        <row r="2217">
          <cell r="A2217">
            <v>9681999</v>
          </cell>
          <cell r="B2217">
            <v>310418</v>
          </cell>
          <cell r="C2217" t="str">
            <v>GIFT CARD COMMISSION ADJUSTMENTS</v>
          </cell>
        </row>
        <row r="2218">
          <cell r="A2218">
            <v>9682999</v>
          </cell>
          <cell r="B2218">
            <v>310418</v>
          </cell>
          <cell r="C2218" t="str">
            <v>GIFT CARD COMMISSION ADJUSTMENTS</v>
          </cell>
        </row>
        <row r="2219">
          <cell r="A2219">
            <v>9969681</v>
          </cell>
          <cell r="B2219">
            <v>310418</v>
          </cell>
          <cell r="C2219" t="str">
            <v>GIFT CARD COMMISSION ADJUSTMENTS</v>
          </cell>
        </row>
        <row r="2220">
          <cell r="A2220">
            <v>9969901</v>
          </cell>
          <cell r="B2220">
            <v>310418</v>
          </cell>
          <cell r="C2220" t="str">
            <v>GIFT CARD COMMISSION ADJUSTMENTS</v>
          </cell>
        </row>
        <row r="2221">
          <cell r="A2221" t="str">
            <v>ZONE-0105-POST</v>
          </cell>
          <cell r="B2221">
            <v>310418</v>
          </cell>
          <cell r="C2221" t="str">
            <v>GIFT CARD COMMISSION ADJUSTMENTS</v>
          </cell>
        </row>
        <row r="2222">
          <cell r="A2222" t="str">
            <v>ZONE-0112-POST</v>
          </cell>
          <cell r="B2222">
            <v>310418</v>
          </cell>
          <cell r="C2222" t="str">
            <v>GIFT CARD COMMISSION ADJUSTMENTS</v>
          </cell>
        </row>
        <row r="2223">
          <cell r="A2223">
            <v>9050702</v>
          </cell>
          <cell r="B2223">
            <v>310419</v>
          </cell>
          <cell r="C2223" t="str">
            <v>CARD PARTNER GIFT CARD FEES</v>
          </cell>
        </row>
        <row r="2224">
          <cell r="A2224">
            <v>9050712</v>
          </cell>
          <cell r="B2224">
            <v>310419</v>
          </cell>
          <cell r="C2224" t="str">
            <v>CARD PARTNER GIFT CARD FEES</v>
          </cell>
        </row>
        <row r="2225">
          <cell r="A2225">
            <v>9051702</v>
          </cell>
          <cell r="B2225">
            <v>310419</v>
          </cell>
          <cell r="C2225" t="str">
            <v>CARD PARTNER GIFT CARD FEES</v>
          </cell>
        </row>
        <row r="2226">
          <cell r="A2226">
            <v>9051712</v>
          </cell>
          <cell r="B2226">
            <v>310419</v>
          </cell>
          <cell r="C2226" t="str">
            <v>CARD PARTNER GIFT CARD FEES</v>
          </cell>
        </row>
        <row r="2227">
          <cell r="A2227">
            <v>9080700</v>
          </cell>
          <cell r="B2227">
            <v>310419</v>
          </cell>
          <cell r="C2227" t="str">
            <v>CARD PARTNER GIFT CARD FEES</v>
          </cell>
        </row>
        <row r="2228">
          <cell r="A2228">
            <v>9080701</v>
          </cell>
          <cell r="B2228">
            <v>310419</v>
          </cell>
          <cell r="C2228" t="str">
            <v>CARD PARTNER GIFT CARD FEES</v>
          </cell>
        </row>
        <row r="2229">
          <cell r="A2229">
            <v>9080702</v>
          </cell>
          <cell r="B2229">
            <v>310419</v>
          </cell>
          <cell r="C2229" t="str">
            <v>CARD PARTNER GIFT CARD FEES</v>
          </cell>
        </row>
        <row r="2230">
          <cell r="A2230">
            <v>9080705</v>
          </cell>
          <cell r="B2230">
            <v>310419</v>
          </cell>
          <cell r="C2230" t="str">
            <v>CARD PARTNER GIFT CARD FEES</v>
          </cell>
        </row>
        <row r="2231">
          <cell r="A2231">
            <v>9080707</v>
          </cell>
          <cell r="B2231">
            <v>310419</v>
          </cell>
          <cell r="C2231" t="str">
            <v>CARD PARTNER GIFT CARD FEES</v>
          </cell>
        </row>
        <row r="2232">
          <cell r="A2232">
            <v>9080710</v>
          </cell>
          <cell r="B2232">
            <v>310419</v>
          </cell>
          <cell r="C2232" t="str">
            <v>CARD PARTNER GIFT CARD FEES</v>
          </cell>
        </row>
        <row r="2233">
          <cell r="A2233">
            <v>9080712</v>
          </cell>
          <cell r="B2233">
            <v>310419</v>
          </cell>
          <cell r="C2233" t="str">
            <v>CARD PARTNER GIFT CARD FEES</v>
          </cell>
        </row>
        <row r="2234">
          <cell r="A2234">
            <v>9080999</v>
          </cell>
          <cell r="B2234">
            <v>310419</v>
          </cell>
          <cell r="C2234" t="str">
            <v>CARD PARTNER GIFT CARD FEES</v>
          </cell>
        </row>
        <row r="2235">
          <cell r="A2235">
            <v>9090730</v>
          </cell>
          <cell r="B2235">
            <v>310419</v>
          </cell>
          <cell r="C2235" t="str">
            <v>CARD PARTNER GIFT CARD FEES</v>
          </cell>
        </row>
        <row r="2236">
          <cell r="A2236">
            <v>9090731</v>
          </cell>
          <cell r="B2236">
            <v>310419</v>
          </cell>
          <cell r="C2236" t="str">
            <v>CARD PARTNER GIFT CARD FEES</v>
          </cell>
        </row>
        <row r="2237">
          <cell r="A2237">
            <v>9090732</v>
          </cell>
          <cell r="B2237">
            <v>310419</v>
          </cell>
          <cell r="C2237" t="str">
            <v>CARD PARTNER GIFT CARD FEES</v>
          </cell>
        </row>
        <row r="2238">
          <cell r="A2238">
            <v>9110700</v>
          </cell>
          <cell r="B2238">
            <v>310419</v>
          </cell>
          <cell r="C2238" t="str">
            <v>CARD PARTNER GIFT CARD FEES</v>
          </cell>
        </row>
        <row r="2239">
          <cell r="A2239">
            <v>9110702</v>
          </cell>
          <cell r="B2239">
            <v>310419</v>
          </cell>
          <cell r="C2239" t="str">
            <v>CARD PARTNER GIFT CARD FEES</v>
          </cell>
        </row>
        <row r="2240">
          <cell r="A2240">
            <v>9110705</v>
          </cell>
          <cell r="B2240">
            <v>310419</v>
          </cell>
          <cell r="C2240" t="str">
            <v>CARD PARTNER GIFT CARD FEES</v>
          </cell>
        </row>
        <row r="2241">
          <cell r="A2241">
            <v>9110707</v>
          </cell>
          <cell r="B2241">
            <v>310419</v>
          </cell>
          <cell r="C2241" t="str">
            <v>CARD PARTNER GIFT CARD FEES</v>
          </cell>
        </row>
        <row r="2242">
          <cell r="A2242">
            <v>9110712</v>
          </cell>
          <cell r="B2242">
            <v>310419</v>
          </cell>
          <cell r="C2242" t="str">
            <v>CARD PARTNER GIFT CARD FEES</v>
          </cell>
        </row>
        <row r="2243">
          <cell r="A2243">
            <v>9110999</v>
          </cell>
          <cell r="B2243">
            <v>310419</v>
          </cell>
          <cell r="C2243" t="str">
            <v>CARD PARTNER GIFT CARD FEES</v>
          </cell>
        </row>
        <row r="2244">
          <cell r="A2244">
            <v>9680700</v>
          </cell>
          <cell r="B2244">
            <v>310419</v>
          </cell>
          <cell r="C2244" t="str">
            <v>CARD PARTNER GIFT CARD FEES</v>
          </cell>
        </row>
        <row r="2245">
          <cell r="A2245">
            <v>9680701</v>
          </cell>
          <cell r="B2245">
            <v>310419</v>
          </cell>
          <cell r="C2245" t="str">
            <v>CARD PARTNER GIFT CARD FEES</v>
          </cell>
        </row>
        <row r="2246">
          <cell r="A2246">
            <v>9680702</v>
          </cell>
          <cell r="B2246">
            <v>310419</v>
          </cell>
          <cell r="C2246" t="str">
            <v>CARD PARTNER GIFT CARD FEES</v>
          </cell>
        </row>
        <row r="2247">
          <cell r="A2247">
            <v>9680705</v>
          </cell>
          <cell r="B2247">
            <v>310419</v>
          </cell>
          <cell r="C2247" t="str">
            <v>CARD PARTNER GIFT CARD FEES</v>
          </cell>
        </row>
        <row r="2248">
          <cell r="A2248">
            <v>9680707</v>
          </cell>
          <cell r="B2248">
            <v>310419</v>
          </cell>
          <cell r="C2248" t="str">
            <v>CARD PARTNER GIFT CARD FEES</v>
          </cell>
        </row>
        <row r="2249">
          <cell r="A2249">
            <v>9680710</v>
          </cell>
          <cell r="B2249">
            <v>310419</v>
          </cell>
          <cell r="C2249" t="str">
            <v>CARD PARTNER GIFT CARD FEES</v>
          </cell>
        </row>
        <row r="2250">
          <cell r="A2250">
            <v>9680712</v>
          </cell>
          <cell r="B2250">
            <v>310419</v>
          </cell>
          <cell r="C2250" t="str">
            <v>CARD PARTNER GIFT CARD FEES</v>
          </cell>
        </row>
        <row r="2251">
          <cell r="A2251">
            <v>9680734</v>
          </cell>
          <cell r="B2251">
            <v>310419</v>
          </cell>
          <cell r="C2251" t="str">
            <v>CARD PARTNER GIFT CARD FEES</v>
          </cell>
        </row>
        <row r="2252">
          <cell r="A2252">
            <v>9680894</v>
          </cell>
          <cell r="B2252">
            <v>310419</v>
          </cell>
          <cell r="C2252" t="str">
            <v>CARD PARTNER GIFT CARD FEES</v>
          </cell>
        </row>
        <row r="2253">
          <cell r="A2253">
            <v>9680999</v>
          </cell>
          <cell r="B2253">
            <v>310419</v>
          </cell>
          <cell r="C2253" t="str">
            <v>CARD PARTNER GIFT CARD FEES</v>
          </cell>
        </row>
        <row r="2254">
          <cell r="A2254">
            <v>9681700</v>
          </cell>
          <cell r="B2254">
            <v>310419</v>
          </cell>
          <cell r="C2254" t="str">
            <v>CARD PARTNER GIFT CARD FEES</v>
          </cell>
        </row>
        <row r="2255">
          <cell r="A2255">
            <v>9681701</v>
          </cell>
          <cell r="B2255">
            <v>310419</v>
          </cell>
          <cell r="C2255" t="str">
            <v>CARD PARTNER GIFT CARD FEES</v>
          </cell>
        </row>
        <row r="2256">
          <cell r="A2256">
            <v>9681702</v>
          </cell>
          <cell r="B2256">
            <v>310419</v>
          </cell>
          <cell r="C2256" t="str">
            <v>CARD PARTNER GIFT CARD FEES</v>
          </cell>
        </row>
        <row r="2257">
          <cell r="A2257">
            <v>9681705</v>
          </cell>
          <cell r="B2257">
            <v>310419</v>
          </cell>
          <cell r="C2257" t="str">
            <v>CARD PARTNER GIFT CARD FEES</v>
          </cell>
        </row>
        <row r="2258">
          <cell r="A2258">
            <v>9681707</v>
          </cell>
          <cell r="B2258">
            <v>310419</v>
          </cell>
          <cell r="C2258" t="str">
            <v>CARD PARTNER GIFT CARD FEES</v>
          </cell>
        </row>
        <row r="2259">
          <cell r="A2259">
            <v>9681710</v>
          </cell>
          <cell r="B2259">
            <v>310419</v>
          </cell>
          <cell r="C2259" t="str">
            <v>CARD PARTNER GIFT CARD FEES</v>
          </cell>
        </row>
        <row r="2260">
          <cell r="A2260">
            <v>9681712</v>
          </cell>
          <cell r="B2260">
            <v>310419</v>
          </cell>
          <cell r="C2260" t="str">
            <v>CARD PARTNER GIFT CARD FEES</v>
          </cell>
        </row>
        <row r="2261">
          <cell r="A2261">
            <v>9681727</v>
          </cell>
          <cell r="B2261">
            <v>310419</v>
          </cell>
          <cell r="C2261" t="str">
            <v>CARD PARTNER GIFT CARD FEES</v>
          </cell>
        </row>
        <row r="2262">
          <cell r="A2262">
            <v>9681734</v>
          </cell>
          <cell r="B2262">
            <v>310419</v>
          </cell>
          <cell r="C2262" t="str">
            <v>CARD PARTNER GIFT CARD FEES</v>
          </cell>
        </row>
        <row r="2263">
          <cell r="A2263">
            <v>9681894</v>
          </cell>
          <cell r="B2263">
            <v>310419</v>
          </cell>
          <cell r="C2263" t="str">
            <v>CARD PARTNER GIFT CARD FEES</v>
          </cell>
        </row>
        <row r="2264">
          <cell r="A2264">
            <v>9681999</v>
          </cell>
          <cell r="B2264">
            <v>310419</v>
          </cell>
          <cell r="C2264" t="str">
            <v>CARD PARTNER GIFT CARD FEES</v>
          </cell>
        </row>
        <row r="2265">
          <cell r="A2265">
            <v>9682999</v>
          </cell>
          <cell r="B2265">
            <v>310419</v>
          </cell>
          <cell r="C2265" t="str">
            <v>CARD PARTNER GIFT CARD FEES</v>
          </cell>
        </row>
        <row r="2266">
          <cell r="A2266">
            <v>9689999</v>
          </cell>
          <cell r="B2266">
            <v>310419</v>
          </cell>
          <cell r="C2266" t="str">
            <v>CARD PARTNER GIFT CARD FEES</v>
          </cell>
        </row>
        <row r="2267">
          <cell r="A2267">
            <v>9969681</v>
          </cell>
          <cell r="B2267">
            <v>310419</v>
          </cell>
          <cell r="C2267" t="str">
            <v>CARD PARTNER GIFT CARD FEES</v>
          </cell>
        </row>
        <row r="2268">
          <cell r="A2268">
            <v>9969901</v>
          </cell>
          <cell r="B2268">
            <v>310419</v>
          </cell>
          <cell r="C2268" t="str">
            <v>CARD PARTNER GIFT CARD FEES</v>
          </cell>
        </row>
        <row r="2269">
          <cell r="A2269">
            <v>9050700</v>
          </cell>
          <cell r="B2269">
            <v>310420</v>
          </cell>
          <cell r="C2269" t="str">
            <v>REVENUE FROM ACTIVATIONS</v>
          </cell>
        </row>
        <row r="2270">
          <cell r="A2270">
            <v>9050701</v>
          </cell>
          <cell r="B2270">
            <v>310420</v>
          </cell>
          <cell r="C2270" t="str">
            <v>REVENUE FROM ACTIVATIONS</v>
          </cell>
        </row>
        <row r="2271">
          <cell r="A2271">
            <v>9050702</v>
          </cell>
          <cell r="B2271">
            <v>310420</v>
          </cell>
          <cell r="C2271" t="str">
            <v>REVENUE FROM ACTIVATIONS</v>
          </cell>
        </row>
        <row r="2272">
          <cell r="A2272">
            <v>9050705</v>
          </cell>
          <cell r="B2272">
            <v>310420</v>
          </cell>
          <cell r="C2272" t="str">
            <v>REVENUE FROM ACTIVATIONS</v>
          </cell>
        </row>
        <row r="2273">
          <cell r="A2273">
            <v>9050707</v>
          </cell>
          <cell r="B2273">
            <v>310420</v>
          </cell>
          <cell r="C2273" t="str">
            <v>REVENUE FROM ACTIVATIONS</v>
          </cell>
        </row>
        <row r="2274">
          <cell r="A2274">
            <v>9050710</v>
          </cell>
          <cell r="B2274">
            <v>310420</v>
          </cell>
          <cell r="C2274" t="str">
            <v>REVENUE FROM ACTIVATIONS</v>
          </cell>
        </row>
        <row r="2275">
          <cell r="A2275">
            <v>9050712</v>
          </cell>
          <cell r="B2275">
            <v>310420</v>
          </cell>
          <cell r="C2275" t="str">
            <v>REVENUE FROM ACTIVATIONS</v>
          </cell>
        </row>
        <row r="2276">
          <cell r="A2276">
            <v>9051700</v>
          </cell>
          <cell r="B2276">
            <v>310420</v>
          </cell>
          <cell r="C2276" t="str">
            <v>REVENUE FROM ACTIVATIONS</v>
          </cell>
        </row>
        <row r="2277">
          <cell r="A2277">
            <v>9051701</v>
          </cell>
          <cell r="B2277">
            <v>310420</v>
          </cell>
          <cell r="C2277" t="str">
            <v>REVENUE FROM ACTIVATIONS</v>
          </cell>
        </row>
        <row r="2278">
          <cell r="A2278">
            <v>9051702</v>
          </cell>
          <cell r="B2278">
            <v>310420</v>
          </cell>
          <cell r="C2278" t="str">
            <v>REVENUE FROM ACTIVATIONS</v>
          </cell>
        </row>
        <row r="2279">
          <cell r="A2279">
            <v>9051705</v>
          </cell>
          <cell r="B2279">
            <v>310420</v>
          </cell>
          <cell r="C2279" t="str">
            <v>REVENUE FROM ACTIVATIONS</v>
          </cell>
        </row>
        <row r="2280">
          <cell r="A2280">
            <v>9051707</v>
          </cell>
          <cell r="B2280">
            <v>310420</v>
          </cell>
          <cell r="C2280" t="str">
            <v>REVENUE FROM ACTIVATIONS</v>
          </cell>
        </row>
        <row r="2281">
          <cell r="A2281">
            <v>9051710</v>
          </cell>
          <cell r="B2281">
            <v>310420</v>
          </cell>
          <cell r="C2281" t="str">
            <v>REVENUE FROM ACTIVATIONS</v>
          </cell>
        </row>
        <row r="2282">
          <cell r="A2282">
            <v>9051712</v>
          </cell>
          <cell r="B2282">
            <v>310420</v>
          </cell>
          <cell r="C2282" t="str">
            <v>REVENUE FROM ACTIVATIONS</v>
          </cell>
        </row>
        <row r="2283">
          <cell r="A2283">
            <v>9080700</v>
          </cell>
          <cell r="B2283">
            <v>310420</v>
          </cell>
          <cell r="C2283" t="str">
            <v>REVENUE FROM ACTIVATIONS</v>
          </cell>
        </row>
        <row r="2284">
          <cell r="A2284">
            <v>9080701</v>
          </cell>
          <cell r="B2284">
            <v>310420</v>
          </cell>
          <cell r="C2284" t="str">
            <v>REVENUE FROM ACTIVATIONS</v>
          </cell>
        </row>
        <row r="2285">
          <cell r="A2285">
            <v>9080702</v>
          </cell>
          <cell r="B2285">
            <v>310420</v>
          </cell>
          <cell r="C2285" t="str">
            <v>REVENUE FROM ACTIVATIONS</v>
          </cell>
        </row>
        <row r="2286">
          <cell r="A2286">
            <v>9080705</v>
          </cell>
          <cell r="B2286">
            <v>310420</v>
          </cell>
          <cell r="C2286" t="str">
            <v>REVENUE FROM ACTIVATIONS</v>
          </cell>
        </row>
        <row r="2287">
          <cell r="A2287">
            <v>9080707</v>
          </cell>
          <cell r="B2287">
            <v>310420</v>
          </cell>
          <cell r="C2287" t="str">
            <v>REVENUE FROM ACTIVATIONS</v>
          </cell>
        </row>
        <row r="2288">
          <cell r="A2288">
            <v>9080710</v>
          </cell>
          <cell r="B2288">
            <v>310420</v>
          </cell>
          <cell r="C2288" t="str">
            <v>REVENUE FROM ACTIVATIONS</v>
          </cell>
        </row>
        <row r="2289">
          <cell r="A2289">
            <v>9080712</v>
          </cell>
          <cell r="B2289">
            <v>310420</v>
          </cell>
          <cell r="C2289" t="str">
            <v>REVENUE FROM ACTIVATIONS</v>
          </cell>
        </row>
        <row r="2290">
          <cell r="A2290">
            <v>9080999</v>
          </cell>
          <cell r="B2290">
            <v>310420</v>
          </cell>
          <cell r="C2290" t="str">
            <v>REVENUE FROM ACTIVATIONS</v>
          </cell>
        </row>
        <row r="2291">
          <cell r="A2291">
            <v>9090710</v>
          </cell>
          <cell r="B2291">
            <v>310420</v>
          </cell>
          <cell r="C2291" t="str">
            <v>REVENUE FROM ACTIVATIONS</v>
          </cell>
        </row>
        <row r="2292">
          <cell r="A2292">
            <v>9090730</v>
          </cell>
          <cell r="B2292">
            <v>310420</v>
          </cell>
          <cell r="C2292" t="str">
            <v>REVENUE FROM ACTIVATIONS</v>
          </cell>
        </row>
        <row r="2293">
          <cell r="A2293">
            <v>9090731</v>
          </cell>
          <cell r="B2293">
            <v>310420</v>
          </cell>
          <cell r="C2293" t="str">
            <v>REVENUE FROM ACTIVATIONS</v>
          </cell>
        </row>
        <row r="2294">
          <cell r="A2294">
            <v>9090732</v>
          </cell>
          <cell r="B2294">
            <v>310420</v>
          </cell>
          <cell r="C2294" t="str">
            <v>REVENUE FROM ACTIVATIONS</v>
          </cell>
        </row>
        <row r="2295">
          <cell r="A2295">
            <v>9100710</v>
          </cell>
          <cell r="B2295">
            <v>310420</v>
          </cell>
          <cell r="C2295" t="str">
            <v>REVENUE FROM ACTIVATIONS</v>
          </cell>
        </row>
        <row r="2296">
          <cell r="A2296">
            <v>9100730</v>
          </cell>
          <cell r="B2296">
            <v>310420</v>
          </cell>
          <cell r="C2296" t="str">
            <v>REVENUE FROM ACTIVATIONS</v>
          </cell>
        </row>
        <row r="2297">
          <cell r="A2297">
            <v>9100731</v>
          </cell>
          <cell r="B2297">
            <v>310420</v>
          </cell>
          <cell r="C2297" t="str">
            <v>REVENUE FROM ACTIVATIONS</v>
          </cell>
        </row>
        <row r="2298">
          <cell r="A2298">
            <v>9110700</v>
          </cell>
          <cell r="B2298">
            <v>310420</v>
          </cell>
          <cell r="C2298" t="str">
            <v>REVENUE FROM ACTIVATIONS</v>
          </cell>
        </row>
        <row r="2299">
          <cell r="A2299">
            <v>9110702</v>
          </cell>
          <cell r="B2299">
            <v>310420</v>
          </cell>
          <cell r="C2299" t="str">
            <v>REVENUE FROM ACTIVATIONS</v>
          </cell>
        </row>
        <row r="2300">
          <cell r="A2300">
            <v>9110705</v>
          </cell>
          <cell r="B2300">
            <v>310420</v>
          </cell>
          <cell r="C2300" t="str">
            <v>REVENUE FROM ACTIVATIONS</v>
          </cell>
        </row>
        <row r="2301">
          <cell r="A2301">
            <v>9110707</v>
          </cell>
          <cell r="B2301">
            <v>310420</v>
          </cell>
          <cell r="C2301" t="str">
            <v>REVENUE FROM ACTIVATIONS</v>
          </cell>
        </row>
        <row r="2302">
          <cell r="A2302">
            <v>9110712</v>
          </cell>
          <cell r="B2302">
            <v>310420</v>
          </cell>
          <cell r="C2302" t="str">
            <v>REVENUE FROM ACTIVATIONS</v>
          </cell>
        </row>
        <row r="2303">
          <cell r="A2303">
            <v>9110999</v>
          </cell>
          <cell r="B2303">
            <v>310420</v>
          </cell>
          <cell r="C2303" t="str">
            <v>REVENUE FROM ACTIVATIONS</v>
          </cell>
        </row>
        <row r="2304">
          <cell r="A2304">
            <v>9680700</v>
          </cell>
          <cell r="B2304">
            <v>310420</v>
          </cell>
          <cell r="C2304" t="str">
            <v>REVENUE FROM ACTIVATIONS</v>
          </cell>
        </row>
        <row r="2305">
          <cell r="A2305">
            <v>9680701</v>
          </cell>
          <cell r="B2305">
            <v>310420</v>
          </cell>
          <cell r="C2305" t="str">
            <v>REVENUE FROM ACTIVATIONS</v>
          </cell>
        </row>
        <row r="2306">
          <cell r="A2306">
            <v>9680702</v>
          </cell>
          <cell r="B2306">
            <v>310420</v>
          </cell>
          <cell r="C2306" t="str">
            <v>REVENUE FROM ACTIVATIONS</v>
          </cell>
        </row>
        <row r="2307">
          <cell r="A2307">
            <v>9680705</v>
          </cell>
          <cell r="B2307">
            <v>310420</v>
          </cell>
          <cell r="C2307" t="str">
            <v>REVENUE FROM ACTIVATIONS</v>
          </cell>
        </row>
        <row r="2308">
          <cell r="A2308">
            <v>9680707</v>
          </cell>
          <cell r="B2308">
            <v>310420</v>
          </cell>
          <cell r="C2308" t="str">
            <v>REVENUE FROM ACTIVATIONS</v>
          </cell>
        </row>
        <row r="2309">
          <cell r="A2309">
            <v>9680710</v>
          </cell>
          <cell r="B2309">
            <v>310420</v>
          </cell>
          <cell r="C2309" t="str">
            <v>REVENUE FROM ACTIVATIONS</v>
          </cell>
        </row>
        <row r="2310">
          <cell r="A2310">
            <v>9680712</v>
          </cell>
          <cell r="B2310">
            <v>310420</v>
          </cell>
          <cell r="C2310" t="str">
            <v>REVENUE FROM ACTIVATIONS</v>
          </cell>
        </row>
        <row r="2311">
          <cell r="A2311">
            <v>9680734</v>
          </cell>
          <cell r="B2311">
            <v>310420</v>
          </cell>
          <cell r="C2311" t="str">
            <v>REVENUE FROM ACTIVATIONS</v>
          </cell>
        </row>
        <row r="2312">
          <cell r="A2312">
            <v>9680894</v>
          </cell>
          <cell r="B2312">
            <v>310420</v>
          </cell>
          <cell r="C2312" t="str">
            <v>REVENUE FROM ACTIVATIONS</v>
          </cell>
        </row>
        <row r="2313">
          <cell r="A2313">
            <v>9680999</v>
          </cell>
          <cell r="B2313">
            <v>310420</v>
          </cell>
          <cell r="C2313" t="str">
            <v>REVENUE FROM ACTIVATIONS</v>
          </cell>
        </row>
        <row r="2314">
          <cell r="A2314">
            <v>9681700</v>
          </cell>
          <cell r="B2314">
            <v>310420</v>
          </cell>
          <cell r="C2314" t="str">
            <v>REVENUE FROM ACTIVATIONS</v>
          </cell>
        </row>
        <row r="2315">
          <cell r="A2315">
            <v>9681701</v>
          </cell>
          <cell r="B2315">
            <v>310420</v>
          </cell>
          <cell r="C2315" t="str">
            <v>REVENUE FROM ACTIVATIONS</v>
          </cell>
        </row>
        <row r="2316">
          <cell r="A2316">
            <v>9681702</v>
          </cell>
          <cell r="B2316">
            <v>310420</v>
          </cell>
          <cell r="C2316" t="str">
            <v>REVENUE FROM ACTIVATIONS</v>
          </cell>
        </row>
        <row r="2317">
          <cell r="A2317">
            <v>9681705</v>
          </cell>
          <cell r="B2317">
            <v>310420</v>
          </cell>
          <cell r="C2317" t="str">
            <v>REVENUE FROM ACTIVATIONS</v>
          </cell>
        </row>
        <row r="2318">
          <cell r="A2318">
            <v>9681707</v>
          </cell>
          <cell r="B2318">
            <v>310420</v>
          </cell>
          <cell r="C2318" t="str">
            <v>REVENUE FROM ACTIVATIONS</v>
          </cell>
        </row>
        <row r="2319">
          <cell r="A2319">
            <v>9681710</v>
          </cell>
          <cell r="B2319">
            <v>310420</v>
          </cell>
          <cell r="C2319" t="str">
            <v>REVENUE FROM ACTIVATIONS</v>
          </cell>
        </row>
        <row r="2320">
          <cell r="A2320">
            <v>9681712</v>
          </cell>
          <cell r="B2320">
            <v>310420</v>
          </cell>
          <cell r="C2320" t="str">
            <v>REVENUE FROM ACTIVATIONS</v>
          </cell>
        </row>
        <row r="2321">
          <cell r="A2321">
            <v>9681727</v>
          </cell>
          <cell r="B2321">
            <v>310420</v>
          </cell>
          <cell r="C2321" t="str">
            <v>REVENUE FROM ACTIVATIONS</v>
          </cell>
        </row>
        <row r="2322">
          <cell r="A2322">
            <v>9681734</v>
          </cell>
          <cell r="B2322">
            <v>310420</v>
          </cell>
          <cell r="C2322" t="str">
            <v>REVENUE FROM ACTIVATIONS</v>
          </cell>
        </row>
        <row r="2323">
          <cell r="A2323">
            <v>9681894</v>
          </cell>
          <cell r="B2323">
            <v>310420</v>
          </cell>
          <cell r="C2323" t="str">
            <v>REVENUE FROM ACTIVATIONS</v>
          </cell>
        </row>
        <row r="2324">
          <cell r="A2324">
            <v>9681999</v>
          </cell>
          <cell r="B2324">
            <v>310420</v>
          </cell>
          <cell r="C2324" t="str">
            <v>REVENUE FROM ACTIVATIONS</v>
          </cell>
        </row>
        <row r="2325">
          <cell r="A2325">
            <v>9969681</v>
          </cell>
          <cell r="B2325">
            <v>310420</v>
          </cell>
          <cell r="C2325" t="str">
            <v>REVENUE FROM ACTIVATIONS</v>
          </cell>
        </row>
        <row r="2326">
          <cell r="A2326">
            <v>9969901</v>
          </cell>
          <cell r="B2326">
            <v>310420</v>
          </cell>
          <cell r="C2326" t="str">
            <v>REVENUE FROM ACTIVATIONS</v>
          </cell>
        </row>
        <row r="2327">
          <cell r="A2327">
            <v>9050700</v>
          </cell>
          <cell r="B2327">
            <v>310421</v>
          </cell>
          <cell r="C2327" t="str">
            <v>REVENUE FROM ACTIVATIONS OFFSET</v>
          </cell>
        </row>
        <row r="2328">
          <cell r="A2328">
            <v>9050701</v>
          </cell>
          <cell r="B2328">
            <v>310421</v>
          </cell>
          <cell r="C2328" t="str">
            <v>REVENUE FROM ACTIVATIONS OFFSET</v>
          </cell>
        </row>
        <row r="2329">
          <cell r="A2329">
            <v>9050702</v>
          </cell>
          <cell r="B2329">
            <v>310421</v>
          </cell>
          <cell r="C2329" t="str">
            <v>REVENUE FROM ACTIVATIONS OFFSET</v>
          </cell>
        </row>
        <row r="2330">
          <cell r="A2330">
            <v>9050707</v>
          </cell>
          <cell r="B2330">
            <v>310421</v>
          </cell>
          <cell r="C2330" t="str">
            <v>REVENUE FROM ACTIVATIONS OFFSET</v>
          </cell>
        </row>
        <row r="2331">
          <cell r="A2331">
            <v>9050710</v>
          </cell>
          <cell r="B2331">
            <v>310421</v>
          </cell>
          <cell r="C2331" t="str">
            <v>REVENUE FROM ACTIVATIONS OFFSET</v>
          </cell>
        </row>
        <row r="2332">
          <cell r="A2332">
            <v>9050712</v>
          </cell>
          <cell r="B2332">
            <v>310421</v>
          </cell>
          <cell r="C2332" t="str">
            <v>REVENUE FROM ACTIVATIONS OFFSET</v>
          </cell>
        </row>
        <row r="2333">
          <cell r="A2333">
            <v>9050999</v>
          </cell>
          <cell r="B2333">
            <v>310421</v>
          </cell>
          <cell r="C2333" t="str">
            <v>REVENUE FROM ACTIVATIONS OFFSET</v>
          </cell>
        </row>
        <row r="2334">
          <cell r="A2334">
            <v>9051700</v>
          </cell>
          <cell r="B2334">
            <v>310421</v>
          </cell>
          <cell r="C2334" t="str">
            <v>REVENUE FROM ACTIVATIONS OFFSET</v>
          </cell>
        </row>
        <row r="2335">
          <cell r="A2335">
            <v>9051701</v>
          </cell>
          <cell r="B2335">
            <v>310421</v>
          </cell>
          <cell r="C2335" t="str">
            <v>REVENUE FROM ACTIVATIONS OFFSET</v>
          </cell>
        </row>
        <row r="2336">
          <cell r="A2336">
            <v>9051702</v>
          </cell>
          <cell r="B2336">
            <v>310421</v>
          </cell>
          <cell r="C2336" t="str">
            <v>REVENUE FROM ACTIVATIONS OFFSET</v>
          </cell>
        </row>
        <row r="2337">
          <cell r="A2337">
            <v>9051707</v>
          </cell>
          <cell r="B2337">
            <v>310421</v>
          </cell>
          <cell r="C2337" t="str">
            <v>REVENUE FROM ACTIVATIONS OFFSET</v>
          </cell>
        </row>
        <row r="2338">
          <cell r="A2338">
            <v>9051710</v>
          </cell>
          <cell r="B2338">
            <v>310421</v>
          </cell>
          <cell r="C2338" t="str">
            <v>REVENUE FROM ACTIVATIONS OFFSET</v>
          </cell>
        </row>
        <row r="2339">
          <cell r="A2339">
            <v>9051712</v>
          </cell>
          <cell r="B2339">
            <v>310421</v>
          </cell>
          <cell r="C2339" t="str">
            <v>REVENUE FROM ACTIVATIONS OFFSET</v>
          </cell>
        </row>
        <row r="2340">
          <cell r="A2340">
            <v>9051999</v>
          </cell>
          <cell r="B2340">
            <v>310421</v>
          </cell>
          <cell r="C2340" t="str">
            <v>REVENUE FROM ACTIVATIONS OFFSET</v>
          </cell>
        </row>
        <row r="2341">
          <cell r="A2341">
            <v>9080700</v>
          </cell>
          <cell r="B2341">
            <v>310421</v>
          </cell>
          <cell r="C2341" t="str">
            <v>REVENUE FROM ACTIVATIONS OFFSET</v>
          </cell>
        </row>
        <row r="2342">
          <cell r="A2342">
            <v>9080701</v>
          </cell>
          <cell r="B2342">
            <v>310421</v>
          </cell>
          <cell r="C2342" t="str">
            <v>REVENUE FROM ACTIVATIONS OFFSET</v>
          </cell>
        </row>
        <row r="2343">
          <cell r="A2343">
            <v>9080702</v>
          </cell>
          <cell r="B2343">
            <v>310421</v>
          </cell>
          <cell r="C2343" t="str">
            <v>REVENUE FROM ACTIVATIONS OFFSET</v>
          </cell>
        </row>
        <row r="2344">
          <cell r="A2344">
            <v>9080705</v>
          </cell>
          <cell r="B2344">
            <v>310421</v>
          </cell>
          <cell r="C2344" t="str">
            <v>REVENUE FROM ACTIVATIONS OFFSET</v>
          </cell>
        </row>
        <row r="2345">
          <cell r="A2345">
            <v>9080707</v>
          </cell>
          <cell r="B2345">
            <v>310421</v>
          </cell>
          <cell r="C2345" t="str">
            <v>REVENUE FROM ACTIVATIONS OFFSET</v>
          </cell>
        </row>
        <row r="2346">
          <cell r="A2346">
            <v>9080710</v>
          </cell>
          <cell r="B2346">
            <v>310421</v>
          </cell>
          <cell r="C2346" t="str">
            <v>REVENUE FROM ACTIVATIONS OFFSET</v>
          </cell>
        </row>
        <row r="2347">
          <cell r="A2347">
            <v>9080712</v>
          </cell>
          <cell r="B2347">
            <v>310421</v>
          </cell>
          <cell r="C2347" t="str">
            <v>REVENUE FROM ACTIVATIONS OFFSET</v>
          </cell>
        </row>
        <row r="2348">
          <cell r="A2348">
            <v>9080999</v>
          </cell>
          <cell r="B2348">
            <v>310421</v>
          </cell>
          <cell r="C2348" t="str">
            <v>REVENUE FROM ACTIVATIONS OFFSET</v>
          </cell>
        </row>
        <row r="2349">
          <cell r="A2349">
            <v>9090710</v>
          </cell>
          <cell r="B2349">
            <v>310421</v>
          </cell>
          <cell r="C2349" t="str">
            <v>REVENUE FROM ACTIVATIONS OFFSET</v>
          </cell>
        </row>
        <row r="2350">
          <cell r="A2350">
            <v>9090730</v>
          </cell>
          <cell r="B2350">
            <v>310421</v>
          </cell>
          <cell r="C2350" t="str">
            <v>REVENUE FROM ACTIVATIONS OFFSET</v>
          </cell>
        </row>
        <row r="2351">
          <cell r="A2351">
            <v>9090731</v>
          </cell>
          <cell r="B2351">
            <v>310421</v>
          </cell>
          <cell r="C2351" t="str">
            <v>REVENUE FROM ACTIVATIONS OFFSET</v>
          </cell>
        </row>
        <row r="2352">
          <cell r="A2352">
            <v>9090732</v>
          </cell>
          <cell r="B2352">
            <v>310421</v>
          </cell>
          <cell r="C2352" t="str">
            <v>REVENUE FROM ACTIVATIONS OFFSET</v>
          </cell>
        </row>
        <row r="2353">
          <cell r="A2353">
            <v>9100710</v>
          </cell>
          <cell r="B2353">
            <v>310421</v>
          </cell>
          <cell r="C2353" t="str">
            <v>REVENUE FROM ACTIVATIONS OFFSET</v>
          </cell>
        </row>
        <row r="2354">
          <cell r="A2354">
            <v>9100730</v>
          </cell>
          <cell r="B2354">
            <v>310421</v>
          </cell>
          <cell r="C2354" t="str">
            <v>REVENUE FROM ACTIVATIONS OFFSET</v>
          </cell>
        </row>
        <row r="2355">
          <cell r="A2355">
            <v>9100731</v>
          </cell>
          <cell r="B2355">
            <v>310421</v>
          </cell>
          <cell r="C2355" t="str">
            <v>REVENUE FROM ACTIVATIONS OFFSET</v>
          </cell>
        </row>
        <row r="2356">
          <cell r="A2356">
            <v>9110700</v>
          </cell>
          <cell r="B2356">
            <v>310421</v>
          </cell>
          <cell r="C2356" t="str">
            <v>REVENUE FROM ACTIVATIONS OFFSET</v>
          </cell>
        </row>
        <row r="2357">
          <cell r="A2357">
            <v>9110702</v>
          </cell>
          <cell r="B2357">
            <v>310421</v>
          </cell>
          <cell r="C2357" t="str">
            <v>REVENUE FROM ACTIVATIONS OFFSET</v>
          </cell>
        </row>
        <row r="2358">
          <cell r="A2358">
            <v>9110705</v>
          </cell>
          <cell r="B2358">
            <v>310421</v>
          </cell>
          <cell r="C2358" t="str">
            <v>REVENUE FROM ACTIVATIONS OFFSET</v>
          </cell>
        </row>
        <row r="2359">
          <cell r="A2359">
            <v>9110707</v>
          </cell>
          <cell r="B2359">
            <v>310421</v>
          </cell>
          <cell r="C2359" t="str">
            <v>REVENUE FROM ACTIVATIONS OFFSET</v>
          </cell>
        </row>
        <row r="2360">
          <cell r="A2360">
            <v>9110712</v>
          </cell>
          <cell r="B2360">
            <v>310421</v>
          </cell>
          <cell r="C2360" t="str">
            <v>REVENUE FROM ACTIVATIONS OFFSET</v>
          </cell>
        </row>
        <row r="2361">
          <cell r="A2361">
            <v>9110999</v>
          </cell>
          <cell r="B2361">
            <v>310421</v>
          </cell>
          <cell r="C2361" t="str">
            <v>REVENUE FROM ACTIVATIONS OFFSET</v>
          </cell>
        </row>
        <row r="2362">
          <cell r="A2362">
            <v>9680700</v>
          </cell>
          <cell r="B2362">
            <v>310421</v>
          </cell>
          <cell r="C2362" t="str">
            <v>REVENUE FROM ACTIVATIONS OFFSET</v>
          </cell>
        </row>
        <row r="2363">
          <cell r="A2363">
            <v>9680701</v>
          </cell>
          <cell r="B2363">
            <v>310421</v>
          </cell>
          <cell r="C2363" t="str">
            <v>REVENUE FROM ACTIVATIONS OFFSET</v>
          </cell>
        </row>
        <row r="2364">
          <cell r="A2364">
            <v>9680702</v>
          </cell>
          <cell r="B2364">
            <v>310421</v>
          </cell>
          <cell r="C2364" t="str">
            <v>REVENUE FROM ACTIVATIONS OFFSET</v>
          </cell>
        </row>
        <row r="2365">
          <cell r="A2365">
            <v>9680705</v>
          </cell>
          <cell r="B2365">
            <v>310421</v>
          </cell>
          <cell r="C2365" t="str">
            <v>REVENUE FROM ACTIVATIONS OFFSET</v>
          </cell>
        </row>
        <row r="2366">
          <cell r="A2366">
            <v>9680707</v>
          </cell>
          <cell r="B2366">
            <v>310421</v>
          </cell>
          <cell r="C2366" t="str">
            <v>REVENUE FROM ACTIVATIONS OFFSET</v>
          </cell>
        </row>
        <row r="2367">
          <cell r="A2367">
            <v>9680710</v>
          </cell>
          <cell r="B2367">
            <v>310421</v>
          </cell>
          <cell r="C2367" t="str">
            <v>REVENUE FROM ACTIVATIONS OFFSET</v>
          </cell>
        </row>
        <row r="2368">
          <cell r="A2368">
            <v>9680712</v>
          </cell>
          <cell r="B2368">
            <v>310421</v>
          </cell>
          <cell r="C2368" t="str">
            <v>REVENUE FROM ACTIVATIONS OFFSET</v>
          </cell>
        </row>
        <row r="2369">
          <cell r="A2369">
            <v>9680734</v>
          </cell>
          <cell r="B2369">
            <v>310421</v>
          </cell>
          <cell r="C2369" t="str">
            <v>REVENUE FROM ACTIVATIONS OFFSET</v>
          </cell>
        </row>
        <row r="2370">
          <cell r="A2370">
            <v>9680894</v>
          </cell>
          <cell r="B2370">
            <v>310421</v>
          </cell>
          <cell r="C2370" t="str">
            <v>REVENUE FROM ACTIVATIONS OFFSET</v>
          </cell>
        </row>
        <row r="2371">
          <cell r="A2371">
            <v>9680999</v>
          </cell>
          <cell r="B2371">
            <v>310421</v>
          </cell>
          <cell r="C2371" t="str">
            <v>REVENUE FROM ACTIVATIONS OFFSET</v>
          </cell>
        </row>
        <row r="2372">
          <cell r="A2372">
            <v>9681700</v>
          </cell>
          <cell r="B2372">
            <v>310421</v>
          </cell>
          <cell r="C2372" t="str">
            <v>REVENUE FROM ACTIVATIONS OFFSET</v>
          </cell>
        </row>
        <row r="2373">
          <cell r="A2373">
            <v>9681701</v>
          </cell>
          <cell r="B2373">
            <v>310421</v>
          </cell>
          <cell r="C2373" t="str">
            <v>REVENUE FROM ACTIVATIONS OFFSET</v>
          </cell>
        </row>
        <row r="2374">
          <cell r="A2374">
            <v>9681702</v>
          </cell>
          <cell r="B2374">
            <v>310421</v>
          </cell>
          <cell r="C2374" t="str">
            <v>REVENUE FROM ACTIVATIONS OFFSET</v>
          </cell>
        </row>
        <row r="2375">
          <cell r="A2375">
            <v>9681705</v>
          </cell>
          <cell r="B2375">
            <v>310421</v>
          </cell>
          <cell r="C2375" t="str">
            <v>REVENUE FROM ACTIVATIONS OFFSET</v>
          </cell>
        </row>
        <row r="2376">
          <cell r="A2376">
            <v>9681707</v>
          </cell>
          <cell r="B2376">
            <v>310421</v>
          </cell>
          <cell r="C2376" t="str">
            <v>REVENUE FROM ACTIVATIONS OFFSET</v>
          </cell>
        </row>
        <row r="2377">
          <cell r="A2377">
            <v>9681710</v>
          </cell>
          <cell r="B2377">
            <v>310421</v>
          </cell>
          <cell r="C2377" t="str">
            <v>REVENUE FROM ACTIVATIONS OFFSET</v>
          </cell>
        </row>
        <row r="2378">
          <cell r="A2378">
            <v>9681712</v>
          </cell>
          <cell r="B2378">
            <v>310421</v>
          </cell>
          <cell r="C2378" t="str">
            <v>REVENUE FROM ACTIVATIONS OFFSET</v>
          </cell>
        </row>
        <row r="2379">
          <cell r="A2379">
            <v>9681727</v>
          </cell>
          <cell r="B2379">
            <v>310421</v>
          </cell>
          <cell r="C2379" t="str">
            <v>REVENUE FROM ACTIVATIONS OFFSET</v>
          </cell>
        </row>
        <row r="2380">
          <cell r="A2380">
            <v>9681734</v>
          </cell>
          <cell r="B2380">
            <v>310421</v>
          </cell>
          <cell r="C2380" t="str">
            <v>REVENUE FROM ACTIVATIONS OFFSET</v>
          </cell>
        </row>
        <row r="2381">
          <cell r="A2381">
            <v>9681894</v>
          </cell>
          <cell r="B2381">
            <v>310421</v>
          </cell>
          <cell r="C2381" t="str">
            <v>REVENUE FROM ACTIVATIONS OFFSET</v>
          </cell>
        </row>
        <row r="2382">
          <cell r="A2382">
            <v>9681999</v>
          </cell>
          <cell r="B2382">
            <v>310421</v>
          </cell>
          <cell r="C2382" t="str">
            <v>REVENUE FROM ACTIVATIONS OFFSET</v>
          </cell>
        </row>
        <row r="2383">
          <cell r="A2383">
            <v>9969681</v>
          </cell>
          <cell r="B2383">
            <v>310421</v>
          </cell>
          <cell r="C2383" t="str">
            <v>REVENUE FROM ACTIVATIONS OFFSET</v>
          </cell>
        </row>
        <row r="2384">
          <cell r="A2384">
            <v>9969901</v>
          </cell>
          <cell r="B2384">
            <v>310421</v>
          </cell>
          <cell r="C2384" t="str">
            <v>REVENUE FROM ACTIVATIONS OFFSET</v>
          </cell>
        </row>
        <row r="2385">
          <cell r="A2385">
            <v>9050700</v>
          </cell>
          <cell r="B2385">
            <v>310802</v>
          </cell>
          <cell r="C2385" t="str">
            <v>SALES TO ALLIANCE/OUTSIDE</v>
          </cell>
        </row>
        <row r="2386">
          <cell r="A2386">
            <v>9051700</v>
          </cell>
          <cell r="B2386">
            <v>310802</v>
          </cell>
          <cell r="C2386" t="str">
            <v>SALES TO ALLIANCE/OUTSIDE</v>
          </cell>
        </row>
        <row r="2387">
          <cell r="A2387">
            <v>9080700</v>
          </cell>
          <cell r="B2387">
            <v>310802</v>
          </cell>
          <cell r="C2387" t="str">
            <v>SALES TO ALLIANCE/OUTSIDE</v>
          </cell>
        </row>
        <row r="2388">
          <cell r="A2388">
            <v>9080701</v>
          </cell>
          <cell r="B2388">
            <v>310802</v>
          </cell>
          <cell r="C2388" t="str">
            <v>SALES TO ALLIANCE/OUTSIDE</v>
          </cell>
        </row>
        <row r="2389">
          <cell r="A2389">
            <v>9080702</v>
          </cell>
          <cell r="B2389">
            <v>310802</v>
          </cell>
          <cell r="C2389" t="str">
            <v>SALES TO ALLIANCE/OUTSIDE</v>
          </cell>
        </row>
        <row r="2390">
          <cell r="A2390">
            <v>9080705</v>
          </cell>
          <cell r="B2390">
            <v>310802</v>
          </cell>
          <cell r="C2390" t="str">
            <v>SALES TO ALLIANCE/OUTSIDE</v>
          </cell>
        </row>
        <row r="2391">
          <cell r="A2391">
            <v>9080707</v>
          </cell>
          <cell r="B2391">
            <v>310802</v>
          </cell>
          <cell r="C2391" t="str">
            <v>SALES TO ALLIANCE/OUTSIDE</v>
          </cell>
        </row>
        <row r="2392">
          <cell r="A2392">
            <v>9080710</v>
          </cell>
          <cell r="B2392">
            <v>310802</v>
          </cell>
          <cell r="C2392" t="str">
            <v>SALES TO ALLIANCE/OUTSIDE</v>
          </cell>
        </row>
        <row r="2393">
          <cell r="A2393">
            <v>9090999</v>
          </cell>
          <cell r="B2393">
            <v>310802</v>
          </cell>
          <cell r="C2393" t="str">
            <v>SALES TO ALLIANCE/OUTSIDE</v>
          </cell>
        </row>
        <row r="2394">
          <cell r="A2394">
            <v>9100999</v>
          </cell>
          <cell r="B2394">
            <v>310802</v>
          </cell>
          <cell r="C2394" t="str">
            <v>SALES TO ALLIANCE/OUTSIDE</v>
          </cell>
        </row>
        <row r="2395">
          <cell r="A2395">
            <v>9110700</v>
          </cell>
          <cell r="B2395">
            <v>310802</v>
          </cell>
          <cell r="C2395" t="str">
            <v>SALES TO ALLIANCE/OUTSIDE</v>
          </cell>
        </row>
        <row r="2396">
          <cell r="A2396">
            <v>9110702</v>
          </cell>
          <cell r="B2396">
            <v>310802</v>
          </cell>
          <cell r="C2396" t="str">
            <v>SALES TO ALLIANCE/OUTSIDE</v>
          </cell>
        </row>
        <row r="2397">
          <cell r="A2397">
            <v>9110705</v>
          </cell>
          <cell r="B2397">
            <v>310802</v>
          </cell>
          <cell r="C2397" t="str">
            <v>SALES TO ALLIANCE/OUTSIDE</v>
          </cell>
        </row>
        <row r="2398">
          <cell r="A2398">
            <v>9110707</v>
          </cell>
          <cell r="B2398">
            <v>310802</v>
          </cell>
          <cell r="C2398" t="str">
            <v>SALES TO ALLIANCE/OUTSIDE</v>
          </cell>
        </row>
        <row r="2399">
          <cell r="A2399">
            <v>9680700</v>
          </cell>
          <cell r="B2399">
            <v>310802</v>
          </cell>
          <cell r="C2399" t="str">
            <v>SALES TO ALLIANCE/OUTSIDE</v>
          </cell>
        </row>
        <row r="2400">
          <cell r="A2400">
            <v>9680701</v>
          </cell>
          <cell r="B2400">
            <v>310802</v>
          </cell>
          <cell r="C2400" t="str">
            <v>SALES TO ALLIANCE/OUTSIDE</v>
          </cell>
        </row>
        <row r="2401">
          <cell r="A2401">
            <v>9680702</v>
          </cell>
          <cell r="B2401">
            <v>310802</v>
          </cell>
          <cell r="C2401" t="str">
            <v>SALES TO ALLIANCE/OUTSIDE</v>
          </cell>
        </row>
        <row r="2402">
          <cell r="A2402">
            <v>9680705</v>
          </cell>
          <cell r="B2402">
            <v>310802</v>
          </cell>
          <cell r="C2402" t="str">
            <v>SALES TO ALLIANCE/OUTSIDE</v>
          </cell>
        </row>
        <row r="2403">
          <cell r="A2403">
            <v>9680707</v>
          </cell>
          <cell r="B2403">
            <v>310802</v>
          </cell>
          <cell r="C2403" t="str">
            <v>SALES TO ALLIANCE/OUTSIDE</v>
          </cell>
        </row>
        <row r="2404">
          <cell r="A2404">
            <v>9680710</v>
          </cell>
          <cell r="B2404">
            <v>310802</v>
          </cell>
          <cell r="C2404" t="str">
            <v>SALES TO ALLIANCE/OUTSIDE</v>
          </cell>
        </row>
        <row r="2405">
          <cell r="A2405">
            <v>9680712</v>
          </cell>
          <cell r="B2405">
            <v>310802</v>
          </cell>
          <cell r="C2405" t="str">
            <v>SALES TO ALLIANCE/OUTSIDE</v>
          </cell>
        </row>
        <row r="2406">
          <cell r="A2406">
            <v>9680714</v>
          </cell>
          <cell r="B2406">
            <v>310802</v>
          </cell>
          <cell r="C2406" t="str">
            <v>SALES TO ALLIANCE/OUTSIDE</v>
          </cell>
        </row>
        <row r="2407">
          <cell r="A2407">
            <v>9680734</v>
          </cell>
          <cell r="B2407">
            <v>310802</v>
          </cell>
          <cell r="C2407" t="str">
            <v>SALES TO ALLIANCE/OUTSIDE</v>
          </cell>
        </row>
        <row r="2408">
          <cell r="A2408">
            <v>9680748</v>
          </cell>
          <cell r="B2408">
            <v>310802</v>
          </cell>
          <cell r="C2408" t="str">
            <v>SALES TO ALLIANCE/OUTSIDE</v>
          </cell>
        </row>
        <row r="2409">
          <cell r="A2409">
            <v>9680749</v>
          </cell>
          <cell r="B2409">
            <v>310802</v>
          </cell>
          <cell r="C2409" t="str">
            <v>SALES TO ALLIANCE/OUTSIDE</v>
          </cell>
        </row>
        <row r="2410">
          <cell r="A2410">
            <v>9680894</v>
          </cell>
          <cell r="B2410">
            <v>310802</v>
          </cell>
          <cell r="C2410" t="str">
            <v>SALES TO ALLIANCE/OUTSIDE</v>
          </cell>
        </row>
        <row r="2411">
          <cell r="A2411">
            <v>9680999</v>
          </cell>
          <cell r="B2411">
            <v>310802</v>
          </cell>
          <cell r="C2411" t="str">
            <v>SALES TO ALLIANCE/OUTSIDE</v>
          </cell>
        </row>
        <row r="2412">
          <cell r="A2412">
            <v>9681700</v>
          </cell>
          <cell r="B2412">
            <v>310802</v>
          </cell>
          <cell r="C2412" t="str">
            <v>SALES TO ALLIANCE/OUTSIDE</v>
          </cell>
        </row>
        <row r="2413">
          <cell r="A2413">
            <v>9681701</v>
          </cell>
          <cell r="B2413">
            <v>310802</v>
          </cell>
          <cell r="C2413" t="str">
            <v>SALES TO ALLIANCE/OUTSIDE</v>
          </cell>
        </row>
        <row r="2414">
          <cell r="A2414">
            <v>9681702</v>
          </cell>
          <cell r="B2414">
            <v>310802</v>
          </cell>
          <cell r="C2414" t="str">
            <v>SALES TO ALLIANCE/OUTSIDE</v>
          </cell>
        </row>
        <row r="2415">
          <cell r="A2415">
            <v>9681705</v>
          </cell>
          <cell r="B2415">
            <v>310802</v>
          </cell>
          <cell r="C2415" t="str">
            <v>SALES TO ALLIANCE/OUTSIDE</v>
          </cell>
        </row>
        <row r="2416">
          <cell r="A2416">
            <v>9681706</v>
          </cell>
          <cell r="B2416">
            <v>310802</v>
          </cell>
          <cell r="C2416" t="str">
            <v>SALES TO ALLIANCE/OUTSIDE</v>
          </cell>
        </row>
        <row r="2417">
          <cell r="A2417">
            <v>9681707</v>
          </cell>
          <cell r="B2417">
            <v>310802</v>
          </cell>
          <cell r="C2417" t="str">
            <v>SALES TO ALLIANCE/OUTSIDE</v>
          </cell>
        </row>
        <row r="2418">
          <cell r="A2418">
            <v>9681710</v>
          </cell>
          <cell r="B2418">
            <v>310802</v>
          </cell>
          <cell r="C2418" t="str">
            <v>SALES TO ALLIANCE/OUTSIDE</v>
          </cell>
        </row>
        <row r="2419">
          <cell r="A2419">
            <v>9681712</v>
          </cell>
          <cell r="B2419">
            <v>310802</v>
          </cell>
          <cell r="C2419" t="str">
            <v>SALES TO ALLIANCE/OUTSIDE</v>
          </cell>
        </row>
        <row r="2420">
          <cell r="A2420">
            <v>9681714</v>
          </cell>
          <cell r="B2420">
            <v>310802</v>
          </cell>
          <cell r="C2420" t="str">
            <v>SALES TO ALLIANCE/OUTSIDE</v>
          </cell>
        </row>
        <row r="2421">
          <cell r="A2421">
            <v>9681716</v>
          </cell>
          <cell r="B2421">
            <v>310802</v>
          </cell>
          <cell r="C2421" t="str">
            <v>SALES TO ALLIANCE/OUTSIDE</v>
          </cell>
        </row>
        <row r="2422">
          <cell r="A2422">
            <v>9681727</v>
          </cell>
          <cell r="B2422">
            <v>310802</v>
          </cell>
          <cell r="C2422" t="str">
            <v>SALES TO ALLIANCE/OUTSIDE</v>
          </cell>
        </row>
        <row r="2423">
          <cell r="A2423">
            <v>9681734</v>
          </cell>
          <cell r="B2423">
            <v>310802</v>
          </cell>
          <cell r="C2423" t="str">
            <v>SALES TO ALLIANCE/OUTSIDE</v>
          </cell>
        </row>
        <row r="2424">
          <cell r="A2424">
            <v>9681748</v>
          </cell>
          <cell r="B2424">
            <v>310802</v>
          </cell>
          <cell r="C2424" t="str">
            <v>SALES TO ALLIANCE/OUTSIDE</v>
          </cell>
        </row>
        <row r="2425">
          <cell r="A2425">
            <v>9681749</v>
          </cell>
          <cell r="B2425">
            <v>310802</v>
          </cell>
          <cell r="C2425" t="str">
            <v>SALES TO ALLIANCE/OUTSIDE</v>
          </cell>
        </row>
        <row r="2426">
          <cell r="A2426">
            <v>9681894</v>
          </cell>
          <cell r="B2426">
            <v>310802</v>
          </cell>
          <cell r="C2426" t="str">
            <v>SALES TO ALLIANCE/OUTSIDE</v>
          </cell>
        </row>
        <row r="2427">
          <cell r="A2427">
            <v>9681999</v>
          </cell>
          <cell r="B2427">
            <v>310802</v>
          </cell>
          <cell r="C2427" t="str">
            <v>SALES TO ALLIANCE/OUTSIDE</v>
          </cell>
        </row>
        <row r="2428">
          <cell r="A2428">
            <v>9682715</v>
          </cell>
          <cell r="B2428">
            <v>310802</v>
          </cell>
          <cell r="C2428" t="str">
            <v>SALES TO ALLIANCE/OUTSIDE</v>
          </cell>
        </row>
        <row r="2429">
          <cell r="A2429">
            <v>9682722</v>
          </cell>
          <cell r="B2429">
            <v>310802</v>
          </cell>
          <cell r="C2429" t="str">
            <v>SALES TO ALLIANCE/OUTSIDE</v>
          </cell>
        </row>
        <row r="2430">
          <cell r="A2430">
            <v>9682999</v>
          </cell>
          <cell r="B2430">
            <v>310802</v>
          </cell>
          <cell r="C2430" t="str">
            <v>SALES TO ALLIANCE/OUTSIDE</v>
          </cell>
        </row>
        <row r="2431">
          <cell r="A2431">
            <v>9683999</v>
          </cell>
          <cell r="B2431">
            <v>310802</v>
          </cell>
          <cell r="C2431" t="str">
            <v>SALES TO ALLIANCE/OUTSIDE</v>
          </cell>
        </row>
        <row r="2432">
          <cell r="A2432">
            <v>9684999</v>
          </cell>
          <cell r="B2432">
            <v>310802</v>
          </cell>
          <cell r="C2432" t="str">
            <v>SALES TO ALLIANCE/OUTSIDE</v>
          </cell>
        </row>
        <row r="2433">
          <cell r="A2433">
            <v>9685999</v>
          </cell>
          <cell r="B2433">
            <v>310802</v>
          </cell>
          <cell r="C2433" t="str">
            <v>SALES TO ALLIANCE/OUTSIDE</v>
          </cell>
        </row>
        <row r="2434">
          <cell r="A2434">
            <v>9689692</v>
          </cell>
          <cell r="B2434">
            <v>310802</v>
          </cell>
          <cell r="C2434" t="str">
            <v>SALES TO ALLIANCE/OUTSIDE</v>
          </cell>
        </row>
        <row r="2435">
          <cell r="A2435">
            <v>9689747</v>
          </cell>
          <cell r="B2435">
            <v>310802</v>
          </cell>
          <cell r="C2435" t="str">
            <v>SALES TO ALLIANCE/OUTSIDE</v>
          </cell>
        </row>
        <row r="2436">
          <cell r="A2436">
            <v>9689883</v>
          </cell>
          <cell r="B2436">
            <v>310802</v>
          </cell>
          <cell r="C2436" t="str">
            <v>SALES TO ALLIANCE/OUTSIDE</v>
          </cell>
        </row>
        <row r="2437">
          <cell r="A2437">
            <v>9689890</v>
          </cell>
          <cell r="B2437">
            <v>310802</v>
          </cell>
          <cell r="C2437" t="str">
            <v>SALES TO ALLIANCE/OUTSIDE</v>
          </cell>
        </row>
        <row r="2438">
          <cell r="A2438">
            <v>9689906</v>
          </cell>
          <cell r="B2438">
            <v>310802</v>
          </cell>
          <cell r="C2438" t="str">
            <v>SALES TO ALLIANCE/OUTSIDE</v>
          </cell>
        </row>
        <row r="2439">
          <cell r="A2439">
            <v>9689925</v>
          </cell>
          <cell r="B2439">
            <v>310802</v>
          </cell>
          <cell r="C2439" t="str">
            <v>SALES TO ALLIANCE/OUTSIDE</v>
          </cell>
        </row>
        <row r="2440">
          <cell r="A2440">
            <v>9689990</v>
          </cell>
          <cell r="B2440">
            <v>310802</v>
          </cell>
          <cell r="C2440" t="str">
            <v>SALES TO ALLIANCE/OUTSIDE</v>
          </cell>
        </row>
        <row r="2441">
          <cell r="A2441">
            <v>9689991</v>
          </cell>
          <cell r="B2441">
            <v>310802</v>
          </cell>
          <cell r="C2441" t="str">
            <v>SALES TO ALLIANCE/OUTSIDE</v>
          </cell>
        </row>
        <row r="2442">
          <cell r="A2442">
            <v>9689992</v>
          </cell>
          <cell r="B2442">
            <v>310802</v>
          </cell>
          <cell r="C2442" t="str">
            <v>SALES TO ALLIANCE/OUTSIDE</v>
          </cell>
        </row>
        <row r="2443">
          <cell r="A2443">
            <v>9689993</v>
          </cell>
          <cell r="B2443">
            <v>310802</v>
          </cell>
          <cell r="C2443" t="str">
            <v>SALES TO ALLIANCE/OUTSIDE</v>
          </cell>
        </row>
        <row r="2444">
          <cell r="A2444">
            <v>9689994</v>
          </cell>
          <cell r="B2444">
            <v>310802</v>
          </cell>
          <cell r="C2444" t="str">
            <v>SALES TO ALLIANCE/OUTSIDE</v>
          </cell>
        </row>
        <row r="2445">
          <cell r="A2445">
            <v>9720703</v>
          </cell>
          <cell r="B2445">
            <v>310802</v>
          </cell>
          <cell r="C2445" t="str">
            <v>SALES TO ALLIANCE/OUTSIDE</v>
          </cell>
        </row>
        <row r="2446">
          <cell r="A2446">
            <v>9720704</v>
          </cell>
          <cell r="B2446">
            <v>310802</v>
          </cell>
          <cell r="C2446" t="str">
            <v>SALES TO ALLIANCE/OUTSIDE</v>
          </cell>
        </row>
        <row r="2447">
          <cell r="A2447">
            <v>9720716</v>
          </cell>
          <cell r="B2447">
            <v>310802</v>
          </cell>
          <cell r="C2447" t="str">
            <v>SALES TO ALLIANCE/OUTSIDE</v>
          </cell>
        </row>
        <row r="2448">
          <cell r="A2448">
            <v>9722708</v>
          </cell>
          <cell r="B2448">
            <v>310802</v>
          </cell>
          <cell r="C2448" t="str">
            <v>SALES TO ALLIANCE/OUTSIDE</v>
          </cell>
        </row>
        <row r="2449">
          <cell r="A2449">
            <v>9722709</v>
          </cell>
          <cell r="B2449">
            <v>310802</v>
          </cell>
          <cell r="C2449" t="str">
            <v>SALES TO ALLIANCE/OUTSIDE</v>
          </cell>
        </row>
        <row r="2450">
          <cell r="A2450">
            <v>9722713</v>
          </cell>
          <cell r="B2450">
            <v>310802</v>
          </cell>
          <cell r="C2450" t="str">
            <v>SALES TO ALLIANCE/OUTSIDE</v>
          </cell>
        </row>
        <row r="2451">
          <cell r="A2451">
            <v>9723723</v>
          </cell>
          <cell r="B2451">
            <v>310802</v>
          </cell>
          <cell r="C2451" t="str">
            <v>SALES TO ALLIANCE/OUTSIDE</v>
          </cell>
        </row>
        <row r="2452">
          <cell r="A2452">
            <v>9723729</v>
          </cell>
          <cell r="B2452">
            <v>310802</v>
          </cell>
          <cell r="C2452" t="str">
            <v>SALES TO ALLIANCE/OUTSIDE</v>
          </cell>
        </row>
        <row r="2453">
          <cell r="A2453">
            <v>9724718</v>
          </cell>
          <cell r="B2453">
            <v>310802</v>
          </cell>
          <cell r="C2453" t="str">
            <v>SALES TO ALLIANCE/OUTSIDE</v>
          </cell>
        </row>
        <row r="2454">
          <cell r="A2454">
            <v>9724721</v>
          </cell>
          <cell r="B2454">
            <v>310802</v>
          </cell>
          <cell r="C2454" t="str">
            <v>SALES TO ALLIANCE/OUTSIDE</v>
          </cell>
        </row>
        <row r="2455">
          <cell r="A2455">
            <v>9724724</v>
          </cell>
          <cell r="B2455">
            <v>310802</v>
          </cell>
          <cell r="C2455" t="str">
            <v>SALES TO ALLIANCE/OUTSIDE</v>
          </cell>
        </row>
        <row r="2456">
          <cell r="A2456">
            <v>9724726</v>
          </cell>
          <cell r="B2456">
            <v>310802</v>
          </cell>
          <cell r="C2456" t="str">
            <v>SALES TO ALLIANCE/OUTSIDE</v>
          </cell>
        </row>
        <row r="2457">
          <cell r="A2457">
            <v>9725703</v>
          </cell>
          <cell r="B2457">
            <v>310802</v>
          </cell>
          <cell r="C2457" t="str">
            <v>SALES TO ALLIANCE/OUTSIDE</v>
          </cell>
        </row>
        <row r="2458">
          <cell r="A2458">
            <v>9725704</v>
          </cell>
          <cell r="B2458">
            <v>310802</v>
          </cell>
          <cell r="C2458" t="str">
            <v>SALES TO ALLIANCE/OUTSIDE</v>
          </cell>
        </row>
        <row r="2459">
          <cell r="A2459">
            <v>9725711</v>
          </cell>
          <cell r="B2459">
            <v>310802</v>
          </cell>
          <cell r="C2459" t="str">
            <v>SALES TO ALLIANCE/OUTSIDE</v>
          </cell>
        </row>
        <row r="2460">
          <cell r="A2460">
            <v>9725717</v>
          </cell>
          <cell r="B2460">
            <v>310802</v>
          </cell>
          <cell r="C2460" t="str">
            <v>SALES TO ALLIANCE/OUTSIDE</v>
          </cell>
        </row>
        <row r="2461">
          <cell r="A2461">
            <v>9725725</v>
          </cell>
          <cell r="B2461">
            <v>310802</v>
          </cell>
          <cell r="C2461" t="str">
            <v>SALES TO ALLIANCE/OUTSIDE</v>
          </cell>
        </row>
        <row r="2462">
          <cell r="A2462">
            <v>9725711</v>
          </cell>
          <cell r="B2462">
            <v>310889</v>
          </cell>
          <cell r="C2462" t="str">
            <v>AUTOMATIC TELLER MACHINES</v>
          </cell>
        </row>
        <row r="2463">
          <cell r="A2463">
            <v>9080700</v>
          </cell>
          <cell r="B2463">
            <v>311011</v>
          </cell>
          <cell r="C2463" t="str">
            <v>TRANSFERS TO SAFEWAY RETAIL US</v>
          </cell>
        </row>
        <row r="2464">
          <cell r="A2464">
            <v>9080701</v>
          </cell>
          <cell r="B2464">
            <v>311011</v>
          </cell>
          <cell r="C2464" t="str">
            <v>TRANSFERS TO SAFEWAY RETAIL US</v>
          </cell>
        </row>
        <row r="2465">
          <cell r="A2465">
            <v>9080702</v>
          </cell>
          <cell r="B2465">
            <v>311011</v>
          </cell>
          <cell r="C2465" t="str">
            <v>TRANSFERS TO SAFEWAY RETAIL US</v>
          </cell>
        </row>
        <row r="2466">
          <cell r="A2466">
            <v>9080705</v>
          </cell>
          <cell r="B2466">
            <v>311011</v>
          </cell>
          <cell r="C2466" t="str">
            <v>TRANSFERS TO SAFEWAY RETAIL US</v>
          </cell>
        </row>
        <row r="2467">
          <cell r="A2467">
            <v>9080707</v>
          </cell>
          <cell r="B2467">
            <v>311011</v>
          </cell>
          <cell r="C2467" t="str">
            <v>TRANSFERS TO SAFEWAY RETAIL US</v>
          </cell>
        </row>
        <row r="2468">
          <cell r="A2468">
            <v>9080710</v>
          </cell>
          <cell r="B2468">
            <v>311011</v>
          </cell>
          <cell r="C2468" t="str">
            <v>TRANSFERS TO SAFEWAY RETAIL US</v>
          </cell>
        </row>
        <row r="2469">
          <cell r="A2469">
            <v>9090999</v>
          </cell>
          <cell r="B2469">
            <v>311011</v>
          </cell>
          <cell r="C2469" t="str">
            <v>TRANSFERS TO SAFEWAY RETAIL US</v>
          </cell>
        </row>
        <row r="2470">
          <cell r="A2470">
            <v>9100999</v>
          </cell>
          <cell r="B2470">
            <v>311011</v>
          </cell>
          <cell r="C2470" t="str">
            <v>TRANSFERS TO SAFEWAY RETAIL US</v>
          </cell>
        </row>
        <row r="2471">
          <cell r="A2471">
            <v>9110700</v>
          </cell>
          <cell r="B2471">
            <v>311011</v>
          </cell>
          <cell r="C2471" t="str">
            <v>TRANSFERS TO SAFEWAY RETAIL US</v>
          </cell>
        </row>
        <row r="2472">
          <cell r="A2472">
            <v>9110702</v>
          </cell>
          <cell r="B2472">
            <v>311011</v>
          </cell>
          <cell r="C2472" t="str">
            <v>TRANSFERS TO SAFEWAY RETAIL US</v>
          </cell>
        </row>
        <row r="2473">
          <cell r="A2473">
            <v>9110705</v>
          </cell>
          <cell r="B2473">
            <v>311011</v>
          </cell>
          <cell r="C2473" t="str">
            <v>TRANSFERS TO SAFEWAY RETAIL US</v>
          </cell>
        </row>
        <row r="2474">
          <cell r="A2474">
            <v>9110707</v>
          </cell>
          <cell r="B2474">
            <v>311011</v>
          </cell>
          <cell r="C2474" t="str">
            <v>TRANSFERS TO SAFEWAY RETAIL US</v>
          </cell>
        </row>
        <row r="2475">
          <cell r="A2475">
            <v>9680700</v>
          </cell>
          <cell r="B2475">
            <v>311011</v>
          </cell>
          <cell r="C2475" t="str">
            <v>TRANSFERS TO SAFEWAY RETAIL US</v>
          </cell>
        </row>
        <row r="2476">
          <cell r="A2476">
            <v>9680701</v>
          </cell>
          <cell r="B2476">
            <v>311011</v>
          </cell>
          <cell r="C2476" t="str">
            <v>TRANSFERS TO SAFEWAY RETAIL US</v>
          </cell>
        </row>
        <row r="2477">
          <cell r="A2477">
            <v>9680702</v>
          </cell>
          <cell r="B2477">
            <v>311011</v>
          </cell>
          <cell r="C2477" t="str">
            <v>TRANSFERS TO SAFEWAY RETAIL US</v>
          </cell>
        </row>
        <row r="2478">
          <cell r="A2478">
            <v>9680705</v>
          </cell>
          <cell r="B2478">
            <v>311011</v>
          </cell>
          <cell r="C2478" t="str">
            <v>TRANSFERS TO SAFEWAY RETAIL US</v>
          </cell>
        </row>
        <row r="2479">
          <cell r="A2479">
            <v>9680707</v>
          </cell>
          <cell r="B2479">
            <v>311011</v>
          </cell>
          <cell r="C2479" t="str">
            <v>TRANSFERS TO SAFEWAY RETAIL US</v>
          </cell>
        </row>
        <row r="2480">
          <cell r="A2480">
            <v>9680710</v>
          </cell>
          <cell r="B2480">
            <v>311011</v>
          </cell>
          <cell r="C2480" t="str">
            <v>TRANSFERS TO SAFEWAY RETAIL US</v>
          </cell>
        </row>
        <row r="2481">
          <cell r="A2481">
            <v>9680712</v>
          </cell>
          <cell r="B2481">
            <v>311011</v>
          </cell>
          <cell r="C2481" t="str">
            <v>TRANSFERS TO SAFEWAY RETAIL US</v>
          </cell>
        </row>
        <row r="2482">
          <cell r="A2482">
            <v>9680714</v>
          </cell>
          <cell r="B2482">
            <v>311011</v>
          </cell>
          <cell r="C2482" t="str">
            <v>TRANSFERS TO SAFEWAY RETAIL US</v>
          </cell>
        </row>
        <row r="2483">
          <cell r="A2483">
            <v>9680734</v>
          </cell>
          <cell r="B2483">
            <v>311011</v>
          </cell>
          <cell r="C2483" t="str">
            <v>TRANSFERS TO SAFEWAY RETAIL US</v>
          </cell>
        </row>
        <row r="2484">
          <cell r="A2484">
            <v>9680748</v>
          </cell>
          <cell r="B2484">
            <v>311011</v>
          </cell>
          <cell r="C2484" t="str">
            <v>TRANSFERS TO SAFEWAY RETAIL US</v>
          </cell>
        </row>
        <row r="2485">
          <cell r="A2485">
            <v>9680749</v>
          </cell>
          <cell r="B2485">
            <v>311011</v>
          </cell>
          <cell r="C2485" t="str">
            <v>TRANSFERS TO SAFEWAY RETAIL US</v>
          </cell>
        </row>
        <row r="2486">
          <cell r="A2486">
            <v>9680894</v>
          </cell>
          <cell r="B2486">
            <v>311011</v>
          </cell>
          <cell r="C2486" t="str">
            <v>TRANSFERS TO SAFEWAY RETAIL US</v>
          </cell>
        </row>
        <row r="2487">
          <cell r="A2487">
            <v>9680999</v>
          </cell>
          <cell r="B2487">
            <v>311011</v>
          </cell>
          <cell r="C2487" t="str">
            <v>TRANSFERS TO SAFEWAY RETAIL US</v>
          </cell>
        </row>
        <row r="2488">
          <cell r="A2488">
            <v>9681700</v>
          </cell>
          <cell r="B2488">
            <v>311011</v>
          </cell>
          <cell r="C2488" t="str">
            <v>TRANSFERS TO SAFEWAY RETAIL US</v>
          </cell>
        </row>
        <row r="2489">
          <cell r="A2489">
            <v>9681701</v>
          </cell>
          <cell r="B2489">
            <v>311011</v>
          </cell>
          <cell r="C2489" t="str">
            <v>TRANSFERS TO SAFEWAY RETAIL US</v>
          </cell>
        </row>
        <row r="2490">
          <cell r="A2490">
            <v>9681702</v>
          </cell>
          <cell r="B2490">
            <v>311011</v>
          </cell>
          <cell r="C2490" t="str">
            <v>TRANSFERS TO SAFEWAY RETAIL US</v>
          </cell>
        </row>
        <row r="2491">
          <cell r="A2491">
            <v>9681705</v>
          </cell>
          <cell r="B2491">
            <v>311011</v>
          </cell>
          <cell r="C2491" t="str">
            <v>TRANSFERS TO SAFEWAY RETAIL US</v>
          </cell>
        </row>
        <row r="2492">
          <cell r="A2492">
            <v>9681706</v>
          </cell>
          <cell r="B2492">
            <v>311011</v>
          </cell>
          <cell r="C2492" t="str">
            <v>TRANSFERS TO SAFEWAY RETAIL US</v>
          </cell>
        </row>
        <row r="2493">
          <cell r="A2493">
            <v>9681707</v>
          </cell>
          <cell r="B2493">
            <v>311011</v>
          </cell>
          <cell r="C2493" t="str">
            <v>TRANSFERS TO SAFEWAY RETAIL US</v>
          </cell>
        </row>
        <row r="2494">
          <cell r="A2494">
            <v>9681710</v>
          </cell>
          <cell r="B2494">
            <v>311011</v>
          </cell>
          <cell r="C2494" t="str">
            <v>TRANSFERS TO SAFEWAY RETAIL US</v>
          </cell>
        </row>
        <row r="2495">
          <cell r="A2495">
            <v>9681712</v>
          </cell>
          <cell r="B2495">
            <v>311011</v>
          </cell>
          <cell r="C2495" t="str">
            <v>TRANSFERS TO SAFEWAY RETAIL US</v>
          </cell>
        </row>
        <row r="2496">
          <cell r="A2496">
            <v>9681714</v>
          </cell>
          <cell r="B2496">
            <v>311011</v>
          </cell>
          <cell r="C2496" t="str">
            <v>TRANSFERS TO SAFEWAY RETAIL US</v>
          </cell>
        </row>
        <row r="2497">
          <cell r="A2497">
            <v>9681716</v>
          </cell>
          <cell r="B2497">
            <v>311011</v>
          </cell>
          <cell r="C2497" t="str">
            <v>TRANSFERS TO SAFEWAY RETAIL US</v>
          </cell>
        </row>
        <row r="2498">
          <cell r="A2498">
            <v>9681727</v>
          </cell>
          <cell r="B2498">
            <v>311011</v>
          </cell>
          <cell r="C2498" t="str">
            <v>TRANSFERS TO SAFEWAY RETAIL US</v>
          </cell>
        </row>
        <row r="2499">
          <cell r="A2499">
            <v>9681734</v>
          </cell>
          <cell r="B2499">
            <v>311011</v>
          </cell>
          <cell r="C2499" t="str">
            <v>TRANSFERS TO SAFEWAY RETAIL US</v>
          </cell>
        </row>
        <row r="2500">
          <cell r="A2500">
            <v>9681748</v>
          </cell>
          <cell r="B2500">
            <v>311011</v>
          </cell>
          <cell r="C2500" t="str">
            <v>TRANSFERS TO SAFEWAY RETAIL US</v>
          </cell>
        </row>
        <row r="2501">
          <cell r="A2501">
            <v>9681749</v>
          </cell>
          <cell r="B2501">
            <v>311011</v>
          </cell>
          <cell r="C2501" t="str">
            <v>TRANSFERS TO SAFEWAY RETAIL US</v>
          </cell>
        </row>
        <row r="2502">
          <cell r="A2502">
            <v>9681894</v>
          </cell>
          <cell r="B2502">
            <v>311011</v>
          </cell>
          <cell r="C2502" t="str">
            <v>TRANSFERS TO SAFEWAY RETAIL US</v>
          </cell>
        </row>
        <row r="2503">
          <cell r="A2503">
            <v>9681999</v>
          </cell>
          <cell r="B2503">
            <v>311011</v>
          </cell>
          <cell r="C2503" t="str">
            <v>TRANSFERS TO SAFEWAY RETAIL US</v>
          </cell>
        </row>
        <row r="2504">
          <cell r="A2504">
            <v>9682715</v>
          </cell>
          <cell r="B2504">
            <v>311011</v>
          </cell>
          <cell r="C2504" t="str">
            <v>TRANSFERS TO SAFEWAY RETAIL US</v>
          </cell>
        </row>
        <row r="2505">
          <cell r="A2505">
            <v>9682722</v>
          </cell>
          <cell r="B2505">
            <v>311011</v>
          </cell>
          <cell r="C2505" t="str">
            <v>TRANSFERS TO SAFEWAY RETAIL US</v>
          </cell>
        </row>
        <row r="2506">
          <cell r="A2506">
            <v>9682999</v>
          </cell>
          <cell r="B2506">
            <v>311011</v>
          </cell>
          <cell r="C2506" t="str">
            <v>TRANSFERS TO SAFEWAY RETAIL US</v>
          </cell>
        </row>
        <row r="2507">
          <cell r="A2507">
            <v>9683999</v>
          </cell>
          <cell r="B2507">
            <v>311011</v>
          </cell>
          <cell r="C2507" t="str">
            <v>TRANSFERS TO SAFEWAY RETAIL US</v>
          </cell>
        </row>
        <row r="2508">
          <cell r="A2508">
            <v>9684999</v>
          </cell>
          <cell r="B2508">
            <v>311011</v>
          </cell>
          <cell r="C2508" t="str">
            <v>TRANSFERS TO SAFEWAY RETAIL US</v>
          </cell>
        </row>
        <row r="2509">
          <cell r="A2509">
            <v>9685999</v>
          </cell>
          <cell r="B2509">
            <v>311011</v>
          </cell>
          <cell r="C2509" t="str">
            <v>TRANSFERS TO SAFEWAY RETAIL US</v>
          </cell>
        </row>
        <row r="2510">
          <cell r="A2510">
            <v>9689692</v>
          </cell>
          <cell r="B2510">
            <v>311011</v>
          </cell>
          <cell r="C2510" t="str">
            <v>TRANSFERS TO SAFEWAY RETAIL US</v>
          </cell>
        </row>
        <row r="2511">
          <cell r="A2511">
            <v>9689747</v>
          </cell>
          <cell r="B2511">
            <v>311011</v>
          </cell>
          <cell r="C2511" t="str">
            <v>TRANSFERS TO SAFEWAY RETAIL US</v>
          </cell>
        </row>
        <row r="2512">
          <cell r="A2512">
            <v>9689883</v>
          </cell>
          <cell r="B2512">
            <v>311011</v>
          </cell>
          <cell r="C2512" t="str">
            <v>TRANSFERS TO SAFEWAY RETAIL US</v>
          </cell>
        </row>
        <row r="2513">
          <cell r="A2513">
            <v>9689890</v>
          </cell>
          <cell r="B2513">
            <v>311011</v>
          </cell>
          <cell r="C2513" t="str">
            <v>TRANSFERS TO SAFEWAY RETAIL US</v>
          </cell>
        </row>
        <row r="2514">
          <cell r="A2514">
            <v>9689906</v>
          </cell>
          <cell r="B2514">
            <v>311011</v>
          </cell>
          <cell r="C2514" t="str">
            <v>TRANSFERS TO SAFEWAY RETAIL US</v>
          </cell>
        </row>
        <row r="2515">
          <cell r="A2515">
            <v>9689925</v>
          </cell>
          <cell r="B2515">
            <v>311011</v>
          </cell>
          <cell r="C2515" t="str">
            <v>TRANSFERS TO SAFEWAY RETAIL US</v>
          </cell>
        </row>
        <row r="2516">
          <cell r="A2516">
            <v>9689990</v>
          </cell>
          <cell r="B2516">
            <v>311011</v>
          </cell>
          <cell r="C2516" t="str">
            <v>TRANSFERS TO SAFEWAY RETAIL US</v>
          </cell>
        </row>
        <row r="2517">
          <cell r="A2517">
            <v>9689991</v>
          </cell>
          <cell r="B2517">
            <v>311011</v>
          </cell>
          <cell r="C2517" t="str">
            <v>TRANSFERS TO SAFEWAY RETAIL US</v>
          </cell>
        </row>
        <row r="2518">
          <cell r="A2518">
            <v>9689992</v>
          </cell>
          <cell r="B2518">
            <v>311011</v>
          </cell>
          <cell r="C2518" t="str">
            <v>TRANSFERS TO SAFEWAY RETAIL US</v>
          </cell>
        </row>
        <row r="2519">
          <cell r="A2519">
            <v>9689993</v>
          </cell>
          <cell r="B2519">
            <v>311011</v>
          </cell>
          <cell r="C2519" t="str">
            <v>TRANSFERS TO SAFEWAY RETAIL US</v>
          </cell>
        </row>
        <row r="2520">
          <cell r="A2520">
            <v>9689994</v>
          </cell>
          <cell r="B2520">
            <v>311011</v>
          </cell>
          <cell r="C2520" t="str">
            <v>TRANSFERS TO SAFEWAY RETAIL US</v>
          </cell>
        </row>
        <row r="2521">
          <cell r="A2521">
            <v>9720703</v>
          </cell>
          <cell r="B2521">
            <v>311011</v>
          </cell>
          <cell r="C2521" t="str">
            <v>TRANSFERS TO SAFEWAY RETAIL US</v>
          </cell>
        </row>
        <row r="2522">
          <cell r="A2522">
            <v>9720704</v>
          </cell>
          <cell r="B2522">
            <v>311011</v>
          </cell>
          <cell r="C2522" t="str">
            <v>TRANSFERS TO SAFEWAY RETAIL US</v>
          </cell>
        </row>
        <row r="2523">
          <cell r="A2523">
            <v>9720716</v>
          </cell>
          <cell r="B2523">
            <v>311011</v>
          </cell>
          <cell r="C2523" t="str">
            <v>TRANSFERS TO SAFEWAY RETAIL US</v>
          </cell>
        </row>
        <row r="2524">
          <cell r="A2524">
            <v>9722708</v>
          </cell>
          <cell r="B2524">
            <v>311011</v>
          </cell>
          <cell r="C2524" t="str">
            <v>TRANSFERS TO SAFEWAY RETAIL US</v>
          </cell>
        </row>
        <row r="2525">
          <cell r="A2525">
            <v>9722709</v>
          </cell>
          <cell r="B2525">
            <v>311011</v>
          </cell>
          <cell r="C2525" t="str">
            <v>TRANSFERS TO SAFEWAY RETAIL US</v>
          </cell>
        </row>
        <row r="2526">
          <cell r="A2526">
            <v>9722713</v>
          </cell>
          <cell r="B2526">
            <v>311011</v>
          </cell>
          <cell r="C2526" t="str">
            <v>TRANSFERS TO SAFEWAY RETAIL US</v>
          </cell>
        </row>
        <row r="2527">
          <cell r="A2527">
            <v>9723723</v>
          </cell>
          <cell r="B2527">
            <v>311011</v>
          </cell>
          <cell r="C2527" t="str">
            <v>TRANSFERS TO SAFEWAY RETAIL US</v>
          </cell>
        </row>
        <row r="2528">
          <cell r="A2528">
            <v>9723729</v>
          </cell>
          <cell r="B2528">
            <v>311011</v>
          </cell>
          <cell r="C2528" t="str">
            <v>TRANSFERS TO SAFEWAY RETAIL US</v>
          </cell>
        </row>
        <row r="2529">
          <cell r="A2529">
            <v>9724718</v>
          </cell>
          <cell r="B2529">
            <v>311011</v>
          </cell>
          <cell r="C2529" t="str">
            <v>TRANSFERS TO SAFEWAY RETAIL US</v>
          </cell>
        </row>
        <row r="2530">
          <cell r="A2530">
            <v>9724721</v>
          </cell>
          <cell r="B2530">
            <v>311011</v>
          </cell>
          <cell r="C2530" t="str">
            <v>TRANSFERS TO SAFEWAY RETAIL US</v>
          </cell>
        </row>
        <row r="2531">
          <cell r="A2531">
            <v>9724724</v>
          </cell>
          <cell r="B2531">
            <v>311011</v>
          </cell>
          <cell r="C2531" t="str">
            <v>TRANSFERS TO SAFEWAY RETAIL US</v>
          </cell>
        </row>
        <row r="2532">
          <cell r="A2532">
            <v>9724726</v>
          </cell>
          <cell r="B2532">
            <v>311011</v>
          </cell>
          <cell r="C2532" t="str">
            <v>TRANSFERS TO SAFEWAY RETAIL US</v>
          </cell>
        </row>
        <row r="2533">
          <cell r="A2533">
            <v>9725703</v>
          </cell>
          <cell r="B2533">
            <v>311011</v>
          </cell>
          <cell r="C2533" t="str">
            <v>TRANSFERS TO SAFEWAY RETAIL US</v>
          </cell>
        </row>
        <row r="2534">
          <cell r="A2534">
            <v>9725704</v>
          </cell>
          <cell r="B2534">
            <v>311011</v>
          </cell>
          <cell r="C2534" t="str">
            <v>TRANSFERS TO SAFEWAY RETAIL US</v>
          </cell>
        </row>
        <row r="2535">
          <cell r="A2535">
            <v>9725711</v>
          </cell>
          <cell r="B2535">
            <v>311011</v>
          </cell>
          <cell r="C2535" t="str">
            <v>TRANSFERS TO SAFEWAY RETAIL US</v>
          </cell>
        </row>
        <row r="2536">
          <cell r="A2536">
            <v>9725717</v>
          </cell>
          <cell r="B2536">
            <v>311011</v>
          </cell>
          <cell r="C2536" t="str">
            <v>TRANSFERS TO SAFEWAY RETAIL US</v>
          </cell>
        </row>
        <row r="2537">
          <cell r="A2537">
            <v>9725725</v>
          </cell>
          <cell r="B2537">
            <v>311011</v>
          </cell>
          <cell r="C2537" t="str">
            <v>TRANSFERS TO SAFEWAY RETAIL US</v>
          </cell>
        </row>
        <row r="2538">
          <cell r="A2538">
            <v>9080700</v>
          </cell>
          <cell r="B2538">
            <v>312102</v>
          </cell>
          <cell r="C2538" t="str">
            <v>PURCHASES-FINISHED GOODS</v>
          </cell>
        </row>
        <row r="2539">
          <cell r="A2539">
            <v>9080701</v>
          </cell>
          <cell r="B2539">
            <v>312102</v>
          </cell>
          <cell r="C2539" t="str">
            <v>PURCHASES-FINISHED GOODS</v>
          </cell>
        </row>
        <row r="2540">
          <cell r="A2540">
            <v>9080702</v>
          </cell>
          <cell r="B2540">
            <v>312102</v>
          </cell>
          <cell r="C2540" t="str">
            <v>PURCHASES-FINISHED GOODS</v>
          </cell>
        </row>
        <row r="2541">
          <cell r="A2541">
            <v>9080705</v>
          </cell>
          <cell r="B2541">
            <v>312102</v>
          </cell>
          <cell r="C2541" t="str">
            <v>PURCHASES-FINISHED GOODS</v>
          </cell>
        </row>
        <row r="2542">
          <cell r="A2542">
            <v>9080707</v>
          </cell>
          <cell r="B2542">
            <v>312102</v>
          </cell>
          <cell r="C2542" t="str">
            <v>PURCHASES-FINISHED GOODS</v>
          </cell>
        </row>
        <row r="2543">
          <cell r="A2543">
            <v>9080710</v>
          </cell>
          <cell r="B2543">
            <v>312102</v>
          </cell>
          <cell r="C2543" t="str">
            <v>PURCHASES-FINISHED GOODS</v>
          </cell>
        </row>
        <row r="2544">
          <cell r="A2544">
            <v>9090999</v>
          </cell>
          <cell r="B2544">
            <v>312102</v>
          </cell>
          <cell r="C2544" t="str">
            <v>PURCHASES-FINISHED GOODS</v>
          </cell>
        </row>
        <row r="2545">
          <cell r="A2545">
            <v>9100999</v>
          </cell>
          <cell r="B2545">
            <v>312102</v>
          </cell>
          <cell r="C2545" t="str">
            <v>PURCHASES-FINISHED GOODS</v>
          </cell>
        </row>
        <row r="2546">
          <cell r="A2546">
            <v>9110700</v>
          </cell>
          <cell r="B2546">
            <v>312102</v>
          </cell>
          <cell r="C2546" t="str">
            <v>PURCHASES-FINISHED GOODS</v>
          </cell>
        </row>
        <row r="2547">
          <cell r="A2547">
            <v>9110702</v>
          </cell>
          <cell r="B2547">
            <v>312102</v>
          </cell>
          <cell r="C2547" t="str">
            <v>PURCHASES-FINISHED GOODS</v>
          </cell>
        </row>
        <row r="2548">
          <cell r="A2548">
            <v>9110705</v>
          </cell>
          <cell r="B2548">
            <v>312102</v>
          </cell>
          <cell r="C2548" t="str">
            <v>PURCHASES-FINISHED GOODS</v>
          </cell>
        </row>
        <row r="2549">
          <cell r="A2549">
            <v>9110707</v>
          </cell>
          <cell r="B2549">
            <v>312102</v>
          </cell>
          <cell r="C2549" t="str">
            <v>PURCHASES-FINISHED GOODS</v>
          </cell>
        </row>
        <row r="2550">
          <cell r="A2550">
            <v>9680700</v>
          </cell>
          <cell r="B2550">
            <v>312102</v>
          </cell>
          <cell r="C2550" t="str">
            <v>PURCHASES-FINISHED GOODS</v>
          </cell>
        </row>
        <row r="2551">
          <cell r="A2551">
            <v>9680701</v>
          </cell>
          <cell r="B2551">
            <v>312102</v>
          </cell>
          <cell r="C2551" t="str">
            <v>PURCHASES-FINISHED GOODS</v>
          </cell>
        </row>
        <row r="2552">
          <cell r="A2552">
            <v>9680702</v>
          </cell>
          <cell r="B2552">
            <v>312102</v>
          </cell>
          <cell r="C2552" t="str">
            <v>PURCHASES-FINISHED GOODS</v>
          </cell>
        </row>
        <row r="2553">
          <cell r="A2553">
            <v>9680705</v>
          </cell>
          <cell r="B2553">
            <v>312102</v>
          </cell>
          <cell r="C2553" t="str">
            <v>PURCHASES-FINISHED GOODS</v>
          </cell>
        </row>
        <row r="2554">
          <cell r="A2554">
            <v>9680707</v>
          </cell>
          <cell r="B2554">
            <v>312102</v>
          </cell>
          <cell r="C2554" t="str">
            <v>PURCHASES-FINISHED GOODS</v>
          </cell>
        </row>
        <row r="2555">
          <cell r="A2555">
            <v>9680710</v>
          </cell>
          <cell r="B2555">
            <v>312102</v>
          </cell>
          <cell r="C2555" t="str">
            <v>PURCHASES-FINISHED GOODS</v>
          </cell>
        </row>
        <row r="2556">
          <cell r="A2556">
            <v>9680712</v>
          </cell>
          <cell r="B2556">
            <v>312102</v>
          </cell>
          <cell r="C2556" t="str">
            <v>PURCHASES-FINISHED GOODS</v>
          </cell>
        </row>
        <row r="2557">
          <cell r="A2557">
            <v>9680714</v>
          </cell>
          <cell r="B2557">
            <v>312102</v>
          </cell>
          <cell r="C2557" t="str">
            <v>PURCHASES-FINISHED GOODS</v>
          </cell>
        </row>
        <row r="2558">
          <cell r="A2558">
            <v>9680734</v>
          </cell>
          <cell r="B2558">
            <v>312102</v>
          </cell>
          <cell r="C2558" t="str">
            <v>PURCHASES-FINISHED GOODS</v>
          </cell>
        </row>
        <row r="2559">
          <cell r="A2559">
            <v>9680748</v>
          </cell>
          <cell r="B2559">
            <v>312102</v>
          </cell>
          <cell r="C2559" t="str">
            <v>PURCHASES-FINISHED GOODS</v>
          </cell>
        </row>
        <row r="2560">
          <cell r="A2560">
            <v>9680749</v>
          </cell>
          <cell r="B2560">
            <v>312102</v>
          </cell>
          <cell r="C2560" t="str">
            <v>PURCHASES-FINISHED GOODS</v>
          </cell>
        </row>
        <row r="2561">
          <cell r="A2561">
            <v>9680894</v>
          </cell>
          <cell r="B2561">
            <v>312102</v>
          </cell>
          <cell r="C2561" t="str">
            <v>PURCHASES-FINISHED GOODS</v>
          </cell>
        </row>
        <row r="2562">
          <cell r="A2562">
            <v>9680999</v>
          </cell>
          <cell r="B2562">
            <v>312102</v>
          </cell>
          <cell r="C2562" t="str">
            <v>PURCHASES-FINISHED GOODS</v>
          </cell>
        </row>
        <row r="2563">
          <cell r="A2563">
            <v>9681700</v>
          </cell>
          <cell r="B2563">
            <v>312102</v>
          </cell>
          <cell r="C2563" t="str">
            <v>PURCHASES-FINISHED GOODS</v>
          </cell>
        </row>
        <row r="2564">
          <cell r="A2564">
            <v>9681701</v>
          </cell>
          <cell r="B2564">
            <v>312102</v>
          </cell>
          <cell r="C2564" t="str">
            <v>PURCHASES-FINISHED GOODS</v>
          </cell>
        </row>
        <row r="2565">
          <cell r="A2565">
            <v>9681702</v>
          </cell>
          <cell r="B2565">
            <v>312102</v>
          </cell>
          <cell r="C2565" t="str">
            <v>PURCHASES-FINISHED GOODS</v>
          </cell>
        </row>
        <row r="2566">
          <cell r="A2566">
            <v>9681705</v>
          </cell>
          <cell r="B2566">
            <v>312102</v>
          </cell>
          <cell r="C2566" t="str">
            <v>PURCHASES-FINISHED GOODS</v>
          </cell>
        </row>
        <row r="2567">
          <cell r="A2567">
            <v>9681706</v>
          </cell>
          <cell r="B2567">
            <v>312102</v>
          </cell>
          <cell r="C2567" t="str">
            <v>PURCHASES-FINISHED GOODS</v>
          </cell>
        </row>
        <row r="2568">
          <cell r="A2568">
            <v>9681707</v>
          </cell>
          <cell r="B2568">
            <v>312102</v>
          </cell>
          <cell r="C2568" t="str">
            <v>PURCHASES-FINISHED GOODS</v>
          </cell>
        </row>
        <row r="2569">
          <cell r="A2569">
            <v>9681710</v>
          </cell>
          <cell r="B2569">
            <v>312102</v>
          </cell>
          <cell r="C2569" t="str">
            <v>PURCHASES-FINISHED GOODS</v>
          </cell>
        </row>
        <row r="2570">
          <cell r="A2570">
            <v>9681712</v>
          </cell>
          <cell r="B2570">
            <v>312102</v>
          </cell>
          <cell r="C2570" t="str">
            <v>PURCHASES-FINISHED GOODS</v>
          </cell>
        </row>
        <row r="2571">
          <cell r="A2571">
            <v>9681714</v>
          </cell>
          <cell r="B2571">
            <v>312102</v>
          </cell>
          <cell r="C2571" t="str">
            <v>PURCHASES-FINISHED GOODS</v>
          </cell>
        </row>
        <row r="2572">
          <cell r="A2572">
            <v>9681716</v>
          </cell>
          <cell r="B2572">
            <v>312102</v>
          </cell>
          <cell r="C2572" t="str">
            <v>PURCHASES-FINISHED GOODS</v>
          </cell>
        </row>
        <row r="2573">
          <cell r="A2573">
            <v>9681727</v>
          </cell>
          <cell r="B2573">
            <v>312102</v>
          </cell>
          <cell r="C2573" t="str">
            <v>PURCHASES-FINISHED GOODS</v>
          </cell>
        </row>
        <row r="2574">
          <cell r="A2574">
            <v>9681734</v>
          </cell>
          <cell r="B2574">
            <v>312102</v>
          </cell>
          <cell r="C2574" t="str">
            <v>PURCHASES-FINISHED GOODS</v>
          </cell>
        </row>
        <row r="2575">
          <cell r="A2575">
            <v>9681748</v>
          </cell>
          <cell r="B2575">
            <v>312102</v>
          </cell>
          <cell r="C2575" t="str">
            <v>PURCHASES-FINISHED GOODS</v>
          </cell>
        </row>
        <row r="2576">
          <cell r="A2576">
            <v>9681749</v>
          </cell>
          <cell r="B2576">
            <v>312102</v>
          </cell>
          <cell r="C2576" t="str">
            <v>PURCHASES-FINISHED GOODS</v>
          </cell>
        </row>
        <row r="2577">
          <cell r="A2577">
            <v>9681894</v>
          </cell>
          <cell r="B2577">
            <v>312102</v>
          </cell>
          <cell r="C2577" t="str">
            <v>PURCHASES-FINISHED GOODS</v>
          </cell>
        </row>
        <row r="2578">
          <cell r="A2578">
            <v>9681999</v>
          </cell>
          <cell r="B2578">
            <v>312102</v>
          </cell>
          <cell r="C2578" t="str">
            <v>PURCHASES-FINISHED GOODS</v>
          </cell>
        </row>
        <row r="2579">
          <cell r="A2579">
            <v>9682715</v>
          </cell>
          <cell r="B2579">
            <v>312102</v>
          </cell>
          <cell r="C2579" t="str">
            <v>PURCHASES-FINISHED GOODS</v>
          </cell>
        </row>
        <row r="2580">
          <cell r="A2580">
            <v>9682722</v>
          </cell>
          <cell r="B2580">
            <v>312102</v>
          </cell>
          <cell r="C2580" t="str">
            <v>PURCHASES-FINISHED GOODS</v>
          </cell>
        </row>
        <row r="2581">
          <cell r="A2581">
            <v>9682999</v>
          </cell>
          <cell r="B2581">
            <v>312102</v>
          </cell>
          <cell r="C2581" t="str">
            <v>PURCHASES-FINISHED GOODS</v>
          </cell>
        </row>
        <row r="2582">
          <cell r="A2582">
            <v>9683999</v>
          </cell>
          <cell r="B2582">
            <v>312102</v>
          </cell>
          <cell r="C2582" t="str">
            <v>PURCHASES-FINISHED GOODS</v>
          </cell>
        </row>
        <row r="2583">
          <cell r="A2583">
            <v>9684999</v>
          </cell>
          <cell r="B2583">
            <v>312102</v>
          </cell>
          <cell r="C2583" t="str">
            <v>PURCHASES-FINISHED GOODS</v>
          </cell>
        </row>
        <row r="2584">
          <cell r="A2584">
            <v>9685999</v>
          </cell>
          <cell r="B2584">
            <v>312102</v>
          </cell>
          <cell r="C2584" t="str">
            <v>PURCHASES-FINISHED GOODS</v>
          </cell>
        </row>
        <row r="2585">
          <cell r="A2585">
            <v>9689692</v>
          </cell>
          <cell r="B2585">
            <v>312102</v>
          </cell>
          <cell r="C2585" t="str">
            <v>PURCHASES-FINISHED GOODS</v>
          </cell>
        </row>
        <row r="2586">
          <cell r="A2586">
            <v>9689747</v>
          </cell>
          <cell r="B2586">
            <v>312102</v>
          </cell>
          <cell r="C2586" t="str">
            <v>PURCHASES-FINISHED GOODS</v>
          </cell>
        </row>
        <row r="2587">
          <cell r="A2587">
            <v>9689883</v>
          </cell>
          <cell r="B2587">
            <v>312102</v>
          </cell>
          <cell r="C2587" t="str">
            <v>PURCHASES-FINISHED GOODS</v>
          </cell>
        </row>
        <row r="2588">
          <cell r="A2588">
            <v>9689890</v>
          </cell>
          <cell r="B2588">
            <v>312102</v>
          </cell>
          <cell r="C2588" t="str">
            <v>PURCHASES-FINISHED GOODS</v>
          </cell>
        </row>
        <row r="2589">
          <cell r="A2589">
            <v>9689906</v>
          </cell>
          <cell r="B2589">
            <v>312102</v>
          </cell>
          <cell r="C2589" t="str">
            <v>PURCHASES-FINISHED GOODS</v>
          </cell>
        </row>
        <row r="2590">
          <cell r="A2590">
            <v>9689925</v>
          </cell>
          <cell r="B2590">
            <v>312102</v>
          </cell>
          <cell r="C2590" t="str">
            <v>PURCHASES-FINISHED GOODS</v>
          </cell>
        </row>
        <row r="2591">
          <cell r="A2591">
            <v>9689990</v>
          </cell>
          <cell r="B2591">
            <v>312102</v>
          </cell>
          <cell r="C2591" t="str">
            <v>PURCHASES-FINISHED GOODS</v>
          </cell>
        </row>
        <row r="2592">
          <cell r="A2592">
            <v>9689991</v>
          </cell>
          <cell r="B2592">
            <v>312102</v>
          </cell>
          <cell r="C2592" t="str">
            <v>PURCHASES-FINISHED GOODS</v>
          </cell>
        </row>
        <row r="2593">
          <cell r="A2593">
            <v>9689992</v>
          </cell>
          <cell r="B2593">
            <v>312102</v>
          </cell>
          <cell r="C2593" t="str">
            <v>PURCHASES-FINISHED GOODS</v>
          </cell>
        </row>
        <row r="2594">
          <cell r="A2594">
            <v>9689993</v>
          </cell>
          <cell r="B2594">
            <v>312102</v>
          </cell>
          <cell r="C2594" t="str">
            <v>PURCHASES-FINISHED GOODS</v>
          </cell>
        </row>
        <row r="2595">
          <cell r="A2595">
            <v>9689994</v>
          </cell>
          <cell r="B2595">
            <v>312102</v>
          </cell>
          <cell r="C2595" t="str">
            <v>PURCHASES-FINISHED GOODS</v>
          </cell>
        </row>
        <row r="2596">
          <cell r="A2596">
            <v>9720703</v>
          </cell>
          <cell r="B2596">
            <v>312102</v>
          </cell>
          <cell r="C2596" t="str">
            <v>PURCHASES-FINISHED GOODS</v>
          </cell>
        </row>
        <row r="2597">
          <cell r="A2597">
            <v>9720704</v>
          </cell>
          <cell r="B2597">
            <v>312102</v>
          </cell>
          <cell r="C2597" t="str">
            <v>PURCHASES-FINISHED GOODS</v>
          </cell>
        </row>
        <row r="2598">
          <cell r="A2598">
            <v>9720716</v>
          </cell>
          <cell r="B2598">
            <v>312102</v>
          </cell>
          <cell r="C2598" t="str">
            <v>PURCHASES-FINISHED GOODS</v>
          </cell>
        </row>
        <row r="2599">
          <cell r="A2599">
            <v>9722708</v>
          </cell>
          <cell r="B2599">
            <v>312102</v>
          </cell>
          <cell r="C2599" t="str">
            <v>PURCHASES-FINISHED GOODS</v>
          </cell>
        </row>
        <row r="2600">
          <cell r="A2600">
            <v>9722709</v>
          </cell>
          <cell r="B2600">
            <v>312102</v>
          </cell>
          <cell r="C2600" t="str">
            <v>PURCHASES-FINISHED GOODS</v>
          </cell>
        </row>
        <row r="2601">
          <cell r="A2601">
            <v>9722713</v>
          </cell>
          <cell r="B2601">
            <v>312102</v>
          </cell>
          <cell r="C2601" t="str">
            <v>PURCHASES-FINISHED GOODS</v>
          </cell>
        </row>
        <row r="2602">
          <cell r="A2602">
            <v>9723723</v>
          </cell>
          <cell r="B2602">
            <v>312102</v>
          </cell>
          <cell r="C2602" t="str">
            <v>PURCHASES-FINISHED GOODS</v>
          </cell>
        </row>
        <row r="2603">
          <cell r="A2603">
            <v>9723729</v>
          </cell>
          <cell r="B2603">
            <v>312102</v>
          </cell>
          <cell r="C2603" t="str">
            <v>PURCHASES-FINISHED GOODS</v>
          </cell>
        </row>
        <row r="2604">
          <cell r="A2604">
            <v>9724718</v>
          </cell>
          <cell r="B2604">
            <v>312102</v>
          </cell>
          <cell r="C2604" t="str">
            <v>PURCHASES-FINISHED GOODS</v>
          </cell>
        </row>
        <row r="2605">
          <cell r="A2605">
            <v>9724721</v>
          </cell>
          <cell r="B2605">
            <v>312102</v>
          </cell>
          <cell r="C2605" t="str">
            <v>PURCHASES-FINISHED GOODS</v>
          </cell>
        </row>
        <row r="2606">
          <cell r="A2606">
            <v>9724724</v>
          </cell>
          <cell r="B2606">
            <v>312102</v>
          </cell>
          <cell r="C2606" t="str">
            <v>PURCHASES-FINISHED GOODS</v>
          </cell>
        </row>
        <row r="2607">
          <cell r="A2607">
            <v>9724726</v>
          </cell>
          <cell r="B2607">
            <v>312102</v>
          </cell>
          <cell r="C2607" t="str">
            <v>PURCHASES-FINISHED GOODS</v>
          </cell>
        </row>
        <row r="2608">
          <cell r="A2608">
            <v>9725703</v>
          </cell>
          <cell r="B2608">
            <v>312102</v>
          </cell>
          <cell r="C2608" t="str">
            <v>PURCHASES-FINISHED GOODS</v>
          </cell>
        </row>
        <row r="2609">
          <cell r="A2609">
            <v>9725704</v>
          </cell>
          <cell r="B2609">
            <v>312102</v>
          </cell>
          <cell r="C2609" t="str">
            <v>PURCHASES-FINISHED GOODS</v>
          </cell>
        </row>
        <row r="2610">
          <cell r="A2610">
            <v>9725711</v>
          </cell>
          <cell r="B2610">
            <v>312102</v>
          </cell>
          <cell r="C2610" t="str">
            <v>PURCHASES-FINISHED GOODS</v>
          </cell>
        </row>
        <row r="2611">
          <cell r="A2611">
            <v>9725717</v>
          </cell>
          <cell r="B2611">
            <v>312102</v>
          </cell>
          <cell r="C2611" t="str">
            <v>PURCHASES-FINISHED GOODS</v>
          </cell>
        </row>
        <row r="2612">
          <cell r="A2612">
            <v>9725725</v>
          </cell>
          <cell r="B2612">
            <v>312102</v>
          </cell>
          <cell r="C2612" t="str">
            <v>PURCHASES-FINISHED GOODS</v>
          </cell>
        </row>
        <row r="2613">
          <cell r="A2613">
            <v>9080700</v>
          </cell>
          <cell r="B2613">
            <v>312114</v>
          </cell>
          <cell r="C2613" t="str">
            <v>STORE ALLOWANCES NOT IN COST</v>
          </cell>
        </row>
        <row r="2614">
          <cell r="A2614">
            <v>9080701</v>
          </cell>
          <cell r="B2614">
            <v>312114</v>
          </cell>
          <cell r="C2614" t="str">
            <v>STORE ALLOWANCES NOT IN COST</v>
          </cell>
        </row>
        <row r="2615">
          <cell r="A2615">
            <v>9080702</v>
          </cell>
          <cell r="B2615">
            <v>312114</v>
          </cell>
          <cell r="C2615" t="str">
            <v>STORE ALLOWANCES NOT IN COST</v>
          </cell>
        </row>
        <row r="2616">
          <cell r="A2616">
            <v>9080705</v>
          </cell>
          <cell r="B2616">
            <v>312114</v>
          </cell>
          <cell r="C2616" t="str">
            <v>STORE ALLOWANCES NOT IN COST</v>
          </cell>
        </row>
        <row r="2617">
          <cell r="A2617">
            <v>9080707</v>
          </cell>
          <cell r="B2617">
            <v>312114</v>
          </cell>
          <cell r="C2617" t="str">
            <v>STORE ALLOWANCES NOT IN COST</v>
          </cell>
        </row>
        <row r="2618">
          <cell r="A2618">
            <v>9080710</v>
          </cell>
          <cell r="B2618">
            <v>312114</v>
          </cell>
          <cell r="C2618" t="str">
            <v>STORE ALLOWANCES NOT IN COST</v>
          </cell>
        </row>
        <row r="2619">
          <cell r="A2619">
            <v>9090999</v>
          </cell>
          <cell r="B2619">
            <v>312114</v>
          </cell>
          <cell r="C2619" t="str">
            <v>STORE ALLOWANCES NOT IN COST</v>
          </cell>
        </row>
        <row r="2620">
          <cell r="A2620">
            <v>9100999</v>
          </cell>
          <cell r="B2620">
            <v>312114</v>
          </cell>
          <cell r="C2620" t="str">
            <v>STORE ALLOWANCES NOT IN COST</v>
          </cell>
        </row>
        <row r="2621">
          <cell r="A2621">
            <v>9110700</v>
          </cell>
          <cell r="B2621">
            <v>312114</v>
          </cell>
          <cell r="C2621" t="str">
            <v>STORE ALLOWANCES NOT IN COST</v>
          </cell>
        </row>
        <row r="2622">
          <cell r="A2622">
            <v>9110702</v>
          </cell>
          <cell r="B2622">
            <v>312114</v>
          </cell>
          <cell r="C2622" t="str">
            <v>STORE ALLOWANCES NOT IN COST</v>
          </cell>
        </row>
        <row r="2623">
          <cell r="A2623">
            <v>9110705</v>
          </cell>
          <cell r="B2623">
            <v>312114</v>
          </cell>
          <cell r="C2623" t="str">
            <v>STORE ALLOWANCES NOT IN COST</v>
          </cell>
        </row>
        <row r="2624">
          <cell r="A2624">
            <v>9110707</v>
          </cell>
          <cell r="B2624">
            <v>312114</v>
          </cell>
          <cell r="C2624" t="str">
            <v>STORE ALLOWANCES NOT IN COST</v>
          </cell>
        </row>
        <row r="2625">
          <cell r="A2625">
            <v>9680700</v>
          </cell>
          <cell r="B2625">
            <v>312114</v>
          </cell>
          <cell r="C2625" t="str">
            <v>STORE ALLOWANCES NOT IN COST</v>
          </cell>
        </row>
        <row r="2626">
          <cell r="A2626">
            <v>9680701</v>
          </cell>
          <cell r="B2626">
            <v>312114</v>
          </cell>
          <cell r="C2626" t="str">
            <v>STORE ALLOWANCES NOT IN COST</v>
          </cell>
        </row>
        <row r="2627">
          <cell r="A2627">
            <v>9680702</v>
          </cell>
          <cell r="B2627">
            <v>312114</v>
          </cell>
          <cell r="C2627" t="str">
            <v>STORE ALLOWANCES NOT IN COST</v>
          </cell>
        </row>
        <row r="2628">
          <cell r="A2628">
            <v>9680705</v>
          </cell>
          <cell r="B2628">
            <v>312114</v>
          </cell>
          <cell r="C2628" t="str">
            <v>STORE ALLOWANCES NOT IN COST</v>
          </cell>
        </row>
        <row r="2629">
          <cell r="A2629">
            <v>9680707</v>
          </cell>
          <cell r="B2629">
            <v>312114</v>
          </cell>
          <cell r="C2629" t="str">
            <v>STORE ALLOWANCES NOT IN COST</v>
          </cell>
        </row>
        <row r="2630">
          <cell r="A2630">
            <v>9680710</v>
          </cell>
          <cell r="B2630">
            <v>312114</v>
          </cell>
          <cell r="C2630" t="str">
            <v>STORE ALLOWANCES NOT IN COST</v>
          </cell>
        </row>
        <row r="2631">
          <cell r="A2631">
            <v>9680712</v>
          </cell>
          <cell r="B2631">
            <v>312114</v>
          </cell>
          <cell r="C2631" t="str">
            <v>STORE ALLOWANCES NOT IN COST</v>
          </cell>
        </row>
        <row r="2632">
          <cell r="A2632">
            <v>9680714</v>
          </cell>
          <cell r="B2632">
            <v>312114</v>
          </cell>
          <cell r="C2632" t="str">
            <v>STORE ALLOWANCES NOT IN COST</v>
          </cell>
        </row>
        <row r="2633">
          <cell r="A2633">
            <v>9680734</v>
          </cell>
          <cell r="B2633">
            <v>312114</v>
          </cell>
          <cell r="C2633" t="str">
            <v>STORE ALLOWANCES NOT IN COST</v>
          </cell>
        </row>
        <row r="2634">
          <cell r="A2634">
            <v>9680748</v>
          </cell>
          <cell r="B2634">
            <v>312114</v>
          </cell>
          <cell r="C2634" t="str">
            <v>STORE ALLOWANCES NOT IN COST</v>
          </cell>
        </row>
        <row r="2635">
          <cell r="A2635">
            <v>9680749</v>
          </cell>
          <cell r="B2635">
            <v>312114</v>
          </cell>
          <cell r="C2635" t="str">
            <v>STORE ALLOWANCES NOT IN COST</v>
          </cell>
        </row>
        <row r="2636">
          <cell r="A2636">
            <v>9680894</v>
          </cell>
          <cell r="B2636">
            <v>312114</v>
          </cell>
          <cell r="C2636" t="str">
            <v>STORE ALLOWANCES NOT IN COST</v>
          </cell>
        </row>
        <row r="2637">
          <cell r="A2637">
            <v>9680999</v>
          </cell>
          <cell r="B2637">
            <v>312114</v>
          </cell>
          <cell r="C2637" t="str">
            <v>STORE ALLOWANCES NOT IN COST</v>
          </cell>
        </row>
        <row r="2638">
          <cell r="A2638">
            <v>9681700</v>
          </cell>
          <cell r="B2638">
            <v>312114</v>
          </cell>
          <cell r="C2638" t="str">
            <v>STORE ALLOWANCES NOT IN COST</v>
          </cell>
        </row>
        <row r="2639">
          <cell r="A2639">
            <v>9681701</v>
          </cell>
          <cell r="B2639">
            <v>312114</v>
          </cell>
          <cell r="C2639" t="str">
            <v>STORE ALLOWANCES NOT IN COST</v>
          </cell>
        </row>
        <row r="2640">
          <cell r="A2640">
            <v>9681702</v>
          </cell>
          <cell r="B2640">
            <v>312114</v>
          </cell>
          <cell r="C2640" t="str">
            <v>STORE ALLOWANCES NOT IN COST</v>
          </cell>
        </row>
        <row r="2641">
          <cell r="A2641">
            <v>9681705</v>
          </cell>
          <cell r="B2641">
            <v>312114</v>
          </cell>
          <cell r="C2641" t="str">
            <v>STORE ALLOWANCES NOT IN COST</v>
          </cell>
        </row>
        <row r="2642">
          <cell r="A2642">
            <v>9681706</v>
          </cell>
          <cell r="B2642">
            <v>312114</v>
          </cell>
          <cell r="C2642" t="str">
            <v>STORE ALLOWANCES NOT IN COST</v>
          </cell>
        </row>
        <row r="2643">
          <cell r="A2643">
            <v>9681707</v>
          </cell>
          <cell r="B2643">
            <v>312114</v>
          </cell>
          <cell r="C2643" t="str">
            <v>STORE ALLOWANCES NOT IN COST</v>
          </cell>
        </row>
        <row r="2644">
          <cell r="A2644">
            <v>9681710</v>
          </cell>
          <cell r="B2644">
            <v>312114</v>
          </cell>
          <cell r="C2644" t="str">
            <v>STORE ALLOWANCES NOT IN COST</v>
          </cell>
        </row>
        <row r="2645">
          <cell r="A2645">
            <v>9681712</v>
          </cell>
          <cell r="B2645">
            <v>312114</v>
          </cell>
          <cell r="C2645" t="str">
            <v>STORE ALLOWANCES NOT IN COST</v>
          </cell>
        </row>
        <row r="2646">
          <cell r="A2646">
            <v>9681714</v>
          </cell>
          <cell r="B2646">
            <v>312114</v>
          </cell>
          <cell r="C2646" t="str">
            <v>STORE ALLOWANCES NOT IN COST</v>
          </cell>
        </row>
        <row r="2647">
          <cell r="A2647">
            <v>9681716</v>
          </cell>
          <cell r="B2647">
            <v>312114</v>
          </cell>
          <cell r="C2647" t="str">
            <v>STORE ALLOWANCES NOT IN COST</v>
          </cell>
        </row>
        <row r="2648">
          <cell r="A2648">
            <v>9681727</v>
          </cell>
          <cell r="B2648">
            <v>312114</v>
          </cell>
          <cell r="C2648" t="str">
            <v>STORE ALLOWANCES NOT IN COST</v>
          </cell>
        </row>
        <row r="2649">
          <cell r="A2649">
            <v>9681734</v>
          </cell>
          <cell r="B2649">
            <v>312114</v>
          </cell>
          <cell r="C2649" t="str">
            <v>STORE ALLOWANCES NOT IN COST</v>
          </cell>
        </row>
        <row r="2650">
          <cell r="A2650">
            <v>9681748</v>
          </cell>
          <cell r="B2650">
            <v>312114</v>
          </cell>
          <cell r="C2650" t="str">
            <v>STORE ALLOWANCES NOT IN COST</v>
          </cell>
        </row>
        <row r="2651">
          <cell r="A2651">
            <v>9681749</v>
          </cell>
          <cell r="B2651">
            <v>312114</v>
          </cell>
          <cell r="C2651" t="str">
            <v>STORE ALLOWANCES NOT IN COST</v>
          </cell>
        </row>
        <row r="2652">
          <cell r="A2652">
            <v>9681894</v>
          </cell>
          <cell r="B2652">
            <v>312114</v>
          </cell>
          <cell r="C2652" t="str">
            <v>STORE ALLOWANCES NOT IN COST</v>
          </cell>
        </row>
        <row r="2653">
          <cell r="A2653">
            <v>9681999</v>
          </cell>
          <cell r="B2653">
            <v>312114</v>
          </cell>
          <cell r="C2653" t="str">
            <v>STORE ALLOWANCES NOT IN COST</v>
          </cell>
        </row>
        <row r="2654">
          <cell r="A2654">
            <v>9682715</v>
          </cell>
          <cell r="B2654">
            <v>312114</v>
          </cell>
          <cell r="C2654" t="str">
            <v>STORE ALLOWANCES NOT IN COST</v>
          </cell>
        </row>
        <row r="2655">
          <cell r="A2655">
            <v>9682722</v>
          </cell>
          <cell r="B2655">
            <v>312114</v>
          </cell>
          <cell r="C2655" t="str">
            <v>STORE ALLOWANCES NOT IN COST</v>
          </cell>
        </row>
        <row r="2656">
          <cell r="A2656">
            <v>9682999</v>
          </cell>
          <cell r="B2656">
            <v>312114</v>
          </cell>
          <cell r="C2656" t="str">
            <v>STORE ALLOWANCES NOT IN COST</v>
          </cell>
        </row>
        <row r="2657">
          <cell r="A2657">
            <v>9683999</v>
          </cell>
          <cell r="B2657">
            <v>312114</v>
          </cell>
          <cell r="C2657" t="str">
            <v>STORE ALLOWANCES NOT IN COST</v>
          </cell>
        </row>
        <row r="2658">
          <cell r="A2658">
            <v>9684999</v>
          </cell>
          <cell r="B2658">
            <v>312114</v>
          </cell>
          <cell r="C2658" t="str">
            <v>STORE ALLOWANCES NOT IN COST</v>
          </cell>
        </row>
        <row r="2659">
          <cell r="A2659">
            <v>9685999</v>
          </cell>
          <cell r="B2659">
            <v>312114</v>
          </cell>
          <cell r="C2659" t="str">
            <v>STORE ALLOWANCES NOT IN COST</v>
          </cell>
        </row>
        <row r="2660">
          <cell r="A2660">
            <v>9689692</v>
          </cell>
          <cell r="B2660">
            <v>312114</v>
          </cell>
          <cell r="C2660" t="str">
            <v>STORE ALLOWANCES NOT IN COST</v>
          </cell>
        </row>
        <row r="2661">
          <cell r="A2661">
            <v>9689747</v>
          </cell>
          <cell r="B2661">
            <v>312114</v>
          </cell>
          <cell r="C2661" t="str">
            <v>STORE ALLOWANCES NOT IN COST</v>
          </cell>
        </row>
        <row r="2662">
          <cell r="A2662">
            <v>9689883</v>
          </cell>
          <cell r="B2662">
            <v>312114</v>
          </cell>
          <cell r="C2662" t="str">
            <v>STORE ALLOWANCES NOT IN COST</v>
          </cell>
        </row>
        <row r="2663">
          <cell r="A2663">
            <v>9689890</v>
          </cell>
          <cell r="B2663">
            <v>312114</v>
          </cell>
          <cell r="C2663" t="str">
            <v>STORE ALLOWANCES NOT IN COST</v>
          </cell>
        </row>
        <row r="2664">
          <cell r="A2664">
            <v>9689906</v>
          </cell>
          <cell r="B2664">
            <v>312114</v>
          </cell>
          <cell r="C2664" t="str">
            <v>STORE ALLOWANCES NOT IN COST</v>
          </cell>
        </row>
        <row r="2665">
          <cell r="A2665">
            <v>9689925</v>
          </cell>
          <cell r="B2665">
            <v>312114</v>
          </cell>
          <cell r="C2665" t="str">
            <v>STORE ALLOWANCES NOT IN COST</v>
          </cell>
        </row>
        <row r="2666">
          <cell r="A2666">
            <v>9689990</v>
          </cell>
          <cell r="B2666">
            <v>312114</v>
          </cell>
          <cell r="C2666" t="str">
            <v>STORE ALLOWANCES NOT IN COST</v>
          </cell>
        </row>
        <row r="2667">
          <cell r="A2667">
            <v>9689991</v>
          </cell>
          <cell r="B2667">
            <v>312114</v>
          </cell>
          <cell r="C2667" t="str">
            <v>STORE ALLOWANCES NOT IN COST</v>
          </cell>
        </row>
        <row r="2668">
          <cell r="A2668">
            <v>9689992</v>
          </cell>
          <cell r="B2668">
            <v>312114</v>
          </cell>
          <cell r="C2668" t="str">
            <v>STORE ALLOWANCES NOT IN COST</v>
          </cell>
        </row>
        <row r="2669">
          <cell r="A2669">
            <v>9689993</v>
          </cell>
          <cell r="B2669">
            <v>312114</v>
          </cell>
          <cell r="C2669" t="str">
            <v>STORE ALLOWANCES NOT IN COST</v>
          </cell>
        </row>
        <row r="2670">
          <cell r="A2670">
            <v>9689994</v>
          </cell>
          <cell r="B2670">
            <v>312114</v>
          </cell>
          <cell r="C2670" t="str">
            <v>STORE ALLOWANCES NOT IN COST</v>
          </cell>
        </row>
        <row r="2671">
          <cell r="A2671">
            <v>9720703</v>
          </cell>
          <cell r="B2671">
            <v>312114</v>
          </cell>
          <cell r="C2671" t="str">
            <v>STORE ALLOWANCES NOT IN COST</v>
          </cell>
        </row>
        <row r="2672">
          <cell r="A2672">
            <v>9720704</v>
          </cell>
          <cell r="B2672">
            <v>312114</v>
          </cell>
          <cell r="C2672" t="str">
            <v>STORE ALLOWANCES NOT IN COST</v>
          </cell>
        </row>
        <row r="2673">
          <cell r="A2673">
            <v>9720716</v>
          </cell>
          <cell r="B2673">
            <v>312114</v>
          </cell>
          <cell r="C2673" t="str">
            <v>STORE ALLOWANCES NOT IN COST</v>
          </cell>
        </row>
        <row r="2674">
          <cell r="A2674">
            <v>9722708</v>
          </cell>
          <cell r="B2674">
            <v>312114</v>
          </cell>
          <cell r="C2674" t="str">
            <v>STORE ALLOWANCES NOT IN COST</v>
          </cell>
        </row>
        <row r="2675">
          <cell r="A2675">
            <v>9722709</v>
          </cell>
          <cell r="B2675">
            <v>312114</v>
          </cell>
          <cell r="C2675" t="str">
            <v>STORE ALLOWANCES NOT IN COST</v>
          </cell>
        </row>
        <row r="2676">
          <cell r="A2676">
            <v>9722713</v>
          </cell>
          <cell r="B2676">
            <v>312114</v>
          </cell>
          <cell r="C2676" t="str">
            <v>STORE ALLOWANCES NOT IN COST</v>
          </cell>
        </row>
        <row r="2677">
          <cell r="A2677">
            <v>9723723</v>
          </cell>
          <cell r="B2677">
            <v>312114</v>
          </cell>
          <cell r="C2677" t="str">
            <v>STORE ALLOWANCES NOT IN COST</v>
          </cell>
        </row>
        <row r="2678">
          <cell r="A2678">
            <v>9723729</v>
          </cell>
          <cell r="B2678">
            <v>312114</v>
          </cell>
          <cell r="C2678" t="str">
            <v>STORE ALLOWANCES NOT IN COST</v>
          </cell>
        </row>
        <row r="2679">
          <cell r="A2679">
            <v>9724718</v>
          </cell>
          <cell r="B2679">
            <v>312114</v>
          </cell>
          <cell r="C2679" t="str">
            <v>STORE ALLOWANCES NOT IN COST</v>
          </cell>
        </row>
        <row r="2680">
          <cell r="A2680">
            <v>9724721</v>
          </cell>
          <cell r="B2680">
            <v>312114</v>
          </cell>
          <cell r="C2680" t="str">
            <v>STORE ALLOWANCES NOT IN COST</v>
          </cell>
        </row>
        <row r="2681">
          <cell r="A2681">
            <v>9724724</v>
          </cell>
          <cell r="B2681">
            <v>312114</v>
          </cell>
          <cell r="C2681" t="str">
            <v>STORE ALLOWANCES NOT IN COST</v>
          </cell>
        </row>
        <row r="2682">
          <cell r="A2682">
            <v>9724726</v>
          </cell>
          <cell r="B2682">
            <v>312114</v>
          </cell>
          <cell r="C2682" t="str">
            <v>STORE ALLOWANCES NOT IN COST</v>
          </cell>
        </row>
        <row r="2683">
          <cell r="A2683">
            <v>9725703</v>
          </cell>
          <cell r="B2683">
            <v>312114</v>
          </cell>
          <cell r="C2683" t="str">
            <v>STORE ALLOWANCES NOT IN COST</v>
          </cell>
        </row>
        <row r="2684">
          <cell r="A2684">
            <v>9725704</v>
          </cell>
          <cell r="B2684">
            <v>312114</v>
          </cell>
          <cell r="C2684" t="str">
            <v>STORE ALLOWANCES NOT IN COST</v>
          </cell>
        </row>
        <row r="2685">
          <cell r="A2685">
            <v>9725711</v>
          </cell>
          <cell r="B2685">
            <v>312114</v>
          </cell>
          <cell r="C2685" t="str">
            <v>STORE ALLOWANCES NOT IN COST</v>
          </cell>
        </row>
        <row r="2686">
          <cell r="A2686">
            <v>9725717</v>
          </cell>
          <cell r="B2686">
            <v>312114</v>
          </cell>
          <cell r="C2686" t="str">
            <v>STORE ALLOWANCES NOT IN COST</v>
          </cell>
        </row>
        <row r="2687">
          <cell r="A2687">
            <v>9725725</v>
          </cell>
          <cell r="B2687">
            <v>312114</v>
          </cell>
          <cell r="C2687" t="str">
            <v>STORE ALLOWANCES NOT IN COST</v>
          </cell>
        </row>
        <row r="2688">
          <cell r="A2688">
            <v>9080700</v>
          </cell>
          <cell r="B2688">
            <v>312124</v>
          </cell>
          <cell r="C2688" t="str">
            <v>FREIGHT CHARGES PAID</v>
          </cell>
        </row>
        <row r="2689">
          <cell r="A2689">
            <v>9080701</v>
          </cell>
          <cell r="B2689">
            <v>312124</v>
          </cell>
          <cell r="C2689" t="str">
            <v>FREIGHT CHARGES PAID</v>
          </cell>
        </row>
        <row r="2690">
          <cell r="A2690">
            <v>9080702</v>
          </cell>
          <cell r="B2690">
            <v>312124</v>
          </cell>
          <cell r="C2690" t="str">
            <v>FREIGHT CHARGES PAID</v>
          </cell>
        </row>
        <row r="2691">
          <cell r="A2691">
            <v>9080705</v>
          </cell>
          <cell r="B2691">
            <v>312124</v>
          </cell>
          <cell r="C2691" t="str">
            <v>FREIGHT CHARGES PAID</v>
          </cell>
        </row>
        <row r="2692">
          <cell r="A2692">
            <v>9080707</v>
          </cell>
          <cell r="B2692">
            <v>312124</v>
          </cell>
          <cell r="C2692" t="str">
            <v>FREIGHT CHARGES PAID</v>
          </cell>
        </row>
        <row r="2693">
          <cell r="A2693">
            <v>9080710</v>
          </cell>
          <cell r="B2693">
            <v>312124</v>
          </cell>
          <cell r="C2693" t="str">
            <v>FREIGHT CHARGES PAID</v>
          </cell>
        </row>
        <row r="2694">
          <cell r="A2694">
            <v>9090999</v>
          </cell>
          <cell r="B2694">
            <v>312124</v>
          </cell>
          <cell r="C2694" t="str">
            <v>FREIGHT CHARGES PAID</v>
          </cell>
        </row>
        <row r="2695">
          <cell r="A2695">
            <v>9100999</v>
          </cell>
          <cell r="B2695">
            <v>312124</v>
          </cell>
          <cell r="C2695" t="str">
            <v>FREIGHT CHARGES PAID</v>
          </cell>
        </row>
        <row r="2696">
          <cell r="A2696">
            <v>9110700</v>
          </cell>
          <cell r="B2696">
            <v>312124</v>
          </cell>
          <cell r="C2696" t="str">
            <v>FREIGHT CHARGES PAID</v>
          </cell>
        </row>
        <row r="2697">
          <cell r="A2697">
            <v>9110702</v>
          </cell>
          <cell r="B2697">
            <v>312124</v>
          </cell>
          <cell r="C2697" t="str">
            <v>FREIGHT CHARGES PAID</v>
          </cell>
        </row>
        <row r="2698">
          <cell r="A2698">
            <v>9110705</v>
          </cell>
          <cell r="B2698">
            <v>312124</v>
          </cell>
          <cell r="C2698" t="str">
            <v>FREIGHT CHARGES PAID</v>
          </cell>
        </row>
        <row r="2699">
          <cell r="A2699">
            <v>9110707</v>
          </cell>
          <cell r="B2699">
            <v>312124</v>
          </cell>
          <cell r="C2699" t="str">
            <v>FREIGHT CHARGES PAID</v>
          </cell>
        </row>
        <row r="2700">
          <cell r="A2700">
            <v>9680700</v>
          </cell>
          <cell r="B2700">
            <v>312124</v>
          </cell>
          <cell r="C2700" t="str">
            <v>FREIGHT CHARGES PAID</v>
          </cell>
        </row>
        <row r="2701">
          <cell r="A2701">
            <v>9680701</v>
          </cell>
          <cell r="B2701">
            <v>312124</v>
          </cell>
          <cell r="C2701" t="str">
            <v>FREIGHT CHARGES PAID</v>
          </cell>
        </row>
        <row r="2702">
          <cell r="A2702">
            <v>9680702</v>
          </cell>
          <cell r="B2702">
            <v>312124</v>
          </cell>
          <cell r="C2702" t="str">
            <v>FREIGHT CHARGES PAID</v>
          </cell>
        </row>
        <row r="2703">
          <cell r="A2703">
            <v>9680705</v>
          </cell>
          <cell r="B2703">
            <v>312124</v>
          </cell>
          <cell r="C2703" t="str">
            <v>FREIGHT CHARGES PAID</v>
          </cell>
        </row>
        <row r="2704">
          <cell r="A2704">
            <v>9680707</v>
          </cell>
          <cell r="B2704">
            <v>312124</v>
          </cell>
          <cell r="C2704" t="str">
            <v>FREIGHT CHARGES PAID</v>
          </cell>
        </row>
        <row r="2705">
          <cell r="A2705">
            <v>9680710</v>
          </cell>
          <cell r="B2705">
            <v>312124</v>
          </cell>
          <cell r="C2705" t="str">
            <v>FREIGHT CHARGES PAID</v>
          </cell>
        </row>
        <row r="2706">
          <cell r="A2706">
            <v>9680712</v>
          </cell>
          <cell r="B2706">
            <v>312124</v>
          </cell>
          <cell r="C2706" t="str">
            <v>FREIGHT CHARGES PAID</v>
          </cell>
        </row>
        <row r="2707">
          <cell r="A2707">
            <v>9680714</v>
          </cell>
          <cell r="B2707">
            <v>312124</v>
          </cell>
          <cell r="C2707" t="str">
            <v>FREIGHT CHARGES PAID</v>
          </cell>
        </row>
        <row r="2708">
          <cell r="A2708">
            <v>9680734</v>
          </cell>
          <cell r="B2708">
            <v>312124</v>
          </cell>
          <cell r="C2708" t="str">
            <v>FREIGHT CHARGES PAID</v>
          </cell>
        </row>
        <row r="2709">
          <cell r="A2709">
            <v>9680748</v>
          </cell>
          <cell r="B2709">
            <v>312124</v>
          </cell>
          <cell r="C2709" t="str">
            <v>FREIGHT CHARGES PAID</v>
          </cell>
        </row>
        <row r="2710">
          <cell r="A2710">
            <v>9680749</v>
          </cell>
          <cell r="B2710">
            <v>312124</v>
          </cell>
          <cell r="C2710" t="str">
            <v>FREIGHT CHARGES PAID</v>
          </cell>
        </row>
        <row r="2711">
          <cell r="A2711">
            <v>9680894</v>
          </cell>
          <cell r="B2711">
            <v>312124</v>
          </cell>
          <cell r="C2711" t="str">
            <v>FREIGHT CHARGES PAID</v>
          </cell>
        </row>
        <row r="2712">
          <cell r="A2712">
            <v>9680999</v>
          </cell>
          <cell r="B2712">
            <v>312124</v>
          </cell>
          <cell r="C2712" t="str">
            <v>FREIGHT CHARGES PAID</v>
          </cell>
        </row>
        <row r="2713">
          <cell r="A2713">
            <v>9681700</v>
          </cell>
          <cell r="B2713">
            <v>312124</v>
          </cell>
          <cell r="C2713" t="str">
            <v>FREIGHT CHARGES PAID</v>
          </cell>
        </row>
        <row r="2714">
          <cell r="A2714">
            <v>9681701</v>
          </cell>
          <cell r="B2714">
            <v>312124</v>
          </cell>
          <cell r="C2714" t="str">
            <v>FREIGHT CHARGES PAID</v>
          </cell>
        </row>
        <row r="2715">
          <cell r="A2715">
            <v>9681702</v>
          </cell>
          <cell r="B2715">
            <v>312124</v>
          </cell>
          <cell r="C2715" t="str">
            <v>FREIGHT CHARGES PAID</v>
          </cell>
        </row>
        <row r="2716">
          <cell r="A2716">
            <v>9681705</v>
          </cell>
          <cell r="B2716">
            <v>312124</v>
          </cell>
          <cell r="C2716" t="str">
            <v>FREIGHT CHARGES PAID</v>
          </cell>
        </row>
        <row r="2717">
          <cell r="A2717">
            <v>9681706</v>
          </cell>
          <cell r="B2717">
            <v>312124</v>
          </cell>
          <cell r="C2717" t="str">
            <v>FREIGHT CHARGES PAID</v>
          </cell>
        </row>
        <row r="2718">
          <cell r="A2718">
            <v>9681707</v>
          </cell>
          <cell r="B2718">
            <v>312124</v>
          </cell>
          <cell r="C2718" t="str">
            <v>FREIGHT CHARGES PAID</v>
          </cell>
        </row>
        <row r="2719">
          <cell r="A2719">
            <v>9681710</v>
          </cell>
          <cell r="B2719">
            <v>312124</v>
          </cell>
          <cell r="C2719" t="str">
            <v>FREIGHT CHARGES PAID</v>
          </cell>
        </row>
        <row r="2720">
          <cell r="A2720">
            <v>9681712</v>
          </cell>
          <cell r="B2720">
            <v>312124</v>
          </cell>
          <cell r="C2720" t="str">
            <v>FREIGHT CHARGES PAID</v>
          </cell>
        </row>
        <row r="2721">
          <cell r="A2721">
            <v>9681714</v>
          </cell>
          <cell r="B2721">
            <v>312124</v>
          </cell>
          <cell r="C2721" t="str">
            <v>FREIGHT CHARGES PAID</v>
          </cell>
        </row>
        <row r="2722">
          <cell r="A2722">
            <v>9681716</v>
          </cell>
          <cell r="B2722">
            <v>312124</v>
          </cell>
          <cell r="C2722" t="str">
            <v>FREIGHT CHARGES PAID</v>
          </cell>
        </row>
        <row r="2723">
          <cell r="A2723">
            <v>9681727</v>
          </cell>
          <cell r="B2723">
            <v>312124</v>
          </cell>
          <cell r="C2723" t="str">
            <v>FREIGHT CHARGES PAID</v>
          </cell>
        </row>
        <row r="2724">
          <cell r="A2724">
            <v>9681734</v>
          </cell>
          <cell r="B2724">
            <v>312124</v>
          </cell>
          <cell r="C2724" t="str">
            <v>FREIGHT CHARGES PAID</v>
          </cell>
        </row>
        <row r="2725">
          <cell r="A2725">
            <v>9681748</v>
          </cell>
          <cell r="B2725">
            <v>312124</v>
          </cell>
          <cell r="C2725" t="str">
            <v>FREIGHT CHARGES PAID</v>
          </cell>
        </row>
        <row r="2726">
          <cell r="A2726">
            <v>9681749</v>
          </cell>
          <cell r="B2726">
            <v>312124</v>
          </cell>
          <cell r="C2726" t="str">
            <v>FREIGHT CHARGES PAID</v>
          </cell>
        </row>
        <row r="2727">
          <cell r="A2727">
            <v>9681894</v>
          </cell>
          <cell r="B2727">
            <v>312124</v>
          </cell>
          <cell r="C2727" t="str">
            <v>FREIGHT CHARGES PAID</v>
          </cell>
        </row>
        <row r="2728">
          <cell r="A2728">
            <v>9681999</v>
          </cell>
          <cell r="B2728">
            <v>312124</v>
          </cell>
          <cell r="C2728" t="str">
            <v>FREIGHT CHARGES PAID</v>
          </cell>
        </row>
        <row r="2729">
          <cell r="A2729">
            <v>9682715</v>
          </cell>
          <cell r="B2729">
            <v>312124</v>
          </cell>
          <cell r="C2729" t="str">
            <v>FREIGHT CHARGES PAID</v>
          </cell>
        </row>
        <row r="2730">
          <cell r="A2730">
            <v>9682722</v>
          </cell>
          <cell r="B2730">
            <v>312124</v>
          </cell>
          <cell r="C2730" t="str">
            <v>FREIGHT CHARGES PAID</v>
          </cell>
        </row>
        <row r="2731">
          <cell r="A2731">
            <v>9682999</v>
          </cell>
          <cell r="B2731">
            <v>312124</v>
          </cell>
          <cell r="C2731" t="str">
            <v>FREIGHT CHARGES PAID</v>
          </cell>
        </row>
        <row r="2732">
          <cell r="A2732">
            <v>9683999</v>
          </cell>
          <cell r="B2732">
            <v>312124</v>
          </cell>
          <cell r="C2732" t="str">
            <v>FREIGHT CHARGES PAID</v>
          </cell>
        </row>
        <row r="2733">
          <cell r="A2733">
            <v>9684999</v>
          </cell>
          <cell r="B2733">
            <v>312124</v>
          </cell>
          <cell r="C2733" t="str">
            <v>FREIGHT CHARGES PAID</v>
          </cell>
        </row>
        <row r="2734">
          <cell r="A2734">
            <v>9685999</v>
          </cell>
          <cell r="B2734">
            <v>312124</v>
          </cell>
          <cell r="C2734" t="str">
            <v>FREIGHT CHARGES PAID</v>
          </cell>
        </row>
        <row r="2735">
          <cell r="A2735">
            <v>9689692</v>
          </cell>
          <cell r="B2735">
            <v>312124</v>
          </cell>
          <cell r="C2735" t="str">
            <v>FREIGHT CHARGES PAID</v>
          </cell>
        </row>
        <row r="2736">
          <cell r="A2736">
            <v>9689747</v>
          </cell>
          <cell r="B2736">
            <v>312124</v>
          </cell>
          <cell r="C2736" t="str">
            <v>FREIGHT CHARGES PAID</v>
          </cell>
        </row>
        <row r="2737">
          <cell r="A2737">
            <v>9689883</v>
          </cell>
          <cell r="B2737">
            <v>312124</v>
          </cell>
          <cell r="C2737" t="str">
            <v>FREIGHT CHARGES PAID</v>
          </cell>
        </row>
        <row r="2738">
          <cell r="A2738">
            <v>9689890</v>
          </cell>
          <cell r="B2738">
            <v>312124</v>
          </cell>
          <cell r="C2738" t="str">
            <v>FREIGHT CHARGES PAID</v>
          </cell>
        </row>
        <row r="2739">
          <cell r="A2739">
            <v>9689906</v>
          </cell>
          <cell r="B2739">
            <v>312124</v>
          </cell>
          <cell r="C2739" t="str">
            <v>FREIGHT CHARGES PAID</v>
          </cell>
        </row>
        <row r="2740">
          <cell r="A2740">
            <v>9689925</v>
          </cell>
          <cell r="B2740">
            <v>312124</v>
          </cell>
          <cell r="C2740" t="str">
            <v>FREIGHT CHARGES PAID</v>
          </cell>
        </row>
        <row r="2741">
          <cell r="A2741">
            <v>9689990</v>
          </cell>
          <cell r="B2741">
            <v>312124</v>
          </cell>
          <cell r="C2741" t="str">
            <v>FREIGHT CHARGES PAID</v>
          </cell>
        </row>
        <row r="2742">
          <cell r="A2742">
            <v>9689991</v>
          </cell>
          <cell r="B2742">
            <v>312124</v>
          </cell>
          <cell r="C2742" t="str">
            <v>FREIGHT CHARGES PAID</v>
          </cell>
        </row>
        <row r="2743">
          <cell r="A2743">
            <v>9689992</v>
          </cell>
          <cell r="B2743">
            <v>312124</v>
          </cell>
          <cell r="C2743" t="str">
            <v>FREIGHT CHARGES PAID</v>
          </cell>
        </row>
        <row r="2744">
          <cell r="A2744">
            <v>9689993</v>
          </cell>
          <cell r="B2744">
            <v>312124</v>
          </cell>
          <cell r="C2744" t="str">
            <v>FREIGHT CHARGES PAID</v>
          </cell>
        </row>
        <row r="2745">
          <cell r="A2745">
            <v>9689994</v>
          </cell>
          <cell r="B2745">
            <v>312124</v>
          </cell>
          <cell r="C2745" t="str">
            <v>FREIGHT CHARGES PAID</v>
          </cell>
        </row>
        <row r="2746">
          <cell r="A2746">
            <v>9720703</v>
          </cell>
          <cell r="B2746">
            <v>312124</v>
          </cell>
          <cell r="C2746" t="str">
            <v>FREIGHT CHARGES PAID</v>
          </cell>
        </row>
        <row r="2747">
          <cell r="A2747">
            <v>9720704</v>
          </cell>
          <cell r="B2747">
            <v>312124</v>
          </cell>
          <cell r="C2747" t="str">
            <v>FREIGHT CHARGES PAID</v>
          </cell>
        </row>
        <row r="2748">
          <cell r="A2748">
            <v>9720716</v>
          </cell>
          <cell r="B2748">
            <v>312124</v>
          </cell>
          <cell r="C2748" t="str">
            <v>FREIGHT CHARGES PAID</v>
          </cell>
        </row>
        <row r="2749">
          <cell r="A2749">
            <v>9722708</v>
          </cell>
          <cell r="B2749">
            <v>312124</v>
          </cell>
          <cell r="C2749" t="str">
            <v>FREIGHT CHARGES PAID</v>
          </cell>
        </row>
        <row r="2750">
          <cell r="A2750">
            <v>9722709</v>
          </cell>
          <cell r="B2750">
            <v>312124</v>
          </cell>
          <cell r="C2750" t="str">
            <v>FREIGHT CHARGES PAID</v>
          </cell>
        </row>
        <row r="2751">
          <cell r="A2751">
            <v>9722713</v>
          </cell>
          <cell r="B2751">
            <v>312124</v>
          </cell>
          <cell r="C2751" t="str">
            <v>FREIGHT CHARGES PAID</v>
          </cell>
        </row>
        <row r="2752">
          <cell r="A2752">
            <v>9723723</v>
          </cell>
          <cell r="B2752">
            <v>312124</v>
          </cell>
          <cell r="C2752" t="str">
            <v>FREIGHT CHARGES PAID</v>
          </cell>
        </row>
        <row r="2753">
          <cell r="A2753">
            <v>9723729</v>
          </cell>
          <cell r="B2753">
            <v>312124</v>
          </cell>
          <cell r="C2753" t="str">
            <v>FREIGHT CHARGES PAID</v>
          </cell>
        </row>
        <row r="2754">
          <cell r="A2754">
            <v>9724718</v>
          </cell>
          <cell r="B2754">
            <v>312124</v>
          </cell>
          <cell r="C2754" t="str">
            <v>FREIGHT CHARGES PAID</v>
          </cell>
        </row>
        <row r="2755">
          <cell r="A2755">
            <v>9724721</v>
          </cell>
          <cell r="B2755">
            <v>312124</v>
          </cell>
          <cell r="C2755" t="str">
            <v>FREIGHT CHARGES PAID</v>
          </cell>
        </row>
        <row r="2756">
          <cell r="A2756">
            <v>9724724</v>
          </cell>
          <cell r="B2756">
            <v>312124</v>
          </cell>
          <cell r="C2756" t="str">
            <v>FREIGHT CHARGES PAID</v>
          </cell>
        </row>
        <row r="2757">
          <cell r="A2757">
            <v>9724726</v>
          </cell>
          <cell r="B2757">
            <v>312124</v>
          </cell>
          <cell r="C2757" t="str">
            <v>FREIGHT CHARGES PAID</v>
          </cell>
        </row>
        <row r="2758">
          <cell r="A2758">
            <v>9725703</v>
          </cell>
          <cell r="B2758">
            <v>312124</v>
          </cell>
          <cell r="C2758" t="str">
            <v>FREIGHT CHARGES PAID</v>
          </cell>
        </row>
        <row r="2759">
          <cell r="A2759">
            <v>9725704</v>
          </cell>
          <cell r="B2759">
            <v>312124</v>
          </cell>
          <cell r="C2759" t="str">
            <v>FREIGHT CHARGES PAID</v>
          </cell>
        </row>
        <row r="2760">
          <cell r="A2760">
            <v>9725711</v>
          </cell>
          <cell r="B2760">
            <v>312124</v>
          </cell>
          <cell r="C2760" t="str">
            <v>FREIGHT CHARGES PAID</v>
          </cell>
        </row>
        <row r="2761">
          <cell r="A2761">
            <v>9725717</v>
          </cell>
          <cell r="B2761">
            <v>312124</v>
          </cell>
          <cell r="C2761" t="str">
            <v>FREIGHT CHARGES PAID</v>
          </cell>
        </row>
        <row r="2762">
          <cell r="A2762">
            <v>9725725</v>
          </cell>
          <cell r="B2762">
            <v>312124</v>
          </cell>
          <cell r="C2762" t="str">
            <v>FREIGHT CHARGES PAID</v>
          </cell>
        </row>
        <row r="2763">
          <cell r="A2763">
            <v>9723723</v>
          </cell>
          <cell r="B2763">
            <v>312142</v>
          </cell>
          <cell r="C2763" t="str">
            <v>TRANS IN-MERCH-WHSE-WHSE-OTHER</v>
          </cell>
        </row>
        <row r="2764">
          <cell r="A2764">
            <v>9723729</v>
          </cell>
          <cell r="B2764">
            <v>312142</v>
          </cell>
          <cell r="C2764" t="str">
            <v>TRANS IN-MERCH-WHSE-WHSE-OTHER</v>
          </cell>
        </row>
        <row r="2765">
          <cell r="A2765">
            <v>9681701</v>
          </cell>
          <cell r="B2765">
            <v>312162</v>
          </cell>
          <cell r="C2765" t="str">
            <v>PURCHASE ADJUST-NOT INCLUDED</v>
          </cell>
        </row>
        <row r="2766">
          <cell r="A2766">
            <v>9723723</v>
          </cell>
          <cell r="B2766">
            <v>312162</v>
          </cell>
          <cell r="C2766" t="str">
            <v>PURCHASE ADJUST-NOT INCLUDED</v>
          </cell>
        </row>
        <row r="2767">
          <cell r="A2767">
            <v>9723729</v>
          </cell>
          <cell r="B2767">
            <v>312162</v>
          </cell>
          <cell r="C2767" t="str">
            <v>PURCHASE ADJUST-NOT INCLUDED</v>
          </cell>
        </row>
        <row r="2768">
          <cell r="A2768">
            <v>9080700</v>
          </cell>
          <cell r="B2768">
            <v>312171</v>
          </cell>
          <cell r="C2768" t="str">
            <v>WAREHOUSE EXPENSE</v>
          </cell>
        </row>
        <row r="2769">
          <cell r="A2769">
            <v>9080999</v>
          </cell>
          <cell r="B2769">
            <v>312171</v>
          </cell>
          <cell r="C2769" t="str">
            <v>WAREHOUSE EXPENSE</v>
          </cell>
        </row>
        <row r="2770">
          <cell r="A2770">
            <v>9110700</v>
          </cell>
          <cell r="B2770">
            <v>312171</v>
          </cell>
          <cell r="C2770" t="str">
            <v>WAREHOUSE EXPENSE</v>
          </cell>
        </row>
        <row r="2771">
          <cell r="A2771">
            <v>9110999</v>
          </cell>
          <cell r="B2771">
            <v>312171</v>
          </cell>
          <cell r="C2771" t="str">
            <v>WAREHOUSE EXPENSE</v>
          </cell>
        </row>
        <row r="2772">
          <cell r="A2772">
            <v>9689994</v>
          </cell>
          <cell r="B2772">
            <v>312171</v>
          </cell>
          <cell r="C2772" t="str">
            <v>WAREHOUSE EXPENSE</v>
          </cell>
        </row>
        <row r="2773">
          <cell r="A2773">
            <v>9725711</v>
          </cell>
          <cell r="B2773">
            <v>312171</v>
          </cell>
          <cell r="C2773" t="str">
            <v>WAREHOUSE EXPENSE</v>
          </cell>
        </row>
        <row r="2774">
          <cell r="A2774">
            <v>9723723</v>
          </cell>
          <cell r="B2774">
            <v>312173</v>
          </cell>
          <cell r="C2774" t="str">
            <v>O/S STORAGE-INVESTMENT BUYING</v>
          </cell>
        </row>
        <row r="2775">
          <cell r="A2775">
            <v>9723729</v>
          </cell>
          <cell r="B2775">
            <v>312173</v>
          </cell>
          <cell r="C2775" t="str">
            <v>O/S STORAGE-INVESTMENT BUYING</v>
          </cell>
        </row>
        <row r="2776">
          <cell r="A2776" t="str">
            <v>ZONE-9999-POST</v>
          </cell>
          <cell r="B2776">
            <v>312188</v>
          </cell>
          <cell r="C2776" t="str">
            <v>CASH DISCOUNTS</v>
          </cell>
        </row>
        <row r="2777">
          <cell r="A2777">
            <v>9080700</v>
          </cell>
          <cell r="B2777">
            <v>312298</v>
          </cell>
          <cell r="C2777" t="str">
            <v>ADVERTISING EXPENSE - ALLOCATED</v>
          </cell>
        </row>
        <row r="2778">
          <cell r="A2778">
            <v>9080701</v>
          </cell>
          <cell r="B2778">
            <v>312298</v>
          </cell>
          <cell r="C2778" t="str">
            <v>ADVERTISING EXPENSE - ALLOCATED</v>
          </cell>
        </row>
        <row r="2779">
          <cell r="A2779">
            <v>9080702</v>
          </cell>
          <cell r="B2779">
            <v>312298</v>
          </cell>
          <cell r="C2779" t="str">
            <v>ADVERTISING EXPENSE - ALLOCATED</v>
          </cell>
        </row>
        <row r="2780">
          <cell r="A2780">
            <v>9080705</v>
          </cell>
          <cell r="B2780">
            <v>312298</v>
          </cell>
          <cell r="C2780" t="str">
            <v>ADVERTISING EXPENSE - ALLOCATED</v>
          </cell>
        </row>
        <row r="2781">
          <cell r="A2781">
            <v>9080707</v>
          </cell>
          <cell r="B2781">
            <v>312298</v>
          </cell>
          <cell r="C2781" t="str">
            <v>ADVERTISING EXPENSE - ALLOCATED</v>
          </cell>
        </row>
        <row r="2782">
          <cell r="A2782">
            <v>9080710</v>
          </cell>
          <cell r="B2782">
            <v>312298</v>
          </cell>
          <cell r="C2782" t="str">
            <v>ADVERTISING EXPENSE - ALLOCATED</v>
          </cell>
        </row>
        <row r="2783">
          <cell r="A2783">
            <v>9090999</v>
          </cell>
          <cell r="B2783">
            <v>312298</v>
          </cell>
          <cell r="C2783" t="str">
            <v>ADVERTISING EXPENSE - ALLOCATED</v>
          </cell>
        </row>
        <row r="2784">
          <cell r="A2784">
            <v>9100999</v>
          </cell>
          <cell r="B2784">
            <v>312298</v>
          </cell>
          <cell r="C2784" t="str">
            <v>ADVERTISING EXPENSE - ALLOCATED</v>
          </cell>
        </row>
        <row r="2785">
          <cell r="A2785">
            <v>9110700</v>
          </cell>
          <cell r="B2785">
            <v>312298</v>
          </cell>
          <cell r="C2785" t="str">
            <v>ADVERTISING EXPENSE - ALLOCATED</v>
          </cell>
        </row>
        <row r="2786">
          <cell r="A2786">
            <v>9110702</v>
          </cell>
          <cell r="B2786">
            <v>312298</v>
          </cell>
          <cell r="C2786" t="str">
            <v>ADVERTISING EXPENSE - ALLOCATED</v>
          </cell>
        </row>
        <row r="2787">
          <cell r="A2787">
            <v>9110705</v>
          </cell>
          <cell r="B2787">
            <v>312298</v>
          </cell>
          <cell r="C2787" t="str">
            <v>ADVERTISING EXPENSE - ALLOCATED</v>
          </cell>
        </row>
        <row r="2788">
          <cell r="A2788">
            <v>9110707</v>
          </cell>
          <cell r="B2788">
            <v>312298</v>
          </cell>
          <cell r="C2788" t="str">
            <v>ADVERTISING EXPENSE - ALLOCATED</v>
          </cell>
        </row>
        <row r="2789">
          <cell r="A2789">
            <v>9680700</v>
          </cell>
          <cell r="B2789">
            <v>312298</v>
          </cell>
          <cell r="C2789" t="str">
            <v>ADVERTISING EXPENSE - ALLOCATED</v>
          </cell>
        </row>
        <row r="2790">
          <cell r="A2790">
            <v>9680701</v>
          </cell>
          <cell r="B2790">
            <v>312298</v>
          </cell>
          <cell r="C2790" t="str">
            <v>ADVERTISING EXPENSE - ALLOCATED</v>
          </cell>
        </row>
        <row r="2791">
          <cell r="A2791">
            <v>9680702</v>
          </cell>
          <cell r="B2791">
            <v>312298</v>
          </cell>
          <cell r="C2791" t="str">
            <v>ADVERTISING EXPENSE - ALLOCATED</v>
          </cell>
        </row>
        <row r="2792">
          <cell r="A2792">
            <v>9680705</v>
          </cell>
          <cell r="B2792">
            <v>312298</v>
          </cell>
          <cell r="C2792" t="str">
            <v>ADVERTISING EXPENSE - ALLOCATED</v>
          </cell>
        </row>
        <row r="2793">
          <cell r="A2793">
            <v>9680707</v>
          </cell>
          <cell r="B2793">
            <v>312298</v>
          </cell>
          <cell r="C2793" t="str">
            <v>ADVERTISING EXPENSE - ALLOCATED</v>
          </cell>
        </row>
        <row r="2794">
          <cell r="A2794">
            <v>9680710</v>
          </cell>
          <cell r="B2794">
            <v>312298</v>
          </cell>
          <cell r="C2794" t="str">
            <v>ADVERTISING EXPENSE - ALLOCATED</v>
          </cell>
        </row>
        <row r="2795">
          <cell r="A2795">
            <v>9680712</v>
          </cell>
          <cell r="B2795">
            <v>312298</v>
          </cell>
          <cell r="C2795" t="str">
            <v>ADVERTISING EXPENSE - ALLOCATED</v>
          </cell>
        </row>
        <row r="2796">
          <cell r="A2796">
            <v>9680714</v>
          </cell>
          <cell r="B2796">
            <v>312298</v>
          </cell>
          <cell r="C2796" t="str">
            <v>ADVERTISING EXPENSE - ALLOCATED</v>
          </cell>
        </row>
        <row r="2797">
          <cell r="A2797">
            <v>9680734</v>
          </cell>
          <cell r="B2797">
            <v>312298</v>
          </cell>
          <cell r="C2797" t="str">
            <v>ADVERTISING EXPENSE - ALLOCATED</v>
          </cell>
        </row>
        <row r="2798">
          <cell r="A2798">
            <v>9680748</v>
          </cell>
          <cell r="B2798">
            <v>312298</v>
          </cell>
          <cell r="C2798" t="str">
            <v>ADVERTISING EXPENSE - ALLOCATED</v>
          </cell>
        </row>
        <row r="2799">
          <cell r="A2799">
            <v>9680749</v>
          </cell>
          <cell r="B2799">
            <v>312298</v>
          </cell>
          <cell r="C2799" t="str">
            <v>ADVERTISING EXPENSE - ALLOCATED</v>
          </cell>
        </row>
        <row r="2800">
          <cell r="A2800">
            <v>9680894</v>
          </cell>
          <cell r="B2800">
            <v>312298</v>
          </cell>
          <cell r="C2800" t="str">
            <v>ADVERTISING EXPENSE - ALLOCATED</v>
          </cell>
        </row>
        <row r="2801">
          <cell r="A2801">
            <v>9680999</v>
          </cell>
          <cell r="B2801">
            <v>312298</v>
          </cell>
          <cell r="C2801" t="str">
            <v>ADVERTISING EXPENSE - ALLOCATED</v>
          </cell>
        </row>
        <row r="2802">
          <cell r="A2802">
            <v>9681700</v>
          </cell>
          <cell r="B2802">
            <v>312298</v>
          </cell>
          <cell r="C2802" t="str">
            <v>ADVERTISING EXPENSE - ALLOCATED</v>
          </cell>
        </row>
        <row r="2803">
          <cell r="A2803">
            <v>9681701</v>
          </cell>
          <cell r="B2803">
            <v>312298</v>
          </cell>
          <cell r="C2803" t="str">
            <v>ADVERTISING EXPENSE - ALLOCATED</v>
          </cell>
        </row>
        <row r="2804">
          <cell r="A2804">
            <v>9681702</v>
          </cell>
          <cell r="B2804">
            <v>312298</v>
          </cell>
          <cell r="C2804" t="str">
            <v>ADVERTISING EXPENSE - ALLOCATED</v>
          </cell>
        </row>
        <row r="2805">
          <cell r="A2805">
            <v>9681705</v>
          </cell>
          <cell r="B2805">
            <v>312298</v>
          </cell>
          <cell r="C2805" t="str">
            <v>ADVERTISING EXPENSE - ALLOCATED</v>
          </cell>
        </row>
        <row r="2806">
          <cell r="A2806">
            <v>9681706</v>
          </cell>
          <cell r="B2806">
            <v>312298</v>
          </cell>
          <cell r="C2806" t="str">
            <v>ADVERTISING EXPENSE - ALLOCATED</v>
          </cell>
        </row>
        <row r="2807">
          <cell r="A2807">
            <v>9681707</v>
          </cell>
          <cell r="B2807">
            <v>312298</v>
          </cell>
          <cell r="C2807" t="str">
            <v>ADVERTISING EXPENSE - ALLOCATED</v>
          </cell>
        </row>
        <row r="2808">
          <cell r="A2808">
            <v>9681710</v>
          </cell>
          <cell r="B2808">
            <v>312298</v>
          </cell>
          <cell r="C2808" t="str">
            <v>ADVERTISING EXPENSE - ALLOCATED</v>
          </cell>
        </row>
        <row r="2809">
          <cell r="A2809">
            <v>9681712</v>
          </cell>
          <cell r="B2809">
            <v>312298</v>
          </cell>
          <cell r="C2809" t="str">
            <v>ADVERTISING EXPENSE - ALLOCATED</v>
          </cell>
        </row>
        <row r="2810">
          <cell r="A2810">
            <v>9681714</v>
          </cell>
          <cell r="B2810">
            <v>312298</v>
          </cell>
          <cell r="C2810" t="str">
            <v>ADVERTISING EXPENSE - ALLOCATED</v>
          </cell>
        </row>
        <row r="2811">
          <cell r="A2811">
            <v>9681716</v>
          </cell>
          <cell r="B2811">
            <v>312298</v>
          </cell>
          <cell r="C2811" t="str">
            <v>ADVERTISING EXPENSE - ALLOCATED</v>
          </cell>
        </row>
        <row r="2812">
          <cell r="A2812">
            <v>9681727</v>
          </cell>
          <cell r="B2812">
            <v>312298</v>
          </cell>
          <cell r="C2812" t="str">
            <v>ADVERTISING EXPENSE - ALLOCATED</v>
          </cell>
        </row>
        <row r="2813">
          <cell r="A2813">
            <v>9681734</v>
          </cell>
          <cell r="B2813">
            <v>312298</v>
          </cell>
          <cell r="C2813" t="str">
            <v>ADVERTISING EXPENSE - ALLOCATED</v>
          </cell>
        </row>
        <row r="2814">
          <cell r="A2814">
            <v>9681748</v>
          </cell>
          <cell r="B2814">
            <v>312298</v>
          </cell>
          <cell r="C2814" t="str">
            <v>ADVERTISING EXPENSE - ALLOCATED</v>
          </cell>
        </row>
        <row r="2815">
          <cell r="A2815">
            <v>9681749</v>
          </cell>
          <cell r="B2815">
            <v>312298</v>
          </cell>
          <cell r="C2815" t="str">
            <v>ADVERTISING EXPENSE - ALLOCATED</v>
          </cell>
        </row>
        <row r="2816">
          <cell r="A2816">
            <v>9681894</v>
          </cell>
          <cell r="B2816">
            <v>312298</v>
          </cell>
          <cell r="C2816" t="str">
            <v>ADVERTISING EXPENSE - ALLOCATED</v>
          </cell>
        </row>
        <row r="2817">
          <cell r="A2817">
            <v>9681999</v>
          </cell>
          <cell r="B2817">
            <v>312298</v>
          </cell>
          <cell r="C2817" t="str">
            <v>ADVERTISING EXPENSE - ALLOCATED</v>
          </cell>
        </row>
        <row r="2818">
          <cell r="A2818">
            <v>9682715</v>
          </cell>
          <cell r="B2818">
            <v>312298</v>
          </cell>
          <cell r="C2818" t="str">
            <v>ADVERTISING EXPENSE - ALLOCATED</v>
          </cell>
        </row>
        <row r="2819">
          <cell r="A2819">
            <v>9682722</v>
          </cell>
          <cell r="B2819">
            <v>312298</v>
          </cell>
          <cell r="C2819" t="str">
            <v>ADVERTISING EXPENSE - ALLOCATED</v>
          </cell>
        </row>
        <row r="2820">
          <cell r="A2820">
            <v>9682999</v>
          </cell>
          <cell r="B2820">
            <v>312298</v>
          </cell>
          <cell r="C2820" t="str">
            <v>ADVERTISING EXPENSE - ALLOCATED</v>
          </cell>
        </row>
        <row r="2821">
          <cell r="A2821">
            <v>9683999</v>
          </cell>
          <cell r="B2821">
            <v>312298</v>
          </cell>
          <cell r="C2821" t="str">
            <v>ADVERTISING EXPENSE - ALLOCATED</v>
          </cell>
        </row>
        <row r="2822">
          <cell r="A2822">
            <v>9684999</v>
          </cell>
          <cell r="B2822">
            <v>312298</v>
          </cell>
          <cell r="C2822" t="str">
            <v>ADVERTISING EXPENSE - ALLOCATED</v>
          </cell>
        </row>
        <row r="2823">
          <cell r="A2823">
            <v>9685999</v>
          </cell>
          <cell r="B2823">
            <v>312298</v>
          </cell>
          <cell r="C2823" t="str">
            <v>ADVERTISING EXPENSE - ALLOCATED</v>
          </cell>
        </row>
        <row r="2824">
          <cell r="A2824">
            <v>9689692</v>
          </cell>
          <cell r="B2824">
            <v>312298</v>
          </cell>
          <cell r="C2824" t="str">
            <v>ADVERTISING EXPENSE - ALLOCATED</v>
          </cell>
        </row>
        <row r="2825">
          <cell r="A2825">
            <v>9689747</v>
          </cell>
          <cell r="B2825">
            <v>312298</v>
          </cell>
          <cell r="C2825" t="str">
            <v>ADVERTISING EXPENSE - ALLOCATED</v>
          </cell>
        </row>
        <row r="2826">
          <cell r="A2826">
            <v>9689883</v>
          </cell>
          <cell r="B2826">
            <v>312298</v>
          </cell>
          <cell r="C2826" t="str">
            <v>ADVERTISING EXPENSE - ALLOCATED</v>
          </cell>
        </row>
        <row r="2827">
          <cell r="A2827">
            <v>9689890</v>
          </cell>
          <cell r="B2827">
            <v>312298</v>
          </cell>
          <cell r="C2827" t="str">
            <v>ADVERTISING EXPENSE - ALLOCATED</v>
          </cell>
        </row>
        <row r="2828">
          <cell r="A2828">
            <v>9689906</v>
          </cell>
          <cell r="B2828">
            <v>312298</v>
          </cell>
          <cell r="C2828" t="str">
            <v>ADVERTISING EXPENSE - ALLOCATED</v>
          </cell>
        </row>
        <row r="2829">
          <cell r="A2829">
            <v>9689925</v>
          </cell>
          <cell r="B2829">
            <v>312298</v>
          </cell>
          <cell r="C2829" t="str">
            <v>ADVERTISING EXPENSE - ALLOCATED</v>
          </cell>
        </row>
        <row r="2830">
          <cell r="A2830">
            <v>9689990</v>
          </cell>
          <cell r="B2830">
            <v>312298</v>
          </cell>
          <cell r="C2830" t="str">
            <v>ADVERTISING EXPENSE - ALLOCATED</v>
          </cell>
        </row>
        <row r="2831">
          <cell r="A2831">
            <v>9689991</v>
          </cell>
          <cell r="B2831">
            <v>312298</v>
          </cell>
          <cell r="C2831" t="str">
            <v>ADVERTISING EXPENSE - ALLOCATED</v>
          </cell>
        </row>
        <row r="2832">
          <cell r="A2832">
            <v>9689992</v>
          </cell>
          <cell r="B2832">
            <v>312298</v>
          </cell>
          <cell r="C2832" t="str">
            <v>ADVERTISING EXPENSE - ALLOCATED</v>
          </cell>
        </row>
        <row r="2833">
          <cell r="A2833">
            <v>9689993</v>
          </cell>
          <cell r="B2833">
            <v>312298</v>
          </cell>
          <cell r="C2833" t="str">
            <v>ADVERTISING EXPENSE - ALLOCATED</v>
          </cell>
        </row>
        <row r="2834">
          <cell r="A2834">
            <v>9689994</v>
          </cell>
          <cell r="B2834">
            <v>312298</v>
          </cell>
          <cell r="C2834" t="str">
            <v>ADVERTISING EXPENSE - ALLOCATED</v>
          </cell>
        </row>
        <row r="2835">
          <cell r="A2835">
            <v>9720703</v>
          </cell>
          <cell r="B2835">
            <v>312298</v>
          </cell>
          <cell r="C2835" t="str">
            <v>ADVERTISING EXPENSE - ALLOCATED</v>
          </cell>
        </row>
        <row r="2836">
          <cell r="A2836">
            <v>9720704</v>
          </cell>
          <cell r="B2836">
            <v>312298</v>
          </cell>
          <cell r="C2836" t="str">
            <v>ADVERTISING EXPENSE - ALLOCATED</v>
          </cell>
        </row>
        <row r="2837">
          <cell r="A2837">
            <v>9720716</v>
          </cell>
          <cell r="B2837">
            <v>312298</v>
          </cell>
          <cell r="C2837" t="str">
            <v>ADVERTISING EXPENSE - ALLOCATED</v>
          </cell>
        </row>
        <row r="2838">
          <cell r="A2838">
            <v>9722708</v>
          </cell>
          <cell r="B2838">
            <v>312298</v>
          </cell>
          <cell r="C2838" t="str">
            <v>ADVERTISING EXPENSE - ALLOCATED</v>
          </cell>
        </row>
        <row r="2839">
          <cell r="A2839">
            <v>9722709</v>
          </cell>
          <cell r="B2839">
            <v>312298</v>
          </cell>
          <cell r="C2839" t="str">
            <v>ADVERTISING EXPENSE - ALLOCATED</v>
          </cell>
        </row>
        <row r="2840">
          <cell r="A2840">
            <v>9722713</v>
          </cell>
          <cell r="B2840">
            <v>312298</v>
          </cell>
          <cell r="C2840" t="str">
            <v>ADVERTISING EXPENSE - ALLOCATED</v>
          </cell>
        </row>
        <row r="2841">
          <cell r="A2841">
            <v>9723723</v>
          </cell>
          <cell r="B2841">
            <v>312298</v>
          </cell>
          <cell r="C2841" t="str">
            <v>ADVERTISING EXPENSE - ALLOCATED</v>
          </cell>
        </row>
        <row r="2842">
          <cell r="A2842">
            <v>9723729</v>
          </cell>
          <cell r="B2842">
            <v>312298</v>
          </cell>
          <cell r="C2842" t="str">
            <v>ADVERTISING EXPENSE - ALLOCATED</v>
          </cell>
        </row>
        <row r="2843">
          <cell r="A2843">
            <v>9724718</v>
          </cell>
          <cell r="B2843">
            <v>312298</v>
          </cell>
          <cell r="C2843" t="str">
            <v>ADVERTISING EXPENSE - ALLOCATED</v>
          </cell>
        </row>
        <row r="2844">
          <cell r="A2844">
            <v>9724721</v>
          </cell>
          <cell r="B2844">
            <v>312298</v>
          </cell>
          <cell r="C2844" t="str">
            <v>ADVERTISING EXPENSE - ALLOCATED</v>
          </cell>
        </row>
        <row r="2845">
          <cell r="A2845">
            <v>9724724</v>
          </cell>
          <cell r="B2845">
            <v>312298</v>
          </cell>
          <cell r="C2845" t="str">
            <v>ADVERTISING EXPENSE - ALLOCATED</v>
          </cell>
        </row>
        <row r="2846">
          <cell r="A2846">
            <v>9724726</v>
          </cell>
          <cell r="B2846">
            <v>312298</v>
          </cell>
          <cell r="C2846" t="str">
            <v>ADVERTISING EXPENSE - ALLOCATED</v>
          </cell>
        </row>
        <row r="2847">
          <cell r="A2847">
            <v>9725703</v>
          </cell>
          <cell r="B2847">
            <v>312298</v>
          </cell>
          <cell r="C2847" t="str">
            <v>ADVERTISING EXPENSE - ALLOCATED</v>
          </cell>
        </row>
        <row r="2848">
          <cell r="A2848">
            <v>9725704</v>
          </cell>
          <cell r="B2848">
            <v>312298</v>
          </cell>
          <cell r="C2848" t="str">
            <v>ADVERTISING EXPENSE - ALLOCATED</v>
          </cell>
        </row>
        <row r="2849">
          <cell r="A2849">
            <v>9725711</v>
          </cell>
          <cell r="B2849">
            <v>312298</v>
          </cell>
          <cell r="C2849" t="str">
            <v>ADVERTISING EXPENSE - ALLOCATED</v>
          </cell>
        </row>
        <row r="2850">
          <cell r="A2850">
            <v>9725717</v>
          </cell>
          <cell r="B2850">
            <v>312298</v>
          </cell>
          <cell r="C2850" t="str">
            <v>ADVERTISING EXPENSE - ALLOCATED</v>
          </cell>
        </row>
        <row r="2851">
          <cell r="A2851">
            <v>9725725</v>
          </cell>
          <cell r="B2851">
            <v>312298</v>
          </cell>
          <cell r="C2851" t="str">
            <v>ADVERTISING EXPENSE - ALLOCATED</v>
          </cell>
        </row>
        <row r="2852">
          <cell r="A2852">
            <v>8001054179</v>
          </cell>
          <cell r="B2852">
            <v>312416</v>
          </cell>
          <cell r="C2852" t="str">
            <v>CONSIGNMENT SALES INCOME</v>
          </cell>
        </row>
        <row r="2853">
          <cell r="A2853">
            <v>8001059542</v>
          </cell>
          <cell r="B2853">
            <v>312416</v>
          </cell>
          <cell r="C2853" t="str">
            <v>CONSIGNMENT SALES INCOME</v>
          </cell>
        </row>
        <row r="2854">
          <cell r="A2854">
            <v>8010512510</v>
          </cell>
          <cell r="B2854">
            <v>312416</v>
          </cell>
          <cell r="C2854" t="str">
            <v>CONSIGNMENT SALES INCOME</v>
          </cell>
        </row>
        <row r="2855">
          <cell r="A2855">
            <v>9969681</v>
          </cell>
          <cell r="B2855">
            <v>312416</v>
          </cell>
          <cell r="C2855" t="str">
            <v>CONSIGNMENT SALES INCOME</v>
          </cell>
        </row>
        <row r="2856">
          <cell r="A2856">
            <v>9969901</v>
          </cell>
          <cell r="B2856">
            <v>312416</v>
          </cell>
          <cell r="C2856" t="str">
            <v>CONSIGNMENT SALES INCOME</v>
          </cell>
        </row>
        <row r="2857">
          <cell r="A2857" t="str">
            <v>ZONE-0105-POST</v>
          </cell>
          <cell r="B2857">
            <v>312416</v>
          </cell>
          <cell r="C2857" t="str">
            <v>CONSIGNMENT SALES INCOME</v>
          </cell>
        </row>
        <row r="2858">
          <cell r="A2858" t="str">
            <v>ZONE-0112-POST</v>
          </cell>
          <cell r="B2858">
            <v>312416</v>
          </cell>
          <cell r="C2858" t="str">
            <v>CONSIGNMENT SALES INCOME</v>
          </cell>
        </row>
        <row r="2859">
          <cell r="A2859">
            <v>8001054179</v>
          </cell>
          <cell r="B2859">
            <v>321200</v>
          </cell>
          <cell r="C2859" t="str">
            <v>SALARIES AND WAGES</v>
          </cell>
        </row>
        <row r="2860">
          <cell r="A2860">
            <v>8001059542</v>
          </cell>
          <cell r="B2860">
            <v>321200</v>
          </cell>
          <cell r="C2860" t="str">
            <v>SALARIES AND WAGES</v>
          </cell>
        </row>
        <row r="2861">
          <cell r="A2861">
            <v>8010512510</v>
          </cell>
          <cell r="B2861">
            <v>321200</v>
          </cell>
          <cell r="C2861" t="str">
            <v>SALARIES AND WAGES</v>
          </cell>
        </row>
        <row r="2862">
          <cell r="A2862">
            <v>9080700</v>
          </cell>
          <cell r="B2862">
            <v>321200</v>
          </cell>
          <cell r="C2862" t="str">
            <v>SALARIES AND WAGES</v>
          </cell>
        </row>
        <row r="2863">
          <cell r="A2863">
            <v>9080701</v>
          </cell>
          <cell r="B2863">
            <v>321200</v>
          </cell>
          <cell r="C2863" t="str">
            <v>SALARIES AND WAGES</v>
          </cell>
        </row>
        <row r="2864">
          <cell r="A2864">
            <v>9080702</v>
          </cell>
          <cell r="B2864">
            <v>321200</v>
          </cell>
          <cell r="C2864" t="str">
            <v>SALARIES AND WAGES</v>
          </cell>
        </row>
        <row r="2865">
          <cell r="A2865">
            <v>9080705</v>
          </cell>
          <cell r="B2865">
            <v>321200</v>
          </cell>
          <cell r="C2865" t="str">
            <v>SALARIES AND WAGES</v>
          </cell>
        </row>
        <row r="2866">
          <cell r="A2866">
            <v>9080707</v>
          </cell>
          <cell r="B2866">
            <v>321200</v>
          </cell>
          <cell r="C2866" t="str">
            <v>SALARIES AND WAGES</v>
          </cell>
        </row>
        <row r="2867">
          <cell r="A2867">
            <v>9080710</v>
          </cell>
          <cell r="B2867">
            <v>321200</v>
          </cell>
          <cell r="C2867" t="str">
            <v>SALARIES AND WAGES</v>
          </cell>
        </row>
        <row r="2868">
          <cell r="A2868">
            <v>9080999</v>
          </cell>
          <cell r="B2868">
            <v>321200</v>
          </cell>
          <cell r="C2868" t="str">
            <v>SALARIES AND WAGES</v>
          </cell>
        </row>
        <row r="2869">
          <cell r="A2869">
            <v>9090710</v>
          </cell>
          <cell r="B2869">
            <v>321200</v>
          </cell>
          <cell r="C2869" t="str">
            <v>SALARIES AND WAGES</v>
          </cell>
        </row>
        <row r="2870">
          <cell r="A2870">
            <v>9090999</v>
          </cell>
          <cell r="B2870">
            <v>321200</v>
          </cell>
          <cell r="C2870" t="str">
            <v>SALARIES AND WAGES</v>
          </cell>
        </row>
        <row r="2871">
          <cell r="A2871">
            <v>9100710</v>
          </cell>
          <cell r="B2871">
            <v>321200</v>
          </cell>
          <cell r="C2871" t="str">
            <v>SALARIES AND WAGES</v>
          </cell>
        </row>
        <row r="2872">
          <cell r="A2872">
            <v>9100999</v>
          </cell>
          <cell r="B2872">
            <v>321200</v>
          </cell>
          <cell r="C2872" t="str">
            <v>SALARIES AND WAGES</v>
          </cell>
        </row>
        <row r="2873">
          <cell r="A2873">
            <v>9110700</v>
          </cell>
          <cell r="B2873">
            <v>321200</v>
          </cell>
          <cell r="C2873" t="str">
            <v>SALARIES AND WAGES</v>
          </cell>
        </row>
        <row r="2874">
          <cell r="A2874">
            <v>9110702</v>
          </cell>
          <cell r="B2874">
            <v>321200</v>
          </cell>
          <cell r="C2874" t="str">
            <v>SALARIES AND WAGES</v>
          </cell>
        </row>
        <row r="2875">
          <cell r="A2875">
            <v>9110705</v>
          </cell>
          <cell r="B2875">
            <v>321200</v>
          </cell>
          <cell r="C2875" t="str">
            <v>SALARIES AND WAGES</v>
          </cell>
        </row>
        <row r="2876">
          <cell r="A2876">
            <v>9110707</v>
          </cell>
          <cell r="B2876">
            <v>321200</v>
          </cell>
          <cell r="C2876" t="str">
            <v>SALARIES AND WAGES</v>
          </cell>
        </row>
        <row r="2877">
          <cell r="A2877">
            <v>9110999</v>
          </cell>
          <cell r="B2877">
            <v>321200</v>
          </cell>
          <cell r="C2877" t="str">
            <v>SALARIES AND WAGES</v>
          </cell>
        </row>
        <row r="2878">
          <cell r="A2878">
            <v>9680700</v>
          </cell>
          <cell r="B2878">
            <v>321200</v>
          </cell>
          <cell r="C2878" t="str">
            <v>SALARIES AND WAGES</v>
          </cell>
        </row>
        <row r="2879">
          <cell r="A2879">
            <v>9680701</v>
          </cell>
          <cell r="B2879">
            <v>321200</v>
          </cell>
          <cell r="C2879" t="str">
            <v>SALARIES AND WAGES</v>
          </cell>
        </row>
        <row r="2880">
          <cell r="A2880">
            <v>9680702</v>
          </cell>
          <cell r="B2880">
            <v>321200</v>
          </cell>
          <cell r="C2880" t="str">
            <v>SALARIES AND WAGES</v>
          </cell>
        </row>
        <row r="2881">
          <cell r="A2881">
            <v>9680705</v>
          </cell>
          <cell r="B2881">
            <v>321200</v>
          </cell>
          <cell r="C2881" t="str">
            <v>SALARIES AND WAGES</v>
          </cell>
        </row>
        <row r="2882">
          <cell r="A2882">
            <v>9680707</v>
          </cell>
          <cell r="B2882">
            <v>321200</v>
          </cell>
          <cell r="C2882" t="str">
            <v>SALARIES AND WAGES</v>
          </cell>
        </row>
        <row r="2883">
          <cell r="A2883">
            <v>9680710</v>
          </cell>
          <cell r="B2883">
            <v>321200</v>
          </cell>
          <cell r="C2883" t="str">
            <v>SALARIES AND WAGES</v>
          </cell>
        </row>
        <row r="2884">
          <cell r="A2884">
            <v>9680712</v>
          </cell>
          <cell r="B2884">
            <v>321200</v>
          </cell>
          <cell r="C2884" t="str">
            <v>SALARIES AND WAGES</v>
          </cell>
        </row>
        <row r="2885">
          <cell r="A2885">
            <v>9680714</v>
          </cell>
          <cell r="B2885">
            <v>321200</v>
          </cell>
          <cell r="C2885" t="str">
            <v>SALARIES AND WAGES</v>
          </cell>
        </row>
        <row r="2886">
          <cell r="A2886">
            <v>9680734</v>
          </cell>
          <cell r="B2886">
            <v>321200</v>
          </cell>
          <cell r="C2886" t="str">
            <v>SALARIES AND WAGES</v>
          </cell>
        </row>
        <row r="2887">
          <cell r="A2887">
            <v>9680748</v>
          </cell>
          <cell r="B2887">
            <v>321200</v>
          </cell>
          <cell r="C2887" t="str">
            <v>SALARIES AND WAGES</v>
          </cell>
        </row>
        <row r="2888">
          <cell r="A2888">
            <v>9680749</v>
          </cell>
          <cell r="B2888">
            <v>321200</v>
          </cell>
          <cell r="C2888" t="str">
            <v>SALARIES AND WAGES</v>
          </cell>
        </row>
        <row r="2889">
          <cell r="A2889">
            <v>9680894</v>
          </cell>
          <cell r="B2889">
            <v>321200</v>
          </cell>
          <cell r="C2889" t="str">
            <v>SALARIES AND WAGES</v>
          </cell>
        </row>
        <row r="2890">
          <cell r="A2890">
            <v>9680999</v>
          </cell>
          <cell r="B2890">
            <v>321200</v>
          </cell>
          <cell r="C2890" t="str">
            <v>SALARIES AND WAGES</v>
          </cell>
        </row>
        <row r="2891">
          <cell r="A2891">
            <v>9681700</v>
          </cell>
          <cell r="B2891">
            <v>321200</v>
          </cell>
          <cell r="C2891" t="str">
            <v>SALARIES AND WAGES</v>
          </cell>
        </row>
        <row r="2892">
          <cell r="A2892">
            <v>9681701</v>
          </cell>
          <cell r="B2892">
            <v>321200</v>
          </cell>
          <cell r="C2892" t="str">
            <v>SALARIES AND WAGES</v>
          </cell>
        </row>
        <row r="2893">
          <cell r="A2893">
            <v>9681702</v>
          </cell>
          <cell r="B2893">
            <v>321200</v>
          </cell>
          <cell r="C2893" t="str">
            <v>SALARIES AND WAGES</v>
          </cell>
        </row>
        <row r="2894">
          <cell r="A2894">
            <v>9681705</v>
          </cell>
          <cell r="B2894">
            <v>321200</v>
          </cell>
          <cell r="C2894" t="str">
            <v>SALARIES AND WAGES</v>
          </cell>
        </row>
        <row r="2895">
          <cell r="A2895">
            <v>9681706</v>
          </cell>
          <cell r="B2895">
            <v>321200</v>
          </cell>
          <cell r="C2895" t="str">
            <v>SALARIES AND WAGES</v>
          </cell>
        </row>
        <row r="2896">
          <cell r="A2896">
            <v>9681707</v>
          </cell>
          <cell r="B2896">
            <v>321200</v>
          </cell>
          <cell r="C2896" t="str">
            <v>SALARIES AND WAGES</v>
          </cell>
        </row>
        <row r="2897">
          <cell r="A2897">
            <v>9681710</v>
          </cell>
          <cell r="B2897">
            <v>321200</v>
          </cell>
          <cell r="C2897" t="str">
            <v>SALARIES AND WAGES</v>
          </cell>
        </row>
        <row r="2898">
          <cell r="A2898">
            <v>9681712</v>
          </cell>
          <cell r="B2898">
            <v>321200</v>
          </cell>
          <cell r="C2898" t="str">
            <v>SALARIES AND WAGES</v>
          </cell>
        </row>
        <row r="2899">
          <cell r="A2899">
            <v>9681727</v>
          </cell>
          <cell r="B2899">
            <v>321200</v>
          </cell>
          <cell r="C2899" t="str">
            <v>SALARIES AND WAGES</v>
          </cell>
        </row>
        <row r="2900">
          <cell r="A2900">
            <v>9681734</v>
          </cell>
          <cell r="B2900">
            <v>321200</v>
          </cell>
          <cell r="C2900" t="str">
            <v>SALARIES AND WAGES</v>
          </cell>
        </row>
        <row r="2901">
          <cell r="A2901">
            <v>9681748</v>
          </cell>
          <cell r="B2901">
            <v>321200</v>
          </cell>
          <cell r="C2901" t="str">
            <v>SALARIES AND WAGES</v>
          </cell>
        </row>
        <row r="2902">
          <cell r="A2902">
            <v>9681749</v>
          </cell>
          <cell r="B2902">
            <v>321200</v>
          </cell>
          <cell r="C2902" t="str">
            <v>SALARIES AND WAGES</v>
          </cell>
        </row>
        <row r="2903">
          <cell r="A2903">
            <v>9681894</v>
          </cell>
          <cell r="B2903">
            <v>321200</v>
          </cell>
          <cell r="C2903" t="str">
            <v>SALARIES AND WAGES</v>
          </cell>
        </row>
        <row r="2904">
          <cell r="A2904">
            <v>9681999</v>
          </cell>
          <cell r="B2904">
            <v>321200</v>
          </cell>
          <cell r="C2904" t="str">
            <v>SALARIES AND WAGES</v>
          </cell>
        </row>
        <row r="2905">
          <cell r="A2905">
            <v>9682715</v>
          </cell>
          <cell r="B2905">
            <v>321200</v>
          </cell>
          <cell r="C2905" t="str">
            <v>SALARIES AND WAGES</v>
          </cell>
        </row>
        <row r="2906">
          <cell r="A2906">
            <v>9682722</v>
          </cell>
          <cell r="B2906">
            <v>321200</v>
          </cell>
          <cell r="C2906" t="str">
            <v>SALARIES AND WAGES</v>
          </cell>
        </row>
        <row r="2907">
          <cell r="A2907">
            <v>9682999</v>
          </cell>
          <cell r="B2907">
            <v>321200</v>
          </cell>
          <cell r="C2907" t="str">
            <v>SALARIES AND WAGES</v>
          </cell>
        </row>
        <row r="2908">
          <cell r="A2908">
            <v>9683999</v>
          </cell>
          <cell r="B2908">
            <v>321200</v>
          </cell>
          <cell r="C2908" t="str">
            <v>SALARIES AND WAGES</v>
          </cell>
        </row>
        <row r="2909">
          <cell r="A2909">
            <v>9684999</v>
          </cell>
          <cell r="B2909">
            <v>321200</v>
          </cell>
          <cell r="C2909" t="str">
            <v>SALARIES AND WAGES</v>
          </cell>
        </row>
        <row r="2910">
          <cell r="A2910">
            <v>9685999</v>
          </cell>
          <cell r="B2910">
            <v>321200</v>
          </cell>
          <cell r="C2910" t="str">
            <v>SALARIES AND WAGES</v>
          </cell>
        </row>
        <row r="2911">
          <cell r="A2911">
            <v>9689692</v>
          </cell>
          <cell r="B2911">
            <v>321200</v>
          </cell>
          <cell r="C2911" t="str">
            <v>SALARIES AND WAGES</v>
          </cell>
        </row>
        <row r="2912">
          <cell r="A2912">
            <v>9689747</v>
          </cell>
          <cell r="B2912">
            <v>321200</v>
          </cell>
          <cell r="C2912" t="str">
            <v>SALARIES AND WAGES</v>
          </cell>
        </row>
        <row r="2913">
          <cell r="A2913">
            <v>9689883</v>
          </cell>
          <cell r="B2913">
            <v>321200</v>
          </cell>
          <cell r="C2913" t="str">
            <v>SALARIES AND WAGES</v>
          </cell>
        </row>
        <row r="2914">
          <cell r="A2914">
            <v>9689890</v>
          </cell>
          <cell r="B2914">
            <v>321200</v>
          </cell>
          <cell r="C2914" t="str">
            <v>SALARIES AND WAGES</v>
          </cell>
        </row>
        <row r="2915">
          <cell r="A2915">
            <v>9689906</v>
          </cell>
          <cell r="B2915">
            <v>321200</v>
          </cell>
          <cell r="C2915" t="str">
            <v>SALARIES AND WAGES</v>
          </cell>
        </row>
        <row r="2916">
          <cell r="A2916">
            <v>9689925</v>
          </cell>
          <cell r="B2916">
            <v>321200</v>
          </cell>
          <cell r="C2916" t="str">
            <v>SALARIES AND WAGES</v>
          </cell>
        </row>
        <row r="2917">
          <cell r="A2917">
            <v>9689990</v>
          </cell>
          <cell r="B2917">
            <v>321200</v>
          </cell>
          <cell r="C2917" t="str">
            <v>SALARIES AND WAGES</v>
          </cell>
        </row>
        <row r="2918">
          <cell r="A2918">
            <v>9689991</v>
          </cell>
          <cell r="B2918">
            <v>321200</v>
          </cell>
          <cell r="C2918" t="str">
            <v>SALARIES AND WAGES</v>
          </cell>
        </row>
        <row r="2919">
          <cell r="A2919">
            <v>9689992</v>
          </cell>
          <cell r="B2919">
            <v>321200</v>
          </cell>
          <cell r="C2919" t="str">
            <v>SALARIES AND WAGES</v>
          </cell>
        </row>
        <row r="2920">
          <cell r="A2920">
            <v>9689993</v>
          </cell>
          <cell r="B2920">
            <v>321200</v>
          </cell>
          <cell r="C2920" t="str">
            <v>SALARIES AND WAGES</v>
          </cell>
        </row>
        <row r="2921">
          <cell r="A2921">
            <v>9689994</v>
          </cell>
          <cell r="B2921">
            <v>321200</v>
          </cell>
          <cell r="C2921" t="str">
            <v>SALARIES AND WAGES</v>
          </cell>
        </row>
        <row r="2922">
          <cell r="A2922">
            <v>9689999</v>
          </cell>
          <cell r="B2922">
            <v>321200</v>
          </cell>
          <cell r="C2922" t="str">
            <v>SALARIES AND WAGES</v>
          </cell>
        </row>
        <row r="2923">
          <cell r="A2923">
            <v>9969681</v>
          </cell>
          <cell r="B2923">
            <v>321200</v>
          </cell>
          <cell r="C2923" t="str">
            <v>SALARIES AND WAGES</v>
          </cell>
        </row>
        <row r="2924">
          <cell r="A2924">
            <v>9969901</v>
          </cell>
          <cell r="B2924">
            <v>321200</v>
          </cell>
          <cell r="C2924" t="str">
            <v>SALARIES AND WAGES</v>
          </cell>
        </row>
        <row r="2925">
          <cell r="A2925" t="str">
            <v>ZONE-0105-POST</v>
          </cell>
          <cell r="B2925">
            <v>321200</v>
          </cell>
          <cell r="C2925" t="str">
            <v>SALARIES AND WAGES</v>
          </cell>
        </row>
        <row r="2926">
          <cell r="A2926" t="str">
            <v>ZONE-0112-POST</v>
          </cell>
          <cell r="B2926">
            <v>321200</v>
          </cell>
          <cell r="C2926" t="str">
            <v>SALARIES AND WAGES</v>
          </cell>
        </row>
        <row r="2927">
          <cell r="A2927">
            <v>9685999</v>
          </cell>
          <cell r="B2927">
            <v>321200</v>
          </cell>
          <cell r="C2927" t="str">
            <v>SALARIES AND WAGES - VACATION</v>
          </cell>
        </row>
        <row r="2928">
          <cell r="A2928">
            <v>9080700</v>
          </cell>
          <cell r="B2928">
            <v>321200</v>
          </cell>
          <cell r="C2928" t="str">
            <v>SALARIES AND WAGES - LEAVE OF</v>
          </cell>
        </row>
        <row r="2929">
          <cell r="A2929">
            <v>9080701</v>
          </cell>
          <cell r="B2929">
            <v>321200</v>
          </cell>
          <cell r="C2929" t="str">
            <v>SALARIES AND WAGES - LEAVE OF</v>
          </cell>
        </row>
        <row r="2930">
          <cell r="A2930">
            <v>9080702</v>
          </cell>
          <cell r="B2930">
            <v>321200</v>
          </cell>
          <cell r="C2930" t="str">
            <v>SALARIES AND WAGES - LEAVE OF</v>
          </cell>
        </row>
        <row r="2931">
          <cell r="A2931">
            <v>9080705</v>
          </cell>
          <cell r="B2931">
            <v>321200</v>
          </cell>
          <cell r="C2931" t="str">
            <v>SALARIES AND WAGES - LEAVE OF</v>
          </cell>
        </row>
        <row r="2932">
          <cell r="A2932">
            <v>9080707</v>
          </cell>
          <cell r="B2932">
            <v>321200</v>
          </cell>
          <cell r="C2932" t="str">
            <v>SALARIES AND WAGES - LEAVE OF</v>
          </cell>
        </row>
        <row r="2933">
          <cell r="A2933">
            <v>9080710</v>
          </cell>
          <cell r="B2933">
            <v>321200</v>
          </cell>
          <cell r="C2933" t="str">
            <v>SALARIES AND WAGES - LEAVE OF</v>
          </cell>
        </row>
        <row r="2934">
          <cell r="A2934">
            <v>9080712</v>
          </cell>
          <cell r="B2934">
            <v>321200</v>
          </cell>
          <cell r="C2934" t="str">
            <v>SALARIES AND WAGES - LEAVE OF</v>
          </cell>
        </row>
        <row r="2935">
          <cell r="A2935">
            <v>9080999</v>
          </cell>
          <cell r="B2935">
            <v>321200</v>
          </cell>
          <cell r="C2935" t="str">
            <v>SALARIES AND WAGES - LEAVE OF</v>
          </cell>
        </row>
        <row r="2936">
          <cell r="A2936">
            <v>9110700</v>
          </cell>
          <cell r="B2936">
            <v>321200</v>
          </cell>
          <cell r="C2936" t="str">
            <v>SALARIES AND WAGES - LEAVE OF</v>
          </cell>
        </row>
        <row r="2937">
          <cell r="A2937">
            <v>9110702</v>
          </cell>
          <cell r="B2937">
            <v>321200</v>
          </cell>
          <cell r="C2937" t="str">
            <v>SALARIES AND WAGES - LEAVE OF</v>
          </cell>
        </row>
        <row r="2938">
          <cell r="A2938">
            <v>9110705</v>
          </cell>
          <cell r="B2938">
            <v>321200</v>
          </cell>
          <cell r="C2938" t="str">
            <v>SALARIES AND WAGES - LEAVE OF</v>
          </cell>
        </row>
        <row r="2939">
          <cell r="A2939">
            <v>9110707</v>
          </cell>
          <cell r="B2939">
            <v>321200</v>
          </cell>
          <cell r="C2939" t="str">
            <v>SALARIES AND WAGES - LEAVE OF</v>
          </cell>
        </row>
        <row r="2940">
          <cell r="A2940">
            <v>9110712</v>
          </cell>
          <cell r="B2940">
            <v>321200</v>
          </cell>
          <cell r="C2940" t="str">
            <v>SALARIES AND WAGES - LEAVE OF</v>
          </cell>
        </row>
        <row r="2941">
          <cell r="A2941">
            <v>9110999</v>
          </cell>
          <cell r="B2941">
            <v>321200</v>
          </cell>
          <cell r="C2941" t="str">
            <v>SALARIES AND WAGES - LEAVE OF</v>
          </cell>
        </row>
        <row r="2942">
          <cell r="A2942">
            <v>9681700</v>
          </cell>
          <cell r="B2942">
            <v>321200</v>
          </cell>
          <cell r="C2942" t="str">
            <v>SALARIES AND WAGES - LEAVE OF</v>
          </cell>
        </row>
        <row r="2943">
          <cell r="A2943">
            <v>9681701</v>
          </cell>
          <cell r="B2943">
            <v>321200</v>
          </cell>
          <cell r="C2943" t="str">
            <v>SALARIES AND WAGES - LEAVE OF</v>
          </cell>
        </row>
        <row r="2944">
          <cell r="A2944">
            <v>9681702</v>
          </cell>
          <cell r="B2944">
            <v>321200</v>
          </cell>
          <cell r="C2944" t="str">
            <v>SALARIES AND WAGES - LEAVE OF</v>
          </cell>
        </row>
        <row r="2945">
          <cell r="A2945">
            <v>9681705</v>
          </cell>
          <cell r="B2945">
            <v>321200</v>
          </cell>
          <cell r="C2945" t="str">
            <v>SALARIES AND WAGES - LEAVE OF</v>
          </cell>
        </row>
        <row r="2946">
          <cell r="A2946">
            <v>9681706</v>
          </cell>
          <cell r="B2946">
            <v>321200</v>
          </cell>
          <cell r="C2946" t="str">
            <v>SALARIES AND WAGES - LEAVE OF</v>
          </cell>
        </row>
        <row r="2947">
          <cell r="A2947">
            <v>9681707</v>
          </cell>
          <cell r="B2947">
            <v>321200</v>
          </cell>
          <cell r="C2947" t="str">
            <v>SALARIES AND WAGES - LEAVE OF</v>
          </cell>
        </row>
        <row r="2948">
          <cell r="A2948">
            <v>9681712</v>
          </cell>
          <cell r="B2948">
            <v>321200</v>
          </cell>
          <cell r="C2948" t="str">
            <v>SALARIES AND WAGES - LEAVE OF</v>
          </cell>
        </row>
        <row r="2949">
          <cell r="A2949">
            <v>9681727</v>
          </cell>
          <cell r="B2949">
            <v>321200</v>
          </cell>
          <cell r="C2949" t="str">
            <v>SALARIES AND WAGES - LEAVE OF</v>
          </cell>
        </row>
        <row r="2950">
          <cell r="A2950">
            <v>9681749</v>
          </cell>
          <cell r="B2950">
            <v>321200</v>
          </cell>
          <cell r="C2950" t="str">
            <v>SALARIES AND WAGES - LEAVE OF</v>
          </cell>
        </row>
        <row r="2951">
          <cell r="A2951">
            <v>9681999</v>
          </cell>
          <cell r="B2951">
            <v>321200</v>
          </cell>
          <cell r="C2951" t="str">
            <v>SALARIES AND WAGES - LEAVE OF</v>
          </cell>
        </row>
        <row r="2952">
          <cell r="A2952">
            <v>9683999</v>
          </cell>
          <cell r="B2952">
            <v>321200</v>
          </cell>
          <cell r="C2952" t="str">
            <v>SALARIES AND WAGES - LEAVE OF</v>
          </cell>
        </row>
        <row r="2953">
          <cell r="A2953">
            <v>9684999</v>
          </cell>
          <cell r="B2953">
            <v>321200</v>
          </cell>
          <cell r="C2953" t="str">
            <v>SALARIES AND WAGES - LEAVE OF</v>
          </cell>
        </row>
        <row r="2954">
          <cell r="A2954">
            <v>9685999</v>
          </cell>
          <cell r="B2954">
            <v>321200</v>
          </cell>
          <cell r="C2954" t="str">
            <v>SALARIES AND WAGES - LEAVE OF</v>
          </cell>
        </row>
        <row r="2955">
          <cell r="A2955">
            <v>9689692</v>
          </cell>
          <cell r="B2955">
            <v>321200</v>
          </cell>
          <cell r="C2955" t="str">
            <v>SALARIES AND WAGES - LEAVE OF</v>
          </cell>
        </row>
        <row r="2956">
          <cell r="A2956">
            <v>9689747</v>
          </cell>
          <cell r="B2956">
            <v>321200</v>
          </cell>
          <cell r="C2956" t="str">
            <v>SALARIES AND WAGES - LEAVE OF</v>
          </cell>
        </row>
        <row r="2957">
          <cell r="A2957">
            <v>9689883</v>
          </cell>
          <cell r="B2957">
            <v>321200</v>
          </cell>
          <cell r="C2957" t="str">
            <v>SALARIES AND WAGES - LEAVE OF</v>
          </cell>
        </row>
        <row r="2958">
          <cell r="A2958">
            <v>9689890</v>
          </cell>
          <cell r="B2958">
            <v>321200</v>
          </cell>
          <cell r="C2958" t="str">
            <v>SALARIES AND WAGES - LEAVE OF</v>
          </cell>
        </row>
        <row r="2959">
          <cell r="A2959">
            <v>9689906</v>
          </cell>
          <cell r="B2959">
            <v>321200</v>
          </cell>
          <cell r="C2959" t="str">
            <v>SALARIES AND WAGES - LEAVE OF</v>
          </cell>
        </row>
        <row r="2960">
          <cell r="A2960">
            <v>9689925</v>
          </cell>
          <cell r="B2960">
            <v>321200</v>
          </cell>
          <cell r="C2960" t="str">
            <v>SALARIES AND WAGES - LEAVE OF</v>
          </cell>
        </row>
        <row r="2961">
          <cell r="A2961">
            <v>9689990</v>
          </cell>
          <cell r="B2961">
            <v>321200</v>
          </cell>
          <cell r="C2961" t="str">
            <v>SALARIES AND WAGES - LEAVE OF</v>
          </cell>
        </row>
        <row r="2962">
          <cell r="A2962">
            <v>9689992</v>
          </cell>
          <cell r="B2962">
            <v>321200</v>
          </cell>
          <cell r="C2962" t="str">
            <v>SALARIES AND WAGES - LEAVE OF</v>
          </cell>
        </row>
        <row r="2963">
          <cell r="A2963">
            <v>9689999</v>
          </cell>
          <cell r="B2963">
            <v>321200</v>
          </cell>
          <cell r="C2963" t="str">
            <v>SALARIES AND WAGES - LEAVE OF</v>
          </cell>
        </row>
        <row r="2964">
          <cell r="A2964">
            <v>8001054179</v>
          </cell>
          <cell r="B2964">
            <v>321200</v>
          </cell>
          <cell r="C2964" t="str">
            <v>SALARIES AND WAGES - FULL TIME HEAD</v>
          </cell>
        </row>
        <row r="2965">
          <cell r="A2965">
            <v>8001059542</v>
          </cell>
          <cell r="B2965">
            <v>321200</v>
          </cell>
          <cell r="C2965" t="str">
            <v>SALARIES AND WAGES - FULL TIME HEAD</v>
          </cell>
        </row>
        <row r="2966">
          <cell r="A2966">
            <v>8010512510</v>
          </cell>
          <cell r="B2966">
            <v>321200</v>
          </cell>
          <cell r="C2966" t="str">
            <v>SALARIES AND WAGES - FULL TIME HEAD</v>
          </cell>
        </row>
        <row r="2967">
          <cell r="A2967">
            <v>9080700</v>
          </cell>
          <cell r="B2967">
            <v>321200</v>
          </cell>
          <cell r="C2967" t="str">
            <v>SALARIES AND WAGES - FULL TIME HEAD</v>
          </cell>
        </row>
        <row r="2968">
          <cell r="A2968">
            <v>9080701</v>
          </cell>
          <cell r="B2968">
            <v>321200</v>
          </cell>
          <cell r="C2968" t="str">
            <v>SALARIES AND WAGES - FULL TIME HEAD</v>
          </cell>
        </row>
        <row r="2969">
          <cell r="A2969">
            <v>9080702</v>
          </cell>
          <cell r="B2969">
            <v>321200</v>
          </cell>
          <cell r="C2969" t="str">
            <v>SALARIES AND WAGES - FULL TIME HEAD</v>
          </cell>
        </row>
        <row r="2970">
          <cell r="A2970">
            <v>9080705</v>
          </cell>
          <cell r="B2970">
            <v>321200</v>
          </cell>
          <cell r="C2970" t="str">
            <v>SALARIES AND WAGES - FULL TIME HEAD</v>
          </cell>
        </row>
        <row r="2971">
          <cell r="A2971">
            <v>9080707</v>
          </cell>
          <cell r="B2971">
            <v>321200</v>
          </cell>
          <cell r="C2971" t="str">
            <v>SALARIES AND WAGES - FULL TIME HEAD</v>
          </cell>
        </row>
        <row r="2972">
          <cell r="A2972">
            <v>9080710</v>
          </cell>
          <cell r="B2972">
            <v>321200</v>
          </cell>
          <cell r="C2972" t="str">
            <v>SALARIES AND WAGES - FULL TIME HEAD</v>
          </cell>
        </row>
        <row r="2973">
          <cell r="A2973">
            <v>9080712</v>
          </cell>
          <cell r="B2973">
            <v>321200</v>
          </cell>
          <cell r="C2973" t="str">
            <v>SALARIES AND WAGES - FULL TIME HEAD</v>
          </cell>
        </row>
        <row r="2974">
          <cell r="A2974">
            <v>9080999</v>
          </cell>
          <cell r="B2974">
            <v>321200</v>
          </cell>
          <cell r="C2974" t="str">
            <v>SALARIES AND WAGES - FULL TIME HEAD</v>
          </cell>
        </row>
        <row r="2975">
          <cell r="A2975">
            <v>9090999</v>
          </cell>
          <cell r="B2975">
            <v>321200</v>
          </cell>
          <cell r="C2975" t="str">
            <v>SALARIES AND WAGES - FULL TIME HEAD</v>
          </cell>
        </row>
        <row r="2976">
          <cell r="A2976">
            <v>9100999</v>
          </cell>
          <cell r="B2976">
            <v>321200</v>
          </cell>
          <cell r="C2976" t="str">
            <v>SALARIES AND WAGES - FULL TIME HEAD</v>
          </cell>
        </row>
        <row r="2977">
          <cell r="A2977">
            <v>9110700</v>
          </cell>
          <cell r="B2977">
            <v>321200</v>
          </cell>
          <cell r="C2977" t="str">
            <v>SALARIES AND WAGES - FULL TIME HEAD</v>
          </cell>
        </row>
        <row r="2978">
          <cell r="A2978">
            <v>9110702</v>
          </cell>
          <cell r="B2978">
            <v>321200</v>
          </cell>
          <cell r="C2978" t="str">
            <v>SALARIES AND WAGES - FULL TIME HEAD</v>
          </cell>
        </row>
        <row r="2979">
          <cell r="A2979">
            <v>9110705</v>
          </cell>
          <cell r="B2979">
            <v>321200</v>
          </cell>
          <cell r="C2979" t="str">
            <v>SALARIES AND WAGES - FULL TIME HEAD</v>
          </cell>
        </row>
        <row r="2980">
          <cell r="A2980">
            <v>9110707</v>
          </cell>
          <cell r="B2980">
            <v>321200</v>
          </cell>
          <cell r="C2980" t="str">
            <v>SALARIES AND WAGES - FULL TIME HEAD</v>
          </cell>
        </row>
        <row r="2981">
          <cell r="A2981">
            <v>9110712</v>
          </cell>
          <cell r="B2981">
            <v>321200</v>
          </cell>
          <cell r="C2981" t="str">
            <v>SALARIES AND WAGES - FULL TIME HEAD</v>
          </cell>
        </row>
        <row r="2982">
          <cell r="A2982">
            <v>9110999</v>
          </cell>
          <cell r="B2982">
            <v>321200</v>
          </cell>
          <cell r="C2982" t="str">
            <v>SALARIES AND WAGES - FULL TIME HEAD</v>
          </cell>
        </row>
        <row r="2983">
          <cell r="A2983">
            <v>9680700</v>
          </cell>
          <cell r="B2983">
            <v>321200</v>
          </cell>
          <cell r="C2983" t="str">
            <v>SALARIES AND WAGES - FULL TIME HEAD</v>
          </cell>
        </row>
        <row r="2984">
          <cell r="A2984">
            <v>9680701</v>
          </cell>
          <cell r="B2984">
            <v>321200</v>
          </cell>
          <cell r="C2984" t="str">
            <v>SALARIES AND WAGES - FULL TIME HEAD</v>
          </cell>
        </row>
        <row r="2985">
          <cell r="A2985">
            <v>9680702</v>
          </cell>
          <cell r="B2985">
            <v>321200</v>
          </cell>
          <cell r="C2985" t="str">
            <v>SALARIES AND WAGES - FULL TIME HEAD</v>
          </cell>
        </row>
        <row r="2986">
          <cell r="A2986">
            <v>9680705</v>
          </cell>
          <cell r="B2986">
            <v>321200</v>
          </cell>
          <cell r="C2986" t="str">
            <v>SALARIES AND WAGES - FULL TIME HEAD</v>
          </cell>
        </row>
        <row r="2987">
          <cell r="A2987">
            <v>9680707</v>
          </cell>
          <cell r="B2987">
            <v>321200</v>
          </cell>
          <cell r="C2987" t="str">
            <v>SALARIES AND WAGES - FULL TIME HEAD</v>
          </cell>
        </row>
        <row r="2988">
          <cell r="A2988">
            <v>9680710</v>
          </cell>
          <cell r="B2988">
            <v>321200</v>
          </cell>
          <cell r="C2988" t="str">
            <v>SALARIES AND WAGES - FULL TIME HEAD</v>
          </cell>
        </row>
        <row r="2989">
          <cell r="A2989">
            <v>9680712</v>
          </cell>
          <cell r="B2989">
            <v>321200</v>
          </cell>
          <cell r="C2989" t="str">
            <v>SALARIES AND WAGES - FULL TIME HEAD</v>
          </cell>
        </row>
        <row r="2990">
          <cell r="A2990">
            <v>9680714</v>
          </cell>
          <cell r="B2990">
            <v>321200</v>
          </cell>
          <cell r="C2990" t="str">
            <v>SALARIES AND WAGES - FULL TIME HEAD</v>
          </cell>
        </row>
        <row r="2991">
          <cell r="A2991">
            <v>9680734</v>
          </cell>
          <cell r="B2991">
            <v>321200</v>
          </cell>
          <cell r="C2991" t="str">
            <v>SALARIES AND WAGES - FULL TIME HEAD</v>
          </cell>
        </row>
        <row r="2992">
          <cell r="A2992">
            <v>9680748</v>
          </cell>
          <cell r="B2992">
            <v>321200</v>
          </cell>
          <cell r="C2992" t="str">
            <v>SALARIES AND WAGES - FULL TIME HEAD</v>
          </cell>
        </row>
        <row r="2993">
          <cell r="A2993">
            <v>9680749</v>
          </cell>
          <cell r="B2993">
            <v>321200</v>
          </cell>
          <cell r="C2993" t="str">
            <v>SALARIES AND WAGES - FULL TIME HEAD</v>
          </cell>
        </row>
        <row r="2994">
          <cell r="A2994">
            <v>9680894</v>
          </cell>
          <cell r="B2994">
            <v>321200</v>
          </cell>
          <cell r="C2994" t="str">
            <v>SALARIES AND WAGES - FULL TIME HEAD</v>
          </cell>
        </row>
        <row r="2995">
          <cell r="A2995">
            <v>9680999</v>
          </cell>
          <cell r="B2995">
            <v>321200</v>
          </cell>
          <cell r="C2995" t="str">
            <v>SALARIES AND WAGES - FULL TIME HEAD</v>
          </cell>
        </row>
        <row r="2996">
          <cell r="A2996">
            <v>9681700</v>
          </cell>
          <cell r="B2996">
            <v>321200</v>
          </cell>
          <cell r="C2996" t="str">
            <v>SALARIES AND WAGES - FULL TIME HEAD</v>
          </cell>
        </row>
        <row r="2997">
          <cell r="A2997">
            <v>9681701</v>
          </cell>
          <cell r="B2997">
            <v>321200</v>
          </cell>
          <cell r="C2997" t="str">
            <v>SALARIES AND WAGES - FULL TIME HEAD</v>
          </cell>
        </row>
        <row r="2998">
          <cell r="A2998">
            <v>9681702</v>
          </cell>
          <cell r="B2998">
            <v>321200</v>
          </cell>
          <cell r="C2998" t="str">
            <v>SALARIES AND WAGES - FULL TIME HEAD</v>
          </cell>
        </row>
        <row r="2999">
          <cell r="A2999">
            <v>9681705</v>
          </cell>
          <cell r="B2999">
            <v>321200</v>
          </cell>
          <cell r="C2999" t="str">
            <v>SALARIES AND WAGES - FULL TIME HEAD</v>
          </cell>
        </row>
        <row r="3000">
          <cell r="A3000">
            <v>9681706</v>
          </cell>
          <cell r="B3000">
            <v>321200</v>
          </cell>
          <cell r="C3000" t="str">
            <v>SALARIES AND WAGES - FULL TIME HEAD</v>
          </cell>
        </row>
        <row r="3001">
          <cell r="A3001">
            <v>9681707</v>
          </cell>
          <cell r="B3001">
            <v>321200</v>
          </cell>
          <cell r="C3001" t="str">
            <v>SALARIES AND WAGES - FULL TIME HEAD</v>
          </cell>
        </row>
        <row r="3002">
          <cell r="A3002">
            <v>9681710</v>
          </cell>
          <cell r="B3002">
            <v>321200</v>
          </cell>
          <cell r="C3002" t="str">
            <v>SALARIES AND WAGES - FULL TIME HEAD</v>
          </cell>
        </row>
        <row r="3003">
          <cell r="A3003">
            <v>9681712</v>
          </cell>
          <cell r="B3003">
            <v>321200</v>
          </cell>
          <cell r="C3003" t="str">
            <v>SALARIES AND WAGES - FULL TIME HEAD</v>
          </cell>
        </row>
        <row r="3004">
          <cell r="A3004">
            <v>9681727</v>
          </cell>
          <cell r="B3004">
            <v>321200</v>
          </cell>
          <cell r="C3004" t="str">
            <v>SALARIES AND WAGES - FULL TIME HEAD</v>
          </cell>
        </row>
        <row r="3005">
          <cell r="A3005">
            <v>9681734</v>
          </cell>
          <cell r="B3005">
            <v>321200</v>
          </cell>
          <cell r="C3005" t="str">
            <v>SALARIES AND WAGES - FULL TIME HEAD</v>
          </cell>
        </row>
        <row r="3006">
          <cell r="A3006">
            <v>9681748</v>
          </cell>
          <cell r="B3006">
            <v>321200</v>
          </cell>
          <cell r="C3006" t="str">
            <v>SALARIES AND WAGES - FULL TIME HEAD</v>
          </cell>
        </row>
        <row r="3007">
          <cell r="A3007">
            <v>9681749</v>
          </cell>
          <cell r="B3007">
            <v>321200</v>
          </cell>
          <cell r="C3007" t="str">
            <v>SALARIES AND WAGES - FULL TIME HEAD</v>
          </cell>
        </row>
        <row r="3008">
          <cell r="A3008">
            <v>9681894</v>
          </cell>
          <cell r="B3008">
            <v>321200</v>
          </cell>
          <cell r="C3008" t="str">
            <v>SALARIES AND WAGES - FULL TIME HEAD</v>
          </cell>
        </row>
        <row r="3009">
          <cell r="A3009">
            <v>9681999</v>
          </cell>
          <cell r="B3009">
            <v>321200</v>
          </cell>
          <cell r="C3009" t="str">
            <v>SALARIES AND WAGES - FULL TIME HEAD</v>
          </cell>
        </row>
        <row r="3010">
          <cell r="A3010">
            <v>9682715</v>
          </cell>
          <cell r="B3010">
            <v>321200</v>
          </cell>
          <cell r="C3010" t="str">
            <v>SALARIES AND WAGES - FULL TIME HEAD</v>
          </cell>
        </row>
        <row r="3011">
          <cell r="A3011">
            <v>9682722</v>
          </cell>
          <cell r="B3011">
            <v>321200</v>
          </cell>
          <cell r="C3011" t="str">
            <v>SALARIES AND WAGES - FULL TIME HEAD</v>
          </cell>
        </row>
        <row r="3012">
          <cell r="A3012">
            <v>9682999</v>
          </cell>
          <cell r="B3012">
            <v>321200</v>
          </cell>
          <cell r="C3012" t="str">
            <v>SALARIES AND WAGES - FULL TIME HEAD</v>
          </cell>
        </row>
        <row r="3013">
          <cell r="A3013">
            <v>9683999</v>
          </cell>
          <cell r="B3013">
            <v>321200</v>
          </cell>
          <cell r="C3013" t="str">
            <v>SALARIES AND WAGES - FULL TIME HEAD</v>
          </cell>
        </row>
        <row r="3014">
          <cell r="A3014">
            <v>9684999</v>
          </cell>
          <cell r="B3014">
            <v>321200</v>
          </cell>
          <cell r="C3014" t="str">
            <v>SALARIES AND WAGES - FULL TIME HEAD</v>
          </cell>
        </row>
        <row r="3015">
          <cell r="A3015">
            <v>9685999</v>
          </cell>
          <cell r="B3015">
            <v>321200</v>
          </cell>
          <cell r="C3015" t="str">
            <v>SALARIES AND WAGES - FULL TIME HEAD</v>
          </cell>
        </row>
        <row r="3016">
          <cell r="A3016">
            <v>9689692</v>
          </cell>
          <cell r="B3016">
            <v>321200</v>
          </cell>
          <cell r="C3016" t="str">
            <v>SALARIES AND WAGES - FULL TIME HEAD</v>
          </cell>
        </row>
        <row r="3017">
          <cell r="A3017">
            <v>9689747</v>
          </cell>
          <cell r="B3017">
            <v>321200</v>
          </cell>
          <cell r="C3017" t="str">
            <v>SALARIES AND WAGES - FULL TIME HEAD</v>
          </cell>
        </row>
        <row r="3018">
          <cell r="A3018">
            <v>9689883</v>
          </cell>
          <cell r="B3018">
            <v>321200</v>
          </cell>
          <cell r="C3018" t="str">
            <v>SALARIES AND WAGES - FULL TIME HEAD</v>
          </cell>
        </row>
        <row r="3019">
          <cell r="A3019">
            <v>9689890</v>
          </cell>
          <cell r="B3019">
            <v>321200</v>
          </cell>
          <cell r="C3019" t="str">
            <v>SALARIES AND WAGES - FULL TIME HEAD</v>
          </cell>
        </row>
        <row r="3020">
          <cell r="A3020">
            <v>9689906</v>
          </cell>
          <cell r="B3020">
            <v>321200</v>
          </cell>
          <cell r="C3020" t="str">
            <v>SALARIES AND WAGES - FULL TIME HEAD</v>
          </cell>
        </row>
        <row r="3021">
          <cell r="A3021">
            <v>9689925</v>
          </cell>
          <cell r="B3021">
            <v>321200</v>
          </cell>
          <cell r="C3021" t="str">
            <v>SALARIES AND WAGES - FULL TIME HEAD</v>
          </cell>
        </row>
        <row r="3022">
          <cell r="A3022">
            <v>9689990</v>
          </cell>
          <cell r="B3022">
            <v>321200</v>
          </cell>
          <cell r="C3022" t="str">
            <v>SALARIES AND WAGES - FULL TIME HEAD</v>
          </cell>
        </row>
        <row r="3023">
          <cell r="A3023">
            <v>9689991</v>
          </cell>
          <cell r="B3023">
            <v>321200</v>
          </cell>
          <cell r="C3023" t="str">
            <v>SALARIES AND WAGES - FULL TIME HEAD</v>
          </cell>
        </row>
        <row r="3024">
          <cell r="A3024">
            <v>9689992</v>
          </cell>
          <cell r="B3024">
            <v>321200</v>
          </cell>
          <cell r="C3024" t="str">
            <v>SALARIES AND WAGES - FULL TIME HEAD</v>
          </cell>
        </row>
        <row r="3025">
          <cell r="A3025">
            <v>9689993</v>
          </cell>
          <cell r="B3025">
            <v>321200</v>
          </cell>
          <cell r="C3025" t="str">
            <v>SALARIES AND WAGES - FULL TIME HEAD</v>
          </cell>
        </row>
        <row r="3026">
          <cell r="A3026">
            <v>9689999</v>
          </cell>
          <cell r="B3026">
            <v>321200</v>
          </cell>
          <cell r="C3026" t="str">
            <v>SALARIES AND WAGES - FULL TIME HEAD</v>
          </cell>
        </row>
        <row r="3027">
          <cell r="A3027">
            <v>9969681</v>
          </cell>
          <cell r="B3027">
            <v>321200</v>
          </cell>
          <cell r="C3027" t="str">
            <v>SALARIES AND WAGES - FULL TIME HEAD</v>
          </cell>
        </row>
        <row r="3028">
          <cell r="A3028">
            <v>9969901</v>
          </cell>
          <cell r="B3028">
            <v>321200</v>
          </cell>
          <cell r="C3028" t="str">
            <v>SALARIES AND WAGES - FULL TIME HEAD</v>
          </cell>
        </row>
        <row r="3029">
          <cell r="A3029" t="str">
            <v>ZONE-0105-POST</v>
          </cell>
          <cell r="B3029">
            <v>321200</v>
          </cell>
          <cell r="C3029" t="str">
            <v>SALARIES AND WAGES - FULL TIME HEAD</v>
          </cell>
        </row>
        <row r="3030">
          <cell r="A3030" t="str">
            <v>ZONE-0112-POST</v>
          </cell>
          <cell r="B3030">
            <v>321200</v>
          </cell>
          <cell r="C3030" t="str">
            <v>SALARIES AND WAGES - FULL TIME HEAD</v>
          </cell>
        </row>
        <row r="3031">
          <cell r="A3031">
            <v>9080700</v>
          </cell>
          <cell r="B3031">
            <v>321200</v>
          </cell>
          <cell r="C3031" t="str">
            <v>SALARIES AND WAGES - PART TIME HEAD</v>
          </cell>
        </row>
        <row r="3032">
          <cell r="A3032">
            <v>9080701</v>
          </cell>
          <cell r="B3032">
            <v>321200</v>
          </cell>
          <cell r="C3032" t="str">
            <v>SALARIES AND WAGES - PART TIME HEAD</v>
          </cell>
        </row>
        <row r="3033">
          <cell r="A3033">
            <v>9080702</v>
          </cell>
          <cell r="B3033">
            <v>321200</v>
          </cell>
          <cell r="C3033" t="str">
            <v>SALARIES AND WAGES - PART TIME HEAD</v>
          </cell>
        </row>
        <row r="3034">
          <cell r="A3034">
            <v>9080705</v>
          </cell>
          <cell r="B3034">
            <v>321200</v>
          </cell>
          <cell r="C3034" t="str">
            <v>SALARIES AND WAGES - PART TIME HEAD</v>
          </cell>
        </row>
        <row r="3035">
          <cell r="A3035">
            <v>9080707</v>
          </cell>
          <cell r="B3035">
            <v>321200</v>
          </cell>
          <cell r="C3035" t="str">
            <v>SALARIES AND WAGES - PART TIME HEAD</v>
          </cell>
        </row>
        <row r="3036">
          <cell r="A3036">
            <v>9080710</v>
          </cell>
          <cell r="B3036">
            <v>321200</v>
          </cell>
          <cell r="C3036" t="str">
            <v>SALARIES AND WAGES - PART TIME HEAD</v>
          </cell>
        </row>
        <row r="3037">
          <cell r="A3037">
            <v>9080712</v>
          </cell>
          <cell r="B3037">
            <v>321200</v>
          </cell>
          <cell r="C3037" t="str">
            <v>SALARIES AND WAGES - PART TIME HEAD</v>
          </cell>
        </row>
        <row r="3038">
          <cell r="A3038">
            <v>9080999</v>
          </cell>
          <cell r="B3038">
            <v>321200</v>
          </cell>
          <cell r="C3038" t="str">
            <v>SALARIES AND WAGES - PART TIME HEAD</v>
          </cell>
        </row>
        <row r="3039">
          <cell r="A3039">
            <v>9110700</v>
          </cell>
          <cell r="B3039">
            <v>321200</v>
          </cell>
          <cell r="C3039" t="str">
            <v>SALARIES AND WAGES - PART TIME HEAD</v>
          </cell>
        </row>
        <row r="3040">
          <cell r="A3040">
            <v>9110702</v>
          </cell>
          <cell r="B3040">
            <v>321200</v>
          </cell>
          <cell r="C3040" t="str">
            <v>SALARIES AND WAGES - PART TIME HEAD</v>
          </cell>
        </row>
        <row r="3041">
          <cell r="A3041">
            <v>9110705</v>
          </cell>
          <cell r="B3041">
            <v>321200</v>
          </cell>
          <cell r="C3041" t="str">
            <v>SALARIES AND WAGES - PART TIME HEAD</v>
          </cell>
        </row>
        <row r="3042">
          <cell r="A3042">
            <v>9110707</v>
          </cell>
          <cell r="B3042">
            <v>321200</v>
          </cell>
          <cell r="C3042" t="str">
            <v>SALARIES AND WAGES - PART TIME HEAD</v>
          </cell>
        </row>
        <row r="3043">
          <cell r="A3043">
            <v>9110712</v>
          </cell>
          <cell r="B3043">
            <v>321200</v>
          </cell>
          <cell r="C3043" t="str">
            <v>SALARIES AND WAGES - PART TIME HEAD</v>
          </cell>
        </row>
        <row r="3044">
          <cell r="A3044">
            <v>9110999</v>
          </cell>
          <cell r="B3044">
            <v>321200</v>
          </cell>
          <cell r="C3044" t="str">
            <v>SALARIES AND WAGES - PART TIME HEAD</v>
          </cell>
        </row>
        <row r="3045">
          <cell r="A3045">
            <v>9681700</v>
          </cell>
          <cell r="B3045">
            <v>321200</v>
          </cell>
          <cell r="C3045" t="str">
            <v>SALARIES AND WAGES - PART TIME HEAD</v>
          </cell>
        </row>
        <row r="3046">
          <cell r="A3046">
            <v>9681701</v>
          </cell>
          <cell r="B3046">
            <v>321200</v>
          </cell>
          <cell r="C3046" t="str">
            <v>SALARIES AND WAGES - PART TIME HEAD</v>
          </cell>
        </row>
        <row r="3047">
          <cell r="A3047">
            <v>9681702</v>
          </cell>
          <cell r="B3047">
            <v>321200</v>
          </cell>
          <cell r="C3047" t="str">
            <v>SALARIES AND WAGES - PART TIME HEAD</v>
          </cell>
        </row>
        <row r="3048">
          <cell r="A3048">
            <v>9681705</v>
          </cell>
          <cell r="B3048">
            <v>321200</v>
          </cell>
          <cell r="C3048" t="str">
            <v>SALARIES AND WAGES - PART TIME HEAD</v>
          </cell>
        </row>
        <row r="3049">
          <cell r="A3049">
            <v>9681706</v>
          </cell>
          <cell r="B3049">
            <v>321200</v>
          </cell>
          <cell r="C3049" t="str">
            <v>SALARIES AND WAGES - PART TIME HEAD</v>
          </cell>
        </row>
        <row r="3050">
          <cell r="A3050">
            <v>9681707</v>
          </cell>
          <cell r="B3050">
            <v>321200</v>
          </cell>
          <cell r="C3050" t="str">
            <v>SALARIES AND WAGES - PART TIME HEAD</v>
          </cell>
        </row>
        <row r="3051">
          <cell r="A3051">
            <v>9681712</v>
          </cell>
          <cell r="B3051">
            <v>321200</v>
          </cell>
          <cell r="C3051" t="str">
            <v>SALARIES AND WAGES - PART TIME HEAD</v>
          </cell>
        </row>
        <row r="3052">
          <cell r="A3052">
            <v>9681727</v>
          </cell>
          <cell r="B3052">
            <v>321200</v>
          </cell>
          <cell r="C3052" t="str">
            <v>SALARIES AND WAGES - PART TIME HEAD</v>
          </cell>
        </row>
        <row r="3053">
          <cell r="A3053">
            <v>9681749</v>
          </cell>
          <cell r="B3053">
            <v>321200</v>
          </cell>
          <cell r="C3053" t="str">
            <v>SALARIES AND WAGES - PART TIME HEAD</v>
          </cell>
        </row>
        <row r="3054">
          <cell r="A3054">
            <v>9681999</v>
          </cell>
          <cell r="B3054">
            <v>321200</v>
          </cell>
          <cell r="C3054" t="str">
            <v>SALARIES AND WAGES - PART TIME HEAD</v>
          </cell>
        </row>
        <row r="3055">
          <cell r="A3055">
            <v>9685999</v>
          </cell>
          <cell r="B3055">
            <v>321200</v>
          </cell>
          <cell r="C3055" t="str">
            <v>SALARIES AND WAGES - PART TIME HEAD</v>
          </cell>
        </row>
        <row r="3056">
          <cell r="A3056">
            <v>9689999</v>
          </cell>
          <cell r="B3056">
            <v>321200</v>
          </cell>
          <cell r="C3056" t="str">
            <v>SALARIES AND WAGES - PART TIME HEAD</v>
          </cell>
        </row>
        <row r="3057">
          <cell r="A3057">
            <v>9080701</v>
          </cell>
          <cell r="B3057">
            <v>321200</v>
          </cell>
          <cell r="C3057" t="str">
            <v>SALARIES AND WAGES - PROJECT HEAD</v>
          </cell>
        </row>
        <row r="3058">
          <cell r="A3058">
            <v>9080702</v>
          </cell>
          <cell r="B3058">
            <v>321200</v>
          </cell>
          <cell r="C3058" t="str">
            <v>SALARIES AND WAGES - PROJECT HEAD</v>
          </cell>
        </row>
        <row r="3059">
          <cell r="A3059">
            <v>9080705</v>
          </cell>
          <cell r="B3059">
            <v>321200</v>
          </cell>
          <cell r="C3059" t="str">
            <v>SALARIES AND WAGES - PROJECT HEAD</v>
          </cell>
        </row>
        <row r="3060">
          <cell r="A3060">
            <v>9080707</v>
          </cell>
          <cell r="B3060">
            <v>321200</v>
          </cell>
          <cell r="C3060" t="str">
            <v>SALARIES AND WAGES - PROJECT HEAD</v>
          </cell>
        </row>
        <row r="3061">
          <cell r="A3061">
            <v>9080710</v>
          </cell>
          <cell r="B3061">
            <v>321200</v>
          </cell>
          <cell r="C3061" t="str">
            <v>SALARIES AND WAGES - PROJECT HEAD</v>
          </cell>
        </row>
        <row r="3062">
          <cell r="A3062">
            <v>9080712</v>
          </cell>
          <cell r="B3062">
            <v>321200</v>
          </cell>
          <cell r="C3062" t="str">
            <v>SALARIES AND WAGES - PROJECT HEAD</v>
          </cell>
        </row>
        <row r="3063">
          <cell r="A3063">
            <v>9080999</v>
          </cell>
          <cell r="B3063">
            <v>321200</v>
          </cell>
          <cell r="C3063" t="str">
            <v>SALARIES AND WAGES - PROJECT HEAD</v>
          </cell>
        </row>
        <row r="3064">
          <cell r="A3064">
            <v>9110702</v>
          </cell>
          <cell r="B3064">
            <v>321200</v>
          </cell>
          <cell r="C3064" t="str">
            <v>SALARIES AND WAGES - PROJECT HEAD</v>
          </cell>
        </row>
        <row r="3065">
          <cell r="A3065">
            <v>9110705</v>
          </cell>
          <cell r="B3065">
            <v>321200</v>
          </cell>
          <cell r="C3065" t="str">
            <v>SALARIES AND WAGES - PROJECT HEAD</v>
          </cell>
        </row>
        <row r="3066">
          <cell r="A3066">
            <v>9110707</v>
          </cell>
          <cell r="B3066">
            <v>321200</v>
          </cell>
          <cell r="C3066" t="str">
            <v>SALARIES AND WAGES - PROJECT HEAD</v>
          </cell>
        </row>
        <row r="3067">
          <cell r="A3067">
            <v>9110712</v>
          </cell>
          <cell r="B3067">
            <v>321200</v>
          </cell>
          <cell r="C3067" t="str">
            <v>SALARIES AND WAGES - PROJECT HEAD</v>
          </cell>
        </row>
        <row r="3068">
          <cell r="A3068">
            <v>9110999</v>
          </cell>
          <cell r="B3068">
            <v>321200</v>
          </cell>
          <cell r="C3068" t="str">
            <v>SALARIES AND WAGES - PROJECT HEAD</v>
          </cell>
        </row>
        <row r="3069">
          <cell r="A3069">
            <v>9683999</v>
          </cell>
          <cell r="B3069">
            <v>321200</v>
          </cell>
          <cell r="C3069" t="str">
            <v>SALARIES AND WAGES - PROJECT HEAD</v>
          </cell>
        </row>
        <row r="3070">
          <cell r="A3070">
            <v>9685999</v>
          </cell>
          <cell r="B3070">
            <v>321200</v>
          </cell>
          <cell r="C3070" t="str">
            <v>SALARIES AND WAGES - PROJECT HEAD</v>
          </cell>
        </row>
        <row r="3071">
          <cell r="A3071">
            <v>9689991</v>
          </cell>
          <cell r="B3071">
            <v>321200</v>
          </cell>
          <cell r="C3071" t="str">
            <v>SALARIES AND WAGES - PROJECT HEAD</v>
          </cell>
        </row>
        <row r="3072">
          <cell r="A3072">
            <v>9689999</v>
          </cell>
          <cell r="B3072">
            <v>321200</v>
          </cell>
          <cell r="C3072" t="str">
            <v>SALARIES AND WAGES - PROJECT HEAD</v>
          </cell>
        </row>
        <row r="3073">
          <cell r="A3073">
            <v>8001054179</v>
          </cell>
          <cell r="B3073">
            <v>321200</v>
          </cell>
          <cell r="C3073" t="str">
            <v>SALARIES AND WAGES - FULL TIME HOURS</v>
          </cell>
        </row>
        <row r="3074">
          <cell r="A3074">
            <v>8001059542</v>
          </cell>
          <cell r="B3074">
            <v>321200</v>
          </cell>
          <cell r="C3074" t="str">
            <v>SALARIES AND WAGES - FULL TIME HOURS</v>
          </cell>
        </row>
        <row r="3075">
          <cell r="A3075">
            <v>8010512510</v>
          </cell>
          <cell r="B3075">
            <v>321200</v>
          </cell>
          <cell r="C3075" t="str">
            <v>SALARIES AND WAGES - FULL TIME HOURS</v>
          </cell>
        </row>
        <row r="3076">
          <cell r="A3076">
            <v>9080700</v>
          </cell>
          <cell r="B3076">
            <v>321200</v>
          </cell>
          <cell r="C3076" t="str">
            <v>SALARIES AND WAGES - FULL TIME HOURS</v>
          </cell>
        </row>
        <row r="3077">
          <cell r="A3077">
            <v>9080701</v>
          </cell>
          <cell r="B3077">
            <v>321200</v>
          </cell>
          <cell r="C3077" t="str">
            <v>SALARIES AND WAGES - FULL TIME HOURS</v>
          </cell>
        </row>
        <row r="3078">
          <cell r="A3078">
            <v>9080702</v>
          </cell>
          <cell r="B3078">
            <v>321200</v>
          </cell>
          <cell r="C3078" t="str">
            <v>SALARIES AND WAGES - FULL TIME HOURS</v>
          </cell>
        </row>
        <row r="3079">
          <cell r="A3079">
            <v>9080705</v>
          </cell>
          <cell r="B3079">
            <v>321200</v>
          </cell>
          <cell r="C3079" t="str">
            <v>SALARIES AND WAGES - FULL TIME HOURS</v>
          </cell>
        </row>
        <row r="3080">
          <cell r="A3080">
            <v>9080707</v>
          </cell>
          <cell r="B3080">
            <v>321200</v>
          </cell>
          <cell r="C3080" t="str">
            <v>SALARIES AND WAGES - FULL TIME HOURS</v>
          </cell>
        </row>
        <row r="3081">
          <cell r="A3081">
            <v>9080710</v>
          </cell>
          <cell r="B3081">
            <v>321200</v>
          </cell>
          <cell r="C3081" t="str">
            <v>SALARIES AND WAGES - FULL TIME HOURS</v>
          </cell>
        </row>
        <row r="3082">
          <cell r="A3082">
            <v>9080712</v>
          </cell>
          <cell r="B3082">
            <v>321200</v>
          </cell>
          <cell r="C3082" t="str">
            <v>SALARIES AND WAGES - FULL TIME HOURS</v>
          </cell>
        </row>
        <row r="3083">
          <cell r="A3083">
            <v>9080999</v>
          </cell>
          <cell r="B3083">
            <v>321200</v>
          </cell>
          <cell r="C3083" t="str">
            <v>SALARIES AND WAGES - FULL TIME HOURS</v>
          </cell>
        </row>
        <row r="3084">
          <cell r="A3084">
            <v>9090999</v>
          </cell>
          <cell r="B3084">
            <v>321200</v>
          </cell>
          <cell r="C3084" t="str">
            <v>SALARIES AND WAGES - FULL TIME HOURS</v>
          </cell>
        </row>
        <row r="3085">
          <cell r="A3085">
            <v>9100999</v>
          </cell>
          <cell r="B3085">
            <v>321200</v>
          </cell>
          <cell r="C3085" t="str">
            <v>SALARIES AND WAGES - FULL TIME HOURS</v>
          </cell>
        </row>
        <row r="3086">
          <cell r="A3086">
            <v>9110700</v>
          </cell>
          <cell r="B3086">
            <v>321200</v>
          </cell>
          <cell r="C3086" t="str">
            <v>SALARIES AND WAGES - FULL TIME HOURS</v>
          </cell>
        </row>
        <row r="3087">
          <cell r="A3087">
            <v>9110702</v>
          </cell>
          <cell r="B3087">
            <v>321200</v>
          </cell>
          <cell r="C3087" t="str">
            <v>SALARIES AND WAGES - FULL TIME HOURS</v>
          </cell>
        </row>
        <row r="3088">
          <cell r="A3088">
            <v>9110705</v>
          </cell>
          <cell r="B3088">
            <v>321200</v>
          </cell>
          <cell r="C3088" t="str">
            <v>SALARIES AND WAGES - FULL TIME HOURS</v>
          </cell>
        </row>
        <row r="3089">
          <cell r="A3089">
            <v>9110707</v>
          </cell>
          <cell r="B3089">
            <v>321200</v>
          </cell>
          <cell r="C3089" t="str">
            <v>SALARIES AND WAGES - FULL TIME HOURS</v>
          </cell>
        </row>
        <row r="3090">
          <cell r="A3090">
            <v>9110712</v>
          </cell>
          <cell r="B3090">
            <v>321200</v>
          </cell>
          <cell r="C3090" t="str">
            <v>SALARIES AND WAGES - FULL TIME HOURS</v>
          </cell>
        </row>
        <row r="3091">
          <cell r="A3091">
            <v>9110999</v>
          </cell>
          <cell r="B3091">
            <v>321200</v>
          </cell>
          <cell r="C3091" t="str">
            <v>SALARIES AND WAGES - FULL TIME HOURS</v>
          </cell>
        </row>
        <row r="3092">
          <cell r="A3092">
            <v>9680700</v>
          </cell>
          <cell r="B3092">
            <v>321200</v>
          </cell>
          <cell r="C3092" t="str">
            <v>SALARIES AND WAGES - FULL TIME HOURS</v>
          </cell>
        </row>
        <row r="3093">
          <cell r="A3093">
            <v>9680701</v>
          </cell>
          <cell r="B3093">
            <v>321200</v>
          </cell>
          <cell r="C3093" t="str">
            <v>SALARIES AND WAGES - FULL TIME HOURS</v>
          </cell>
        </row>
        <row r="3094">
          <cell r="A3094">
            <v>9680702</v>
          </cell>
          <cell r="B3094">
            <v>321200</v>
          </cell>
          <cell r="C3094" t="str">
            <v>SALARIES AND WAGES - FULL TIME HOURS</v>
          </cell>
        </row>
        <row r="3095">
          <cell r="A3095">
            <v>9680705</v>
          </cell>
          <cell r="B3095">
            <v>321200</v>
          </cell>
          <cell r="C3095" t="str">
            <v>SALARIES AND WAGES - FULL TIME HOURS</v>
          </cell>
        </row>
        <row r="3096">
          <cell r="A3096">
            <v>9680707</v>
          </cell>
          <cell r="B3096">
            <v>321200</v>
          </cell>
          <cell r="C3096" t="str">
            <v>SALARIES AND WAGES - FULL TIME HOURS</v>
          </cell>
        </row>
        <row r="3097">
          <cell r="A3097">
            <v>9680710</v>
          </cell>
          <cell r="B3097">
            <v>321200</v>
          </cell>
          <cell r="C3097" t="str">
            <v>SALARIES AND WAGES - FULL TIME HOURS</v>
          </cell>
        </row>
        <row r="3098">
          <cell r="A3098">
            <v>9680712</v>
          </cell>
          <cell r="B3098">
            <v>321200</v>
          </cell>
          <cell r="C3098" t="str">
            <v>SALARIES AND WAGES - FULL TIME HOURS</v>
          </cell>
        </row>
        <row r="3099">
          <cell r="A3099">
            <v>9680714</v>
          </cell>
          <cell r="B3099">
            <v>321200</v>
          </cell>
          <cell r="C3099" t="str">
            <v>SALARIES AND WAGES - FULL TIME HOURS</v>
          </cell>
        </row>
        <row r="3100">
          <cell r="A3100">
            <v>9680734</v>
          </cell>
          <cell r="B3100">
            <v>321200</v>
          </cell>
          <cell r="C3100" t="str">
            <v>SALARIES AND WAGES - FULL TIME HOURS</v>
          </cell>
        </row>
        <row r="3101">
          <cell r="A3101">
            <v>9680748</v>
          </cell>
          <cell r="B3101">
            <v>321200</v>
          </cell>
          <cell r="C3101" t="str">
            <v>SALARIES AND WAGES - FULL TIME HOURS</v>
          </cell>
        </row>
        <row r="3102">
          <cell r="A3102">
            <v>9680749</v>
          </cell>
          <cell r="B3102">
            <v>321200</v>
          </cell>
          <cell r="C3102" t="str">
            <v>SALARIES AND WAGES - FULL TIME HOURS</v>
          </cell>
        </row>
        <row r="3103">
          <cell r="A3103">
            <v>9680894</v>
          </cell>
          <cell r="B3103">
            <v>321200</v>
          </cell>
          <cell r="C3103" t="str">
            <v>SALARIES AND WAGES - FULL TIME HOURS</v>
          </cell>
        </row>
        <row r="3104">
          <cell r="A3104">
            <v>9680999</v>
          </cell>
          <cell r="B3104">
            <v>321200</v>
          </cell>
          <cell r="C3104" t="str">
            <v>SALARIES AND WAGES - FULL TIME HOURS</v>
          </cell>
        </row>
        <row r="3105">
          <cell r="A3105">
            <v>9681700</v>
          </cell>
          <cell r="B3105">
            <v>321200</v>
          </cell>
          <cell r="C3105" t="str">
            <v>SALARIES AND WAGES - FULL TIME HOURS</v>
          </cell>
        </row>
        <row r="3106">
          <cell r="A3106">
            <v>9681701</v>
          </cell>
          <cell r="B3106">
            <v>321200</v>
          </cell>
          <cell r="C3106" t="str">
            <v>SALARIES AND WAGES - FULL TIME HOURS</v>
          </cell>
        </row>
        <row r="3107">
          <cell r="A3107">
            <v>9681702</v>
          </cell>
          <cell r="B3107">
            <v>321200</v>
          </cell>
          <cell r="C3107" t="str">
            <v>SALARIES AND WAGES - FULL TIME HOURS</v>
          </cell>
        </row>
        <row r="3108">
          <cell r="A3108">
            <v>9681705</v>
          </cell>
          <cell r="B3108">
            <v>321200</v>
          </cell>
          <cell r="C3108" t="str">
            <v>SALARIES AND WAGES - FULL TIME HOURS</v>
          </cell>
        </row>
        <row r="3109">
          <cell r="A3109">
            <v>9681706</v>
          </cell>
          <cell r="B3109">
            <v>321200</v>
          </cell>
          <cell r="C3109" t="str">
            <v>SALARIES AND WAGES - FULL TIME HOURS</v>
          </cell>
        </row>
        <row r="3110">
          <cell r="A3110">
            <v>9681707</v>
          </cell>
          <cell r="B3110">
            <v>321200</v>
          </cell>
          <cell r="C3110" t="str">
            <v>SALARIES AND WAGES - FULL TIME HOURS</v>
          </cell>
        </row>
        <row r="3111">
          <cell r="A3111">
            <v>9681710</v>
          </cell>
          <cell r="B3111">
            <v>321200</v>
          </cell>
          <cell r="C3111" t="str">
            <v>SALARIES AND WAGES - FULL TIME HOURS</v>
          </cell>
        </row>
        <row r="3112">
          <cell r="A3112">
            <v>9681712</v>
          </cell>
          <cell r="B3112">
            <v>321200</v>
          </cell>
          <cell r="C3112" t="str">
            <v>SALARIES AND WAGES - FULL TIME HOURS</v>
          </cell>
        </row>
        <row r="3113">
          <cell r="A3113">
            <v>9681727</v>
          </cell>
          <cell r="B3113">
            <v>321200</v>
          </cell>
          <cell r="C3113" t="str">
            <v>SALARIES AND WAGES - FULL TIME HOURS</v>
          </cell>
        </row>
        <row r="3114">
          <cell r="A3114">
            <v>9681734</v>
          </cell>
          <cell r="B3114">
            <v>321200</v>
          </cell>
          <cell r="C3114" t="str">
            <v>SALARIES AND WAGES - FULL TIME HOURS</v>
          </cell>
        </row>
        <row r="3115">
          <cell r="A3115">
            <v>9681748</v>
          </cell>
          <cell r="B3115">
            <v>321200</v>
          </cell>
          <cell r="C3115" t="str">
            <v>SALARIES AND WAGES - FULL TIME HOURS</v>
          </cell>
        </row>
        <row r="3116">
          <cell r="A3116">
            <v>9681749</v>
          </cell>
          <cell r="B3116">
            <v>321200</v>
          </cell>
          <cell r="C3116" t="str">
            <v>SALARIES AND WAGES - FULL TIME HOURS</v>
          </cell>
        </row>
        <row r="3117">
          <cell r="A3117">
            <v>9681894</v>
          </cell>
          <cell r="B3117">
            <v>321200</v>
          </cell>
          <cell r="C3117" t="str">
            <v>SALARIES AND WAGES - FULL TIME HOURS</v>
          </cell>
        </row>
        <row r="3118">
          <cell r="A3118">
            <v>9681999</v>
          </cell>
          <cell r="B3118">
            <v>321200</v>
          </cell>
          <cell r="C3118" t="str">
            <v>SALARIES AND WAGES - FULL TIME HOURS</v>
          </cell>
        </row>
        <row r="3119">
          <cell r="A3119">
            <v>9682715</v>
          </cell>
          <cell r="B3119">
            <v>321200</v>
          </cell>
          <cell r="C3119" t="str">
            <v>SALARIES AND WAGES - FULL TIME HOURS</v>
          </cell>
        </row>
        <row r="3120">
          <cell r="A3120">
            <v>9682722</v>
          </cell>
          <cell r="B3120">
            <v>321200</v>
          </cell>
          <cell r="C3120" t="str">
            <v>SALARIES AND WAGES - FULL TIME HOURS</v>
          </cell>
        </row>
        <row r="3121">
          <cell r="A3121">
            <v>9682999</v>
          </cell>
          <cell r="B3121">
            <v>321200</v>
          </cell>
          <cell r="C3121" t="str">
            <v>SALARIES AND WAGES - FULL TIME HOURS</v>
          </cell>
        </row>
        <row r="3122">
          <cell r="A3122">
            <v>9683999</v>
          </cell>
          <cell r="B3122">
            <v>321200</v>
          </cell>
          <cell r="C3122" t="str">
            <v>SALARIES AND WAGES - FULL TIME HOURS</v>
          </cell>
        </row>
        <row r="3123">
          <cell r="A3123">
            <v>9684999</v>
          </cell>
          <cell r="B3123">
            <v>321200</v>
          </cell>
          <cell r="C3123" t="str">
            <v>SALARIES AND WAGES - FULL TIME HOURS</v>
          </cell>
        </row>
        <row r="3124">
          <cell r="A3124">
            <v>9685999</v>
          </cell>
          <cell r="B3124">
            <v>321200</v>
          </cell>
          <cell r="C3124" t="str">
            <v>SALARIES AND WAGES - FULL TIME HOURS</v>
          </cell>
        </row>
        <row r="3125">
          <cell r="A3125">
            <v>9689692</v>
          </cell>
          <cell r="B3125">
            <v>321200</v>
          </cell>
          <cell r="C3125" t="str">
            <v>SALARIES AND WAGES - FULL TIME HOURS</v>
          </cell>
        </row>
        <row r="3126">
          <cell r="A3126">
            <v>9689747</v>
          </cell>
          <cell r="B3126">
            <v>321200</v>
          </cell>
          <cell r="C3126" t="str">
            <v>SALARIES AND WAGES - FULL TIME HOURS</v>
          </cell>
        </row>
        <row r="3127">
          <cell r="A3127">
            <v>9689883</v>
          </cell>
          <cell r="B3127">
            <v>321200</v>
          </cell>
          <cell r="C3127" t="str">
            <v>SALARIES AND WAGES - FULL TIME HOURS</v>
          </cell>
        </row>
        <row r="3128">
          <cell r="A3128">
            <v>9689890</v>
          </cell>
          <cell r="B3128">
            <v>321200</v>
          </cell>
          <cell r="C3128" t="str">
            <v>SALARIES AND WAGES - FULL TIME HOURS</v>
          </cell>
        </row>
        <row r="3129">
          <cell r="A3129">
            <v>9689906</v>
          </cell>
          <cell r="B3129">
            <v>321200</v>
          </cell>
          <cell r="C3129" t="str">
            <v>SALARIES AND WAGES - FULL TIME HOURS</v>
          </cell>
        </row>
        <row r="3130">
          <cell r="A3130">
            <v>9689925</v>
          </cell>
          <cell r="B3130">
            <v>321200</v>
          </cell>
          <cell r="C3130" t="str">
            <v>SALARIES AND WAGES - FULL TIME HOURS</v>
          </cell>
        </row>
        <row r="3131">
          <cell r="A3131">
            <v>9689990</v>
          </cell>
          <cell r="B3131">
            <v>321200</v>
          </cell>
          <cell r="C3131" t="str">
            <v>SALARIES AND WAGES - FULL TIME HOURS</v>
          </cell>
        </row>
        <row r="3132">
          <cell r="A3132">
            <v>9689991</v>
          </cell>
          <cell r="B3132">
            <v>321200</v>
          </cell>
          <cell r="C3132" t="str">
            <v>SALARIES AND WAGES - FULL TIME HOURS</v>
          </cell>
        </row>
        <row r="3133">
          <cell r="A3133">
            <v>9689992</v>
          </cell>
          <cell r="B3133">
            <v>321200</v>
          </cell>
          <cell r="C3133" t="str">
            <v>SALARIES AND WAGES - FULL TIME HOURS</v>
          </cell>
        </row>
        <row r="3134">
          <cell r="A3134">
            <v>9689993</v>
          </cell>
          <cell r="B3134">
            <v>321200</v>
          </cell>
          <cell r="C3134" t="str">
            <v>SALARIES AND WAGES - FULL TIME HOURS</v>
          </cell>
        </row>
        <row r="3135">
          <cell r="A3135">
            <v>9689994</v>
          </cell>
          <cell r="B3135">
            <v>321200</v>
          </cell>
          <cell r="C3135" t="str">
            <v>SALARIES AND WAGES - FULL TIME HOURS</v>
          </cell>
        </row>
        <row r="3136">
          <cell r="A3136">
            <v>9689999</v>
          </cell>
          <cell r="B3136">
            <v>321200</v>
          </cell>
          <cell r="C3136" t="str">
            <v>SALARIES AND WAGES - FULL TIME HOURS</v>
          </cell>
        </row>
        <row r="3137">
          <cell r="A3137">
            <v>9969681</v>
          </cell>
          <cell r="B3137">
            <v>321200</v>
          </cell>
          <cell r="C3137" t="str">
            <v>SALARIES AND WAGES - FULL TIME HOURS</v>
          </cell>
        </row>
        <row r="3138">
          <cell r="A3138">
            <v>9969901</v>
          </cell>
          <cell r="B3138">
            <v>321200</v>
          </cell>
          <cell r="C3138" t="str">
            <v>SALARIES AND WAGES - FULL TIME HOURS</v>
          </cell>
        </row>
        <row r="3139">
          <cell r="A3139" t="str">
            <v>ZONE-0105-POST</v>
          </cell>
          <cell r="B3139">
            <v>321200</v>
          </cell>
          <cell r="C3139" t="str">
            <v>SALARIES AND WAGES - FULL TIME HOURS</v>
          </cell>
        </row>
        <row r="3140">
          <cell r="A3140" t="str">
            <v>ZONE-0112-POST</v>
          </cell>
          <cell r="B3140">
            <v>321200</v>
          </cell>
          <cell r="C3140" t="str">
            <v>SALARIES AND WAGES - FULL TIME HOURS</v>
          </cell>
        </row>
        <row r="3141">
          <cell r="A3141">
            <v>9080700</v>
          </cell>
          <cell r="B3141">
            <v>321200</v>
          </cell>
          <cell r="C3141" t="str">
            <v>SALARIES AND WAGES - PART TIME HOURS</v>
          </cell>
        </row>
        <row r="3142">
          <cell r="A3142">
            <v>9080701</v>
          </cell>
          <cell r="B3142">
            <v>321200</v>
          </cell>
          <cell r="C3142" t="str">
            <v>SALARIES AND WAGES - PART TIME HOURS</v>
          </cell>
        </row>
        <row r="3143">
          <cell r="A3143">
            <v>9080702</v>
          </cell>
          <cell r="B3143">
            <v>321200</v>
          </cell>
          <cell r="C3143" t="str">
            <v>SALARIES AND WAGES - PART TIME HOURS</v>
          </cell>
        </row>
        <row r="3144">
          <cell r="A3144">
            <v>9080705</v>
          </cell>
          <cell r="B3144">
            <v>321200</v>
          </cell>
          <cell r="C3144" t="str">
            <v>SALARIES AND WAGES - PART TIME HOURS</v>
          </cell>
        </row>
        <row r="3145">
          <cell r="A3145">
            <v>9080707</v>
          </cell>
          <cell r="B3145">
            <v>321200</v>
          </cell>
          <cell r="C3145" t="str">
            <v>SALARIES AND WAGES - PART TIME HOURS</v>
          </cell>
        </row>
        <row r="3146">
          <cell r="A3146">
            <v>9080710</v>
          </cell>
          <cell r="B3146">
            <v>321200</v>
          </cell>
          <cell r="C3146" t="str">
            <v>SALARIES AND WAGES - PART TIME HOURS</v>
          </cell>
        </row>
        <row r="3147">
          <cell r="A3147">
            <v>9080712</v>
          </cell>
          <cell r="B3147">
            <v>321200</v>
          </cell>
          <cell r="C3147" t="str">
            <v>SALARIES AND WAGES - PART TIME HOURS</v>
          </cell>
        </row>
        <row r="3148">
          <cell r="A3148">
            <v>9080999</v>
          </cell>
          <cell r="B3148">
            <v>321200</v>
          </cell>
          <cell r="C3148" t="str">
            <v>SALARIES AND WAGES - PART TIME HOURS</v>
          </cell>
        </row>
        <row r="3149">
          <cell r="A3149">
            <v>9110700</v>
          </cell>
          <cell r="B3149">
            <v>321200</v>
          </cell>
          <cell r="C3149" t="str">
            <v>SALARIES AND WAGES - PART TIME HOURS</v>
          </cell>
        </row>
        <row r="3150">
          <cell r="A3150">
            <v>9110702</v>
          </cell>
          <cell r="B3150">
            <v>321200</v>
          </cell>
          <cell r="C3150" t="str">
            <v>SALARIES AND WAGES - PART TIME HOURS</v>
          </cell>
        </row>
        <row r="3151">
          <cell r="A3151">
            <v>9110705</v>
          </cell>
          <cell r="B3151">
            <v>321200</v>
          </cell>
          <cell r="C3151" t="str">
            <v>SALARIES AND WAGES - PART TIME HOURS</v>
          </cell>
        </row>
        <row r="3152">
          <cell r="A3152">
            <v>9110707</v>
          </cell>
          <cell r="B3152">
            <v>321200</v>
          </cell>
          <cell r="C3152" t="str">
            <v>SALARIES AND WAGES - PART TIME HOURS</v>
          </cell>
        </row>
        <row r="3153">
          <cell r="A3153">
            <v>9110712</v>
          </cell>
          <cell r="B3153">
            <v>321200</v>
          </cell>
          <cell r="C3153" t="str">
            <v>SALARIES AND WAGES - PART TIME HOURS</v>
          </cell>
        </row>
        <row r="3154">
          <cell r="A3154">
            <v>9110999</v>
          </cell>
          <cell r="B3154">
            <v>321200</v>
          </cell>
          <cell r="C3154" t="str">
            <v>SALARIES AND WAGES - PART TIME HOURS</v>
          </cell>
        </row>
        <row r="3155">
          <cell r="A3155">
            <v>9681700</v>
          </cell>
          <cell r="B3155">
            <v>321200</v>
          </cell>
          <cell r="C3155" t="str">
            <v>SALARIES AND WAGES - PART TIME HOURS</v>
          </cell>
        </row>
        <row r="3156">
          <cell r="A3156">
            <v>9681701</v>
          </cell>
          <cell r="B3156">
            <v>321200</v>
          </cell>
          <cell r="C3156" t="str">
            <v>SALARIES AND WAGES - PART TIME HOURS</v>
          </cell>
        </row>
        <row r="3157">
          <cell r="A3157">
            <v>9681702</v>
          </cell>
          <cell r="B3157">
            <v>321200</v>
          </cell>
          <cell r="C3157" t="str">
            <v>SALARIES AND WAGES - PART TIME HOURS</v>
          </cell>
        </row>
        <row r="3158">
          <cell r="A3158">
            <v>9681705</v>
          </cell>
          <cell r="B3158">
            <v>321200</v>
          </cell>
          <cell r="C3158" t="str">
            <v>SALARIES AND WAGES - PART TIME HOURS</v>
          </cell>
        </row>
        <row r="3159">
          <cell r="A3159">
            <v>9681706</v>
          </cell>
          <cell r="B3159">
            <v>321200</v>
          </cell>
          <cell r="C3159" t="str">
            <v>SALARIES AND WAGES - PART TIME HOURS</v>
          </cell>
        </row>
        <row r="3160">
          <cell r="A3160">
            <v>9681707</v>
          </cell>
          <cell r="B3160">
            <v>321200</v>
          </cell>
          <cell r="C3160" t="str">
            <v>SALARIES AND WAGES - PART TIME HOURS</v>
          </cell>
        </row>
        <row r="3161">
          <cell r="A3161">
            <v>9681712</v>
          </cell>
          <cell r="B3161">
            <v>321200</v>
          </cell>
          <cell r="C3161" t="str">
            <v>SALARIES AND WAGES - PART TIME HOURS</v>
          </cell>
        </row>
        <row r="3162">
          <cell r="A3162">
            <v>9681727</v>
          </cell>
          <cell r="B3162">
            <v>321200</v>
          </cell>
          <cell r="C3162" t="str">
            <v>SALARIES AND WAGES - PART TIME HOURS</v>
          </cell>
        </row>
        <row r="3163">
          <cell r="A3163">
            <v>9681749</v>
          </cell>
          <cell r="B3163">
            <v>321200</v>
          </cell>
          <cell r="C3163" t="str">
            <v>SALARIES AND WAGES - PART TIME HOURS</v>
          </cell>
        </row>
        <row r="3164">
          <cell r="A3164">
            <v>9681999</v>
          </cell>
          <cell r="B3164">
            <v>321200</v>
          </cell>
          <cell r="C3164" t="str">
            <v>SALARIES AND WAGES - PART TIME HOURS</v>
          </cell>
        </row>
        <row r="3165">
          <cell r="A3165">
            <v>9682715</v>
          </cell>
          <cell r="B3165">
            <v>321200</v>
          </cell>
          <cell r="C3165" t="str">
            <v>SALARIES AND WAGES - PART TIME HOURS</v>
          </cell>
        </row>
        <row r="3166">
          <cell r="A3166">
            <v>9682722</v>
          </cell>
          <cell r="B3166">
            <v>321200</v>
          </cell>
          <cell r="C3166" t="str">
            <v>SALARIES AND WAGES - PART TIME HOURS</v>
          </cell>
        </row>
        <row r="3167">
          <cell r="A3167">
            <v>9682999</v>
          </cell>
          <cell r="B3167">
            <v>321200</v>
          </cell>
          <cell r="C3167" t="str">
            <v>SALARIES AND WAGES - PART TIME HOURS</v>
          </cell>
        </row>
        <row r="3168">
          <cell r="A3168">
            <v>9685999</v>
          </cell>
          <cell r="B3168">
            <v>321200</v>
          </cell>
          <cell r="C3168" t="str">
            <v>SALARIES AND WAGES - PART TIME HOURS</v>
          </cell>
        </row>
        <row r="3169">
          <cell r="A3169">
            <v>9689692</v>
          </cell>
          <cell r="B3169">
            <v>321200</v>
          </cell>
          <cell r="C3169" t="str">
            <v>SALARIES AND WAGES - PART TIME HOURS</v>
          </cell>
        </row>
        <row r="3170">
          <cell r="A3170">
            <v>9689747</v>
          </cell>
          <cell r="B3170">
            <v>321200</v>
          </cell>
          <cell r="C3170" t="str">
            <v>SALARIES AND WAGES - PART TIME HOURS</v>
          </cell>
        </row>
        <row r="3171">
          <cell r="A3171">
            <v>9689890</v>
          </cell>
          <cell r="B3171">
            <v>321200</v>
          </cell>
          <cell r="C3171" t="str">
            <v>SALARIES AND WAGES - PART TIME HOURS</v>
          </cell>
        </row>
        <row r="3172">
          <cell r="A3172">
            <v>9689925</v>
          </cell>
          <cell r="B3172">
            <v>321200</v>
          </cell>
          <cell r="C3172" t="str">
            <v>SALARIES AND WAGES - PART TIME HOURS</v>
          </cell>
        </row>
        <row r="3173">
          <cell r="A3173">
            <v>9689990</v>
          </cell>
          <cell r="B3173">
            <v>321200</v>
          </cell>
          <cell r="C3173" t="str">
            <v>SALARIES AND WAGES - PART TIME HOURS</v>
          </cell>
        </row>
        <row r="3174">
          <cell r="A3174">
            <v>9689991</v>
          </cell>
          <cell r="B3174">
            <v>321200</v>
          </cell>
          <cell r="C3174" t="str">
            <v>SALARIES AND WAGES - PART TIME HOURS</v>
          </cell>
        </row>
        <row r="3175">
          <cell r="A3175">
            <v>9689999</v>
          </cell>
          <cell r="B3175">
            <v>321200</v>
          </cell>
          <cell r="C3175" t="str">
            <v>SALARIES AND WAGES - PART TIME HOURS</v>
          </cell>
        </row>
        <row r="3176">
          <cell r="A3176">
            <v>9080701</v>
          </cell>
          <cell r="B3176">
            <v>321200</v>
          </cell>
          <cell r="C3176" t="str">
            <v>SALARIES AND WAGES - PROJECT HOURS</v>
          </cell>
        </row>
        <row r="3177">
          <cell r="A3177">
            <v>9080702</v>
          </cell>
          <cell r="B3177">
            <v>321200</v>
          </cell>
          <cell r="C3177" t="str">
            <v>SALARIES AND WAGES - PROJECT HOURS</v>
          </cell>
        </row>
        <row r="3178">
          <cell r="A3178">
            <v>9080705</v>
          </cell>
          <cell r="B3178">
            <v>321200</v>
          </cell>
          <cell r="C3178" t="str">
            <v>SALARIES AND WAGES - PROJECT HOURS</v>
          </cell>
        </row>
        <row r="3179">
          <cell r="A3179">
            <v>9080707</v>
          </cell>
          <cell r="B3179">
            <v>321200</v>
          </cell>
          <cell r="C3179" t="str">
            <v>SALARIES AND WAGES - PROJECT HOURS</v>
          </cell>
        </row>
        <row r="3180">
          <cell r="A3180">
            <v>9080710</v>
          </cell>
          <cell r="B3180">
            <v>321200</v>
          </cell>
          <cell r="C3180" t="str">
            <v>SALARIES AND WAGES - PROJECT HOURS</v>
          </cell>
        </row>
        <row r="3181">
          <cell r="A3181">
            <v>9080712</v>
          </cell>
          <cell r="B3181">
            <v>321200</v>
          </cell>
          <cell r="C3181" t="str">
            <v>SALARIES AND WAGES - PROJECT HOURS</v>
          </cell>
        </row>
        <row r="3182">
          <cell r="A3182">
            <v>9080999</v>
          </cell>
          <cell r="B3182">
            <v>321200</v>
          </cell>
          <cell r="C3182" t="str">
            <v>SALARIES AND WAGES - PROJECT HOURS</v>
          </cell>
        </row>
        <row r="3183">
          <cell r="A3183">
            <v>9110702</v>
          </cell>
          <cell r="B3183">
            <v>321200</v>
          </cell>
          <cell r="C3183" t="str">
            <v>SALARIES AND WAGES - PROJECT HOURS</v>
          </cell>
        </row>
        <row r="3184">
          <cell r="A3184">
            <v>9110705</v>
          </cell>
          <cell r="B3184">
            <v>321200</v>
          </cell>
          <cell r="C3184" t="str">
            <v>SALARIES AND WAGES - PROJECT HOURS</v>
          </cell>
        </row>
        <row r="3185">
          <cell r="A3185">
            <v>9110707</v>
          </cell>
          <cell r="B3185">
            <v>321200</v>
          </cell>
          <cell r="C3185" t="str">
            <v>SALARIES AND WAGES - PROJECT HOURS</v>
          </cell>
        </row>
        <row r="3186">
          <cell r="A3186">
            <v>9110712</v>
          </cell>
          <cell r="B3186">
            <v>321200</v>
          </cell>
          <cell r="C3186" t="str">
            <v>SALARIES AND WAGES - PROJECT HOURS</v>
          </cell>
        </row>
        <row r="3187">
          <cell r="A3187">
            <v>9110999</v>
          </cell>
          <cell r="B3187">
            <v>321200</v>
          </cell>
          <cell r="C3187" t="str">
            <v>SALARIES AND WAGES - PROJECT HOURS</v>
          </cell>
        </row>
        <row r="3188">
          <cell r="A3188">
            <v>9683999</v>
          </cell>
          <cell r="B3188">
            <v>321200</v>
          </cell>
          <cell r="C3188" t="str">
            <v>SALARIES AND WAGES - PROJECT HOURS</v>
          </cell>
        </row>
        <row r="3189">
          <cell r="A3189">
            <v>9684999</v>
          </cell>
          <cell r="B3189">
            <v>321200</v>
          </cell>
          <cell r="C3189" t="str">
            <v>SALARIES AND WAGES - PROJECT HOURS</v>
          </cell>
        </row>
        <row r="3190">
          <cell r="A3190">
            <v>9685999</v>
          </cell>
          <cell r="B3190">
            <v>321200</v>
          </cell>
          <cell r="C3190" t="str">
            <v>SALARIES AND WAGES - PROJECT HOURS</v>
          </cell>
        </row>
        <row r="3191">
          <cell r="A3191">
            <v>9689999</v>
          </cell>
          <cell r="B3191">
            <v>321200</v>
          </cell>
          <cell r="C3191" t="str">
            <v>SALARIES AND WAGES - PROJECT HOURS</v>
          </cell>
        </row>
        <row r="3192">
          <cell r="A3192">
            <v>9080700</v>
          </cell>
          <cell r="B3192">
            <v>321200</v>
          </cell>
          <cell r="C3192" t="str">
            <v>SALARIES AND WAGES - OVERTIME HOURS</v>
          </cell>
        </row>
        <row r="3193">
          <cell r="A3193">
            <v>9080701</v>
          </cell>
          <cell r="B3193">
            <v>321200</v>
          </cell>
          <cell r="C3193" t="str">
            <v>SALARIES AND WAGES - OVERTIME HOURS</v>
          </cell>
        </row>
        <row r="3194">
          <cell r="A3194">
            <v>9080702</v>
          </cell>
          <cell r="B3194">
            <v>321200</v>
          </cell>
          <cell r="C3194" t="str">
            <v>SALARIES AND WAGES - OVERTIME HOURS</v>
          </cell>
        </row>
        <row r="3195">
          <cell r="A3195">
            <v>9080705</v>
          </cell>
          <cell r="B3195">
            <v>321200</v>
          </cell>
          <cell r="C3195" t="str">
            <v>SALARIES AND WAGES - OVERTIME HOURS</v>
          </cell>
        </row>
        <row r="3196">
          <cell r="A3196">
            <v>9080707</v>
          </cell>
          <cell r="B3196">
            <v>321200</v>
          </cell>
          <cell r="C3196" t="str">
            <v>SALARIES AND WAGES - OVERTIME HOURS</v>
          </cell>
        </row>
        <row r="3197">
          <cell r="A3197">
            <v>9080710</v>
          </cell>
          <cell r="B3197">
            <v>321200</v>
          </cell>
          <cell r="C3197" t="str">
            <v>SALARIES AND WAGES - OVERTIME HOURS</v>
          </cell>
        </row>
        <row r="3198">
          <cell r="A3198">
            <v>9080712</v>
          </cell>
          <cell r="B3198">
            <v>321200</v>
          </cell>
          <cell r="C3198" t="str">
            <v>SALARIES AND WAGES - OVERTIME HOURS</v>
          </cell>
        </row>
        <row r="3199">
          <cell r="A3199">
            <v>9080999</v>
          </cell>
          <cell r="B3199">
            <v>321200</v>
          </cell>
          <cell r="C3199" t="str">
            <v>SALARIES AND WAGES - OVERTIME HOURS</v>
          </cell>
        </row>
        <row r="3200">
          <cell r="A3200">
            <v>9110700</v>
          </cell>
          <cell r="B3200">
            <v>321200</v>
          </cell>
          <cell r="C3200" t="str">
            <v>SALARIES AND WAGES - OVERTIME HOURS</v>
          </cell>
        </row>
        <row r="3201">
          <cell r="A3201">
            <v>9110702</v>
          </cell>
          <cell r="B3201">
            <v>321200</v>
          </cell>
          <cell r="C3201" t="str">
            <v>SALARIES AND WAGES - OVERTIME HOURS</v>
          </cell>
        </row>
        <row r="3202">
          <cell r="A3202">
            <v>9110705</v>
          </cell>
          <cell r="B3202">
            <v>321200</v>
          </cell>
          <cell r="C3202" t="str">
            <v>SALARIES AND WAGES - OVERTIME HOURS</v>
          </cell>
        </row>
        <row r="3203">
          <cell r="A3203">
            <v>9110707</v>
          </cell>
          <cell r="B3203">
            <v>321200</v>
          </cell>
          <cell r="C3203" t="str">
            <v>SALARIES AND WAGES - OVERTIME HOURS</v>
          </cell>
        </row>
        <row r="3204">
          <cell r="A3204">
            <v>9110712</v>
          </cell>
          <cell r="B3204">
            <v>321200</v>
          </cell>
          <cell r="C3204" t="str">
            <v>SALARIES AND WAGES - OVERTIME HOURS</v>
          </cell>
        </row>
        <row r="3205">
          <cell r="A3205">
            <v>9110999</v>
          </cell>
          <cell r="B3205">
            <v>321200</v>
          </cell>
          <cell r="C3205" t="str">
            <v>SALARIES AND WAGES - OVERTIME HOURS</v>
          </cell>
        </row>
        <row r="3206">
          <cell r="A3206">
            <v>9681700</v>
          </cell>
          <cell r="B3206">
            <v>321200</v>
          </cell>
          <cell r="C3206" t="str">
            <v>SALARIES AND WAGES - OVERTIME HOURS</v>
          </cell>
        </row>
        <row r="3207">
          <cell r="A3207">
            <v>9681701</v>
          </cell>
          <cell r="B3207">
            <v>321200</v>
          </cell>
          <cell r="C3207" t="str">
            <v>SALARIES AND WAGES - OVERTIME HOURS</v>
          </cell>
        </row>
        <row r="3208">
          <cell r="A3208">
            <v>9681702</v>
          </cell>
          <cell r="B3208">
            <v>321200</v>
          </cell>
          <cell r="C3208" t="str">
            <v>SALARIES AND WAGES - OVERTIME HOURS</v>
          </cell>
        </row>
        <row r="3209">
          <cell r="A3209">
            <v>9681705</v>
          </cell>
          <cell r="B3209">
            <v>321200</v>
          </cell>
          <cell r="C3209" t="str">
            <v>SALARIES AND WAGES - OVERTIME HOURS</v>
          </cell>
        </row>
        <row r="3210">
          <cell r="A3210">
            <v>9681706</v>
          </cell>
          <cell r="B3210">
            <v>321200</v>
          </cell>
          <cell r="C3210" t="str">
            <v>SALARIES AND WAGES - OVERTIME HOURS</v>
          </cell>
        </row>
        <row r="3211">
          <cell r="A3211">
            <v>9681707</v>
          </cell>
          <cell r="B3211">
            <v>321200</v>
          </cell>
          <cell r="C3211" t="str">
            <v>SALARIES AND WAGES - OVERTIME HOURS</v>
          </cell>
        </row>
        <row r="3212">
          <cell r="A3212">
            <v>9681712</v>
          </cell>
          <cell r="B3212">
            <v>321200</v>
          </cell>
          <cell r="C3212" t="str">
            <v>SALARIES AND WAGES - OVERTIME HOURS</v>
          </cell>
        </row>
        <row r="3213">
          <cell r="A3213">
            <v>9681727</v>
          </cell>
          <cell r="B3213">
            <v>321200</v>
          </cell>
          <cell r="C3213" t="str">
            <v>SALARIES AND WAGES - OVERTIME HOURS</v>
          </cell>
        </row>
        <row r="3214">
          <cell r="A3214">
            <v>9681749</v>
          </cell>
          <cell r="B3214">
            <v>321200</v>
          </cell>
          <cell r="C3214" t="str">
            <v>SALARIES AND WAGES - OVERTIME HOURS</v>
          </cell>
        </row>
        <row r="3215">
          <cell r="A3215">
            <v>9681999</v>
          </cell>
          <cell r="B3215">
            <v>321200</v>
          </cell>
          <cell r="C3215" t="str">
            <v>SALARIES AND WAGES - OVERTIME HOURS</v>
          </cell>
        </row>
        <row r="3216">
          <cell r="A3216">
            <v>9682715</v>
          </cell>
          <cell r="B3216">
            <v>321200</v>
          </cell>
          <cell r="C3216" t="str">
            <v>SALARIES AND WAGES - OVERTIME HOURS</v>
          </cell>
        </row>
        <row r="3217">
          <cell r="A3217">
            <v>9682722</v>
          </cell>
          <cell r="B3217">
            <v>321200</v>
          </cell>
          <cell r="C3217" t="str">
            <v>SALARIES AND WAGES - OVERTIME HOURS</v>
          </cell>
        </row>
        <row r="3218">
          <cell r="A3218">
            <v>9682999</v>
          </cell>
          <cell r="B3218">
            <v>321200</v>
          </cell>
          <cell r="C3218" t="str">
            <v>SALARIES AND WAGES - OVERTIME HOURS</v>
          </cell>
        </row>
        <row r="3219">
          <cell r="A3219">
            <v>9683999</v>
          </cell>
          <cell r="B3219">
            <v>321200</v>
          </cell>
          <cell r="C3219" t="str">
            <v>SALARIES AND WAGES - OVERTIME HOURS</v>
          </cell>
        </row>
        <row r="3220">
          <cell r="A3220">
            <v>9684999</v>
          </cell>
          <cell r="B3220">
            <v>321200</v>
          </cell>
          <cell r="C3220" t="str">
            <v>SALARIES AND WAGES - OVERTIME HOURS</v>
          </cell>
        </row>
        <row r="3221">
          <cell r="A3221">
            <v>9685999</v>
          </cell>
          <cell r="B3221">
            <v>321200</v>
          </cell>
          <cell r="C3221" t="str">
            <v>SALARIES AND WAGES - OVERTIME HOURS</v>
          </cell>
        </row>
        <row r="3222">
          <cell r="A3222">
            <v>9689692</v>
          </cell>
          <cell r="B3222">
            <v>321200</v>
          </cell>
          <cell r="C3222" t="str">
            <v>SALARIES AND WAGES - OVERTIME HOURS</v>
          </cell>
        </row>
        <row r="3223">
          <cell r="A3223">
            <v>9689747</v>
          </cell>
          <cell r="B3223">
            <v>321200</v>
          </cell>
          <cell r="C3223" t="str">
            <v>SALARIES AND WAGES - OVERTIME HOURS</v>
          </cell>
        </row>
        <row r="3224">
          <cell r="A3224">
            <v>9689883</v>
          </cell>
          <cell r="B3224">
            <v>321200</v>
          </cell>
          <cell r="C3224" t="str">
            <v>SALARIES AND WAGES - OVERTIME HOURS</v>
          </cell>
        </row>
        <row r="3225">
          <cell r="A3225">
            <v>9689890</v>
          </cell>
          <cell r="B3225">
            <v>321200</v>
          </cell>
          <cell r="C3225" t="str">
            <v>SALARIES AND WAGES - OVERTIME HOURS</v>
          </cell>
        </row>
        <row r="3226">
          <cell r="A3226">
            <v>9689906</v>
          </cell>
          <cell r="B3226">
            <v>321200</v>
          </cell>
          <cell r="C3226" t="str">
            <v>SALARIES AND WAGES - OVERTIME HOURS</v>
          </cell>
        </row>
        <row r="3227">
          <cell r="A3227">
            <v>9689925</v>
          </cell>
          <cell r="B3227">
            <v>321200</v>
          </cell>
          <cell r="C3227" t="str">
            <v>SALARIES AND WAGES - OVERTIME HOURS</v>
          </cell>
        </row>
        <row r="3228">
          <cell r="A3228">
            <v>9689990</v>
          </cell>
          <cell r="B3228">
            <v>321200</v>
          </cell>
          <cell r="C3228" t="str">
            <v>SALARIES AND WAGES - OVERTIME HOURS</v>
          </cell>
        </row>
        <row r="3229">
          <cell r="A3229">
            <v>9689991</v>
          </cell>
          <cell r="B3229">
            <v>321200</v>
          </cell>
          <cell r="C3229" t="str">
            <v>SALARIES AND WAGES - OVERTIME HOURS</v>
          </cell>
        </row>
        <row r="3230">
          <cell r="A3230">
            <v>9689992</v>
          </cell>
          <cell r="B3230">
            <v>321200</v>
          </cell>
          <cell r="C3230" t="str">
            <v>SALARIES AND WAGES - OVERTIME HOURS</v>
          </cell>
        </row>
        <row r="3231">
          <cell r="A3231">
            <v>9689993</v>
          </cell>
          <cell r="B3231">
            <v>321200</v>
          </cell>
          <cell r="C3231" t="str">
            <v>SALARIES AND WAGES - OVERTIME HOURS</v>
          </cell>
        </row>
        <row r="3232">
          <cell r="A3232">
            <v>9689999</v>
          </cell>
          <cell r="B3232">
            <v>321200</v>
          </cell>
          <cell r="C3232" t="str">
            <v>SALARIES AND WAGES - OVERTIME HOURS</v>
          </cell>
        </row>
        <row r="3233">
          <cell r="A3233">
            <v>9080700</v>
          </cell>
          <cell r="B3233">
            <v>321207</v>
          </cell>
          <cell r="C3233" t="str">
            <v>CONTRACT SIGNING PAYMENTS</v>
          </cell>
        </row>
        <row r="3234">
          <cell r="A3234">
            <v>9080701</v>
          </cell>
          <cell r="B3234">
            <v>321207</v>
          </cell>
          <cell r="C3234" t="str">
            <v>CONTRACT SIGNING PAYMENTS</v>
          </cell>
        </row>
        <row r="3235">
          <cell r="A3235">
            <v>9080702</v>
          </cell>
          <cell r="B3235">
            <v>321207</v>
          </cell>
          <cell r="C3235" t="str">
            <v>CONTRACT SIGNING PAYMENTS</v>
          </cell>
        </row>
        <row r="3236">
          <cell r="A3236">
            <v>9080705</v>
          </cell>
          <cell r="B3236">
            <v>321207</v>
          </cell>
          <cell r="C3236" t="str">
            <v>CONTRACT SIGNING PAYMENTS</v>
          </cell>
        </row>
        <row r="3237">
          <cell r="A3237">
            <v>9080707</v>
          </cell>
          <cell r="B3237">
            <v>321207</v>
          </cell>
          <cell r="C3237" t="str">
            <v>CONTRACT SIGNING PAYMENTS</v>
          </cell>
        </row>
        <row r="3238">
          <cell r="A3238">
            <v>9080710</v>
          </cell>
          <cell r="B3238">
            <v>321207</v>
          </cell>
          <cell r="C3238" t="str">
            <v>CONTRACT SIGNING PAYMENTS</v>
          </cell>
        </row>
        <row r="3239">
          <cell r="A3239">
            <v>9110700</v>
          </cell>
          <cell r="B3239">
            <v>321207</v>
          </cell>
          <cell r="C3239" t="str">
            <v>CONTRACT SIGNING PAYMENTS</v>
          </cell>
        </row>
        <row r="3240">
          <cell r="A3240">
            <v>9110702</v>
          </cell>
          <cell r="B3240">
            <v>321207</v>
          </cell>
          <cell r="C3240" t="str">
            <v>CONTRACT SIGNING PAYMENTS</v>
          </cell>
        </row>
        <row r="3241">
          <cell r="A3241">
            <v>9110705</v>
          </cell>
          <cell r="B3241">
            <v>321207</v>
          </cell>
          <cell r="C3241" t="str">
            <v>CONTRACT SIGNING PAYMENTS</v>
          </cell>
        </row>
        <row r="3242">
          <cell r="A3242">
            <v>9110707</v>
          </cell>
          <cell r="B3242">
            <v>321207</v>
          </cell>
          <cell r="C3242" t="str">
            <v>CONTRACT SIGNING PAYMENTS</v>
          </cell>
        </row>
        <row r="3243">
          <cell r="A3243">
            <v>9681700</v>
          </cell>
          <cell r="B3243">
            <v>321207</v>
          </cell>
          <cell r="C3243" t="str">
            <v>CONTRACT SIGNING PAYMENTS</v>
          </cell>
        </row>
        <row r="3244">
          <cell r="A3244">
            <v>9681701</v>
          </cell>
          <cell r="B3244">
            <v>321207</v>
          </cell>
          <cell r="C3244" t="str">
            <v>CONTRACT SIGNING PAYMENTS</v>
          </cell>
        </row>
        <row r="3245">
          <cell r="A3245">
            <v>9681702</v>
          </cell>
          <cell r="B3245">
            <v>321207</v>
          </cell>
          <cell r="C3245" t="str">
            <v>CONTRACT SIGNING PAYMENTS</v>
          </cell>
        </row>
        <row r="3246">
          <cell r="A3246">
            <v>9681705</v>
          </cell>
          <cell r="B3246">
            <v>321207</v>
          </cell>
          <cell r="C3246" t="str">
            <v>CONTRACT SIGNING PAYMENTS</v>
          </cell>
        </row>
        <row r="3247">
          <cell r="A3247">
            <v>9681706</v>
          </cell>
          <cell r="B3247">
            <v>321207</v>
          </cell>
          <cell r="C3247" t="str">
            <v>CONTRACT SIGNING PAYMENTS</v>
          </cell>
        </row>
        <row r="3248">
          <cell r="A3248">
            <v>9681707</v>
          </cell>
          <cell r="B3248">
            <v>321207</v>
          </cell>
          <cell r="C3248" t="str">
            <v>CONTRACT SIGNING PAYMENTS</v>
          </cell>
        </row>
        <row r="3249">
          <cell r="A3249">
            <v>9681712</v>
          </cell>
          <cell r="B3249">
            <v>321207</v>
          </cell>
          <cell r="C3249" t="str">
            <v>CONTRACT SIGNING PAYMENTS</v>
          </cell>
        </row>
        <row r="3250">
          <cell r="A3250">
            <v>9681727</v>
          </cell>
          <cell r="B3250">
            <v>321207</v>
          </cell>
          <cell r="C3250" t="str">
            <v>CONTRACT SIGNING PAYMENTS</v>
          </cell>
        </row>
        <row r="3251">
          <cell r="A3251">
            <v>9681749</v>
          </cell>
          <cell r="B3251">
            <v>321207</v>
          </cell>
          <cell r="C3251" t="str">
            <v>CONTRACT SIGNING PAYMENTS</v>
          </cell>
        </row>
        <row r="3252">
          <cell r="A3252">
            <v>9681999</v>
          </cell>
          <cell r="B3252">
            <v>321207</v>
          </cell>
          <cell r="C3252" t="str">
            <v>CONTRACT SIGNING PAYMENTS</v>
          </cell>
        </row>
        <row r="3253">
          <cell r="A3253">
            <v>9683999</v>
          </cell>
          <cell r="B3253">
            <v>321207</v>
          </cell>
          <cell r="C3253" t="str">
            <v>CONTRACT SIGNING PAYMENTS</v>
          </cell>
        </row>
        <row r="3254">
          <cell r="A3254">
            <v>9684999</v>
          </cell>
          <cell r="B3254">
            <v>321207</v>
          </cell>
          <cell r="C3254" t="str">
            <v>CONTRACT SIGNING PAYMENTS</v>
          </cell>
        </row>
        <row r="3255">
          <cell r="A3255">
            <v>9685999</v>
          </cell>
          <cell r="B3255">
            <v>321207</v>
          </cell>
          <cell r="C3255" t="str">
            <v>CONTRACT SIGNING PAYMENTS</v>
          </cell>
        </row>
        <row r="3256">
          <cell r="A3256">
            <v>9689993</v>
          </cell>
          <cell r="B3256">
            <v>321207</v>
          </cell>
          <cell r="C3256" t="str">
            <v>CONTRACT SIGNING PAYMENTS</v>
          </cell>
        </row>
        <row r="3257">
          <cell r="A3257">
            <v>9080700</v>
          </cell>
          <cell r="B3257">
            <v>321403</v>
          </cell>
          <cell r="C3257" t="str">
            <v>SEVERANCE PAY</v>
          </cell>
        </row>
        <row r="3258">
          <cell r="A3258">
            <v>9080701</v>
          </cell>
          <cell r="B3258">
            <v>321403</v>
          </cell>
          <cell r="C3258" t="str">
            <v>SEVERANCE PAY</v>
          </cell>
        </row>
        <row r="3259">
          <cell r="A3259">
            <v>9080702</v>
          </cell>
          <cell r="B3259">
            <v>321403</v>
          </cell>
          <cell r="C3259" t="str">
            <v>SEVERANCE PAY</v>
          </cell>
        </row>
        <row r="3260">
          <cell r="A3260">
            <v>9080705</v>
          </cell>
          <cell r="B3260">
            <v>321403</v>
          </cell>
          <cell r="C3260" t="str">
            <v>SEVERANCE PAY</v>
          </cell>
        </row>
        <row r="3261">
          <cell r="A3261">
            <v>9080707</v>
          </cell>
          <cell r="B3261">
            <v>321403</v>
          </cell>
          <cell r="C3261" t="str">
            <v>SEVERANCE PAY</v>
          </cell>
        </row>
        <row r="3262">
          <cell r="A3262">
            <v>9080710</v>
          </cell>
          <cell r="B3262">
            <v>321403</v>
          </cell>
          <cell r="C3262" t="str">
            <v>SEVERANCE PAY</v>
          </cell>
        </row>
        <row r="3263">
          <cell r="A3263">
            <v>9090710</v>
          </cell>
          <cell r="B3263">
            <v>321403</v>
          </cell>
          <cell r="C3263" t="str">
            <v>SEVERANCE PAY</v>
          </cell>
        </row>
        <row r="3264">
          <cell r="A3264">
            <v>9090999</v>
          </cell>
          <cell r="B3264">
            <v>321403</v>
          </cell>
          <cell r="C3264" t="str">
            <v>SEVERANCE PAY</v>
          </cell>
        </row>
        <row r="3265">
          <cell r="A3265">
            <v>9100710</v>
          </cell>
          <cell r="B3265">
            <v>321403</v>
          </cell>
          <cell r="C3265" t="str">
            <v>SEVERANCE PAY</v>
          </cell>
        </row>
        <row r="3266">
          <cell r="A3266">
            <v>9100999</v>
          </cell>
          <cell r="B3266">
            <v>321403</v>
          </cell>
          <cell r="C3266" t="str">
            <v>SEVERANCE PAY</v>
          </cell>
        </row>
        <row r="3267">
          <cell r="A3267">
            <v>9110700</v>
          </cell>
          <cell r="B3267">
            <v>321403</v>
          </cell>
          <cell r="C3267" t="str">
            <v>SEVERANCE PAY</v>
          </cell>
        </row>
        <row r="3268">
          <cell r="A3268">
            <v>9110702</v>
          </cell>
          <cell r="B3268">
            <v>321403</v>
          </cell>
          <cell r="C3268" t="str">
            <v>SEVERANCE PAY</v>
          </cell>
        </row>
        <row r="3269">
          <cell r="A3269">
            <v>9110705</v>
          </cell>
          <cell r="B3269">
            <v>321403</v>
          </cell>
          <cell r="C3269" t="str">
            <v>SEVERANCE PAY</v>
          </cell>
        </row>
        <row r="3270">
          <cell r="A3270">
            <v>9110707</v>
          </cell>
          <cell r="B3270">
            <v>321403</v>
          </cell>
          <cell r="C3270" t="str">
            <v>SEVERANCE PAY</v>
          </cell>
        </row>
        <row r="3271">
          <cell r="A3271">
            <v>9680999</v>
          </cell>
          <cell r="B3271">
            <v>321403</v>
          </cell>
          <cell r="C3271" t="str">
            <v>SEVERANCE PAY</v>
          </cell>
        </row>
        <row r="3272">
          <cell r="A3272">
            <v>9681700</v>
          </cell>
          <cell r="B3272">
            <v>321403</v>
          </cell>
          <cell r="C3272" t="str">
            <v>SEVERANCE PAY</v>
          </cell>
        </row>
        <row r="3273">
          <cell r="A3273">
            <v>9681701</v>
          </cell>
          <cell r="B3273">
            <v>321403</v>
          </cell>
          <cell r="C3273" t="str">
            <v>SEVERANCE PAY</v>
          </cell>
        </row>
        <row r="3274">
          <cell r="A3274">
            <v>9681702</v>
          </cell>
          <cell r="B3274">
            <v>321403</v>
          </cell>
          <cell r="C3274" t="str">
            <v>SEVERANCE PAY</v>
          </cell>
        </row>
        <row r="3275">
          <cell r="A3275">
            <v>9681705</v>
          </cell>
          <cell r="B3275">
            <v>321403</v>
          </cell>
          <cell r="C3275" t="str">
            <v>SEVERANCE PAY</v>
          </cell>
        </row>
        <row r="3276">
          <cell r="A3276">
            <v>9681706</v>
          </cell>
          <cell r="B3276">
            <v>321403</v>
          </cell>
          <cell r="C3276" t="str">
            <v>SEVERANCE PAY</v>
          </cell>
        </row>
        <row r="3277">
          <cell r="A3277">
            <v>9681707</v>
          </cell>
          <cell r="B3277">
            <v>321403</v>
          </cell>
          <cell r="C3277" t="str">
            <v>SEVERANCE PAY</v>
          </cell>
        </row>
        <row r="3278">
          <cell r="A3278">
            <v>9681712</v>
          </cell>
          <cell r="B3278">
            <v>321403</v>
          </cell>
          <cell r="C3278" t="str">
            <v>SEVERANCE PAY</v>
          </cell>
        </row>
        <row r="3279">
          <cell r="A3279">
            <v>9681727</v>
          </cell>
          <cell r="B3279">
            <v>321403</v>
          </cell>
          <cell r="C3279" t="str">
            <v>SEVERANCE PAY</v>
          </cell>
        </row>
        <row r="3280">
          <cell r="A3280">
            <v>9681749</v>
          </cell>
          <cell r="B3280">
            <v>321403</v>
          </cell>
          <cell r="C3280" t="str">
            <v>SEVERANCE PAY</v>
          </cell>
        </row>
        <row r="3281">
          <cell r="A3281">
            <v>9681999</v>
          </cell>
          <cell r="B3281">
            <v>321403</v>
          </cell>
          <cell r="C3281" t="str">
            <v>SEVERANCE PAY</v>
          </cell>
        </row>
        <row r="3282">
          <cell r="A3282">
            <v>9080999</v>
          </cell>
          <cell r="B3282">
            <v>321405</v>
          </cell>
          <cell r="C3282" t="str">
            <v>LUMP SUM PAYMENT AT RATIFICATION</v>
          </cell>
        </row>
        <row r="3283">
          <cell r="A3283">
            <v>9110999</v>
          </cell>
          <cell r="B3283">
            <v>321405</v>
          </cell>
          <cell r="C3283" t="str">
            <v>LUMP SUM PAYMENT AT RATIFICATION</v>
          </cell>
        </row>
        <row r="3284">
          <cell r="A3284">
            <v>9689999</v>
          </cell>
          <cell r="B3284">
            <v>321405</v>
          </cell>
          <cell r="C3284" t="str">
            <v>LUMP SUM PAYMENT AT RATIFICATION</v>
          </cell>
        </row>
        <row r="3285">
          <cell r="A3285">
            <v>9080700</v>
          </cell>
          <cell r="B3285">
            <v>321436</v>
          </cell>
          <cell r="C3285" t="str">
            <v>CONTRACT BONUS - PAID</v>
          </cell>
        </row>
        <row r="3286">
          <cell r="A3286">
            <v>9080701</v>
          </cell>
          <cell r="B3286">
            <v>321436</v>
          </cell>
          <cell r="C3286" t="str">
            <v>CONTRACT BONUS - PAID</v>
          </cell>
        </row>
        <row r="3287">
          <cell r="A3287">
            <v>9080702</v>
          </cell>
          <cell r="B3287">
            <v>321436</v>
          </cell>
          <cell r="C3287" t="str">
            <v>CONTRACT BONUS - PAID</v>
          </cell>
        </row>
        <row r="3288">
          <cell r="A3288">
            <v>9080705</v>
          </cell>
          <cell r="B3288">
            <v>321436</v>
          </cell>
          <cell r="C3288" t="str">
            <v>CONTRACT BONUS - PAID</v>
          </cell>
        </row>
        <row r="3289">
          <cell r="A3289">
            <v>9080707</v>
          </cell>
          <cell r="B3289">
            <v>321436</v>
          </cell>
          <cell r="C3289" t="str">
            <v>CONTRACT BONUS - PAID</v>
          </cell>
        </row>
        <row r="3290">
          <cell r="A3290">
            <v>9080710</v>
          </cell>
          <cell r="B3290">
            <v>321436</v>
          </cell>
          <cell r="C3290" t="str">
            <v>CONTRACT BONUS - PAID</v>
          </cell>
        </row>
        <row r="3291">
          <cell r="A3291">
            <v>9110700</v>
          </cell>
          <cell r="B3291">
            <v>321436</v>
          </cell>
          <cell r="C3291" t="str">
            <v>CONTRACT BONUS - PAID</v>
          </cell>
        </row>
        <row r="3292">
          <cell r="A3292">
            <v>9110702</v>
          </cell>
          <cell r="B3292">
            <v>321436</v>
          </cell>
          <cell r="C3292" t="str">
            <v>CONTRACT BONUS - PAID</v>
          </cell>
        </row>
        <row r="3293">
          <cell r="A3293">
            <v>9110705</v>
          </cell>
          <cell r="B3293">
            <v>321436</v>
          </cell>
          <cell r="C3293" t="str">
            <v>CONTRACT BONUS - PAID</v>
          </cell>
        </row>
        <row r="3294">
          <cell r="A3294">
            <v>9110707</v>
          </cell>
          <cell r="B3294">
            <v>321436</v>
          </cell>
          <cell r="C3294" t="str">
            <v>CONTRACT BONUS - PAID</v>
          </cell>
        </row>
        <row r="3295">
          <cell r="A3295">
            <v>9681700</v>
          </cell>
          <cell r="B3295">
            <v>321436</v>
          </cell>
          <cell r="C3295" t="str">
            <v>CONTRACT BONUS - PAID</v>
          </cell>
        </row>
        <row r="3296">
          <cell r="A3296">
            <v>9681701</v>
          </cell>
          <cell r="B3296">
            <v>321436</v>
          </cell>
          <cell r="C3296" t="str">
            <v>CONTRACT BONUS - PAID</v>
          </cell>
        </row>
        <row r="3297">
          <cell r="A3297">
            <v>9681702</v>
          </cell>
          <cell r="B3297">
            <v>321436</v>
          </cell>
          <cell r="C3297" t="str">
            <v>CONTRACT BONUS - PAID</v>
          </cell>
        </row>
        <row r="3298">
          <cell r="A3298">
            <v>9681705</v>
          </cell>
          <cell r="B3298">
            <v>321436</v>
          </cell>
          <cell r="C3298" t="str">
            <v>CONTRACT BONUS - PAID</v>
          </cell>
        </row>
        <row r="3299">
          <cell r="A3299">
            <v>9681706</v>
          </cell>
          <cell r="B3299">
            <v>321436</v>
          </cell>
          <cell r="C3299" t="str">
            <v>CONTRACT BONUS - PAID</v>
          </cell>
        </row>
        <row r="3300">
          <cell r="A3300">
            <v>9681707</v>
          </cell>
          <cell r="B3300">
            <v>321436</v>
          </cell>
          <cell r="C3300" t="str">
            <v>CONTRACT BONUS - PAID</v>
          </cell>
        </row>
        <row r="3301">
          <cell r="A3301">
            <v>9681712</v>
          </cell>
          <cell r="B3301">
            <v>321436</v>
          </cell>
          <cell r="C3301" t="str">
            <v>CONTRACT BONUS - PAID</v>
          </cell>
        </row>
        <row r="3302">
          <cell r="A3302">
            <v>9681727</v>
          </cell>
          <cell r="B3302">
            <v>321436</v>
          </cell>
          <cell r="C3302" t="str">
            <v>CONTRACT BONUS - PAID</v>
          </cell>
        </row>
        <row r="3303">
          <cell r="A3303">
            <v>9681749</v>
          </cell>
          <cell r="B3303">
            <v>321436</v>
          </cell>
          <cell r="C3303" t="str">
            <v>CONTRACT BONUS - PAID</v>
          </cell>
        </row>
        <row r="3304">
          <cell r="A3304">
            <v>9681999</v>
          </cell>
          <cell r="B3304">
            <v>321436</v>
          </cell>
          <cell r="C3304" t="str">
            <v>CONTRACT BONUS - PAID</v>
          </cell>
        </row>
        <row r="3305">
          <cell r="A3305">
            <v>9689883</v>
          </cell>
          <cell r="B3305">
            <v>321436</v>
          </cell>
          <cell r="C3305" t="str">
            <v>CONTRACT BONUS - PAID</v>
          </cell>
        </row>
        <row r="3306">
          <cell r="A3306">
            <v>9689992</v>
          </cell>
          <cell r="B3306">
            <v>321436</v>
          </cell>
          <cell r="C3306" t="str">
            <v>CONTRACT BONUS - PAID</v>
          </cell>
        </row>
        <row r="3307">
          <cell r="A3307">
            <v>9689993</v>
          </cell>
          <cell r="B3307">
            <v>321436</v>
          </cell>
          <cell r="C3307" t="str">
            <v>CONTRACT BONUS - PAID</v>
          </cell>
        </row>
        <row r="3308">
          <cell r="A3308">
            <v>9090710</v>
          </cell>
          <cell r="B3308">
            <v>321450</v>
          </cell>
          <cell r="C3308" t="str">
            <v>SALES COMMISSION</v>
          </cell>
        </row>
        <row r="3309">
          <cell r="A3309">
            <v>9100710</v>
          </cell>
          <cell r="B3309">
            <v>321450</v>
          </cell>
          <cell r="C3309" t="str">
            <v>SALES COMMISSION</v>
          </cell>
        </row>
        <row r="3310">
          <cell r="A3310">
            <v>8001054179</v>
          </cell>
          <cell r="B3310">
            <v>323831</v>
          </cell>
          <cell r="C3310" t="str">
            <v>OTHER DIVISION/ZONE STAFF</v>
          </cell>
        </row>
        <row r="3311">
          <cell r="A3311">
            <v>8001059542</v>
          </cell>
          <cell r="B3311">
            <v>323831</v>
          </cell>
          <cell r="C3311" t="str">
            <v>OTHER DIVISION/ZONE STAFF</v>
          </cell>
        </row>
        <row r="3312">
          <cell r="A3312">
            <v>8010512510</v>
          </cell>
          <cell r="B3312">
            <v>323831</v>
          </cell>
          <cell r="C3312" t="str">
            <v>OTHER DIVISION/ZONE STAFF</v>
          </cell>
        </row>
        <row r="3313">
          <cell r="A3313">
            <v>9090999</v>
          </cell>
          <cell r="B3313">
            <v>323831</v>
          </cell>
          <cell r="C3313" t="str">
            <v>OTHER DIVISION/ZONE STAFF</v>
          </cell>
        </row>
        <row r="3314">
          <cell r="A3314">
            <v>9100999</v>
          </cell>
          <cell r="B3314">
            <v>323831</v>
          </cell>
          <cell r="C3314" t="str">
            <v>OTHER DIVISION/ZONE STAFF</v>
          </cell>
        </row>
        <row r="3315">
          <cell r="A3315">
            <v>9969681</v>
          </cell>
          <cell r="B3315">
            <v>323831</v>
          </cell>
          <cell r="C3315" t="str">
            <v>OTHER DIVISION/ZONE STAFF</v>
          </cell>
        </row>
        <row r="3316">
          <cell r="A3316">
            <v>9969901</v>
          </cell>
          <cell r="B3316">
            <v>323831</v>
          </cell>
          <cell r="C3316" t="str">
            <v>OTHER DIVISION/ZONE STAFF</v>
          </cell>
        </row>
        <row r="3317">
          <cell r="A3317" t="str">
            <v>ZONE-0105-POST</v>
          </cell>
          <cell r="B3317">
            <v>323831</v>
          </cell>
          <cell r="C3317" t="str">
            <v>OTHER DIVISION/ZONE STAFF</v>
          </cell>
        </row>
        <row r="3318">
          <cell r="A3318" t="str">
            <v>ZONE-0112-POST</v>
          </cell>
          <cell r="B3318">
            <v>323831</v>
          </cell>
          <cell r="C3318" t="str">
            <v>OTHER DIVISION/ZONE STAFF</v>
          </cell>
        </row>
        <row r="3319">
          <cell r="A3319">
            <v>9090999</v>
          </cell>
          <cell r="B3319">
            <v>323860</v>
          </cell>
          <cell r="C3319" t="str">
            <v>EXECUTIVE OFFICERS</v>
          </cell>
        </row>
        <row r="3320">
          <cell r="A3320">
            <v>9100710</v>
          </cell>
          <cell r="B3320">
            <v>323860</v>
          </cell>
          <cell r="C3320" t="str">
            <v>EXECUTIVE OFFICERS</v>
          </cell>
        </row>
        <row r="3321">
          <cell r="A3321">
            <v>9100999</v>
          </cell>
          <cell r="B3321">
            <v>323860</v>
          </cell>
          <cell r="C3321" t="str">
            <v>EXECUTIVE OFFICERS</v>
          </cell>
        </row>
        <row r="3322">
          <cell r="A3322">
            <v>9689692</v>
          </cell>
          <cell r="B3322">
            <v>323860</v>
          </cell>
          <cell r="C3322" t="str">
            <v>EXECUTIVE OFFICERS</v>
          </cell>
        </row>
        <row r="3323">
          <cell r="A3323">
            <v>9689747</v>
          </cell>
          <cell r="B3323">
            <v>323860</v>
          </cell>
          <cell r="C3323" t="str">
            <v>EXECUTIVE OFFICERS</v>
          </cell>
        </row>
        <row r="3324">
          <cell r="A3324">
            <v>9689890</v>
          </cell>
          <cell r="B3324">
            <v>323860</v>
          </cell>
          <cell r="C3324" t="str">
            <v>EXECUTIVE OFFICERS</v>
          </cell>
        </row>
        <row r="3325">
          <cell r="A3325">
            <v>9689925</v>
          </cell>
          <cell r="B3325">
            <v>323860</v>
          </cell>
          <cell r="C3325" t="str">
            <v>EXECUTIVE OFFICERS</v>
          </cell>
        </row>
        <row r="3326">
          <cell r="A3326">
            <v>9689990</v>
          </cell>
          <cell r="B3326">
            <v>323860</v>
          </cell>
          <cell r="C3326" t="str">
            <v>EXECUTIVE OFFICERS</v>
          </cell>
        </row>
        <row r="3327">
          <cell r="A3327">
            <v>9689904</v>
          </cell>
          <cell r="B3327">
            <v>324404</v>
          </cell>
          <cell r="C3327" t="str">
            <v>ACCIDENT &amp; SICK-WAGES-COMPANY</v>
          </cell>
        </row>
        <row r="3328">
          <cell r="A3328">
            <v>9689904</v>
          </cell>
          <cell r="B3328">
            <v>324404</v>
          </cell>
          <cell r="C3328" t="str">
            <v>ACCIDENT &amp; SICK-WAGES-COMPANY - FULL TIME HOURS</v>
          </cell>
        </row>
        <row r="3329">
          <cell r="A3329">
            <v>9689904</v>
          </cell>
          <cell r="B3329">
            <v>324408</v>
          </cell>
          <cell r="C3329" t="str">
            <v>HOLIDAY WAGES</v>
          </cell>
        </row>
        <row r="3330">
          <cell r="A3330">
            <v>9689904</v>
          </cell>
          <cell r="B3330">
            <v>324408</v>
          </cell>
          <cell r="C3330" t="str">
            <v>HOLIDAY WAGES -FULL TIME HOURS</v>
          </cell>
        </row>
        <row r="3331">
          <cell r="A3331">
            <v>9080700</v>
          </cell>
          <cell r="B3331">
            <v>324409</v>
          </cell>
          <cell r="C3331" t="str">
            <v>VACATION WAGES</v>
          </cell>
        </row>
        <row r="3332">
          <cell r="A3332">
            <v>9080701</v>
          </cell>
          <cell r="B3332">
            <v>324409</v>
          </cell>
          <cell r="C3332" t="str">
            <v>VACATION WAGES</v>
          </cell>
        </row>
        <row r="3333">
          <cell r="A3333">
            <v>9080702</v>
          </cell>
          <cell r="B3333">
            <v>324409</v>
          </cell>
          <cell r="C3333" t="str">
            <v>VACATION WAGES</v>
          </cell>
        </row>
        <row r="3334">
          <cell r="A3334">
            <v>9080705</v>
          </cell>
          <cell r="B3334">
            <v>324409</v>
          </cell>
          <cell r="C3334" t="str">
            <v>VACATION WAGES</v>
          </cell>
        </row>
        <row r="3335">
          <cell r="A3335">
            <v>9080707</v>
          </cell>
          <cell r="B3335">
            <v>324409</v>
          </cell>
          <cell r="C3335" t="str">
            <v>VACATION WAGES</v>
          </cell>
        </row>
        <row r="3336">
          <cell r="A3336">
            <v>9080710</v>
          </cell>
          <cell r="B3336">
            <v>324409</v>
          </cell>
          <cell r="C3336" t="str">
            <v>VACATION WAGES</v>
          </cell>
        </row>
        <row r="3337">
          <cell r="A3337">
            <v>9090710</v>
          </cell>
          <cell r="B3337">
            <v>324409</v>
          </cell>
          <cell r="C3337" t="str">
            <v>VACATION WAGES</v>
          </cell>
        </row>
        <row r="3338">
          <cell r="A3338">
            <v>9090999</v>
          </cell>
          <cell r="B3338">
            <v>324409</v>
          </cell>
          <cell r="C3338" t="str">
            <v>VACATION WAGES</v>
          </cell>
        </row>
        <row r="3339">
          <cell r="A3339">
            <v>9100710</v>
          </cell>
          <cell r="B3339">
            <v>324409</v>
          </cell>
          <cell r="C3339" t="str">
            <v>VACATION WAGES</v>
          </cell>
        </row>
        <row r="3340">
          <cell r="A3340">
            <v>9100999</v>
          </cell>
          <cell r="B3340">
            <v>324409</v>
          </cell>
          <cell r="C3340" t="str">
            <v>VACATION WAGES</v>
          </cell>
        </row>
        <row r="3341">
          <cell r="A3341">
            <v>9110700</v>
          </cell>
          <cell r="B3341">
            <v>324409</v>
          </cell>
          <cell r="C3341" t="str">
            <v>VACATION WAGES</v>
          </cell>
        </row>
        <row r="3342">
          <cell r="A3342">
            <v>9110702</v>
          </cell>
          <cell r="B3342">
            <v>324409</v>
          </cell>
          <cell r="C3342" t="str">
            <v>VACATION WAGES</v>
          </cell>
        </row>
        <row r="3343">
          <cell r="A3343">
            <v>9110705</v>
          </cell>
          <cell r="B3343">
            <v>324409</v>
          </cell>
          <cell r="C3343" t="str">
            <v>VACATION WAGES</v>
          </cell>
        </row>
        <row r="3344">
          <cell r="A3344">
            <v>9110707</v>
          </cell>
          <cell r="B3344">
            <v>324409</v>
          </cell>
          <cell r="C3344" t="str">
            <v>VACATION WAGES</v>
          </cell>
        </row>
        <row r="3345">
          <cell r="A3345">
            <v>9680700</v>
          </cell>
          <cell r="B3345">
            <v>324409</v>
          </cell>
          <cell r="C3345" t="str">
            <v>VACATION WAGES</v>
          </cell>
        </row>
        <row r="3346">
          <cell r="A3346">
            <v>9680701</v>
          </cell>
          <cell r="B3346">
            <v>324409</v>
          </cell>
          <cell r="C3346" t="str">
            <v>VACATION WAGES</v>
          </cell>
        </row>
        <row r="3347">
          <cell r="A3347">
            <v>9680702</v>
          </cell>
          <cell r="B3347">
            <v>324409</v>
          </cell>
          <cell r="C3347" t="str">
            <v>VACATION WAGES</v>
          </cell>
        </row>
        <row r="3348">
          <cell r="A3348">
            <v>9680705</v>
          </cell>
          <cell r="B3348">
            <v>324409</v>
          </cell>
          <cell r="C3348" t="str">
            <v>VACATION WAGES</v>
          </cell>
        </row>
        <row r="3349">
          <cell r="A3349">
            <v>9680707</v>
          </cell>
          <cell r="B3349">
            <v>324409</v>
          </cell>
          <cell r="C3349" t="str">
            <v>VACATION WAGES</v>
          </cell>
        </row>
        <row r="3350">
          <cell r="A3350">
            <v>9680710</v>
          </cell>
          <cell r="B3350">
            <v>324409</v>
          </cell>
          <cell r="C3350" t="str">
            <v>VACATION WAGES</v>
          </cell>
        </row>
        <row r="3351">
          <cell r="A3351">
            <v>9680712</v>
          </cell>
          <cell r="B3351">
            <v>324409</v>
          </cell>
          <cell r="C3351" t="str">
            <v>VACATION WAGES</v>
          </cell>
        </row>
        <row r="3352">
          <cell r="A3352">
            <v>9680714</v>
          </cell>
          <cell r="B3352">
            <v>324409</v>
          </cell>
          <cell r="C3352" t="str">
            <v>VACATION WAGES</v>
          </cell>
        </row>
        <row r="3353">
          <cell r="A3353">
            <v>9680734</v>
          </cell>
          <cell r="B3353">
            <v>324409</v>
          </cell>
          <cell r="C3353" t="str">
            <v>VACATION WAGES</v>
          </cell>
        </row>
        <row r="3354">
          <cell r="A3354">
            <v>9680748</v>
          </cell>
          <cell r="B3354">
            <v>324409</v>
          </cell>
          <cell r="C3354" t="str">
            <v>VACATION WAGES</v>
          </cell>
        </row>
        <row r="3355">
          <cell r="A3355">
            <v>9680749</v>
          </cell>
          <cell r="B3355">
            <v>324409</v>
          </cell>
          <cell r="C3355" t="str">
            <v>VACATION WAGES</v>
          </cell>
        </row>
        <row r="3356">
          <cell r="A3356">
            <v>9680894</v>
          </cell>
          <cell r="B3356">
            <v>324409</v>
          </cell>
          <cell r="C3356" t="str">
            <v>VACATION WAGES</v>
          </cell>
        </row>
        <row r="3357">
          <cell r="A3357">
            <v>9680999</v>
          </cell>
          <cell r="B3357">
            <v>324409</v>
          </cell>
          <cell r="C3357" t="str">
            <v>VACATION WAGES</v>
          </cell>
        </row>
        <row r="3358">
          <cell r="A3358">
            <v>9681700</v>
          </cell>
          <cell r="B3358">
            <v>324409</v>
          </cell>
          <cell r="C3358" t="str">
            <v>VACATION WAGES</v>
          </cell>
        </row>
        <row r="3359">
          <cell r="A3359">
            <v>9681701</v>
          </cell>
          <cell r="B3359">
            <v>324409</v>
          </cell>
          <cell r="C3359" t="str">
            <v>VACATION WAGES</v>
          </cell>
        </row>
        <row r="3360">
          <cell r="A3360">
            <v>9681702</v>
          </cell>
          <cell r="B3360">
            <v>324409</v>
          </cell>
          <cell r="C3360" t="str">
            <v>VACATION WAGES</v>
          </cell>
        </row>
        <row r="3361">
          <cell r="A3361">
            <v>9681705</v>
          </cell>
          <cell r="B3361">
            <v>324409</v>
          </cell>
          <cell r="C3361" t="str">
            <v>VACATION WAGES</v>
          </cell>
        </row>
        <row r="3362">
          <cell r="A3362">
            <v>9681706</v>
          </cell>
          <cell r="B3362">
            <v>324409</v>
          </cell>
          <cell r="C3362" t="str">
            <v>VACATION WAGES</v>
          </cell>
        </row>
        <row r="3363">
          <cell r="A3363">
            <v>9681707</v>
          </cell>
          <cell r="B3363">
            <v>324409</v>
          </cell>
          <cell r="C3363" t="str">
            <v>VACATION WAGES</v>
          </cell>
        </row>
        <row r="3364">
          <cell r="A3364">
            <v>9681710</v>
          </cell>
          <cell r="B3364">
            <v>324409</v>
          </cell>
          <cell r="C3364" t="str">
            <v>VACATION WAGES</v>
          </cell>
        </row>
        <row r="3365">
          <cell r="A3365">
            <v>9681712</v>
          </cell>
          <cell r="B3365">
            <v>324409</v>
          </cell>
          <cell r="C3365" t="str">
            <v>VACATION WAGES</v>
          </cell>
        </row>
        <row r="3366">
          <cell r="A3366">
            <v>9681727</v>
          </cell>
          <cell r="B3366">
            <v>324409</v>
          </cell>
          <cell r="C3366" t="str">
            <v>VACATION WAGES</v>
          </cell>
        </row>
        <row r="3367">
          <cell r="A3367">
            <v>9681734</v>
          </cell>
          <cell r="B3367">
            <v>324409</v>
          </cell>
          <cell r="C3367" t="str">
            <v>VACATION WAGES</v>
          </cell>
        </row>
        <row r="3368">
          <cell r="A3368">
            <v>9681748</v>
          </cell>
          <cell r="B3368">
            <v>324409</v>
          </cell>
          <cell r="C3368" t="str">
            <v>VACATION WAGES</v>
          </cell>
        </row>
        <row r="3369">
          <cell r="A3369">
            <v>9681749</v>
          </cell>
          <cell r="B3369">
            <v>324409</v>
          </cell>
          <cell r="C3369" t="str">
            <v>VACATION WAGES</v>
          </cell>
        </row>
        <row r="3370">
          <cell r="A3370">
            <v>9681894</v>
          </cell>
          <cell r="B3370">
            <v>324409</v>
          </cell>
          <cell r="C3370" t="str">
            <v>VACATION WAGES</v>
          </cell>
        </row>
        <row r="3371">
          <cell r="A3371">
            <v>9681999</v>
          </cell>
          <cell r="B3371">
            <v>324409</v>
          </cell>
          <cell r="C3371" t="str">
            <v>VACATION WAGES</v>
          </cell>
        </row>
        <row r="3372">
          <cell r="A3372">
            <v>9682715</v>
          </cell>
          <cell r="B3372">
            <v>324409</v>
          </cell>
          <cell r="C3372" t="str">
            <v>VACATION WAGES</v>
          </cell>
        </row>
        <row r="3373">
          <cell r="A3373">
            <v>9682722</v>
          </cell>
          <cell r="B3373">
            <v>324409</v>
          </cell>
          <cell r="C3373" t="str">
            <v>VACATION WAGES</v>
          </cell>
        </row>
        <row r="3374">
          <cell r="A3374">
            <v>9682999</v>
          </cell>
          <cell r="B3374">
            <v>324409</v>
          </cell>
          <cell r="C3374" t="str">
            <v>VACATION WAGES</v>
          </cell>
        </row>
        <row r="3375">
          <cell r="A3375">
            <v>9683999</v>
          </cell>
          <cell r="B3375">
            <v>324409</v>
          </cell>
          <cell r="C3375" t="str">
            <v>VACATION WAGES</v>
          </cell>
        </row>
        <row r="3376">
          <cell r="A3376">
            <v>9684999</v>
          </cell>
          <cell r="B3376">
            <v>324409</v>
          </cell>
          <cell r="C3376" t="str">
            <v>VACATION WAGES</v>
          </cell>
        </row>
        <row r="3377">
          <cell r="A3377">
            <v>9685999</v>
          </cell>
          <cell r="B3377">
            <v>324409</v>
          </cell>
          <cell r="C3377" t="str">
            <v>VACATION WAGES</v>
          </cell>
        </row>
        <row r="3378">
          <cell r="A3378">
            <v>9689692</v>
          </cell>
          <cell r="B3378">
            <v>324409</v>
          </cell>
          <cell r="C3378" t="str">
            <v>VACATION WAGES</v>
          </cell>
        </row>
        <row r="3379">
          <cell r="A3379">
            <v>9689747</v>
          </cell>
          <cell r="B3379">
            <v>324409</v>
          </cell>
          <cell r="C3379" t="str">
            <v>VACATION WAGES</v>
          </cell>
        </row>
        <row r="3380">
          <cell r="A3380">
            <v>9689883</v>
          </cell>
          <cell r="B3380">
            <v>324409</v>
          </cell>
          <cell r="C3380" t="str">
            <v>VACATION WAGES</v>
          </cell>
        </row>
        <row r="3381">
          <cell r="A3381">
            <v>9689890</v>
          </cell>
          <cell r="B3381">
            <v>324409</v>
          </cell>
          <cell r="C3381" t="str">
            <v>VACATION WAGES</v>
          </cell>
        </row>
        <row r="3382">
          <cell r="A3382">
            <v>9689904</v>
          </cell>
          <cell r="B3382">
            <v>324409</v>
          </cell>
          <cell r="C3382" t="str">
            <v>VACATION WAGES</v>
          </cell>
        </row>
        <row r="3383">
          <cell r="A3383">
            <v>9689906</v>
          </cell>
          <cell r="B3383">
            <v>324409</v>
          </cell>
          <cell r="C3383" t="str">
            <v>VACATION WAGES</v>
          </cell>
        </row>
        <row r="3384">
          <cell r="A3384">
            <v>9689925</v>
          </cell>
          <cell r="B3384">
            <v>324409</v>
          </cell>
          <cell r="C3384" t="str">
            <v>VACATION WAGES</v>
          </cell>
        </row>
        <row r="3385">
          <cell r="A3385">
            <v>9689990</v>
          </cell>
          <cell r="B3385">
            <v>324409</v>
          </cell>
          <cell r="C3385" t="str">
            <v>VACATION WAGES</v>
          </cell>
        </row>
        <row r="3386">
          <cell r="A3386">
            <v>9689991</v>
          </cell>
          <cell r="B3386">
            <v>324409</v>
          </cell>
          <cell r="C3386" t="str">
            <v>VACATION WAGES</v>
          </cell>
        </row>
        <row r="3387">
          <cell r="A3387">
            <v>9689992</v>
          </cell>
          <cell r="B3387">
            <v>324409</v>
          </cell>
          <cell r="C3387" t="str">
            <v>VACATION WAGES</v>
          </cell>
        </row>
        <row r="3388">
          <cell r="A3388">
            <v>9689904</v>
          </cell>
          <cell r="B3388">
            <v>324418</v>
          </cell>
          <cell r="C3388" t="str">
            <v>FUNERAL, JURY, NATIONAL GUARD</v>
          </cell>
        </row>
        <row r="3389">
          <cell r="A3389">
            <v>9689904</v>
          </cell>
          <cell r="B3389">
            <v>324418</v>
          </cell>
          <cell r="C3389" t="str">
            <v>FUNERAL, JURY, NATIONAL GUARD - FULL TIME HOURS</v>
          </cell>
        </row>
        <row r="3390">
          <cell r="A3390">
            <v>9969901</v>
          </cell>
          <cell r="B3390">
            <v>324422</v>
          </cell>
          <cell r="C3390" t="str">
            <v>SALARIES REBILLED</v>
          </cell>
        </row>
        <row r="3391">
          <cell r="A3391">
            <v>9080700</v>
          </cell>
          <cell r="B3391">
            <v>324533</v>
          </cell>
          <cell r="C3391" t="str">
            <v>MOVING EXPENSE-PAID TO OTHER</v>
          </cell>
        </row>
        <row r="3392">
          <cell r="A3392">
            <v>9080701</v>
          </cell>
          <cell r="B3392">
            <v>324533</v>
          </cell>
          <cell r="C3392" t="str">
            <v>MOVING EXPENSE-PAID TO OTHER</v>
          </cell>
        </row>
        <row r="3393">
          <cell r="A3393">
            <v>9080702</v>
          </cell>
          <cell r="B3393">
            <v>324533</v>
          </cell>
          <cell r="C3393" t="str">
            <v>MOVING EXPENSE-PAID TO OTHER</v>
          </cell>
        </row>
        <row r="3394">
          <cell r="A3394">
            <v>9080705</v>
          </cell>
          <cell r="B3394">
            <v>324533</v>
          </cell>
          <cell r="C3394" t="str">
            <v>MOVING EXPENSE-PAID TO OTHER</v>
          </cell>
        </row>
        <row r="3395">
          <cell r="A3395">
            <v>9080707</v>
          </cell>
          <cell r="B3395">
            <v>324533</v>
          </cell>
          <cell r="C3395" t="str">
            <v>MOVING EXPENSE-PAID TO OTHER</v>
          </cell>
        </row>
        <row r="3396">
          <cell r="A3396">
            <v>9080710</v>
          </cell>
          <cell r="B3396">
            <v>324533</v>
          </cell>
          <cell r="C3396" t="str">
            <v>MOVING EXPENSE-PAID TO OTHER</v>
          </cell>
        </row>
        <row r="3397">
          <cell r="A3397">
            <v>9110700</v>
          </cell>
          <cell r="B3397">
            <v>324533</v>
          </cell>
          <cell r="C3397" t="str">
            <v>MOVING EXPENSE-PAID TO OTHER</v>
          </cell>
        </row>
        <row r="3398">
          <cell r="A3398">
            <v>9110702</v>
          </cell>
          <cell r="B3398">
            <v>324533</v>
          </cell>
          <cell r="C3398" t="str">
            <v>MOVING EXPENSE-PAID TO OTHER</v>
          </cell>
        </row>
        <row r="3399">
          <cell r="A3399">
            <v>9110705</v>
          </cell>
          <cell r="B3399">
            <v>324533</v>
          </cell>
          <cell r="C3399" t="str">
            <v>MOVING EXPENSE-PAID TO OTHER</v>
          </cell>
        </row>
        <row r="3400">
          <cell r="A3400">
            <v>9110707</v>
          </cell>
          <cell r="B3400">
            <v>324533</v>
          </cell>
          <cell r="C3400" t="str">
            <v>MOVING EXPENSE-PAID TO OTHER</v>
          </cell>
        </row>
        <row r="3401">
          <cell r="A3401">
            <v>9681700</v>
          </cell>
          <cell r="B3401">
            <v>324533</v>
          </cell>
          <cell r="C3401" t="str">
            <v>MOVING EXPENSE-PAID TO OTHER</v>
          </cell>
        </row>
        <row r="3402">
          <cell r="A3402">
            <v>9681701</v>
          </cell>
          <cell r="B3402">
            <v>324533</v>
          </cell>
          <cell r="C3402" t="str">
            <v>MOVING EXPENSE-PAID TO OTHER</v>
          </cell>
        </row>
        <row r="3403">
          <cell r="A3403">
            <v>9681702</v>
          </cell>
          <cell r="B3403">
            <v>324533</v>
          </cell>
          <cell r="C3403" t="str">
            <v>MOVING EXPENSE-PAID TO OTHER</v>
          </cell>
        </row>
        <row r="3404">
          <cell r="A3404">
            <v>9681705</v>
          </cell>
          <cell r="B3404">
            <v>324533</v>
          </cell>
          <cell r="C3404" t="str">
            <v>MOVING EXPENSE-PAID TO OTHER</v>
          </cell>
        </row>
        <row r="3405">
          <cell r="A3405">
            <v>9681706</v>
          </cell>
          <cell r="B3405">
            <v>324533</v>
          </cell>
          <cell r="C3405" t="str">
            <v>MOVING EXPENSE-PAID TO OTHER</v>
          </cell>
        </row>
        <row r="3406">
          <cell r="A3406">
            <v>9681707</v>
          </cell>
          <cell r="B3406">
            <v>324533</v>
          </cell>
          <cell r="C3406" t="str">
            <v>MOVING EXPENSE-PAID TO OTHER</v>
          </cell>
        </row>
        <row r="3407">
          <cell r="A3407">
            <v>9681712</v>
          </cell>
          <cell r="B3407">
            <v>324533</v>
          </cell>
          <cell r="C3407" t="str">
            <v>MOVING EXPENSE-PAID TO OTHER</v>
          </cell>
        </row>
        <row r="3408">
          <cell r="A3408">
            <v>9681727</v>
          </cell>
          <cell r="B3408">
            <v>324533</v>
          </cell>
          <cell r="C3408" t="str">
            <v>MOVING EXPENSE-PAID TO OTHER</v>
          </cell>
        </row>
        <row r="3409">
          <cell r="A3409">
            <v>9681749</v>
          </cell>
          <cell r="B3409">
            <v>324533</v>
          </cell>
          <cell r="C3409" t="str">
            <v>MOVING EXPENSE-PAID TO OTHER</v>
          </cell>
        </row>
        <row r="3410">
          <cell r="A3410">
            <v>9681999</v>
          </cell>
          <cell r="B3410">
            <v>324533</v>
          </cell>
          <cell r="C3410" t="str">
            <v>MOVING EXPENSE-PAID TO OTHER</v>
          </cell>
        </row>
        <row r="3411">
          <cell r="A3411">
            <v>9682715</v>
          </cell>
          <cell r="B3411">
            <v>324533</v>
          </cell>
          <cell r="C3411" t="str">
            <v>MOVING EXPENSE-PAID TO OTHER</v>
          </cell>
        </row>
        <row r="3412">
          <cell r="A3412">
            <v>9682722</v>
          </cell>
          <cell r="B3412">
            <v>324533</v>
          </cell>
          <cell r="C3412" t="str">
            <v>MOVING EXPENSE-PAID TO OTHER</v>
          </cell>
        </row>
        <row r="3413">
          <cell r="A3413">
            <v>9682999</v>
          </cell>
          <cell r="B3413">
            <v>324533</v>
          </cell>
          <cell r="C3413" t="str">
            <v>MOVING EXPENSE-PAID TO OTHER</v>
          </cell>
        </row>
        <row r="3414">
          <cell r="A3414">
            <v>9683999</v>
          </cell>
          <cell r="B3414">
            <v>324533</v>
          </cell>
          <cell r="C3414" t="str">
            <v>MOVING EXPENSE-PAID TO OTHER</v>
          </cell>
        </row>
        <row r="3415">
          <cell r="A3415">
            <v>9689883</v>
          </cell>
          <cell r="B3415">
            <v>324533</v>
          </cell>
          <cell r="C3415" t="str">
            <v>MOVING EXPENSE-PAID TO OTHER</v>
          </cell>
        </row>
        <row r="3416">
          <cell r="A3416">
            <v>9689904</v>
          </cell>
          <cell r="B3416">
            <v>324533</v>
          </cell>
          <cell r="C3416" t="str">
            <v>MOVING EXPENSE-PAID TO OTHER</v>
          </cell>
        </row>
        <row r="3417">
          <cell r="A3417">
            <v>9689906</v>
          </cell>
          <cell r="B3417">
            <v>324533</v>
          </cell>
          <cell r="C3417" t="str">
            <v>MOVING EXPENSE-PAID TO OTHER</v>
          </cell>
        </row>
        <row r="3418">
          <cell r="A3418">
            <v>9689992</v>
          </cell>
          <cell r="B3418">
            <v>324533</v>
          </cell>
          <cell r="C3418" t="str">
            <v>MOVING EXPENSE-PAID TO OTHER</v>
          </cell>
        </row>
        <row r="3419">
          <cell r="A3419">
            <v>9689904</v>
          </cell>
          <cell r="B3419">
            <v>324562</v>
          </cell>
          <cell r="C3419" t="str">
            <v>EDUCATIONAL REFUND PLAN</v>
          </cell>
        </row>
        <row r="3420">
          <cell r="A3420">
            <v>9689904</v>
          </cell>
          <cell r="B3420">
            <v>325460</v>
          </cell>
          <cell r="C3420" t="str">
            <v>GROUP INSUR-SAFEWAY-COMPANY EX</v>
          </cell>
        </row>
        <row r="3421">
          <cell r="A3421">
            <v>9689904</v>
          </cell>
          <cell r="B3421">
            <v>325466</v>
          </cell>
          <cell r="C3421" t="str">
            <v>GROUP INSUR-HEALTH MAINT ORGAN</v>
          </cell>
        </row>
        <row r="3422">
          <cell r="A3422">
            <v>9689904</v>
          </cell>
          <cell r="B3422">
            <v>325475</v>
          </cell>
          <cell r="C3422" t="str">
            <v>BASIC LIFE INS. ACTIVE EMPLOY</v>
          </cell>
        </row>
        <row r="3423">
          <cell r="A3423">
            <v>9689904</v>
          </cell>
          <cell r="B3423">
            <v>325476</v>
          </cell>
          <cell r="C3423" t="str">
            <v>S/T DISABILITY-ACTIVE EMPLOY.</v>
          </cell>
        </row>
        <row r="3424">
          <cell r="A3424">
            <v>9689904</v>
          </cell>
          <cell r="B3424">
            <v>325500</v>
          </cell>
          <cell r="C3424" t="str">
            <v>DISABILITY INSURANCE-STATE OF</v>
          </cell>
        </row>
        <row r="3425">
          <cell r="A3425">
            <v>9689904</v>
          </cell>
          <cell r="B3425">
            <v>325600</v>
          </cell>
          <cell r="C3425" t="str">
            <v>UNEMPLOYMENT INSURANCE-STATE</v>
          </cell>
        </row>
        <row r="3426">
          <cell r="A3426">
            <v>9689904</v>
          </cell>
          <cell r="B3426">
            <v>325675</v>
          </cell>
          <cell r="C3426" t="str">
            <v>UNEMPLOY INSUR-FEDERAL OR DOMI</v>
          </cell>
        </row>
        <row r="3427">
          <cell r="A3427">
            <v>9090710</v>
          </cell>
          <cell r="B3427">
            <v>325700</v>
          </cell>
          <cell r="C3427" t="str">
            <v>WORKERS COMPENS INSUR-STATE</v>
          </cell>
        </row>
        <row r="3428">
          <cell r="A3428">
            <v>9090999</v>
          </cell>
          <cell r="B3428">
            <v>325700</v>
          </cell>
          <cell r="C3428" t="str">
            <v>WORKERS COMPENS INSUR-STATE</v>
          </cell>
        </row>
        <row r="3429">
          <cell r="A3429">
            <v>9100710</v>
          </cell>
          <cell r="B3429">
            <v>325700</v>
          </cell>
          <cell r="C3429" t="str">
            <v>WORKERS COMPENS INSUR-STATE</v>
          </cell>
        </row>
        <row r="3430">
          <cell r="A3430">
            <v>9100999</v>
          </cell>
          <cell r="B3430">
            <v>325700</v>
          </cell>
          <cell r="C3430" t="str">
            <v>WORKERS COMPENS INSUR-STATE</v>
          </cell>
        </row>
        <row r="3431">
          <cell r="A3431">
            <v>9090710</v>
          </cell>
          <cell r="B3431">
            <v>325875</v>
          </cell>
          <cell r="C3431" t="str">
            <v>SOCIAL SECURITY</v>
          </cell>
        </row>
        <row r="3432">
          <cell r="A3432">
            <v>9090999</v>
          </cell>
          <cell r="B3432">
            <v>325875</v>
          </cell>
          <cell r="C3432" t="str">
            <v>SOCIAL SECURITY</v>
          </cell>
        </row>
        <row r="3433">
          <cell r="A3433">
            <v>9100710</v>
          </cell>
          <cell r="B3433">
            <v>325875</v>
          </cell>
          <cell r="C3433" t="str">
            <v>SOCIAL SECURITY</v>
          </cell>
        </row>
        <row r="3434">
          <cell r="A3434">
            <v>9100999</v>
          </cell>
          <cell r="B3434">
            <v>325875</v>
          </cell>
          <cell r="C3434" t="str">
            <v>SOCIAL SECURITY</v>
          </cell>
        </row>
        <row r="3435">
          <cell r="A3435">
            <v>9683999</v>
          </cell>
          <cell r="B3435">
            <v>325875</v>
          </cell>
          <cell r="C3435" t="str">
            <v>SOCIAL SECURITY</v>
          </cell>
        </row>
        <row r="3436">
          <cell r="A3436">
            <v>9689904</v>
          </cell>
          <cell r="B3436">
            <v>325875</v>
          </cell>
          <cell r="C3436" t="str">
            <v>SOCIAL SECURITY</v>
          </cell>
        </row>
        <row r="3437">
          <cell r="A3437">
            <v>9683999</v>
          </cell>
          <cell r="B3437">
            <v>325876</v>
          </cell>
          <cell r="C3437" t="str">
            <v>MEDICARE</v>
          </cell>
        </row>
        <row r="3438">
          <cell r="A3438">
            <v>9689904</v>
          </cell>
          <cell r="B3438">
            <v>325876</v>
          </cell>
          <cell r="C3438" t="str">
            <v>MEDICARE</v>
          </cell>
        </row>
        <row r="3439">
          <cell r="A3439">
            <v>9080700</v>
          </cell>
          <cell r="B3439">
            <v>326975</v>
          </cell>
          <cell r="C3439" t="str">
            <v>EMP BENEFIT DIST-DIRECT CHARGE</v>
          </cell>
        </row>
        <row r="3440">
          <cell r="A3440">
            <v>9080701</v>
          </cell>
          <cell r="B3440">
            <v>326975</v>
          </cell>
          <cell r="C3440" t="str">
            <v>EMP BENEFIT DIST-DIRECT CHARGE</v>
          </cell>
        </row>
        <row r="3441">
          <cell r="A3441">
            <v>9080702</v>
          </cell>
          <cell r="B3441">
            <v>326975</v>
          </cell>
          <cell r="C3441" t="str">
            <v>EMP BENEFIT DIST-DIRECT CHARGE</v>
          </cell>
        </row>
        <row r="3442">
          <cell r="A3442">
            <v>9080705</v>
          </cell>
          <cell r="B3442">
            <v>326975</v>
          </cell>
          <cell r="C3442" t="str">
            <v>EMP BENEFIT DIST-DIRECT CHARGE</v>
          </cell>
        </row>
        <row r="3443">
          <cell r="A3443">
            <v>9080707</v>
          </cell>
          <cell r="B3443">
            <v>326975</v>
          </cell>
          <cell r="C3443" t="str">
            <v>EMP BENEFIT DIST-DIRECT CHARGE</v>
          </cell>
        </row>
        <row r="3444">
          <cell r="A3444">
            <v>9080710</v>
          </cell>
          <cell r="B3444">
            <v>326975</v>
          </cell>
          <cell r="C3444" t="str">
            <v>EMP BENEFIT DIST-DIRECT CHARGE</v>
          </cell>
        </row>
        <row r="3445">
          <cell r="A3445">
            <v>9080999</v>
          </cell>
          <cell r="B3445">
            <v>326975</v>
          </cell>
          <cell r="C3445" t="str">
            <v>EMP BENEFIT DIST-DIRECT CHARGE</v>
          </cell>
        </row>
        <row r="3446">
          <cell r="A3446">
            <v>9090710</v>
          </cell>
          <cell r="B3446">
            <v>326975</v>
          </cell>
          <cell r="C3446" t="str">
            <v>EMP BENEFIT DIST-DIRECT CHARGE</v>
          </cell>
        </row>
        <row r="3447">
          <cell r="A3447">
            <v>9090999</v>
          </cell>
          <cell r="B3447">
            <v>326975</v>
          </cell>
          <cell r="C3447" t="str">
            <v>EMP BENEFIT DIST-DIRECT CHARGE</v>
          </cell>
        </row>
        <row r="3448">
          <cell r="A3448">
            <v>9100710</v>
          </cell>
          <cell r="B3448">
            <v>326975</v>
          </cell>
          <cell r="C3448" t="str">
            <v>EMP BENEFIT DIST-DIRECT CHARGE</v>
          </cell>
        </row>
        <row r="3449">
          <cell r="A3449">
            <v>9100999</v>
          </cell>
          <cell r="B3449">
            <v>326975</v>
          </cell>
          <cell r="C3449" t="str">
            <v>EMP BENEFIT DIST-DIRECT CHARGE</v>
          </cell>
        </row>
        <row r="3450">
          <cell r="A3450">
            <v>9110700</v>
          </cell>
          <cell r="B3450">
            <v>326975</v>
          </cell>
          <cell r="C3450" t="str">
            <v>EMP BENEFIT DIST-DIRECT CHARGE</v>
          </cell>
        </row>
        <row r="3451">
          <cell r="A3451">
            <v>9110702</v>
          </cell>
          <cell r="B3451">
            <v>326975</v>
          </cell>
          <cell r="C3451" t="str">
            <v>EMP BENEFIT DIST-DIRECT CHARGE</v>
          </cell>
        </row>
        <row r="3452">
          <cell r="A3452">
            <v>9110705</v>
          </cell>
          <cell r="B3452">
            <v>326975</v>
          </cell>
          <cell r="C3452" t="str">
            <v>EMP BENEFIT DIST-DIRECT CHARGE</v>
          </cell>
        </row>
        <row r="3453">
          <cell r="A3453">
            <v>9110707</v>
          </cell>
          <cell r="B3453">
            <v>326975</v>
          </cell>
          <cell r="C3453" t="str">
            <v>EMP BENEFIT DIST-DIRECT CHARGE</v>
          </cell>
        </row>
        <row r="3454">
          <cell r="A3454">
            <v>9110999</v>
          </cell>
          <cell r="B3454">
            <v>326975</v>
          </cell>
          <cell r="C3454" t="str">
            <v>EMP BENEFIT DIST-DIRECT CHARGE</v>
          </cell>
        </row>
        <row r="3455">
          <cell r="A3455">
            <v>9680700</v>
          </cell>
          <cell r="B3455">
            <v>326975</v>
          </cell>
          <cell r="C3455" t="str">
            <v>EMP BENEFIT DIST-DIRECT CHARGE</v>
          </cell>
        </row>
        <row r="3456">
          <cell r="A3456">
            <v>9680701</v>
          </cell>
          <cell r="B3456">
            <v>326975</v>
          </cell>
          <cell r="C3456" t="str">
            <v>EMP BENEFIT DIST-DIRECT CHARGE</v>
          </cell>
        </row>
        <row r="3457">
          <cell r="A3457">
            <v>9680702</v>
          </cell>
          <cell r="B3457">
            <v>326975</v>
          </cell>
          <cell r="C3457" t="str">
            <v>EMP BENEFIT DIST-DIRECT CHARGE</v>
          </cell>
        </row>
        <row r="3458">
          <cell r="A3458">
            <v>9680705</v>
          </cell>
          <cell r="B3458">
            <v>326975</v>
          </cell>
          <cell r="C3458" t="str">
            <v>EMP BENEFIT DIST-DIRECT CHARGE</v>
          </cell>
        </row>
        <row r="3459">
          <cell r="A3459">
            <v>9680707</v>
          </cell>
          <cell r="B3459">
            <v>326975</v>
          </cell>
          <cell r="C3459" t="str">
            <v>EMP BENEFIT DIST-DIRECT CHARGE</v>
          </cell>
        </row>
        <row r="3460">
          <cell r="A3460">
            <v>9680710</v>
          </cell>
          <cell r="B3460">
            <v>326975</v>
          </cell>
          <cell r="C3460" t="str">
            <v>EMP BENEFIT DIST-DIRECT CHARGE</v>
          </cell>
        </row>
        <row r="3461">
          <cell r="A3461">
            <v>9680712</v>
          </cell>
          <cell r="B3461">
            <v>326975</v>
          </cell>
          <cell r="C3461" t="str">
            <v>EMP BENEFIT DIST-DIRECT CHARGE</v>
          </cell>
        </row>
        <row r="3462">
          <cell r="A3462">
            <v>9680714</v>
          </cell>
          <cell r="B3462">
            <v>326975</v>
          </cell>
          <cell r="C3462" t="str">
            <v>EMP BENEFIT DIST-DIRECT CHARGE</v>
          </cell>
        </row>
        <row r="3463">
          <cell r="A3463">
            <v>9680734</v>
          </cell>
          <cell r="B3463">
            <v>326975</v>
          </cell>
          <cell r="C3463" t="str">
            <v>EMP BENEFIT DIST-DIRECT CHARGE</v>
          </cell>
        </row>
        <row r="3464">
          <cell r="A3464">
            <v>9680748</v>
          </cell>
          <cell r="B3464">
            <v>326975</v>
          </cell>
          <cell r="C3464" t="str">
            <v>EMP BENEFIT DIST-DIRECT CHARGE</v>
          </cell>
        </row>
        <row r="3465">
          <cell r="A3465">
            <v>9680749</v>
          </cell>
          <cell r="B3465">
            <v>326975</v>
          </cell>
          <cell r="C3465" t="str">
            <v>EMP BENEFIT DIST-DIRECT CHARGE</v>
          </cell>
        </row>
        <row r="3466">
          <cell r="A3466">
            <v>9680894</v>
          </cell>
          <cell r="B3466">
            <v>326975</v>
          </cell>
          <cell r="C3466" t="str">
            <v>EMP BENEFIT DIST-DIRECT CHARGE</v>
          </cell>
        </row>
        <row r="3467">
          <cell r="A3467">
            <v>9680999</v>
          </cell>
          <cell r="B3467">
            <v>326975</v>
          </cell>
          <cell r="C3467" t="str">
            <v>EMP BENEFIT DIST-DIRECT CHARGE</v>
          </cell>
        </row>
        <row r="3468">
          <cell r="A3468">
            <v>9681700</v>
          </cell>
          <cell r="B3468">
            <v>326975</v>
          </cell>
          <cell r="C3468" t="str">
            <v>EMP BENEFIT DIST-DIRECT CHARGE</v>
          </cell>
        </row>
        <row r="3469">
          <cell r="A3469">
            <v>9681701</v>
          </cell>
          <cell r="B3469">
            <v>326975</v>
          </cell>
          <cell r="C3469" t="str">
            <v>EMP BENEFIT DIST-DIRECT CHARGE</v>
          </cell>
        </row>
        <row r="3470">
          <cell r="A3470">
            <v>9681702</v>
          </cell>
          <cell r="B3470">
            <v>326975</v>
          </cell>
          <cell r="C3470" t="str">
            <v>EMP BENEFIT DIST-DIRECT CHARGE</v>
          </cell>
        </row>
        <row r="3471">
          <cell r="A3471">
            <v>9681705</v>
          </cell>
          <cell r="B3471">
            <v>326975</v>
          </cell>
          <cell r="C3471" t="str">
            <v>EMP BENEFIT DIST-DIRECT CHARGE</v>
          </cell>
        </row>
        <row r="3472">
          <cell r="A3472">
            <v>9681706</v>
          </cell>
          <cell r="B3472">
            <v>326975</v>
          </cell>
          <cell r="C3472" t="str">
            <v>EMP BENEFIT DIST-DIRECT CHARGE</v>
          </cell>
        </row>
        <row r="3473">
          <cell r="A3473">
            <v>9681707</v>
          </cell>
          <cell r="B3473">
            <v>326975</v>
          </cell>
          <cell r="C3473" t="str">
            <v>EMP BENEFIT DIST-DIRECT CHARGE</v>
          </cell>
        </row>
        <row r="3474">
          <cell r="A3474">
            <v>9681710</v>
          </cell>
          <cell r="B3474">
            <v>326975</v>
          </cell>
          <cell r="C3474" t="str">
            <v>EMP BENEFIT DIST-DIRECT CHARGE</v>
          </cell>
        </row>
        <row r="3475">
          <cell r="A3475">
            <v>9681712</v>
          </cell>
          <cell r="B3475">
            <v>326975</v>
          </cell>
          <cell r="C3475" t="str">
            <v>EMP BENEFIT DIST-DIRECT CHARGE</v>
          </cell>
        </row>
        <row r="3476">
          <cell r="A3476">
            <v>9681727</v>
          </cell>
          <cell r="B3476">
            <v>326975</v>
          </cell>
          <cell r="C3476" t="str">
            <v>EMP BENEFIT DIST-DIRECT CHARGE</v>
          </cell>
        </row>
        <row r="3477">
          <cell r="A3477">
            <v>9681734</v>
          </cell>
          <cell r="B3477">
            <v>326975</v>
          </cell>
          <cell r="C3477" t="str">
            <v>EMP BENEFIT DIST-DIRECT CHARGE</v>
          </cell>
        </row>
        <row r="3478">
          <cell r="A3478">
            <v>9681748</v>
          </cell>
          <cell r="B3478">
            <v>326975</v>
          </cell>
          <cell r="C3478" t="str">
            <v>EMP BENEFIT DIST-DIRECT CHARGE</v>
          </cell>
        </row>
        <row r="3479">
          <cell r="A3479">
            <v>9681749</v>
          </cell>
          <cell r="B3479">
            <v>326975</v>
          </cell>
          <cell r="C3479" t="str">
            <v>EMP BENEFIT DIST-DIRECT CHARGE</v>
          </cell>
        </row>
        <row r="3480">
          <cell r="A3480">
            <v>9681894</v>
          </cell>
          <cell r="B3480">
            <v>326975</v>
          </cell>
          <cell r="C3480" t="str">
            <v>EMP BENEFIT DIST-DIRECT CHARGE</v>
          </cell>
        </row>
        <row r="3481">
          <cell r="A3481">
            <v>9681999</v>
          </cell>
          <cell r="B3481">
            <v>326975</v>
          </cell>
          <cell r="C3481" t="str">
            <v>EMP BENEFIT DIST-DIRECT CHARGE</v>
          </cell>
        </row>
        <row r="3482">
          <cell r="A3482">
            <v>9682715</v>
          </cell>
          <cell r="B3482">
            <v>326975</v>
          </cell>
          <cell r="C3482" t="str">
            <v>EMP BENEFIT DIST-DIRECT CHARGE</v>
          </cell>
        </row>
        <row r="3483">
          <cell r="A3483">
            <v>9682722</v>
          </cell>
          <cell r="B3483">
            <v>326975</v>
          </cell>
          <cell r="C3483" t="str">
            <v>EMP BENEFIT DIST-DIRECT CHARGE</v>
          </cell>
        </row>
        <row r="3484">
          <cell r="A3484">
            <v>9682999</v>
          </cell>
          <cell r="B3484">
            <v>326975</v>
          </cell>
          <cell r="C3484" t="str">
            <v>EMP BENEFIT DIST-DIRECT CHARGE</v>
          </cell>
        </row>
        <row r="3485">
          <cell r="A3485">
            <v>9683999</v>
          </cell>
          <cell r="B3485">
            <v>326975</v>
          </cell>
          <cell r="C3485" t="str">
            <v>EMP BENEFIT DIST-DIRECT CHARGE</v>
          </cell>
        </row>
        <row r="3486">
          <cell r="A3486">
            <v>9684999</v>
          </cell>
          <cell r="B3486">
            <v>326975</v>
          </cell>
          <cell r="C3486" t="str">
            <v>EMP BENEFIT DIST-DIRECT CHARGE</v>
          </cell>
        </row>
        <row r="3487">
          <cell r="A3487">
            <v>9685999</v>
          </cell>
          <cell r="B3487">
            <v>326975</v>
          </cell>
          <cell r="C3487" t="str">
            <v>EMP BENEFIT DIST-DIRECT CHARGE</v>
          </cell>
        </row>
        <row r="3488">
          <cell r="A3488">
            <v>9689692</v>
          </cell>
          <cell r="B3488">
            <v>326975</v>
          </cell>
          <cell r="C3488" t="str">
            <v>EMP BENEFIT DIST-DIRECT CHARGE</v>
          </cell>
        </row>
        <row r="3489">
          <cell r="A3489">
            <v>9689747</v>
          </cell>
          <cell r="B3489">
            <v>326975</v>
          </cell>
          <cell r="C3489" t="str">
            <v>EMP BENEFIT DIST-DIRECT CHARGE</v>
          </cell>
        </row>
        <row r="3490">
          <cell r="A3490">
            <v>9689883</v>
          </cell>
          <cell r="B3490">
            <v>326975</v>
          </cell>
          <cell r="C3490" t="str">
            <v>EMP BENEFIT DIST-DIRECT CHARGE</v>
          </cell>
        </row>
        <row r="3491">
          <cell r="A3491">
            <v>9689890</v>
          </cell>
          <cell r="B3491">
            <v>326975</v>
          </cell>
          <cell r="C3491" t="str">
            <v>EMP BENEFIT DIST-DIRECT CHARGE</v>
          </cell>
        </row>
        <row r="3492">
          <cell r="A3492">
            <v>9689904</v>
          </cell>
          <cell r="B3492">
            <v>326975</v>
          </cell>
          <cell r="C3492" t="str">
            <v>EMP BENEFIT DIST-DIRECT CHARGE</v>
          </cell>
        </row>
        <row r="3493">
          <cell r="A3493">
            <v>9689906</v>
          </cell>
          <cell r="B3493">
            <v>326975</v>
          </cell>
          <cell r="C3493" t="str">
            <v>EMP BENEFIT DIST-DIRECT CHARGE</v>
          </cell>
        </row>
        <row r="3494">
          <cell r="A3494">
            <v>9689925</v>
          </cell>
          <cell r="B3494">
            <v>326975</v>
          </cell>
          <cell r="C3494" t="str">
            <v>EMP BENEFIT DIST-DIRECT CHARGE</v>
          </cell>
        </row>
        <row r="3495">
          <cell r="A3495">
            <v>9689990</v>
          </cell>
          <cell r="B3495">
            <v>326975</v>
          </cell>
          <cell r="C3495" t="str">
            <v>EMP BENEFIT DIST-DIRECT CHARGE</v>
          </cell>
        </row>
        <row r="3496">
          <cell r="A3496">
            <v>9689991</v>
          </cell>
          <cell r="B3496">
            <v>326975</v>
          </cell>
          <cell r="C3496" t="str">
            <v>EMP BENEFIT DIST-DIRECT CHARGE</v>
          </cell>
        </row>
        <row r="3497">
          <cell r="A3497">
            <v>9689992</v>
          </cell>
          <cell r="B3497">
            <v>326975</v>
          </cell>
          <cell r="C3497" t="str">
            <v>EMP BENEFIT DIST-DIRECT CHARGE</v>
          </cell>
        </row>
        <row r="3498">
          <cell r="A3498">
            <v>9689993</v>
          </cell>
          <cell r="B3498">
            <v>326975</v>
          </cell>
          <cell r="C3498" t="str">
            <v>EMP BENEFIT DIST-DIRECT CHARGE</v>
          </cell>
        </row>
        <row r="3499">
          <cell r="A3499">
            <v>9689994</v>
          </cell>
          <cell r="B3499">
            <v>326975</v>
          </cell>
          <cell r="C3499" t="str">
            <v>EMP BENEFIT DIST-DIRECT CHARGE</v>
          </cell>
        </row>
        <row r="3500">
          <cell r="A3500">
            <v>9689999</v>
          </cell>
          <cell r="B3500">
            <v>326975</v>
          </cell>
          <cell r="C3500" t="str">
            <v>EMP BENEFIT DIST-DIRECT CHARGE</v>
          </cell>
        </row>
        <row r="3501">
          <cell r="A3501">
            <v>8001054179</v>
          </cell>
          <cell r="B3501">
            <v>326979</v>
          </cell>
          <cell r="C3501" t="str">
            <v>EMPLOYEE BENEFITS DISTRIBUTED</v>
          </cell>
        </row>
        <row r="3502">
          <cell r="A3502">
            <v>8001059542</v>
          </cell>
          <cell r="B3502">
            <v>326979</v>
          </cell>
          <cell r="C3502" t="str">
            <v>EMPLOYEE BENEFITS DISTRIBUTED</v>
          </cell>
        </row>
        <row r="3503">
          <cell r="A3503">
            <v>8010512510</v>
          </cell>
          <cell r="B3503">
            <v>326979</v>
          </cell>
          <cell r="C3503" t="str">
            <v>EMPLOYEE BENEFITS DISTRIBUTED</v>
          </cell>
        </row>
        <row r="3504">
          <cell r="A3504">
            <v>9080700</v>
          </cell>
          <cell r="B3504">
            <v>326979</v>
          </cell>
          <cell r="C3504" t="str">
            <v>EMPLOYEE BENEFITS DISTRIBUTED</v>
          </cell>
        </row>
        <row r="3505">
          <cell r="A3505">
            <v>9080701</v>
          </cell>
          <cell r="B3505">
            <v>326979</v>
          </cell>
          <cell r="C3505" t="str">
            <v>EMPLOYEE BENEFITS DISTRIBUTED</v>
          </cell>
        </row>
        <row r="3506">
          <cell r="A3506">
            <v>9080702</v>
          </cell>
          <cell r="B3506">
            <v>326979</v>
          </cell>
          <cell r="C3506" t="str">
            <v>EMPLOYEE BENEFITS DISTRIBUTED</v>
          </cell>
        </row>
        <row r="3507">
          <cell r="A3507">
            <v>9080705</v>
          </cell>
          <cell r="B3507">
            <v>326979</v>
          </cell>
          <cell r="C3507" t="str">
            <v>EMPLOYEE BENEFITS DISTRIBUTED</v>
          </cell>
        </row>
        <row r="3508">
          <cell r="A3508">
            <v>9080707</v>
          </cell>
          <cell r="B3508">
            <v>326979</v>
          </cell>
          <cell r="C3508" t="str">
            <v>EMPLOYEE BENEFITS DISTRIBUTED</v>
          </cell>
        </row>
        <row r="3509">
          <cell r="A3509">
            <v>9080710</v>
          </cell>
          <cell r="B3509">
            <v>326979</v>
          </cell>
          <cell r="C3509" t="str">
            <v>EMPLOYEE BENEFITS DISTRIBUTED</v>
          </cell>
        </row>
        <row r="3510">
          <cell r="A3510">
            <v>9090999</v>
          </cell>
          <cell r="B3510">
            <v>326979</v>
          </cell>
          <cell r="C3510" t="str">
            <v>EMPLOYEE BENEFITS DISTRIBUTED</v>
          </cell>
        </row>
        <row r="3511">
          <cell r="A3511">
            <v>9100999</v>
          </cell>
          <cell r="B3511">
            <v>326979</v>
          </cell>
          <cell r="C3511" t="str">
            <v>EMPLOYEE BENEFITS DISTRIBUTED</v>
          </cell>
        </row>
        <row r="3512">
          <cell r="A3512">
            <v>9110700</v>
          </cell>
          <cell r="B3512">
            <v>326979</v>
          </cell>
          <cell r="C3512" t="str">
            <v>EMPLOYEE BENEFITS DISTRIBUTED</v>
          </cell>
        </row>
        <row r="3513">
          <cell r="A3513">
            <v>9110702</v>
          </cell>
          <cell r="B3513">
            <v>326979</v>
          </cell>
          <cell r="C3513" t="str">
            <v>EMPLOYEE BENEFITS DISTRIBUTED</v>
          </cell>
        </row>
        <row r="3514">
          <cell r="A3514">
            <v>9110705</v>
          </cell>
          <cell r="B3514">
            <v>326979</v>
          </cell>
          <cell r="C3514" t="str">
            <v>EMPLOYEE BENEFITS DISTRIBUTED</v>
          </cell>
        </row>
        <row r="3515">
          <cell r="A3515">
            <v>9110707</v>
          </cell>
          <cell r="B3515">
            <v>326979</v>
          </cell>
          <cell r="C3515" t="str">
            <v>EMPLOYEE BENEFITS DISTRIBUTED</v>
          </cell>
        </row>
        <row r="3516">
          <cell r="A3516">
            <v>9680700</v>
          </cell>
          <cell r="B3516">
            <v>326979</v>
          </cell>
          <cell r="C3516" t="str">
            <v>EMPLOYEE BENEFITS DISTRIBUTED</v>
          </cell>
        </row>
        <row r="3517">
          <cell r="A3517">
            <v>9680701</v>
          </cell>
          <cell r="B3517">
            <v>326979</v>
          </cell>
          <cell r="C3517" t="str">
            <v>EMPLOYEE BENEFITS DISTRIBUTED</v>
          </cell>
        </row>
        <row r="3518">
          <cell r="A3518">
            <v>9680702</v>
          </cell>
          <cell r="B3518">
            <v>326979</v>
          </cell>
          <cell r="C3518" t="str">
            <v>EMPLOYEE BENEFITS DISTRIBUTED</v>
          </cell>
        </row>
        <row r="3519">
          <cell r="A3519">
            <v>9680705</v>
          </cell>
          <cell r="B3519">
            <v>326979</v>
          </cell>
          <cell r="C3519" t="str">
            <v>EMPLOYEE BENEFITS DISTRIBUTED</v>
          </cell>
        </row>
        <row r="3520">
          <cell r="A3520">
            <v>9680707</v>
          </cell>
          <cell r="B3520">
            <v>326979</v>
          </cell>
          <cell r="C3520" t="str">
            <v>EMPLOYEE BENEFITS DISTRIBUTED</v>
          </cell>
        </row>
        <row r="3521">
          <cell r="A3521">
            <v>9680710</v>
          </cell>
          <cell r="B3521">
            <v>326979</v>
          </cell>
          <cell r="C3521" t="str">
            <v>EMPLOYEE BENEFITS DISTRIBUTED</v>
          </cell>
        </row>
        <row r="3522">
          <cell r="A3522">
            <v>9680712</v>
          </cell>
          <cell r="B3522">
            <v>326979</v>
          </cell>
          <cell r="C3522" t="str">
            <v>EMPLOYEE BENEFITS DISTRIBUTED</v>
          </cell>
        </row>
        <row r="3523">
          <cell r="A3523">
            <v>9680714</v>
          </cell>
          <cell r="B3523">
            <v>326979</v>
          </cell>
          <cell r="C3523" t="str">
            <v>EMPLOYEE BENEFITS DISTRIBUTED</v>
          </cell>
        </row>
        <row r="3524">
          <cell r="A3524">
            <v>9680734</v>
          </cell>
          <cell r="B3524">
            <v>326979</v>
          </cell>
          <cell r="C3524" t="str">
            <v>EMPLOYEE BENEFITS DISTRIBUTED</v>
          </cell>
        </row>
        <row r="3525">
          <cell r="A3525">
            <v>9680748</v>
          </cell>
          <cell r="B3525">
            <v>326979</v>
          </cell>
          <cell r="C3525" t="str">
            <v>EMPLOYEE BENEFITS DISTRIBUTED</v>
          </cell>
        </row>
        <row r="3526">
          <cell r="A3526">
            <v>9680749</v>
          </cell>
          <cell r="B3526">
            <v>326979</v>
          </cell>
          <cell r="C3526" t="str">
            <v>EMPLOYEE BENEFITS DISTRIBUTED</v>
          </cell>
        </row>
        <row r="3527">
          <cell r="A3527">
            <v>9680894</v>
          </cell>
          <cell r="B3527">
            <v>326979</v>
          </cell>
          <cell r="C3527" t="str">
            <v>EMPLOYEE BENEFITS DISTRIBUTED</v>
          </cell>
        </row>
        <row r="3528">
          <cell r="A3528">
            <v>9680999</v>
          </cell>
          <cell r="B3528">
            <v>326979</v>
          </cell>
          <cell r="C3528" t="str">
            <v>EMPLOYEE BENEFITS DISTRIBUTED</v>
          </cell>
        </row>
        <row r="3529">
          <cell r="A3529">
            <v>9681700</v>
          </cell>
          <cell r="B3529">
            <v>326979</v>
          </cell>
          <cell r="C3529" t="str">
            <v>EMPLOYEE BENEFITS DISTRIBUTED</v>
          </cell>
        </row>
        <row r="3530">
          <cell r="A3530">
            <v>9681701</v>
          </cell>
          <cell r="B3530">
            <v>326979</v>
          </cell>
          <cell r="C3530" t="str">
            <v>EMPLOYEE BENEFITS DISTRIBUTED</v>
          </cell>
        </row>
        <row r="3531">
          <cell r="A3531">
            <v>9681702</v>
          </cell>
          <cell r="B3531">
            <v>326979</v>
          </cell>
          <cell r="C3531" t="str">
            <v>EMPLOYEE BENEFITS DISTRIBUTED</v>
          </cell>
        </row>
        <row r="3532">
          <cell r="A3532">
            <v>9681705</v>
          </cell>
          <cell r="B3532">
            <v>326979</v>
          </cell>
          <cell r="C3532" t="str">
            <v>EMPLOYEE BENEFITS DISTRIBUTED</v>
          </cell>
        </row>
        <row r="3533">
          <cell r="A3533">
            <v>9681706</v>
          </cell>
          <cell r="B3533">
            <v>326979</v>
          </cell>
          <cell r="C3533" t="str">
            <v>EMPLOYEE BENEFITS DISTRIBUTED</v>
          </cell>
        </row>
        <row r="3534">
          <cell r="A3534">
            <v>9681707</v>
          </cell>
          <cell r="B3534">
            <v>326979</v>
          </cell>
          <cell r="C3534" t="str">
            <v>EMPLOYEE BENEFITS DISTRIBUTED</v>
          </cell>
        </row>
        <row r="3535">
          <cell r="A3535">
            <v>9681710</v>
          </cell>
          <cell r="B3535">
            <v>326979</v>
          </cell>
          <cell r="C3535" t="str">
            <v>EMPLOYEE BENEFITS DISTRIBUTED</v>
          </cell>
        </row>
        <row r="3536">
          <cell r="A3536">
            <v>9681712</v>
          </cell>
          <cell r="B3536">
            <v>326979</v>
          </cell>
          <cell r="C3536" t="str">
            <v>EMPLOYEE BENEFITS DISTRIBUTED</v>
          </cell>
        </row>
        <row r="3537">
          <cell r="A3537">
            <v>9681727</v>
          </cell>
          <cell r="B3537">
            <v>326979</v>
          </cell>
          <cell r="C3537" t="str">
            <v>EMPLOYEE BENEFITS DISTRIBUTED</v>
          </cell>
        </row>
        <row r="3538">
          <cell r="A3538">
            <v>9681734</v>
          </cell>
          <cell r="B3538">
            <v>326979</v>
          </cell>
          <cell r="C3538" t="str">
            <v>EMPLOYEE BENEFITS DISTRIBUTED</v>
          </cell>
        </row>
        <row r="3539">
          <cell r="A3539">
            <v>9681748</v>
          </cell>
          <cell r="B3539">
            <v>326979</v>
          </cell>
          <cell r="C3539" t="str">
            <v>EMPLOYEE BENEFITS DISTRIBUTED</v>
          </cell>
        </row>
        <row r="3540">
          <cell r="A3540">
            <v>9681749</v>
          </cell>
          <cell r="B3540">
            <v>326979</v>
          </cell>
          <cell r="C3540" t="str">
            <v>EMPLOYEE BENEFITS DISTRIBUTED</v>
          </cell>
        </row>
        <row r="3541">
          <cell r="A3541">
            <v>9681894</v>
          </cell>
          <cell r="B3541">
            <v>326979</v>
          </cell>
          <cell r="C3541" t="str">
            <v>EMPLOYEE BENEFITS DISTRIBUTED</v>
          </cell>
        </row>
        <row r="3542">
          <cell r="A3542">
            <v>9681999</v>
          </cell>
          <cell r="B3542">
            <v>326979</v>
          </cell>
          <cell r="C3542" t="str">
            <v>EMPLOYEE BENEFITS DISTRIBUTED</v>
          </cell>
        </row>
        <row r="3543">
          <cell r="A3543">
            <v>9682715</v>
          </cell>
          <cell r="B3543">
            <v>326979</v>
          </cell>
          <cell r="C3543" t="str">
            <v>EMPLOYEE BENEFITS DISTRIBUTED</v>
          </cell>
        </row>
        <row r="3544">
          <cell r="A3544">
            <v>9682722</v>
          </cell>
          <cell r="B3544">
            <v>326979</v>
          </cell>
          <cell r="C3544" t="str">
            <v>EMPLOYEE BENEFITS DISTRIBUTED</v>
          </cell>
        </row>
        <row r="3545">
          <cell r="A3545">
            <v>9682999</v>
          </cell>
          <cell r="B3545">
            <v>326979</v>
          </cell>
          <cell r="C3545" t="str">
            <v>EMPLOYEE BENEFITS DISTRIBUTED</v>
          </cell>
        </row>
        <row r="3546">
          <cell r="A3546">
            <v>9683999</v>
          </cell>
          <cell r="B3546">
            <v>326979</v>
          </cell>
          <cell r="C3546" t="str">
            <v>EMPLOYEE BENEFITS DISTRIBUTED</v>
          </cell>
        </row>
        <row r="3547">
          <cell r="A3547">
            <v>9684999</v>
          </cell>
          <cell r="B3547">
            <v>326979</v>
          </cell>
          <cell r="C3547" t="str">
            <v>EMPLOYEE BENEFITS DISTRIBUTED</v>
          </cell>
        </row>
        <row r="3548">
          <cell r="A3548">
            <v>9685999</v>
          </cell>
          <cell r="B3548">
            <v>326979</v>
          </cell>
          <cell r="C3548" t="str">
            <v>EMPLOYEE BENEFITS DISTRIBUTED</v>
          </cell>
        </row>
        <row r="3549">
          <cell r="A3549">
            <v>9689692</v>
          </cell>
          <cell r="B3549">
            <v>326979</v>
          </cell>
          <cell r="C3549" t="str">
            <v>EMPLOYEE BENEFITS DISTRIBUTED</v>
          </cell>
        </row>
        <row r="3550">
          <cell r="A3550">
            <v>9689747</v>
          </cell>
          <cell r="B3550">
            <v>326979</v>
          </cell>
          <cell r="C3550" t="str">
            <v>EMPLOYEE BENEFITS DISTRIBUTED</v>
          </cell>
        </row>
        <row r="3551">
          <cell r="A3551">
            <v>9689883</v>
          </cell>
          <cell r="B3551">
            <v>326979</v>
          </cell>
          <cell r="C3551" t="str">
            <v>EMPLOYEE BENEFITS DISTRIBUTED</v>
          </cell>
        </row>
        <row r="3552">
          <cell r="A3552">
            <v>9689890</v>
          </cell>
          <cell r="B3552">
            <v>326979</v>
          </cell>
          <cell r="C3552" t="str">
            <v>EMPLOYEE BENEFITS DISTRIBUTED</v>
          </cell>
        </row>
        <row r="3553">
          <cell r="A3553">
            <v>9689904</v>
          </cell>
          <cell r="B3553">
            <v>326979</v>
          </cell>
          <cell r="C3553" t="str">
            <v>EMPLOYEE BENEFITS DISTRIBUTED</v>
          </cell>
        </row>
        <row r="3554">
          <cell r="A3554">
            <v>9689906</v>
          </cell>
          <cell r="B3554">
            <v>326979</v>
          </cell>
          <cell r="C3554" t="str">
            <v>EMPLOYEE BENEFITS DISTRIBUTED</v>
          </cell>
        </row>
        <row r="3555">
          <cell r="A3555">
            <v>9689925</v>
          </cell>
          <cell r="B3555">
            <v>326979</v>
          </cell>
          <cell r="C3555" t="str">
            <v>EMPLOYEE BENEFITS DISTRIBUTED</v>
          </cell>
        </row>
        <row r="3556">
          <cell r="A3556">
            <v>9689990</v>
          </cell>
          <cell r="B3556">
            <v>326979</v>
          </cell>
          <cell r="C3556" t="str">
            <v>EMPLOYEE BENEFITS DISTRIBUTED</v>
          </cell>
        </row>
        <row r="3557">
          <cell r="A3557">
            <v>9689991</v>
          </cell>
          <cell r="B3557">
            <v>326979</v>
          </cell>
          <cell r="C3557" t="str">
            <v>EMPLOYEE BENEFITS DISTRIBUTED</v>
          </cell>
        </row>
        <row r="3558">
          <cell r="A3558">
            <v>9689992</v>
          </cell>
          <cell r="B3558">
            <v>326979</v>
          </cell>
          <cell r="C3558" t="str">
            <v>EMPLOYEE BENEFITS DISTRIBUTED</v>
          </cell>
        </row>
        <row r="3559">
          <cell r="A3559">
            <v>9689993</v>
          </cell>
          <cell r="B3559">
            <v>326979</v>
          </cell>
          <cell r="C3559" t="str">
            <v>EMPLOYEE BENEFITS DISTRIBUTED</v>
          </cell>
        </row>
        <row r="3560">
          <cell r="A3560">
            <v>9689994</v>
          </cell>
          <cell r="B3560">
            <v>326979</v>
          </cell>
          <cell r="C3560" t="str">
            <v>EMPLOYEE BENEFITS DISTRIBUTED</v>
          </cell>
        </row>
        <row r="3561">
          <cell r="A3561">
            <v>9969681</v>
          </cell>
          <cell r="B3561">
            <v>326979</v>
          </cell>
          <cell r="C3561" t="str">
            <v>EMPLOYEE BENEFITS DISTRIBUTED</v>
          </cell>
        </row>
        <row r="3562">
          <cell r="A3562">
            <v>9969901</v>
          </cell>
          <cell r="B3562">
            <v>326979</v>
          </cell>
          <cell r="C3562" t="str">
            <v>EMPLOYEE BENEFITS DISTRIBUTED</v>
          </cell>
        </row>
        <row r="3563">
          <cell r="A3563" t="str">
            <v>ZONE-0105-POST</v>
          </cell>
          <cell r="B3563">
            <v>326979</v>
          </cell>
          <cell r="C3563" t="str">
            <v>EMPLOYEE BENEFITS DISTRIBUTED</v>
          </cell>
        </row>
        <row r="3564">
          <cell r="A3564" t="str">
            <v>ZONE-0112-POST</v>
          </cell>
          <cell r="B3564">
            <v>326979</v>
          </cell>
          <cell r="C3564" t="str">
            <v>EMPLOYEE BENEFITS DISTRIBUTED</v>
          </cell>
        </row>
        <row r="3565">
          <cell r="A3565">
            <v>8001054179</v>
          </cell>
          <cell r="B3565">
            <v>326979</v>
          </cell>
          <cell r="C3565" t="str">
            <v>EMPLOYEE BENEFITS DISTRIBUTED - PART TIME HOURS</v>
          </cell>
        </row>
        <row r="3566">
          <cell r="A3566">
            <v>8001059542</v>
          </cell>
          <cell r="B3566">
            <v>326979</v>
          </cell>
          <cell r="C3566" t="str">
            <v>EMPLOYEE BENEFITS DISTRIBUTED - PART TIME HOURS</v>
          </cell>
        </row>
        <row r="3567">
          <cell r="A3567">
            <v>8010512510</v>
          </cell>
          <cell r="B3567">
            <v>326979</v>
          </cell>
          <cell r="C3567" t="str">
            <v>EMPLOYEE BENEFITS DISTRIBUTED - PART TIME HOURS</v>
          </cell>
        </row>
        <row r="3568">
          <cell r="A3568">
            <v>9969681</v>
          </cell>
          <cell r="B3568">
            <v>326979</v>
          </cell>
          <cell r="C3568" t="str">
            <v>EMPLOYEE BENEFITS DISTRIBUTED - PART TIME HOURS</v>
          </cell>
        </row>
        <row r="3569">
          <cell r="A3569">
            <v>9969901</v>
          </cell>
          <cell r="B3569">
            <v>326979</v>
          </cell>
          <cell r="C3569" t="str">
            <v>EMPLOYEE BENEFITS DISTRIBUTED - PART TIME HOURS</v>
          </cell>
        </row>
        <row r="3570">
          <cell r="A3570" t="str">
            <v>ZONE-0105-POST</v>
          </cell>
          <cell r="B3570">
            <v>326979</v>
          </cell>
          <cell r="C3570" t="str">
            <v>EMPLOYEE BENEFITS DISTRIBUTED - PART TIME HOURS</v>
          </cell>
        </row>
        <row r="3571">
          <cell r="A3571" t="str">
            <v>ZONE-0112-POST</v>
          </cell>
          <cell r="B3571">
            <v>326979</v>
          </cell>
          <cell r="C3571" t="str">
            <v>EMPLOYEE BENEFITS DISTRIBUTED - PART TIME HOURS</v>
          </cell>
        </row>
        <row r="3572">
          <cell r="A3572">
            <v>8001054179</v>
          </cell>
          <cell r="B3572">
            <v>326979</v>
          </cell>
          <cell r="C3572" t="str">
            <v>EMPLOYEE BENEFITS DISTRIBUTED - PROJECT HOURS</v>
          </cell>
        </row>
        <row r="3573">
          <cell r="A3573">
            <v>8001059542</v>
          </cell>
          <cell r="B3573">
            <v>326979</v>
          </cell>
          <cell r="C3573" t="str">
            <v>EMPLOYEE BENEFITS DISTRIBUTED - PROJECT HOURS</v>
          </cell>
        </row>
        <row r="3574">
          <cell r="A3574">
            <v>8010512510</v>
          </cell>
          <cell r="B3574">
            <v>326979</v>
          </cell>
          <cell r="C3574" t="str">
            <v>EMPLOYEE BENEFITS DISTRIBUTED - PROJECT HOURS</v>
          </cell>
        </row>
        <row r="3575">
          <cell r="A3575">
            <v>9969681</v>
          </cell>
          <cell r="B3575">
            <v>326979</v>
          </cell>
          <cell r="C3575" t="str">
            <v>EMPLOYEE BENEFITS DISTRIBUTED - PROJECT HOURS</v>
          </cell>
        </row>
        <row r="3576">
          <cell r="A3576">
            <v>9969901</v>
          </cell>
          <cell r="B3576">
            <v>326979</v>
          </cell>
          <cell r="C3576" t="str">
            <v>EMPLOYEE BENEFITS DISTRIBUTED - PROJECT HOURS</v>
          </cell>
        </row>
        <row r="3577">
          <cell r="A3577" t="str">
            <v>ZONE-0105-POST</v>
          </cell>
          <cell r="B3577">
            <v>326979</v>
          </cell>
          <cell r="C3577" t="str">
            <v>EMPLOYEE BENEFITS DISTRIBUTED - PROJECT HOURS</v>
          </cell>
        </row>
        <row r="3578">
          <cell r="A3578" t="str">
            <v>ZONE-0112-POST</v>
          </cell>
          <cell r="B3578">
            <v>326979</v>
          </cell>
          <cell r="C3578" t="str">
            <v>EMPLOYEE BENEFITS DISTRIBUTED - PROJECT HOURS</v>
          </cell>
        </row>
        <row r="3579">
          <cell r="A3579">
            <v>8001054179</v>
          </cell>
          <cell r="B3579">
            <v>326979</v>
          </cell>
          <cell r="C3579" t="str">
            <v>EMPLOYEE BENEFITS DISTRIBUTED - PREMIUM A</v>
          </cell>
        </row>
        <row r="3580">
          <cell r="A3580">
            <v>8001059542</v>
          </cell>
          <cell r="B3580">
            <v>326979</v>
          </cell>
          <cell r="C3580" t="str">
            <v>EMPLOYEE BENEFITS DISTRIBUTED - PREMIUM A</v>
          </cell>
        </row>
        <row r="3581">
          <cell r="A3581">
            <v>8010512510</v>
          </cell>
          <cell r="B3581">
            <v>326979</v>
          </cell>
          <cell r="C3581" t="str">
            <v>EMPLOYEE BENEFITS DISTRIBUTED - PREMIUM A</v>
          </cell>
        </row>
        <row r="3582">
          <cell r="A3582">
            <v>9969681</v>
          </cell>
          <cell r="B3582">
            <v>326979</v>
          </cell>
          <cell r="C3582" t="str">
            <v>EMPLOYEE BENEFITS DISTRIBUTED - PREMIUM A</v>
          </cell>
        </row>
        <row r="3583">
          <cell r="A3583">
            <v>9969901</v>
          </cell>
          <cell r="B3583">
            <v>326979</v>
          </cell>
          <cell r="C3583" t="str">
            <v>EMPLOYEE BENEFITS DISTRIBUTED - PREMIUM A</v>
          </cell>
        </row>
        <row r="3584">
          <cell r="A3584" t="str">
            <v>ZONE-0105-POST</v>
          </cell>
          <cell r="B3584">
            <v>326979</v>
          </cell>
          <cell r="C3584" t="str">
            <v>EMPLOYEE BENEFITS DISTRIBUTED - PREMIUM A</v>
          </cell>
        </row>
        <row r="3585">
          <cell r="A3585" t="str">
            <v>ZONE-0112-POST</v>
          </cell>
          <cell r="B3585">
            <v>326979</v>
          </cell>
          <cell r="C3585" t="str">
            <v>EMPLOYEE BENEFITS DISTRIBUTED - PREMIUM A</v>
          </cell>
        </row>
        <row r="3586">
          <cell r="A3586">
            <v>8001054179</v>
          </cell>
          <cell r="B3586">
            <v>326979</v>
          </cell>
          <cell r="C3586" t="str">
            <v>EMPLOYEE BENEFITS DISTRIBUTED - PREMIUM B</v>
          </cell>
        </row>
        <row r="3587">
          <cell r="A3587">
            <v>8001059542</v>
          </cell>
          <cell r="B3587">
            <v>326979</v>
          </cell>
          <cell r="C3587" t="str">
            <v>EMPLOYEE BENEFITS DISTRIBUTED - PREMIUM B</v>
          </cell>
        </row>
        <row r="3588">
          <cell r="A3588">
            <v>8010512510</v>
          </cell>
          <cell r="B3588">
            <v>326979</v>
          </cell>
          <cell r="C3588" t="str">
            <v>EMPLOYEE BENEFITS DISTRIBUTED - PREMIUM B</v>
          </cell>
        </row>
        <row r="3589">
          <cell r="A3589">
            <v>9969681</v>
          </cell>
          <cell r="B3589">
            <v>326979</v>
          </cell>
          <cell r="C3589" t="str">
            <v>EMPLOYEE BENEFITS DISTRIBUTED - PREMIUM B</v>
          </cell>
        </row>
        <row r="3590">
          <cell r="A3590">
            <v>9969901</v>
          </cell>
          <cell r="B3590">
            <v>326979</v>
          </cell>
          <cell r="C3590" t="str">
            <v>EMPLOYEE BENEFITS DISTRIBUTED - PREMIUM B</v>
          </cell>
        </row>
        <row r="3591">
          <cell r="A3591" t="str">
            <v>ZONE-0105-POST</v>
          </cell>
          <cell r="B3591">
            <v>326979</v>
          </cell>
          <cell r="C3591" t="str">
            <v>EMPLOYEE BENEFITS DISTRIBUTED - PREMIUM B</v>
          </cell>
        </row>
        <row r="3592">
          <cell r="A3592" t="str">
            <v>ZONE-0112-POST</v>
          </cell>
          <cell r="B3592">
            <v>326979</v>
          </cell>
          <cell r="C3592" t="str">
            <v>EMPLOYEE BENEFITS DISTRIBUTED - PREMIUM B</v>
          </cell>
        </row>
        <row r="3593">
          <cell r="A3593">
            <v>9080700</v>
          </cell>
          <cell r="B3593">
            <v>331308</v>
          </cell>
          <cell r="C3593" t="str">
            <v>CPS MANAGEMENT FEES</v>
          </cell>
        </row>
        <row r="3594">
          <cell r="A3594">
            <v>9080701</v>
          </cell>
          <cell r="B3594">
            <v>331308</v>
          </cell>
          <cell r="C3594" t="str">
            <v>CPS MANAGEMENT FEES</v>
          </cell>
        </row>
        <row r="3595">
          <cell r="A3595">
            <v>9080702</v>
          </cell>
          <cell r="B3595">
            <v>331308</v>
          </cell>
          <cell r="C3595" t="str">
            <v>CPS MANAGEMENT FEES</v>
          </cell>
        </row>
        <row r="3596">
          <cell r="A3596">
            <v>9080705</v>
          </cell>
          <cell r="B3596">
            <v>331308</v>
          </cell>
          <cell r="C3596" t="str">
            <v>CPS MANAGEMENT FEES</v>
          </cell>
        </row>
        <row r="3597">
          <cell r="A3597">
            <v>9080707</v>
          </cell>
          <cell r="B3597">
            <v>331308</v>
          </cell>
          <cell r="C3597" t="str">
            <v>CPS MANAGEMENT FEES</v>
          </cell>
        </row>
        <row r="3598">
          <cell r="A3598">
            <v>9080710</v>
          </cell>
          <cell r="B3598">
            <v>331308</v>
          </cell>
          <cell r="C3598" t="str">
            <v>CPS MANAGEMENT FEES</v>
          </cell>
        </row>
        <row r="3599">
          <cell r="A3599">
            <v>9090999</v>
          </cell>
          <cell r="B3599">
            <v>331308</v>
          </cell>
          <cell r="C3599" t="str">
            <v>CPS MANAGEMENT FEES</v>
          </cell>
        </row>
        <row r="3600">
          <cell r="A3600">
            <v>9100999</v>
          </cell>
          <cell r="B3600">
            <v>331308</v>
          </cell>
          <cell r="C3600" t="str">
            <v>CPS MANAGEMENT FEES</v>
          </cell>
        </row>
        <row r="3601">
          <cell r="A3601">
            <v>9110700</v>
          </cell>
          <cell r="B3601">
            <v>331308</v>
          </cell>
          <cell r="C3601" t="str">
            <v>CPS MANAGEMENT FEES</v>
          </cell>
        </row>
        <row r="3602">
          <cell r="A3602">
            <v>9110702</v>
          </cell>
          <cell r="B3602">
            <v>331308</v>
          </cell>
          <cell r="C3602" t="str">
            <v>CPS MANAGEMENT FEES</v>
          </cell>
        </row>
        <row r="3603">
          <cell r="A3603">
            <v>9110705</v>
          </cell>
          <cell r="B3603">
            <v>331308</v>
          </cell>
          <cell r="C3603" t="str">
            <v>CPS MANAGEMENT FEES</v>
          </cell>
        </row>
        <row r="3604">
          <cell r="A3604">
            <v>9110707</v>
          </cell>
          <cell r="B3604">
            <v>331308</v>
          </cell>
          <cell r="C3604" t="str">
            <v>CPS MANAGEMENT FEES</v>
          </cell>
        </row>
        <row r="3605">
          <cell r="A3605">
            <v>9680700</v>
          </cell>
          <cell r="B3605">
            <v>331308</v>
          </cell>
          <cell r="C3605" t="str">
            <v>CPS MANAGEMENT FEES</v>
          </cell>
        </row>
        <row r="3606">
          <cell r="A3606">
            <v>9680701</v>
          </cell>
          <cell r="B3606">
            <v>331308</v>
          </cell>
          <cell r="C3606" t="str">
            <v>CPS MANAGEMENT FEES</v>
          </cell>
        </row>
        <row r="3607">
          <cell r="A3607">
            <v>9680702</v>
          </cell>
          <cell r="B3607">
            <v>331308</v>
          </cell>
          <cell r="C3607" t="str">
            <v>CPS MANAGEMENT FEES</v>
          </cell>
        </row>
        <row r="3608">
          <cell r="A3608">
            <v>9680705</v>
          </cell>
          <cell r="B3608">
            <v>331308</v>
          </cell>
          <cell r="C3608" t="str">
            <v>CPS MANAGEMENT FEES</v>
          </cell>
        </row>
        <row r="3609">
          <cell r="A3609">
            <v>9680707</v>
          </cell>
          <cell r="B3609">
            <v>331308</v>
          </cell>
          <cell r="C3609" t="str">
            <v>CPS MANAGEMENT FEES</v>
          </cell>
        </row>
        <row r="3610">
          <cell r="A3610">
            <v>9680710</v>
          </cell>
          <cell r="B3610">
            <v>331308</v>
          </cell>
          <cell r="C3610" t="str">
            <v>CPS MANAGEMENT FEES</v>
          </cell>
        </row>
        <row r="3611">
          <cell r="A3611">
            <v>9680712</v>
          </cell>
          <cell r="B3611">
            <v>331308</v>
          </cell>
          <cell r="C3611" t="str">
            <v>CPS MANAGEMENT FEES</v>
          </cell>
        </row>
        <row r="3612">
          <cell r="A3612">
            <v>9680714</v>
          </cell>
          <cell r="B3612">
            <v>331308</v>
          </cell>
          <cell r="C3612" t="str">
            <v>CPS MANAGEMENT FEES</v>
          </cell>
        </row>
        <row r="3613">
          <cell r="A3613">
            <v>9680734</v>
          </cell>
          <cell r="B3613">
            <v>331308</v>
          </cell>
          <cell r="C3613" t="str">
            <v>CPS MANAGEMENT FEES</v>
          </cell>
        </row>
        <row r="3614">
          <cell r="A3614">
            <v>9680748</v>
          </cell>
          <cell r="B3614">
            <v>331308</v>
          </cell>
          <cell r="C3614" t="str">
            <v>CPS MANAGEMENT FEES</v>
          </cell>
        </row>
        <row r="3615">
          <cell r="A3615">
            <v>9680749</v>
          </cell>
          <cell r="B3615">
            <v>331308</v>
          </cell>
          <cell r="C3615" t="str">
            <v>CPS MANAGEMENT FEES</v>
          </cell>
        </row>
        <row r="3616">
          <cell r="A3616">
            <v>9680894</v>
          </cell>
          <cell r="B3616">
            <v>331308</v>
          </cell>
          <cell r="C3616" t="str">
            <v>CPS MANAGEMENT FEES</v>
          </cell>
        </row>
        <row r="3617">
          <cell r="A3617">
            <v>9680999</v>
          </cell>
          <cell r="B3617">
            <v>331308</v>
          </cell>
          <cell r="C3617" t="str">
            <v>CPS MANAGEMENT FEES</v>
          </cell>
        </row>
        <row r="3618">
          <cell r="A3618">
            <v>9681700</v>
          </cell>
          <cell r="B3618">
            <v>331308</v>
          </cell>
          <cell r="C3618" t="str">
            <v>CPS MANAGEMENT FEES</v>
          </cell>
        </row>
        <row r="3619">
          <cell r="A3619">
            <v>9681701</v>
          </cell>
          <cell r="B3619">
            <v>331308</v>
          </cell>
          <cell r="C3619" t="str">
            <v>CPS MANAGEMENT FEES</v>
          </cell>
        </row>
        <row r="3620">
          <cell r="A3620">
            <v>9681702</v>
          </cell>
          <cell r="B3620">
            <v>331308</v>
          </cell>
          <cell r="C3620" t="str">
            <v>CPS MANAGEMENT FEES</v>
          </cell>
        </row>
        <row r="3621">
          <cell r="A3621">
            <v>9681705</v>
          </cell>
          <cell r="B3621">
            <v>331308</v>
          </cell>
          <cell r="C3621" t="str">
            <v>CPS MANAGEMENT FEES</v>
          </cell>
        </row>
        <row r="3622">
          <cell r="A3622">
            <v>9681706</v>
          </cell>
          <cell r="B3622">
            <v>331308</v>
          </cell>
          <cell r="C3622" t="str">
            <v>CPS MANAGEMENT FEES</v>
          </cell>
        </row>
        <row r="3623">
          <cell r="A3623">
            <v>9681707</v>
          </cell>
          <cell r="B3623">
            <v>331308</v>
          </cell>
          <cell r="C3623" t="str">
            <v>CPS MANAGEMENT FEES</v>
          </cell>
        </row>
        <row r="3624">
          <cell r="A3624">
            <v>9681710</v>
          </cell>
          <cell r="B3624">
            <v>331308</v>
          </cell>
          <cell r="C3624" t="str">
            <v>CPS MANAGEMENT FEES</v>
          </cell>
        </row>
        <row r="3625">
          <cell r="A3625">
            <v>9681712</v>
          </cell>
          <cell r="B3625">
            <v>331308</v>
          </cell>
          <cell r="C3625" t="str">
            <v>CPS MANAGEMENT FEES</v>
          </cell>
        </row>
        <row r="3626">
          <cell r="A3626">
            <v>9681727</v>
          </cell>
          <cell r="B3626">
            <v>331308</v>
          </cell>
          <cell r="C3626" t="str">
            <v>CPS MANAGEMENT FEES</v>
          </cell>
        </row>
        <row r="3627">
          <cell r="A3627">
            <v>9681734</v>
          </cell>
          <cell r="B3627">
            <v>331308</v>
          </cell>
          <cell r="C3627" t="str">
            <v>CPS MANAGEMENT FEES</v>
          </cell>
        </row>
        <row r="3628">
          <cell r="A3628">
            <v>9681748</v>
          </cell>
          <cell r="B3628">
            <v>331308</v>
          </cell>
          <cell r="C3628" t="str">
            <v>CPS MANAGEMENT FEES</v>
          </cell>
        </row>
        <row r="3629">
          <cell r="A3629">
            <v>9681749</v>
          </cell>
          <cell r="B3629">
            <v>331308</v>
          </cell>
          <cell r="C3629" t="str">
            <v>CPS MANAGEMENT FEES</v>
          </cell>
        </row>
        <row r="3630">
          <cell r="A3630">
            <v>9681894</v>
          </cell>
          <cell r="B3630">
            <v>331308</v>
          </cell>
          <cell r="C3630" t="str">
            <v>CPS MANAGEMENT FEES</v>
          </cell>
        </row>
        <row r="3631">
          <cell r="A3631">
            <v>9681999</v>
          </cell>
          <cell r="B3631">
            <v>331308</v>
          </cell>
          <cell r="C3631" t="str">
            <v>CPS MANAGEMENT FEES</v>
          </cell>
        </row>
        <row r="3632">
          <cell r="A3632">
            <v>9682715</v>
          </cell>
          <cell r="B3632">
            <v>331308</v>
          </cell>
          <cell r="C3632" t="str">
            <v>CPS MANAGEMENT FEES</v>
          </cell>
        </row>
        <row r="3633">
          <cell r="A3633">
            <v>9682722</v>
          </cell>
          <cell r="B3633">
            <v>331308</v>
          </cell>
          <cell r="C3633" t="str">
            <v>CPS MANAGEMENT FEES</v>
          </cell>
        </row>
        <row r="3634">
          <cell r="A3634">
            <v>9682999</v>
          </cell>
          <cell r="B3634">
            <v>331308</v>
          </cell>
          <cell r="C3634" t="str">
            <v>CPS MANAGEMENT FEES</v>
          </cell>
        </row>
        <row r="3635">
          <cell r="A3635">
            <v>9683999</v>
          </cell>
          <cell r="B3635">
            <v>331308</v>
          </cell>
          <cell r="C3635" t="str">
            <v>CPS MANAGEMENT FEES</v>
          </cell>
        </row>
        <row r="3636">
          <cell r="A3636">
            <v>9684999</v>
          </cell>
          <cell r="B3636">
            <v>331308</v>
          </cell>
          <cell r="C3636" t="str">
            <v>CPS MANAGEMENT FEES</v>
          </cell>
        </row>
        <row r="3637">
          <cell r="A3637">
            <v>9080700</v>
          </cell>
          <cell r="B3637">
            <v>331539</v>
          </cell>
          <cell r="C3637" t="str">
            <v>BOOKS AND PAMPHLETS</v>
          </cell>
        </row>
        <row r="3638">
          <cell r="A3638">
            <v>9080701</v>
          </cell>
          <cell r="B3638">
            <v>331539</v>
          </cell>
          <cell r="C3638" t="str">
            <v>BOOKS AND PAMPHLETS</v>
          </cell>
        </row>
        <row r="3639">
          <cell r="A3639">
            <v>9080702</v>
          </cell>
          <cell r="B3639">
            <v>331539</v>
          </cell>
          <cell r="C3639" t="str">
            <v>BOOKS AND PAMPHLETS</v>
          </cell>
        </row>
        <row r="3640">
          <cell r="A3640">
            <v>9080705</v>
          </cell>
          <cell r="B3640">
            <v>331539</v>
          </cell>
          <cell r="C3640" t="str">
            <v>BOOKS AND PAMPHLETS</v>
          </cell>
        </row>
        <row r="3641">
          <cell r="A3641">
            <v>9080707</v>
          </cell>
          <cell r="B3641">
            <v>331539</v>
          </cell>
          <cell r="C3641" t="str">
            <v>BOOKS AND PAMPHLETS</v>
          </cell>
        </row>
        <row r="3642">
          <cell r="A3642">
            <v>9080710</v>
          </cell>
          <cell r="B3642">
            <v>331539</v>
          </cell>
          <cell r="C3642" t="str">
            <v>BOOKS AND PAMPHLETS</v>
          </cell>
        </row>
        <row r="3643">
          <cell r="A3643">
            <v>9080999</v>
          </cell>
          <cell r="B3643">
            <v>331539</v>
          </cell>
          <cell r="C3643" t="str">
            <v>BOOKS AND PAMPHLETS</v>
          </cell>
        </row>
        <row r="3644">
          <cell r="A3644">
            <v>9090999</v>
          </cell>
          <cell r="B3644">
            <v>331539</v>
          </cell>
          <cell r="C3644" t="str">
            <v>BOOKS AND PAMPHLETS</v>
          </cell>
        </row>
        <row r="3645">
          <cell r="A3645">
            <v>9100999</v>
          </cell>
          <cell r="B3645">
            <v>331539</v>
          </cell>
          <cell r="C3645" t="str">
            <v>BOOKS AND PAMPHLETS</v>
          </cell>
        </row>
        <row r="3646">
          <cell r="A3646">
            <v>9110700</v>
          </cell>
          <cell r="B3646">
            <v>331539</v>
          </cell>
          <cell r="C3646" t="str">
            <v>BOOKS AND PAMPHLETS</v>
          </cell>
        </row>
        <row r="3647">
          <cell r="A3647">
            <v>9110702</v>
          </cell>
          <cell r="B3647">
            <v>331539</v>
          </cell>
          <cell r="C3647" t="str">
            <v>BOOKS AND PAMPHLETS</v>
          </cell>
        </row>
        <row r="3648">
          <cell r="A3648">
            <v>9110705</v>
          </cell>
          <cell r="B3648">
            <v>331539</v>
          </cell>
          <cell r="C3648" t="str">
            <v>BOOKS AND PAMPHLETS</v>
          </cell>
        </row>
        <row r="3649">
          <cell r="A3649">
            <v>9110707</v>
          </cell>
          <cell r="B3649">
            <v>331539</v>
          </cell>
          <cell r="C3649" t="str">
            <v>BOOKS AND PAMPHLETS</v>
          </cell>
        </row>
        <row r="3650">
          <cell r="A3650">
            <v>9110999</v>
          </cell>
          <cell r="B3650">
            <v>331539</v>
          </cell>
          <cell r="C3650" t="str">
            <v>BOOKS AND PAMPHLETS</v>
          </cell>
        </row>
        <row r="3651">
          <cell r="A3651">
            <v>9680700</v>
          </cell>
          <cell r="B3651">
            <v>331539</v>
          </cell>
          <cell r="C3651" t="str">
            <v>BOOKS AND PAMPHLETS</v>
          </cell>
        </row>
        <row r="3652">
          <cell r="A3652">
            <v>9680701</v>
          </cell>
          <cell r="B3652">
            <v>331539</v>
          </cell>
          <cell r="C3652" t="str">
            <v>BOOKS AND PAMPHLETS</v>
          </cell>
        </row>
        <row r="3653">
          <cell r="A3653">
            <v>9680702</v>
          </cell>
          <cell r="B3653">
            <v>331539</v>
          </cell>
          <cell r="C3653" t="str">
            <v>BOOKS AND PAMPHLETS</v>
          </cell>
        </row>
        <row r="3654">
          <cell r="A3654">
            <v>9680705</v>
          </cell>
          <cell r="B3654">
            <v>331539</v>
          </cell>
          <cell r="C3654" t="str">
            <v>BOOKS AND PAMPHLETS</v>
          </cell>
        </row>
        <row r="3655">
          <cell r="A3655">
            <v>9680707</v>
          </cell>
          <cell r="B3655">
            <v>331539</v>
          </cell>
          <cell r="C3655" t="str">
            <v>BOOKS AND PAMPHLETS</v>
          </cell>
        </row>
        <row r="3656">
          <cell r="A3656">
            <v>9680710</v>
          </cell>
          <cell r="B3656">
            <v>331539</v>
          </cell>
          <cell r="C3656" t="str">
            <v>BOOKS AND PAMPHLETS</v>
          </cell>
        </row>
        <row r="3657">
          <cell r="A3657">
            <v>9680712</v>
          </cell>
          <cell r="B3657">
            <v>331539</v>
          </cell>
          <cell r="C3657" t="str">
            <v>BOOKS AND PAMPHLETS</v>
          </cell>
        </row>
        <row r="3658">
          <cell r="A3658">
            <v>9680714</v>
          </cell>
          <cell r="B3658">
            <v>331539</v>
          </cell>
          <cell r="C3658" t="str">
            <v>BOOKS AND PAMPHLETS</v>
          </cell>
        </row>
        <row r="3659">
          <cell r="A3659">
            <v>9680734</v>
          </cell>
          <cell r="B3659">
            <v>331539</v>
          </cell>
          <cell r="C3659" t="str">
            <v>BOOKS AND PAMPHLETS</v>
          </cell>
        </row>
        <row r="3660">
          <cell r="A3660">
            <v>9680748</v>
          </cell>
          <cell r="B3660">
            <v>331539</v>
          </cell>
          <cell r="C3660" t="str">
            <v>BOOKS AND PAMPHLETS</v>
          </cell>
        </row>
        <row r="3661">
          <cell r="A3661">
            <v>9680749</v>
          </cell>
          <cell r="B3661">
            <v>331539</v>
          </cell>
          <cell r="C3661" t="str">
            <v>BOOKS AND PAMPHLETS</v>
          </cell>
        </row>
        <row r="3662">
          <cell r="A3662">
            <v>9680894</v>
          </cell>
          <cell r="B3662">
            <v>331539</v>
          </cell>
          <cell r="C3662" t="str">
            <v>BOOKS AND PAMPHLETS</v>
          </cell>
        </row>
        <row r="3663">
          <cell r="A3663">
            <v>9680999</v>
          </cell>
          <cell r="B3663">
            <v>331539</v>
          </cell>
          <cell r="C3663" t="str">
            <v>BOOKS AND PAMPHLETS</v>
          </cell>
        </row>
        <row r="3664">
          <cell r="A3664">
            <v>9681700</v>
          </cell>
          <cell r="B3664">
            <v>331539</v>
          </cell>
          <cell r="C3664" t="str">
            <v>BOOKS AND PAMPHLETS</v>
          </cell>
        </row>
        <row r="3665">
          <cell r="A3665">
            <v>9681701</v>
          </cell>
          <cell r="B3665">
            <v>331539</v>
          </cell>
          <cell r="C3665" t="str">
            <v>BOOKS AND PAMPHLETS</v>
          </cell>
        </row>
        <row r="3666">
          <cell r="A3666">
            <v>9681702</v>
          </cell>
          <cell r="B3666">
            <v>331539</v>
          </cell>
          <cell r="C3666" t="str">
            <v>BOOKS AND PAMPHLETS</v>
          </cell>
        </row>
        <row r="3667">
          <cell r="A3667">
            <v>9681705</v>
          </cell>
          <cell r="B3667">
            <v>331539</v>
          </cell>
          <cell r="C3667" t="str">
            <v>BOOKS AND PAMPHLETS</v>
          </cell>
        </row>
        <row r="3668">
          <cell r="A3668">
            <v>9681706</v>
          </cell>
          <cell r="B3668">
            <v>331539</v>
          </cell>
          <cell r="C3668" t="str">
            <v>BOOKS AND PAMPHLETS</v>
          </cell>
        </row>
        <row r="3669">
          <cell r="A3669">
            <v>9681707</v>
          </cell>
          <cell r="B3669">
            <v>331539</v>
          </cell>
          <cell r="C3669" t="str">
            <v>BOOKS AND PAMPHLETS</v>
          </cell>
        </row>
        <row r="3670">
          <cell r="A3670">
            <v>9681710</v>
          </cell>
          <cell r="B3670">
            <v>331539</v>
          </cell>
          <cell r="C3670" t="str">
            <v>BOOKS AND PAMPHLETS</v>
          </cell>
        </row>
        <row r="3671">
          <cell r="A3671">
            <v>9681712</v>
          </cell>
          <cell r="B3671">
            <v>331539</v>
          </cell>
          <cell r="C3671" t="str">
            <v>BOOKS AND PAMPHLETS</v>
          </cell>
        </row>
        <row r="3672">
          <cell r="A3672">
            <v>9681727</v>
          </cell>
          <cell r="B3672">
            <v>331539</v>
          </cell>
          <cell r="C3672" t="str">
            <v>BOOKS AND PAMPHLETS</v>
          </cell>
        </row>
        <row r="3673">
          <cell r="A3673">
            <v>9681734</v>
          </cell>
          <cell r="B3673">
            <v>331539</v>
          </cell>
          <cell r="C3673" t="str">
            <v>BOOKS AND PAMPHLETS</v>
          </cell>
        </row>
        <row r="3674">
          <cell r="A3674">
            <v>9681748</v>
          </cell>
          <cell r="B3674">
            <v>331539</v>
          </cell>
          <cell r="C3674" t="str">
            <v>BOOKS AND PAMPHLETS</v>
          </cell>
        </row>
        <row r="3675">
          <cell r="A3675">
            <v>9681749</v>
          </cell>
          <cell r="B3675">
            <v>331539</v>
          </cell>
          <cell r="C3675" t="str">
            <v>BOOKS AND PAMPHLETS</v>
          </cell>
        </row>
        <row r="3676">
          <cell r="A3676">
            <v>9681894</v>
          </cell>
          <cell r="B3676">
            <v>331539</v>
          </cell>
          <cell r="C3676" t="str">
            <v>BOOKS AND PAMPHLETS</v>
          </cell>
        </row>
        <row r="3677">
          <cell r="A3677">
            <v>9681999</v>
          </cell>
          <cell r="B3677">
            <v>331539</v>
          </cell>
          <cell r="C3677" t="str">
            <v>BOOKS AND PAMPHLETS</v>
          </cell>
        </row>
        <row r="3678">
          <cell r="A3678">
            <v>9682715</v>
          </cell>
          <cell r="B3678">
            <v>331539</v>
          </cell>
          <cell r="C3678" t="str">
            <v>BOOKS AND PAMPHLETS</v>
          </cell>
        </row>
        <row r="3679">
          <cell r="A3679">
            <v>9682722</v>
          </cell>
          <cell r="B3679">
            <v>331539</v>
          </cell>
          <cell r="C3679" t="str">
            <v>BOOKS AND PAMPHLETS</v>
          </cell>
        </row>
        <row r="3680">
          <cell r="A3680">
            <v>9682999</v>
          </cell>
          <cell r="B3680">
            <v>331539</v>
          </cell>
          <cell r="C3680" t="str">
            <v>BOOKS AND PAMPHLETS</v>
          </cell>
        </row>
        <row r="3681">
          <cell r="A3681">
            <v>9683999</v>
          </cell>
          <cell r="B3681">
            <v>331539</v>
          </cell>
          <cell r="C3681" t="str">
            <v>BOOKS AND PAMPHLETS</v>
          </cell>
        </row>
        <row r="3682">
          <cell r="A3682">
            <v>9684999</v>
          </cell>
          <cell r="B3682">
            <v>331539</v>
          </cell>
          <cell r="C3682" t="str">
            <v>BOOKS AND PAMPHLETS</v>
          </cell>
        </row>
        <row r="3683">
          <cell r="A3683">
            <v>9689692</v>
          </cell>
          <cell r="B3683">
            <v>331539</v>
          </cell>
          <cell r="C3683" t="str">
            <v>BOOKS AND PAMPHLETS</v>
          </cell>
        </row>
        <row r="3684">
          <cell r="A3684">
            <v>9689747</v>
          </cell>
          <cell r="B3684">
            <v>331539</v>
          </cell>
          <cell r="C3684" t="str">
            <v>BOOKS AND PAMPHLETS</v>
          </cell>
        </row>
        <row r="3685">
          <cell r="A3685">
            <v>9689883</v>
          </cell>
          <cell r="B3685">
            <v>331539</v>
          </cell>
          <cell r="C3685" t="str">
            <v>BOOKS AND PAMPHLETS</v>
          </cell>
        </row>
        <row r="3686">
          <cell r="A3686">
            <v>9689890</v>
          </cell>
          <cell r="B3686">
            <v>331539</v>
          </cell>
          <cell r="C3686" t="str">
            <v>BOOKS AND PAMPHLETS</v>
          </cell>
        </row>
        <row r="3687">
          <cell r="A3687">
            <v>9689925</v>
          </cell>
          <cell r="B3687">
            <v>331539</v>
          </cell>
          <cell r="C3687" t="str">
            <v>BOOKS AND PAMPHLETS</v>
          </cell>
        </row>
        <row r="3688">
          <cell r="A3688">
            <v>9689990</v>
          </cell>
          <cell r="B3688">
            <v>331539</v>
          </cell>
          <cell r="C3688" t="str">
            <v>BOOKS AND PAMPHLETS</v>
          </cell>
        </row>
        <row r="3689">
          <cell r="A3689">
            <v>9689992</v>
          </cell>
          <cell r="B3689">
            <v>331539</v>
          </cell>
          <cell r="C3689" t="str">
            <v>BOOKS AND PAMPHLETS</v>
          </cell>
        </row>
        <row r="3690">
          <cell r="A3690">
            <v>9689993</v>
          </cell>
          <cell r="B3690">
            <v>331539</v>
          </cell>
          <cell r="C3690" t="str">
            <v>BOOKS AND PAMPHLETS</v>
          </cell>
        </row>
        <row r="3691">
          <cell r="A3691">
            <v>9689994</v>
          </cell>
          <cell r="B3691">
            <v>331539</v>
          </cell>
          <cell r="C3691" t="str">
            <v>BOOKS AND PAMPHLETS</v>
          </cell>
        </row>
        <row r="3692">
          <cell r="A3692">
            <v>9090999</v>
          </cell>
          <cell r="B3692">
            <v>331552</v>
          </cell>
          <cell r="C3692" t="str">
            <v>SUPPLIES - TONER/MAINTN KITS</v>
          </cell>
        </row>
        <row r="3693">
          <cell r="A3693">
            <v>9100999</v>
          </cell>
          <cell r="B3693">
            <v>331552</v>
          </cell>
          <cell r="C3693" t="str">
            <v>SUPPLIES - TONER/MAINTN KITS</v>
          </cell>
        </row>
        <row r="3694">
          <cell r="A3694">
            <v>9680999</v>
          </cell>
          <cell r="B3694">
            <v>331552</v>
          </cell>
          <cell r="C3694" t="str">
            <v>SUPPLIES - TONER/MAINTN KITS</v>
          </cell>
        </row>
        <row r="3695">
          <cell r="A3695">
            <v>9681999</v>
          </cell>
          <cell r="B3695">
            <v>331552</v>
          </cell>
          <cell r="C3695" t="str">
            <v>SUPPLIES - TONER/MAINTN KITS</v>
          </cell>
        </row>
        <row r="3696">
          <cell r="A3696">
            <v>9689883</v>
          </cell>
          <cell r="B3696">
            <v>331552</v>
          </cell>
          <cell r="C3696" t="str">
            <v>SUPPLIES - TONER/MAINTN KITS</v>
          </cell>
        </row>
        <row r="3697">
          <cell r="A3697">
            <v>9689992</v>
          </cell>
          <cell r="B3697">
            <v>331552</v>
          </cell>
          <cell r="C3697" t="str">
            <v>SUPPLIES - TONER/MAINTN KITS</v>
          </cell>
        </row>
        <row r="3698">
          <cell r="A3698">
            <v>9080700</v>
          </cell>
          <cell r="B3698">
            <v>331555</v>
          </cell>
          <cell r="C3698" t="str">
            <v>STATIONERY,PRINTED FORMS &amp; GEN</v>
          </cell>
        </row>
        <row r="3699">
          <cell r="A3699">
            <v>9080701</v>
          </cell>
          <cell r="B3699">
            <v>331555</v>
          </cell>
          <cell r="C3699" t="str">
            <v>STATIONERY,PRINTED FORMS &amp; GEN</v>
          </cell>
        </row>
        <row r="3700">
          <cell r="A3700">
            <v>9080702</v>
          </cell>
          <cell r="B3700">
            <v>331555</v>
          </cell>
          <cell r="C3700" t="str">
            <v>STATIONERY,PRINTED FORMS &amp; GEN</v>
          </cell>
        </row>
        <row r="3701">
          <cell r="A3701">
            <v>9080705</v>
          </cell>
          <cell r="B3701">
            <v>331555</v>
          </cell>
          <cell r="C3701" t="str">
            <v>STATIONERY,PRINTED FORMS &amp; GEN</v>
          </cell>
        </row>
        <row r="3702">
          <cell r="A3702">
            <v>9080707</v>
          </cell>
          <cell r="B3702">
            <v>331555</v>
          </cell>
          <cell r="C3702" t="str">
            <v>STATIONERY,PRINTED FORMS &amp; GEN</v>
          </cell>
        </row>
        <row r="3703">
          <cell r="A3703">
            <v>9080710</v>
          </cell>
          <cell r="B3703">
            <v>331555</v>
          </cell>
          <cell r="C3703" t="str">
            <v>STATIONERY,PRINTED FORMS &amp; GEN</v>
          </cell>
        </row>
        <row r="3704">
          <cell r="A3704">
            <v>9080999</v>
          </cell>
          <cell r="B3704">
            <v>331555</v>
          </cell>
          <cell r="C3704" t="str">
            <v>STATIONERY,PRINTED FORMS &amp; GEN</v>
          </cell>
        </row>
        <row r="3705">
          <cell r="A3705">
            <v>9090999</v>
          </cell>
          <cell r="B3705">
            <v>331555</v>
          </cell>
          <cell r="C3705" t="str">
            <v>STATIONERY,PRINTED FORMS &amp; GEN</v>
          </cell>
        </row>
        <row r="3706">
          <cell r="A3706">
            <v>9100999</v>
          </cell>
          <cell r="B3706">
            <v>331555</v>
          </cell>
          <cell r="C3706" t="str">
            <v>STATIONERY,PRINTED FORMS &amp; GEN</v>
          </cell>
        </row>
        <row r="3707">
          <cell r="A3707">
            <v>9110700</v>
          </cell>
          <cell r="B3707">
            <v>331555</v>
          </cell>
          <cell r="C3707" t="str">
            <v>STATIONERY,PRINTED FORMS &amp; GEN</v>
          </cell>
        </row>
        <row r="3708">
          <cell r="A3708">
            <v>9110702</v>
          </cell>
          <cell r="B3708">
            <v>331555</v>
          </cell>
          <cell r="C3708" t="str">
            <v>STATIONERY,PRINTED FORMS &amp; GEN</v>
          </cell>
        </row>
        <row r="3709">
          <cell r="A3709">
            <v>9110705</v>
          </cell>
          <cell r="B3709">
            <v>331555</v>
          </cell>
          <cell r="C3709" t="str">
            <v>STATIONERY,PRINTED FORMS &amp; GEN</v>
          </cell>
        </row>
        <row r="3710">
          <cell r="A3710">
            <v>9110707</v>
          </cell>
          <cell r="B3710">
            <v>331555</v>
          </cell>
          <cell r="C3710" t="str">
            <v>STATIONERY,PRINTED FORMS &amp; GEN</v>
          </cell>
        </row>
        <row r="3711">
          <cell r="A3711">
            <v>9110999</v>
          </cell>
          <cell r="B3711">
            <v>331555</v>
          </cell>
          <cell r="C3711" t="str">
            <v>STATIONERY,PRINTED FORMS &amp; GEN</v>
          </cell>
        </row>
        <row r="3712">
          <cell r="A3712">
            <v>9680700</v>
          </cell>
          <cell r="B3712">
            <v>331555</v>
          </cell>
          <cell r="C3712" t="str">
            <v>STATIONERY,PRINTED FORMS &amp; GEN</v>
          </cell>
        </row>
        <row r="3713">
          <cell r="A3713">
            <v>9680701</v>
          </cell>
          <cell r="B3713">
            <v>331555</v>
          </cell>
          <cell r="C3713" t="str">
            <v>STATIONERY,PRINTED FORMS &amp; GEN</v>
          </cell>
        </row>
        <row r="3714">
          <cell r="A3714">
            <v>9680702</v>
          </cell>
          <cell r="B3714">
            <v>331555</v>
          </cell>
          <cell r="C3714" t="str">
            <v>STATIONERY,PRINTED FORMS &amp; GEN</v>
          </cell>
        </row>
        <row r="3715">
          <cell r="A3715">
            <v>9680705</v>
          </cell>
          <cell r="B3715">
            <v>331555</v>
          </cell>
          <cell r="C3715" t="str">
            <v>STATIONERY,PRINTED FORMS &amp; GEN</v>
          </cell>
        </row>
        <row r="3716">
          <cell r="A3716">
            <v>9680707</v>
          </cell>
          <cell r="B3716">
            <v>331555</v>
          </cell>
          <cell r="C3716" t="str">
            <v>STATIONERY,PRINTED FORMS &amp; GEN</v>
          </cell>
        </row>
        <row r="3717">
          <cell r="A3717">
            <v>9680710</v>
          </cell>
          <cell r="B3717">
            <v>331555</v>
          </cell>
          <cell r="C3717" t="str">
            <v>STATIONERY,PRINTED FORMS &amp; GEN</v>
          </cell>
        </row>
        <row r="3718">
          <cell r="A3718">
            <v>9680712</v>
          </cell>
          <cell r="B3718">
            <v>331555</v>
          </cell>
          <cell r="C3718" t="str">
            <v>STATIONERY,PRINTED FORMS &amp; GEN</v>
          </cell>
        </row>
        <row r="3719">
          <cell r="A3719">
            <v>9680714</v>
          </cell>
          <cell r="B3719">
            <v>331555</v>
          </cell>
          <cell r="C3719" t="str">
            <v>STATIONERY,PRINTED FORMS &amp; GEN</v>
          </cell>
        </row>
        <row r="3720">
          <cell r="A3720">
            <v>9680734</v>
          </cell>
          <cell r="B3720">
            <v>331555</v>
          </cell>
          <cell r="C3720" t="str">
            <v>STATIONERY,PRINTED FORMS &amp; GEN</v>
          </cell>
        </row>
        <row r="3721">
          <cell r="A3721">
            <v>9680748</v>
          </cell>
          <cell r="B3721">
            <v>331555</v>
          </cell>
          <cell r="C3721" t="str">
            <v>STATIONERY,PRINTED FORMS &amp; GEN</v>
          </cell>
        </row>
        <row r="3722">
          <cell r="A3722">
            <v>9680749</v>
          </cell>
          <cell r="B3722">
            <v>331555</v>
          </cell>
          <cell r="C3722" t="str">
            <v>STATIONERY,PRINTED FORMS &amp; GEN</v>
          </cell>
        </row>
        <row r="3723">
          <cell r="A3723">
            <v>9680894</v>
          </cell>
          <cell r="B3723">
            <v>331555</v>
          </cell>
          <cell r="C3723" t="str">
            <v>STATIONERY,PRINTED FORMS &amp; GEN</v>
          </cell>
        </row>
        <row r="3724">
          <cell r="A3724">
            <v>9680999</v>
          </cell>
          <cell r="B3724">
            <v>331555</v>
          </cell>
          <cell r="C3724" t="str">
            <v>STATIONERY,PRINTED FORMS &amp; GEN</v>
          </cell>
        </row>
        <row r="3725">
          <cell r="A3725">
            <v>9681700</v>
          </cell>
          <cell r="B3725">
            <v>331555</v>
          </cell>
          <cell r="C3725" t="str">
            <v>STATIONERY,PRINTED FORMS &amp; GEN</v>
          </cell>
        </row>
        <row r="3726">
          <cell r="A3726">
            <v>9681701</v>
          </cell>
          <cell r="B3726">
            <v>331555</v>
          </cell>
          <cell r="C3726" t="str">
            <v>STATIONERY,PRINTED FORMS &amp; GEN</v>
          </cell>
        </row>
        <row r="3727">
          <cell r="A3727">
            <v>9681702</v>
          </cell>
          <cell r="B3727">
            <v>331555</v>
          </cell>
          <cell r="C3727" t="str">
            <v>STATIONERY,PRINTED FORMS &amp; GEN</v>
          </cell>
        </row>
        <row r="3728">
          <cell r="A3728">
            <v>9681705</v>
          </cell>
          <cell r="B3728">
            <v>331555</v>
          </cell>
          <cell r="C3728" t="str">
            <v>STATIONERY,PRINTED FORMS &amp; GEN</v>
          </cell>
        </row>
        <row r="3729">
          <cell r="A3729">
            <v>9681706</v>
          </cell>
          <cell r="B3729">
            <v>331555</v>
          </cell>
          <cell r="C3729" t="str">
            <v>STATIONERY,PRINTED FORMS &amp; GEN</v>
          </cell>
        </row>
        <row r="3730">
          <cell r="A3730">
            <v>9681707</v>
          </cell>
          <cell r="B3730">
            <v>331555</v>
          </cell>
          <cell r="C3730" t="str">
            <v>STATIONERY,PRINTED FORMS &amp; GEN</v>
          </cell>
        </row>
        <row r="3731">
          <cell r="A3731">
            <v>9681710</v>
          </cell>
          <cell r="B3731">
            <v>331555</v>
          </cell>
          <cell r="C3731" t="str">
            <v>STATIONERY,PRINTED FORMS &amp; GEN</v>
          </cell>
        </row>
        <row r="3732">
          <cell r="A3732">
            <v>9681712</v>
          </cell>
          <cell r="B3732">
            <v>331555</v>
          </cell>
          <cell r="C3732" t="str">
            <v>STATIONERY,PRINTED FORMS &amp; GEN</v>
          </cell>
        </row>
        <row r="3733">
          <cell r="A3733">
            <v>9681727</v>
          </cell>
          <cell r="B3733">
            <v>331555</v>
          </cell>
          <cell r="C3733" t="str">
            <v>STATIONERY,PRINTED FORMS &amp; GEN</v>
          </cell>
        </row>
        <row r="3734">
          <cell r="A3734">
            <v>9681734</v>
          </cell>
          <cell r="B3734">
            <v>331555</v>
          </cell>
          <cell r="C3734" t="str">
            <v>STATIONERY,PRINTED FORMS &amp; GEN</v>
          </cell>
        </row>
        <row r="3735">
          <cell r="A3735">
            <v>9681748</v>
          </cell>
          <cell r="B3735">
            <v>331555</v>
          </cell>
          <cell r="C3735" t="str">
            <v>STATIONERY,PRINTED FORMS &amp; GEN</v>
          </cell>
        </row>
        <row r="3736">
          <cell r="A3736">
            <v>9681749</v>
          </cell>
          <cell r="B3736">
            <v>331555</v>
          </cell>
          <cell r="C3736" t="str">
            <v>STATIONERY,PRINTED FORMS &amp; GEN</v>
          </cell>
        </row>
        <row r="3737">
          <cell r="A3737">
            <v>9681894</v>
          </cell>
          <cell r="B3737">
            <v>331555</v>
          </cell>
          <cell r="C3737" t="str">
            <v>STATIONERY,PRINTED FORMS &amp; GEN</v>
          </cell>
        </row>
        <row r="3738">
          <cell r="A3738">
            <v>9681999</v>
          </cell>
          <cell r="B3738">
            <v>331555</v>
          </cell>
          <cell r="C3738" t="str">
            <v>STATIONERY,PRINTED FORMS &amp; GEN</v>
          </cell>
        </row>
        <row r="3739">
          <cell r="A3739">
            <v>9682715</v>
          </cell>
          <cell r="B3739">
            <v>331555</v>
          </cell>
          <cell r="C3739" t="str">
            <v>STATIONERY,PRINTED FORMS &amp; GEN</v>
          </cell>
        </row>
        <row r="3740">
          <cell r="A3740">
            <v>9682722</v>
          </cell>
          <cell r="B3740">
            <v>331555</v>
          </cell>
          <cell r="C3740" t="str">
            <v>STATIONERY,PRINTED FORMS &amp; GEN</v>
          </cell>
        </row>
        <row r="3741">
          <cell r="A3741">
            <v>9682999</v>
          </cell>
          <cell r="B3741">
            <v>331555</v>
          </cell>
          <cell r="C3741" t="str">
            <v>STATIONERY,PRINTED FORMS &amp; GEN</v>
          </cell>
        </row>
        <row r="3742">
          <cell r="A3742">
            <v>9683999</v>
          </cell>
          <cell r="B3742">
            <v>331555</v>
          </cell>
          <cell r="C3742" t="str">
            <v>STATIONERY,PRINTED FORMS &amp; GEN</v>
          </cell>
        </row>
        <row r="3743">
          <cell r="A3743">
            <v>9684999</v>
          </cell>
          <cell r="B3743">
            <v>331555</v>
          </cell>
          <cell r="C3743" t="str">
            <v>STATIONERY,PRINTED FORMS &amp; GEN</v>
          </cell>
        </row>
        <row r="3744">
          <cell r="A3744">
            <v>9689692</v>
          </cell>
          <cell r="B3744">
            <v>331555</v>
          </cell>
          <cell r="C3744" t="str">
            <v>STATIONERY,PRINTED FORMS &amp; GEN</v>
          </cell>
        </row>
        <row r="3745">
          <cell r="A3745">
            <v>9689747</v>
          </cell>
          <cell r="B3745">
            <v>331555</v>
          </cell>
          <cell r="C3745" t="str">
            <v>STATIONERY,PRINTED FORMS &amp; GEN</v>
          </cell>
        </row>
        <row r="3746">
          <cell r="A3746">
            <v>9689883</v>
          </cell>
          <cell r="B3746">
            <v>331555</v>
          </cell>
          <cell r="C3746" t="str">
            <v>STATIONERY,PRINTED FORMS &amp; GEN</v>
          </cell>
        </row>
        <row r="3747">
          <cell r="A3747">
            <v>9689890</v>
          </cell>
          <cell r="B3747">
            <v>331555</v>
          </cell>
          <cell r="C3747" t="str">
            <v>STATIONERY,PRINTED FORMS &amp; GEN</v>
          </cell>
        </row>
        <row r="3748">
          <cell r="A3748">
            <v>9689906</v>
          </cell>
          <cell r="B3748">
            <v>331555</v>
          </cell>
          <cell r="C3748" t="str">
            <v>STATIONERY,PRINTED FORMS &amp; GEN</v>
          </cell>
        </row>
        <row r="3749">
          <cell r="A3749">
            <v>9689925</v>
          </cell>
          <cell r="B3749">
            <v>331555</v>
          </cell>
          <cell r="C3749" t="str">
            <v>STATIONERY,PRINTED FORMS &amp; GEN</v>
          </cell>
        </row>
        <row r="3750">
          <cell r="A3750">
            <v>9689990</v>
          </cell>
          <cell r="B3750">
            <v>331555</v>
          </cell>
          <cell r="C3750" t="str">
            <v>STATIONERY,PRINTED FORMS &amp; GEN</v>
          </cell>
        </row>
        <row r="3751">
          <cell r="A3751">
            <v>9689991</v>
          </cell>
          <cell r="B3751">
            <v>331555</v>
          </cell>
          <cell r="C3751" t="str">
            <v>STATIONERY,PRINTED FORMS &amp; GEN</v>
          </cell>
        </row>
        <row r="3752">
          <cell r="A3752">
            <v>9689992</v>
          </cell>
          <cell r="B3752">
            <v>331555</v>
          </cell>
          <cell r="C3752" t="str">
            <v>STATIONERY,PRINTED FORMS &amp; GEN</v>
          </cell>
        </row>
        <row r="3753">
          <cell r="A3753">
            <v>9689993</v>
          </cell>
          <cell r="B3753">
            <v>331555</v>
          </cell>
          <cell r="C3753" t="str">
            <v>STATIONERY,PRINTED FORMS &amp; GEN</v>
          </cell>
        </row>
        <row r="3754">
          <cell r="A3754">
            <v>9689994</v>
          </cell>
          <cell r="B3754">
            <v>331555</v>
          </cell>
          <cell r="C3754" t="str">
            <v>STATIONERY,PRINTED FORMS &amp; GEN</v>
          </cell>
        </row>
        <row r="3755">
          <cell r="A3755">
            <v>9080700</v>
          </cell>
          <cell r="B3755">
            <v>331574</v>
          </cell>
          <cell r="C3755" t="str">
            <v>NON CAPITALIZABLE EQUIPMENT</v>
          </cell>
        </row>
        <row r="3756">
          <cell r="A3756">
            <v>9080701</v>
          </cell>
          <cell r="B3756">
            <v>331574</v>
          </cell>
          <cell r="C3756" t="str">
            <v>NON CAPITALIZABLE EQUIPMENT</v>
          </cell>
        </row>
        <row r="3757">
          <cell r="A3757">
            <v>9080702</v>
          </cell>
          <cell r="B3757">
            <v>331574</v>
          </cell>
          <cell r="C3757" t="str">
            <v>NON CAPITALIZABLE EQUIPMENT</v>
          </cell>
        </row>
        <row r="3758">
          <cell r="A3758">
            <v>9080705</v>
          </cell>
          <cell r="B3758">
            <v>331574</v>
          </cell>
          <cell r="C3758" t="str">
            <v>NON CAPITALIZABLE EQUIPMENT</v>
          </cell>
        </row>
        <row r="3759">
          <cell r="A3759">
            <v>9080707</v>
          </cell>
          <cell r="B3759">
            <v>331574</v>
          </cell>
          <cell r="C3759" t="str">
            <v>NON CAPITALIZABLE EQUIPMENT</v>
          </cell>
        </row>
        <row r="3760">
          <cell r="A3760">
            <v>9080710</v>
          </cell>
          <cell r="B3760">
            <v>331574</v>
          </cell>
          <cell r="C3760" t="str">
            <v>NON CAPITALIZABLE EQUIPMENT</v>
          </cell>
        </row>
        <row r="3761">
          <cell r="A3761">
            <v>9080999</v>
          </cell>
          <cell r="B3761">
            <v>331574</v>
          </cell>
          <cell r="C3761" t="str">
            <v>NON CAPITALIZABLE EQUIPMENT</v>
          </cell>
        </row>
        <row r="3762">
          <cell r="A3762">
            <v>9090999</v>
          </cell>
          <cell r="B3762">
            <v>331574</v>
          </cell>
          <cell r="C3762" t="str">
            <v>NON CAPITALIZABLE EQUIPMENT</v>
          </cell>
        </row>
        <row r="3763">
          <cell r="A3763">
            <v>9100999</v>
          </cell>
          <cell r="B3763">
            <v>331574</v>
          </cell>
          <cell r="C3763" t="str">
            <v>NON CAPITALIZABLE EQUIPMENT</v>
          </cell>
        </row>
        <row r="3764">
          <cell r="A3764">
            <v>9110700</v>
          </cell>
          <cell r="B3764">
            <v>331574</v>
          </cell>
          <cell r="C3764" t="str">
            <v>NON CAPITALIZABLE EQUIPMENT</v>
          </cell>
        </row>
        <row r="3765">
          <cell r="A3765">
            <v>9110702</v>
          </cell>
          <cell r="B3765">
            <v>331574</v>
          </cell>
          <cell r="C3765" t="str">
            <v>NON CAPITALIZABLE EQUIPMENT</v>
          </cell>
        </row>
        <row r="3766">
          <cell r="A3766">
            <v>9110705</v>
          </cell>
          <cell r="B3766">
            <v>331574</v>
          </cell>
          <cell r="C3766" t="str">
            <v>NON CAPITALIZABLE EQUIPMENT</v>
          </cell>
        </row>
        <row r="3767">
          <cell r="A3767">
            <v>9110707</v>
          </cell>
          <cell r="B3767">
            <v>331574</v>
          </cell>
          <cell r="C3767" t="str">
            <v>NON CAPITALIZABLE EQUIPMENT</v>
          </cell>
        </row>
        <row r="3768">
          <cell r="A3768">
            <v>9110999</v>
          </cell>
          <cell r="B3768">
            <v>331574</v>
          </cell>
          <cell r="C3768" t="str">
            <v>NON CAPITALIZABLE EQUIPMENT</v>
          </cell>
        </row>
        <row r="3769">
          <cell r="A3769">
            <v>9680700</v>
          </cell>
          <cell r="B3769">
            <v>331574</v>
          </cell>
          <cell r="C3769" t="str">
            <v>NON CAPITALIZABLE EQUIPMENT</v>
          </cell>
        </row>
        <row r="3770">
          <cell r="A3770">
            <v>9680701</v>
          </cell>
          <cell r="B3770">
            <v>331574</v>
          </cell>
          <cell r="C3770" t="str">
            <v>NON CAPITALIZABLE EQUIPMENT</v>
          </cell>
        </row>
        <row r="3771">
          <cell r="A3771">
            <v>9680702</v>
          </cell>
          <cell r="B3771">
            <v>331574</v>
          </cell>
          <cell r="C3771" t="str">
            <v>NON CAPITALIZABLE EQUIPMENT</v>
          </cell>
        </row>
        <row r="3772">
          <cell r="A3772">
            <v>9680705</v>
          </cell>
          <cell r="B3772">
            <v>331574</v>
          </cell>
          <cell r="C3772" t="str">
            <v>NON CAPITALIZABLE EQUIPMENT</v>
          </cell>
        </row>
        <row r="3773">
          <cell r="A3773">
            <v>9680707</v>
          </cell>
          <cell r="B3773">
            <v>331574</v>
          </cell>
          <cell r="C3773" t="str">
            <v>NON CAPITALIZABLE EQUIPMENT</v>
          </cell>
        </row>
        <row r="3774">
          <cell r="A3774">
            <v>9680710</v>
          </cell>
          <cell r="B3774">
            <v>331574</v>
          </cell>
          <cell r="C3774" t="str">
            <v>NON CAPITALIZABLE EQUIPMENT</v>
          </cell>
        </row>
        <row r="3775">
          <cell r="A3775">
            <v>9680712</v>
          </cell>
          <cell r="B3775">
            <v>331574</v>
          </cell>
          <cell r="C3775" t="str">
            <v>NON CAPITALIZABLE EQUIPMENT</v>
          </cell>
        </row>
        <row r="3776">
          <cell r="A3776">
            <v>9680714</v>
          </cell>
          <cell r="B3776">
            <v>331574</v>
          </cell>
          <cell r="C3776" t="str">
            <v>NON CAPITALIZABLE EQUIPMENT</v>
          </cell>
        </row>
        <row r="3777">
          <cell r="A3777">
            <v>9680734</v>
          </cell>
          <cell r="B3777">
            <v>331574</v>
          </cell>
          <cell r="C3777" t="str">
            <v>NON CAPITALIZABLE EQUIPMENT</v>
          </cell>
        </row>
        <row r="3778">
          <cell r="A3778">
            <v>9680748</v>
          </cell>
          <cell r="B3778">
            <v>331574</v>
          </cell>
          <cell r="C3778" t="str">
            <v>NON CAPITALIZABLE EQUIPMENT</v>
          </cell>
        </row>
        <row r="3779">
          <cell r="A3779">
            <v>9680749</v>
          </cell>
          <cell r="B3779">
            <v>331574</v>
          </cell>
          <cell r="C3779" t="str">
            <v>NON CAPITALIZABLE EQUIPMENT</v>
          </cell>
        </row>
        <row r="3780">
          <cell r="A3780">
            <v>9680894</v>
          </cell>
          <cell r="B3780">
            <v>331574</v>
          </cell>
          <cell r="C3780" t="str">
            <v>NON CAPITALIZABLE EQUIPMENT</v>
          </cell>
        </row>
        <row r="3781">
          <cell r="A3781">
            <v>9680999</v>
          </cell>
          <cell r="B3781">
            <v>331574</v>
          </cell>
          <cell r="C3781" t="str">
            <v>NON CAPITALIZABLE EQUIPMENT</v>
          </cell>
        </row>
        <row r="3782">
          <cell r="A3782">
            <v>9681700</v>
          </cell>
          <cell r="B3782">
            <v>331574</v>
          </cell>
          <cell r="C3782" t="str">
            <v>NON CAPITALIZABLE EQUIPMENT</v>
          </cell>
        </row>
        <row r="3783">
          <cell r="A3783">
            <v>9681701</v>
          </cell>
          <cell r="B3783">
            <v>331574</v>
          </cell>
          <cell r="C3783" t="str">
            <v>NON CAPITALIZABLE EQUIPMENT</v>
          </cell>
        </row>
        <row r="3784">
          <cell r="A3784">
            <v>9681702</v>
          </cell>
          <cell r="B3784">
            <v>331574</v>
          </cell>
          <cell r="C3784" t="str">
            <v>NON CAPITALIZABLE EQUIPMENT</v>
          </cell>
        </row>
        <row r="3785">
          <cell r="A3785">
            <v>9681705</v>
          </cell>
          <cell r="B3785">
            <v>331574</v>
          </cell>
          <cell r="C3785" t="str">
            <v>NON CAPITALIZABLE EQUIPMENT</v>
          </cell>
        </row>
        <row r="3786">
          <cell r="A3786">
            <v>9681706</v>
          </cell>
          <cell r="B3786">
            <v>331574</v>
          </cell>
          <cell r="C3786" t="str">
            <v>NON CAPITALIZABLE EQUIPMENT</v>
          </cell>
        </row>
        <row r="3787">
          <cell r="A3787">
            <v>9681707</v>
          </cell>
          <cell r="B3787">
            <v>331574</v>
          </cell>
          <cell r="C3787" t="str">
            <v>NON CAPITALIZABLE EQUIPMENT</v>
          </cell>
        </row>
        <row r="3788">
          <cell r="A3788">
            <v>9681710</v>
          </cell>
          <cell r="B3788">
            <v>331574</v>
          </cell>
          <cell r="C3788" t="str">
            <v>NON CAPITALIZABLE EQUIPMENT</v>
          </cell>
        </row>
        <row r="3789">
          <cell r="A3789">
            <v>9681712</v>
          </cell>
          <cell r="B3789">
            <v>331574</v>
          </cell>
          <cell r="C3789" t="str">
            <v>NON CAPITALIZABLE EQUIPMENT</v>
          </cell>
        </row>
        <row r="3790">
          <cell r="A3790">
            <v>9681727</v>
          </cell>
          <cell r="B3790">
            <v>331574</v>
          </cell>
          <cell r="C3790" t="str">
            <v>NON CAPITALIZABLE EQUIPMENT</v>
          </cell>
        </row>
        <row r="3791">
          <cell r="A3791">
            <v>9681734</v>
          </cell>
          <cell r="B3791">
            <v>331574</v>
          </cell>
          <cell r="C3791" t="str">
            <v>NON CAPITALIZABLE EQUIPMENT</v>
          </cell>
        </row>
        <row r="3792">
          <cell r="A3792">
            <v>9681748</v>
          </cell>
          <cell r="B3792">
            <v>331574</v>
          </cell>
          <cell r="C3792" t="str">
            <v>NON CAPITALIZABLE EQUIPMENT</v>
          </cell>
        </row>
        <row r="3793">
          <cell r="A3793">
            <v>9681749</v>
          </cell>
          <cell r="B3793">
            <v>331574</v>
          </cell>
          <cell r="C3793" t="str">
            <v>NON CAPITALIZABLE EQUIPMENT</v>
          </cell>
        </row>
        <row r="3794">
          <cell r="A3794">
            <v>9681894</v>
          </cell>
          <cell r="B3794">
            <v>331574</v>
          </cell>
          <cell r="C3794" t="str">
            <v>NON CAPITALIZABLE EQUIPMENT</v>
          </cell>
        </row>
        <row r="3795">
          <cell r="A3795">
            <v>9681999</v>
          </cell>
          <cell r="B3795">
            <v>331574</v>
          </cell>
          <cell r="C3795" t="str">
            <v>NON CAPITALIZABLE EQUIPMENT</v>
          </cell>
        </row>
        <row r="3796">
          <cell r="A3796">
            <v>9682715</v>
          </cell>
          <cell r="B3796">
            <v>331574</v>
          </cell>
          <cell r="C3796" t="str">
            <v>NON CAPITALIZABLE EQUIPMENT</v>
          </cell>
        </row>
        <row r="3797">
          <cell r="A3797">
            <v>9682722</v>
          </cell>
          <cell r="B3797">
            <v>331574</v>
          </cell>
          <cell r="C3797" t="str">
            <v>NON CAPITALIZABLE EQUIPMENT</v>
          </cell>
        </row>
        <row r="3798">
          <cell r="A3798">
            <v>9682999</v>
          </cell>
          <cell r="B3798">
            <v>331574</v>
          </cell>
          <cell r="C3798" t="str">
            <v>NON CAPITALIZABLE EQUIPMENT</v>
          </cell>
        </row>
        <row r="3799">
          <cell r="A3799">
            <v>9683999</v>
          </cell>
          <cell r="B3799">
            <v>331574</v>
          </cell>
          <cell r="C3799" t="str">
            <v>NON CAPITALIZABLE EQUIPMENT</v>
          </cell>
        </row>
        <row r="3800">
          <cell r="A3800">
            <v>9684999</v>
          </cell>
          <cell r="B3800">
            <v>331574</v>
          </cell>
          <cell r="C3800" t="str">
            <v>NON CAPITALIZABLE EQUIPMENT</v>
          </cell>
        </row>
        <row r="3801">
          <cell r="A3801">
            <v>9689692</v>
          </cell>
          <cell r="B3801">
            <v>331574</v>
          </cell>
          <cell r="C3801" t="str">
            <v>NON CAPITALIZABLE EQUIPMENT</v>
          </cell>
        </row>
        <row r="3802">
          <cell r="A3802">
            <v>9689747</v>
          </cell>
          <cell r="B3802">
            <v>331574</v>
          </cell>
          <cell r="C3802" t="str">
            <v>NON CAPITALIZABLE EQUIPMENT</v>
          </cell>
        </row>
        <row r="3803">
          <cell r="A3803">
            <v>9689883</v>
          </cell>
          <cell r="B3803">
            <v>331574</v>
          </cell>
          <cell r="C3803" t="str">
            <v>NON CAPITALIZABLE EQUIPMENT</v>
          </cell>
        </row>
        <row r="3804">
          <cell r="A3804">
            <v>9689890</v>
          </cell>
          <cell r="B3804">
            <v>331574</v>
          </cell>
          <cell r="C3804" t="str">
            <v>NON CAPITALIZABLE EQUIPMENT</v>
          </cell>
        </row>
        <row r="3805">
          <cell r="A3805">
            <v>9689906</v>
          </cell>
          <cell r="B3805">
            <v>331574</v>
          </cell>
          <cell r="C3805" t="str">
            <v>NON CAPITALIZABLE EQUIPMENT</v>
          </cell>
        </row>
        <row r="3806">
          <cell r="A3806">
            <v>9689925</v>
          </cell>
          <cell r="B3806">
            <v>331574</v>
          </cell>
          <cell r="C3806" t="str">
            <v>NON CAPITALIZABLE EQUIPMENT</v>
          </cell>
        </row>
        <row r="3807">
          <cell r="A3807">
            <v>9689990</v>
          </cell>
          <cell r="B3807">
            <v>331574</v>
          </cell>
          <cell r="C3807" t="str">
            <v>NON CAPITALIZABLE EQUIPMENT</v>
          </cell>
        </row>
        <row r="3808">
          <cell r="A3808">
            <v>9689991</v>
          </cell>
          <cell r="B3808">
            <v>331574</v>
          </cell>
          <cell r="C3808" t="str">
            <v>NON CAPITALIZABLE EQUIPMENT</v>
          </cell>
        </row>
        <row r="3809">
          <cell r="A3809">
            <v>9689992</v>
          </cell>
          <cell r="B3809">
            <v>331574</v>
          </cell>
          <cell r="C3809" t="str">
            <v>NON CAPITALIZABLE EQUIPMENT</v>
          </cell>
        </row>
        <row r="3810">
          <cell r="A3810">
            <v>9689993</v>
          </cell>
          <cell r="B3810">
            <v>331574</v>
          </cell>
          <cell r="C3810" t="str">
            <v>NON CAPITALIZABLE EQUIPMENT</v>
          </cell>
        </row>
        <row r="3811">
          <cell r="A3811">
            <v>9689994</v>
          </cell>
          <cell r="B3811">
            <v>331574</v>
          </cell>
          <cell r="C3811" t="str">
            <v>NON CAPITALIZABLE EQUIPMENT</v>
          </cell>
        </row>
        <row r="3812">
          <cell r="A3812">
            <v>9725711</v>
          </cell>
          <cell r="B3812">
            <v>331574</v>
          </cell>
          <cell r="C3812" t="str">
            <v>NON CAPITALIZABLE EQUIPMENT</v>
          </cell>
        </row>
        <row r="3813">
          <cell r="A3813">
            <v>9080999</v>
          </cell>
          <cell r="B3813">
            <v>331575</v>
          </cell>
          <cell r="C3813" t="str">
            <v>NON CAPITALIZABLE FURNITURE</v>
          </cell>
        </row>
        <row r="3814">
          <cell r="A3814">
            <v>9110999</v>
          </cell>
          <cell r="B3814">
            <v>331575</v>
          </cell>
          <cell r="C3814" t="str">
            <v>NON CAPITALIZABLE FURNITURE</v>
          </cell>
        </row>
        <row r="3815">
          <cell r="A3815">
            <v>9681999</v>
          </cell>
          <cell r="B3815">
            <v>331575</v>
          </cell>
          <cell r="C3815" t="str">
            <v>NON CAPITALIZABLE FURNITURE</v>
          </cell>
        </row>
        <row r="3816">
          <cell r="A3816">
            <v>9683999</v>
          </cell>
          <cell r="B3816">
            <v>331575</v>
          </cell>
          <cell r="C3816" t="str">
            <v>NON CAPITALIZABLE FURNITURE</v>
          </cell>
        </row>
        <row r="3817">
          <cell r="A3817">
            <v>9689692</v>
          </cell>
          <cell r="B3817">
            <v>331575</v>
          </cell>
          <cell r="C3817" t="str">
            <v>NON CAPITALIZABLE FURNITURE</v>
          </cell>
        </row>
        <row r="3818">
          <cell r="A3818">
            <v>9689747</v>
          </cell>
          <cell r="B3818">
            <v>331575</v>
          </cell>
          <cell r="C3818" t="str">
            <v>NON CAPITALIZABLE FURNITURE</v>
          </cell>
        </row>
        <row r="3819">
          <cell r="A3819">
            <v>9689883</v>
          </cell>
          <cell r="B3819">
            <v>331575</v>
          </cell>
          <cell r="C3819" t="str">
            <v>NON CAPITALIZABLE FURNITURE</v>
          </cell>
        </row>
        <row r="3820">
          <cell r="A3820">
            <v>9689890</v>
          </cell>
          <cell r="B3820">
            <v>331575</v>
          </cell>
          <cell r="C3820" t="str">
            <v>NON CAPITALIZABLE FURNITURE</v>
          </cell>
        </row>
        <row r="3821">
          <cell r="A3821">
            <v>9689906</v>
          </cell>
          <cell r="B3821">
            <v>331575</v>
          </cell>
          <cell r="C3821" t="str">
            <v>NON CAPITALIZABLE FURNITURE</v>
          </cell>
        </row>
        <row r="3822">
          <cell r="A3822">
            <v>9689925</v>
          </cell>
          <cell r="B3822">
            <v>331575</v>
          </cell>
          <cell r="C3822" t="str">
            <v>NON CAPITALIZABLE FURNITURE</v>
          </cell>
        </row>
        <row r="3823">
          <cell r="A3823">
            <v>9689990</v>
          </cell>
          <cell r="B3823">
            <v>331575</v>
          </cell>
          <cell r="C3823" t="str">
            <v>NON CAPITALIZABLE FURNITURE</v>
          </cell>
        </row>
        <row r="3824">
          <cell r="A3824">
            <v>9689991</v>
          </cell>
          <cell r="B3824">
            <v>331575</v>
          </cell>
          <cell r="C3824" t="str">
            <v>NON CAPITALIZABLE FURNITURE</v>
          </cell>
        </row>
        <row r="3825">
          <cell r="A3825">
            <v>9689992</v>
          </cell>
          <cell r="B3825">
            <v>331575</v>
          </cell>
          <cell r="C3825" t="str">
            <v>NON CAPITALIZABLE FURNITURE</v>
          </cell>
        </row>
        <row r="3826">
          <cell r="A3826">
            <v>8001054179</v>
          </cell>
          <cell r="B3826">
            <v>331990</v>
          </cell>
          <cell r="C3826" t="str">
            <v>SUPPLIES - OTHER</v>
          </cell>
        </row>
        <row r="3827">
          <cell r="A3827">
            <v>8001059542</v>
          </cell>
          <cell r="B3827">
            <v>331990</v>
          </cell>
          <cell r="C3827" t="str">
            <v>SUPPLIES - OTHER</v>
          </cell>
        </row>
        <row r="3828">
          <cell r="A3828">
            <v>8010512510</v>
          </cell>
          <cell r="B3828">
            <v>331990</v>
          </cell>
          <cell r="C3828" t="str">
            <v>SUPPLIES - OTHER</v>
          </cell>
        </row>
        <row r="3829">
          <cell r="A3829">
            <v>9080700</v>
          </cell>
          <cell r="B3829">
            <v>331990</v>
          </cell>
          <cell r="C3829" t="str">
            <v>SUPPLIES - OTHER</v>
          </cell>
        </row>
        <row r="3830">
          <cell r="A3830">
            <v>9080701</v>
          </cell>
          <cell r="B3830">
            <v>331990</v>
          </cell>
          <cell r="C3830" t="str">
            <v>SUPPLIES - OTHER</v>
          </cell>
        </row>
        <row r="3831">
          <cell r="A3831">
            <v>9080702</v>
          </cell>
          <cell r="B3831">
            <v>331990</v>
          </cell>
          <cell r="C3831" t="str">
            <v>SUPPLIES - OTHER</v>
          </cell>
        </row>
        <row r="3832">
          <cell r="A3832">
            <v>9080705</v>
          </cell>
          <cell r="B3832">
            <v>331990</v>
          </cell>
          <cell r="C3832" t="str">
            <v>SUPPLIES - OTHER</v>
          </cell>
        </row>
        <row r="3833">
          <cell r="A3833">
            <v>9080707</v>
          </cell>
          <cell r="B3833">
            <v>331990</v>
          </cell>
          <cell r="C3833" t="str">
            <v>SUPPLIES - OTHER</v>
          </cell>
        </row>
        <row r="3834">
          <cell r="A3834">
            <v>9080710</v>
          </cell>
          <cell r="B3834">
            <v>331990</v>
          </cell>
          <cell r="C3834" t="str">
            <v>SUPPLIES - OTHER</v>
          </cell>
        </row>
        <row r="3835">
          <cell r="A3835">
            <v>9080999</v>
          </cell>
          <cell r="B3835">
            <v>331990</v>
          </cell>
          <cell r="C3835" t="str">
            <v>SUPPLIES - OTHER</v>
          </cell>
        </row>
        <row r="3836">
          <cell r="A3836">
            <v>9090710</v>
          </cell>
          <cell r="B3836">
            <v>331990</v>
          </cell>
          <cell r="C3836" t="str">
            <v>SUPPLIES - OTHER</v>
          </cell>
        </row>
        <row r="3837">
          <cell r="A3837">
            <v>9090999</v>
          </cell>
          <cell r="B3837">
            <v>331990</v>
          </cell>
          <cell r="C3837" t="str">
            <v>SUPPLIES - OTHER</v>
          </cell>
        </row>
        <row r="3838">
          <cell r="A3838">
            <v>9100710</v>
          </cell>
          <cell r="B3838">
            <v>331990</v>
          </cell>
          <cell r="C3838" t="str">
            <v>SUPPLIES - OTHER</v>
          </cell>
        </row>
        <row r="3839">
          <cell r="A3839">
            <v>9100999</v>
          </cell>
          <cell r="B3839">
            <v>331990</v>
          </cell>
          <cell r="C3839" t="str">
            <v>SUPPLIES - OTHER</v>
          </cell>
        </row>
        <row r="3840">
          <cell r="A3840">
            <v>9110700</v>
          </cell>
          <cell r="B3840">
            <v>331990</v>
          </cell>
          <cell r="C3840" t="str">
            <v>SUPPLIES - OTHER</v>
          </cell>
        </row>
        <row r="3841">
          <cell r="A3841">
            <v>9110702</v>
          </cell>
          <cell r="B3841">
            <v>331990</v>
          </cell>
          <cell r="C3841" t="str">
            <v>SUPPLIES - OTHER</v>
          </cell>
        </row>
        <row r="3842">
          <cell r="A3842">
            <v>9110705</v>
          </cell>
          <cell r="B3842">
            <v>331990</v>
          </cell>
          <cell r="C3842" t="str">
            <v>SUPPLIES - OTHER</v>
          </cell>
        </row>
        <row r="3843">
          <cell r="A3843">
            <v>9110707</v>
          </cell>
          <cell r="B3843">
            <v>331990</v>
          </cell>
          <cell r="C3843" t="str">
            <v>SUPPLIES - OTHER</v>
          </cell>
        </row>
        <row r="3844">
          <cell r="A3844">
            <v>9110999</v>
          </cell>
          <cell r="B3844">
            <v>331990</v>
          </cell>
          <cell r="C3844" t="str">
            <v>SUPPLIES - OTHER</v>
          </cell>
        </row>
        <row r="3845">
          <cell r="A3845">
            <v>9680700</v>
          </cell>
          <cell r="B3845">
            <v>331990</v>
          </cell>
          <cell r="C3845" t="str">
            <v>SUPPLIES - OTHER</v>
          </cell>
        </row>
        <row r="3846">
          <cell r="A3846">
            <v>9680701</v>
          </cell>
          <cell r="B3846">
            <v>331990</v>
          </cell>
          <cell r="C3846" t="str">
            <v>SUPPLIES - OTHER</v>
          </cell>
        </row>
        <row r="3847">
          <cell r="A3847">
            <v>9680702</v>
          </cell>
          <cell r="B3847">
            <v>331990</v>
          </cell>
          <cell r="C3847" t="str">
            <v>SUPPLIES - OTHER</v>
          </cell>
        </row>
        <row r="3848">
          <cell r="A3848">
            <v>9680705</v>
          </cell>
          <cell r="B3848">
            <v>331990</v>
          </cell>
          <cell r="C3848" t="str">
            <v>SUPPLIES - OTHER</v>
          </cell>
        </row>
        <row r="3849">
          <cell r="A3849">
            <v>9680707</v>
          </cell>
          <cell r="B3849">
            <v>331990</v>
          </cell>
          <cell r="C3849" t="str">
            <v>SUPPLIES - OTHER</v>
          </cell>
        </row>
        <row r="3850">
          <cell r="A3850">
            <v>9680710</v>
          </cell>
          <cell r="B3850">
            <v>331990</v>
          </cell>
          <cell r="C3850" t="str">
            <v>SUPPLIES - OTHER</v>
          </cell>
        </row>
        <row r="3851">
          <cell r="A3851">
            <v>9680712</v>
          </cell>
          <cell r="B3851">
            <v>331990</v>
          </cell>
          <cell r="C3851" t="str">
            <v>SUPPLIES - OTHER</v>
          </cell>
        </row>
        <row r="3852">
          <cell r="A3852">
            <v>9680714</v>
          </cell>
          <cell r="B3852">
            <v>331990</v>
          </cell>
          <cell r="C3852" t="str">
            <v>SUPPLIES - OTHER</v>
          </cell>
        </row>
        <row r="3853">
          <cell r="A3853">
            <v>9680734</v>
          </cell>
          <cell r="B3853">
            <v>331990</v>
          </cell>
          <cell r="C3853" t="str">
            <v>SUPPLIES - OTHER</v>
          </cell>
        </row>
        <row r="3854">
          <cell r="A3854">
            <v>9680748</v>
          </cell>
          <cell r="B3854">
            <v>331990</v>
          </cell>
          <cell r="C3854" t="str">
            <v>SUPPLIES - OTHER</v>
          </cell>
        </row>
        <row r="3855">
          <cell r="A3855">
            <v>9680749</v>
          </cell>
          <cell r="B3855">
            <v>331990</v>
          </cell>
          <cell r="C3855" t="str">
            <v>SUPPLIES - OTHER</v>
          </cell>
        </row>
        <row r="3856">
          <cell r="A3856">
            <v>9680894</v>
          </cell>
          <cell r="B3856">
            <v>331990</v>
          </cell>
          <cell r="C3856" t="str">
            <v>SUPPLIES - OTHER</v>
          </cell>
        </row>
        <row r="3857">
          <cell r="A3857">
            <v>9680999</v>
          </cell>
          <cell r="B3857">
            <v>331990</v>
          </cell>
          <cell r="C3857" t="str">
            <v>SUPPLIES - OTHER</v>
          </cell>
        </row>
        <row r="3858">
          <cell r="A3858">
            <v>9681700</v>
          </cell>
          <cell r="B3858">
            <v>331990</v>
          </cell>
          <cell r="C3858" t="str">
            <v>SUPPLIES - OTHER</v>
          </cell>
        </row>
        <row r="3859">
          <cell r="A3859">
            <v>9681701</v>
          </cell>
          <cell r="B3859">
            <v>331990</v>
          </cell>
          <cell r="C3859" t="str">
            <v>SUPPLIES - OTHER</v>
          </cell>
        </row>
        <row r="3860">
          <cell r="A3860">
            <v>9681702</v>
          </cell>
          <cell r="B3860">
            <v>331990</v>
          </cell>
          <cell r="C3860" t="str">
            <v>SUPPLIES - OTHER</v>
          </cell>
        </row>
        <row r="3861">
          <cell r="A3861">
            <v>9681705</v>
          </cell>
          <cell r="B3861">
            <v>331990</v>
          </cell>
          <cell r="C3861" t="str">
            <v>SUPPLIES - OTHER</v>
          </cell>
        </row>
        <row r="3862">
          <cell r="A3862">
            <v>9681706</v>
          </cell>
          <cell r="B3862">
            <v>331990</v>
          </cell>
          <cell r="C3862" t="str">
            <v>SUPPLIES - OTHER</v>
          </cell>
        </row>
        <row r="3863">
          <cell r="A3863">
            <v>9681707</v>
          </cell>
          <cell r="B3863">
            <v>331990</v>
          </cell>
          <cell r="C3863" t="str">
            <v>SUPPLIES - OTHER</v>
          </cell>
        </row>
        <row r="3864">
          <cell r="A3864">
            <v>9681710</v>
          </cell>
          <cell r="B3864">
            <v>331990</v>
          </cell>
          <cell r="C3864" t="str">
            <v>SUPPLIES - OTHER</v>
          </cell>
        </row>
        <row r="3865">
          <cell r="A3865">
            <v>9681712</v>
          </cell>
          <cell r="B3865">
            <v>331990</v>
          </cell>
          <cell r="C3865" t="str">
            <v>SUPPLIES - OTHER</v>
          </cell>
        </row>
        <row r="3866">
          <cell r="A3866">
            <v>9681714</v>
          </cell>
          <cell r="B3866">
            <v>331990</v>
          </cell>
          <cell r="C3866" t="str">
            <v>SUPPLIES - OTHER</v>
          </cell>
        </row>
        <row r="3867">
          <cell r="A3867">
            <v>9681727</v>
          </cell>
          <cell r="B3867">
            <v>331990</v>
          </cell>
          <cell r="C3867" t="str">
            <v>SUPPLIES - OTHER</v>
          </cell>
        </row>
        <row r="3868">
          <cell r="A3868">
            <v>9681734</v>
          </cell>
          <cell r="B3868">
            <v>331990</v>
          </cell>
          <cell r="C3868" t="str">
            <v>SUPPLIES - OTHER</v>
          </cell>
        </row>
        <row r="3869">
          <cell r="A3869">
            <v>9681748</v>
          </cell>
          <cell r="B3869">
            <v>331990</v>
          </cell>
          <cell r="C3869" t="str">
            <v>SUPPLIES - OTHER</v>
          </cell>
        </row>
        <row r="3870">
          <cell r="A3870">
            <v>9681749</v>
          </cell>
          <cell r="B3870">
            <v>331990</v>
          </cell>
          <cell r="C3870" t="str">
            <v>SUPPLIES - OTHER</v>
          </cell>
        </row>
        <row r="3871">
          <cell r="A3871">
            <v>9681894</v>
          </cell>
          <cell r="B3871">
            <v>331990</v>
          </cell>
          <cell r="C3871" t="str">
            <v>SUPPLIES - OTHER</v>
          </cell>
        </row>
        <row r="3872">
          <cell r="A3872">
            <v>9681999</v>
          </cell>
          <cell r="B3872">
            <v>331990</v>
          </cell>
          <cell r="C3872" t="str">
            <v>SUPPLIES - OTHER</v>
          </cell>
        </row>
        <row r="3873">
          <cell r="A3873">
            <v>9682715</v>
          </cell>
          <cell r="B3873">
            <v>331990</v>
          </cell>
          <cell r="C3873" t="str">
            <v>SUPPLIES - OTHER</v>
          </cell>
        </row>
        <row r="3874">
          <cell r="A3874">
            <v>9682722</v>
          </cell>
          <cell r="B3874">
            <v>331990</v>
          </cell>
          <cell r="C3874" t="str">
            <v>SUPPLIES - OTHER</v>
          </cell>
        </row>
        <row r="3875">
          <cell r="A3875">
            <v>9682999</v>
          </cell>
          <cell r="B3875">
            <v>331990</v>
          </cell>
          <cell r="C3875" t="str">
            <v>SUPPLIES - OTHER</v>
          </cell>
        </row>
        <row r="3876">
          <cell r="A3876">
            <v>9683999</v>
          </cell>
          <cell r="B3876">
            <v>331990</v>
          </cell>
          <cell r="C3876" t="str">
            <v>SUPPLIES - OTHER</v>
          </cell>
        </row>
        <row r="3877">
          <cell r="A3877">
            <v>9684999</v>
          </cell>
          <cell r="B3877">
            <v>331990</v>
          </cell>
          <cell r="C3877" t="str">
            <v>SUPPLIES - OTHER</v>
          </cell>
        </row>
        <row r="3878">
          <cell r="A3878">
            <v>9685999</v>
          </cell>
          <cell r="B3878">
            <v>331990</v>
          </cell>
          <cell r="C3878" t="str">
            <v>SUPPLIES - OTHER</v>
          </cell>
        </row>
        <row r="3879">
          <cell r="A3879">
            <v>9689692</v>
          </cell>
          <cell r="B3879">
            <v>331990</v>
          </cell>
          <cell r="C3879" t="str">
            <v>SUPPLIES - OTHER</v>
          </cell>
        </row>
        <row r="3880">
          <cell r="A3880">
            <v>9689747</v>
          </cell>
          <cell r="B3880">
            <v>331990</v>
          </cell>
          <cell r="C3880" t="str">
            <v>SUPPLIES - OTHER</v>
          </cell>
        </row>
        <row r="3881">
          <cell r="A3881">
            <v>9689883</v>
          </cell>
          <cell r="B3881">
            <v>331990</v>
          </cell>
          <cell r="C3881" t="str">
            <v>SUPPLIES - OTHER</v>
          </cell>
        </row>
        <row r="3882">
          <cell r="A3882">
            <v>9689890</v>
          </cell>
          <cell r="B3882">
            <v>331990</v>
          </cell>
          <cell r="C3882" t="str">
            <v>SUPPLIES - OTHER</v>
          </cell>
        </row>
        <row r="3883">
          <cell r="A3883">
            <v>9689906</v>
          </cell>
          <cell r="B3883">
            <v>331990</v>
          </cell>
          <cell r="C3883" t="str">
            <v>SUPPLIES - OTHER</v>
          </cell>
        </row>
        <row r="3884">
          <cell r="A3884">
            <v>9689925</v>
          </cell>
          <cell r="B3884">
            <v>331990</v>
          </cell>
          <cell r="C3884" t="str">
            <v>SUPPLIES - OTHER</v>
          </cell>
        </row>
        <row r="3885">
          <cell r="A3885">
            <v>9689990</v>
          </cell>
          <cell r="B3885">
            <v>331990</v>
          </cell>
          <cell r="C3885" t="str">
            <v>SUPPLIES - OTHER</v>
          </cell>
        </row>
        <row r="3886">
          <cell r="A3886">
            <v>9689991</v>
          </cell>
          <cell r="B3886">
            <v>331990</v>
          </cell>
          <cell r="C3886" t="str">
            <v>SUPPLIES - OTHER</v>
          </cell>
        </row>
        <row r="3887">
          <cell r="A3887">
            <v>9689992</v>
          </cell>
          <cell r="B3887">
            <v>331990</v>
          </cell>
          <cell r="C3887" t="str">
            <v>SUPPLIES - OTHER</v>
          </cell>
        </row>
        <row r="3888">
          <cell r="A3888">
            <v>9689993</v>
          </cell>
          <cell r="B3888">
            <v>331990</v>
          </cell>
          <cell r="C3888" t="str">
            <v>SUPPLIES - OTHER</v>
          </cell>
        </row>
        <row r="3889">
          <cell r="A3889">
            <v>9689994</v>
          </cell>
          <cell r="B3889">
            <v>331990</v>
          </cell>
          <cell r="C3889" t="str">
            <v>SUPPLIES - OTHER</v>
          </cell>
        </row>
        <row r="3890">
          <cell r="A3890">
            <v>9720703</v>
          </cell>
          <cell r="B3890">
            <v>331990</v>
          </cell>
          <cell r="C3890" t="str">
            <v>SUPPLIES - OTHER</v>
          </cell>
        </row>
        <row r="3891">
          <cell r="A3891">
            <v>9722709</v>
          </cell>
          <cell r="B3891">
            <v>331990</v>
          </cell>
          <cell r="C3891" t="str">
            <v>SUPPLIES - OTHER</v>
          </cell>
        </row>
        <row r="3892">
          <cell r="A3892">
            <v>9722713</v>
          </cell>
          <cell r="B3892">
            <v>331990</v>
          </cell>
          <cell r="C3892" t="str">
            <v>SUPPLIES - OTHER</v>
          </cell>
        </row>
        <row r="3893">
          <cell r="A3893">
            <v>9723723</v>
          </cell>
          <cell r="B3893">
            <v>331990</v>
          </cell>
          <cell r="C3893" t="str">
            <v>SUPPLIES - OTHER</v>
          </cell>
        </row>
        <row r="3894">
          <cell r="A3894">
            <v>9723729</v>
          </cell>
          <cell r="B3894">
            <v>331990</v>
          </cell>
          <cell r="C3894" t="str">
            <v>SUPPLIES - OTHER</v>
          </cell>
        </row>
        <row r="3895">
          <cell r="A3895">
            <v>9724718</v>
          </cell>
          <cell r="B3895">
            <v>331990</v>
          </cell>
          <cell r="C3895" t="str">
            <v>SUPPLIES - OTHER</v>
          </cell>
        </row>
        <row r="3896">
          <cell r="A3896">
            <v>9724721</v>
          </cell>
          <cell r="B3896">
            <v>331990</v>
          </cell>
          <cell r="C3896" t="str">
            <v>SUPPLIES - OTHER</v>
          </cell>
        </row>
        <row r="3897">
          <cell r="A3897">
            <v>9724724</v>
          </cell>
          <cell r="B3897">
            <v>331990</v>
          </cell>
          <cell r="C3897" t="str">
            <v>SUPPLIES - OTHER</v>
          </cell>
        </row>
        <row r="3898">
          <cell r="A3898">
            <v>9725703</v>
          </cell>
          <cell r="B3898">
            <v>331990</v>
          </cell>
          <cell r="C3898" t="str">
            <v>SUPPLIES - OTHER</v>
          </cell>
        </row>
        <row r="3899">
          <cell r="A3899">
            <v>9725704</v>
          </cell>
          <cell r="B3899">
            <v>331990</v>
          </cell>
          <cell r="C3899" t="str">
            <v>SUPPLIES - OTHER</v>
          </cell>
        </row>
        <row r="3900">
          <cell r="A3900">
            <v>9725711</v>
          </cell>
          <cell r="B3900">
            <v>331990</v>
          </cell>
          <cell r="C3900" t="str">
            <v>SUPPLIES - OTHER</v>
          </cell>
        </row>
        <row r="3901">
          <cell r="A3901">
            <v>9725717</v>
          </cell>
          <cell r="B3901">
            <v>331990</v>
          </cell>
          <cell r="C3901" t="str">
            <v>SUPPLIES - OTHER</v>
          </cell>
        </row>
        <row r="3902">
          <cell r="A3902">
            <v>9725725</v>
          </cell>
          <cell r="B3902">
            <v>331990</v>
          </cell>
          <cell r="C3902" t="str">
            <v>SUPPLIES - OTHER</v>
          </cell>
        </row>
        <row r="3903">
          <cell r="A3903">
            <v>9969681</v>
          </cell>
          <cell r="B3903">
            <v>331990</v>
          </cell>
          <cell r="C3903" t="str">
            <v>SUPPLIES - OTHER</v>
          </cell>
        </row>
        <row r="3904">
          <cell r="A3904">
            <v>9969901</v>
          </cell>
          <cell r="B3904">
            <v>331990</v>
          </cell>
          <cell r="C3904" t="str">
            <v>SUPPLIES - OTHER</v>
          </cell>
        </row>
        <row r="3905">
          <cell r="A3905" t="str">
            <v>ZONE-0105-POST</v>
          </cell>
          <cell r="B3905">
            <v>331990</v>
          </cell>
          <cell r="C3905" t="str">
            <v>SUPPLIES - OTHER</v>
          </cell>
        </row>
        <row r="3906">
          <cell r="A3906" t="str">
            <v>ZONE-0112-POST</v>
          </cell>
          <cell r="B3906">
            <v>331990</v>
          </cell>
          <cell r="C3906" t="str">
            <v>SUPPLIES - OTHER</v>
          </cell>
        </row>
        <row r="3907">
          <cell r="A3907">
            <v>9080700</v>
          </cell>
          <cell r="B3907">
            <v>341472</v>
          </cell>
          <cell r="C3907" t="str">
            <v>EQUIP RENTAL/LEASE - OUTSIDE</v>
          </cell>
        </row>
        <row r="3908">
          <cell r="A3908">
            <v>9080701</v>
          </cell>
          <cell r="B3908">
            <v>341472</v>
          </cell>
          <cell r="C3908" t="str">
            <v>EQUIP RENTAL/LEASE - OUTSIDE</v>
          </cell>
        </row>
        <row r="3909">
          <cell r="A3909">
            <v>9080702</v>
          </cell>
          <cell r="B3909">
            <v>341472</v>
          </cell>
          <cell r="C3909" t="str">
            <v>EQUIP RENTAL/LEASE - OUTSIDE</v>
          </cell>
        </row>
        <row r="3910">
          <cell r="A3910">
            <v>9080705</v>
          </cell>
          <cell r="B3910">
            <v>341472</v>
          </cell>
          <cell r="C3910" t="str">
            <v>EQUIP RENTAL/LEASE - OUTSIDE</v>
          </cell>
        </row>
        <row r="3911">
          <cell r="A3911">
            <v>9080707</v>
          </cell>
          <cell r="B3911">
            <v>341472</v>
          </cell>
          <cell r="C3911" t="str">
            <v>EQUIP RENTAL/LEASE - OUTSIDE</v>
          </cell>
        </row>
        <row r="3912">
          <cell r="A3912">
            <v>9080710</v>
          </cell>
          <cell r="B3912">
            <v>341472</v>
          </cell>
          <cell r="C3912" t="str">
            <v>EQUIP RENTAL/LEASE - OUTSIDE</v>
          </cell>
        </row>
        <row r="3913">
          <cell r="A3913">
            <v>9110700</v>
          </cell>
          <cell r="B3913">
            <v>341472</v>
          </cell>
          <cell r="C3913" t="str">
            <v>EQUIP RENTAL/LEASE - OUTSIDE</v>
          </cell>
        </row>
        <row r="3914">
          <cell r="A3914">
            <v>9110702</v>
          </cell>
          <cell r="B3914">
            <v>341472</v>
          </cell>
          <cell r="C3914" t="str">
            <v>EQUIP RENTAL/LEASE - OUTSIDE</v>
          </cell>
        </row>
        <row r="3915">
          <cell r="A3915">
            <v>9110705</v>
          </cell>
          <cell r="B3915">
            <v>341472</v>
          </cell>
          <cell r="C3915" t="str">
            <v>EQUIP RENTAL/LEASE - OUTSIDE</v>
          </cell>
        </row>
        <row r="3916">
          <cell r="A3916">
            <v>9110707</v>
          </cell>
          <cell r="B3916">
            <v>341472</v>
          </cell>
          <cell r="C3916" t="str">
            <v>EQUIP RENTAL/LEASE - OUTSIDE</v>
          </cell>
        </row>
        <row r="3917">
          <cell r="A3917">
            <v>9681700</v>
          </cell>
          <cell r="B3917">
            <v>341472</v>
          </cell>
          <cell r="C3917" t="str">
            <v>EQUIP RENTAL/LEASE - OUTSIDE</v>
          </cell>
        </row>
        <row r="3918">
          <cell r="A3918">
            <v>9681701</v>
          </cell>
          <cell r="B3918">
            <v>341472</v>
          </cell>
          <cell r="C3918" t="str">
            <v>EQUIP RENTAL/LEASE - OUTSIDE</v>
          </cell>
        </row>
        <row r="3919">
          <cell r="A3919">
            <v>9681702</v>
          </cell>
          <cell r="B3919">
            <v>341472</v>
          </cell>
          <cell r="C3919" t="str">
            <v>EQUIP RENTAL/LEASE - OUTSIDE</v>
          </cell>
        </row>
        <row r="3920">
          <cell r="A3920">
            <v>9681705</v>
          </cell>
          <cell r="B3920">
            <v>341472</v>
          </cell>
          <cell r="C3920" t="str">
            <v>EQUIP RENTAL/LEASE - OUTSIDE</v>
          </cell>
        </row>
        <row r="3921">
          <cell r="A3921">
            <v>9681706</v>
          </cell>
          <cell r="B3921">
            <v>341472</v>
          </cell>
          <cell r="C3921" t="str">
            <v>EQUIP RENTAL/LEASE - OUTSIDE</v>
          </cell>
        </row>
        <row r="3922">
          <cell r="A3922">
            <v>9681707</v>
          </cell>
          <cell r="B3922">
            <v>341472</v>
          </cell>
          <cell r="C3922" t="str">
            <v>EQUIP RENTAL/LEASE - OUTSIDE</v>
          </cell>
        </row>
        <row r="3923">
          <cell r="A3923">
            <v>9681712</v>
          </cell>
          <cell r="B3923">
            <v>341472</v>
          </cell>
          <cell r="C3923" t="str">
            <v>EQUIP RENTAL/LEASE - OUTSIDE</v>
          </cell>
        </row>
        <row r="3924">
          <cell r="A3924">
            <v>9681727</v>
          </cell>
          <cell r="B3924">
            <v>341472</v>
          </cell>
          <cell r="C3924" t="str">
            <v>EQUIP RENTAL/LEASE - OUTSIDE</v>
          </cell>
        </row>
        <row r="3925">
          <cell r="A3925">
            <v>9681749</v>
          </cell>
          <cell r="B3925">
            <v>341472</v>
          </cell>
          <cell r="C3925" t="str">
            <v>EQUIP RENTAL/LEASE - OUTSIDE</v>
          </cell>
        </row>
        <row r="3926">
          <cell r="A3926">
            <v>9681999</v>
          </cell>
          <cell r="B3926">
            <v>341472</v>
          </cell>
          <cell r="C3926" t="str">
            <v>EQUIP RENTAL/LEASE - OUTSIDE</v>
          </cell>
        </row>
        <row r="3927">
          <cell r="A3927">
            <v>9689883</v>
          </cell>
          <cell r="B3927">
            <v>341472</v>
          </cell>
          <cell r="C3927" t="str">
            <v>EQUIP RENTAL/LEASE - OUTSIDE</v>
          </cell>
        </row>
        <row r="3928">
          <cell r="A3928">
            <v>9689906</v>
          </cell>
          <cell r="B3928">
            <v>341472</v>
          </cell>
          <cell r="C3928" t="str">
            <v>EQUIP RENTAL/LEASE - OUTSIDE</v>
          </cell>
        </row>
        <row r="3929">
          <cell r="A3929">
            <v>9689992</v>
          </cell>
          <cell r="B3929">
            <v>341472</v>
          </cell>
          <cell r="C3929" t="str">
            <v>EQUIP RENTAL/LEASE - OUTSIDE</v>
          </cell>
        </row>
        <row r="3930">
          <cell r="A3930">
            <v>9720703</v>
          </cell>
          <cell r="B3930">
            <v>341473</v>
          </cell>
          <cell r="C3930" t="str">
            <v>NON CAPITALIZABLE EQUIP &amp; MAT</v>
          </cell>
        </row>
        <row r="3931">
          <cell r="A3931">
            <v>9724718</v>
          </cell>
          <cell r="B3931">
            <v>341473</v>
          </cell>
          <cell r="C3931" t="str">
            <v>NON CAPITALIZABLE EQUIP &amp; MAT</v>
          </cell>
        </row>
        <row r="3932">
          <cell r="A3932">
            <v>9724721</v>
          </cell>
          <cell r="B3932">
            <v>341473</v>
          </cell>
          <cell r="C3932" t="str">
            <v>NON CAPITALIZABLE EQUIP &amp; MAT</v>
          </cell>
        </row>
        <row r="3933">
          <cell r="A3933">
            <v>9724724</v>
          </cell>
          <cell r="B3933">
            <v>341473</v>
          </cell>
          <cell r="C3933" t="str">
            <v>NON CAPITALIZABLE EQUIP &amp; MAT</v>
          </cell>
        </row>
        <row r="3934">
          <cell r="A3934">
            <v>9725703</v>
          </cell>
          <cell r="B3934">
            <v>341473</v>
          </cell>
          <cell r="C3934" t="str">
            <v>NON CAPITALIZABLE EQUIP &amp; MAT</v>
          </cell>
        </row>
        <row r="3935">
          <cell r="A3935">
            <v>9725704</v>
          </cell>
          <cell r="B3935">
            <v>341473</v>
          </cell>
          <cell r="C3935" t="str">
            <v>NON CAPITALIZABLE EQUIP &amp; MAT</v>
          </cell>
        </row>
        <row r="3936">
          <cell r="A3936">
            <v>9725711</v>
          </cell>
          <cell r="B3936">
            <v>341473</v>
          </cell>
          <cell r="C3936" t="str">
            <v>NON CAPITALIZABLE EQUIP &amp; MAT</v>
          </cell>
        </row>
        <row r="3937">
          <cell r="A3937">
            <v>9725717</v>
          </cell>
          <cell r="B3937">
            <v>341473</v>
          </cell>
          <cell r="C3937" t="str">
            <v>NON CAPITALIZABLE EQUIP &amp; MAT</v>
          </cell>
        </row>
        <row r="3938">
          <cell r="A3938">
            <v>9725725</v>
          </cell>
          <cell r="B3938">
            <v>341473</v>
          </cell>
          <cell r="C3938" t="str">
            <v>NON CAPITALIZABLE EQUIP &amp; MAT</v>
          </cell>
        </row>
        <row r="3939">
          <cell r="A3939">
            <v>9080700</v>
          </cell>
          <cell r="B3939">
            <v>341474</v>
          </cell>
          <cell r="C3939" t="str">
            <v>EQUIPMENT MAINTENANCE/SERVICE</v>
          </cell>
        </row>
        <row r="3940">
          <cell r="A3940">
            <v>9080701</v>
          </cell>
          <cell r="B3940">
            <v>341474</v>
          </cell>
          <cell r="C3940" t="str">
            <v>EQUIPMENT MAINTENANCE/SERVICE</v>
          </cell>
        </row>
        <row r="3941">
          <cell r="A3941">
            <v>9080702</v>
          </cell>
          <cell r="B3941">
            <v>341474</v>
          </cell>
          <cell r="C3941" t="str">
            <v>EQUIPMENT MAINTENANCE/SERVICE</v>
          </cell>
        </row>
        <row r="3942">
          <cell r="A3942">
            <v>9080705</v>
          </cell>
          <cell r="B3942">
            <v>341474</v>
          </cell>
          <cell r="C3942" t="str">
            <v>EQUIPMENT MAINTENANCE/SERVICE</v>
          </cell>
        </row>
        <row r="3943">
          <cell r="A3943">
            <v>9080707</v>
          </cell>
          <cell r="B3943">
            <v>341474</v>
          </cell>
          <cell r="C3943" t="str">
            <v>EQUIPMENT MAINTENANCE/SERVICE</v>
          </cell>
        </row>
        <row r="3944">
          <cell r="A3944">
            <v>9080710</v>
          </cell>
          <cell r="B3944">
            <v>341474</v>
          </cell>
          <cell r="C3944" t="str">
            <v>EQUIPMENT MAINTENANCE/SERVICE</v>
          </cell>
        </row>
        <row r="3945">
          <cell r="A3945">
            <v>9090999</v>
          </cell>
          <cell r="B3945">
            <v>341474</v>
          </cell>
          <cell r="C3945" t="str">
            <v>EQUIPMENT MAINTENANCE/SERVICE</v>
          </cell>
        </row>
        <row r="3946">
          <cell r="A3946">
            <v>9100999</v>
          </cell>
          <cell r="B3946">
            <v>341474</v>
          </cell>
          <cell r="C3946" t="str">
            <v>EQUIPMENT MAINTENANCE/SERVICE</v>
          </cell>
        </row>
        <row r="3947">
          <cell r="A3947">
            <v>9110700</v>
          </cell>
          <cell r="B3947">
            <v>341474</v>
          </cell>
          <cell r="C3947" t="str">
            <v>EQUIPMENT MAINTENANCE/SERVICE</v>
          </cell>
        </row>
        <row r="3948">
          <cell r="A3948">
            <v>9110702</v>
          </cell>
          <cell r="B3948">
            <v>341474</v>
          </cell>
          <cell r="C3948" t="str">
            <v>EQUIPMENT MAINTENANCE/SERVICE</v>
          </cell>
        </row>
        <row r="3949">
          <cell r="A3949">
            <v>9110705</v>
          </cell>
          <cell r="B3949">
            <v>341474</v>
          </cell>
          <cell r="C3949" t="str">
            <v>EQUIPMENT MAINTENANCE/SERVICE</v>
          </cell>
        </row>
        <row r="3950">
          <cell r="A3950">
            <v>9110707</v>
          </cell>
          <cell r="B3950">
            <v>341474</v>
          </cell>
          <cell r="C3950" t="str">
            <v>EQUIPMENT MAINTENANCE/SERVICE</v>
          </cell>
        </row>
        <row r="3951">
          <cell r="A3951">
            <v>9680700</v>
          </cell>
          <cell r="B3951">
            <v>341474</v>
          </cell>
          <cell r="C3951" t="str">
            <v>EQUIPMENT MAINTENANCE/SERVICE</v>
          </cell>
        </row>
        <row r="3952">
          <cell r="A3952">
            <v>9680701</v>
          </cell>
          <cell r="B3952">
            <v>341474</v>
          </cell>
          <cell r="C3952" t="str">
            <v>EQUIPMENT MAINTENANCE/SERVICE</v>
          </cell>
        </row>
        <row r="3953">
          <cell r="A3953">
            <v>9680702</v>
          </cell>
          <cell r="B3953">
            <v>341474</v>
          </cell>
          <cell r="C3953" t="str">
            <v>EQUIPMENT MAINTENANCE/SERVICE</v>
          </cell>
        </row>
        <row r="3954">
          <cell r="A3954">
            <v>9680705</v>
          </cell>
          <cell r="B3954">
            <v>341474</v>
          </cell>
          <cell r="C3954" t="str">
            <v>EQUIPMENT MAINTENANCE/SERVICE</v>
          </cell>
        </row>
        <row r="3955">
          <cell r="A3955">
            <v>9680707</v>
          </cell>
          <cell r="B3955">
            <v>341474</v>
          </cell>
          <cell r="C3955" t="str">
            <v>EQUIPMENT MAINTENANCE/SERVICE</v>
          </cell>
        </row>
        <row r="3956">
          <cell r="A3956">
            <v>9680710</v>
          </cell>
          <cell r="B3956">
            <v>341474</v>
          </cell>
          <cell r="C3956" t="str">
            <v>EQUIPMENT MAINTENANCE/SERVICE</v>
          </cell>
        </row>
        <row r="3957">
          <cell r="A3957">
            <v>9680712</v>
          </cell>
          <cell r="B3957">
            <v>341474</v>
          </cell>
          <cell r="C3957" t="str">
            <v>EQUIPMENT MAINTENANCE/SERVICE</v>
          </cell>
        </row>
        <row r="3958">
          <cell r="A3958">
            <v>9680714</v>
          </cell>
          <cell r="B3958">
            <v>341474</v>
          </cell>
          <cell r="C3958" t="str">
            <v>EQUIPMENT MAINTENANCE/SERVICE</v>
          </cell>
        </row>
        <row r="3959">
          <cell r="A3959">
            <v>9680734</v>
          </cell>
          <cell r="B3959">
            <v>341474</v>
          </cell>
          <cell r="C3959" t="str">
            <v>EQUIPMENT MAINTENANCE/SERVICE</v>
          </cell>
        </row>
        <row r="3960">
          <cell r="A3960">
            <v>9680748</v>
          </cell>
          <cell r="B3960">
            <v>341474</v>
          </cell>
          <cell r="C3960" t="str">
            <v>EQUIPMENT MAINTENANCE/SERVICE</v>
          </cell>
        </row>
        <row r="3961">
          <cell r="A3961">
            <v>9680749</v>
          </cell>
          <cell r="B3961">
            <v>341474</v>
          </cell>
          <cell r="C3961" t="str">
            <v>EQUIPMENT MAINTENANCE/SERVICE</v>
          </cell>
        </row>
        <row r="3962">
          <cell r="A3962">
            <v>9680894</v>
          </cell>
          <cell r="B3962">
            <v>341474</v>
          </cell>
          <cell r="C3962" t="str">
            <v>EQUIPMENT MAINTENANCE/SERVICE</v>
          </cell>
        </row>
        <row r="3963">
          <cell r="A3963">
            <v>9680999</v>
          </cell>
          <cell r="B3963">
            <v>341474</v>
          </cell>
          <cell r="C3963" t="str">
            <v>EQUIPMENT MAINTENANCE/SERVICE</v>
          </cell>
        </row>
        <row r="3964">
          <cell r="A3964">
            <v>9681700</v>
          </cell>
          <cell r="B3964">
            <v>341474</v>
          </cell>
          <cell r="C3964" t="str">
            <v>EQUIPMENT MAINTENANCE/SERVICE</v>
          </cell>
        </row>
        <row r="3965">
          <cell r="A3965">
            <v>9681701</v>
          </cell>
          <cell r="B3965">
            <v>341474</v>
          </cell>
          <cell r="C3965" t="str">
            <v>EQUIPMENT MAINTENANCE/SERVICE</v>
          </cell>
        </row>
        <row r="3966">
          <cell r="A3966">
            <v>9681702</v>
          </cell>
          <cell r="B3966">
            <v>341474</v>
          </cell>
          <cell r="C3966" t="str">
            <v>EQUIPMENT MAINTENANCE/SERVICE</v>
          </cell>
        </row>
        <row r="3967">
          <cell r="A3967">
            <v>9681705</v>
          </cell>
          <cell r="B3967">
            <v>341474</v>
          </cell>
          <cell r="C3967" t="str">
            <v>EQUIPMENT MAINTENANCE/SERVICE</v>
          </cell>
        </row>
        <row r="3968">
          <cell r="A3968">
            <v>9681706</v>
          </cell>
          <cell r="B3968">
            <v>341474</v>
          </cell>
          <cell r="C3968" t="str">
            <v>EQUIPMENT MAINTENANCE/SERVICE</v>
          </cell>
        </row>
        <row r="3969">
          <cell r="A3969">
            <v>9681707</v>
          </cell>
          <cell r="B3969">
            <v>341474</v>
          </cell>
          <cell r="C3969" t="str">
            <v>EQUIPMENT MAINTENANCE/SERVICE</v>
          </cell>
        </row>
        <row r="3970">
          <cell r="A3970">
            <v>9681710</v>
          </cell>
          <cell r="B3970">
            <v>341474</v>
          </cell>
          <cell r="C3970" t="str">
            <v>EQUIPMENT MAINTENANCE/SERVICE</v>
          </cell>
        </row>
        <row r="3971">
          <cell r="A3971">
            <v>9681712</v>
          </cell>
          <cell r="B3971">
            <v>341474</v>
          </cell>
          <cell r="C3971" t="str">
            <v>EQUIPMENT MAINTENANCE/SERVICE</v>
          </cell>
        </row>
        <row r="3972">
          <cell r="A3972">
            <v>9681727</v>
          </cell>
          <cell r="B3972">
            <v>341474</v>
          </cell>
          <cell r="C3972" t="str">
            <v>EQUIPMENT MAINTENANCE/SERVICE</v>
          </cell>
        </row>
        <row r="3973">
          <cell r="A3973">
            <v>9681734</v>
          </cell>
          <cell r="B3973">
            <v>341474</v>
          </cell>
          <cell r="C3973" t="str">
            <v>EQUIPMENT MAINTENANCE/SERVICE</v>
          </cell>
        </row>
        <row r="3974">
          <cell r="A3974">
            <v>9681748</v>
          </cell>
          <cell r="B3974">
            <v>341474</v>
          </cell>
          <cell r="C3974" t="str">
            <v>EQUIPMENT MAINTENANCE/SERVICE</v>
          </cell>
        </row>
        <row r="3975">
          <cell r="A3975">
            <v>9681749</v>
          </cell>
          <cell r="B3975">
            <v>341474</v>
          </cell>
          <cell r="C3975" t="str">
            <v>EQUIPMENT MAINTENANCE/SERVICE</v>
          </cell>
        </row>
        <row r="3976">
          <cell r="A3976">
            <v>9681894</v>
          </cell>
          <cell r="B3976">
            <v>341474</v>
          </cell>
          <cell r="C3976" t="str">
            <v>EQUIPMENT MAINTENANCE/SERVICE</v>
          </cell>
        </row>
        <row r="3977">
          <cell r="A3977">
            <v>9681999</v>
          </cell>
          <cell r="B3977">
            <v>341474</v>
          </cell>
          <cell r="C3977" t="str">
            <v>EQUIPMENT MAINTENANCE/SERVICE</v>
          </cell>
        </row>
        <row r="3978">
          <cell r="A3978">
            <v>9682715</v>
          </cell>
          <cell r="B3978">
            <v>341474</v>
          </cell>
          <cell r="C3978" t="str">
            <v>EQUIPMENT MAINTENANCE/SERVICE</v>
          </cell>
        </row>
        <row r="3979">
          <cell r="A3979">
            <v>9682722</v>
          </cell>
          <cell r="B3979">
            <v>341474</v>
          </cell>
          <cell r="C3979" t="str">
            <v>EQUIPMENT MAINTENANCE/SERVICE</v>
          </cell>
        </row>
        <row r="3980">
          <cell r="A3980">
            <v>9682999</v>
          </cell>
          <cell r="B3980">
            <v>341474</v>
          </cell>
          <cell r="C3980" t="str">
            <v>EQUIPMENT MAINTENANCE/SERVICE</v>
          </cell>
        </row>
        <row r="3981">
          <cell r="A3981">
            <v>9683999</v>
          </cell>
          <cell r="B3981">
            <v>341474</v>
          </cell>
          <cell r="C3981" t="str">
            <v>EQUIPMENT MAINTENANCE/SERVICE</v>
          </cell>
        </row>
        <row r="3982">
          <cell r="A3982">
            <v>9684999</v>
          </cell>
          <cell r="B3982">
            <v>341474</v>
          </cell>
          <cell r="C3982" t="str">
            <v>EQUIPMENT MAINTENANCE/SERVICE</v>
          </cell>
        </row>
        <row r="3983">
          <cell r="A3983">
            <v>9689692</v>
          </cell>
          <cell r="B3983">
            <v>341474</v>
          </cell>
          <cell r="C3983" t="str">
            <v>EQUIPMENT MAINTENANCE/SERVICE</v>
          </cell>
        </row>
        <row r="3984">
          <cell r="A3984">
            <v>9689747</v>
          </cell>
          <cell r="B3984">
            <v>341474</v>
          </cell>
          <cell r="C3984" t="str">
            <v>EQUIPMENT MAINTENANCE/SERVICE</v>
          </cell>
        </row>
        <row r="3985">
          <cell r="A3985">
            <v>9689883</v>
          </cell>
          <cell r="B3985">
            <v>341474</v>
          </cell>
          <cell r="C3985" t="str">
            <v>EQUIPMENT MAINTENANCE/SERVICE</v>
          </cell>
        </row>
        <row r="3986">
          <cell r="A3986">
            <v>9689890</v>
          </cell>
          <cell r="B3986">
            <v>341474</v>
          </cell>
          <cell r="C3986" t="str">
            <v>EQUIPMENT MAINTENANCE/SERVICE</v>
          </cell>
        </row>
        <row r="3987">
          <cell r="A3987">
            <v>9689906</v>
          </cell>
          <cell r="B3987">
            <v>341474</v>
          </cell>
          <cell r="C3987" t="str">
            <v>EQUIPMENT MAINTENANCE/SERVICE</v>
          </cell>
        </row>
        <row r="3988">
          <cell r="A3988">
            <v>9689925</v>
          </cell>
          <cell r="B3988">
            <v>341474</v>
          </cell>
          <cell r="C3988" t="str">
            <v>EQUIPMENT MAINTENANCE/SERVICE</v>
          </cell>
        </row>
        <row r="3989">
          <cell r="A3989">
            <v>9689990</v>
          </cell>
          <cell r="B3989">
            <v>341474</v>
          </cell>
          <cell r="C3989" t="str">
            <v>EQUIPMENT MAINTENANCE/SERVICE</v>
          </cell>
        </row>
        <row r="3990">
          <cell r="A3990">
            <v>9689991</v>
          </cell>
          <cell r="B3990">
            <v>341474</v>
          </cell>
          <cell r="C3990" t="str">
            <v>EQUIPMENT MAINTENANCE/SERVICE</v>
          </cell>
        </row>
        <row r="3991">
          <cell r="A3991">
            <v>9689992</v>
          </cell>
          <cell r="B3991">
            <v>341474</v>
          </cell>
          <cell r="C3991" t="str">
            <v>EQUIPMENT MAINTENANCE/SERVICE</v>
          </cell>
        </row>
        <row r="3992">
          <cell r="A3992">
            <v>9720703</v>
          </cell>
          <cell r="B3992">
            <v>341474</v>
          </cell>
          <cell r="C3992" t="str">
            <v>EQUIPMENT MAINTENANCE/SERVICE</v>
          </cell>
        </row>
        <row r="3993">
          <cell r="A3993">
            <v>9724718</v>
          </cell>
          <cell r="B3993">
            <v>341474</v>
          </cell>
          <cell r="C3993" t="str">
            <v>EQUIPMENT MAINTENANCE/SERVICE</v>
          </cell>
        </row>
        <row r="3994">
          <cell r="A3994">
            <v>9724721</v>
          </cell>
          <cell r="B3994">
            <v>341474</v>
          </cell>
          <cell r="C3994" t="str">
            <v>EQUIPMENT MAINTENANCE/SERVICE</v>
          </cell>
        </row>
        <row r="3995">
          <cell r="A3995">
            <v>9724724</v>
          </cell>
          <cell r="B3995">
            <v>341474</v>
          </cell>
          <cell r="C3995" t="str">
            <v>EQUIPMENT MAINTENANCE/SERVICE</v>
          </cell>
        </row>
        <row r="3996">
          <cell r="A3996">
            <v>9725703</v>
          </cell>
          <cell r="B3996">
            <v>341474</v>
          </cell>
          <cell r="C3996" t="str">
            <v>EQUIPMENT MAINTENANCE/SERVICE</v>
          </cell>
        </row>
        <row r="3997">
          <cell r="A3997">
            <v>9725704</v>
          </cell>
          <cell r="B3997">
            <v>341474</v>
          </cell>
          <cell r="C3997" t="str">
            <v>EQUIPMENT MAINTENANCE/SERVICE</v>
          </cell>
        </row>
        <row r="3998">
          <cell r="A3998">
            <v>9725711</v>
          </cell>
          <cell r="B3998">
            <v>341474</v>
          </cell>
          <cell r="C3998" t="str">
            <v>EQUIPMENT MAINTENANCE/SERVICE</v>
          </cell>
        </row>
        <row r="3999">
          <cell r="A3999">
            <v>9725717</v>
          </cell>
          <cell r="B3999">
            <v>341474</v>
          </cell>
          <cell r="C3999" t="str">
            <v>EQUIPMENT MAINTENANCE/SERVICE</v>
          </cell>
        </row>
        <row r="4000">
          <cell r="A4000">
            <v>9725725</v>
          </cell>
          <cell r="B4000">
            <v>341474</v>
          </cell>
          <cell r="C4000" t="str">
            <v>EQUIPMENT MAINTENANCE/SERVICE</v>
          </cell>
        </row>
        <row r="4001">
          <cell r="A4001">
            <v>9090710</v>
          </cell>
          <cell r="B4001">
            <v>341578</v>
          </cell>
          <cell r="C4001" t="str">
            <v>VOICE TELECOMMUNICATION-SERVICE</v>
          </cell>
        </row>
        <row r="4002">
          <cell r="A4002">
            <v>9090999</v>
          </cell>
          <cell r="B4002">
            <v>341578</v>
          </cell>
          <cell r="C4002" t="str">
            <v>VOICE TELECOMMUNICATION-SERVICE</v>
          </cell>
        </row>
        <row r="4003">
          <cell r="A4003">
            <v>9100710</v>
          </cell>
          <cell r="B4003">
            <v>341578</v>
          </cell>
          <cell r="C4003" t="str">
            <v>VOICE TELECOMMUNICATION-SERVICE</v>
          </cell>
        </row>
        <row r="4004">
          <cell r="A4004">
            <v>9100999</v>
          </cell>
          <cell r="B4004">
            <v>341578</v>
          </cell>
          <cell r="C4004" t="str">
            <v>VOICE TELECOMMUNICATION-SERVICE</v>
          </cell>
        </row>
        <row r="4005">
          <cell r="A4005">
            <v>9080700</v>
          </cell>
          <cell r="B4005">
            <v>341674</v>
          </cell>
          <cell r="C4005" t="str">
            <v>DATA TELECOMMUNICATION-LINE ACCESS</v>
          </cell>
        </row>
        <row r="4006">
          <cell r="A4006">
            <v>9080701</v>
          </cell>
          <cell r="B4006">
            <v>341674</v>
          </cell>
          <cell r="C4006" t="str">
            <v>DATA TELECOMMUNICATION-LINE ACCESS</v>
          </cell>
        </row>
        <row r="4007">
          <cell r="A4007">
            <v>9080702</v>
          </cell>
          <cell r="B4007">
            <v>341674</v>
          </cell>
          <cell r="C4007" t="str">
            <v>DATA TELECOMMUNICATION-LINE ACCESS</v>
          </cell>
        </row>
        <row r="4008">
          <cell r="A4008">
            <v>9080705</v>
          </cell>
          <cell r="B4008">
            <v>341674</v>
          </cell>
          <cell r="C4008" t="str">
            <v>DATA TELECOMMUNICATION-LINE ACCESS</v>
          </cell>
        </row>
        <row r="4009">
          <cell r="A4009">
            <v>9080707</v>
          </cell>
          <cell r="B4009">
            <v>341674</v>
          </cell>
          <cell r="C4009" t="str">
            <v>DATA TELECOMMUNICATION-LINE ACCESS</v>
          </cell>
        </row>
        <row r="4010">
          <cell r="A4010">
            <v>9080710</v>
          </cell>
          <cell r="B4010">
            <v>341674</v>
          </cell>
          <cell r="C4010" t="str">
            <v>DATA TELECOMMUNICATION-LINE ACCESS</v>
          </cell>
        </row>
        <row r="4011">
          <cell r="A4011">
            <v>9090710</v>
          </cell>
          <cell r="B4011">
            <v>341674</v>
          </cell>
          <cell r="C4011" t="str">
            <v>DATA TELECOMMUNICATION-LINE ACCESS</v>
          </cell>
        </row>
        <row r="4012">
          <cell r="A4012">
            <v>9090999</v>
          </cell>
          <cell r="B4012">
            <v>341674</v>
          </cell>
          <cell r="C4012" t="str">
            <v>DATA TELECOMMUNICATION-LINE ACCESS</v>
          </cell>
        </row>
        <row r="4013">
          <cell r="A4013">
            <v>9100710</v>
          </cell>
          <cell r="B4013">
            <v>341674</v>
          </cell>
          <cell r="C4013" t="str">
            <v>DATA TELECOMMUNICATION-LINE ACCESS</v>
          </cell>
        </row>
        <row r="4014">
          <cell r="A4014">
            <v>9100999</v>
          </cell>
          <cell r="B4014">
            <v>341674</v>
          </cell>
          <cell r="C4014" t="str">
            <v>DATA TELECOMMUNICATION-LINE ACCESS</v>
          </cell>
        </row>
        <row r="4015">
          <cell r="A4015">
            <v>9110700</v>
          </cell>
          <cell r="B4015">
            <v>341674</v>
          </cell>
          <cell r="C4015" t="str">
            <v>DATA TELECOMMUNICATION-LINE ACCESS</v>
          </cell>
        </row>
        <row r="4016">
          <cell r="A4016">
            <v>9110702</v>
          </cell>
          <cell r="B4016">
            <v>341674</v>
          </cell>
          <cell r="C4016" t="str">
            <v>DATA TELECOMMUNICATION-LINE ACCESS</v>
          </cell>
        </row>
        <row r="4017">
          <cell r="A4017">
            <v>9110705</v>
          </cell>
          <cell r="B4017">
            <v>341674</v>
          </cell>
          <cell r="C4017" t="str">
            <v>DATA TELECOMMUNICATION-LINE ACCESS</v>
          </cell>
        </row>
        <row r="4018">
          <cell r="A4018">
            <v>9110707</v>
          </cell>
          <cell r="B4018">
            <v>341674</v>
          </cell>
          <cell r="C4018" t="str">
            <v>DATA TELECOMMUNICATION-LINE ACCESS</v>
          </cell>
        </row>
        <row r="4019">
          <cell r="A4019">
            <v>9680700</v>
          </cell>
          <cell r="B4019">
            <v>341674</v>
          </cell>
          <cell r="C4019" t="str">
            <v>DATA TELECOMMUNICATION-LINE ACCESS</v>
          </cell>
        </row>
        <row r="4020">
          <cell r="A4020">
            <v>9680701</v>
          </cell>
          <cell r="B4020">
            <v>341674</v>
          </cell>
          <cell r="C4020" t="str">
            <v>DATA TELECOMMUNICATION-LINE ACCESS</v>
          </cell>
        </row>
        <row r="4021">
          <cell r="A4021">
            <v>9680702</v>
          </cell>
          <cell r="B4021">
            <v>341674</v>
          </cell>
          <cell r="C4021" t="str">
            <v>DATA TELECOMMUNICATION-LINE ACCESS</v>
          </cell>
        </row>
        <row r="4022">
          <cell r="A4022">
            <v>9680705</v>
          </cell>
          <cell r="B4022">
            <v>341674</v>
          </cell>
          <cell r="C4022" t="str">
            <v>DATA TELECOMMUNICATION-LINE ACCESS</v>
          </cell>
        </row>
        <row r="4023">
          <cell r="A4023">
            <v>9680707</v>
          </cell>
          <cell r="B4023">
            <v>341674</v>
          </cell>
          <cell r="C4023" t="str">
            <v>DATA TELECOMMUNICATION-LINE ACCESS</v>
          </cell>
        </row>
        <row r="4024">
          <cell r="A4024">
            <v>9680710</v>
          </cell>
          <cell r="B4024">
            <v>341674</v>
          </cell>
          <cell r="C4024" t="str">
            <v>DATA TELECOMMUNICATION-LINE ACCESS</v>
          </cell>
        </row>
        <row r="4025">
          <cell r="A4025">
            <v>9680712</v>
          </cell>
          <cell r="B4025">
            <v>341674</v>
          </cell>
          <cell r="C4025" t="str">
            <v>DATA TELECOMMUNICATION-LINE ACCESS</v>
          </cell>
        </row>
        <row r="4026">
          <cell r="A4026">
            <v>9680714</v>
          </cell>
          <cell r="B4026">
            <v>341674</v>
          </cell>
          <cell r="C4026" t="str">
            <v>DATA TELECOMMUNICATION-LINE ACCESS</v>
          </cell>
        </row>
        <row r="4027">
          <cell r="A4027">
            <v>9680734</v>
          </cell>
          <cell r="B4027">
            <v>341674</v>
          </cell>
          <cell r="C4027" t="str">
            <v>DATA TELECOMMUNICATION-LINE ACCESS</v>
          </cell>
        </row>
        <row r="4028">
          <cell r="A4028">
            <v>9680748</v>
          </cell>
          <cell r="B4028">
            <v>341674</v>
          </cell>
          <cell r="C4028" t="str">
            <v>DATA TELECOMMUNICATION-LINE ACCESS</v>
          </cell>
        </row>
        <row r="4029">
          <cell r="A4029">
            <v>9680749</v>
          </cell>
          <cell r="B4029">
            <v>341674</v>
          </cell>
          <cell r="C4029" t="str">
            <v>DATA TELECOMMUNICATION-LINE ACCESS</v>
          </cell>
        </row>
        <row r="4030">
          <cell r="A4030">
            <v>9680894</v>
          </cell>
          <cell r="B4030">
            <v>341674</v>
          </cell>
          <cell r="C4030" t="str">
            <v>DATA TELECOMMUNICATION-LINE ACCESS</v>
          </cell>
        </row>
        <row r="4031">
          <cell r="A4031">
            <v>9680999</v>
          </cell>
          <cell r="B4031">
            <v>341674</v>
          </cell>
          <cell r="C4031" t="str">
            <v>DATA TELECOMMUNICATION-LINE ACCESS</v>
          </cell>
        </row>
        <row r="4032">
          <cell r="A4032">
            <v>9681700</v>
          </cell>
          <cell r="B4032">
            <v>341674</v>
          </cell>
          <cell r="C4032" t="str">
            <v>DATA TELECOMMUNICATION-LINE ACCESS</v>
          </cell>
        </row>
        <row r="4033">
          <cell r="A4033">
            <v>9681701</v>
          </cell>
          <cell r="B4033">
            <v>341674</v>
          </cell>
          <cell r="C4033" t="str">
            <v>DATA TELECOMMUNICATION-LINE ACCESS</v>
          </cell>
        </row>
        <row r="4034">
          <cell r="A4034">
            <v>9681702</v>
          </cell>
          <cell r="B4034">
            <v>341674</v>
          </cell>
          <cell r="C4034" t="str">
            <v>DATA TELECOMMUNICATION-LINE ACCESS</v>
          </cell>
        </row>
        <row r="4035">
          <cell r="A4035">
            <v>9681705</v>
          </cell>
          <cell r="B4035">
            <v>341674</v>
          </cell>
          <cell r="C4035" t="str">
            <v>DATA TELECOMMUNICATION-LINE ACCESS</v>
          </cell>
        </row>
        <row r="4036">
          <cell r="A4036">
            <v>9681706</v>
          </cell>
          <cell r="B4036">
            <v>341674</v>
          </cell>
          <cell r="C4036" t="str">
            <v>DATA TELECOMMUNICATION-LINE ACCESS</v>
          </cell>
        </row>
        <row r="4037">
          <cell r="A4037">
            <v>9681707</v>
          </cell>
          <cell r="B4037">
            <v>341674</v>
          </cell>
          <cell r="C4037" t="str">
            <v>DATA TELECOMMUNICATION-LINE ACCESS</v>
          </cell>
        </row>
        <row r="4038">
          <cell r="A4038">
            <v>9681710</v>
          </cell>
          <cell r="B4038">
            <v>341674</v>
          </cell>
          <cell r="C4038" t="str">
            <v>DATA TELECOMMUNICATION-LINE ACCESS</v>
          </cell>
        </row>
        <row r="4039">
          <cell r="A4039">
            <v>9681712</v>
          </cell>
          <cell r="B4039">
            <v>341674</v>
          </cell>
          <cell r="C4039" t="str">
            <v>DATA TELECOMMUNICATION-LINE ACCESS</v>
          </cell>
        </row>
        <row r="4040">
          <cell r="A4040">
            <v>9681727</v>
          </cell>
          <cell r="B4040">
            <v>341674</v>
          </cell>
          <cell r="C4040" t="str">
            <v>DATA TELECOMMUNICATION-LINE ACCESS</v>
          </cell>
        </row>
        <row r="4041">
          <cell r="A4041">
            <v>9681734</v>
          </cell>
          <cell r="B4041">
            <v>341674</v>
          </cell>
          <cell r="C4041" t="str">
            <v>DATA TELECOMMUNICATION-LINE ACCESS</v>
          </cell>
        </row>
        <row r="4042">
          <cell r="A4042">
            <v>9681748</v>
          </cell>
          <cell r="B4042">
            <v>341674</v>
          </cell>
          <cell r="C4042" t="str">
            <v>DATA TELECOMMUNICATION-LINE ACCESS</v>
          </cell>
        </row>
        <row r="4043">
          <cell r="A4043">
            <v>9681749</v>
          </cell>
          <cell r="B4043">
            <v>341674</v>
          </cell>
          <cell r="C4043" t="str">
            <v>DATA TELECOMMUNICATION-LINE ACCESS</v>
          </cell>
        </row>
        <row r="4044">
          <cell r="A4044">
            <v>9681894</v>
          </cell>
          <cell r="B4044">
            <v>341674</v>
          </cell>
          <cell r="C4044" t="str">
            <v>DATA TELECOMMUNICATION-LINE ACCESS</v>
          </cell>
        </row>
        <row r="4045">
          <cell r="A4045">
            <v>9681999</v>
          </cell>
          <cell r="B4045">
            <v>341674</v>
          </cell>
          <cell r="C4045" t="str">
            <v>DATA TELECOMMUNICATION-LINE ACCESS</v>
          </cell>
        </row>
        <row r="4046">
          <cell r="A4046">
            <v>9682715</v>
          </cell>
          <cell r="B4046">
            <v>341674</v>
          </cell>
          <cell r="C4046" t="str">
            <v>DATA TELECOMMUNICATION-LINE ACCESS</v>
          </cell>
        </row>
        <row r="4047">
          <cell r="A4047">
            <v>9682722</v>
          </cell>
          <cell r="B4047">
            <v>341674</v>
          </cell>
          <cell r="C4047" t="str">
            <v>DATA TELECOMMUNICATION-LINE ACCESS</v>
          </cell>
        </row>
        <row r="4048">
          <cell r="A4048">
            <v>9682999</v>
          </cell>
          <cell r="B4048">
            <v>341674</v>
          </cell>
          <cell r="C4048" t="str">
            <v>DATA TELECOMMUNICATION-LINE ACCESS</v>
          </cell>
        </row>
        <row r="4049">
          <cell r="A4049">
            <v>9683999</v>
          </cell>
          <cell r="B4049">
            <v>341674</v>
          </cell>
          <cell r="C4049" t="str">
            <v>DATA TELECOMMUNICATION-LINE ACCESS</v>
          </cell>
        </row>
        <row r="4050">
          <cell r="A4050">
            <v>9684999</v>
          </cell>
          <cell r="B4050">
            <v>341674</v>
          </cell>
          <cell r="C4050" t="str">
            <v>DATA TELECOMMUNICATION-LINE ACCESS</v>
          </cell>
        </row>
        <row r="4051">
          <cell r="A4051">
            <v>9689692</v>
          </cell>
          <cell r="B4051">
            <v>341674</v>
          </cell>
          <cell r="C4051" t="str">
            <v>DATA TELECOMMUNICATION-LINE ACCESS</v>
          </cell>
        </row>
        <row r="4052">
          <cell r="A4052">
            <v>9689747</v>
          </cell>
          <cell r="B4052">
            <v>341674</v>
          </cell>
          <cell r="C4052" t="str">
            <v>DATA TELECOMMUNICATION-LINE ACCESS</v>
          </cell>
        </row>
        <row r="4053">
          <cell r="A4053">
            <v>9689883</v>
          </cell>
          <cell r="B4053">
            <v>341674</v>
          </cell>
          <cell r="C4053" t="str">
            <v>DATA TELECOMMUNICATION-LINE ACCESS</v>
          </cell>
        </row>
        <row r="4054">
          <cell r="A4054">
            <v>9689890</v>
          </cell>
          <cell r="B4054">
            <v>341674</v>
          </cell>
          <cell r="C4054" t="str">
            <v>DATA TELECOMMUNICATION-LINE ACCESS</v>
          </cell>
        </row>
        <row r="4055">
          <cell r="A4055">
            <v>9689906</v>
          </cell>
          <cell r="B4055">
            <v>341674</v>
          </cell>
          <cell r="C4055" t="str">
            <v>DATA TELECOMMUNICATION-LINE ACCESS</v>
          </cell>
        </row>
        <row r="4056">
          <cell r="A4056">
            <v>9689925</v>
          </cell>
          <cell r="B4056">
            <v>341674</v>
          </cell>
          <cell r="C4056" t="str">
            <v>DATA TELECOMMUNICATION-LINE ACCESS</v>
          </cell>
        </row>
        <row r="4057">
          <cell r="A4057">
            <v>9689990</v>
          </cell>
          <cell r="B4057">
            <v>341674</v>
          </cell>
          <cell r="C4057" t="str">
            <v>DATA TELECOMMUNICATION-LINE ACCESS</v>
          </cell>
        </row>
        <row r="4058">
          <cell r="A4058">
            <v>9689991</v>
          </cell>
          <cell r="B4058">
            <v>341674</v>
          </cell>
          <cell r="C4058" t="str">
            <v>DATA TELECOMMUNICATION-LINE ACCESS</v>
          </cell>
        </row>
        <row r="4059">
          <cell r="A4059">
            <v>9689992</v>
          </cell>
          <cell r="B4059">
            <v>341674</v>
          </cell>
          <cell r="C4059" t="str">
            <v>DATA TELECOMMUNICATION-LINE ACCESS</v>
          </cell>
        </row>
        <row r="4060">
          <cell r="A4060">
            <v>9080700</v>
          </cell>
          <cell r="B4060">
            <v>341676</v>
          </cell>
          <cell r="C4060" t="str">
            <v>DATA TELECOMMUNICATIONS-USAGE</v>
          </cell>
        </row>
        <row r="4061">
          <cell r="A4061">
            <v>9080701</v>
          </cell>
          <cell r="B4061">
            <v>341676</v>
          </cell>
          <cell r="C4061" t="str">
            <v>DATA TELECOMMUNICATIONS-USAGE</v>
          </cell>
        </row>
        <row r="4062">
          <cell r="A4062">
            <v>9080702</v>
          </cell>
          <cell r="B4062">
            <v>341676</v>
          </cell>
          <cell r="C4062" t="str">
            <v>DATA TELECOMMUNICATIONS-USAGE</v>
          </cell>
        </row>
        <row r="4063">
          <cell r="A4063">
            <v>9080705</v>
          </cell>
          <cell r="B4063">
            <v>341676</v>
          </cell>
          <cell r="C4063" t="str">
            <v>DATA TELECOMMUNICATIONS-USAGE</v>
          </cell>
        </row>
        <row r="4064">
          <cell r="A4064">
            <v>9080707</v>
          </cell>
          <cell r="B4064">
            <v>341676</v>
          </cell>
          <cell r="C4064" t="str">
            <v>DATA TELECOMMUNICATIONS-USAGE</v>
          </cell>
        </row>
        <row r="4065">
          <cell r="A4065">
            <v>9080710</v>
          </cell>
          <cell r="B4065">
            <v>341676</v>
          </cell>
          <cell r="C4065" t="str">
            <v>DATA TELECOMMUNICATIONS-USAGE</v>
          </cell>
        </row>
        <row r="4066">
          <cell r="A4066">
            <v>9080999</v>
          </cell>
          <cell r="B4066">
            <v>341676</v>
          </cell>
          <cell r="C4066" t="str">
            <v>DATA TELECOMMUNICATIONS-USAGE</v>
          </cell>
        </row>
        <row r="4067">
          <cell r="A4067">
            <v>9090999</v>
          </cell>
          <cell r="B4067">
            <v>341676</v>
          </cell>
          <cell r="C4067" t="str">
            <v>DATA TELECOMMUNICATIONS-USAGE</v>
          </cell>
        </row>
        <row r="4068">
          <cell r="A4068">
            <v>9100710</v>
          </cell>
          <cell r="B4068">
            <v>341676</v>
          </cell>
          <cell r="C4068" t="str">
            <v>DATA TELECOMMUNICATIONS-USAGE</v>
          </cell>
        </row>
        <row r="4069">
          <cell r="A4069">
            <v>9100999</v>
          </cell>
          <cell r="B4069">
            <v>341676</v>
          </cell>
          <cell r="C4069" t="str">
            <v>DATA TELECOMMUNICATIONS-USAGE</v>
          </cell>
        </row>
        <row r="4070">
          <cell r="A4070">
            <v>9110700</v>
          </cell>
          <cell r="B4070">
            <v>341676</v>
          </cell>
          <cell r="C4070" t="str">
            <v>DATA TELECOMMUNICATIONS-USAGE</v>
          </cell>
        </row>
        <row r="4071">
          <cell r="A4071">
            <v>9110702</v>
          </cell>
          <cell r="B4071">
            <v>341676</v>
          </cell>
          <cell r="C4071" t="str">
            <v>DATA TELECOMMUNICATIONS-USAGE</v>
          </cell>
        </row>
        <row r="4072">
          <cell r="A4072">
            <v>9110705</v>
          </cell>
          <cell r="B4072">
            <v>341676</v>
          </cell>
          <cell r="C4072" t="str">
            <v>DATA TELECOMMUNICATIONS-USAGE</v>
          </cell>
        </row>
        <row r="4073">
          <cell r="A4073">
            <v>9110707</v>
          </cell>
          <cell r="B4073">
            <v>341676</v>
          </cell>
          <cell r="C4073" t="str">
            <v>DATA TELECOMMUNICATIONS-USAGE</v>
          </cell>
        </row>
        <row r="4074">
          <cell r="A4074">
            <v>9110999</v>
          </cell>
          <cell r="B4074">
            <v>341676</v>
          </cell>
          <cell r="C4074" t="str">
            <v>DATA TELECOMMUNICATIONS-USAGE</v>
          </cell>
        </row>
        <row r="4075">
          <cell r="A4075">
            <v>9680700</v>
          </cell>
          <cell r="B4075">
            <v>341676</v>
          </cell>
          <cell r="C4075" t="str">
            <v>DATA TELECOMMUNICATIONS-USAGE</v>
          </cell>
        </row>
        <row r="4076">
          <cell r="A4076">
            <v>9680701</v>
          </cell>
          <cell r="B4076">
            <v>341676</v>
          </cell>
          <cell r="C4076" t="str">
            <v>DATA TELECOMMUNICATIONS-USAGE</v>
          </cell>
        </row>
        <row r="4077">
          <cell r="A4077">
            <v>9680702</v>
          </cell>
          <cell r="B4077">
            <v>341676</v>
          </cell>
          <cell r="C4077" t="str">
            <v>DATA TELECOMMUNICATIONS-USAGE</v>
          </cell>
        </row>
        <row r="4078">
          <cell r="A4078">
            <v>9680705</v>
          </cell>
          <cell r="B4078">
            <v>341676</v>
          </cell>
          <cell r="C4078" t="str">
            <v>DATA TELECOMMUNICATIONS-USAGE</v>
          </cell>
        </row>
        <row r="4079">
          <cell r="A4079">
            <v>9680707</v>
          </cell>
          <cell r="B4079">
            <v>341676</v>
          </cell>
          <cell r="C4079" t="str">
            <v>DATA TELECOMMUNICATIONS-USAGE</v>
          </cell>
        </row>
        <row r="4080">
          <cell r="A4080">
            <v>9680710</v>
          </cell>
          <cell r="B4080">
            <v>341676</v>
          </cell>
          <cell r="C4080" t="str">
            <v>DATA TELECOMMUNICATIONS-USAGE</v>
          </cell>
        </row>
        <row r="4081">
          <cell r="A4081">
            <v>9680712</v>
          </cell>
          <cell r="B4081">
            <v>341676</v>
          </cell>
          <cell r="C4081" t="str">
            <v>DATA TELECOMMUNICATIONS-USAGE</v>
          </cell>
        </row>
        <row r="4082">
          <cell r="A4082">
            <v>9680714</v>
          </cell>
          <cell r="B4082">
            <v>341676</v>
          </cell>
          <cell r="C4082" t="str">
            <v>DATA TELECOMMUNICATIONS-USAGE</v>
          </cell>
        </row>
        <row r="4083">
          <cell r="A4083">
            <v>9680734</v>
          </cell>
          <cell r="B4083">
            <v>341676</v>
          </cell>
          <cell r="C4083" t="str">
            <v>DATA TELECOMMUNICATIONS-USAGE</v>
          </cell>
        </row>
        <row r="4084">
          <cell r="A4084">
            <v>9680748</v>
          </cell>
          <cell r="B4084">
            <v>341676</v>
          </cell>
          <cell r="C4084" t="str">
            <v>DATA TELECOMMUNICATIONS-USAGE</v>
          </cell>
        </row>
        <row r="4085">
          <cell r="A4085">
            <v>9680749</v>
          </cell>
          <cell r="B4085">
            <v>341676</v>
          </cell>
          <cell r="C4085" t="str">
            <v>DATA TELECOMMUNICATIONS-USAGE</v>
          </cell>
        </row>
        <row r="4086">
          <cell r="A4086">
            <v>9680894</v>
          </cell>
          <cell r="B4086">
            <v>341676</v>
          </cell>
          <cell r="C4086" t="str">
            <v>DATA TELECOMMUNICATIONS-USAGE</v>
          </cell>
        </row>
        <row r="4087">
          <cell r="A4087">
            <v>9680999</v>
          </cell>
          <cell r="B4087">
            <v>341676</v>
          </cell>
          <cell r="C4087" t="str">
            <v>DATA TELECOMMUNICATIONS-USAGE</v>
          </cell>
        </row>
        <row r="4088">
          <cell r="A4088">
            <v>9681700</v>
          </cell>
          <cell r="B4088">
            <v>341676</v>
          </cell>
          <cell r="C4088" t="str">
            <v>DATA TELECOMMUNICATIONS-USAGE</v>
          </cell>
        </row>
        <row r="4089">
          <cell r="A4089">
            <v>9681701</v>
          </cell>
          <cell r="B4089">
            <v>341676</v>
          </cell>
          <cell r="C4089" t="str">
            <v>DATA TELECOMMUNICATIONS-USAGE</v>
          </cell>
        </row>
        <row r="4090">
          <cell r="A4090">
            <v>9681702</v>
          </cell>
          <cell r="B4090">
            <v>341676</v>
          </cell>
          <cell r="C4090" t="str">
            <v>DATA TELECOMMUNICATIONS-USAGE</v>
          </cell>
        </row>
        <row r="4091">
          <cell r="A4091">
            <v>9681705</v>
          </cell>
          <cell r="B4091">
            <v>341676</v>
          </cell>
          <cell r="C4091" t="str">
            <v>DATA TELECOMMUNICATIONS-USAGE</v>
          </cell>
        </row>
        <row r="4092">
          <cell r="A4092">
            <v>9681706</v>
          </cell>
          <cell r="B4092">
            <v>341676</v>
          </cell>
          <cell r="C4092" t="str">
            <v>DATA TELECOMMUNICATIONS-USAGE</v>
          </cell>
        </row>
        <row r="4093">
          <cell r="A4093">
            <v>9681707</v>
          </cell>
          <cell r="B4093">
            <v>341676</v>
          </cell>
          <cell r="C4093" t="str">
            <v>DATA TELECOMMUNICATIONS-USAGE</v>
          </cell>
        </row>
        <row r="4094">
          <cell r="A4094">
            <v>9681710</v>
          </cell>
          <cell r="B4094">
            <v>341676</v>
          </cell>
          <cell r="C4094" t="str">
            <v>DATA TELECOMMUNICATIONS-USAGE</v>
          </cell>
        </row>
        <row r="4095">
          <cell r="A4095">
            <v>9681712</v>
          </cell>
          <cell r="B4095">
            <v>341676</v>
          </cell>
          <cell r="C4095" t="str">
            <v>DATA TELECOMMUNICATIONS-USAGE</v>
          </cell>
        </row>
        <row r="4096">
          <cell r="A4096">
            <v>9681727</v>
          </cell>
          <cell r="B4096">
            <v>341676</v>
          </cell>
          <cell r="C4096" t="str">
            <v>DATA TELECOMMUNICATIONS-USAGE</v>
          </cell>
        </row>
        <row r="4097">
          <cell r="A4097">
            <v>9681734</v>
          </cell>
          <cell r="B4097">
            <v>341676</v>
          </cell>
          <cell r="C4097" t="str">
            <v>DATA TELECOMMUNICATIONS-USAGE</v>
          </cell>
        </row>
        <row r="4098">
          <cell r="A4098">
            <v>9681748</v>
          </cell>
          <cell r="B4098">
            <v>341676</v>
          </cell>
          <cell r="C4098" t="str">
            <v>DATA TELECOMMUNICATIONS-USAGE</v>
          </cell>
        </row>
        <row r="4099">
          <cell r="A4099">
            <v>9681749</v>
          </cell>
          <cell r="B4099">
            <v>341676</v>
          </cell>
          <cell r="C4099" t="str">
            <v>DATA TELECOMMUNICATIONS-USAGE</v>
          </cell>
        </row>
        <row r="4100">
          <cell r="A4100">
            <v>9681894</v>
          </cell>
          <cell r="B4100">
            <v>341676</v>
          </cell>
          <cell r="C4100" t="str">
            <v>DATA TELECOMMUNICATIONS-USAGE</v>
          </cell>
        </row>
        <row r="4101">
          <cell r="A4101">
            <v>9681999</v>
          </cell>
          <cell r="B4101">
            <v>341676</v>
          </cell>
          <cell r="C4101" t="str">
            <v>DATA TELECOMMUNICATIONS-USAGE</v>
          </cell>
        </row>
        <row r="4102">
          <cell r="A4102">
            <v>9682715</v>
          </cell>
          <cell r="B4102">
            <v>341676</v>
          </cell>
          <cell r="C4102" t="str">
            <v>DATA TELECOMMUNICATIONS-USAGE</v>
          </cell>
        </row>
        <row r="4103">
          <cell r="A4103">
            <v>9682722</v>
          </cell>
          <cell r="B4103">
            <v>341676</v>
          </cell>
          <cell r="C4103" t="str">
            <v>DATA TELECOMMUNICATIONS-USAGE</v>
          </cell>
        </row>
        <row r="4104">
          <cell r="A4104">
            <v>9682999</v>
          </cell>
          <cell r="B4104">
            <v>341676</v>
          </cell>
          <cell r="C4104" t="str">
            <v>DATA TELECOMMUNICATIONS-USAGE</v>
          </cell>
        </row>
        <row r="4105">
          <cell r="A4105">
            <v>9683999</v>
          </cell>
          <cell r="B4105">
            <v>341676</v>
          </cell>
          <cell r="C4105" t="str">
            <v>DATA TELECOMMUNICATIONS-USAGE</v>
          </cell>
        </row>
        <row r="4106">
          <cell r="A4106">
            <v>9684999</v>
          </cell>
          <cell r="B4106">
            <v>341676</v>
          </cell>
          <cell r="C4106" t="str">
            <v>DATA TELECOMMUNICATIONS-USAGE</v>
          </cell>
        </row>
        <row r="4107">
          <cell r="A4107">
            <v>9689692</v>
          </cell>
          <cell r="B4107">
            <v>341676</v>
          </cell>
          <cell r="C4107" t="str">
            <v>DATA TELECOMMUNICATIONS-USAGE</v>
          </cell>
        </row>
        <row r="4108">
          <cell r="A4108">
            <v>9689747</v>
          </cell>
          <cell r="B4108">
            <v>341676</v>
          </cell>
          <cell r="C4108" t="str">
            <v>DATA TELECOMMUNICATIONS-USAGE</v>
          </cell>
        </row>
        <row r="4109">
          <cell r="A4109">
            <v>9689883</v>
          </cell>
          <cell r="B4109">
            <v>341676</v>
          </cell>
          <cell r="C4109" t="str">
            <v>DATA TELECOMMUNICATIONS-USAGE</v>
          </cell>
        </row>
        <row r="4110">
          <cell r="A4110">
            <v>9689890</v>
          </cell>
          <cell r="B4110">
            <v>341676</v>
          </cell>
          <cell r="C4110" t="str">
            <v>DATA TELECOMMUNICATIONS-USAGE</v>
          </cell>
        </row>
        <row r="4111">
          <cell r="A4111">
            <v>9689906</v>
          </cell>
          <cell r="B4111">
            <v>341676</v>
          </cell>
          <cell r="C4111" t="str">
            <v>DATA TELECOMMUNICATIONS-USAGE</v>
          </cell>
        </row>
        <row r="4112">
          <cell r="A4112">
            <v>9689925</v>
          </cell>
          <cell r="B4112">
            <v>341676</v>
          </cell>
          <cell r="C4112" t="str">
            <v>DATA TELECOMMUNICATIONS-USAGE</v>
          </cell>
        </row>
        <row r="4113">
          <cell r="A4113">
            <v>9689990</v>
          </cell>
          <cell r="B4113">
            <v>341676</v>
          </cell>
          <cell r="C4113" t="str">
            <v>DATA TELECOMMUNICATIONS-USAGE</v>
          </cell>
        </row>
        <row r="4114">
          <cell r="A4114">
            <v>9689991</v>
          </cell>
          <cell r="B4114">
            <v>341676</v>
          </cell>
          <cell r="C4114" t="str">
            <v>DATA TELECOMMUNICATIONS-USAGE</v>
          </cell>
        </row>
        <row r="4115">
          <cell r="A4115">
            <v>9689992</v>
          </cell>
          <cell r="B4115">
            <v>341676</v>
          </cell>
          <cell r="C4115" t="str">
            <v>DATA TELECOMMUNICATIONS-USAGE</v>
          </cell>
        </row>
        <row r="4116">
          <cell r="A4116">
            <v>9689993</v>
          </cell>
          <cell r="B4116">
            <v>341676</v>
          </cell>
          <cell r="C4116" t="str">
            <v>DATA TELECOMMUNICATIONS-USAGE</v>
          </cell>
        </row>
        <row r="4117">
          <cell r="A4117">
            <v>9689994</v>
          </cell>
          <cell r="B4117">
            <v>341676</v>
          </cell>
          <cell r="C4117" t="str">
            <v>DATA TELECOMMUNICATIONS-USAGE</v>
          </cell>
        </row>
        <row r="4118">
          <cell r="A4118">
            <v>9080700</v>
          </cell>
          <cell r="B4118">
            <v>341771</v>
          </cell>
          <cell r="C4118" t="str">
            <v>TELECOM SERVICE-AUDIO CONFERENCING</v>
          </cell>
        </row>
        <row r="4119">
          <cell r="A4119">
            <v>9080701</v>
          </cell>
          <cell r="B4119">
            <v>341771</v>
          </cell>
          <cell r="C4119" t="str">
            <v>TELECOM SERVICE-AUDIO CONFERENCING</v>
          </cell>
        </row>
        <row r="4120">
          <cell r="A4120">
            <v>9080702</v>
          </cell>
          <cell r="B4120">
            <v>341771</v>
          </cell>
          <cell r="C4120" t="str">
            <v>TELECOM SERVICE-AUDIO CONFERENCING</v>
          </cell>
        </row>
        <row r="4121">
          <cell r="A4121">
            <v>9080705</v>
          </cell>
          <cell r="B4121">
            <v>341771</v>
          </cell>
          <cell r="C4121" t="str">
            <v>TELECOM SERVICE-AUDIO CONFERENCING</v>
          </cell>
        </row>
        <row r="4122">
          <cell r="A4122">
            <v>9080707</v>
          </cell>
          <cell r="B4122">
            <v>341771</v>
          </cell>
          <cell r="C4122" t="str">
            <v>TELECOM SERVICE-AUDIO CONFERENCING</v>
          </cell>
        </row>
        <row r="4123">
          <cell r="A4123">
            <v>9080710</v>
          </cell>
          <cell r="B4123">
            <v>341771</v>
          </cell>
          <cell r="C4123" t="str">
            <v>TELECOM SERVICE-AUDIO CONFERENCING</v>
          </cell>
        </row>
        <row r="4124">
          <cell r="A4124">
            <v>9080999</v>
          </cell>
          <cell r="B4124">
            <v>341771</v>
          </cell>
          <cell r="C4124" t="str">
            <v>TELECOM SERVICE-AUDIO CONFERENCING</v>
          </cell>
        </row>
        <row r="4125">
          <cell r="A4125">
            <v>9090999</v>
          </cell>
          <cell r="B4125">
            <v>341771</v>
          </cell>
          <cell r="C4125" t="str">
            <v>TELECOM SERVICE-AUDIO CONFERENCING</v>
          </cell>
        </row>
        <row r="4126">
          <cell r="A4126">
            <v>9100999</v>
          </cell>
          <cell r="B4126">
            <v>341771</v>
          </cell>
          <cell r="C4126" t="str">
            <v>TELECOM SERVICE-AUDIO CONFERENCING</v>
          </cell>
        </row>
        <row r="4127">
          <cell r="A4127">
            <v>9110700</v>
          </cell>
          <cell r="B4127">
            <v>341771</v>
          </cell>
          <cell r="C4127" t="str">
            <v>TELECOM SERVICE-AUDIO CONFERENCING</v>
          </cell>
        </row>
        <row r="4128">
          <cell r="A4128">
            <v>9110702</v>
          </cell>
          <cell r="B4128">
            <v>341771</v>
          </cell>
          <cell r="C4128" t="str">
            <v>TELECOM SERVICE-AUDIO CONFERENCING</v>
          </cell>
        </row>
        <row r="4129">
          <cell r="A4129">
            <v>9110705</v>
          </cell>
          <cell r="B4129">
            <v>341771</v>
          </cell>
          <cell r="C4129" t="str">
            <v>TELECOM SERVICE-AUDIO CONFERENCING</v>
          </cell>
        </row>
        <row r="4130">
          <cell r="A4130">
            <v>9110707</v>
          </cell>
          <cell r="B4130">
            <v>341771</v>
          </cell>
          <cell r="C4130" t="str">
            <v>TELECOM SERVICE-AUDIO CONFERENCING</v>
          </cell>
        </row>
        <row r="4131">
          <cell r="A4131">
            <v>9110999</v>
          </cell>
          <cell r="B4131">
            <v>341771</v>
          </cell>
          <cell r="C4131" t="str">
            <v>TELECOM SERVICE-AUDIO CONFERENCING</v>
          </cell>
        </row>
        <row r="4132">
          <cell r="A4132">
            <v>9680700</v>
          </cell>
          <cell r="B4132">
            <v>341771</v>
          </cell>
          <cell r="C4132" t="str">
            <v>TELECOM SERVICE-AUDIO CONFERENCING</v>
          </cell>
        </row>
        <row r="4133">
          <cell r="A4133">
            <v>9680701</v>
          </cell>
          <cell r="B4133">
            <v>341771</v>
          </cell>
          <cell r="C4133" t="str">
            <v>TELECOM SERVICE-AUDIO CONFERENCING</v>
          </cell>
        </row>
        <row r="4134">
          <cell r="A4134">
            <v>9680702</v>
          </cell>
          <cell r="B4134">
            <v>341771</v>
          </cell>
          <cell r="C4134" t="str">
            <v>TELECOM SERVICE-AUDIO CONFERENCING</v>
          </cell>
        </row>
        <row r="4135">
          <cell r="A4135">
            <v>9680705</v>
          </cell>
          <cell r="B4135">
            <v>341771</v>
          </cell>
          <cell r="C4135" t="str">
            <v>TELECOM SERVICE-AUDIO CONFERENCING</v>
          </cell>
        </row>
        <row r="4136">
          <cell r="A4136">
            <v>9680707</v>
          </cell>
          <cell r="B4136">
            <v>341771</v>
          </cell>
          <cell r="C4136" t="str">
            <v>TELECOM SERVICE-AUDIO CONFERENCING</v>
          </cell>
        </row>
        <row r="4137">
          <cell r="A4137">
            <v>9680710</v>
          </cell>
          <cell r="B4137">
            <v>341771</v>
          </cell>
          <cell r="C4137" t="str">
            <v>TELECOM SERVICE-AUDIO CONFERENCING</v>
          </cell>
        </row>
        <row r="4138">
          <cell r="A4138">
            <v>9680712</v>
          </cell>
          <cell r="B4138">
            <v>341771</v>
          </cell>
          <cell r="C4138" t="str">
            <v>TELECOM SERVICE-AUDIO CONFERENCING</v>
          </cell>
        </row>
        <row r="4139">
          <cell r="A4139">
            <v>9680714</v>
          </cell>
          <cell r="B4139">
            <v>341771</v>
          </cell>
          <cell r="C4139" t="str">
            <v>TELECOM SERVICE-AUDIO CONFERENCING</v>
          </cell>
        </row>
        <row r="4140">
          <cell r="A4140">
            <v>9680734</v>
          </cell>
          <cell r="B4140">
            <v>341771</v>
          </cell>
          <cell r="C4140" t="str">
            <v>TELECOM SERVICE-AUDIO CONFERENCING</v>
          </cell>
        </row>
        <row r="4141">
          <cell r="A4141">
            <v>9680748</v>
          </cell>
          <cell r="B4141">
            <v>341771</v>
          </cell>
          <cell r="C4141" t="str">
            <v>TELECOM SERVICE-AUDIO CONFERENCING</v>
          </cell>
        </row>
        <row r="4142">
          <cell r="A4142">
            <v>9680749</v>
          </cell>
          <cell r="B4142">
            <v>341771</v>
          </cell>
          <cell r="C4142" t="str">
            <v>TELECOM SERVICE-AUDIO CONFERENCING</v>
          </cell>
        </row>
        <row r="4143">
          <cell r="A4143">
            <v>9680894</v>
          </cell>
          <cell r="B4143">
            <v>341771</v>
          </cell>
          <cell r="C4143" t="str">
            <v>TELECOM SERVICE-AUDIO CONFERENCING</v>
          </cell>
        </row>
        <row r="4144">
          <cell r="A4144">
            <v>9680999</v>
          </cell>
          <cell r="B4144">
            <v>341771</v>
          </cell>
          <cell r="C4144" t="str">
            <v>TELECOM SERVICE-AUDIO CONFERENCING</v>
          </cell>
        </row>
        <row r="4145">
          <cell r="A4145">
            <v>9681700</v>
          </cell>
          <cell r="B4145">
            <v>341771</v>
          </cell>
          <cell r="C4145" t="str">
            <v>TELECOM SERVICE-AUDIO CONFERENCING</v>
          </cell>
        </row>
        <row r="4146">
          <cell r="A4146">
            <v>9681701</v>
          </cell>
          <cell r="B4146">
            <v>341771</v>
          </cell>
          <cell r="C4146" t="str">
            <v>TELECOM SERVICE-AUDIO CONFERENCING</v>
          </cell>
        </row>
        <row r="4147">
          <cell r="A4147">
            <v>9681702</v>
          </cell>
          <cell r="B4147">
            <v>341771</v>
          </cell>
          <cell r="C4147" t="str">
            <v>TELECOM SERVICE-AUDIO CONFERENCING</v>
          </cell>
        </row>
        <row r="4148">
          <cell r="A4148">
            <v>9681705</v>
          </cell>
          <cell r="B4148">
            <v>341771</v>
          </cell>
          <cell r="C4148" t="str">
            <v>TELECOM SERVICE-AUDIO CONFERENCING</v>
          </cell>
        </row>
        <row r="4149">
          <cell r="A4149">
            <v>9681706</v>
          </cell>
          <cell r="B4149">
            <v>341771</v>
          </cell>
          <cell r="C4149" t="str">
            <v>TELECOM SERVICE-AUDIO CONFERENCING</v>
          </cell>
        </row>
        <row r="4150">
          <cell r="A4150">
            <v>9681707</v>
          </cell>
          <cell r="B4150">
            <v>341771</v>
          </cell>
          <cell r="C4150" t="str">
            <v>TELECOM SERVICE-AUDIO CONFERENCING</v>
          </cell>
        </row>
        <row r="4151">
          <cell r="A4151">
            <v>9681710</v>
          </cell>
          <cell r="B4151">
            <v>341771</v>
          </cell>
          <cell r="C4151" t="str">
            <v>TELECOM SERVICE-AUDIO CONFERENCING</v>
          </cell>
        </row>
        <row r="4152">
          <cell r="A4152">
            <v>9681712</v>
          </cell>
          <cell r="B4152">
            <v>341771</v>
          </cell>
          <cell r="C4152" t="str">
            <v>TELECOM SERVICE-AUDIO CONFERENCING</v>
          </cell>
        </row>
        <row r="4153">
          <cell r="A4153">
            <v>9681727</v>
          </cell>
          <cell r="B4153">
            <v>341771</v>
          </cell>
          <cell r="C4153" t="str">
            <v>TELECOM SERVICE-AUDIO CONFERENCING</v>
          </cell>
        </row>
        <row r="4154">
          <cell r="A4154">
            <v>9681734</v>
          </cell>
          <cell r="B4154">
            <v>341771</v>
          </cell>
          <cell r="C4154" t="str">
            <v>TELECOM SERVICE-AUDIO CONFERENCING</v>
          </cell>
        </row>
        <row r="4155">
          <cell r="A4155">
            <v>9681748</v>
          </cell>
          <cell r="B4155">
            <v>341771</v>
          </cell>
          <cell r="C4155" t="str">
            <v>TELECOM SERVICE-AUDIO CONFERENCING</v>
          </cell>
        </row>
        <row r="4156">
          <cell r="A4156">
            <v>9681749</v>
          </cell>
          <cell r="B4156">
            <v>341771</v>
          </cell>
          <cell r="C4156" t="str">
            <v>TELECOM SERVICE-AUDIO CONFERENCING</v>
          </cell>
        </row>
        <row r="4157">
          <cell r="A4157">
            <v>9681894</v>
          </cell>
          <cell r="B4157">
            <v>341771</v>
          </cell>
          <cell r="C4157" t="str">
            <v>TELECOM SERVICE-AUDIO CONFERENCING</v>
          </cell>
        </row>
        <row r="4158">
          <cell r="A4158">
            <v>9681999</v>
          </cell>
          <cell r="B4158">
            <v>341771</v>
          </cell>
          <cell r="C4158" t="str">
            <v>TELECOM SERVICE-AUDIO CONFERENCING</v>
          </cell>
        </row>
        <row r="4159">
          <cell r="A4159">
            <v>9682715</v>
          </cell>
          <cell r="B4159">
            <v>341771</v>
          </cell>
          <cell r="C4159" t="str">
            <v>TELECOM SERVICE-AUDIO CONFERENCING</v>
          </cell>
        </row>
        <row r="4160">
          <cell r="A4160">
            <v>9682722</v>
          </cell>
          <cell r="B4160">
            <v>341771</v>
          </cell>
          <cell r="C4160" t="str">
            <v>TELECOM SERVICE-AUDIO CONFERENCING</v>
          </cell>
        </row>
        <row r="4161">
          <cell r="A4161">
            <v>9682999</v>
          </cell>
          <cell r="B4161">
            <v>341771</v>
          </cell>
          <cell r="C4161" t="str">
            <v>TELECOM SERVICE-AUDIO CONFERENCING</v>
          </cell>
        </row>
        <row r="4162">
          <cell r="A4162">
            <v>9683999</v>
          </cell>
          <cell r="B4162">
            <v>341771</v>
          </cell>
          <cell r="C4162" t="str">
            <v>TELECOM SERVICE-AUDIO CONFERENCING</v>
          </cell>
        </row>
        <row r="4163">
          <cell r="A4163">
            <v>9684999</v>
          </cell>
          <cell r="B4163">
            <v>341771</v>
          </cell>
          <cell r="C4163" t="str">
            <v>TELECOM SERVICE-AUDIO CONFERENCING</v>
          </cell>
        </row>
        <row r="4164">
          <cell r="A4164">
            <v>9685999</v>
          </cell>
          <cell r="B4164">
            <v>341771</v>
          </cell>
          <cell r="C4164" t="str">
            <v>TELECOM SERVICE-AUDIO CONFERENCING</v>
          </cell>
        </row>
        <row r="4165">
          <cell r="A4165">
            <v>9689692</v>
          </cell>
          <cell r="B4165">
            <v>341771</v>
          </cell>
          <cell r="C4165" t="str">
            <v>TELECOM SERVICE-AUDIO CONFERENCING</v>
          </cell>
        </row>
        <row r="4166">
          <cell r="A4166">
            <v>9689747</v>
          </cell>
          <cell r="B4166">
            <v>341771</v>
          </cell>
          <cell r="C4166" t="str">
            <v>TELECOM SERVICE-AUDIO CONFERENCING</v>
          </cell>
        </row>
        <row r="4167">
          <cell r="A4167">
            <v>9689883</v>
          </cell>
          <cell r="B4167">
            <v>341771</v>
          </cell>
          <cell r="C4167" t="str">
            <v>TELECOM SERVICE-AUDIO CONFERENCING</v>
          </cell>
        </row>
        <row r="4168">
          <cell r="A4168">
            <v>9689890</v>
          </cell>
          <cell r="B4168">
            <v>341771</v>
          </cell>
          <cell r="C4168" t="str">
            <v>TELECOM SERVICE-AUDIO CONFERENCING</v>
          </cell>
        </row>
        <row r="4169">
          <cell r="A4169">
            <v>9689906</v>
          </cell>
          <cell r="B4169">
            <v>341771</v>
          </cell>
          <cell r="C4169" t="str">
            <v>TELECOM SERVICE-AUDIO CONFERENCING</v>
          </cell>
        </row>
        <row r="4170">
          <cell r="A4170">
            <v>9689925</v>
          </cell>
          <cell r="B4170">
            <v>341771</v>
          </cell>
          <cell r="C4170" t="str">
            <v>TELECOM SERVICE-AUDIO CONFERENCING</v>
          </cell>
        </row>
        <row r="4171">
          <cell r="A4171">
            <v>9689990</v>
          </cell>
          <cell r="B4171">
            <v>341771</v>
          </cell>
          <cell r="C4171" t="str">
            <v>TELECOM SERVICE-AUDIO CONFERENCING</v>
          </cell>
        </row>
        <row r="4172">
          <cell r="A4172">
            <v>9689991</v>
          </cell>
          <cell r="B4172">
            <v>341771</v>
          </cell>
          <cell r="C4172" t="str">
            <v>TELECOM SERVICE-AUDIO CONFERENCING</v>
          </cell>
        </row>
        <row r="4173">
          <cell r="A4173">
            <v>9689992</v>
          </cell>
          <cell r="B4173">
            <v>341771</v>
          </cell>
          <cell r="C4173" t="str">
            <v>TELECOM SERVICE-AUDIO CONFERENCING</v>
          </cell>
        </row>
        <row r="4174">
          <cell r="A4174">
            <v>9689993</v>
          </cell>
          <cell r="B4174">
            <v>341771</v>
          </cell>
          <cell r="C4174" t="str">
            <v>TELECOM SERVICE-AUDIO CONFERENCING</v>
          </cell>
        </row>
        <row r="4175">
          <cell r="A4175">
            <v>9080700</v>
          </cell>
          <cell r="B4175">
            <v>341772</v>
          </cell>
          <cell r="C4175" t="str">
            <v>SERVICE - LONG DISTANCE</v>
          </cell>
        </row>
        <row r="4176">
          <cell r="A4176">
            <v>9080701</v>
          </cell>
          <cell r="B4176">
            <v>341772</v>
          </cell>
          <cell r="C4176" t="str">
            <v>SERVICE - LONG DISTANCE</v>
          </cell>
        </row>
        <row r="4177">
          <cell r="A4177">
            <v>9080702</v>
          </cell>
          <cell r="B4177">
            <v>341772</v>
          </cell>
          <cell r="C4177" t="str">
            <v>SERVICE - LONG DISTANCE</v>
          </cell>
        </row>
        <row r="4178">
          <cell r="A4178">
            <v>9080705</v>
          </cell>
          <cell r="B4178">
            <v>341772</v>
          </cell>
          <cell r="C4178" t="str">
            <v>SERVICE - LONG DISTANCE</v>
          </cell>
        </row>
        <row r="4179">
          <cell r="A4179">
            <v>9080707</v>
          </cell>
          <cell r="B4179">
            <v>341772</v>
          </cell>
          <cell r="C4179" t="str">
            <v>SERVICE - LONG DISTANCE</v>
          </cell>
        </row>
        <row r="4180">
          <cell r="A4180">
            <v>9080710</v>
          </cell>
          <cell r="B4180">
            <v>341772</v>
          </cell>
          <cell r="C4180" t="str">
            <v>SERVICE - LONG DISTANCE</v>
          </cell>
        </row>
        <row r="4181">
          <cell r="A4181">
            <v>9080999</v>
          </cell>
          <cell r="B4181">
            <v>341772</v>
          </cell>
          <cell r="C4181" t="str">
            <v>SERVICE - LONG DISTANCE</v>
          </cell>
        </row>
        <row r="4182">
          <cell r="A4182">
            <v>9090710</v>
          </cell>
          <cell r="B4182">
            <v>341772</v>
          </cell>
          <cell r="C4182" t="str">
            <v>SERVICE - LONG DISTANCE</v>
          </cell>
        </row>
        <row r="4183">
          <cell r="A4183">
            <v>9090999</v>
          </cell>
          <cell r="B4183">
            <v>341772</v>
          </cell>
          <cell r="C4183" t="str">
            <v>SERVICE - LONG DISTANCE</v>
          </cell>
        </row>
        <row r="4184">
          <cell r="A4184">
            <v>9100710</v>
          </cell>
          <cell r="B4184">
            <v>341772</v>
          </cell>
          <cell r="C4184" t="str">
            <v>SERVICE - LONG DISTANCE</v>
          </cell>
        </row>
        <row r="4185">
          <cell r="A4185">
            <v>9100999</v>
          </cell>
          <cell r="B4185">
            <v>341772</v>
          </cell>
          <cell r="C4185" t="str">
            <v>SERVICE - LONG DISTANCE</v>
          </cell>
        </row>
        <row r="4186">
          <cell r="A4186">
            <v>9110700</v>
          </cell>
          <cell r="B4186">
            <v>341772</v>
          </cell>
          <cell r="C4186" t="str">
            <v>SERVICE - LONG DISTANCE</v>
          </cell>
        </row>
        <row r="4187">
          <cell r="A4187">
            <v>9110702</v>
          </cell>
          <cell r="B4187">
            <v>341772</v>
          </cell>
          <cell r="C4187" t="str">
            <v>SERVICE - LONG DISTANCE</v>
          </cell>
        </row>
        <row r="4188">
          <cell r="A4188">
            <v>9110705</v>
          </cell>
          <cell r="B4188">
            <v>341772</v>
          </cell>
          <cell r="C4188" t="str">
            <v>SERVICE - LONG DISTANCE</v>
          </cell>
        </row>
        <row r="4189">
          <cell r="A4189">
            <v>9110707</v>
          </cell>
          <cell r="B4189">
            <v>341772</v>
          </cell>
          <cell r="C4189" t="str">
            <v>SERVICE - LONG DISTANCE</v>
          </cell>
        </row>
        <row r="4190">
          <cell r="A4190">
            <v>9110999</v>
          </cell>
          <cell r="B4190">
            <v>341772</v>
          </cell>
          <cell r="C4190" t="str">
            <v>SERVICE - LONG DISTANCE</v>
          </cell>
        </row>
        <row r="4191">
          <cell r="A4191">
            <v>9680700</v>
          </cell>
          <cell r="B4191">
            <v>341772</v>
          </cell>
          <cell r="C4191" t="str">
            <v>SERVICE - LONG DISTANCE</v>
          </cell>
        </row>
        <row r="4192">
          <cell r="A4192">
            <v>9680701</v>
          </cell>
          <cell r="B4192">
            <v>341772</v>
          </cell>
          <cell r="C4192" t="str">
            <v>SERVICE - LONG DISTANCE</v>
          </cell>
        </row>
        <row r="4193">
          <cell r="A4193">
            <v>9680702</v>
          </cell>
          <cell r="B4193">
            <v>341772</v>
          </cell>
          <cell r="C4193" t="str">
            <v>SERVICE - LONG DISTANCE</v>
          </cell>
        </row>
        <row r="4194">
          <cell r="A4194">
            <v>9680705</v>
          </cell>
          <cell r="B4194">
            <v>341772</v>
          </cell>
          <cell r="C4194" t="str">
            <v>SERVICE - LONG DISTANCE</v>
          </cell>
        </row>
        <row r="4195">
          <cell r="A4195">
            <v>9680707</v>
          </cell>
          <cell r="B4195">
            <v>341772</v>
          </cell>
          <cell r="C4195" t="str">
            <v>SERVICE - LONG DISTANCE</v>
          </cell>
        </row>
        <row r="4196">
          <cell r="A4196">
            <v>9680710</v>
          </cell>
          <cell r="B4196">
            <v>341772</v>
          </cell>
          <cell r="C4196" t="str">
            <v>SERVICE - LONG DISTANCE</v>
          </cell>
        </row>
        <row r="4197">
          <cell r="A4197">
            <v>9680712</v>
          </cell>
          <cell r="B4197">
            <v>341772</v>
          </cell>
          <cell r="C4197" t="str">
            <v>SERVICE - LONG DISTANCE</v>
          </cell>
        </row>
        <row r="4198">
          <cell r="A4198">
            <v>9680714</v>
          </cell>
          <cell r="B4198">
            <v>341772</v>
          </cell>
          <cell r="C4198" t="str">
            <v>SERVICE - LONG DISTANCE</v>
          </cell>
        </row>
        <row r="4199">
          <cell r="A4199">
            <v>9680734</v>
          </cell>
          <cell r="B4199">
            <v>341772</v>
          </cell>
          <cell r="C4199" t="str">
            <v>SERVICE - LONG DISTANCE</v>
          </cell>
        </row>
        <row r="4200">
          <cell r="A4200">
            <v>9680748</v>
          </cell>
          <cell r="B4200">
            <v>341772</v>
          </cell>
          <cell r="C4200" t="str">
            <v>SERVICE - LONG DISTANCE</v>
          </cell>
        </row>
        <row r="4201">
          <cell r="A4201">
            <v>9680749</v>
          </cell>
          <cell r="B4201">
            <v>341772</v>
          </cell>
          <cell r="C4201" t="str">
            <v>SERVICE - LONG DISTANCE</v>
          </cell>
        </row>
        <row r="4202">
          <cell r="A4202">
            <v>9680894</v>
          </cell>
          <cell r="B4202">
            <v>341772</v>
          </cell>
          <cell r="C4202" t="str">
            <v>SERVICE - LONG DISTANCE</v>
          </cell>
        </row>
        <row r="4203">
          <cell r="A4203">
            <v>9680999</v>
          </cell>
          <cell r="B4203">
            <v>341772</v>
          </cell>
          <cell r="C4203" t="str">
            <v>SERVICE - LONG DISTANCE</v>
          </cell>
        </row>
        <row r="4204">
          <cell r="A4204">
            <v>9681700</v>
          </cell>
          <cell r="B4204">
            <v>341772</v>
          </cell>
          <cell r="C4204" t="str">
            <v>SERVICE - LONG DISTANCE</v>
          </cell>
        </row>
        <row r="4205">
          <cell r="A4205">
            <v>9681701</v>
          </cell>
          <cell r="B4205">
            <v>341772</v>
          </cell>
          <cell r="C4205" t="str">
            <v>SERVICE - LONG DISTANCE</v>
          </cell>
        </row>
        <row r="4206">
          <cell r="A4206">
            <v>9681702</v>
          </cell>
          <cell r="B4206">
            <v>341772</v>
          </cell>
          <cell r="C4206" t="str">
            <v>SERVICE - LONG DISTANCE</v>
          </cell>
        </row>
        <row r="4207">
          <cell r="A4207">
            <v>9681705</v>
          </cell>
          <cell r="B4207">
            <v>341772</v>
          </cell>
          <cell r="C4207" t="str">
            <v>SERVICE - LONG DISTANCE</v>
          </cell>
        </row>
        <row r="4208">
          <cell r="A4208">
            <v>9681706</v>
          </cell>
          <cell r="B4208">
            <v>341772</v>
          </cell>
          <cell r="C4208" t="str">
            <v>SERVICE - LONG DISTANCE</v>
          </cell>
        </row>
        <row r="4209">
          <cell r="A4209">
            <v>9681707</v>
          </cell>
          <cell r="B4209">
            <v>341772</v>
          </cell>
          <cell r="C4209" t="str">
            <v>SERVICE - LONG DISTANCE</v>
          </cell>
        </row>
        <row r="4210">
          <cell r="A4210">
            <v>9681710</v>
          </cell>
          <cell r="B4210">
            <v>341772</v>
          </cell>
          <cell r="C4210" t="str">
            <v>SERVICE - LONG DISTANCE</v>
          </cell>
        </row>
        <row r="4211">
          <cell r="A4211">
            <v>9681712</v>
          </cell>
          <cell r="B4211">
            <v>341772</v>
          </cell>
          <cell r="C4211" t="str">
            <v>SERVICE - LONG DISTANCE</v>
          </cell>
        </row>
        <row r="4212">
          <cell r="A4212">
            <v>9681727</v>
          </cell>
          <cell r="B4212">
            <v>341772</v>
          </cell>
          <cell r="C4212" t="str">
            <v>SERVICE - LONG DISTANCE</v>
          </cell>
        </row>
        <row r="4213">
          <cell r="A4213">
            <v>9681734</v>
          </cell>
          <cell r="B4213">
            <v>341772</v>
          </cell>
          <cell r="C4213" t="str">
            <v>SERVICE - LONG DISTANCE</v>
          </cell>
        </row>
        <row r="4214">
          <cell r="A4214">
            <v>9681748</v>
          </cell>
          <cell r="B4214">
            <v>341772</v>
          </cell>
          <cell r="C4214" t="str">
            <v>SERVICE - LONG DISTANCE</v>
          </cell>
        </row>
        <row r="4215">
          <cell r="A4215">
            <v>9681749</v>
          </cell>
          <cell r="B4215">
            <v>341772</v>
          </cell>
          <cell r="C4215" t="str">
            <v>SERVICE - LONG DISTANCE</v>
          </cell>
        </row>
        <row r="4216">
          <cell r="A4216">
            <v>9681894</v>
          </cell>
          <cell r="B4216">
            <v>341772</v>
          </cell>
          <cell r="C4216" t="str">
            <v>SERVICE - LONG DISTANCE</v>
          </cell>
        </row>
        <row r="4217">
          <cell r="A4217">
            <v>9681999</v>
          </cell>
          <cell r="B4217">
            <v>341772</v>
          </cell>
          <cell r="C4217" t="str">
            <v>SERVICE - LONG DISTANCE</v>
          </cell>
        </row>
        <row r="4218">
          <cell r="A4218">
            <v>9682715</v>
          </cell>
          <cell r="B4218">
            <v>341772</v>
          </cell>
          <cell r="C4218" t="str">
            <v>SERVICE - LONG DISTANCE</v>
          </cell>
        </row>
        <row r="4219">
          <cell r="A4219">
            <v>9682722</v>
          </cell>
          <cell r="B4219">
            <v>341772</v>
          </cell>
          <cell r="C4219" t="str">
            <v>SERVICE - LONG DISTANCE</v>
          </cell>
        </row>
        <row r="4220">
          <cell r="A4220">
            <v>9682999</v>
          </cell>
          <cell r="B4220">
            <v>341772</v>
          </cell>
          <cell r="C4220" t="str">
            <v>SERVICE - LONG DISTANCE</v>
          </cell>
        </row>
        <row r="4221">
          <cell r="A4221">
            <v>9683999</v>
          </cell>
          <cell r="B4221">
            <v>341772</v>
          </cell>
          <cell r="C4221" t="str">
            <v>SERVICE - LONG DISTANCE</v>
          </cell>
        </row>
        <row r="4222">
          <cell r="A4222">
            <v>9684999</v>
          </cell>
          <cell r="B4222">
            <v>341772</v>
          </cell>
          <cell r="C4222" t="str">
            <v>SERVICE - LONG DISTANCE</v>
          </cell>
        </row>
        <row r="4223">
          <cell r="A4223">
            <v>9685999</v>
          </cell>
          <cell r="B4223">
            <v>341772</v>
          </cell>
          <cell r="C4223" t="str">
            <v>SERVICE - LONG DISTANCE</v>
          </cell>
        </row>
        <row r="4224">
          <cell r="A4224">
            <v>9689692</v>
          </cell>
          <cell r="B4224">
            <v>341772</v>
          </cell>
          <cell r="C4224" t="str">
            <v>SERVICE - LONG DISTANCE</v>
          </cell>
        </row>
        <row r="4225">
          <cell r="A4225">
            <v>9689747</v>
          </cell>
          <cell r="B4225">
            <v>341772</v>
          </cell>
          <cell r="C4225" t="str">
            <v>SERVICE - LONG DISTANCE</v>
          </cell>
        </row>
        <row r="4226">
          <cell r="A4226">
            <v>9689883</v>
          </cell>
          <cell r="B4226">
            <v>341772</v>
          </cell>
          <cell r="C4226" t="str">
            <v>SERVICE - LONG DISTANCE</v>
          </cell>
        </row>
        <row r="4227">
          <cell r="A4227">
            <v>9689890</v>
          </cell>
          <cell r="B4227">
            <v>341772</v>
          </cell>
          <cell r="C4227" t="str">
            <v>SERVICE - LONG DISTANCE</v>
          </cell>
        </row>
        <row r="4228">
          <cell r="A4228">
            <v>9689906</v>
          </cell>
          <cell r="B4228">
            <v>341772</v>
          </cell>
          <cell r="C4228" t="str">
            <v>SERVICE - LONG DISTANCE</v>
          </cell>
        </row>
        <row r="4229">
          <cell r="A4229">
            <v>9689925</v>
          </cell>
          <cell r="B4229">
            <v>341772</v>
          </cell>
          <cell r="C4229" t="str">
            <v>SERVICE - LONG DISTANCE</v>
          </cell>
        </row>
        <row r="4230">
          <cell r="A4230">
            <v>9689990</v>
          </cell>
          <cell r="B4230">
            <v>341772</v>
          </cell>
          <cell r="C4230" t="str">
            <v>SERVICE - LONG DISTANCE</v>
          </cell>
        </row>
        <row r="4231">
          <cell r="A4231">
            <v>9689991</v>
          </cell>
          <cell r="B4231">
            <v>341772</v>
          </cell>
          <cell r="C4231" t="str">
            <v>SERVICE - LONG DISTANCE</v>
          </cell>
        </row>
        <row r="4232">
          <cell r="A4232">
            <v>9689992</v>
          </cell>
          <cell r="B4232">
            <v>341772</v>
          </cell>
          <cell r="C4232" t="str">
            <v>SERVICE - LONG DISTANCE</v>
          </cell>
        </row>
        <row r="4233">
          <cell r="A4233">
            <v>9689993</v>
          </cell>
          <cell r="B4233">
            <v>341772</v>
          </cell>
          <cell r="C4233" t="str">
            <v>SERVICE - LONG DISTANCE</v>
          </cell>
        </row>
        <row r="4234">
          <cell r="A4234">
            <v>9689994</v>
          </cell>
          <cell r="B4234">
            <v>341772</v>
          </cell>
          <cell r="C4234" t="str">
            <v>SERVICE - LONG DISTANCE</v>
          </cell>
        </row>
        <row r="4235">
          <cell r="A4235">
            <v>8001054179</v>
          </cell>
          <cell r="B4235">
            <v>341773</v>
          </cell>
          <cell r="C4235" t="str">
            <v>SERVICE - CELLULAR</v>
          </cell>
        </row>
        <row r="4236">
          <cell r="A4236">
            <v>8001059542</v>
          </cell>
          <cell r="B4236">
            <v>341773</v>
          </cell>
          <cell r="C4236" t="str">
            <v>SERVICE - CELLULAR</v>
          </cell>
        </row>
        <row r="4237">
          <cell r="A4237">
            <v>8010512510</v>
          </cell>
          <cell r="B4237">
            <v>341773</v>
          </cell>
          <cell r="C4237" t="str">
            <v>SERVICE - CELLULAR</v>
          </cell>
        </row>
        <row r="4238">
          <cell r="A4238">
            <v>9080700</v>
          </cell>
          <cell r="B4238">
            <v>341773</v>
          </cell>
          <cell r="C4238" t="str">
            <v>SERVICE - CELLULAR</v>
          </cell>
        </row>
        <row r="4239">
          <cell r="A4239">
            <v>9080701</v>
          </cell>
          <cell r="B4239">
            <v>341773</v>
          </cell>
          <cell r="C4239" t="str">
            <v>SERVICE - CELLULAR</v>
          </cell>
        </row>
        <row r="4240">
          <cell r="A4240">
            <v>9080702</v>
          </cell>
          <cell r="B4240">
            <v>341773</v>
          </cell>
          <cell r="C4240" t="str">
            <v>SERVICE - CELLULAR</v>
          </cell>
        </row>
        <row r="4241">
          <cell r="A4241">
            <v>9080705</v>
          </cell>
          <cell r="B4241">
            <v>341773</v>
          </cell>
          <cell r="C4241" t="str">
            <v>SERVICE - CELLULAR</v>
          </cell>
        </row>
        <row r="4242">
          <cell r="A4242">
            <v>9080707</v>
          </cell>
          <cell r="B4242">
            <v>341773</v>
          </cell>
          <cell r="C4242" t="str">
            <v>SERVICE - CELLULAR</v>
          </cell>
        </row>
        <row r="4243">
          <cell r="A4243">
            <v>9080710</v>
          </cell>
          <cell r="B4243">
            <v>341773</v>
          </cell>
          <cell r="C4243" t="str">
            <v>SERVICE - CELLULAR</v>
          </cell>
        </row>
        <row r="4244">
          <cell r="A4244">
            <v>9080999</v>
          </cell>
          <cell r="B4244">
            <v>341773</v>
          </cell>
          <cell r="C4244" t="str">
            <v>SERVICE - CELLULAR</v>
          </cell>
        </row>
        <row r="4245">
          <cell r="A4245">
            <v>9090710</v>
          </cell>
          <cell r="B4245">
            <v>341773</v>
          </cell>
          <cell r="C4245" t="str">
            <v>SERVICE - CELLULAR</v>
          </cell>
        </row>
        <row r="4246">
          <cell r="A4246">
            <v>9090999</v>
          </cell>
          <cell r="B4246">
            <v>341773</v>
          </cell>
          <cell r="C4246" t="str">
            <v>SERVICE - CELLULAR</v>
          </cell>
        </row>
        <row r="4247">
          <cell r="A4247">
            <v>9100710</v>
          </cell>
          <cell r="B4247">
            <v>341773</v>
          </cell>
          <cell r="C4247" t="str">
            <v>SERVICE - CELLULAR</v>
          </cell>
        </row>
        <row r="4248">
          <cell r="A4248">
            <v>9100999</v>
          </cell>
          <cell r="B4248">
            <v>341773</v>
          </cell>
          <cell r="C4248" t="str">
            <v>SERVICE - CELLULAR</v>
          </cell>
        </row>
        <row r="4249">
          <cell r="A4249">
            <v>9110700</v>
          </cell>
          <cell r="B4249">
            <v>341773</v>
          </cell>
          <cell r="C4249" t="str">
            <v>SERVICE - CELLULAR</v>
          </cell>
        </row>
        <row r="4250">
          <cell r="A4250">
            <v>9110702</v>
          </cell>
          <cell r="B4250">
            <v>341773</v>
          </cell>
          <cell r="C4250" t="str">
            <v>SERVICE - CELLULAR</v>
          </cell>
        </row>
        <row r="4251">
          <cell r="A4251">
            <v>9110705</v>
          </cell>
          <cell r="B4251">
            <v>341773</v>
          </cell>
          <cell r="C4251" t="str">
            <v>SERVICE - CELLULAR</v>
          </cell>
        </row>
        <row r="4252">
          <cell r="A4252">
            <v>9110707</v>
          </cell>
          <cell r="B4252">
            <v>341773</v>
          </cell>
          <cell r="C4252" t="str">
            <v>SERVICE - CELLULAR</v>
          </cell>
        </row>
        <row r="4253">
          <cell r="A4253">
            <v>9110999</v>
          </cell>
          <cell r="B4253">
            <v>341773</v>
          </cell>
          <cell r="C4253" t="str">
            <v>SERVICE - CELLULAR</v>
          </cell>
        </row>
        <row r="4254">
          <cell r="A4254">
            <v>9680700</v>
          </cell>
          <cell r="B4254">
            <v>341773</v>
          </cell>
          <cell r="C4254" t="str">
            <v>SERVICE - CELLULAR</v>
          </cell>
        </row>
        <row r="4255">
          <cell r="A4255">
            <v>9680701</v>
          </cell>
          <cell r="B4255">
            <v>341773</v>
          </cell>
          <cell r="C4255" t="str">
            <v>SERVICE - CELLULAR</v>
          </cell>
        </row>
        <row r="4256">
          <cell r="A4256">
            <v>9680702</v>
          </cell>
          <cell r="B4256">
            <v>341773</v>
          </cell>
          <cell r="C4256" t="str">
            <v>SERVICE - CELLULAR</v>
          </cell>
        </row>
        <row r="4257">
          <cell r="A4257">
            <v>9680705</v>
          </cell>
          <cell r="B4257">
            <v>341773</v>
          </cell>
          <cell r="C4257" t="str">
            <v>SERVICE - CELLULAR</v>
          </cell>
        </row>
        <row r="4258">
          <cell r="A4258">
            <v>9680707</v>
          </cell>
          <cell r="B4258">
            <v>341773</v>
          </cell>
          <cell r="C4258" t="str">
            <v>SERVICE - CELLULAR</v>
          </cell>
        </row>
        <row r="4259">
          <cell r="A4259">
            <v>9680710</v>
          </cell>
          <cell r="B4259">
            <v>341773</v>
          </cell>
          <cell r="C4259" t="str">
            <v>SERVICE - CELLULAR</v>
          </cell>
        </row>
        <row r="4260">
          <cell r="A4260">
            <v>9680712</v>
          </cell>
          <cell r="B4260">
            <v>341773</v>
          </cell>
          <cell r="C4260" t="str">
            <v>SERVICE - CELLULAR</v>
          </cell>
        </row>
        <row r="4261">
          <cell r="A4261">
            <v>9680714</v>
          </cell>
          <cell r="B4261">
            <v>341773</v>
          </cell>
          <cell r="C4261" t="str">
            <v>SERVICE - CELLULAR</v>
          </cell>
        </row>
        <row r="4262">
          <cell r="A4262">
            <v>9680734</v>
          </cell>
          <cell r="B4262">
            <v>341773</v>
          </cell>
          <cell r="C4262" t="str">
            <v>SERVICE - CELLULAR</v>
          </cell>
        </row>
        <row r="4263">
          <cell r="A4263">
            <v>9680748</v>
          </cell>
          <cell r="B4263">
            <v>341773</v>
          </cell>
          <cell r="C4263" t="str">
            <v>SERVICE - CELLULAR</v>
          </cell>
        </row>
        <row r="4264">
          <cell r="A4264">
            <v>9680749</v>
          </cell>
          <cell r="B4264">
            <v>341773</v>
          </cell>
          <cell r="C4264" t="str">
            <v>SERVICE - CELLULAR</v>
          </cell>
        </row>
        <row r="4265">
          <cell r="A4265">
            <v>9680894</v>
          </cell>
          <cell r="B4265">
            <v>341773</v>
          </cell>
          <cell r="C4265" t="str">
            <v>SERVICE - CELLULAR</v>
          </cell>
        </row>
        <row r="4266">
          <cell r="A4266">
            <v>9680999</v>
          </cell>
          <cell r="B4266">
            <v>341773</v>
          </cell>
          <cell r="C4266" t="str">
            <v>SERVICE - CELLULAR</v>
          </cell>
        </row>
        <row r="4267">
          <cell r="A4267">
            <v>9681700</v>
          </cell>
          <cell r="B4267">
            <v>341773</v>
          </cell>
          <cell r="C4267" t="str">
            <v>SERVICE - CELLULAR</v>
          </cell>
        </row>
        <row r="4268">
          <cell r="A4268">
            <v>9681701</v>
          </cell>
          <cell r="B4268">
            <v>341773</v>
          </cell>
          <cell r="C4268" t="str">
            <v>SERVICE - CELLULAR</v>
          </cell>
        </row>
        <row r="4269">
          <cell r="A4269">
            <v>9681702</v>
          </cell>
          <cell r="B4269">
            <v>341773</v>
          </cell>
          <cell r="C4269" t="str">
            <v>SERVICE - CELLULAR</v>
          </cell>
        </row>
        <row r="4270">
          <cell r="A4270">
            <v>9681705</v>
          </cell>
          <cell r="B4270">
            <v>341773</v>
          </cell>
          <cell r="C4270" t="str">
            <v>SERVICE - CELLULAR</v>
          </cell>
        </row>
        <row r="4271">
          <cell r="A4271">
            <v>9681706</v>
          </cell>
          <cell r="B4271">
            <v>341773</v>
          </cell>
          <cell r="C4271" t="str">
            <v>SERVICE - CELLULAR</v>
          </cell>
        </row>
        <row r="4272">
          <cell r="A4272">
            <v>9681707</v>
          </cell>
          <cell r="B4272">
            <v>341773</v>
          </cell>
          <cell r="C4272" t="str">
            <v>SERVICE - CELLULAR</v>
          </cell>
        </row>
        <row r="4273">
          <cell r="A4273">
            <v>9681710</v>
          </cell>
          <cell r="B4273">
            <v>341773</v>
          </cell>
          <cell r="C4273" t="str">
            <v>SERVICE - CELLULAR</v>
          </cell>
        </row>
        <row r="4274">
          <cell r="A4274">
            <v>9681712</v>
          </cell>
          <cell r="B4274">
            <v>341773</v>
          </cell>
          <cell r="C4274" t="str">
            <v>SERVICE - CELLULAR</v>
          </cell>
        </row>
        <row r="4275">
          <cell r="A4275">
            <v>9681727</v>
          </cell>
          <cell r="B4275">
            <v>341773</v>
          </cell>
          <cell r="C4275" t="str">
            <v>SERVICE - CELLULAR</v>
          </cell>
        </row>
        <row r="4276">
          <cell r="A4276">
            <v>9681734</v>
          </cell>
          <cell r="B4276">
            <v>341773</v>
          </cell>
          <cell r="C4276" t="str">
            <v>SERVICE - CELLULAR</v>
          </cell>
        </row>
        <row r="4277">
          <cell r="A4277">
            <v>9681748</v>
          </cell>
          <cell r="B4277">
            <v>341773</v>
          </cell>
          <cell r="C4277" t="str">
            <v>SERVICE - CELLULAR</v>
          </cell>
        </row>
        <row r="4278">
          <cell r="A4278">
            <v>9681749</v>
          </cell>
          <cell r="B4278">
            <v>341773</v>
          </cell>
          <cell r="C4278" t="str">
            <v>SERVICE - CELLULAR</v>
          </cell>
        </row>
        <row r="4279">
          <cell r="A4279">
            <v>9681894</v>
          </cell>
          <cell r="B4279">
            <v>341773</v>
          </cell>
          <cell r="C4279" t="str">
            <v>SERVICE - CELLULAR</v>
          </cell>
        </row>
        <row r="4280">
          <cell r="A4280">
            <v>9681999</v>
          </cell>
          <cell r="B4280">
            <v>341773</v>
          </cell>
          <cell r="C4280" t="str">
            <v>SERVICE - CELLULAR</v>
          </cell>
        </row>
        <row r="4281">
          <cell r="A4281">
            <v>9682715</v>
          </cell>
          <cell r="B4281">
            <v>341773</v>
          </cell>
          <cell r="C4281" t="str">
            <v>SERVICE - CELLULAR</v>
          </cell>
        </row>
        <row r="4282">
          <cell r="A4282">
            <v>9682722</v>
          </cell>
          <cell r="B4282">
            <v>341773</v>
          </cell>
          <cell r="C4282" t="str">
            <v>SERVICE - CELLULAR</v>
          </cell>
        </row>
        <row r="4283">
          <cell r="A4283">
            <v>9682999</v>
          </cell>
          <cell r="B4283">
            <v>341773</v>
          </cell>
          <cell r="C4283" t="str">
            <v>SERVICE - CELLULAR</v>
          </cell>
        </row>
        <row r="4284">
          <cell r="A4284">
            <v>9683999</v>
          </cell>
          <cell r="B4284">
            <v>341773</v>
          </cell>
          <cell r="C4284" t="str">
            <v>SERVICE - CELLULAR</v>
          </cell>
        </row>
        <row r="4285">
          <cell r="A4285">
            <v>9684999</v>
          </cell>
          <cell r="B4285">
            <v>341773</v>
          </cell>
          <cell r="C4285" t="str">
            <v>SERVICE - CELLULAR</v>
          </cell>
        </row>
        <row r="4286">
          <cell r="A4286">
            <v>9685999</v>
          </cell>
          <cell r="B4286">
            <v>341773</v>
          </cell>
          <cell r="C4286" t="str">
            <v>SERVICE - CELLULAR</v>
          </cell>
        </row>
        <row r="4287">
          <cell r="A4287">
            <v>9689692</v>
          </cell>
          <cell r="B4287">
            <v>341773</v>
          </cell>
          <cell r="C4287" t="str">
            <v>SERVICE - CELLULAR</v>
          </cell>
        </row>
        <row r="4288">
          <cell r="A4288">
            <v>9689747</v>
          </cell>
          <cell r="B4288">
            <v>341773</v>
          </cell>
          <cell r="C4288" t="str">
            <v>SERVICE - CELLULAR</v>
          </cell>
        </row>
        <row r="4289">
          <cell r="A4289">
            <v>9689883</v>
          </cell>
          <cell r="B4289">
            <v>341773</v>
          </cell>
          <cell r="C4289" t="str">
            <v>SERVICE - CELLULAR</v>
          </cell>
        </row>
        <row r="4290">
          <cell r="A4290">
            <v>9689890</v>
          </cell>
          <cell r="B4290">
            <v>341773</v>
          </cell>
          <cell r="C4290" t="str">
            <v>SERVICE - CELLULAR</v>
          </cell>
        </row>
        <row r="4291">
          <cell r="A4291">
            <v>9689906</v>
          </cell>
          <cell r="B4291">
            <v>341773</v>
          </cell>
          <cell r="C4291" t="str">
            <v>SERVICE - CELLULAR</v>
          </cell>
        </row>
        <row r="4292">
          <cell r="A4292">
            <v>9689925</v>
          </cell>
          <cell r="B4292">
            <v>341773</v>
          </cell>
          <cell r="C4292" t="str">
            <v>SERVICE - CELLULAR</v>
          </cell>
        </row>
        <row r="4293">
          <cell r="A4293">
            <v>9689990</v>
          </cell>
          <cell r="B4293">
            <v>341773</v>
          </cell>
          <cell r="C4293" t="str">
            <v>SERVICE - CELLULAR</v>
          </cell>
        </row>
        <row r="4294">
          <cell r="A4294">
            <v>9689991</v>
          </cell>
          <cell r="B4294">
            <v>341773</v>
          </cell>
          <cell r="C4294" t="str">
            <v>SERVICE - CELLULAR</v>
          </cell>
        </row>
        <row r="4295">
          <cell r="A4295">
            <v>9689992</v>
          </cell>
          <cell r="B4295">
            <v>341773</v>
          </cell>
          <cell r="C4295" t="str">
            <v>SERVICE - CELLULAR</v>
          </cell>
        </row>
        <row r="4296">
          <cell r="A4296">
            <v>9689993</v>
          </cell>
          <cell r="B4296">
            <v>341773</v>
          </cell>
          <cell r="C4296" t="str">
            <v>SERVICE - CELLULAR</v>
          </cell>
        </row>
        <row r="4297">
          <cell r="A4297">
            <v>9689994</v>
          </cell>
          <cell r="B4297">
            <v>341773</v>
          </cell>
          <cell r="C4297" t="str">
            <v>SERVICE - CELLULAR</v>
          </cell>
        </row>
        <row r="4298">
          <cell r="A4298">
            <v>9969681</v>
          </cell>
          <cell r="B4298">
            <v>341773</v>
          </cell>
          <cell r="C4298" t="str">
            <v>SERVICE - CELLULAR</v>
          </cell>
        </row>
        <row r="4299">
          <cell r="A4299">
            <v>9969901</v>
          </cell>
          <cell r="B4299">
            <v>341773</v>
          </cell>
          <cell r="C4299" t="str">
            <v>SERVICE - CELLULAR</v>
          </cell>
        </row>
        <row r="4300">
          <cell r="A4300" t="str">
            <v>ZONE-0105-POST</v>
          </cell>
          <cell r="B4300">
            <v>341773</v>
          </cell>
          <cell r="C4300" t="str">
            <v>SERVICE - CELLULAR</v>
          </cell>
        </row>
        <row r="4301">
          <cell r="A4301" t="str">
            <v>ZONE-0112-POST</v>
          </cell>
          <cell r="B4301">
            <v>341773</v>
          </cell>
          <cell r="C4301" t="str">
            <v>SERVICE - CELLULAR</v>
          </cell>
        </row>
        <row r="4302">
          <cell r="A4302">
            <v>9090999</v>
          </cell>
          <cell r="B4302">
            <v>341774</v>
          </cell>
          <cell r="C4302" t="str">
            <v>SERVICE - CALLING CARDS</v>
          </cell>
        </row>
        <row r="4303">
          <cell r="A4303">
            <v>9100999</v>
          </cell>
          <cell r="B4303">
            <v>341774</v>
          </cell>
          <cell r="C4303" t="str">
            <v>SERVICE - CALLING CARDS</v>
          </cell>
        </row>
        <row r="4304">
          <cell r="A4304">
            <v>9680700</v>
          </cell>
          <cell r="B4304">
            <v>341774</v>
          </cell>
          <cell r="C4304" t="str">
            <v>SERVICE - CALLING CARDS</v>
          </cell>
        </row>
        <row r="4305">
          <cell r="A4305">
            <v>9680701</v>
          </cell>
          <cell r="B4305">
            <v>341774</v>
          </cell>
          <cell r="C4305" t="str">
            <v>SERVICE - CALLING CARDS</v>
          </cell>
        </row>
        <row r="4306">
          <cell r="A4306">
            <v>9680702</v>
          </cell>
          <cell r="B4306">
            <v>341774</v>
          </cell>
          <cell r="C4306" t="str">
            <v>SERVICE - CALLING CARDS</v>
          </cell>
        </row>
        <row r="4307">
          <cell r="A4307">
            <v>9680705</v>
          </cell>
          <cell r="B4307">
            <v>341774</v>
          </cell>
          <cell r="C4307" t="str">
            <v>SERVICE - CALLING CARDS</v>
          </cell>
        </row>
        <row r="4308">
          <cell r="A4308">
            <v>9680707</v>
          </cell>
          <cell r="B4308">
            <v>341774</v>
          </cell>
          <cell r="C4308" t="str">
            <v>SERVICE - CALLING CARDS</v>
          </cell>
        </row>
        <row r="4309">
          <cell r="A4309">
            <v>9680710</v>
          </cell>
          <cell r="B4309">
            <v>341774</v>
          </cell>
          <cell r="C4309" t="str">
            <v>SERVICE - CALLING CARDS</v>
          </cell>
        </row>
        <row r="4310">
          <cell r="A4310">
            <v>9680712</v>
          </cell>
          <cell r="B4310">
            <v>341774</v>
          </cell>
          <cell r="C4310" t="str">
            <v>SERVICE - CALLING CARDS</v>
          </cell>
        </row>
        <row r="4311">
          <cell r="A4311">
            <v>9680714</v>
          </cell>
          <cell r="B4311">
            <v>341774</v>
          </cell>
          <cell r="C4311" t="str">
            <v>SERVICE - CALLING CARDS</v>
          </cell>
        </row>
        <row r="4312">
          <cell r="A4312">
            <v>9680734</v>
          </cell>
          <cell r="B4312">
            <v>341774</v>
          </cell>
          <cell r="C4312" t="str">
            <v>SERVICE - CALLING CARDS</v>
          </cell>
        </row>
        <row r="4313">
          <cell r="A4313">
            <v>9680748</v>
          </cell>
          <cell r="B4313">
            <v>341774</v>
          </cell>
          <cell r="C4313" t="str">
            <v>SERVICE - CALLING CARDS</v>
          </cell>
        </row>
        <row r="4314">
          <cell r="A4314">
            <v>9680749</v>
          </cell>
          <cell r="B4314">
            <v>341774</v>
          </cell>
          <cell r="C4314" t="str">
            <v>SERVICE - CALLING CARDS</v>
          </cell>
        </row>
        <row r="4315">
          <cell r="A4315">
            <v>9680894</v>
          </cell>
          <cell r="B4315">
            <v>341774</v>
          </cell>
          <cell r="C4315" t="str">
            <v>SERVICE - CALLING CARDS</v>
          </cell>
        </row>
        <row r="4316">
          <cell r="A4316">
            <v>9680999</v>
          </cell>
          <cell r="B4316">
            <v>341774</v>
          </cell>
          <cell r="C4316" t="str">
            <v>SERVICE - CALLING CARDS</v>
          </cell>
        </row>
        <row r="4317">
          <cell r="A4317">
            <v>9681710</v>
          </cell>
          <cell r="B4317">
            <v>341774</v>
          </cell>
          <cell r="C4317" t="str">
            <v>SERVICE - CALLING CARDS</v>
          </cell>
        </row>
        <row r="4318">
          <cell r="A4318">
            <v>9681734</v>
          </cell>
          <cell r="B4318">
            <v>341774</v>
          </cell>
          <cell r="C4318" t="str">
            <v>SERVICE - CALLING CARDS</v>
          </cell>
        </row>
        <row r="4319">
          <cell r="A4319">
            <v>9681748</v>
          </cell>
          <cell r="B4319">
            <v>341774</v>
          </cell>
          <cell r="C4319" t="str">
            <v>SERVICE - CALLING CARDS</v>
          </cell>
        </row>
        <row r="4320">
          <cell r="A4320">
            <v>9681894</v>
          </cell>
          <cell r="B4320">
            <v>341774</v>
          </cell>
          <cell r="C4320" t="str">
            <v>SERVICE - CALLING CARDS</v>
          </cell>
        </row>
        <row r="4321">
          <cell r="A4321">
            <v>9689883</v>
          </cell>
          <cell r="B4321">
            <v>341774</v>
          </cell>
          <cell r="C4321" t="str">
            <v>SERVICE - CALLING CARDS</v>
          </cell>
        </row>
        <row r="4322">
          <cell r="A4322">
            <v>9689906</v>
          </cell>
          <cell r="B4322">
            <v>341774</v>
          </cell>
          <cell r="C4322" t="str">
            <v>SERVICE - CALLING CARDS</v>
          </cell>
        </row>
        <row r="4323">
          <cell r="A4323">
            <v>9689992</v>
          </cell>
          <cell r="B4323">
            <v>341774</v>
          </cell>
          <cell r="C4323" t="str">
            <v>SERVICE - CALLING CARDS</v>
          </cell>
        </row>
        <row r="4324">
          <cell r="A4324">
            <v>9682715</v>
          </cell>
          <cell r="B4324">
            <v>341776</v>
          </cell>
          <cell r="C4324" t="str">
            <v>SERVICE - 800 NUMBERS</v>
          </cell>
        </row>
        <row r="4325">
          <cell r="A4325">
            <v>9689883</v>
          </cell>
          <cell r="B4325">
            <v>341776</v>
          </cell>
          <cell r="C4325" t="str">
            <v>SERVICE - 800 NUMBERS</v>
          </cell>
        </row>
        <row r="4326">
          <cell r="A4326">
            <v>9689906</v>
          </cell>
          <cell r="B4326">
            <v>341776</v>
          </cell>
          <cell r="C4326" t="str">
            <v>SERVICE - 800 NUMBERS</v>
          </cell>
        </row>
        <row r="4327">
          <cell r="A4327">
            <v>9689992</v>
          </cell>
          <cell r="B4327">
            <v>341776</v>
          </cell>
          <cell r="C4327" t="str">
            <v>SERVICE - 800 NUMBERS</v>
          </cell>
        </row>
        <row r="4328">
          <cell r="A4328">
            <v>9689883</v>
          </cell>
          <cell r="B4328">
            <v>341777</v>
          </cell>
          <cell r="C4328" t="str">
            <v>SERVICE - PAGERS</v>
          </cell>
        </row>
        <row r="4329">
          <cell r="A4329">
            <v>9689906</v>
          </cell>
          <cell r="B4329">
            <v>341777</v>
          </cell>
          <cell r="C4329" t="str">
            <v>SERVICE - PAGERS</v>
          </cell>
        </row>
        <row r="4330">
          <cell r="A4330">
            <v>9689992</v>
          </cell>
          <cell r="B4330">
            <v>341777</v>
          </cell>
          <cell r="C4330" t="str">
            <v>SERVICE - PAGERS</v>
          </cell>
        </row>
        <row r="4331">
          <cell r="A4331">
            <v>9080700</v>
          </cell>
          <cell r="B4331">
            <v>341779</v>
          </cell>
          <cell r="C4331" t="str">
            <v>OTHER TELECOMMUNICATION SERVIC</v>
          </cell>
        </row>
        <row r="4332">
          <cell r="A4332">
            <v>9080701</v>
          </cell>
          <cell r="B4332">
            <v>341779</v>
          </cell>
          <cell r="C4332" t="str">
            <v>OTHER TELECOMMUNICATION SERVIC</v>
          </cell>
        </row>
        <row r="4333">
          <cell r="A4333">
            <v>9080702</v>
          </cell>
          <cell r="B4333">
            <v>341779</v>
          </cell>
          <cell r="C4333" t="str">
            <v>OTHER TELECOMMUNICATION SERVIC</v>
          </cell>
        </row>
        <row r="4334">
          <cell r="A4334">
            <v>9080705</v>
          </cell>
          <cell r="B4334">
            <v>341779</v>
          </cell>
          <cell r="C4334" t="str">
            <v>OTHER TELECOMMUNICATION SERVIC</v>
          </cell>
        </row>
        <row r="4335">
          <cell r="A4335">
            <v>9080707</v>
          </cell>
          <cell r="B4335">
            <v>341779</v>
          </cell>
          <cell r="C4335" t="str">
            <v>OTHER TELECOMMUNICATION SERVIC</v>
          </cell>
        </row>
        <row r="4336">
          <cell r="A4336">
            <v>9080710</v>
          </cell>
          <cell r="B4336">
            <v>341779</v>
          </cell>
          <cell r="C4336" t="str">
            <v>OTHER TELECOMMUNICATION SERVIC</v>
          </cell>
        </row>
        <row r="4337">
          <cell r="A4337">
            <v>9090999</v>
          </cell>
          <cell r="B4337">
            <v>341779</v>
          </cell>
          <cell r="C4337" t="str">
            <v>OTHER TELECOMMUNICATION SERVIC</v>
          </cell>
        </row>
        <row r="4338">
          <cell r="A4338">
            <v>9100999</v>
          </cell>
          <cell r="B4338">
            <v>341779</v>
          </cell>
          <cell r="C4338" t="str">
            <v>OTHER TELECOMMUNICATION SERVIC</v>
          </cell>
        </row>
        <row r="4339">
          <cell r="A4339">
            <v>9110700</v>
          </cell>
          <cell r="B4339">
            <v>341779</v>
          </cell>
          <cell r="C4339" t="str">
            <v>OTHER TELECOMMUNICATION SERVIC</v>
          </cell>
        </row>
        <row r="4340">
          <cell r="A4340">
            <v>9110702</v>
          </cell>
          <cell r="B4340">
            <v>341779</v>
          </cell>
          <cell r="C4340" t="str">
            <v>OTHER TELECOMMUNICATION SERVIC</v>
          </cell>
        </row>
        <row r="4341">
          <cell r="A4341">
            <v>9110705</v>
          </cell>
          <cell r="B4341">
            <v>341779</v>
          </cell>
          <cell r="C4341" t="str">
            <v>OTHER TELECOMMUNICATION SERVIC</v>
          </cell>
        </row>
        <row r="4342">
          <cell r="A4342">
            <v>9110707</v>
          </cell>
          <cell r="B4342">
            <v>341779</v>
          </cell>
          <cell r="C4342" t="str">
            <v>OTHER TELECOMMUNICATION SERVIC</v>
          </cell>
        </row>
        <row r="4343">
          <cell r="A4343">
            <v>9680700</v>
          </cell>
          <cell r="B4343">
            <v>341779</v>
          </cell>
          <cell r="C4343" t="str">
            <v>OTHER TELECOMMUNICATION SERVIC</v>
          </cell>
        </row>
        <row r="4344">
          <cell r="A4344">
            <v>9680701</v>
          </cell>
          <cell r="B4344">
            <v>341779</v>
          </cell>
          <cell r="C4344" t="str">
            <v>OTHER TELECOMMUNICATION SERVIC</v>
          </cell>
        </row>
        <row r="4345">
          <cell r="A4345">
            <v>9680702</v>
          </cell>
          <cell r="B4345">
            <v>341779</v>
          </cell>
          <cell r="C4345" t="str">
            <v>OTHER TELECOMMUNICATION SERVIC</v>
          </cell>
        </row>
        <row r="4346">
          <cell r="A4346">
            <v>9680705</v>
          </cell>
          <cell r="B4346">
            <v>341779</v>
          </cell>
          <cell r="C4346" t="str">
            <v>OTHER TELECOMMUNICATION SERVIC</v>
          </cell>
        </row>
        <row r="4347">
          <cell r="A4347">
            <v>9680707</v>
          </cell>
          <cell r="B4347">
            <v>341779</v>
          </cell>
          <cell r="C4347" t="str">
            <v>OTHER TELECOMMUNICATION SERVIC</v>
          </cell>
        </row>
        <row r="4348">
          <cell r="A4348">
            <v>9680710</v>
          </cell>
          <cell r="B4348">
            <v>341779</v>
          </cell>
          <cell r="C4348" t="str">
            <v>OTHER TELECOMMUNICATION SERVIC</v>
          </cell>
        </row>
        <row r="4349">
          <cell r="A4349">
            <v>9680712</v>
          </cell>
          <cell r="B4349">
            <v>341779</v>
          </cell>
          <cell r="C4349" t="str">
            <v>OTHER TELECOMMUNICATION SERVIC</v>
          </cell>
        </row>
        <row r="4350">
          <cell r="A4350">
            <v>9680714</v>
          </cell>
          <cell r="B4350">
            <v>341779</v>
          </cell>
          <cell r="C4350" t="str">
            <v>OTHER TELECOMMUNICATION SERVIC</v>
          </cell>
        </row>
        <row r="4351">
          <cell r="A4351">
            <v>9680734</v>
          </cell>
          <cell r="B4351">
            <v>341779</v>
          </cell>
          <cell r="C4351" t="str">
            <v>OTHER TELECOMMUNICATION SERVIC</v>
          </cell>
        </row>
        <row r="4352">
          <cell r="A4352">
            <v>9680748</v>
          </cell>
          <cell r="B4352">
            <v>341779</v>
          </cell>
          <cell r="C4352" t="str">
            <v>OTHER TELECOMMUNICATION SERVIC</v>
          </cell>
        </row>
        <row r="4353">
          <cell r="A4353">
            <v>9680749</v>
          </cell>
          <cell r="B4353">
            <v>341779</v>
          </cell>
          <cell r="C4353" t="str">
            <v>OTHER TELECOMMUNICATION SERVIC</v>
          </cell>
        </row>
        <row r="4354">
          <cell r="A4354">
            <v>9680894</v>
          </cell>
          <cell r="B4354">
            <v>341779</v>
          </cell>
          <cell r="C4354" t="str">
            <v>OTHER TELECOMMUNICATION SERVIC</v>
          </cell>
        </row>
        <row r="4355">
          <cell r="A4355">
            <v>9680999</v>
          </cell>
          <cell r="B4355">
            <v>341779</v>
          </cell>
          <cell r="C4355" t="str">
            <v>OTHER TELECOMMUNICATION SERVIC</v>
          </cell>
        </row>
        <row r="4356">
          <cell r="A4356">
            <v>9681700</v>
          </cell>
          <cell r="B4356">
            <v>341779</v>
          </cell>
          <cell r="C4356" t="str">
            <v>OTHER TELECOMMUNICATION SERVIC</v>
          </cell>
        </row>
        <row r="4357">
          <cell r="A4357">
            <v>9681701</v>
          </cell>
          <cell r="B4357">
            <v>341779</v>
          </cell>
          <cell r="C4357" t="str">
            <v>OTHER TELECOMMUNICATION SERVIC</v>
          </cell>
        </row>
        <row r="4358">
          <cell r="A4358">
            <v>9681702</v>
          </cell>
          <cell r="B4358">
            <v>341779</v>
          </cell>
          <cell r="C4358" t="str">
            <v>OTHER TELECOMMUNICATION SERVIC</v>
          </cell>
        </row>
        <row r="4359">
          <cell r="A4359">
            <v>9681705</v>
          </cell>
          <cell r="B4359">
            <v>341779</v>
          </cell>
          <cell r="C4359" t="str">
            <v>OTHER TELECOMMUNICATION SERVIC</v>
          </cell>
        </row>
        <row r="4360">
          <cell r="A4360">
            <v>9681706</v>
          </cell>
          <cell r="B4360">
            <v>341779</v>
          </cell>
          <cell r="C4360" t="str">
            <v>OTHER TELECOMMUNICATION SERVIC</v>
          </cell>
        </row>
        <row r="4361">
          <cell r="A4361">
            <v>9681707</v>
          </cell>
          <cell r="B4361">
            <v>341779</v>
          </cell>
          <cell r="C4361" t="str">
            <v>OTHER TELECOMMUNICATION SERVIC</v>
          </cell>
        </row>
        <row r="4362">
          <cell r="A4362">
            <v>9681710</v>
          </cell>
          <cell r="B4362">
            <v>341779</v>
          </cell>
          <cell r="C4362" t="str">
            <v>OTHER TELECOMMUNICATION SERVIC</v>
          </cell>
        </row>
        <row r="4363">
          <cell r="A4363">
            <v>9681712</v>
          </cell>
          <cell r="B4363">
            <v>341779</v>
          </cell>
          <cell r="C4363" t="str">
            <v>OTHER TELECOMMUNICATION SERVIC</v>
          </cell>
        </row>
        <row r="4364">
          <cell r="A4364">
            <v>9681727</v>
          </cell>
          <cell r="B4364">
            <v>341779</v>
          </cell>
          <cell r="C4364" t="str">
            <v>OTHER TELECOMMUNICATION SERVIC</v>
          </cell>
        </row>
        <row r="4365">
          <cell r="A4365">
            <v>9681734</v>
          </cell>
          <cell r="B4365">
            <v>341779</v>
          </cell>
          <cell r="C4365" t="str">
            <v>OTHER TELECOMMUNICATION SERVIC</v>
          </cell>
        </row>
        <row r="4366">
          <cell r="A4366">
            <v>9681748</v>
          </cell>
          <cell r="B4366">
            <v>341779</v>
          </cell>
          <cell r="C4366" t="str">
            <v>OTHER TELECOMMUNICATION SERVIC</v>
          </cell>
        </row>
        <row r="4367">
          <cell r="A4367">
            <v>9681749</v>
          </cell>
          <cell r="B4367">
            <v>341779</v>
          </cell>
          <cell r="C4367" t="str">
            <v>OTHER TELECOMMUNICATION SERVIC</v>
          </cell>
        </row>
        <row r="4368">
          <cell r="A4368">
            <v>9681894</v>
          </cell>
          <cell r="B4368">
            <v>341779</v>
          </cell>
          <cell r="C4368" t="str">
            <v>OTHER TELECOMMUNICATION SERVIC</v>
          </cell>
        </row>
        <row r="4369">
          <cell r="A4369">
            <v>9681999</v>
          </cell>
          <cell r="B4369">
            <v>341779</v>
          </cell>
          <cell r="C4369" t="str">
            <v>OTHER TELECOMMUNICATION SERVIC</v>
          </cell>
        </row>
        <row r="4370">
          <cell r="A4370">
            <v>9682715</v>
          </cell>
          <cell r="B4370">
            <v>341779</v>
          </cell>
          <cell r="C4370" t="str">
            <v>OTHER TELECOMMUNICATION SERVIC</v>
          </cell>
        </row>
        <row r="4371">
          <cell r="A4371">
            <v>9682722</v>
          </cell>
          <cell r="B4371">
            <v>341779</v>
          </cell>
          <cell r="C4371" t="str">
            <v>OTHER TELECOMMUNICATION SERVIC</v>
          </cell>
        </row>
        <row r="4372">
          <cell r="A4372">
            <v>9682999</v>
          </cell>
          <cell r="B4372">
            <v>341779</v>
          </cell>
          <cell r="C4372" t="str">
            <v>OTHER TELECOMMUNICATION SERVIC</v>
          </cell>
        </row>
        <row r="4373">
          <cell r="A4373">
            <v>9683999</v>
          </cell>
          <cell r="B4373">
            <v>341779</v>
          </cell>
          <cell r="C4373" t="str">
            <v>OTHER TELECOMMUNICATION SERVIC</v>
          </cell>
        </row>
        <row r="4374">
          <cell r="A4374">
            <v>9684999</v>
          </cell>
          <cell r="B4374">
            <v>341779</v>
          </cell>
          <cell r="C4374" t="str">
            <v>OTHER TELECOMMUNICATION SERVIC</v>
          </cell>
        </row>
        <row r="4375">
          <cell r="A4375">
            <v>9689692</v>
          </cell>
          <cell r="B4375">
            <v>341779</v>
          </cell>
          <cell r="C4375" t="str">
            <v>OTHER TELECOMMUNICATION SERVIC</v>
          </cell>
        </row>
        <row r="4376">
          <cell r="A4376">
            <v>9689747</v>
          </cell>
          <cell r="B4376">
            <v>341779</v>
          </cell>
          <cell r="C4376" t="str">
            <v>OTHER TELECOMMUNICATION SERVIC</v>
          </cell>
        </row>
        <row r="4377">
          <cell r="A4377">
            <v>9689883</v>
          </cell>
          <cell r="B4377">
            <v>341779</v>
          </cell>
          <cell r="C4377" t="str">
            <v>OTHER TELECOMMUNICATION SERVIC</v>
          </cell>
        </row>
        <row r="4378">
          <cell r="A4378">
            <v>9689890</v>
          </cell>
          <cell r="B4378">
            <v>341779</v>
          </cell>
          <cell r="C4378" t="str">
            <v>OTHER TELECOMMUNICATION SERVIC</v>
          </cell>
        </row>
        <row r="4379">
          <cell r="A4379">
            <v>9689906</v>
          </cell>
          <cell r="B4379">
            <v>341779</v>
          </cell>
          <cell r="C4379" t="str">
            <v>OTHER TELECOMMUNICATION SERVIC</v>
          </cell>
        </row>
        <row r="4380">
          <cell r="A4380">
            <v>9689925</v>
          </cell>
          <cell r="B4380">
            <v>341779</v>
          </cell>
          <cell r="C4380" t="str">
            <v>OTHER TELECOMMUNICATION SERVIC</v>
          </cell>
        </row>
        <row r="4381">
          <cell r="A4381">
            <v>9689990</v>
          </cell>
          <cell r="B4381">
            <v>341779</v>
          </cell>
          <cell r="C4381" t="str">
            <v>OTHER TELECOMMUNICATION SERVIC</v>
          </cell>
        </row>
        <row r="4382">
          <cell r="A4382">
            <v>9689991</v>
          </cell>
          <cell r="B4382">
            <v>341779</v>
          </cell>
          <cell r="C4382" t="str">
            <v>OTHER TELECOMMUNICATION SERVIC</v>
          </cell>
        </row>
        <row r="4383">
          <cell r="A4383">
            <v>9689992</v>
          </cell>
          <cell r="B4383">
            <v>341779</v>
          </cell>
          <cell r="C4383" t="str">
            <v>OTHER TELECOMMUNICATION SERVIC</v>
          </cell>
        </row>
        <row r="4384">
          <cell r="A4384">
            <v>9689993</v>
          </cell>
          <cell r="B4384">
            <v>341779</v>
          </cell>
          <cell r="C4384" t="str">
            <v>OTHER TELECOMMUNICATION SERVIC</v>
          </cell>
        </row>
        <row r="4385">
          <cell r="A4385">
            <v>9689994</v>
          </cell>
          <cell r="B4385">
            <v>341779</v>
          </cell>
          <cell r="C4385" t="str">
            <v>OTHER TELECOMMUNICATION SERVIC</v>
          </cell>
        </row>
        <row r="4386">
          <cell r="A4386">
            <v>9720703</v>
          </cell>
          <cell r="B4386">
            <v>341886</v>
          </cell>
          <cell r="C4386" t="str">
            <v>DIRECT MARKETING - POSTAGE</v>
          </cell>
        </row>
        <row r="4387">
          <cell r="A4387">
            <v>9724718</v>
          </cell>
          <cell r="B4387">
            <v>341886</v>
          </cell>
          <cell r="C4387" t="str">
            <v>DIRECT MARKETING - POSTAGE</v>
          </cell>
        </row>
        <row r="4388">
          <cell r="A4388">
            <v>9724721</v>
          </cell>
          <cell r="B4388">
            <v>341886</v>
          </cell>
          <cell r="C4388" t="str">
            <v>DIRECT MARKETING - POSTAGE</v>
          </cell>
        </row>
        <row r="4389">
          <cell r="A4389">
            <v>9724724</v>
          </cell>
          <cell r="B4389">
            <v>341886</v>
          </cell>
          <cell r="C4389" t="str">
            <v>DIRECT MARKETING - POSTAGE</v>
          </cell>
        </row>
        <row r="4390">
          <cell r="A4390">
            <v>9725703</v>
          </cell>
          <cell r="B4390">
            <v>341886</v>
          </cell>
          <cell r="C4390" t="str">
            <v>DIRECT MARKETING - POSTAGE</v>
          </cell>
        </row>
        <row r="4391">
          <cell r="A4391">
            <v>9725704</v>
          </cell>
          <cell r="B4391">
            <v>341886</v>
          </cell>
          <cell r="C4391" t="str">
            <v>DIRECT MARKETING - POSTAGE</v>
          </cell>
        </row>
        <row r="4392">
          <cell r="A4392">
            <v>9725711</v>
          </cell>
          <cell r="B4392">
            <v>341886</v>
          </cell>
          <cell r="C4392" t="str">
            <v>DIRECT MARKETING - POSTAGE</v>
          </cell>
        </row>
        <row r="4393">
          <cell r="A4393">
            <v>9725717</v>
          </cell>
          <cell r="B4393">
            <v>341886</v>
          </cell>
          <cell r="C4393" t="str">
            <v>DIRECT MARKETING - POSTAGE</v>
          </cell>
        </row>
        <row r="4394">
          <cell r="A4394">
            <v>9725725</v>
          </cell>
          <cell r="B4394">
            <v>341886</v>
          </cell>
          <cell r="C4394" t="str">
            <v>DIRECT MARKETING - POSTAGE</v>
          </cell>
        </row>
        <row r="4395">
          <cell r="A4395">
            <v>9080700</v>
          </cell>
          <cell r="B4395">
            <v>341979</v>
          </cell>
          <cell r="C4395" t="str">
            <v>VOICE/DATA TELECOMMUNICATIONS-PRORATE</v>
          </cell>
        </row>
        <row r="4396">
          <cell r="A4396">
            <v>9080701</v>
          </cell>
          <cell r="B4396">
            <v>341979</v>
          </cell>
          <cell r="C4396" t="str">
            <v>VOICE/DATA TELECOMMUNICATIONS-PRORATE</v>
          </cell>
        </row>
        <row r="4397">
          <cell r="A4397">
            <v>9080702</v>
          </cell>
          <cell r="B4397">
            <v>341979</v>
          </cell>
          <cell r="C4397" t="str">
            <v>VOICE/DATA TELECOMMUNICATIONS-PRORATE</v>
          </cell>
        </row>
        <row r="4398">
          <cell r="A4398">
            <v>9080705</v>
          </cell>
          <cell r="B4398">
            <v>341979</v>
          </cell>
          <cell r="C4398" t="str">
            <v>VOICE/DATA TELECOMMUNICATIONS-PRORATE</v>
          </cell>
        </row>
        <row r="4399">
          <cell r="A4399">
            <v>9080707</v>
          </cell>
          <cell r="B4399">
            <v>341979</v>
          </cell>
          <cell r="C4399" t="str">
            <v>VOICE/DATA TELECOMMUNICATIONS-PRORATE</v>
          </cell>
        </row>
        <row r="4400">
          <cell r="A4400">
            <v>9080710</v>
          </cell>
          <cell r="B4400">
            <v>341979</v>
          </cell>
          <cell r="C4400" t="str">
            <v>VOICE/DATA TELECOMMUNICATIONS-PRORATE</v>
          </cell>
        </row>
        <row r="4401">
          <cell r="A4401">
            <v>9090999</v>
          </cell>
          <cell r="B4401">
            <v>341979</v>
          </cell>
          <cell r="C4401" t="str">
            <v>VOICE/DATA TELECOMMUNICATIONS-PRORATE</v>
          </cell>
        </row>
        <row r="4402">
          <cell r="A4402">
            <v>9100999</v>
          </cell>
          <cell r="B4402">
            <v>341979</v>
          </cell>
          <cell r="C4402" t="str">
            <v>VOICE/DATA TELECOMMUNICATIONS-PRORATE</v>
          </cell>
        </row>
        <row r="4403">
          <cell r="A4403">
            <v>9110700</v>
          </cell>
          <cell r="B4403">
            <v>341979</v>
          </cell>
          <cell r="C4403" t="str">
            <v>VOICE/DATA TELECOMMUNICATIONS-PRORATE</v>
          </cell>
        </row>
        <row r="4404">
          <cell r="A4404">
            <v>9110702</v>
          </cell>
          <cell r="B4404">
            <v>341979</v>
          </cell>
          <cell r="C4404" t="str">
            <v>VOICE/DATA TELECOMMUNICATIONS-PRORATE</v>
          </cell>
        </row>
        <row r="4405">
          <cell r="A4405">
            <v>9110705</v>
          </cell>
          <cell r="B4405">
            <v>341979</v>
          </cell>
          <cell r="C4405" t="str">
            <v>VOICE/DATA TELECOMMUNICATIONS-PRORATE</v>
          </cell>
        </row>
        <row r="4406">
          <cell r="A4406">
            <v>9110707</v>
          </cell>
          <cell r="B4406">
            <v>341979</v>
          </cell>
          <cell r="C4406" t="str">
            <v>VOICE/DATA TELECOMMUNICATIONS-PRORATE</v>
          </cell>
        </row>
        <row r="4407">
          <cell r="A4407">
            <v>9680700</v>
          </cell>
          <cell r="B4407">
            <v>341979</v>
          </cell>
          <cell r="C4407" t="str">
            <v>VOICE/DATA TELECOMMUNICATIONS-PRORATE</v>
          </cell>
        </row>
        <row r="4408">
          <cell r="A4408">
            <v>9680701</v>
          </cell>
          <cell r="B4408">
            <v>341979</v>
          </cell>
          <cell r="C4408" t="str">
            <v>VOICE/DATA TELECOMMUNICATIONS-PRORATE</v>
          </cell>
        </row>
        <row r="4409">
          <cell r="A4409">
            <v>9680702</v>
          </cell>
          <cell r="B4409">
            <v>341979</v>
          </cell>
          <cell r="C4409" t="str">
            <v>VOICE/DATA TELECOMMUNICATIONS-PRORATE</v>
          </cell>
        </row>
        <row r="4410">
          <cell r="A4410">
            <v>9680705</v>
          </cell>
          <cell r="B4410">
            <v>341979</v>
          </cell>
          <cell r="C4410" t="str">
            <v>VOICE/DATA TELECOMMUNICATIONS-PRORATE</v>
          </cell>
        </row>
        <row r="4411">
          <cell r="A4411">
            <v>9680707</v>
          </cell>
          <cell r="B4411">
            <v>341979</v>
          </cell>
          <cell r="C4411" t="str">
            <v>VOICE/DATA TELECOMMUNICATIONS-PRORATE</v>
          </cell>
        </row>
        <row r="4412">
          <cell r="A4412">
            <v>9680710</v>
          </cell>
          <cell r="B4412">
            <v>341979</v>
          </cell>
          <cell r="C4412" t="str">
            <v>VOICE/DATA TELECOMMUNICATIONS-PRORATE</v>
          </cell>
        </row>
        <row r="4413">
          <cell r="A4413">
            <v>9680712</v>
          </cell>
          <cell r="B4413">
            <v>341979</v>
          </cell>
          <cell r="C4413" t="str">
            <v>VOICE/DATA TELECOMMUNICATIONS-PRORATE</v>
          </cell>
        </row>
        <row r="4414">
          <cell r="A4414">
            <v>9680714</v>
          </cell>
          <cell r="B4414">
            <v>341979</v>
          </cell>
          <cell r="C4414" t="str">
            <v>VOICE/DATA TELECOMMUNICATIONS-PRORATE</v>
          </cell>
        </row>
        <row r="4415">
          <cell r="A4415">
            <v>9680734</v>
          </cell>
          <cell r="B4415">
            <v>341979</v>
          </cell>
          <cell r="C4415" t="str">
            <v>VOICE/DATA TELECOMMUNICATIONS-PRORATE</v>
          </cell>
        </row>
        <row r="4416">
          <cell r="A4416">
            <v>9680748</v>
          </cell>
          <cell r="B4416">
            <v>341979</v>
          </cell>
          <cell r="C4416" t="str">
            <v>VOICE/DATA TELECOMMUNICATIONS-PRORATE</v>
          </cell>
        </row>
        <row r="4417">
          <cell r="A4417">
            <v>9680749</v>
          </cell>
          <cell r="B4417">
            <v>341979</v>
          </cell>
          <cell r="C4417" t="str">
            <v>VOICE/DATA TELECOMMUNICATIONS-PRORATE</v>
          </cell>
        </row>
        <row r="4418">
          <cell r="A4418">
            <v>9680894</v>
          </cell>
          <cell r="B4418">
            <v>341979</v>
          </cell>
          <cell r="C4418" t="str">
            <v>VOICE/DATA TELECOMMUNICATIONS-PRORATE</v>
          </cell>
        </row>
        <row r="4419">
          <cell r="A4419">
            <v>9680999</v>
          </cell>
          <cell r="B4419">
            <v>341979</v>
          </cell>
          <cell r="C4419" t="str">
            <v>VOICE/DATA TELECOMMUNICATIONS-PRORATE</v>
          </cell>
        </row>
        <row r="4420">
          <cell r="A4420">
            <v>9681700</v>
          </cell>
          <cell r="B4420">
            <v>341979</v>
          </cell>
          <cell r="C4420" t="str">
            <v>VOICE/DATA TELECOMMUNICATIONS-PRORATE</v>
          </cell>
        </row>
        <row r="4421">
          <cell r="A4421">
            <v>9681701</v>
          </cell>
          <cell r="B4421">
            <v>341979</v>
          </cell>
          <cell r="C4421" t="str">
            <v>VOICE/DATA TELECOMMUNICATIONS-PRORATE</v>
          </cell>
        </row>
        <row r="4422">
          <cell r="A4422">
            <v>9681702</v>
          </cell>
          <cell r="B4422">
            <v>341979</v>
          </cell>
          <cell r="C4422" t="str">
            <v>VOICE/DATA TELECOMMUNICATIONS-PRORATE</v>
          </cell>
        </row>
        <row r="4423">
          <cell r="A4423">
            <v>9681705</v>
          </cell>
          <cell r="B4423">
            <v>341979</v>
          </cell>
          <cell r="C4423" t="str">
            <v>VOICE/DATA TELECOMMUNICATIONS-PRORATE</v>
          </cell>
        </row>
        <row r="4424">
          <cell r="A4424">
            <v>9681706</v>
          </cell>
          <cell r="B4424">
            <v>341979</v>
          </cell>
          <cell r="C4424" t="str">
            <v>VOICE/DATA TELECOMMUNICATIONS-PRORATE</v>
          </cell>
        </row>
        <row r="4425">
          <cell r="A4425">
            <v>9681707</v>
          </cell>
          <cell r="B4425">
            <v>341979</v>
          </cell>
          <cell r="C4425" t="str">
            <v>VOICE/DATA TELECOMMUNICATIONS-PRORATE</v>
          </cell>
        </row>
        <row r="4426">
          <cell r="A4426">
            <v>9681710</v>
          </cell>
          <cell r="B4426">
            <v>341979</v>
          </cell>
          <cell r="C4426" t="str">
            <v>VOICE/DATA TELECOMMUNICATIONS-PRORATE</v>
          </cell>
        </row>
        <row r="4427">
          <cell r="A4427">
            <v>9681712</v>
          </cell>
          <cell r="B4427">
            <v>341979</v>
          </cell>
          <cell r="C4427" t="str">
            <v>VOICE/DATA TELECOMMUNICATIONS-PRORATE</v>
          </cell>
        </row>
        <row r="4428">
          <cell r="A4428">
            <v>9681727</v>
          </cell>
          <cell r="B4428">
            <v>341979</v>
          </cell>
          <cell r="C4428" t="str">
            <v>VOICE/DATA TELECOMMUNICATIONS-PRORATE</v>
          </cell>
        </row>
        <row r="4429">
          <cell r="A4429">
            <v>9681734</v>
          </cell>
          <cell r="B4429">
            <v>341979</v>
          </cell>
          <cell r="C4429" t="str">
            <v>VOICE/DATA TELECOMMUNICATIONS-PRORATE</v>
          </cell>
        </row>
        <row r="4430">
          <cell r="A4430">
            <v>9681748</v>
          </cell>
          <cell r="B4430">
            <v>341979</v>
          </cell>
          <cell r="C4430" t="str">
            <v>VOICE/DATA TELECOMMUNICATIONS-PRORATE</v>
          </cell>
        </row>
        <row r="4431">
          <cell r="A4431">
            <v>9681749</v>
          </cell>
          <cell r="B4431">
            <v>341979</v>
          </cell>
          <cell r="C4431" t="str">
            <v>VOICE/DATA TELECOMMUNICATIONS-PRORATE</v>
          </cell>
        </row>
        <row r="4432">
          <cell r="A4432">
            <v>9681894</v>
          </cell>
          <cell r="B4432">
            <v>341979</v>
          </cell>
          <cell r="C4432" t="str">
            <v>VOICE/DATA TELECOMMUNICATIONS-PRORATE</v>
          </cell>
        </row>
        <row r="4433">
          <cell r="A4433">
            <v>9681999</v>
          </cell>
          <cell r="B4433">
            <v>341979</v>
          </cell>
          <cell r="C4433" t="str">
            <v>VOICE/DATA TELECOMMUNICATIONS-PRORATE</v>
          </cell>
        </row>
        <row r="4434">
          <cell r="A4434">
            <v>9682715</v>
          </cell>
          <cell r="B4434">
            <v>341979</v>
          </cell>
          <cell r="C4434" t="str">
            <v>VOICE/DATA TELECOMMUNICATIONS-PRORATE</v>
          </cell>
        </row>
        <row r="4435">
          <cell r="A4435">
            <v>9682722</v>
          </cell>
          <cell r="B4435">
            <v>341979</v>
          </cell>
          <cell r="C4435" t="str">
            <v>VOICE/DATA TELECOMMUNICATIONS-PRORATE</v>
          </cell>
        </row>
        <row r="4436">
          <cell r="A4436">
            <v>9682999</v>
          </cell>
          <cell r="B4436">
            <v>341979</v>
          </cell>
          <cell r="C4436" t="str">
            <v>VOICE/DATA TELECOMMUNICATIONS-PRORATE</v>
          </cell>
        </row>
        <row r="4437">
          <cell r="A4437">
            <v>9683999</v>
          </cell>
          <cell r="B4437">
            <v>341979</v>
          </cell>
          <cell r="C4437" t="str">
            <v>VOICE/DATA TELECOMMUNICATIONS-PRORATE</v>
          </cell>
        </row>
        <row r="4438">
          <cell r="A4438">
            <v>9684999</v>
          </cell>
          <cell r="B4438">
            <v>341979</v>
          </cell>
          <cell r="C4438" t="str">
            <v>VOICE/DATA TELECOMMUNICATIONS-PRORATE</v>
          </cell>
        </row>
        <row r="4439">
          <cell r="A4439">
            <v>9689692</v>
          </cell>
          <cell r="B4439">
            <v>341979</v>
          </cell>
          <cell r="C4439" t="str">
            <v>VOICE/DATA TELECOMMUNICATIONS-PRORATE</v>
          </cell>
        </row>
        <row r="4440">
          <cell r="A4440">
            <v>9689747</v>
          </cell>
          <cell r="B4440">
            <v>341979</v>
          </cell>
          <cell r="C4440" t="str">
            <v>VOICE/DATA TELECOMMUNICATIONS-PRORATE</v>
          </cell>
        </row>
        <row r="4441">
          <cell r="A4441">
            <v>9689883</v>
          </cell>
          <cell r="B4441">
            <v>341979</v>
          </cell>
          <cell r="C4441" t="str">
            <v>VOICE/DATA TELECOMMUNICATIONS-PRORATE</v>
          </cell>
        </row>
        <row r="4442">
          <cell r="A4442">
            <v>9689890</v>
          </cell>
          <cell r="B4442">
            <v>341979</v>
          </cell>
          <cell r="C4442" t="str">
            <v>VOICE/DATA TELECOMMUNICATIONS-PRORATE</v>
          </cell>
        </row>
        <row r="4443">
          <cell r="A4443">
            <v>9689906</v>
          </cell>
          <cell r="B4443">
            <v>341979</v>
          </cell>
          <cell r="C4443" t="str">
            <v>VOICE/DATA TELECOMMUNICATIONS-PRORATE</v>
          </cell>
        </row>
        <row r="4444">
          <cell r="A4444">
            <v>9689925</v>
          </cell>
          <cell r="B4444">
            <v>341979</v>
          </cell>
          <cell r="C4444" t="str">
            <v>VOICE/DATA TELECOMMUNICATIONS-PRORATE</v>
          </cell>
        </row>
        <row r="4445">
          <cell r="A4445">
            <v>9689990</v>
          </cell>
          <cell r="B4445">
            <v>341979</v>
          </cell>
          <cell r="C4445" t="str">
            <v>VOICE/DATA TELECOMMUNICATIONS-PRORATE</v>
          </cell>
        </row>
        <row r="4446">
          <cell r="A4446">
            <v>9689991</v>
          </cell>
          <cell r="B4446">
            <v>341979</v>
          </cell>
          <cell r="C4446" t="str">
            <v>VOICE/DATA TELECOMMUNICATIONS-PRORATE</v>
          </cell>
        </row>
        <row r="4447">
          <cell r="A4447">
            <v>9689992</v>
          </cell>
          <cell r="B4447">
            <v>341979</v>
          </cell>
          <cell r="C4447" t="str">
            <v>VOICE/DATA TELECOMMUNICATIONS-PRORATE</v>
          </cell>
        </row>
        <row r="4448">
          <cell r="A4448">
            <v>9720703</v>
          </cell>
          <cell r="B4448">
            <v>342019</v>
          </cell>
          <cell r="C4448" t="str">
            <v>INSPECTION FEES-CITY</v>
          </cell>
        </row>
        <row r="4449">
          <cell r="A4449">
            <v>9723723</v>
          </cell>
          <cell r="B4449">
            <v>342019</v>
          </cell>
          <cell r="C4449" t="str">
            <v>INSPECTION FEES-CITY</v>
          </cell>
        </row>
        <row r="4450">
          <cell r="A4450">
            <v>9723729</v>
          </cell>
          <cell r="B4450">
            <v>342019</v>
          </cell>
          <cell r="C4450" t="str">
            <v>INSPECTION FEES-CITY</v>
          </cell>
        </row>
        <row r="4451">
          <cell r="A4451">
            <v>9724718</v>
          </cell>
          <cell r="B4451">
            <v>342019</v>
          </cell>
          <cell r="C4451" t="str">
            <v>INSPECTION FEES-CITY</v>
          </cell>
        </row>
        <row r="4452">
          <cell r="A4452">
            <v>9724721</v>
          </cell>
          <cell r="B4452">
            <v>342019</v>
          </cell>
          <cell r="C4452" t="str">
            <v>INSPECTION FEES-CITY</v>
          </cell>
        </row>
        <row r="4453">
          <cell r="A4453">
            <v>9724724</v>
          </cell>
          <cell r="B4453">
            <v>342019</v>
          </cell>
          <cell r="C4453" t="str">
            <v>INSPECTION FEES-CITY</v>
          </cell>
        </row>
        <row r="4454">
          <cell r="A4454">
            <v>9725703</v>
          </cell>
          <cell r="B4454">
            <v>342019</v>
          </cell>
          <cell r="C4454" t="str">
            <v>INSPECTION FEES-CITY</v>
          </cell>
        </row>
        <row r="4455">
          <cell r="A4455">
            <v>9725704</v>
          </cell>
          <cell r="B4455">
            <v>342019</v>
          </cell>
          <cell r="C4455" t="str">
            <v>INSPECTION FEES-CITY</v>
          </cell>
        </row>
        <row r="4456">
          <cell r="A4456">
            <v>9725711</v>
          </cell>
          <cell r="B4456">
            <v>342019</v>
          </cell>
          <cell r="C4456" t="str">
            <v>INSPECTION FEES-CITY</v>
          </cell>
        </row>
        <row r="4457">
          <cell r="A4457">
            <v>9725717</v>
          </cell>
          <cell r="B4457">
            <v>342019</v>
          </cell>
          <cell r="C4457" t="str">
            <v>INSPECTION FEES-CITY</v>
          </cell>
        </row>
        <row r="4458">
          <cell r="A4458">
            <v>9725725</v>
          </cell>
          <cell r="B4458">
            <v>342019</v>
          </cell>
          <cell r="C4458" t="str">
            <v>INSPECTION FEES-CITY</v>
          </cell>
        </row>
        <row r="4459">
          <cell r="A4459">
            <v>9080700</v>
          </cell>
          <cell r="B4459">
            <v>342049</v>
          </cell>
          <cell r="C4459" t="str">
            <v>SUBSCRIPTIONS</v>
          </cell>
        </row>
        <row r="4460">
          <cell r="A4460">
            <v>9080701</v>
          </cell>
          <cell r="B4460">
            <v>342049</v>
          </cell>
          <cell r="C4460" t="str">
            <v>SUBSCRIPTIONS</v>
          </cell>
        </row>
        <row r="4461">
          <cell r="A4461">
            <v>9080702</v>
          </cell>
          <cell r="B4461">
            <v>342049</v>
          </cell>
          <cell r="C4461" t="str">
            <v>SUBSCRIPTIONS</v>
          </cell>
        </row>
        <row r="4462">
          <cell r="A4462">
            <v>9080705</v>
          </cell>
          <cell r="B4462">
            <v>342049</v>
          </cell>
          <cell r="C4462" t="str">
            <v>SUBSCRIPTIONS</v>
          </cell>
        </row>
        <row r="4463">
          <cell r="A4463">
            <v>9080707</v>
          </cell>
          <cell r="B4463">
            <v>342049</v>
          </cell>
          <cell r="C4463" t="str">
            <v>SUBSCRIPTIONS</v>
          </cell>
        </row>
        <row r="4464">
          <cell r="A4464">
            <v>9080710</v>
          </cell>
          <cell r="B4464">
            <v>342049</v>
          </cell>
          <cell r="C4464" t="str">
            <v>SUBSCRIPTIONS</v>
          </cell>
        </row>
        <row r="4465">
          <cell r="A4465">
            <v>9080999</v>
          </cell>
          <cell r="B4465">
            <v>342049</v>
          </cell>
          <cell r="C4465" t="str">
            <v>SUBSCRIPTIONS</v>
          </cell>
        </row>
        <row r="4466">
          <cell r="A4466">
            <v>9090999</v>
          </cell>
          <cell r="B4466">
            <v>342049</v>
          </cell>
          <cell r="C4466" t="str">
            <v>SUBSCRIPTIONS</v>
          </cell>
        </row>
        <row r="4467">
          <cell r="A4467">
            <v>9100999</v>
          </cell>
          <cell r="B4467">
            <v>342049</v>
          </cell>
          <cell r="C4467" t="str">
            <v>SUBSCRIPTIONS</v>
          </cell>
        </row>
        <row r="4468">
          <cell r="A4468">
            <v>9110700</v>
          </cell>
          <cell r="B4468">
            <v>342049</v>
          </cell>
          <cell r="C4468" t="str">
            <v>SUBSCRIPTIONS</v>
          </cell>
        </row>
        <row r="4469">
          <cell r="A4469">
            <v>9110702</v>
          </cell>
          <cell r="B4469">
            <v>342049</v>
          </cell>
          <cell r="C4469" t="str">
            <v>SUBSCRIPTIONS</v>
          </cell>
        </row>
        <row r="4470">
          <cell r="A4470">
            <v>9110705</v>
          </cell>
          <cell r="B4470">
            <v>342049</v>
          </cell>
          <cell r="C4470" t="str">
            <v>SUBSCRIPTIONS</v>
          </cell>
        </row>
        <row r="4471">
          <cell r="A4471">
            <v>9110707</v>
          </cell>
          <cell r="B4471">
            <v>342049</v>
          </cell>
          <cell r="C4471" t="str">
            <v>SUBSCRIPTIONS</v>
          </cell>
        </row>
        <row r="4472">
          <cell r="A4472">
            <v>9110999</v>
          </cell>
          <cell r="B4472">
            <v>342049</v>
          </cell>
          <cell r="C4472" t="str">
            <v>SUBSCRIPTIONS</v>
          </cell>
        </row>
        <row r="4473">
          <cell r="A4473">
            <v>9680700</v>
          </cell>
          <cell r="B4473">
            <v>342049</v>
          </cell>
          <cell r="C4473" t="str">
            <v>SUBSCRIPTIONS</v>
          </cell>
        </row>
        <row r="4474">
          <cell r="A4474">
            <v>9680701</v>
          </cell>
          <cell r="B4474">
            <v>342049</v>
          </cell>
          <cell r="C4474" t="str">
            <v>SUBSCRIPTIONS</v>
          </cell>
        </row>
        <row r="4475">
          <cell r="A4475">
            <v>9680702</v>
          </cell>
          <cell r="B4475">
            <v>342049</v>
          </cell>
          <cell r="C4475" t="str">
            <v>SUBSCRIPTIONS</v>
          </cell>
        </row>
        <row r="4476">
          <cell r="A4476">
            <v>9680705</v>
          </cell>
          <cell r="B4476">
            <v>342049</v>
          </cell>
          <cell r="C4476" t="str">
            <v>SUBSCRIPTIONS</v>
          </cell>
        </row>
        <row r="4477">
          <cell r="A4477">
            <v>9680707</v>
          </cell>
          <cell r="B4477">
            <v>342049</v>
          </cell>
          <cell r="C4477" t="str">
            <v>SUBSCRIPTIONS</v>
          </cell>
        </row>
        <row r="4478">
          <cell r="A4478">
            <v>9680710</v>
          </cell>
          <cell r="B4478">
            <v>342049</v>
          </cell>
          <cell r="C4478" t="str">
            <v>SUBSCRIPTIONS</v>
          </cell>
        </row>
        <row r="4479">
          <cell r="A4479">
            <v>9680712</v>
          </cell>
          <cell r="B4479">
            <v>342049</v>
          </cell>
          <cell r="C4479" t="str">
            <v>SUBSCRIPTIONS</v>
          </cell>
        </row>
        <row r="4480">
          <cell r="A4480">
            <v>9680714</v>
          </cell>
          <cell r="B4480">
            <v>342049</v>
          </cell>
          <cell r="C4480" t="str">
            <v>SUBSCRIPTIONS</v>
          </cell>
        </row>
        <row r="4481">
          <cell r="A4481">
            <v>9680734</v>
          </cell>
          <cell r="B4481">
            <v>342049</v>
          </cell>
          <cell r="C4481" t="str">
            <v>SUBSCRIPTIONS</v>
          </cell>
        </row>
        <row r="4482">
          <cell r="A4482">
            <v>9680748</v>
          </cell>
          <cell r="B4482">
            <v>342049</v>
          </cell>
          <cell r="C4482" t="str">
            <v>SUBSCRIPTIONS</v>
          </cell>
        </row>
        <row r="4483">
          <cell r="A4483">
            <v>9680749</v>
          </cell>
          <cell r="B4483">
            <v>342049</v>
          </cell>
          <cell r="C4483" t="str">
            <v>SUBSCRIPTIONS</v>
          </cell>
        </row>
        <row r="4484">
          <cell r="A4484">
            <v>9680894</v>
          </cell>
          <cell r="B4484">
            <v>342049</v>
          </cell>
          <cell r="C4484" t="str">
            <v>SUBSCRIPTIONS</v>
          </cell>
        </row>
        <row r="4485">
          <cell r="A4485">
            <v>9680999</v>
          </cell>
          <cell r="B4485">
            <v>342049</v>
          </cell>
          <cell r="C4485" t="str">
            <v>SUBSCRIPTIONS</v>
          </cell>
        </row>
        <row r="4486">
          <cell r="A4486">
            <v>9681700</v>
          </cell>
          <cell r="B4486">
            <v>342049</v>
          </cell>
          <cell r="C4486" t="str">
            <v>SUBSCRIPTIONS</v>
          </cell>
        </row>
        <row r="4487">
          <cell r="A4487">
            <v>9681701</v>
          </cell>
          <cell r="B4487">
            <v>342049</v>
          </cell>
          <cell r="C4487" t="str">
            <v>SUBSCRIPTIONS</v>
          </cell>
        </row>
        <row r="4488">
          <cell r="A4488">
            <v>9681702</v>
          </cell>
          <cell r="B4488">
            <v>342049</v>
          </cell>
          <cell r="C4488" t="str">
            <v>SUBSCRIPTIONS</v>
          </cell>
        </row>
        <row r="4489">
          <cell r="A4489">
            <v>9681705</v>
          </cell>
          <cell r="B4489">
            <v>342049</v>
          </cell>
          <cell r="C4489" t="str">
            <v>SUBSCRIPTIONS</v>
          </cell>
        </row>
        <row r="4490">
          <cell r="A4490">
            <v>9681706</v>
          </cell>
          <cell r="B4490">
            <v>342049</v>
          </cell>
          <cell r="C4490" t="str">
            <v>SUBSCRIPTIONS</v>
          </cell>
        </row>
        <row r="4491">
          <cell r="A4491">
            <v>9681707</v>
          </cell>
          <cell r="B4491">
            <v>342049</v>
          </cell>
          <cell r="C4491" t="str">
            <v>SUBSCRIPTIONS</v>
          </cell>
        </row>
        <row r="4492">
          <cell r="A4492">
            <v>9681710</v>
          </cell>
          <cell r="B4492">
            <v>342049</v>
          </cell>
          <cell r="C4492" t="str">
            <v>SUBSCRIPTIONS</v>
          </cell>
        </row>
        <row r="4493">
          <cell r="A4493">
            <v>9681712</v>
          </cell>
          <cell r="B4493">
            <v>342049</v>
          </cell>
          <cell r="C4493" t="str">
            <v>SUBSCRIPTIONS</v>
          </cell>
        </row>
        <row r="4494">
          <cell r="A4494">
            <v>9681727</v>
          </cell>
          <cell r="B4494">
            <v>342049</v>
          </cell>
          <cell r="C4494" t="str">
            <v>SUBSCRIPTIONS</v>
          </cell>
        </row>
        <row r="4495">
          <cell r="A4495">
            <v>9681734</v>
          </cell>
          <cell r="B4495">
            <v>342049</v>
          </cell>
          <cell r="C4495" t="str">
            <v>SUBSCRIPTIONS</v>
          </cell>
        </row>
        <row r="4496">
          <cell r="A4496">
            <v>9681748</v>
          </cell>
          <cell r="B4496">
            <v>342049</v>
          </cell>
          <cell r="C4496" t="str">
            <v>SUBSCRIPTIONS</v>
          </cell>
        </row>
        <row r="4497">
          <cell r="A4497">
            <v>9681749</v>
          </cell>
          <cell r="B4497">
            <v>342049</v>
          </cell>
          <cell r="C4497" t="str">
            <v>SUBSCRIPTIONS</v>
          </cell>
        </row>
        <row r="4498">
          <cell r="A4498">
            <v>9681894</v>
          </cell>
          <cell r="B4498">
            <v>342049</v>
          </cell>
          <cell r="C4498" t="str">
            <v>SUBSCRIPTIONS</v>
          </cell>
        </row>
        <row r="4499">
          <cell r="A4499">
            <v>9681999</v>
          </cell>
          <cell r="B4499">
            <v>342049</v>
          </cell>
          <cell r="C4499" t="str">
            <v>SUBSCRIPTIONS</v>
          </cell>
        </row>
        <row r="4500">
          <cell r="A4500">
            <v>9683999</v>
          </cell>
          <cell r="B4500">
            <v>342049</v>
          </cell>
          <cell r="C4500" t="str">
            <v>SUBSCRIPTIONS</v>
          </cell>
        </row>
        <row r="4501">
          <cell r="A4501">
            <v>9684999</v>
          </cell>
          <cell r="B4501">
            <v>342049</v>
          </cell>
          <cell r="C4501" t="str">
            <v>SUBSCRIPTIONS</v>
          </cell>
        </row>
        <row r="4502">
          <cell r="A4502">
            <v>9689692</v>
          </cell>
          <cell r="B4502">
            <v>342049</v>
          </cell>
          <cell r="C4502" t="str">
            <v>SUBSCRIPTIONS</v>
          </cell>
        </row>
        <row r="4503">
          <cell r="A4503">
            <v>9689747</v>
          </cell>
          <cell r="B4503">
            <v>342049</v>
          </cell>
          <cell r="C4503" t="str">
            <v>SUBSCRIPTIONS</v>
          </cell>
        </row>
        <row r="4504">
          <cell r="A4504">
            <v>9689890</v>
          </cell>
          <cell r="B4504">
            <v>342049</v>
          </cell>
          <cell r="C4504" t="str">
            <v>SUBSCRIPTIONS</v>
          </cell>
        </row>
        <row r="4505">
          <cell r="A4505">
            <v>9689925</v>
          </cell>
          <cell r="B4505">
            <v>342049</v>
          </cell>
          <cell r="C4505" t="str">
            <v>SUBSCRIPTIONS</v>
          </cell>
        </row>
        <row r="4506">
          <cell r="A4506">
            <v>9689990</v>
          </cell>
          <cell r="B4506">
            <v>342049</v>
          </cell>
          <cell r="C4506" t="str">
            <v>SUBSCRIPTIONS</v>
          </cell>
        </row>
        <row r="4507">
          <cell r="A4507">
            <v>9689993</v>
          </cell>
          <cell r="B4507">
            <v>342049</v>
          </cell>
          <cell r="C4507" t="str">
            <v>SUBSCRIPTIONS</v>
          </cell>
        </row>
        <row r="4508">
          <cell r="A4508">
            <v>9689994</v>
          </cell>
          <cell r="B4508">
            <v>342049</v>
          </cell>
          <cell r="C4508" t="str">
            <v>SUBSCRIPTIONS</v>
          </cell>
        </row>
        <row r="4509">
          <cell r="A4509">
            <v>9722709</v>
          </cell>
          <cell r="B4509">
            <v>342058</v>
          </cell>
          <cell r="C4509" t="str">
            <v>MISCELLANEOUS OFFICE ADJUSTMEN</v>
          </cell>
        </row>
        <row r="4510">
          <cell r="A4510">
            <v>9722713</v>
          </cell>
          <cell r="B4510">
            <v>342058</v>
          </cell>
          <cell r="C4510" t="str">
            <v>MISCELLANEOUS OFFICE ADJUSTMEN</v>
          </cell>
        </row>
        <row r="4511">
          <cell r="A4511">
            <v>8001054179</v>
          </cell>
          <cell r="B4511">
            <v>342061</v>
          </cell>
          <cell r="C4511" t="str">
            <v>SETTLEMENT CLAIMS EXPENSES</v>
          </cell>
        </row>
        <row r="4512">
          <cell r="A4512">
            <v>8001059542</v>
          </cell>
          <cell r="B4512">
            <v>342061</v>
          </cell>
          <cell r="C4512" t="str">
            <v>SETTLEMENT CLAIMS EXPENSES</v>
          </cell>
        </row>
        <row r="4513">
          <cell r="A4513">
            <v>8010512510</v>
          </cell>
          <cell r="B4513">
            <v>342061</v>
          </cell>
          <cell r="C4513" t="str">
            <v>SETTLEMENT CLAIMS EXPENSES</v>
          </cell>
        </row>
        <row r="4514">
          <cell r="A4514">
            <v>9689991</v>
          </cell>
          <cell r="B4514">
            <v>342061</v>
          </cell>
          <cell r="C4514" t="str">
            <v>SETTLEMENT CLAIMS EXPENSES</v>
          </cell>
        </row>
        <row r="4515">
          <cell r="A4515">
            <v>9969681</v>
          </cell>
          <cell r="B4515">
            <v>342061</v>
          </cell>
          <cell r="C4515" t="str">
            <v>SETTLEMENT CLAIMS EXPENSES</v>
          </cell>
        </row>
        <row r="4516">
          <cell r="A4516">
            <v>9969901</v>
          </cell>
          <cell r="B4516">
            <v>342061</v>
          </cell>
          <cell r="C4516" t="str">
            <v>SETTLEMENT CLAIMS EXPENSES</v>
          </cell>
        </row>
        <row r="4517">
          <cell r="A4517" t="str">
            <v>ZONE-0105-POST</v>
          </cell>
          <cell r="B4517">
            <v>342061</v>
          </cell>
          <cell r="C4517" t="str">
            <v>SETTLEMENT CLAIMS EXPENSES</v>
          </cell>
        </row>
        <row r="4518">
          <cell r="A4518" t="str">
            <v>ZONE-0112-POST</v>
          </cell>
          <cell r="B4518">
            <v>342061</v>
          </cell>
          <cell r="C4518" t="str">
            <v>SETTLEMENT CLAIMS EXPENSES</v>
          </cell>
        </row>
        <row r="4519">
          <cell r="A4519">
            <v>9080999</v>
          </cell>
          <cell r="B4519">
            <v>342100</v>
          </cell>
          <cell r="C4519" t="str">
            <v>UNINSURED DISASTER LOSS/DAMAGE</v>
          </cell>
        </row>
        <row r="4520">
          <cell r="A4520">
            <v>9110999</v>
          </cell>
          <cell r="B4520">
            <v>342100</v>
          </cell>
          <cell r="C4520" t="str">
            <v>UNINSURED DISASTER LOSS/DAMAGE</v>
          </cell>
        </row>
        <row r="4521">
          <cell r="A4521">
            <v>9090999</v>
          </cell>
          <cell r="B4521">
            <v>342108</v>
          </cell>
          <cell r="C4521" t="str">
            <v>RETURN CHECKS/BAD DEBTS LESS</v>
          </cell>
        </row>
        <row r="4522">
          <cell r="A4522">
            <v>9100999</v>
          </cell>
          <cell r="B4522">
            <v>342108</v>
          </cell>
          <cell r="C4522" t="str">
            <v>RETURN CHECKS/BAD DEBTS LESS</v>
          </cell>
        </row>
        <row r="4523">
          <cell r="A4523">
            <v>9080700</v>
          </cell>
          <cell r="B4523">
            <v>342109</v>
          </cell>
          <cell r="C4523" t="str">
            <v>ACCTS RECEIVABLE-WRITE OFF</v>
          </cell>
        </row>
        <row r="4524">
          <cell r="A4524">
            <v>9080701</v>
          </cell>
          <cell r="B4524">
            <v>342109</v>
          </cell>
          <cell r="C4524" t="str">
            <v>ACCTS RECEIVABLE-WRITE OFF</v>
          </cell>
        </row>
        <row r="4525">
          <cell r="A4525">
            <v>9080702</v>
          </cell>
          <cell r="B4525">
            <v>342109</v>
          </cell>
          <cell r="C4525" t="str">
            <v>ACCTS RECEIVABLE-WRITE OFF</v>
          </cell>
        </row>
        <row r="4526">
          <cell r="A4526">
            <v>9080705</v>
          </cell>
          <cell r="B4526">
            <v>342109</v>
          </cell>
          <cell r="C4526" t="str">
            <v>ACCTS RECEIVABLE-WRITE OFF</v>
          </cell>
        </row>
        <row r="4527">
          <cell r="A4527">
            <v>9080707</v>
          </cell>
          <cell r="B4527">
            <v>342109</v>
          </cell>
          <cell r="C4527" t="str">
            <v>ACCTS RECEIVABLE-WRITE OFF</v>
          </cell>
        </row>
        <row r="4528">
          <cell r="A4528">
            <v>9080710</v>
          </cell>
          <cell r="B4528">
            <v>342109</v>
          </cell>
          <cell r="C4528" t="str">
            <v>ACCTS RECEIVABLE-WRITE OFF</v>
          </cell>
        </row>
        <row r="4529">
          <cell r="A4529">
            <v>9090999</v>
          </cell>
          <cell r="B4529">
            <v>342109</v>
          </cell>
          <cell r="C4529" t="str">
            <v>ACCTS RECEIVABLE-WRITE OFF</v>
          </cell>
        </row>
        <row r="4530">
          <cell r="A4530">
            <v>9100999</v>
          </cell>
          <cell r="B4530">
            <v>342109</v>
          </cell>
          <cell r="C4530" t="str">
            <v>ACCTS RECEIVABLE-WRITE OFF</v>
          </cell>
        </row>
        <row r="4531">
          <cell r="A4531">
            <v>9110700</v>
          </cell>
          <cell r="B4531">
            <v>342109</v>
          </cell>
          <cell r="C4531" t="str">
            <v>ACCTS RECEIVABLE-WRITE OFF</v>
          </cell>
        </row>
        <row r="4532">
          <cell r="A4532">
            <v>9110702</v>
          </cell>
          <cell r="B4532">
            <v>342109</v>
          </cell>
          <cell r="C4532" t="str">
            <v>ACCTS RECEIVABLE-WRITE OFF</v>
          </cell>
        </row>
        <row r="4533">
          <cell r="A4533">
            <v>9110705</v>
          </cell>
          <cell r="B4533">
            <v>342109</v>
          </cell>
          <cell r="C4533" t="str">
            <v>ACCTS RECEIVABLE-WRITE OFF</v>
          </cell>
        </row>
        <row r="4534">
          <cell r="A4534">
            <v>9110707</v>
          </cell>
          <cell r="B4534">
            <v>342109</v>
          </cell>
          <cell r="C4534" t="str">
            <v>ACCTS RECEIVABLE-WRITE OFF</v>
          </cell>
        </row>
        <row r="4535">
          <cell r="A4535">
            <v>9680700</v>
          </cell>
          <cell r="B4535">
            <v>342109</v>
          </cell>
          <cell r="C4535" t="str">
            <v>ACCTS RECEIVABLE-WRITE OFF</v>
          </cell>
        </row>
        <row r="4536">
          <cell r="A4536">
            <v>9680701</v>
          </cell>
          <cell r="B4536">
            <v>342109</v>
          </cell>
          <cell r="C4536" t="str">
            <v>ACCTS RECEIVABLE-WRITE OFF</v>
          </cell>
        </row>
        <row r="4537">
          <cell r="A4537">
            <v>9680702</v>
          </cell>
          <cell r="B4537">
            <v>342109</v>
          </cell>
          <cell r="C4537" t="str">
            <v>ACCTS RECEIVABLE-WRITE OFF</v>
          </cell>
        </row>
        <row r="4538">
          <cell r="A4538">
            <v>9680710</v>
          </cell>
          <cell r="B4538">
            <v>342109</v>
          </cell>
          <cell r="C4538" t="str">
            <v>ACCTS RECEIVABLE-WRITE OFF</v>
          </cell>
        </row>
        <row r="4539">
          <cell r="A4539">
            <v>9680734</v>
          </cell>
          <cell r="B4539">
            <v>342109</v>
          </cell>
          <cell r="C4539" t="str">
            <v>ACCTS RECEIVABLE-WRITE OFF</v>
          </cell>
        </row>
        <row r="4540">
          <cell r="A4540">
            <v>9680748</v>
          </cell>
          <cell r="B4540">
            <v>342109</v>
          </cell>
          <cell r="C4540" t="str">
            <v>ACCTS RECEIVABLE-WRITE OFF</v>
          </cell>
        </row>
        <row r="4541">
          <cell r="A4541">
            <v>9680894</v>
          </cell>
          <cell r="B4541">
            <v>342109</v>
          </cell>
          <cell r="C4541" t="str">
            <v>ACCTS RECEIVABLE-WRITE OFF</v>
          </cell>
        </row>
        <row r="4542">
          <cell r="A4542">
            <v>9680999</v>
          </cell>
          <cell r="B4542">
            <v>342109</v>
          </cell>
          <cell r="C4542" t="str">
            <v>ACCTS RECEIVABLE-WRITE OFF</v>
          </cell>
        </row>
        <row r="4543">
          <cell r="A4543">
            <v>9681700</v>
          </cell>
          <cell r="B4543">
            <v>342109</v>
          </cell>
          <cell r="C4543" t="str">
            <v>ACCTS RECEIVABLE-WRITE OFF</v>
          </cell>
        </row>
        <row r="4544">
          <cell r="A4544">
            <v>9681701</v>
          </cell>
          <cell r="B4544">
            <v>342109</v>
          </cell>
          <cell r="C4544" t="str">
            <v>ACCTS RECEIVABLE-WRITE OFF</v>
          </cell>
        </row>
        <row r="4545">
          <cell r="A4545">
            <v>9681702</v>
          </cell>
          <cell r="B4545">
            <v>342109</v>
          </cell>
          <cell r="C4545" t="str">
            <v>ACCTS RECEIVABLE-WRITE OFF</v>
          </cell>
        </row>
        <row r="4546">
          <cell r="A4546">
            <v>9681705</v>
          </cell>
          <cell r="B4546">
            <v>342109</v>
          </cell>
          <cell r="C4546" t="str">
            <v>ACCTS RECEIVABLE-WRITE OFF</v>
          </cell>
        </row>
        <row r="4547">
          <cell r="A4547">
            <v>9681706</v>
          </cell>
          <cell r="B4547">
            <v>342109</v>
          </cell>
          <cell r="C4547" t="str">
            <v>ACCTS RECEIVABLE-WRITE OFF</v>
          </cell>
        </row>
        <row r="4548">
          <cell r="A4548">
            <v>9681707</v>
          </cell>
          <cell r="B4548">
            <v>342109</v>
          </cell>
          <cell r="C4548" t="str">
            <v>ACCTS RECEIVABLE-WRITE OFF</v>
          </cell>
        </row>
        <row r="4549">
          <cell r="A4549">
            <v>9681710</v>
          </cell>
          <cell r="B4549">
            <v>342109</v>
          </cell>
          <cell r="C4549" t="str">
            <v>ACCTS RECEIVABLE-WRITE OFF</v>
          </cell>
        </row>
        <row r="4550">
          <cell r="A4550">
            <v>9681712</v>
          </cell>
          <cell r="B4550">
            <v>342109</v>
          </cell>
          <cell r="C4550" t="str">
            <v>ACCTS RECEIVABLE-WRITE OFF</v>
          </cell>
        </row>
        <row r="4551">
          <cell r="A4551">
            <v>9681716</v>
          </cell>
          <cell r="B4551">
            <v>342109</v>
          </cell>
          <cell r="C4551" t="str">
            <v>ACCTS RECEIVABLE-WRITE OFF</v>
          </cell>
        </row>
        <row r="4552">
          <cell r="A4552">
            <v>9681727</v>
          </cell>
          <cell r="B4552">
            <v>342109</v>
          </cell>
          <cell r="C4552" t="str">
            <v>ACCTS RECEIVABLE-WRITE OFF</v>
          </cell>
        </row>
        <row r="4553">
          <cell r="A4553">
            <v>9681734</v>
          </cell>
          <cell r="B4553">
            <v>342109</v>
          </cell>
          <cell r="C4553" t="str">
            <v>ACCTS RECEIVABLE-WRITE OFF</v>
          </cell>
        </row>
        <row r="4554">
          <cell r="A4554">
            <v>9681748</v>
          </cell>
          <cell r="B4554">
            <v>342109</v>
          </cell>
          <cell r="C4554" t="str">
            <v>ACCTS RECEIVABLE-WRITE OFF</v>
          </cell>
        </row>
        <row r="4555">
          <cell r="A4555">
            <v>9681749</v>
          </cell>
          <cell r="B4555">
            <v>342109</v>
          </cell>
          <cell r="C4555" t="str">
            <v>ACCTS RECEIVABLE-WRITE OFF</v>
          </cell>
        </row>
        <row r="4556">
          <cell r="A4556">
            <v>9681894</v>
          </cell>
          <cell r="B4556">
            <v>342109</v>
          </cell>
          <cell r="C4556" t="str">
            <v>ACCTS RECEIVABLE-WRITE OFF</v>
          </cell>
        </row>
        <row r="4557">
          <cell r="A4557">
            <v>9681999</v>
          </cell>
          <cell r="B4557">
            <v>342109</v>
          </cell>
          <cell r="C4557" t="str">
            <v>ACCTS RECEIVABLE-WRITE OFF</v>
          </cell>
        </row>
        <row r="4558">
          <cell r="A4558">
            <v>9689883</v>
          </cell>
          <cell r="B4558">
            <v>342109</v>
          </cell>
          <cell r="C4558" t="str">
            <v>ACCTS RECEIVABLE-WRITE OFF</v>
          </cell>
        </row>
        <row r="4559">
          <cell r="A4559">
            <v>9689906</v>
          </cell>
          <cell r="B4559">
            <v>342109</v>
          </cell>
          <cell r="C4559" t="str">
            <v>ACCTS RECEIVABLE-WRITE OFF</v>
          </cell>
        </row>
        <row r="4560">
          <cell r="A4560">
            <v>9689992</v>
          </cell>
          <cell r="B4560">
            <v>342109</v>
          </cell>
          <cell r="C4560" t="str">
            <v>ACCTS RECEIVABLE-WRITE OFF</v>
          </cell>
        </row>
        <row r="4561">
          <cell r="A4561">
            <v>9720716</v>
          </cell>
          <cell r="B4561">
            <v>342109</v>
          </cell>
          <cell r="C4561" t="str">
            <v>ACCTS RECEIVABLE-WRITE OFF</v>
          </cell>
        </row>
        <row r="4562">
          <cell r="A4562">
            <v>9723723</v>
          </cell>
          <cell r="B4562">
            <v>342109</v>
          </cell>
          <cell r="C4562" t="str">
            <v>ACCTS RECEIVABLE-WRITE OFF</v>
          </cell>
        </row>
        <row r="4563">
          <cell r="A4563">
            <v>9724718</v>
          </cell>
          <cell r="B4563">
            <v>342109</v>
          </cell>
          <cell r="C4563" t="str">
            <v>ACCTS RECEIVABLE-WRITE OFF</v>
          </cell>
        </row>
        <row r="4564">
          <cell r="A4564">
            <v>9080700</v>
          </cell>
          <cell r="B4564">
            <v>342190</v>
          </cell>
          <cell r="C4564" t="str">
            <v>EDUCATION EXPENSE</v>
          </cell>
        </row>
        <row r="4565">
          <cell r="A4565">
            <v>9080701</v>
          </cell>
          <cell r="B4565">
            <v>342190</v>
          </cell>
          <cell r="C4565" t="str">
            <v>EDUCATION EXPENSE</v>
          </cell>
        </row>
        <row r="4566">
          <cell r="A4566">
            <v>9080702</v>
          </cell>
          <cell r="B4566">
            <v>342190</v>
          </cell>
          <cell r="C4566" t="str">
            <v>EDUCATION EXPENSE</v>
          </cell>
        </row>
        <row r="4567">
          <cell r="A4567">
            <v>9080705</v>
          </cell>
          <cell r="B4567">
            <v>342190</v>
          </cell>
          <cell r="C4567" t="str">
            <v>EDUCATION EXPENSE</v>
          </cell>
        </row>
        <row r="4568">
          <cell r="A4568">
            <v>9080707</v>
          </cell>
          <cell r="B4568">
            <v>342190</v>
          </cell>
          <cell r="C4568" t="str">
            <v>EDUCATION EXPENSE</v>
          </cell>
        </row>
        <row r="4569">
          <cell r="A4569">
            <v>9080710</v>
          </cell>
          <cell r="B4569">
            <v>342190</v>
          </cell>
          <cell r="C4569" t="str">
            <v>EDUCATION EXPENSE</v>
          </cell>
        </row>
        <row r="4570">
          <cell r="A4570">
            <v>9080999</v>
          </cell>
          <cell r="B4570">
            <v>342190</v>
          </cell>
          <cell r="C4570" t="str">
            <v>EDUCATION EXPENSE</v>
          </cell>
        </row>
        <row r="4571">
          <cell r="A4571">
            <v>9090999</v>
          </cell>
          <cell r="B4571">
            <v>342190</v>
          </cell>
          <cell r="C4571" t="str">
            <v>EDUCATION EXPENSE</v>
          </cell>
        </row>
        <row r="4572">
          <cell r="A4572">
            <v>9100999</v>
          </cell>
          <cell r="B4572">
            <v>342190</v>
          </cell>
          <cell r="C4572" t="str">
            <v>EDUCATION EXPENSE</v>
          </cell>
        </row>
        <row r="4573">
          <cell r="A4573">
            <v>9110700</v>
          </cell>
          <cell r="B4573">
            <v>342190</v>
          </cell>
          <cell r="C4573" t="str">
            <v>EDUCATION EXPENSE</v>
          </cell>
        </row>
        <row r="4574">
          <cell r="A4574">
            <v>9110702</v>
          </cell>
          <cell r="B4574">
            <v>342190</v>
          </cell>
          <cell r="C4574" t="str">
            <v>EDUCATION EXPENSE</v>
          </cell>
        </row>
        <row r="4575">
          <cell r="A4575">
            <v>9110705</v>
          </cell>
          <cell r="B4575">
            <v>342190</v>
          </cell>
          <cell r="C4575" t="str">
            <v>EDUCATION EXPENSE</v>
          </cell>
        </row>
        <row r="4576">
          <cell r="A4576">
            <v>9110707</v>
          </cell>
          <cell r="B4576">
            <v>342190</v>
          </cell>
          <cell r="C4576" t="str">
            <v>EDUCATION EXPENSE</v>
          </cell>
        </row>
        <row r="4577">
          <cell r="A4577">
            <v>9110999</v>
          </cell>
          <cell r="B4577">
            <v>342190</v>
          </cell>
          <cell r="C4577" t="str">
            <v>EDUCATION EXPENSE</v>
          </cell>
        </row>
        <row r="4578">
          <cell r="A4578">
            <v>9680700</v>
          </cell>
          <cell r="B4578">
            <v>342190</v>
          </cell>
          <cell r="C4578" t="str">
            <v>EDUCATION EXPENSE</v>
          </cell>
        </row>
        <row r="4579">
          <cell r="A4579">
            <v>9680701</v>
          </cell>
          <cell r="B4579">
            <v>342190</v>
          </cell>
          <cell r="C4579" t="str">
            <v>EDUCATION EXPENSE</v>
          </cell>
        </row>
        <row r="4580">
          <cell r="A4580">
            <v>9680702</v>
          </cell>
          <cell r="B4580">
            <v>342190</v>
          </cell>
          <cell r="C4580" t="str">
            <v>EDUCATION EXPENSE</v>
          </cell>
        </row>
        <row r="4581">
          <cell r="A4581">
            <v>9680705</v>
          </cell>
          <cell r="B4581">
            <v>342190</v>
          </cell>
          <cell r="C4581" t="str">
            <v>EDUCATION EXPENSE</v>
          </cell>
        </row>
        <row r="4582">
          <cell r="A4582">
            <v>9680707</v>
          </cell>
          <cell r="B4582">
            <v>342190</v>
          </cell>
          <cell r="C4582" t="str">
            <v>EDUCATION EXPENSE</v>
          </cell>
        </row>
        <row r="4583">
          <cell r="A4583">
            <v>9680710</v>
          </cell>
          <cell r="B4583">
            <v>342190</v>
          </cell>
          <cell r="C4583" t="str">
            <v>EDUCATION EXPENSE</v>
          </cell>
        </row>
        <row r="4584">
          <cell r="A4584">
            <v>9680712</v>
          </cell>
          <cell r="B4584">
            <v>342190</v>
          </cell>
          <cell r="C4584" t="str">
            <v>EDUCATION EXPENSE</v>
          </cell>
        </row>
        <row r="4585">
          <cell r="A4585">
            <v>9680714</v>
          </cell>
          <cell r="B4585">
            <v>342190</v>
          </cell>
          <cell r="C4585" t="str">
            <v>EDUCATION EXPENSE</v>
          </cell>
        </row>
        <row r="4586">
          <cell r="A4586">
            <v>9680734</v>
          </cell>
          <cell r="B4586">
            <v>342190</v>
          </cell>
          <cell r="C4586" t="str">
            <v>EDUCATION EXPENSE</v>
          </cell>
        </row>
        <row r="4587">
          <cell r="A4587">
            <v>9680748</v>
          </cell>
          <cell r="B4587">
            <v>342190</v>
          </cell>
          <cell r="C4587" t="str">
            <v>EDUCATION EXPENSE</v>
          </cell>
        </row>
        <row r="4588">
          <cell r="A4588">
            <v>9680749</v>
          </cell>
          <cell r="B4588">
            <v>342190</v>
          </cell>
          <cell r="C4588" t="str">
            <v>EDUCATION EXPENSE</v>
          </cell>
        </row>
        <row r="4589">
          <cell r="A4589">
            <v>9680894</v>
          </cell>
          <cell r="B4589">
            <v>342190</v>
          </cell>
          <cell r="C4589" t="str">
            <v>EDUCATION EXPENSE</v>
          </cell>
        </row>
        <row r="4590">
          <cell r="A4590">
            <v>9680999</v>
          </cell>
          <cell r="B4590">
            <v>342190</v>
          </cell>
          <cell r="C4590" t="str">
            <v>EDUCATION EXPENSE</v>
          </cell>
        </row>
        <row r="4591">
          <cell r="A4591">
            <v>9681700</v>
          </cell>
          <cell r="B4591">
            <v>342190</v>
          </cell>
          <cell r="C4591" t="str">
            <v>EDUCATION EXPENSE</v>
          </cell>
        </row>
        <row r="4592">
          <cell r="A4592">
            <v>9681701</v>
          </cell>
          <cell r="B4592">
            <v>342190</v>
          </cell>
          <cell r="C4592" t="str">
            <v>EDUCATION EXPENSE</v>
          </cell>
        </row>
        <row r="4593">
          <cell r="A4593">
            <v>9681702</v>
          </cell>
          <cell r="B4593">
            <v>342190</v>
          </cell>
          <cell r="C4593" t="str">
            <v>EDUCATION EXPENSE</v>
          </cell>
        </row>
        <row r="4594">
          <cell r="A4594">
            <v>9681705</v>
          </cell>
          <cell r="B4594">
            <v>342190</v>
          </cell>
          <cell r="C4594" t="str">
            <v>EDUCATION EXPENSE</v>
          </cell>
        </row>
        <row r="4595">
          <cell r="A4595">
            <v>9681706</v>
          </cell>
          <cell r="B4595">
            <v>342190</v>
          </cell>
          <cell r="C4595" t="str">
            <v>EDUCATION EXPENSE</v>
          </cell>
        </row>
        <row r="4596">
          <cell r="A4596">
            <v>9681707</v>
          </cell>
          <cell r="B4596">
            <v>342190</v>
          </cell>
          <cell r="C4596" t="str">
            <v>EDUCATION EXPENSE</v>
          </cell>
        </row>
        <row r="4597">
          <cell r="A4597">
            <v>9681710</v>
          </cell>
          <cell r="B4597">
            <v>342190</v>
          </cell>
          <cell r="C4597" t="str">
            <v>EDUCATION EXPENSE</v>
          </cell>
        </row>
        <row r="4598">
          <cell r="A4598">
            <v>9681712</v>
          </cell>
          <cell r="B4598">
            <v>342190</v>
          </cell>
          <cell r="C4598" t="str">
            <v>EDUCATION EXPENSE</v>
          </cell>
        </row>
        <row r="4599">
          <cell r="A4599">
            <v>9681727</v>
          </cell>
          <cell r="B4599">
            <v>342190</v>
          </cell>
          <cell r="C4599" t="str">
            <v>EDUCATION EXPENSE</v>
          </cell>
        </row>
        <row r="4600">
          <cell r="A4600">
            <v>9681734</v>
          </cell>
          <cell r="B4600">
            <v>342190</v>
          </cell>
          <cell r="C4600" t="str">
            <v>EDUCATION EXPENSE</v>
          </cell>
        </row>
        <row r="4601">
          <cell r="A4601">
            <v>9681748</v>
          </cell>
          <cell r="B4601">
            <v>342190</v>
          </cell>
          <cell r="C4601" t="str">
            <v>EDUCATION EXPENSE</v>
          </cell>
        </row>
        <row r="4602">
          <cell r="A4602">
            <v>9681749</v>
          </cell>
          <cell r="B4602">
            <v>342190</v>
          </cell>
          <cell r="C4602" t="str">
            <v>EDUCATION EXPENSE</v>
          </cell>
        </row>
        <row r="4603">
          <cell r="A4603">
            <v>9681894</v>
          </cell>
          <cell r="B4603">
            <v>342190</v>
          </cell>
          <cell r="C4603" t="str">
            <v>EDUCATION EXPENSE</v>
          </cell>
        </row>
        <row r="4604">
          <cell r="A4604">
            <v>9681999</v>
          </cell>
          <cell r="B4604">
            <v>342190</v>
          </cell>
          <cell r="C4604" t="str">
            <v>EDUCATION EXPENSE</v>
          </cell>
        </row>
        <row r="4605">
          <cell r="A4605">
            <v>9682999</v>
          </cell>
          <cell r="B4605">
            <v>342190</v>
          </cell>
          <cell r="C4605" t="str">
            <v>EDUCATION EXPENSE</v>
          </cell>
        </row>
        <row r="4606">
          <cell r="A4606">
            <v>9683999</v>
          </cell>
          <cell r="B4606">
            <v>342190</v>
          </cell>
          <cell r="C4606" t="str">
            <v>EDUCATION EXPENSE</v>
          </cell>
        </row>
        <row r="4607">
          <cell r="A4607">
            <v>9684999</v>
          </cell>
          <cell r="B4607">
            <v>342190</v>
          </cell>
          <cell r="C4607" t="str">
            <v>EDUCATION EXPENSE</v>
          </cell>
        </row>
        <row r="4608">
          <cell r="A4608">
            <v>9689692</v>
          </cell>
          <cell r="B4608">
            <v>342190</v>
          </cell>
          <cell r="C4608" t="str">
            <v>EDUCATION EXPENSE</v>
          </cell>
        </row>
        <row r="4609">
          <cell r="A4609">
            <v>9689747</v>
          </cell>
          <cell r="B4609">
            <v>342190</v>
          </cell>
          <cell r="C4609" t="str">
            <v>EDUCATION EXPENSE</v>
          </cell>
        </row>
        <row r="4610">
          <cell r="A4610">
            <v>9689883</v>
          </cell>
          <cell r="B4610">
            <v>342190</v>
          </cell>
          <cell r="C4610" t="str">
            <v>EDUCATION EXPENSE</v>
          </cell>
        </row>
        <row r="4611">
          <cell r="A4611">
            <v>9689890</v>
          </cell>
          <cell r="B4611">
            <v>342190</v>
          </cell>
          <cell r="C4611" t="str">
            <v>EDUCATION EXPENSE</v>
          </cell>
        </row>
        <row r="4612">
          <cell r="A4612">
            <v>9689906</v>
          </cell>
          <cell r="B4612">
            <v>342190</v>
          </cell>
          <cell r="C4612" t="str">
            <v>EDUCATION EXPENSE</v>
          </cell>
        </row>
        <row r="4613">
          <cell r="A4613">
            <v>9689925</v>
          </cell>
          <cell r="B4613">
            <v>342190</v>
          </cell>
          <cell r="C4613" t="str">
            <v>EDUCATION EXPENSE</v>
          </cell>
        </row>
        <row r="4614">
          <cell r="A4614">
            <v>9689990</v>
          </cell>
          <cell r="B4614">
            <v>342190</v>
          </cell>
          <cell r="C4614" t="str">
            <v>EDUCATION EXPENSE</v>
          </cell>
        </row>
        <row r="4615">
          <cell r="A4615">
            <v>9689991</v>
          </cell>
          <cell r="B4615">
            <v>342190</v>
          </cell>
          <cell r="C4615" t="str">
            <v>EDUCATION EXPENSE</v>
          </cell>
        </row>
        <row r="4616">
          <cell r="A4616">
            <v>9689992</v>
          </cell>
          <cell r="B4616">
            <v>342190</v>
          </cell>
          <cell r="C4616" t="str">
            <v>EDUCATION EXPENSE</v>
          </cell>
        </row>
        <row r="4617">
          <cell r="A4617">
            <v>9689993</v>
          </cell>
          <cell r="B4617">
            <v>342190</v>
          </cell>
          <cell r="C4617" t="str">
            <v>EDUCATION EXPENSE</v>
          </cell>
        </row>
        <row r="4618">
          <cell r="A4618">
            <v>9689994</v>
          </cell>
          <cell r="B4618">
            <v>342190</v>
          </cell>
          <cell r="C4618" t="str">
            <v>EDUCATION EXPENSE</v>
          </cell>
        </row>
        <row r="4619">
          <cell r="A4619">
            <v>9080700</v>
          </cell>
          <cell r="B4619">
            <v>342230</v>
          </cell>
          <cell r="C4619" t="str">
            <v>EMPLOYEE SERVICE AWARDS/PRIZES</v>
          </cell>
        </row>
        <row r="4620">
          <cell r="A4620">
            <v>9080701</v>
          </cell>
          <cell r="B4620">
            <v>342230</v>
          </cell>
          <cell r="C4620" t="str">
            <v>EMPLOYEE SERVICE AWARDS/PRIZES</v>
          </cell>
        </row>
        <row r="4621">
          <cell r="A4621">
            <v>9080702</v>
          </cell>
          <cell r="B4621">
            <v>342230</v>
          </cell>
          <cell r="C4621" t="str">
            <v>EMPLOYEE SERVICE AWARDS/PRIZES</v>
          </cell>
        </row>
        <row r="4622">
          <cell r="A4622">
            <v>9080705</v>
          </cell>
          <cell r="B4622">
            <v>342230</v>
          </cell>
          <cell r="C4622" t="str">
            <v>EMPLOYEE SERVICE AWARDS/PRIZES</v>
          </cell>
        </row>
        <row r="4623">
          <cell r="A4623">
            <v>9080707</v>
          </cell>
          <cell r="B4623">
            <v>342230</v>
          </cell>
          <cell r="C4623" t="str">
            <v>EMPLOYEE SERVICE AWARDS/PRIZES</v>
          </cell>
        </row>
        <row r="4624">
          <cell r="A4624">
            <v>9080710</v>
          </cell>
          <cell r="B4624">
            <v>342230</v>
          </cell>
          <cell r="C4624" t="str">
            <v>EMPLOYEE SERVICE AWARDS/PRIZES</v>
          </cell>
        </row>
        <row r="4625">
          <cell r="A4625">
            <v>9080999</v>
          </cell>
          <cell r="B4625">
            <v>342230</v>
          </cell>
          <cell r="C4625" t="str">
            <v>EMPLOYEE SERVICE AWARDS/PRIZES</v>
          </cell>
        </row>
        <row r="4626">
          <cell r="A4626">
            <v>9090999</v>
          </cell>
          <cell r="B4626">
            <v>342230</v>
          </cell>
          <cell r="C4626" t="str">
            <v>EMPLOYEE SERVICE AWARDS/PRIZES</v>
          </cell>
        </row>
        <row r="4627">
          <cell r="A4627">
            <v>9100999</v>
          </cell>
          <cell r="B4627">
            <v>342230</v>
          </cell>
          <cell r="C4627" t="str">
            <v>EMPLOYEE SERVICE AWARDS/PRIZES</v>
          </cell>
        </row>
        <row r="4628">
          <cell r="A4628">
            <v>9110700</v>
          </cell>
          <cell r="B4628">
            <v>342230</v>
          </cell>
          <cell r="C4628" t="str">
            <v>EMPLOYEE SERVICE AWARDS/PRIZES</v>
          </cell>
        </row>
        <row r="4629">
          <cell r="A4629">
            <v>9110702</v>
          </cell>
          <cell r="B4629">
            <v>342230</v>
          </cell>
          <cell r="C4629" t="str">
            <v>EMPLOYEE SERVICE AWARDS/PRIZES</v>
          </cell>
        </row>
        <row r="4630">
          <cell r="A4630">
            <v>9110705</v>
          </cell>
          <cell r="B4630">
            <v>342230</v>
          </cell>
          <cell r="C4630" t="str">
            <v>EMPLOYEE SERVICE AWARDS/PRIZES</v>
          </cell>
        </row>
        <row r="4631">
          <cell r="A4631">
            <v>9110707</v>
          </cell>
          <cell r="B4631">
            <v>342230</v>
          </cell>
          <cell r="C4631" t="str">
            <v>EMPLOYEE SERVICE AWARDS/PRIZES</v>
          </cell>
        </row>
        <row r="4632">
          <cell r="A4632">
            <v>9110999</v>
          </cell>
          <cell r="B4632">
            <v>342230</v>
          </cell>
          <cell r="C4632" t="str">
            <v>EMPLOYEE SERVICE AWARDS/PRIZES</v>
          </cell>
        </row>
        <row r="4633">
          <cell r="A4633">
            <v>9680700</v>
          </cell>
          <cell r="B4633">
            <v>342230</v>
          </cell>
          <cell r="C4633" t="str">
            <v>EMPLOYEE SERVICE AWARDS/PRIZES</v>
          </cell>
        </row>
        <row r="4634">
          <cell r="A4634">
            <v>9680701</v>
          </cell>
          <cell r="B4634">
            <v>342230</v>
          </cell>
          <cell r="C4634" t="str">
            <v>EMPLOYEE SERVICE AWARDS/PRIZES</v>
          </cell>
        </row>
        <row r="4635">
          <cell r="A4635">
            <v>9680702</v>
          </cell>
          <cell r="B4635">
            <v>342230</v>
          </cell>
          <cell r="C4635" t="str">
            <v>EMPLOYEE SERVICE AWARDS/PRIZES</v>
          </cell>
        </row>
        <row r="4636">
          <cell r="A4636">
            <v>9680705</v>
          </cell>
          <cell r="B4636">
            <v>342230</v>
          </cell>
          <cell r="C4636" t="str">
            <v>EMPLOYEE SERVICE AWARDS/PRIZES</v>
          </cell>
        </row>
        <row r="4637">
          <cell r="A4637">
            <v>9680707</v>
          </cell>
          <cell r="B4637">
            <v>342230</v>
          </cell>
          <cell r="C4637" t="str">
            <v>EMPLOYEE SERVICE AWARDS/PRIZES</v>
          </cell>
        </row>
        <row r="4638">
          <cell r="A4638">
            <v>9680710</v>
          </cell>
          <cell r="B4638">
            <v>342230</v>
          </cell>
          <cell r="C4638" t="str">
            <v>EMPLOYEE SERVICE AWARDS/PRIZES</v>
          </cell>
        </row>
        <row r="4639">
          <cell r="A4639">
            <v>9680712</v>
          </cell>
          <cell r="B4639">
            <v>342230</v>
          </cell>
          <cell r="C4639" t="str">
            <v>EMPLOYEE SERVICE AWARDS/PRIZES</v>
          </cell>
        </row>
        <row r="4640">
          <cell r="A4640">
            <v>9680714</v>
          </cell>
          <cell r="B4640">
            <v>342230</v>
          </cell>
          <cell r="C4640" t="str">
            <v>EMPLOYEE SERVICE AWARDS/PRIZES</v>
          </cell>
        </row>
        <row r="4641">
          <cell r="A4641">
            <v>9680734</v>
          </cell>
          <cell r="B4641">
            <v>342230</v>
          </cell>
          <cell r="C4641" t="str">
            <v>EMPLOYEE SERVICE AWARDS/PRIZES</v>
          </cell>
        </row>
        <row r="4642">
          <cell r="A4642">
            <v>9680748</v>
          </cell>
          <cell r="B4642">
            <v>342230</v>
          </cell>
          <cell r="C4642" t="str">
            <v>EMPLOYEE SERVICE AWARDS/PRIZES</v>
          </cell>
        </row>
        <row r="4643">
          <cell r="A4643">
            <v>9680749</v>
          </cell>
          <cell r="B4643">
            <v>342230</v>
          </cell>
          <cell r="C4643" t="str">
            <v>EMPLOYEE SERVICE AWARDS/PRIZES</v>
          </cell>
        </row>
        <row r="4644">
          <cell r="A4644">
            <v>9680894</v>
          </cell>
          <cell r="B4644">
            <v>342230</v>
          </cell>
          <cell r="C4644" t="str">
            <v>EMPLOYEE SERVICE AWARDS/PRIZES</v>
          </cell>
        </row>
        <row r="4645">
          <cell r="A4645">
            <v>9680999</v>
          </cell>
          <cell r="B4645">
            <v>342230</v>
          </cell>
          <cell r="C4645" t="str">
            <v>EMPLOYEE SERVICE AWARDS/PRIZES</v>
          </cell>
        </row>
        <row r="4646">
          <cell r="A4646">
            <v>9681700</v>
          </cell>
          <cell r="B4646">
            <v>342230</v>
          </cell>
          <cell r="C4646" t="str">
            <v>EMPLOYEE SERVICE AWARDS/PRIZES</v>
          </cell>
        </row>
        <row r="4647">
          <cell r="A4647">
            <v>9681701</v>
          </cell>
          <cell r="B4647">
            <v>342230</v>
          </cell>
          <cell r="C4647" t="str">
            <v>EMPLOYEE SERVICE AWARDS/PRIZES</v>
          </cell>
        </row>
        <row r="4648">
          <cell r="A4648">
            <v>9681702</v>
          </cell>
          <cell r="B4648">
            <v>342230</v>
          </cell>
          <cell r="C4648" t="str">
            <v>EMPLOYEE SERVICE AWARDS/PRIZES</v>
          </cell>
        </row>
        <row r="4649">
          <cell r="A4649">
            <v>9681705</v>
          </cell>
          <cell r="B4649">
            <v>342230</v>
          </cell>
          <cell r="C4649" t="str">
            <v>EMPLOYEE SERVICE AWARDS/PRIZES</v>
          </cell>
        </row>
        <row r="4650">
          <cell r="A4650">
            <v>9681706</v>
          </cell>
          <cell r="B4650">
            <v>342230</v>
          </cell>
          <cell r="C4650" t="str">
            <v>EMPLOYEE SERVICE AWARDS/PRIZES</v>
          </cell>
        </row>
        <row r="4651">
          <cell r="A4651">
            <v>9681707</v>
          </cell>
          <cell r="B4651">
            <v>342230</v>
          </cell>
          <cell r="C4651" t="str">
            <v>EMPLOYEE SERVICE AWARDS/PRIZES</v>
          </cell>
        </row>
        <row r="4652">
          <cell r="A4652">
            <v>9681710</v>
          </cell>
          <cell r="B4652">
            <v>342230</v>
          </cell>
          <cell r="C4652" t="str">
            <v>EMPLOYEE SERVICE AWARDS/PRIZES</v>
          </cell>
        </row>
        <row r="4653">
          <cell r="A4653">
            <v>9681712</v>
          </cell>
          <cell r="B4653">
            <v>342230</v>
          </cell>
          <cell r="C4653" t="str">
            <v>EMPLOYEE SERVICE AWARDS/PRIZES</v>
          </cell>
        </row>
        <row r="4654">
          <cell r="A4654">
            <v>9681727</v>
          </cell>
          <cell r="B4654">
            <v>342230</v>
          </cell>
          <cell r="C4654" t="str">
            <v>EMPLOYEE SERVICE AWARDS/PRIZES</v>
          </cell>
        </row>
        <row r="4655">
          <cell r="A4655">
            <v>9681734</v>
          </cell>
          <cell r="B4655">
            <v>342230</v>
          </cell>
          <cell r="C4655" t="str">
            <v>EMPLOYEE SERVICE AWARDS/PRIZES</v>
          </cell>
        </row>
        <row r="4656">
          <cell r="A4656">
            <v>9681748</v>
          </cell>
          <cell r="B4656">
            <v>342230</v>
          </cell>
          <cell r="C4656" t="str">
            <v>EMPLOYEE SERVICE AWARDS/PRIZES</v>
          </cell>
        </row>
        <row r="4657">
          <cell r="A4657">
            <v>9681749</v>
          </cell>
          <cell r="B4657">
            <v>342230</v>
          </cell>
          <cell r="C4657" t="str">
            <v>EMPLOYEE SERVICE AWARDS/PRIZES</v>
          </cell>
        </row>
        <row r="4658">
          <cell r="A4658">
            <v>9681894</v>
          </cell>
          <cell r="B4658">
            <v>342230</v>
          </cell>
          <cell r="C4658" t="str">
            <v>EMPLOYEE SERVICE AWARDS/PRIZES</v>
          </cell>
        </row>
        <row r="4659">
          <cell r="A4659">
            <v>9681999</v>
          </cell>
          <cell r="B4659">
            <v>342230</v>
          </cell>
          <cell r="C4659" t="str">
            <v>EMPLOYEE SERVICE AWARDS/PRIZES</v>
          </cell>
        </row>
        <row r="4660">
          <cell r="A4660">
            <v>9682715</v>
          </cell>
          <cell r="B4660">
            <v>342230</v>
          </cell>
          <cell r="C4660" t="str">
            <v>EMPLOYEE SERVICE AWARDS/PRIZES</v>
          </cell>
        </row>
        <row r="4661">
          <cell r="A4661">
            <v>9689692</v>
          </cell>
          <cell r="B4661">
            <v>342230</v>
          </cell>
          <cell r="C4661" t="str">
            <v>EMPLOYEE SERVICE AWARDS/PRIZES</v>
          </cell>
        </row>
        <row r="4662">
          <cell r="A4662">
            <v>9689747</v>
          </cell>
          <cell r="B4662">
            <v>342230</v>
          </cell>
          <cell r="C4662" t="str">
            <v>EMPLOYEE SERVICE AWARDS/PRIZES</v>
          </cell>
        </row>
        <row r="4663">
          <cell r="A4663">
            <v>9689890</v>
          </cell>
          <cell r="B4663">
            <v>342230</v>
          </cell>
          <cell r="C4663" t="str">
            <v>EMPLOYEE SERVICE AWARDS/PRIZES</v>
          </cell>
        </row>
        <row r="4664">
          <cell r="A4664">
            <v>9689906</v>
          </cell>
          <cell r="B4664">
            <v>342230</v>
          </cell>
          <cell r="C4664" t="str">
            <v>EMPLOYEE SERVICE AWARDS/PRIZES</v>
          </cell>
        </row>
        <row r="4665">
          <cell r="A4665">
            <v>9689925</v>
          </cell>
          <cell r="B4665">
            <v>342230</v>
          </cell>
          <cell r="C4665" t="str">
            <v>EMPLOYEE SERVICE AWARDS/PRIZES</v>
          </cell>
        </row>
        <row r="4666">
          <cell r="A4666">
            <v>9689990</v>
          </cell>
          <cell r="B4666">
            <v>342230</v>
          </cell>
          <cell r="C4666" t="str">
            <v>EMPLOYEE SERVICE AWARDS/PRIZES</v>
          </cell>
        </row>
        <row r="4667">
          <cell r="A4667">
            <v>9689994</v>
          </cell>
          <cell r="B4667">
            <v>342230</v>
          </cell>
          <cell r="C4667" t="str">
            <v>EMPLOYEE SERVICE AWARDS/PRIZES</v>
          </cell>
        </row>
        <row r="4668">
          <cell r="A4668">
            <v>9080700</v>
          </cell>
          <cell r="B4668">
            <v>342291</v>
          </cell>
          <cell r="C4668" t="str">
            <v>EDP SOFTWARE &amp; PROGRAM PRODUCT</v>
          </cell>
        </row>
        <row r="4669">
          <cell r="A4669">
            <v>9080701</v>
          </cell>
          <cell r="B4669">
            <v>342291</v>
          </cell>
          <cell r="C4669" t="str">
            <v>EDP SOFTWARE &amp; PROGRAM PRODUCT</v>
          </cell>
        </row>
        <row r="4670">
          <cell r="A4670">
            <v>9080702</v>
          </cell>
          <cell r="B4670">
            <v>342291</v>
          </cell>
          <cell r="C4670" t="str">
            <v>EDP SOFTWARE &amp; PROGRAM PRODUCT</v>
          </cell>
        </row>
        <row r="4671">
          <cell r="A4671">
            <v>9080705</v>
          </cell>
          <cell r="B4671">
            <v>342291</v>
          </cell>
          <cell r="C4671" t="str">
            <v>EDP SOFTWARE &amp; PROGRAM PRODUCT</v>
          </cell>
        </row>
        <row r="4672">
          <cell r="A4672">
            <v>9080707</v>
          </cell>
          <cell r="B4672">
            <v>342291</v>
          </cell>
          <cell r="C4672" t="str">
            <v>EDP SOFTWARE &amp; PROGRAM PRODUCT</v>
          </cell>
        </row>
        <row r="4673">
          <cell r="A4673">
            <v>9080710</v>
          </cell>
          <cell r="B4673">
            <v>342291</v>
          </cell>
          <cell r="C4673" t="str">
            <v>EDP SOFTWARE &amp; PROGRAM PRODUCT</v>
          </cell>
        </row>
        <row r="4674">
          <cell r="A4674">
            <v>9080999</v>
          </cell>
          <cell r="B4674">
            <v>342291</v>
          </cell>
          <cell r="C4674" t="str">
            <v>EDP SOFTWARE &amp; PROGRAM PRODUCT</v>
          </cell>
        </row>
        <row r="4675">
          <cell r="A4675">
            <v>9090710</v>
          </cell>
          <cell r="B4675">
            <v>342291</v>
          </cell>
          <cell r="C4675" t="str">
            <v>EDP SOFTWARE &amp; PROGRAM PRODUCT</v>
          </cell>
        </row>
        <row r="4676">
          <cell r="A4676">
            <v>9090999</v>
          </cell>
          <cell r="B4676">
            <v>342291</v>
          </cell>
          <cell r="C4676" t="str">
            <v>EDP SOFTWARE &amp; PROGRAM PRODUCT</v>
          </cell>
        </row>
        <row r="4677">
          <cell r="A4677">
            <v>9100710</v>
          </cell>
          <cell r="B4677">
            <v>342291</v>
          </cell>
          <cell r="C4677" t="str">
            <v>EDP SOFTWARE &amp; PROGRAM PRODUCT</v>
          </cell>
        </row>
        <row r="4678">
          <cell r="A4678">
            <v>9100999</v>
          </cell>
          <cell r="B4678">
            <v>342291</v>
          </cell>
          <cell r="C4678" t="str">
            <v>EDP SOFTWARE &amp; PROGRAM PRODUCT</v>
          </cell>
        </row>
        <row r="4679">
          <cell r="A4679">
            <v>9110700</v>
          </cell>
          <cell r="B4679">
            <v>342291</v>
          </cell>
          <cell r="C4679" t="str">
            <v>EDP SOFTWARE &amp; PROGRAM PRODUCT</v>
          </cell>
        </row>
        <row r="4680">
          <cell r="A4680">
            <v>9110702</v>
          </cell>
          <cell r="B4680">
            <v>342291</v>
          </cell>
          <cell r="C4680" t="str">
            <v>EDP SOFTWARE &amp; PROGRAM PRODUCT</v>
          </cell>
        </row>
        <row r="4681">
          <cell r="A4681">
            <v>9110705</v>
          </cell>
          <cell r="B4681">
            <v>342291</v>
          </cell>
          <cell r="C4681" t="str">
            <v>EDP SOFTWARE &amp; PROGRAM PRODUCT</v>
          </cell>
        </row>
        <row r="4682">
          <cell r="A4682">
            <v>9110707</v>
          </cell>
          <cell r="B4682">
            <v>342291</v>
          </cell>
          <cell r="C4682" t="str">
            <v>EDP SOFTWARE &amp; PROGRAM PRODUCT</v>
          </cell>
        </row>
        <row r="4683">
          <cell r="A4683">
            <v>9110999</v>
          </cell>
          <cell r="B4683">
            <v>342291</v>
          </cell>
          <cell r="C4683" t="str">
            <v>EDP SOFTWARE &amp; PROGRAM PRODUCT</v>
          </cell>
        </row>
        <row r="4684">
          <cell r="A4684">
            <v>9680999</v>
          </cell>
          <cell r="B4684">
            <v>342291</v>
          </cell>
          <cell r="C4684" t="str">
            <v>EDP SOFTWARE &amp; PROGRAM PRODUCT</v>
          </cell>
        </row>
        <row r="4685">
          <cell r="A4685">
            <v>9681700</v>
          </cell>
          <cell r="B4685">
            <v>342291</v>
          </cell>
          <cell r="C4685" t="str">
            <v>EDP SOFTWARE &amp; PROGRAM PRODUCT</v>
          </cell>
        </row>
        <row r="4686">
          <cell r="A4686">
            <v>9681701</v>
          </cell>
          <cell r="B4686">
            <v>342291</v>
          </cell>
          <cell r="C4686" t="str">
            <v>EDP SOFTWARE &amp; PROGRAM PRODUCT</v>
          </cell>
        </row>
        <row r="4687">
          <cell r="A4687">
            <v>9681702</v>
          </cell>
          <cell r="B4687">
            <v>342291</v>
          </cell>
          <cell r="C4687" t="str">
            <v>EDP SOFTWARE &amp; PROGRAM PRODUCT</v>
          </cell>
        </row>
        <row r="4688">
          <cell r="A4688">
            <v>9681705</v>
          </cell>
          <cell r="B4688">
            <v>342291</v>
          </cell>
          <cell r="C4688" t="str">
            <v>EDP SOFTWARE &amp; PROGRAM PRODUCT</v>
          </cell>
        </row>
        <row r="4689">
          <cell r="A4689">
            <v>9681706</v>
          </cell>
          <cell r="B4689">
            <v>342291</v>
          </cell>
          <cell r="C4689" t="str">
            <v>EDP SOFTWARE &amp; PROGRAM PRODUCT</v>
          </cell>
        </row>
        <row r="4690">
          <cell r="A4690">
            <v>9681707</v>
          </cell>
          <cell r="B4690">
            <v>342291</v>
          </cell>
          <cell r="C4690" t="str">
            <v>EDP SOFTWARE &amp; PROGRAM PRODUCT</v>
          </cell>
        </row>
        <row r="4691">
          <cell r="A4691">
            <v>9681712</v>
          </cell>
          <cell r="B4691">
            <v>342291</v>
          </cell>
          <cell r="C4691" t="str">
            <v>EDP SOFTWARE &amp; PROGRAM PRODUCT</v>
          </cell>
        </row>
        <row r="4692">
          <cell r="A4692">
            <v>9681727</v>
          </cell>
          <cell r="B4692">
            <v>342291</v>
          </cell>
          <cell r="C4692" t="str">
            <v>EDP SOFTWARE &amp; PROGRAM PRODUCT</v>
          </cell>
        </row>
        <row r="4693">
          <cell r="A4693">
            <v>9681749</v>
          </cell>
          <cell r="B4693">
            <v>342291</v>
          </cell>
          <cell r="C4693" t="str">
            <v>EDP SOFTWARE &amp; PROGRAM PRODUCT</v>
          </cell>
        </row>
        <row r="4694">
          <cell r="A4694">
            <v>9681999</v>
          </cell>
          <cell r="B4694">
            <v>342291</v>
          </cell>
          <cell r="C4694" t="str">
            <v>EDP SOFTWARE &amp; PROGRAM PRODUCT</v>
          </cell>
        </row>
        <row r="4695">
          <cell r="A4695">
            <v>9683999</v>
          </cell>
          <cell r="B4695">
            <v>342291</v>
          </cell>
          <cell r="C4695" t="str">
            <v>EDP SOFTWARE &amp; PROGRAM PRODUCT</v>
          </cell>
        </row>
        <row r="4696">
          <cell r="A4696">
            <v>9684999</v>
          </cell>
          <cell r="B4696">
            <v>342291</v>
          </cell>
          <cell r="C4696" t="str">
            <v>EDP SOFTWARE &amp; PROGRAM PRODUCT</v>
          </cell>
        </row>
        <row r="4697">
          <cell r="A4697">
            <v>9689883</v>
          </cell>
          <cell r="B4697">
            <v>342291</v>
          </cell>
          <cell r="C4697" t="str">
            <v>EDP SOFTWARE &amp; PROGRAM PRODUCT</v>
          </cell>
        </row>
        <row r="4698">
          <cell r="A4698">
            <v>9689890</v>
          </cell>
          <cell r="B4698">
            <v>342291</v>
          </cell>
          <cell r="C4698" t="str">
            <v>EDP SOFTWARE &amp; PROGRAM PRODUCT</v>
          </cell>
        </row>
        <row r="4699">
          <cell r="A4699">
            <v>9689906</v>
          </cell>
          <cell r="B4699">
            <v>342291</v>
          </cell>
          <cell r="C4699" t="str">
            <v>EDP SOFTWARE &amp; PROGRAM PRODUCT</v>
          </cell>
        </row>
        <row r="4700">
          <cell r="A4700">
            <v>9689990</v>
          </cell>
          <cell r="B4700">
            <v>342291</v>
          </cell>
          <cell r="C4700" t="str">
            <v>EDP SOFTWARE &amp; PROGRAM PRODUCT</v>
          </cell>
        </row>
        <row r="4701">
          <cell r="A4701">
            <v>9689991</v>
          </cell>
          <cell r="B4701">
            <v>342291</v>
          </cell>
          <cell r="C4701" t="str">
            <v>EDP SOFTWARE &amp; PROGRAM PRODUCT</v>
          </cell>
        </row>
        <row r="4702">
          <cell r="A4702">
            <v>9689992</v>
          </cell>
          <cell r="B4702">
            <v>342291</v>
          </cell>
          <cell r="C4702" t="str">
            <v>EDP SOFTWARE &amp; PROGRAM PRODUCT</v>
          </cell>
        </row>
        <row r="4703">
          <cell r="A4703">
            <v>9689993</v>
          </cell>
          <cell r="B4703">
            <v>342291</v>
          </cell>
          <cell r="C4703" t="str">
            <v>EDP SOFTWARE &amp; PROGRAM PRODUCT</v>
          </cell>
        </row>
        <row r="4704">
          <cell r="A4704">
            <v>9689994</v>
          </cell>
          <cell r="B4704">
            <v>342291</v>
          </cell>
          <cell r="C4704" t="str">
            <v>EDP SOFTWARE &amp; PROGRAM PRODUCT</v>
          </cell>
        </row>
        <row r="4705">
          <cell r="A4705">
            <v>8001054179</v>
          </cell>
          <cell r="B4705">
            <v>342435</v>
          </cell>
          <cell r="C4705" t="str">
            <v>LEGAL/ARBITRATION FEES-REBILLE</v>
          </cell>
        </row>
        <row r="4706">
          <cell r="A4706">
            <v>8001059542</v>
          </cell>
          <cell r="B4706">
            <v>342435</v>
          </cell>
          <cell r="C4706" t="str">
            <v>LEGAL/ARBITRATION FEES-REBILLE</v>
          </cell>
        </row>
        <row r="4707">
          <cell r="A4707">
            <v>8010512510</v>
          </cell>
          <cell r="B4707">
            <v>342435</v>
          </cell>
          <cell r="C4707" t="str">
            <v>LEGAL/ARBITRATION FEES-REBILLE</v>
          </cell>
        </row>
        <row r="4708">
          <cell r="A4708">
            <v>9969681</v>
          </cell>
          <cell r="B4708">
            <v>342435</v>
          </cell>
          <cell r="C4708" t="str">
            <v>LEGAL/ARBITRATION FEES-REBILLE</v>
          </cell>
        </row>
        <row r="4709">
          <cell r="A4709">
            <v>9969901</v>
          </cell>
          <cell r="B4709">
            <v>342435</v>
          </cell>
          <cell r="C4709" t="str">
            <v>LEGAL/ARBITRATION FEES-REBILLE</v>
          </cell>
        </row>
        <row r="4710">
          <cell r="A4710" t="str">
            <v>ZONE-0105-POST</v>
          </cell>
          <cell r="B4710">
            <v>342435</v>
          </cell>
          <cell r="C4710" t="str">
            <v>LEGAL/ARBITRATION FEES-REBILLE</v>
          </cell>
        </row>
        <row r="4711">
          <cell r="A4711" t="str">
            <v>ZONE-0112-POST</v>
          </cell>
          <cell r="B4711">
            <v>342435</v>
          </cell>
          <cell r="C4711" t="str">
            <v>LEGAL/ARBITRATION FEES-REBILLE</v>
          </cell>
        </row>
        <row r="4712">
          <cell r="A4712">
            <v>9080999</v>
          </cell>
          <cell r="B4712">
            <v>342437</v>
          </cell>
          <cell r="C4712" t="str">
            <v>LEGAL/ARBITRATION FEES-OUTSIDE</v>
          </cell>
        </row>
        <row r="4713">
          <cell r="A4713">
            <v>9090999</v>
          </cell>
          <cell r="B4713">
            <v>342437</v>
          </cell>
          <cell r="C4713" t="str">
            <v>LEGAL/ARBITRATION FEES-OUTSIDE</v>
          </cell>
        </row>
        <row r="4714">
          <cell r="A4714">
            <v>9110999</v>
          </cell>
          <cell r="B4714">
            <v>342437</v>
          </cell>
          <cell r="C4714" t="str">
            <v>LEGAL/ARBITRATION FEES-OUTSIDE</v>
          </cell>
        </row>
        <row r="4715">
          <cell r="A4715">
            <v>9689883</v>
          </cell>
          <cell r="B4715">
            <v>342437</v>
          </cell>
          <cell r="C4715" t="str">
            <v>LEGAL/ARBITRATION FEES-OUTSIDE</v>
          </cell>
        </row>
        <row r="4716">
          <cell r="A4716">
            <v>9689906</v>
          </cell>
          <cell r="B4716">
            <v>342437</v>
          </cell>
          <cell r="C4716" t="str">
            <v>LEGAL/ARBITRATION FEES-OUTSIDE</v>
          </cell>
        </row>
        <row r="4717">
          <cell r="A4717">
            <v>9689991</v>
          </cell>
          <cell r="B4717">
            <v>342437</v>
          </cell>
          <cell r="C4717" t="str">
            <v>LEGAL/ARBITRATION FEES-OUTSIDE</v>
          </cell>
        </row>
        <row r="4718">
          <cell r="A4718">
            <v>9689992</v>
          </cell>
          <cell r="B4718">
            <v>342437</v>
          </cell>
          <cell r="C4718" t="str">
            <v>LEGAL/ARBITRATION FEES-OUTSIDE</v>
          </cell>
        </row>
        <row r="4719">
          <cell r="A4719">
            <v>9689994</v>
          </cell>
          <cell r="B4719">
            <v>342437</v>
          </cell>
          <cell r="C4719" t="str">
            <v>LEGAL/ARBITRATION FEES-OUTSIDE</v>
          </cell>
        </row>
        <row r="4720">
          <cell r="A4720">
            <v>9722709</v>
          </cell>
          <cell r="B4720">
            <v>342437</v>
          </cell>
          <cell r="C4720" t="str">
            <v>LEGAL/ARBITRATION FEES-OUTSIDE</v>
          </cell>
        </row>
        <row r="4721">
          <cell r="A4721">
            <v>9722713</v>
          </cell>
          <cell r="B4721">
            <v>342437</v>
          </cell>
          <cell r="C4721" t="str">
            <v>LEGAL/ARBITRATION FEES-OUTSIDE</v>
          </cell>
        </row>
        <row r="4722">
          <cell r="A4722">
            <v>9080999</v>
          </cell>
          <cell r="B4722">
            <v>342438</v>
          </cell>
          <cell r="C4722" t="str">
            <v>LEGAL EXPENSE-OUTSIDE</v>
          </cell>
        </row>
        <row r="4723">
          <cell r="A4723">
            <v>9090999</v>
          </cell>
          <cell r="B4723">
            <v>342438</v>
          </cell>
          <cell r="C4723" t="str">
            <v>LEGAL EXPENSE-OUTSIDE</v>
          </cell>
        </row>
        <row r="4724">
          <cell r="A4724">
            <v>9100999</v>
          </cell>
          <cell r="B4724">
            <v>342438</v>
          </cell>
          <cell r="C4724" t="str">
            <v>LEGAL EXPENSE-OUTSIDE</v>
          </cell>
        </row>
        <row r="4725">
          <cell r="A4725">
            <v>9110999</v>
          </cell>
          <cell r="B4725">
            <v>342438</v>
          </cell>
          <cell r="C4725" t="str">
            <v>LEGAL EXPENSE-OUTSIDE</v>
          </cell>
        </row>
        <row r="4726">
          <cell r="A4726">
            <v>9689883</v>
          </cell>
          <cell r="B4726">
            <v>342438</v>
          </cell>
          <cell r="C4726" t="str">
            <v>LEGAL EXPENSE-OUTSIDE</v>
          </cell>
        </row>
        <row r="4727">
          <cell r="A4727">
            <v>9689991</v>
          </cell>
          <cell r="B4727">
            <v>342438</v>
          </cell>
          <cell r="C4727" t="str">
            <v>LEGAL EXPENSE-OUTSIDE</v>
          </cell>
        </row>
        <row r="4728">
          <cell r="A4728">
            <v>9080999</v>
          </cell>
          <cell r="B4728">
            <v>342603</v>
          </cell>
          <cell r="C4728" t="str">
            <v>SECURITY SERVICE</v>
          </cell>
        </row>
        <row r="4729">
          <cell r="A4729">
            <v>9110999</v>
          </cell>
          <cell r="B4729">
            <v>342603</v>
          </cell>
          <cell r="C4729" t="str">
            <v>SECURITY SERVICE</v>
          </cell>
        </row>
        <row r="4730">
          <cell r="A4730">
            <v>8001054179</v>
          </cell>
          <cell r="B4730">
            <v>342611</v>
          </cell>
          <cell r="C4730" t="str">
            <v>MESSENGER SERVICE</v>
          </cell>
        </row>
        <row r="4731">
          <cell r="A4731">
            <v>8001059542</v>
          </cell>
          <cell r="B4731">
            <v>342611</v>
          </cell>
          <cell r="C4731" t="str">
            <v>MESSENGER SERVICE</v>
          </cell>
        </row>
        <row r="4732">
          <cell r="A4732">
            <v>8010512510</v>
          </cell>
          <cell r="B4732">
            <v>342611</v>
          </cell>
          <cell r="C4732" t="str">
            <v>MESSENGER SERVICE</v>
          </cell>
        </row>
        <row r="4733">
          <cell r="A4733">
            <v>9969681</v>
          </cell>
          <cell r="B4733">
            <v>342611</v>
          </cell>
          <cell r="C4733" t="str">
            <v>MESSENGER SERVICE</v>
          </cell>
        </row>
        <row r="4734">
          <cell r="A4734">
            <v>9969901</v>
          </cell>
          <cell r="B4734">
            <v>342611</v>
          </cell>
          <cell r="C4734" t="str">
            <v>MESSENGER SERVICE</v>
          </cell>
        </row>
        <row r="4735">
          <cell r="A4735" t="str">
            <v>ZONE-0105-POST</v>
          </cell>
          <cell r="B4735">
            <v>342611</v>
          </cell>
          <cell r="C4735" t="str">
            <v>MESSENGER SERVICE</v>
          </cell>
        </row>
        <row r="4736">
          <cell r="A4736" t="str">
            <v>ZONE-0112-POST</v>
          </cell>
          <cell r="B4736">
            <v>342611</v>
          </cell>
          <cell r="C4736" t="str">
            <v>MESSENGER SERVICE</v>
          </cell>
        </row>
        <row r="4737">
          <cell r="A4737">
            <v>9080700</v>
          </cell>
          <cell r="B4737">
            <v>342623</v>
          </cell>
          <cell r="C4737" t="str">
            <v>CLERICAL</v>
          </cell>
        </row>
        <row r="4738">
          <cell r="A4738">
            <v>9080701</v>
          </cell>
          <cell r="B4738">
            <v>342623</v>
          </cell>
          <cell r="C4738" t="str">
            <v>CLERICAL</v>
          </cell>
        </row>
        <row r="4739">
          <cell r="A4739">
            <v>9080702</v>
          </cell>
          <cell r="B4739">
            <v>342623</v>
          </cell>
          <cell r="C4739" t="str">
            <v>CLERICAL</v>
          </cell>
        </row>
        <row r="4740">
          <cell r="A4740">
            <v>9080705</v>
          </cell>
          <cell r="B4740">
            <v>342623</v>
          </cell>
          <cell r="C4740" t="str">
            <v>CLERICAL</v>
          </cell>
        </row>
        <row r="4741">
          <cell r="A4741">
            <v>9080707</v>
          </cell>
          <cell r="B4741">
            <v>342623</v>
          </cell>
          <cell r="C4741" t="str">
            <v>CLERICAL</v>
          </cell>
        </row>
        <row r="4742">
          <cell r="A4742">
            <v>9080710</v>
          </cell>
          <cell r="B4742">
            <v>342623</v>
          </cell>
          <cell r="C4742" t="str">
            <v>CLERICAL</v>
          </cell>
        </row>
        <row r="4743">
          <cell r="A4743">
            <v>9090710</v>
          </cell>
          <cell r="B4743">
            <v>342623</v>
          </cell>
          <cell r="C4743" t="str">
            <v>CLERICAL</v>
          </cell>
        </row>
        <row r="4744">
          <cell r="A4744">
            <v>9090999</v>
          </cell>
          <cell r="B4744">
            <v>342623</v>
          </cell>
          <cell r="C4744" t="str">
            <v>CLERICAL</v>
          </cell>
        </row>
        <row r="4745">
          <cell r="A4745">
            <v>9100710</v>
          </cell>
          <cell r="B4745">
            <v>342623</v>
          </cell>
          <cell r="C4745" t="str">
            <v>CLERICAL</v>
          </cell>
        </row>
        <row r="4746">
          <cell r="A4746">
            <v>9100999</v>
          </cell>
          <cell r="B4746">
            <v>342623</v>
          </cell>
          <cell r="C4746" t="str">
            <v>CLERICAL</v>
          </cell>
        </row>
        <row r="4747">
          <cell r="A4747">
            <v>9110700</v>
          </cell>
          <cell r="B4747">
            <v>342623</v>
          </cell>
          <cell r="C4747" t="str">
            <v>CLERICAL</v>
          </cell>
        </row>
        <row r="4748">
          <cell r="A4748">
            <v>9110702</v>
          </cell>
          <cell r="B4748">
            <v>342623</v>
          </cell>
          <cell r="C4748" t="str">
            <v>CLERICAL</v>
          </cell>
        </row>
        <row r="4749">
          <cell r="A4749">
            <v>9110705</v>
          </cell>
          <cell r="B4749">
            <v>342623</v>
          </cell>
          <cell r="C4749" t="str">
            <v>CLERICAL</v>
          </cell>
        </row>
        <row r="4750">
          <cell r="A4750">
            <v>9110707</v>
          </cell>
          <cell r="B4750">
            <v>342623</v>
          </cell>
          <cell r="C4750" t="str">
            <v>CLERICAL</v>
          </cell>
        </row>
        <row r="4751">
          <cell r="A4751">
            <v>9681700</v>
          </cell>
          <cell r="B4751">
            <v>342623</v>
          </cell>
          <cell r="C4751" t="str">
            <v>CLERICAL</v>
          </cell>
        </row>
        <row r="4752">
          <cell r="A4752">
            <v>9681701</v>
          </cell>
          <cell r="B4752">
            <v>342623</v>
          </cell>
          <cell r="C4752" t="str">
            <v>CLERICAL</v>
          </cell>
        </row>
        <row r="4753">
          <cell r="A4753">
            <v>9681702</v>
          </cell>
          <cell r="B4753">
            <v>342623</v>
          </cell>
          <cell r="C4753" t="str">
            <v>CLERICAL</v>
          </cell>
        </row>
        <row r="4754">
          <cell r="A4754">
            <v>9681705</v>
          </cell>
          <cell r="B4754">
            <v>342623</v>
          </cell>
          <cell r="C4754" t="str">
            <v>CLERICAL</v>
          </cell>
        </row>
        <row r="4755">
          <cell r="A4755">
            <v>9681706</v>
          </cell>
          <cell r="B4755">
            <v>342623</v>
          </cell>
          <cell r="C4755" t="str">
            <v>CLERICAL</v>
          </cell>
        </row>
        <row r="4756">
          <cell r="A4756">
            <v>9681707</v>
          </cell>
          <cell r="B4756">
            <v>342623</v>
          </cell>
          <cell r="C4756" t="str">
            <v>CLERICAL</v>
          </cell>
        </row>
        <row r="4757">
          <cell r="A4757">
            <v>9681712</v>
          </cell>
          <cell r="B4757">
            <v>342623</v>
          </cell>
          <cell r="C4757" t="str">
            <v>CLERICAL</v>
          </cell>
        </row>
        <row r="4758">
          <cell r="A4758">
            <v>9681727</v>
          </cell>
          <cell r="B4758">
            <v>342623</v>
          </cell>
          <cell r="C4758" t="str">
            <v>CLERICAL</v>
          </cell>
        </row>
        <row r="4759">
          <cell r="A4759">
            <v>9681749</v>
          </cell>
          <cell r="B4759">
            <v>342623</v>
          </cell>
          <cell r="C4759" t="str">
            <v>CLERICAL</v>
          </cell>
        </row>
        <row r="4760">
          <cell r="A4760">
            <v>9681999</v>
          </cell>
          <cell r="B4760">
            <v>342623</v>
          </cell>
          <cell r="C4760" t="str">
            <v>CLERICAL</v>
          </cell>
        </row>
        <row r="4761">
          <cell r="A4761">
            <v>9682715</v>
          </cell>
          <cell r="B4761">
            <v>342623</v>
          </cell>
          <cell r="C4761" t="str">
            <v>CLERICAL</v>
          </cell>
        </row>
        <row r="4762">
          <cell r="A4762">
            <v>9682722</v>
          </cell>
          <cell r="B4762">
            <v>342623</v>
          </cell>
          <cell r="C4762" t="str">
            <v>CLERICAL</v>
          </cell>
        </row>
        <row r="4763">
          <cell r="A4763">
            <v>9682999</v>
          </cell>
          <cell r="B4763">
            <v>342623</v>
          </cell>
          <cell r="C4763" t="str">
            <v>CLERICAL</v>
          </cell>
        </row>
        <row r="4764">
          <cell r="A4764">
            <v>9683999</v>
          </cell>
          <cell r="B4764">
            <v>342623</v>
          </cell>
          <cell r="C4764" t="str">
            <v>CLERICAL</v>
          </cell>
        </row>
        <row r="4765">
          <cell r="A4765">
            <v>9684999</v>
          </cell>
          <cell r="B4765">
            <v>342623</v>
          </cell>
          <cell r="C4765" t="str">
            <v>CLERICAL</v>
          </cell>
        </row>
        <row r="4766">
          <cell r="A4766">
            <v>9689692</v>
          </cell>
          <cell r="B4766">
            <v>342623</v>
          </cell>
          <cell r="C4766" t="str">
            <v>CLERICAL</v>
          </cell>
        </row>
        <row r="4767">
          <cell r="A4767">
            <v>9689747</v>
          </cell>
          <cell r="B4767">
            <v>342623</v>
          </cell>
          <cell r="C4767" t="str">
            <v>CLERICAL</v>
          </cell>
        </row>
        <row r="4768">
          <cell r="A4768">
            <v>9689883</v>
          </cell>
          <cell r="B4768">
            <v>342623</v>
          </cell>
          <cell r="C4768" t="str">
            <v>CLERICAL</v>
          </cell>
        </row>
        <row r="4769">
          <cell r="A4769">
            <v>9689890</v>
          </cell>
          <cell r="B4769">
            <v>342623</v>
          </cell>
          <cell r="C4769" t="str">
            <v>CLERICAL</v>
          </cell>
        </row>
        <row r="4770">
          <cell r="A4770">
            <v>9689906</v>
          </cell>
          <cell r="B4770">
            <v>342623</v>
          </cell>
          <cell r="C4770" t="str">
            <v>CLERICAL</v>
          </cell>
        </row>
        <row r="4771">
          <cell r="A4771">
            <v>9689925</v>
          </cell>
          <cell r="B4771">
            <v>342623</v>
          </cell>
          <cell r="C4771" t="str">
            <v>CLERICAL</v>
          </cell>
        </row>
        <row r="4772">
          <cell r="A4772">
            <v>9689990</v>
          </cell>
          <cell r="B4772">
            <v>342623</v>
          </cell>
          <cell r="C4772" t="str">
            <v>CLERICAL</v>
          </cell>
        </row>
        <row r="4773">
          <cell r="A4773">
            <v>9689991</v>
          </cell>
          <cell r="B4773">
            <v>342623</v>
          </cell>
          <cell r="C4773" t="str">
            <v>CLERICAL</v>
          </cell>
        </row>
        <row r="4774">
          <cell r="A4774">
            <v>9689992</v>
          </cell>
          <cell r="B4774">
            <v>342623</v>
          </cell>
          <cell r="C4774" t="str">
            <v>CLERICAL</v>
          </cell>
        </row>
        <row r="4775">
          <cell r="A4775">
            <v>8001054179</v>
          </cell>
          <cell r="B4775">
            <v>342627</v>
          </cell>
          <cell r="C4775" t="str">
            <v>BANK SERVICE &amp; COLLECTION</v>
          </cell>
        </row>
        <row r="4776">
          <cell r="A4776">
            <v>8001059542</v>
          </cell>
          <cell r="B4776">
            <v>342627</v>
          </cell>
          <cell r="C4776" t="str">
            <v>BANK SERVICE &amp; COLLECTION</v>
          </cell>
        </row>
        <row r="4777">
          <cell r="A4777">
            <v>8010512510</v>
          </cell>
          <cell r="B4777">
            <v>342627</v>
          </cell>
          <cell r="C4777" t="str">
            <v>BANK SERVICE &amp; COLLECTION</v>
          </cell>
        </row>
        <row r="4778">
          <cell r="A4778">
            <v>9090999</v>
          </cell>
          <cell r="B4778">
            <v>342627</v>
          </cell>
          <cell r="C4778" t="str">
            <v>BANK SERVICE &amp; COLLECTION</v>
          </cell>
        </row>
        <row r="4779">
          <cell r="A4779">
            <v>9100999</v>
          </cell>
          <cell r="B4779">
            <v>342627</v>
          </cell>
          <cell r="C4779" t="str">
            <v>BANK SERVICE &amp; COLLECTION</v>
          </cell>
        </row>
        <row r="4780">
          <cell r="A4780">
            <v>9689883</v>
          </cell>
          <cell r="B4780">
            <v>342627</v>
          </cell>
          <cell r="C4780" t="str">
            <v>BANK SERVICE &amp; COLLECTION</v>
          </cell>
        </row>
        <row r="4781">
          <cell r="A4781">
            <v>9689906</v>
          </cell>
          <cell r="B4781">
            <v>342627</v>
          </cell>
          <cell r="C4781" t="str">
            <v>BANK SERVICE &amp; COLLECTION</v>
          </cell>
        </row>
        <row r="4782">
          <cell r="A4782">
            <v>9689992</v>
          </cell>
          <cell r="B4782">
            <v>342627</v>
          </cell>
          <cell r="C4782" t="str">
            <v>BANK SERVICE &amp; COLLECTION</v>
          </cell>
        </row>
        <row r="4783">
          <cell r="A4783">
            <v>9689994</v>
          </cell>
          <cell r="B4783">
            <v>342627</v>
          </cell>
          <cell r="C4783" t="str">
            <v>BANK SERVICE &amp; COLLECTION</v>
          </cell>
        </row>
        <row r="4784">
          <cell r="A4784">
            <v>9720703</v>
          </cell>
          <cell r="B4784">
            <v>342627</v>
          </cell>
          <cell r="C4784" t="str">
            <v>BANK SERVICE &amp; COLLECTION</v>
          </cell>
        </row>
        <row r="4785">
          <cell r="A4785">
            <v>9722709</v>
          </cell>
          <cell r="B4785">
            <v>342627</v>
          </cell>
          <cell r="C4785" t="str">
            <v>BANK SERVICE &amp; COLLECTION</v>
          </cell>
        </row>
        <row r="4786">
          <cell r="A4786">
            <v>9722713</v>
          </cell>
          <cell r="B4786">
            <v>342627</v>
          </cell>
          <cell r="C4786" t="str">
            <v>BANK SERVICE &amp; COLLECTION</v>
          </cell>
        </row>
        <row r="4787">
          <cell r="A4787">
            <v>9724718</v>
          </cell>
          <cell r="B4787">
            <v>342627</v>
          </cell>
          <cell r="C4787" t="str">
            <v>BANK SERVICE &amp; COLLECTION</v>
          </cell>
        </row>
        <row r="4788">
          <cell r="A4788">
            <v>9724721</v>
          </cell>
          <cell r="B4788">
            <v>342627</v>
          </cell>
          <cell r="C4788" t="str">
            <v>BANK SERVICE &amp; COLLECTION</v>
          </cell>
        </row>
        <row r="4789">
          <cell r="A4789">
            <v>9724724</v>
          </cell>
          <cell r="B4789">
            <v>342627</v>
          </cell>
          <cell r="C4789" t="str">
            <v>BANK SERVICE &amp; COLLECTION</v>
          </cell>
        </row>
        <row r="4790">
          <cell r="A4790">
            <v>9725703</v>
          </cell>
          <cell r="B4790">
            <v>342627</v>
          </cell>
          <cell r="C4790" t="str">
            <v>BANK SERVICE &amp; COLLECTION</v>
          </cell>
        </row>
        <row r="4791">
          <cell r="A4791">
            <v>9725704</v>
          </cell>
          <cell r="B4791">
            <v>342627</v>
          </cell>
          <cell r="C4791" t="str">
            <v>BANK SERVICE &amp; COLLECTION</v>
          </cell>
        </row>
        <row r="4792">
          <cell r="A4792">
            <v>9725711</v>
          </cell>
          <cell r="B4792">
            <v>342627</v>
          </cell>
          <cell r="C4792" t="str">
            <v>BANK SERVICE &amp; COLLECTION</v>
          </cell>
        </row>
        <row r="4793">
          <cell r="A4793">
            <v>9725717</v>
          </cell>
          <cell r="B4793">
            <v>342627</v>
          </cell>
          <cell r="C4793" t="str">
            <v>BANK SERVICE &amp; COLLECTION</v>
          </cell>
        </row>
        <row r="4794">
          <cell r="A4794">
            <v>9725725</v>
          </cell>
          <cell r="B4794">
            <v>342627</v>
          </cell>
          <cell r="C4794" t="str">
            <v>BANK SERVICE &amp; COLLECTION</v>
          </cell>
        </row>
        <row r="4795">
          <cell r="A4795">
            <v>9969681</v>
          </cell>
          <cell r="B4795">
            <v>342627</v>
          </cell>
          <cell r="C4795" t="str">
            <v>BANK SERVICE &amp; COLLECTION</v>
          </cell>
        </row>
        <row r="4796">
          <cell r="A4796">
            <v>9969901</v>
          </cell>
          <cell r="B4796">
            <v>342627</v>
          </cell>
          <cell r="C4796" t="str">
            <v>BANK SERVICE &amp; COLLECTION</v>
          </cell>
        </row>
        <row r="4797">
          <cell r="A4797" t="str">
            <v>ZONE-0105-POST</v>
          </cell>
          <cell r="B4797">
            <v>342627</v>
          </cell>
          <cell r="C4797" t="str">
            <v>BANK SERVICE &amp; COLLECTION</v>
          </cell>
        </row>
        <row r="4798">
          <cell r="A4798" t="str">
            <v>ZONE-0112-POST</v>
          </cell>
          <cell r="B4798">
            <v>342627</v>
          </cell>
          <cell r="C4798" t="str">
            <v>BANK SERVICE &amp; COLLECTION</v>
          </cell>
        </row>
        <row r="4799">
          <cell r="A4799">
            <v>9080999</v>
          </cell>
          <cell r="B4799">
            <v>342628</v>
          </cell>
          <cell r="C4799" t="str">
            <v>APPRAISALS AND SURVEYS</v>
          </cell>
        </row>
        <row r="4800">
          <cell r="A4800">
            <v>9110999</v>
          </cell>
          <cell r="B4800">
            <v>342628</v>
          </cell>
          <cell r="C4800" t="str">
            <v>APPRAISALS AND SURVEYS</v>
          </cell>
        </row>
        <row r="4801">
          <cell r="A4801">
            <v>9689994</v>
          </cell>
          <cell r="B4801">
            <v>342628</v>
          </cell>
          <cell r="C4801" t="str">
            <v>APPRAISALS AND SURVEYS</v>
          </cell>
        </row>
        <row r="4802">
          <cell r="A4802">
            <v>9090999</v>
          </cell>
          <cell r="B4802">
            <v>342630</v>
          </cell>
          <cell r="C4802" t="str">
            <v>RETURNED CHECK FEE</v>
          </cell>
        </row>
        <row r="4803">
          <cell r="A4803">
            <v>8001054179</v>
          </cell>
          <cell r="B4803">
            <v>342631</v>
          </cell>
          <cell r="C4803" t="str">
            <v>ADVISORY AND CONSULTANTS</v>
          </cell>
        </row>
        <row r="4804">
          <cell r="A4804">
            <v>8001059542</v>
          </cell>
          <cell r="B4804">
            <v>342631</v>
          </cell>
          <cell r="C4804" t="str">
            <v>ADVISORY AND CONSULTANTS</v>
          </cell>
        </row>
        <row r="4805">
          <cell r="A4805">
            <v>8010512510</v>
          </cell>
          <cell r="B4805">
            <v>342631</v>
          </cell>
          <cell r="C4805" t="str">
            <v>ADVISORY AND CONSULTANTS</v>
          </cell>
        </row>
        <row r="4806">
          <cell r="A4806">
            <v>9080700</v>
          </cell>
          <cell r="B4806">
            <v>342631</v>
          </cell>
          <cell r="C4806" t="str">
            <v>ADVISORY AND CONSULTANTS</v>
          </cell>
        </row>
        <row r="4807">
          <cell r="A4807">
            <v>9080701</v>
          </cell>
          <cell r="B4807">
            <v>342631</v>
          </cell>
          <cell r="C4807" t="str">
            <v>ADVISORY AND CONSULTANTS</v>
          </cell>
        </row>
        <row r="4808">
          <cell r="A4808">
            <v>9080702</v>
          </cell>
          <cell r="B4808">
            <v>342631</v>
          </cell>
          <cell r="C4808" t="str">
            <v>ADVISORY AND CONSULTANTS</v>
          </cell>
        </row>
        <row r="4809">
          <cell r="A4809">
            <v>9080705</v>
          </cell>
          <cell r="B4809">
            <v>342631</v>
          </cell>
          <cell r="C4809" t="str">
            <v>ADVISORY AND CONSULTANTS</v>
          </cell>
        </row>
        <row r="4810">
          <cell r="A4810">
            <v>9080707</v>
          </cell>
          <cell r="B4810">
            <v>342631</v>
          </cell>
          <cell r="C4810" t="str">
            <v>ADVISORY AND CONSULTANTS</v>
          </cell>
        </row>
        <row r="4811">
          <cell r="A4811">
            <v>9080710</v>
          </cell>
          <cell r="B4811">
            <v>342631</v>
          </cell>
          <cell r="C4811" t="str">
            <v>ADVISORY AND CONSULTANTS</v>
          </cell>
        </row>
        <row r="4812">
          <cell r="A4812">
            <v>9080999</v>
          </cell>
          <cell r="B4812">
            <v>342631</v>
          </cell>
          <cell r="C4812" t="str">
            <v>ADVISORY AND CONSULTANTS</v>
          </cell>
        </row>
        <row r="4813">
          <cell r="A4813">
            <v>9090999</v>
          </cell>
          <cell r="B4813">
            <v>342631</v>
          </cell>
          <cell r="C4813" t="str">
            <v>ADVISORY AND CONSULTANTS</v>
          </cell>
        </row>
        <row r="4814">
          <cell r="A4814">
            <v>9100999</v>
          </cell>
          <cell r="B4814">
            <v>342631</v>
          </cell>
          <cell r="C4814" t="str">
            <v>ADVISORY AND CONSULTANTS</v>
          </cell>
        </row>
        <row r="4815">
          <cell r="A4815">
            <v>9110700</v>
          </cell>
          <cell r="B4815">
            <v>342631</v>
          </cell>
          <cell r="C4815" t="str">
            <v>ADVISORY AND CONSULTANTS</v>
          </cell>
        </row>
        <row r="4816">
          <cell r="A4816">
            <v>9110702</v>
          </cell>
          <cell r="B4816">
            <v>342631</v>
          </cell>
          <cell r="C4816" t="str">
            <v>ADVISORY AND CONSULTANTS</v>
          </cell>
        </row>
        <row r="4817">
          <cell r="A4817">
            <v>9110705</v>
          </cell>
          <cell r="B4817">
            <v>342631</v>
          </cell>
          <cell r="C4817" t="str">
            <v>ADVISORY AND CONSULTANTS</v>
          </cell>
        </row>
        <row r="4818">
          <cell r="A4818">
            <v>9110707</v>
          </cell>
          <cell r="B4818">
            <v>342631</v>
          </cell>
          <cell r="C4818" t="str">
            <v>ADVISORY AND CONSULTANTS</v>
          </cell>
        </row>
        <row r="4819">
          <cell r="A4819">
            <v>9110999</v>
          </cell>
          <cell r="B4819">
            <v>342631</v>
          </cell>
          <cell r="C4819" t="str">
            <v>ADVISORY AND CONSULTANTS</v>
          </cell>
        </row>
        <row r="4820">
          <cell r="A4820">
            <v>9680700</v>
          </cell>
          <cell r="B4820">
            <v>342631</v>
          </cell>
          <cell r="C4820" t="str">
            <v>ADVISORY AND CONSULTANTS</v>
          </cell>
        </row>
        <row r="4821">
          <cell r="A4821">
            <v>9680701</v>
          </cell>
          <cell r="B4821">
            <v>342631</v>
          </cell>
          <cell r="C4821" t="str">
            <v>ADVISORY AND CONSULTANTS</v>
          </cell>
        </row>
        <row r="4822">
          <cell r="A4822">
            <v>9680702</v>
          </cell>
          <cell r="B4822">
            <v>342631</v>
          </cell>
          <cell r="C4822" t="str">
            <v>ADVISORY AND CONSULTANTS</v>
          </cell>
        </row>
        <row r="4823">
          <cell r="A4823">
            <v>9680705</v>
          </cell>
          <cell r="B4823">
            <v>342631</v>
          </cell>
          <cell r="C4823" t="str">
            <v>ADVISORY AND CONSULTANTS</v>
          </cell>
        </row>
        <row r="4824">
          <cell r="A4824">
            <v>9680707</v>
          </cell>
          <cell r="B4824">
            <v>342631</v>
          </cell>
          <cell r="C4824" t="str">
            <v>ADVISORY AND CONSULTANTS</v>
          </cell>
        </row>
        <row r="4825">
          <cell r="A4825">
            <v>9680710</v>
          </cell>
          <cell r="B4825">
            <v>342631</v>
          </cell>
          <cell r="C4825" t="str">
            <v>ADVISORY AND CONSULTANTS</v>
          </cell>
        </row>
        <row r="4826">
          <cell r="A4826">
            <v>9680712</v>
          </cell>
          <cell r="B4826">
            <v>342631</v>
          </cell>
          <cell r="C4826" t="str">
            <v>ADVISORY AND CONSULTANTS</v>
          </cell>
        </row>
        <row r="4827">
          <cell r="A4827">
            <v>9680714</v>
          </cell>
          <cell r="B4827">
            <v>342631</v>
          </cell>
          <cell r="C4827" t="str">
            <v>ADVISORY AND CONSULTANTS</v>
          </cell>
        </row>
        <row r="4828">
          <cell r="A4828">
            <v>9680734</v>
          </cell>
          <cell r="B4828">
            <v>342631</v>
          </cell>
          <cell r="C4828" t="str">
            <v>ADVISORY AND CONSULTANTS</v>
          </cell>
        </row>
        <row r="4829">
          <cell r="A4829">
            <v>9680748</v>
          </cell>
          <cell r="B4829">
            <v>342631</v>
          </cell>
          <cell r="C4829" t="str">
            <v>ADVISORY AND CONSULTANTS</v>
          </cell>
        </row>
        <row r="4830">
          <cell r="A4830">
            <v>9680749</v>
          </cell>
          <cell r="B4830">
            <v>342631</v>
          </cell>
          <cell r="C4830" t="str">
            <v>ADVISORY AND CONSULTANTS</v>
          </cell>
        </row>
        <row r="4831">
          <cell r="A4831">
            <v>9680894</v>
          </cell>
          <cell r="B4831">
            <v>342631</v>
          </cell>
          <cell r="C4831" t="str">
            <v>ADVISORY AND CONSULTANTS</v>
          </cell>
        </row>
        <row r="4832">
          <cell r="A4832">
            <v>9680999</v>
          </cell>
          <cell r="B4832">
            <v>342631</v>
          </cell>
          <cell r="C4832" t="str">
            <v>ADVISORY AND CONSULTANTS</v>
          </cell>
        </row>
        <row r="4833">
          <cell r="A4833">
            <v>9681700</v>
          </cell>
          <cell r="B4833">
            <v>342631</v>
          </cell>
          <cell r="C4833" t="str">
            <v>ADVISORY AND CONSULTANTS</v>
          </cell>
        </row>
        <row r="4834">
          <cell r="A4834">
            <v>9681701</v>
          </cell>
          <cell r="B4834">
            <v>342631</v>
          </cell>
          <cell r="C4834" t="str">
            <v>ADVISORY AND CONSULTANTS</v>
          </cell>
        </row>
        <row r="4835">
          <cell r="A4835">
            <v>9681702</v>
          </cell>
          <cell r="B4835">
            <v>342631</v>
          </cell>
          <cell r="C4835" t="str">
            <v>ADVISORY AND CONSULTANTS</v>
          </cell>
        </row>
        <row r="4836">
          <cell r="A4836">
            <v>9681705</v>
          </cell>
          <cell r="B4836">
            <v>342631</v>
          </cell>
          <cell r="C4836" t="str">
            <v>ADVISORY AND CONSULTANTS</v>
          </cell>
        </row>
        <row r="4837">
          <cell r="A4837">
            <v>9681706</v>
          </cell>
          <cell r="B4837">
            <v>342631</v>
          </cell>
          <cell r="C4837" t="str">
            <v>ADVISORY AND CONSULTANTS</v>
          </cell>
        </row>
        <row r="4838">
          <cell r="A4838">
            <v>9681707</v>
          </cell>
          <cell r="B4838">
            <v>342631</v>
          </cell>
          <cell r="C4838" t="str">
            <v>ADVISORY AND CONSULTANTS</v>
          </cell>
        </row>
        <row r="4839">
          <cell r="A4839">
            <v>9681710</v>
          </cell>
          <cell r="B4839">
            <v>342631</v>
          </cell>
          <cell r="C4839" t="str">
            <v>ADVISORY AND CONSULTANTS</v>
          </cell>
        </row>
        <row r="4840">
          <cell r="A4840">
            <v>9681712</v>
          </cell>
          <cell r="B4840">
            <v>342631</v>
          </cell>
          <cell r="C4840" t="str">
            <v>ADVISORY AND CONSULTANTS</v>
          </cell>
        </row>
        <row r="4841">
          <cell r="A4841">
            <v>9681727</v>
          </cell>
          <cell r="B4841">
            <v>342631</v>
          </cell>
          <cell r="C4841" t="str">
            <v>ADVISORY AND CONSULTANTS</v>
          </cell>
        </row>
        <row r="4842">
          <cell r="A4842">
            <v>9681734</v>
          </cell>
          <cell r="B4842">
            <v>342631</v>
          </cell>
          <cell r="C4842" t="str">
            <v>ADVISORY AND CONSULTANTS</v>
          </cell>
        </row>
        <row r="4843">
          <cell r="A4843">
            <v>9681748</v>
          </cell>
          <cell r="B4843">
            <v>342631</v>
          </cell>
          <cell r="C4843" t="str">
            <v>ADVISORY AND CONSULTANTS</v>
          </cell>
        </row>
        <row r="4844">
          <cell r="A4844">
            <v>9681749</v>
          </cell>
          <cell r="B4844">
            <v>342631</v>
          </cell>
          <cell r="C4844" t="str">
            <v>ADVISORY AND CONSULTANTS</v>
          </cell>
        </row>
        <row r="4845">
          <cell r="A4845">
            <v>9681894</v>
          </cell>
          <cell r="B4845">
            <v>342631</v>
          </cell>
          <cell r="C4845" t="str">
            <v>ADVISORY AND CONSULTANTS</v>
          </cell>
        </row>
        <row r="4846">
          <cell r="A4846">
            <v>9681999</v>
          </cell>
          <cell r="B4846">
            <v>342631</v>
          </cell>
          <cell r="C4846" t="str">
            <v>ADVISORY AND CONSULTANTS</v>
          </cell>
        </row>
        <row r="4847">
          <cell r="A4847">
            <v>9682715</v>
          </cell>
          <cell r="B4847">
            <v>342631</v>
          </cell>
          <cell r="C4847" t="str">
            <v>ADVISORY AND CONSULTANTS</v>
          </cell>
        </row>
        <row r="4848">
          <cell r="A4848">
            <v>9682722</v>
          </cell>
          <cell r="B4848">
            <v>342631</v>
          </cell>
          <cell r="C4848" t="str">
            <v>ADVISORY AND CONSULTANTS</v>
          </cell>
        </row>
        <row r="4849">
          <cell r="A4849">
            <v>9682999</v>
          </cell>
          <cell r="B4849">
            <v>342631</v>
          </cell>
          <cell r="C4849" t="str">
            <v>ADVISORY AND CONSULTANTS</v>
          </cell>
        </row>
        <row r="4850">
          <cell r="A4850">
            <v>9683999</v>
          </cell>
          <cell r="B4850">
            <v>342631</v>
          </cell>
          <cell r="C4850" t="str">
            <v>ADVISORY AND CONSULTANTS</v>
          </cell>
        </row>
        <row r="4851">
          <cell r="A4851">
            <v>9684999</v>
          </cell>
          <cell r="B4851">
            <v>342631</v>
          </cell>
          <cell r="C4851" t="str">
            <v>ADVISORY AND CONSULTANTS</v>
          </cell>
        </row>
        <row r="4852">
          <cell r="A4852">
            <v>9689692</v>
          </cell>
          <cell r="B4852">
            <v>342631</v>
          </cell>
          <cell r="C4852" t="str">
            <v>ADVISORY AND CONSULTANTS</v>
          </cell>
        </row>
        <row r="4853">
          <cell r="A4853">
            <v>9689747</v>
          </cell>
          <cell r="B4853">
            <v>342631</v>
          </cell>
          <cell r="C4853" t="str">
            <v>ADVISORY AND CONSULTANTS</v>
          </cell>
        </row>
        <row r="4854">
          <cell r="A4854">
            <v>9689883</v>
          </cell>
          <cell r="B4854">
            <v>342631</v>
          </cell>
          <cell r="C4854" t="str">
            <v>ADVISORY AND CONSULTANTS</v>
          </cell>
        </row>
        <row r="4855">
          <cell r="A4855">
            <v>9689890</v>
          </cell>
          <cell r="B4855">
            <v>342631</v>
          </cell>
          <cell r="C4855" t="str">
            <v>ADVISORY AND CONSULTANTS</v>
          </cell>
        </row>
        <row r="4856">
          <cell r="A4856">
            <v>9689906</v>
          </cell>
          <cell r="B4856">
            <v>342631</v>
          </cell>
          <cell r="C4856" t="str">
            <v>ADVISORY AND CONSULTANTS</v>
          </cell>
        </row>
        <row r="4857">
          <cell r="A4857">
            <v>9689925</v>
          </cell>
          <cell r="B4857">
            <v>342631</v>
          </cell>
          <cell r="C4857" t="str">
            <v>ADVISORY AND CONSULTANTS</v>
          </cell>
        </row>
        <row r="4858">
          <cell r="A4858">
            <v>9689990</v>
          </cell>
          <cell r="B4858">
            <v>342631</v>
          </cell>
          <cell r="C4858" t="str">
            <v>ADVISORY AND CONSULTANTS</v>
          </cell>
        </row>
        <row r="4859">
          <cell r="A4859">
            <v>9689991</v>
          </cell>
          <cell r="B4859">
            <v>342631</v>
          </cell>
          <cell r="C4859" t="str">
            <v>ADVISORY AND CONSULTANTS</v>
          </cell>
        </row>
        <row r="4860">
          <cell r="A4860">
            <v>9689992</v>
          </cell>
          <cell r="B4860">
            <v>342631</v>
          </cell>
          <cell r="C4860" t="str">
            <v>ADVISORY AND CONSULTANTS</v>
          </cell>
        </row>
        <row r="4861">
          <cell r="A4861">
            <v>9689993</v>
          </cell>
          <cell r="B4861">
            <v>342631</v>
          </cell>
          <cell r="C4861" t="str">
            <v>ADVISORY AND CONSULTANTS</v>
          </cell>
        </row>
        <row r="4862">
          <cell r="A4862">
            <v>9689994</v>
          </cell>
          <cell r="B4862">
            <v>342631</v>
          </cell>
          <cell r="C4862" t="str">
            <v>ADVISORY AND CONSULTANTS</v>
          </cell>
        </row>
        <row r="4863">
          <cell r="A4863">
            <v>9720703</v>
          </cell>
          <cell r="B4863">
            <v>342631</v>
          </cell>
          <cell r="C4863" t="str">
            <v>ADVISORY AND CONSULTANTS</v>
          </cell>
        </row>
        <row r="4864">
          <cell r="A4864">
            <v>9724718</v>
          </cell>
          <cell r="B4864">
            <v>342631</v>
          </cell>
          <cell r="C4864" t="str">
            <v>ADVISORY AND CONSULTANTS</v>
          </cell>
        </row>
        <row r="4865">
          <cell r="A4865">
            <v>9724721</v>
          </cell>
          <cell r="B4865">
            <v>342631</v>
          </cell>
          <cell r="C4865" t="str">
            <v>ADVISORY AND CONSULTANTS</v>
          </cell>
        </row>
        <row r="4866">
          <cell r="A4866">
            <v>9724724</v>
          </cell>
          <cell r="B4866">
            <v>342631</v>
          </cell>
          <cell r="C4866" t="str">
            <v>ADVISORY AND CONSULTANTS</v>
          </cell>
        </row>
        <row r="4867">
          <cell r="A4867">
            <v>9724726</v>
          </cell>
          <cell r="B4867">
            <v>342631</v>
          </cell>
          <cell r="C4867" t="str">
            <v>ADVISORY AND CONSULTANTS</v>
          </cell>
        </row>
        <row r="4868">
          <cell r="A4868">
            <v>9725703</v>
          </cell>
          <cell r="B4868">
            <v>342631</v>
          </cell>
          <cell r="C4868" t="str">
            <v>ADVISORY AND CONSULTANTS</v>
          </cell>
        </row>
        <row r="4869">
          <cell r="A4869">
            <v>9725704</v>
          </cell>
          <cell r="B4869">
            <v>342631</v>
          </cell>
          <cell r="C4869" t="str">
            <v>ADVISORY AND CONSULTANTS</v>
          </cell>
        </row>
        <row r="4870">
          <cell r="A4870">
            <v>9725711</v>
          </cell>
          <cell r="B4870">
            <v>342631</v>
          </cell>
          <cell r="C4870" t="str">
            <v>ADVISORY AND CONSULTANTS</v>
          </cell>
        </row>
        <row r="4871">
          <cell r="A4871">
            <v>9725717</v>
          </cell>
          <cell r="B4871">
            <v>342631</v>
          </cell>
          <cell r="C4871" t="str">
            <v>ADVISORY AND CONSULTANTS</v>
          </cell>
        </row>
        <row r="4872">
          <cell r="A4872">
            <v>9725725</v>
          </cell>
          <cell r="B4872">
            <v>342631</v>
          </cell>
          <cell r="C4872" t="str">
            <v>ADVISORY AND CONSULTANTS</v>
          </cell>
        </row>
        <row r="4873">
          <cell r="A4873">
            <v>9969681</v>
          </cell>
          <cell r="B4873">
            <v>342631</v>
          </cell>
          <cell r="C4873" t="str">
            <v>ADVISORY AND CONSULTANTS</v>
          </cell>
        </row>
        <row r="4874">
          <cell r="A4874">
            <v>9969901</v>
          </cell>
          <cell r="B4874">
            <v>342631</v>
          </cell>
          <cell r="C4874" t="str">
            <v>ADVISORY AND CONSULTANTS</v>
          </cell>
        </row>
        <row r="4875">
          <cell r="A4875" t="str">
            <v>ZONE-0105-POST</v>
          </cell>
          <cell r="B4875">
            <v>342631</v>
          </cell>
          <cell r="C4875" t="str">
            <v>ADVISORY AND CONSULTANTS</v>
          </cell>
        </row>
        <row r="4876">
          <cell r="A4876" t="str">
            <v>ZONE-0112-POST</v>
          </cell>
          <cell r="B4876">
            <v>342631</v>
          </cell>
          <cell r="C4876" t="str">
            <v>ADVISORY AND CONSULTANTS</v>
          </cell>
        </row>
        <row r="4877">
          <cell r="A4877">
            <v>9080700</v>
          </cell>
          <cell r="B4877">
            <v>342632</v>
          </cell>
          <cell r="C4877" t="str">
            <v>PRINTING SERVICE</v>
          </cell>
        </row>
        <row r="4878">
          <cell r="A4878">
            <v>9080701</v>
          </cell>
          <cell r="B4878">
            <v>342632</v>
          </cell>
          <cell r="C4878" t="str">
            <v>PRINTING SERVICE</v>
          </cell>
        </row>
        <row r="4879">
          <cell r="A4879">
            <v>9080702</v>
          </cell>
          <cell r="B4879">
            <v>342632</v>
          </cell>
          <cell r="C4879" t="str">
            <v>PRINTING SERVICE</v>
          </cell>
        </row>
        <row r="4880">
          <cell r="A4880">
            <v>9080705</v>
          </cell>
          <cell r="B4880">
            <v>342632</v>
          </cell>
          <cell r="C4880" t="str">
            <v>PRINTING SERVICE</v>
          </cell>
        </row>
        <row r="4881">
          <cell r="A4881">
            <v>9080707</v>
          </cell>
          <cell r="B4881">
            <v>342632</v>
          </cell>
          <cell r="C4881" t="str">
            <v>PRINTING SERVICE</v>
          </cell>
        </row>
        <row r="4882">
          <cell r="A4882">
            <v>9080710</v>
          </cell>
          <cell r="B4882">
            <v>342632</v>
          </cell>
          <cell r="C4882" t="str">
            <v>PRINTING SERVICE</v>
          </cell>
        </row>
        <row r="4883">
          <cell r="A4883">
            <v>9080999</v>
          </cell>
          <cell r="B4883">
            <v>342632</v>
          </cell>
          <cell r="C4883" t="str">
            <v>PRINTING SERVICE</v>
          </cell>
        </row>
        <row r="4884">
          <cell r="A4884">
            <v>9090710</v>
          </cell>
          <cell r="B4884">
            <v>342632</v>
          </cell>
          <cell r="C4884" t="str">
            <v>PRINTING SERVICE</v>
          </cell>
        </row>
        <row r="4885">
          <cell r="A4885">
            <v>9090999</v>
          </cell>
          <cell r="B4885">
            <v>342632</v>
          </cell>
          <cell r="C4885" t="str">
            <v>PRINTING SERVICE</v>
          </cell>
        </row>
        <row r="4886">
          <cell r="A4886">
            <v>9100710</v>
          </cell>
          <cell r="B4886">
            <v>342632</v>
          </cell>
          <cell r="C4886" t="str">
            <v>PRINTING SERVICE</v>
          </cell>
        </row>
        <row r="4887">
          <cell r="A4887">
            <v>9100999</v>
          </cell>
          <cell r="B4887">
            <v>342632</v>
          </cell>
          <cell r="C4887" t="str">
            <v>PRINTING SERVICE</v>
          </cell>
        </row>
        <row r="4888">
          <cell r="A4888">
            <v>9110700</v>
          </cell>
          <cell r="B4888">
            <v>342632</v>
          </cell>
          <cell r="C4888" t="str">
            <v>PRINTING SERVICE</v>
          </cell>
        </row>
        <row r="4889">
          <cell r="A4889">
            <v>9110702</v>
          </cell>
          <cell r="B4889">
            <v>342632</v>
          </cell>
          <cell r="C4889" t="str">
            <v>PRINTING SERVICE</v>
          </cell>
        </row>
        <row r="4890">
          <cell r="A4890">
            <v>9110705</v>
          </cell>
          <cell r="B4890">
            <v>342632</v>
          </cell>
          <cell r="C4890" t="str">
            <v>PRINTING SERVICE</v>
          </cell>
        </row>
        <row r="4891">
          <cell r="A4891">
            <v>9110707</v>
          </cell>
          <cell r="B4891">
            <v>342632</v>
          </cell>
          <cell r="C4891" t="str">
            <v>PRINTING SERVICE</v>
          </cell>
        </row>
        <row r="4892">
          <cell r="A4892">
            <v>9110999</v>
          </cell>
          <cell r="B4892">
            <v>342632</v>
          </cell>
          <cell r="C4892" t="str">
            <v>PRINTING SERVICE</v>
          </cell>
        </row>
        <row r="4893">
          <cell r="A4893">
            <v>9680700</v>
          </cell>
          <cell r="B4893">
            <v>342632</v>
          </cell>
          <cell r="C4893" t="str">
            <v>PRINTING SERVICE</v>
          </cell>
        </row>
        <row r="4894">
          <cell r="A4894">
            <v>9680701</v>
          </cell>
          <cell r="B4894">
            <v>342632</v>
          </cell>
          <cell r="C4894" t="str">
            <v>PRINTING SERVICE</v>
          </cell>
        </row>
        <row r="4895">
          <cell r="A4895">
            <v>9680702</v>
          </cell>
          <cell r="B4895">
            <v>342632</v>
          </cell>
          <cell r="C4895" t="str">
            <v>PRINTING SERVICE</v>
          </cell>
        </row>
        <row r="4896">
          <cell r="A4896">
            <v>9680705</v>
          </cell>
          <cell r="B4896">
            <v>342632</v>
          </cell>
          <cell r="C4896" t="str">
            <v>PRINTING SERVICE</v>
          </cell>
        </row>
        <row r="4897">
          <cell r="A4897">
            <v>9680707</v>
          </cell>
          <cell r="B4897">
            <v>342632</v>
          </cell>
          <cell r="C4897" t="str">
            <v>PRINTING SERVICE</v>
          </cell>
        </row>
        <row r="4898">
          <cell r="A4898">
            <v>9680710</v>
          </cell>
          <cell r="B4898">
            <v>342632</v>
          </cell>
          <cell r="C4898" t="str">
            <v>PRINTING SERVICE</v>
          </cell>
        </row>
        <row r="4899">
          <cell r="A4899">
            <v>9680712</v>
          </cell>
          <cell r="B4899">
            <v>342632</v>
          </cell>
          <cell r="C4899" t="str">
            <v>PRINTING SERVICE</v>
          </cell>
        </row>
        <row r="4900">
          <cell r="A4900">
            <v>9680714</v>
          </cell>
          <cell r="B4900">
            <v>342632</v>
          </cell>
          <cell r="C4900" t="str">
            <v>PRINTING SERVICE</v>
          </cell>
        </row>
        <row r="4901">
          <cell r="A4901">
            <v>9680734</v>
          </cell>
          <cell r="B4901">
            <v>342632</v>
          </cell>
          <cell r="C4901" t="str">
            <v>PRINTING SERVICE</v>
          </cell>
        </row>
        <row r="4902">
          <cell r="A4902">
            <v>9680748</v>
          </cell>
          <cell r="B4902">
            <v>342632</v>
          </cell>
          <cell r="C4902" t="str">
            <v>PRINTING SERVICE</v>
          </cell>
        </row>
        <row r="4903">
          <cell r="A4903">
            <v>9680749</v>
          </cell>
          <cell r="B4903">
            <v>342632</v>
          </cell>
          <cell r="C4903" t="str">
            <v>PRINTING SERVICE</v>
          </cell>
        </row>
        <row r="4904">
          <cell r="A4904">
            <v>9680894</v>
          </cell>
          <cell r="B4904">
            <v>342632</v>
          </cell>
          <cell r="C4904" t="str">
            <v>PRINTING SERVICE</v>
          </cell>
        </row>
        <row r="4905">
          <cell r="A4905">
            <v>9680999</v>
          </cell>
          <cell r="B4905">
            <v>342632</v>
          </cell>
          <cell r="C4905" t="str">
            <v>PRINTING SERVICE</v>
          </cell>
        </row>
        <row r="4906">
          <cell r="A4906">
            <v>9681700</v>
          </cell>
          <cell r="B4906">
            <v>342632</v>
          </cell>
          <cell r="C4906" t="str">
            <v>PRINTING SERVICE</v>
          </cell>
        </row>
        <row r="4907">
          <cell r="A4907">
            <v>9681701</v>
          </cell>
          <cell r="B4907">
            <v>342632</v>
          </cell>
          <cell r="C4907" t="str">
            <v>PRINTING SERVICE</v>
          </cell>
        </row>
        <row r="4908">
          <cell r="A4908">
            <v>9681702</v>
          </cell>
          <cell r="B4908">
            <v>342632</v>
          </cell>
          <cell r="C4908" t="str">
            <v>PRINTING SERVICE</v>
          </cell>
        </row>
        <row r="4909">
          <cell r="A4909">
            <v>9681705</v>
          </cell>
          <cell r="B4909">
            <v>342632</v>
          </cell>
          <cell r="C4909" t="str">
            <v>PRINTING SERVICE</v>
          </cell>
        </row>
        <row r="4910">
          <cell r="A4910">
            <v>9681706</v>
          </cell>
          <cell r="B4910">
            <v>342632</v>
          </cell>
          <cell r="C4910" t="str">
            <v>PRINTING SERVICE</v>
          </cell>
        </row>
        <row r="4911">
          <cell r="A4911">
            <v>9681707</v>
          </cell>
          <cell r="B4911">
            <v>342632</v>
          </cell>
          <cell r="C4911" t="str">
            <v>PRINTING SERVICE</v>
          </cell>
        </row>
        <row r="4912">
          <cell r="A4912">
            <v>9681710</v>
          </cell>
          <cell r="B4912">
            <v>342632</v>
          </cell>
          <cell r="C4912" t="str">
            <v>PRINTING SERVICE</v>
          </cell>
        </row>
        <row r="4913">
          <cell r="A4913">
            <v>9681712</v>
          </cell>
          <cell r="B4913">
            <v>342632</v>
          </cell>
          <cell r="C4913" t="str">
            <v>PRINTING SERVICE</v>
          </cell>
        </row>
        <row r="4914">
          <cell r="A4914">
            <v>9681727</v>
          </cell>
          <cell r="B4914">
            <v>342632</v>
          </cell>
          <cell r="C4914" t="str">
            <v>PRINTING SERVICE</v>
          </cell>
        </row>
        <row r="4915">
          <cell r="A4915">
            <v>9681734</v>
          </cell>
          <cell r="B4915">
            <v>342632</v>
          </cell>
          <cell r="C4915" t="str">
            <v>PRINTING SERVICE</v>
          </cell>
        </row>
        <row r="4916">
          <cell r="A4916">
            <v>9681748</v>
          </cell>
          <cell r="B4916">
            <v>342632</v>
          </cell>
          <cell r="C4916" t="str">
            <v>PRINTING SERVICE</v>
          </cell>
        </row>
        <row r="4917">
          <cell r="A4917">
            <v>9681749</v>
          </cell>
          <cell r="B4917">
            <v>342632</v>
          </cell>
          <cell r="C4917" t="str">
            <v>PRINTING SERVICE</v>
          </cell>
        </row>
        <row r="4918">
          <cell r="A4918">
            <v>9681894</v>
          </cell>
          <cell r="B4918">
            <v>342632</v>
          </cell>
          <cell r="C4918" t="str">
            <v>PRINTING SERVICE</v>
          </cell>
        </row>
        <row r="4919">
          <cell r="A4919">
            <v>9681999</v>
          </cell>
          <cell r="B4919">
            <v>342632</v>
          </cell>
          <cell r="C4919" t="str">
            <v>PRINTING SERVICE</v>
          </cell>
        </row>
        <row r="4920">
          <cell r="A4920">
            <v>9682715</v>
          </cell>
          <cell r="B4920">
            <v>342632</v>
          </cell>
          <cell r="C4920" t="str">
            <v>PRINTING SERVICE</v>
          </cell>
        </row>
        <row r="4921">
          <cell r="A4921">
            <v>9682722</v>
          </cell>
          <cell r="B4921">
            <v>342632</v>
          </cell>
          <cell r="C4921" t="str">
            <v>PRINTING SERVICE</v>
          </cell>
        </row>
        <row r="4922">
          <cell r="A4922">
            <v>9682999</v>
          </cell>
          <cell r="B4922">
            <v>342632</v>
          </cell>
          <cell r="C4922" t="str">
            <v>PRINTING SERVICE</v>
          </cell>
        </row>
        <row r="4923">
          <cell r="A4923">
            <v>9720703</v>
          </cell>
          <cell r="B4923">
            <v>342632</v>
          </cell>
          <cell r="C4923" t="str">
            <v>PRINTING SERVICE</v>
          </cell>
        </row>
        <row r="4924">
          <cell r="A4924">
            <v>9722709</v>
          </cell>
          <cell r="B4924">
            <v>342632</v>
          </cell>
          <cell r="C4924" t="str">
            <v>PRINTING SERVICE</v>
          </cell>
        </row>
        <row r="4925">
          <cell r="A4925">
            <v>9722713</v>
          </cell>
          <cell r="B4925">
            <v>342632</v>
          </cell>
          <cell r="C4925" t="str">
            <v>PRINTING SERVICE</v>
          </cell>
        </row>
        <row r="4926">
          <cell r="A4926">
            <v>9724718</v>
          </cell>
          <cell r="B4926">
            <v>342632</v>
          </cell>
          <cell r="C4926" t="str">
            <v>PRINTING SERVICE</v>
          </cell>
        </row>
        <row r="4927">
          <cell r="A4927">
            <v>9724721</v>
          </cell>
          <cell r="B4927">
            <v>342632</v>
          </cell>
          <cell r="C4927" t="str">
            <v>PRINTING SERVICE</v>
          </cell>
        </row>
        <row r="4928">
          <cell r="A4928">
            <v>9724724</v>
          </cell>
          <cell r="B4928">
            <v>342632</v>
          </cell>
          <cell r="C4928" t="str">
            <v>PRINTING SERVICE</v>
          </cell>
        </row>
        <row r="4929">
          <cell r="A4929">
            <v>9725703</v>
          </cell>
          <cell r="B4929">
            <v>342632</v>
          </cell>
          <cell r="C4929" t="str">
            <v>PRINTING SERVICE</v>
          </cell>
        </row>
        <row r="4930">
          <cell r="A4930">
            <v>9725704</v>
          </cell>
          <cell r="B4930">
            <v>342632</v>
          </cell>
          <cell r="C4930" t="str">
            <v>PRINTING SERVICE</v>
          </cell>
        </row>
        <row r="4931">
          <cell r="A4931">
            <v>9725711</v>
          </cell>
          <cell r="B4931">
            <v>342632</v>
          </cell>
          <cell r="C4931" t="str">
            <v>PRINTING SERVICE</v>
          </cell>
        </row>
        <row r="4932">
          <cell r="A4932">
            <v>9725717</v>
          </cell>
          <cell r="B4932">
            <v>342632</v>
          </cell>
          <cell r="C4932" t="str">
            <v>PRINTING SERVICE</v>
          </cell>
        </row>
        <row r="4933">
          <cell r="A4933">
            <v>9725725</v>
          </cell>
          <cell r="B4933">
            <v>342632</v>
          </cell>
          <cell r="C4933" t="str">
            <v>PRINTING SERVICE</v>
          </cell>
        </row>
        <row r="4934">
          <cell r="A4934">
            <v>8001054179</v>
          </cell>
          <cell r="B4934">
            <v>342634</v>
          </cell>
          <cell r="C4934" t="str">
            <v>OUTSIDE SERVICES PURCHASED-OTH</v>
          </cell>
        </row>
        <row r="4935">
          <cell r="A4935">
            <v>8001059542</v>
          </cell>
          <cell r="B4935">
            <v>342634</v>
          </cell>
          <cell r="C4935" t="str">
            <v>OUTSIDE SERVICES PURCHASED-OTH</v>
          </cell>
        </row>
        <row r="4936">
          <cell r="A4936">
            <v>8010512510</v>
          </cell>
          <cell r="B4936">
            <v>342634</v>
          </cell>
          <cell r="C4936" t="str">
            <v>OUTSIDE SERVICES PURCHASED-OTH</v>
          </cell>
        </row>
        <row r="4937">
          <cell r="A4937">
            <v>9080700</v>
          </cell>
          <cell r="B4937">
            <v>342634</v>
          </cell>
          <cell r="C4937" t="str">
            <v>OUTSIDE SERVICES PURCHASED-OTH</v>
          </cell>
        </row>
        <row r="4938">
          <cell r="A4938">
            <v>9080701</v>
          </cell>
          <cell r="B4938">
            <v>342634</v>
          </cell>
          <cell r="C4938" t="str">
            <v>OUTSIDE SERVICES PURCHASED-OTH</v>
          </cell>
        </row>
        <row r="4939">
          <cell r="A4939">
            <v>9080702</v>
          </cell>
          <cell r="B4939">
            <v>342634</v>
          </cell>
          <cell r="C4939" t="str">
            <v>OUTSIDE SERVICES PURCHASED-OTH</v>
          </cell>
        </row>
        <row r="4940">
          <cell r="A4940">
            <v>9080705</v>
          </cell>
          <cell r="B4940">
            <v>342634</v>
          </cell>
          <cell r="C4940" t="str">
            <v>OUTSIDE SERVICES PURCHASED-OTH</v>
          </cell>
        </row>
        <row r="4941">
          <cell r="A4941">
            <v>9080707</v>
          </cell>
          <cell r="B4941">
            <v>342634</v>
          </cell>
          <cell r="C4941" t="str">
            <v>OUTSIDE SERVICES PURCHASED-OTH</v>
          </cell>
        </row>
        <row r="4942">
          <cell r="A4942">
            <v>9080710</v>
          </cell>
          <cell r="B4942">
            <v>342634</v>
          </cell>
          <cell r="C4942" t="str">
            <v>OUTSIDE SERVICES PURCHASED-OTH</v>
          </cell>
        </row>
        <row r="4943">
          <cell r="A4943">
            <v>9080999</v>
          </cell>
          <cell r="B4943">
            <v>342634</v>
          </cell>
          <cell r="C4943" t="str">
            <v>OUTSIDE SERVICES PURCHASED-OTH</v>
          </cell>
        </row>
        <row r="4944">
          <cell r="A4944">
            <v>9090999</v>
          </cell>
          <cell r="B4944">
            <v>342634</v>
          </cell>
          <cell r="C4944" t="str">
            <v>OUTSIDE SERVICES PURCHASED-OTH</v>
          </cell>
        </row>
        <row r="4945">
          <cell r="A4945">
            <v>9100999</v>
          </cell>
          <cell r="B4945">
            <v>342634</v>
          </cell>
          <cell r="C4945" t="str">
            <v>OUTSIDE SERVICES PURCHASED-OTH</v>
          </cell>
        </row>
        <row r="4946">
          <cell r="A4946">
            <v>9110700</v>
          </cell>
          <cell r="B4946">
            <v>342634</v>
          </cell>
          <cell r="C4946" t="str">
            <v>OUTSIDE SERVICES PURCHASED-OTH</v>
          </cell>
        </row>
        <row r="4947">
          <cell r="A4947">
            <v>9110702</v>
          </cell>
          <cell r="B4947">
            <v>342634</v>
          </cell>
          <cell r="C4947" t="str">
            <v>OUTSIDE SERVICES PURCHASED-OTH</v>
          </cell>
        </row>
        <row r="4948">
          <cell r="A4948">
            <v>9110705</v>
          </cell>
          <cell r="B4948">
            <v>342634</v>
          </cell>
          <cell r="C4948" t="str">
            <v>OUTSIDE SERVICES PURCHASED-OTH</v>
          </cell>
        </row>
        <row r="4949">
          <cell r="A4949">
            <v>9110707</v>
          </cell>
          <cell r="B4949">
            <v>342634</v>
          </cell>
          <cell r="C4949" t="str">
            <v>OUTSIDE SERVICES PURCHASED-OTH</v>
          </cell>
        </row>
        <row r="4950">
          <cell r="A4950">
            <v>9110999</v>
          </cell>
          <cell r="B4950">
            <v>342634</v>
          </cell>
          <cell r="C4950" t="str">
            <v>OUTSIDE SERVICES PURCHASED-OTH</v>
          </cell>
        </row>
        <row r="4951">
          <cell r="A4951">
            <v>9680700</v>
          </cell>
          <cell r="B4951">
            <v>342634</v>
          </cell>
          <cell r="C4951" t="str">
            <v>OUTSIDE SERVICES PURCHASED-OTH</v>
          </cell>
        </row>
        <row r="4952">
          <cell r="A4952">
            <v>9680701</v>
          </cell>
          <cell r="B4952">
            <v>342634</v>
          </cell>
          <cell r="C4952" t="str">
            <v>OUTSIDE SERVICES PURCHASED-OTH</v>
          </cell>
        </row>
        <row r="4953">
          <cell r="A4953">
            <v>9680702</v>
          </cell>
          <cell r="B4953">
            <v>342634</v>
          </cell>
          <cell r="C4953" t="str">
            <v>OUTSIDE SERVICES PURCHASED-OTH</v>
          </cell>
        </row>
        <row r="4954">
          <cell r="A4954">
            <v>9680705</v>
          </cell>
          <cell r="B4954">
            <v>342634</v>
          </cell>
          <cell r="C4954" t="str">
            <v>OUTSIDE SERVICES PURCHASED-OTH</v>
          </cell>
        </row>
        <row r="4955">
          <cell r="A4955">
            <v>9680707</v>
          </cell>
          <cell r="B4955">
            <v>342634</v>
          </cell>
          <cell r="C4955" t="str">
            <v>OUTSIDE SERVICES PURCHASED-OTH</v>
          </cell>
        </row>
        <row r="4956">
          <cell r="A4956">
            <v>9680710</v>
          </cell>
          <cell r="B4956">
            <v>342634</v>
          </cell>
          <cell r="C4956" t="str">
            <v>OUTSIDE SERVICES PURCHASED-OTH</v>
          </cell>
        </row>
        <row r="4957">
          <cell r="A4957">
            <v>9680712</v>
          </cell>
          <cell r="B4957">
            <v>342634</v>
          </cell>
          <cell r="C4957" t="str">
            <v>OUTSIDE SERVICES PURCHASED-OTH</v>
          </cell>
        </row>
        <row r="4958">
          <cell r="A4958">
            <v>9680714</v>
          </cell>
          <cell r="B4958">
            <v>342634</v>
          </cell>
          <cell r="C4958" t="str">
            <v>OUTSIDE SERVICES PURCHASED-OTH</v>
          </cell>
        </row>
        <row r="4959">
          <cell r="A4959">
            <v>9680734</v>
          </cell>
          <cell r="B4959">
            <v>342634</v>
          </cell>
          <cell r="C4959" t="str">
            <v>OUTSIDE SERVICES PURCHASED-OTH</v>
          </cell>
        </row>
        <row r="4960">
          <cell r="A4960">
            <v>9680748</v>
          </cell>
          <cell r="B4960">
            <v>342634</v>
          </cell>
          <cell r="C4960" t="str">
            <v>OUTSIDE SERVICES PURCHASED-OTH</v>
          </cell>
        </row>
        <row r="4961">
          <cell r="A4961">
            <v>9680749</v>
          </cell>
          <cell r="B4961">
            <v>342634</v>
          </cell>
          <cell r="C4961" t="str">
            <v>OUTSIDE SERVICES PURCHASED-OTH</v>
          </cell>
        </row>
        <row r="4962">
          <cell r="A4962">
            <v>9680894</v>
          </cell>
          <cell r="B4962">
            <v>342634</v>
          </cell>
          <cell r="C4962" t="str">
            <v>OUTSIDE SERVICES PURCHASED-OTH</v>
          </cell>
        </row>
        <row r="4963">
          <cell r="A4963">
            <v>9680999</v>
          </cell>
          <cell r="B4963">
            <v>342634</v>
          </cell>
          <cell r="C4963" t="str">
            <v>OUTSIDE SERVICES PURCHASED-OTH</v>
          </cell>
        </row>
        <row r="4964">
          <cell r="A4964">
            <v>9681700</v>
          </cell>
          <cell r="B4964">
            <v>342634</v>
          </cell>
          <cell r="C4964" t="str">
            <v>OUTSIDE SERVICES PURCHASED-OTH</v>
          </cell>
        </row>
        <row r="4965">
          <cell r="A4965">
            <v>9681701</v>
          </cell>
          <cell r="B4965">
            <v>342634</v>
          </cell>
          <cell r="C4965" t="str">
            <v>OUTSIDE SERVICES PURCHASED-OTH</v>
          </cell>
        </row>
        <row r="4966">
          <cell r="A4966">
            <v>9681702</v>
          </cell>
          <cell r="B4966">
            <v>342634</v>
          </cell>
          <cell r="C4966" t="str">
            <v>OUTSIDE SERVICES PURCHASED-OTH</v>
          </cell>
        </row>
        <row r="4967">
          <cell r="A4967">
            <v>9681705</v>
          </cell>
          <cell r="B4967">
            <v>342634</v>
          </cell>
          <cell r="C4967" t="str">
            <v>OUTSIDE SERVICES PURCHASED-OTH</v>
          </cell>
        </row>
        <row r="4968">
          <cell r="A4968">
            <v>9681706</v>
          </cell>
          <cell r="B4968">
            <v>342634</v>
          </cell>
          <cell r="C4968" t="str">
            <v>OUTSIDE SERVICES PURCHASED-OTH</v>
          </cell>
        </row>
        <row r="4969">
          <cell r="A4969">
            <v>9681707</v>
          </cell>
          <cell r="B4969">
            <v>342634</v>
          </cell>
          <cell r="C4969" t="str">
            <v>OUTSIDE SERVICES PURCHASED-OTH</v>
          </cell>
        </row>
        <row r="4970">
          <cell r="A4970">
            <v>9681710</v>
          </cell>
          <cell r="B4970">
            <v>342634</v>
          </cell>
          <cell r="C4970" t="str">
            <v>OUTSIDE SERVICES PURCHASED-OTH</v>
          </cell>
        </row>
        <row r="4971">
          <cell r="A4971">
            <v>9681712</v>
          </cell>
          <cell r="B4971">
            <v>342634</v>
          </cell>
          <cell r="C4971" t="str">
            <v>OUTSIDE SERVICES PURCHASED-OTH</v>
          </cell>
        </row>
        <row r="4972">
          <cell r="A4972">
            <v>9681714</v>
          </cell>
          <cell r="B4972">
            <v>342634</v>
          </cell>
          <cell r="C4972" t="str">
            <v>OUTSIDE SERVICES PURCHASED-OTH</v>
          </cell>
        </row>
        <row r="4973">
          <cell r="A4973">
            <v>9681727</v>
          </cell>
          <cell r="B4973">
            <v>342634</v>
          </cell>
          <cell r="C4973" t="str">
            <v>OUTSIDE SERVICES PURCHASED-OTH</v>
          </cell>
        </row>
        <row r="4974">
          <cell r="A4974">
            <v>9681734</v>
          </cell>
          <cell r="B4974">
            <v>342634</v>
          </cell>
          <cell r="C4974" t="str">
            <v>OUTSIDE SERVICES PURCHASED-OTH</v>
          </cell>
        </row>
        <row r="4975">
          <cell r="A4975">
            <v>9681748</v>
          </cell>
          <cell r="B4975">
            <v>342634</v>
          </cell>
          <cell r="C4975" t="str">
            <v>OUTSIDE SERVICES PURCHASED-OTH</v>
          </cell>
        </row>
        <row r="4976">
          <cell r="A4976">
            <v>9681749</v>
          </cell>
          <cell r="B4976">
            <v>342634</v>
          </cell>
          <cell r="C4976" t="str">
            <v>OUTSIDE SERVICES PURCHASED-OTH</v>
          </cell>
        </row>
        <row r="4977">
          <cell r="A4977">
            <v>9681894</v>
          </cell>
          <cell r="B4977">
            <v>342634</v>
          </cell>
          <cell r="C4977" t="str">
            <v>OUTSIDE SERVICES PURCHASED-OTH</v>
          </cell>
        </row>
        <row r="4978">
          <cell r="A4978">
            <v>9681999</v>
          </cell>
          <cell r="B4978">
            <v>342634</v>
          </cell>
          <cell r="C4978" t="str">
            <v>OUTSIDE SERVICES PURCHASED-OTH</v>
          </cell>
        </row>
        <row r="4979">
          <cell r="A4979">
            <v>9682715</v>
          </cell>
          <cell r="B4979">
            <v>342634</v>
          </cell>
          <cell r="C4979" t="str">
            <v>OUTSIDE SERVICES PURCHASED-OTH</v>
          </cell>
        </row>
        <row r="4980">
          <cell r="A4980">
            <v>9682722</v>
          </cell>
          <cell r="B4980">
            <v>342634</v>
          </cell>
          <cell r="C4980" t="str">
            <v>OUTSIDE SERVICES PURCHASED-OTH</v>
          </cell>
        </row>
        <row r="4981">
          <cell r="A4981">
            <v>9682999</v>
          </cell>
          <cell r="B4981">
            <v>342634</v>
          </cell>
          <cell r="C4981" t="str">
            <v>OUTSIDE SERVICES PURCHASED-OTH</v>
          </cell>
        </row>
        <row r="4982">
          <cell r="A4982">
            <v>9683999</v>
          </cell>
          <cell r="B4982">
            <v>342634</v>
          </cell>
          <cell r="C4982" t="str">
            <v>OUTSIDE SERVICES PURCHASED-OTH</v>
          </cell>
        </row>
        <row r="4983">
          <cell r="A4983">
            <v>9684999</v>
          </cell>
          <cell r="B4983">
            <v>342634</v>
          </cell>
          <cell r="C4983" t="str">
            <v>OUTSIDE SERVICES PURCHASED-OTH</v>
          </cell>
        </row>
        <row r="4984">
          <cell r="A4984">
            <v>9689692</v>
          </cell>
          <cell r="B4984">
            <v>342634</v>
          </cell>
          <cell r="C4984" t="str">
            <v>OUTSIDE SERVICES PURCHASED-OTH</v>
          </cell>
        </row>
        <row r="4985">
          <cell r="A4985">
            <v>9689747</v>
          </cell>
          <cell r="B4985">
            <v>342634</v>
          </cell>
          <cell r="C4985" t="str">
            <v>OUTSIDE SERVICES PURCHASED-OTH</v>
          </cell>
        </row>
        <row r="4986">
          <cell r="A4986">
            <v>9689883</v>
          </cell>
          <cell r="B4986">
            <v>342634</v>
          </cell>
          <cell r="C4986" t="str">
            <v>OUTSIDE SERVICES PURCHASED-OTH</v>
          </cell>
        </row>
        <row r="4987">
          <cell r="A4987">
            <v>9689890</v>
          </cell>
          <cell r="B4987">
            <v>342634</v>
          </cell>
          <cell r="C4987" t="str">
            <v>OUTSIDE SERVICES PURCHASED-OTH</v>
          </cell>
        </row>
        <row r="4988">
          <cell r="A4988">
            <v>9689904</v>
          </cell>
          <cell r="B4988">
            <v>342634</v>
          </cell>
          <cell r="C4988" t="str">
            <v>OUTSIDE SERVICES PURCHASED-OTH</v>
          </cell>
        </row>
        <row r="4989">
          <cell r="A4989">
            <v>9689906</v>
          </cell>
          <cell r="B4989">
            <v>342634</v>
          </cell>
          <cell r="C4989" t="str">
            <v>OUTSIDE SERVICES PURCHASED-OTH</v>
          </cell>
        </row>
        <row r="4990">
          <cell r="A4990">
            <v>9689925</v>
          </cell>
          <cell r="B4990">
            <v>342634</v>
          </cell>
          <cell r="C4990" t="str">
            <v>OUTSIDE SERVICES PURCHASED-OTH</v>
          </cell>
        </row>
        <row r="4991">
          <cell r="A4991">
            <v>9689990</v>
          </cell>
          <cell r="B4991">
            <v>342634</v>
          </cell>
          <cell r="C4991" t="str">
            <v>OUTSIDE SERVICES PURCHASED-OTH</v>
          </cell>
        </row>
        <row r="4992">
          <cell r="A4992">
            <v>9689991</v>
          </cell>
          <cell r="B4992">
            <v>342634</v>
          </cell>
          <cell r="C4992" t="str">
            <v>OUTSIDE SERVICES PURCHASED-OTH</v>
          </cell>
        </row>
        <row r="4993">
          <cell r="A4993">
            <v>9689992</v>
          </cell>
          <cell r="B4993">
            <v>342634</v>
          </cell>
          <cell r="C4993" t="str">
            <v>OUTSIDE SERVICES PURCHASED-OTH</v>
          </cell>
        </row>
        <row r="4994">
          <cell r="A4994">
            <v>9689993</v>
          </cell>
          <cell r="B4994">
            <v>342634</v>
          </cell>
          <cell r="C4994" t="str">
            <v>OUTSIDE SERVICES PURCHASED-OTH</v>
          </cell>
        </row>
        <row r="4995">
          <cell r="A4995">
            <v>9689994</v>
          </cell>
          <cell r="B4995">
            <v>342634</v>
          </cell>
          <cell r="C4995" t="str">
            <v>OUTSIDE SERVICES PURCHASED-OTH</v>
          </cell>
        </row>
        <row r="4996">
          <cell r="A4996">
            <v>9720703</v>
          </cell>
          <cell r="B4996">
            <v>342634</v>
          </cell>
          <cell r="C4996" t="str">
            <v>OUTSIDE SERVICES PURCHASED-OTH</v>
          </cell>
        </row>
        <row r="4997">
          <cell r="A4997">
            <v>9722709</v>
          </cell>
          <cell r="B4997">
            <v>342634</v>
          </cell>
          <cell r="C4997" t="str">
            <v>OUTSIDE SERVICES PURCHASED-OTH</v>
          </cell>
        </row>
        <row r="4998">
          <cell r="A4998">
            <v>9722713</v>
          </cell>
          <cell r="B4998">
            <v>342634</v>
          </cell>
          <cell r="C4998" t="str">
            <v>OUTSIDE SERVICES PURCHASED-OTH</v>
          </cell>
        </row>
        <row r="4999">
          <cell r="A4999">
            <v>9724718</v>
          </cell>
          <cell r="B4999">
            <v>342634</v>
          </cell>
          <cell r="C4999" t="str">
            <v>OUTSIDE SERVICES PURCHASED-OTH</v>
          </cell>
        </row>
        <row r="5000">
          <cell r="A5000">
            <v>9724721</v>
          </cell>
          <cell r="B5000">
            <v>342634</v>
          </cell>
          <cell r="C5000" t="str">
            <v>OUTSIDE SERVICES PURCHASED-OTH</v>
          </cell>
        </row>
        <row r="5001">
          <cell r="A5001">
            <v>9724724</v>
          </cell>
          <cell r="B5001">
            <v>342634</v>
          </cell>
          <cell r="C5001" t="str">
            <v>OUTSIDE SERVICES PURCHASED-OTH</v>
          </cell>
        </row>
        <row r="5002">
          <cell r="A5002">
            <v>9724726</v>
          </cell>
          <cell r="B5002">
            <v>342634</v>
          </cell>
          <cell r="C5002" t="str">
            <v>OUTSIDE SERVICES PURCHASED-OTH</v>
          </cell>
        </row>
        <row r="5003">
          <cell r="A5003">
            <v>9725703</v>
          </cell>
          <cell r="B5003">
            <v>342634</v>
          </cell>
          <cell r="C5003" t="str">
            <v>OUTSIDE SERVICES PURCHASED-OTH</v>
          </cell>
        </row>
        <row r="5004">
          <cell r="A5004">
            <v>9725704</v>
          </cell>
          <cell r="B5004">
            <v>342634</v>
          </cell>
          <cell r="C5004" t="str">
            <v>OUTSIDE SERVICES PURCHASED-OTH</v>
          </cell>
        </row>
        <row r="5005">
          <cell r="A5005">
            <v>9725711</v>
          </cell>
          <cell r="B5005">
            <v>342634</v>
          </cell>
          <cell r="C5005" t="str">
            <v>OUTSIDE SERVICES PURCHASED-OTH</v>
          </cell>
        </row>
        <row r="5006">
          <cell r="A5006">
            <v>9725717</v>
          </cell>
          <cell r="B5006">
            <v>342634</v>
          </cell>
          <cell r="C5006" t="str">
            <v>OUTSIDE SERVICES PURCHASED-OTH</v>
          </cell>
        </row>
        <row r="5007">
          <cell r="A5007">
            <v>9725725</v>
          </cell>
          <cell r="B5007">
            <v>342634</v>
          </cell>
          <cell r="C5007" t="str">
            <v>OUTSIDE SERVICES PURCHASED-OTH</v>
          </cell>
        </row>
        <row r="5008">
          <cell r="A5008">
            <v>9967681</v>
          </cell>
          <cell r="B5008">
            <v>342634</v>
          </cell>
          <cell r="C5008" t="str">
            <v>OUTSIDE SERVICES PURCHASED-OTH</v>
          </cell>
        </row>
        <row r="5009">
          <cell r="A5009">
            <v>9968681</v>
          </cell>
          <cell r="B5009">
            <v>342634</v>
          </cell>
          <cell r="C5009" t="str">
            <v>OUTSIDE SERVICES PURCHASED-OTH</v>
          </cell>
        </row>
        <row r="5010">
          <cell r="A5010">
            <v>9969681</v>
          </cell>
          <cell r="B5010">
            <v>342634</v>
          </cell>
          <cell r="C5010" t="str">
            <v>OUTSIDE SERVICES PURCHASED-OTH</v>
          </cell>
        </row>
        <row r="5011">
          <cell r="A5011">
            <v>9969901</v>
          </cell>
          <cell r="B5011">
            <v>342634</v>
          </cell>
          <cell r="C5011" t="str">
            <v>OUTSIDE SERVICES PURCHASED-OTH</v>
          </cell>
        </row>
        <row r="5012">
          <cell r="A5012" t="str">
            <v>ZONE-0105-POST</v>
          </cell>
          <cell r="B5012">
            <v>342634</v>
          </cell>
          <cell r="C5012" t="str">
            <v>OUTSIDE SERVICES PURCHASED-OTH</v>
          </cell>
        </row>
        <row r="5013">
          <cell r="A5013" t="str">
            <v>ZONE-0112-POST</v>
          </cell>
          <cell r="B5013">
            <v>342634</v>
          </cell>
          <cell r="C5013" t="str">
            <v>OUTSIDE SERVICES PURCHASED-OTH</v>
          </cell>
        </row>
        <row r="5014">
          <cell r="A5014">
            <v>8001054179</v>
          </cell>
          <cell r="B5014">
            <v>342637</v>
          </cell>
          <cell r="C5014" t="str">
            <v>OUTSIDE HIRING SERVICE</v>
          </cell>
        </row>
        <row r="5015">
          <cell r="A5015">
            <v>8001059542</v>
          </cell>
          <cell r="B5015">
            <v>342637</v>
          </cell>
          <cell r="C5015" t="str">
            <v>OUTSIDE HIRING SERVICE</v>
          </cell>
        </row>
        <row r="5016">
          <cell r="A5016">
            <v>8010512510</v>
          </cell>
          <cell r="B5016">
            <v>342637</v>
          </cell>
          <cell r="C5016" t="str">
            <v>OUTSIDE HIRING SERVICE</v>
          </cell>
        </row>
        <row r="5017">
          <cell r="A5017">
            <v>9080700</v>
          </cell>
          <cell r="B5017">
            <v>342637</v>
          </cell>
          <cell r="C5017" t="str">
            <v>OUTSIDE HIRING SERVICE</v>
          </cell>
        </row>
        <row r="5018">
          <cell r="A5018">
            <v>9080701</v>
          </cell>
          <cell r="B5018">
            <v>342637</v>
          </cell>
          <cell r="C5018" t="str">
            <v>OUTSIDE HIRING SERVICE</v>
          </cell>
        </row>
        <row r="5019">
          <cell r="A5019">
            <v>9080702</v>
          </cell>
          <cell r="B5019">
            <v>342637</v>
          </cell>
          <cell r="C5019" t="str">
            <v>OUTSIDE HIRING SERVICE</v>
          </cell>
        </row>
        <row r="5020">
          <cell r="A5020">
            <v>9080705</v>
          </cell>
          <cell r="B5020">
            <v>342637</v>
          </cell>
          <cell r="C5020" t="str">
            <v>OUTSIDE HIRING SERVICE</v>
          </cell>
        </row>
        <row r="5021">
          <cell r="A5021">
            <v>9080707</v>
          </cell>
          <cell r="B5021">
            <v>342637</v>
          </cell>
          <cell r="C5021" t="str">
            <v>OUTSIDE HIRING SERVICE</v>
          </cell>
        </row>
        <row r="5022">
          <cell r="A5022">
            <v>9080710</v>
          </cell>
          <cell r="B5022">
            <v>342637</v>
          </cell>
          <cell r="C5022" t="str">
            <v>OUTSIDE HIRING SERVICE</v>
          </cell>
        </row>
        <row r="5023">
          <cell r="A5023">
            <v>9080999</v>
          </cell>
          <cell r="B5023">
            <v>342637</v>
          </cell>
          <cell r="C5023" t="str">
            <v>OUTSIDE HIRING SERVICE</v>
          </cell>
        </row>
        <row r="5024">
          <cell r="A5024">
            <v>9090999</v>
          </cell>
          <cell r="B5024">
            <v>342637</v>
          </cell>
          <cell r="C5024" t="str">
            <v>OUTSIDE HIRING SERVICE</v>
          </cell>
        </row>
        <row r="5025">
          <cell r="A5025">
            <v>9100999</v>
          </cell>
          <cell r="B5025">
            <v>342637</v>
          </cell>
          <cell r="C5025" t="str">
            <v>OUTSIDE HIRING SERVICE</v>
          </cell>
        </row>
        <row r="5026">
          <cell r="A5026">
            <v>9110700</v>
          </cell>
          <cell r="B5026">
            <v>342637</v>
          </cell>
          <cell r="C5026" t="str">
            <v>OUTSIDE HIRING SERVICE</v>
          </cell>
        </row>
        <row r="5027">
          <cell r="A5027">
            <v>9110702</v>
          </cell>
          <cell r="B5027">
            <v>342637</v>
          </cell>
          <cell r="C5027" t="str">
            <v>OUTSIDE HIRING SERVICE</v>
          </cell>
        </row>
        <row r="5028">
          <cell r="A5028">
            <v>9110705</v>
          </cell>
          <cell r="B5028">
            <v>342637</v>
          </cell>
          <cell r="C5028" t="str">
            <v>OUTSIDE HIRING SERVICE</v>
          </cell>
        </row>
        <row r="5029">
          <cell r="A5029">
            <v>9110707</v>
          </cell>
          <cell r="B5029">
            <v>342637</v>
          </cell>
          <cell r="C5029" t="str">
            <v>OUTSIDE HIRING SERVICE</v>
          </cell>
        </row>
        <row r="5030">
          <cell r="A5030">
            <v>9110999</v>
          </cell>
          <cell r="B5030">
            <v>342637</v>
          </cell>
          <cell r="C5030" t="str">
            <v>OUTSIDE HIRING SERVICE</v>
          </cell>
        </row>
        <row r="5031">
          <cell r="A5031">
            <v>9680700</v>
          </cell>
          <cell r="B5031">
            <v>342637</v>
          </cell>
          <cell r="C5031" t="str">
            <v>OUTSIDE HIRING SERVICE</v>
          </cell>
        </row>
        <row r="5032">
          <cell r="A5032">
            <v>9680701</v>
          </cell>
          <cell r="B5032">
            <v>342637</v>
          </cell>
          <cell r="C5032" t="str">
            <v>OUTSIDE HIRING SERVICE</v>
          </cell>
        </row>
        <row r="5033">
          <cell r="A5033">
            <v>9680702</v>
          </cell>
          <cell r="B5033">
            <v>342637</v>
          </cell>
          <cell r="C5033" t="str">
            <v>OUTSIDE HIRING SERVICE</v>
          </cell>
        </row>
        <row r="5034">
          <cell r="A5034">
            <v>9680705</v>
          </cell>
          <cell r="B5034">
            <v>342637</v>
          </cell>
          <cell r="C5034" t="str">
            <v>OUTSIDE HIRING SERVICE</v>
          </cell>
        </row>
        <row r="5035">
          <cell r="A5035">
            <v>9680707</v>
          </cell>
          <cell r="B5035">
            <v>342637</v>
          </cell>
          <cell r="C5035" t="str">
            <v>OUTSIDE HIRING SERVICE</v>
          </cell>
        </row>
        <row r="5036">
          <cell r="A5036">
            <v>9680710</v>
          </cell>
          <cell r="B5036">
            <v>342637</v>
          </cell>
          <cell r="C5036" t="str">
            <v>OUTSIDE HIRING SERVICE</v>
          </cell>
        </row>
        <row r="5037">
          <cell r="A5037">
            <v>9680712</v>
          </cell>
          <cell r="B5037">
            <v>342637</v>
          </cell>
          <cell r="C5037" t="str">
            <v>OUTSIDE HIRING SERVICE</v>
          </cell>
        </row>
        <row r="5038">
          <cell r="A5038">
            <v>9680714</v>
          </cell>
          <cell r="B5038">
            <v>342637</v>
          </cell>
          <cell r="C5038" t="str">
            <v>OUTSIDE HIRING SERVICE</v>
          </cell>
        </row>
        <row r="5039">
          <cell r="A5039">
            <v>9680734</v>
          </cell>
          <cell r="B5039">
            <v>342637</v>
          </cell>
          <cell r="C5039" t="str">
            <v>OUTSIDE HIRING SERVICE</v>
          </cell>
        </row>
        <row r="5040">
          <cell r="A5040">
            <v>9680748</v>
          </cell>
          <cell r="B5040">
            <v>342637</v>
          </cell>
          <cell r="C5040" t="str">
            <v>OUTSIDE HIRING SERVICE</v>
          </cell>
        </row>
        <row r="5041">
          <cell r="A5041">
            <v>9680749</v>
          </cell>
          <cell r="B5041">
            <v>342637</v>
          </cell>
          <cell r="C5041" t="str">
            <v>OUTSIDE HIRING SERVICE</v>
          </cell>
        </row>
        <row r="5042">
          <cell r="A5042">
            <v>9680894</v>
          </cell>
          <cell r="B5042">
            <v>342637</v>
          </cell>
          <cell r="C5042" t="str">
            <v>OUTSIDE HIRING SERVICE</v>
          </cell>
        </row>
        <row r="5043">
          <cell r="A5043">
            <v>9680999</v>
          </cell>
          <cell r="B5043">
            <v>342637</v>
          </cell>
          <cell r="C5043" t="str">
            <v>OUTSIDE HIRING SERVICE</v>
          </cell>
        </row>
        <row r="5044">
          <cell r="A5044">
            <v>9681700</v>
          </cell>
          <cell r="B5044">
            <v>342637</v>
          </cell>
          <cell r="C5044" t="str">
            <v>OUTSIDE HIRING SERVICE</v>
          </cell>
        </row>
        <row r="5045">
          <cell r="A5045">
            <v>9681701</v>
          </cell>
          <cell r="B5045">
            <v>342637</v>
          </cell>
          <cell r="C5045" t="str">
            <v>OUTSIDE HIRING SERVICE</v>
          </cell>
        </row>
        <row r="5046">
          <cell r="A5046">
            <v>9681702</v>
          </cell>
          <cell r="B5046">
            <v>342637</v>
          </cell>
          <cell r="C5046" t="str">
            <v>OUTSIDE HIRING SERVICE</v>
          </cell>
        </row>
        <row r="5047">
          <cell r="A5047">
            <v>9681705</v>
          </cell>
          <cell r="B5047">
            <v>342637</v>
          </cell>
          <cell r="C5047" t="str">
            <v>OUTSIDE HIRING SERVICE</v>
          </cell>
        </row>
        <row r="5048">
          <cell r="A5048">
            <v>9681706</v>
          </cell>
          <cell r="B5048">
            <v>342637</v>
          </cell>
          <cell r="C5048" t="str">
            <v>OUTSIDE HIRING SERVICE</v>
          </cell>
        </row>
        <row r="5049">
          <cell r="A5049">
            <v>9681707</v>
          </cell>
          <cell r="B5049">
            <v>342637</v>
          </cell>
          <cell r="C5049" t="str">
            <v>OUTSIDE HIRING SERVICE</v>
          </cell>
        </row>
        <row r="5050">
          <cell r="A5050">
            <v>9681710</v>
          </cell>
          <cell r="B5050">
            <v>342637</v>
          </cell>
          <cell r="C5050" t="str">
            <v>OUTSIDE HIRING SERVICE</v>
          </cell>
        </row>
        <row r="5051">
          <cell r="A5051">
            <v>9681712</v>
          </cell>
          <cell r="B5051">
            <v>342637</v>
          </cell>
          <cell r="C5051" t="str">
            <v>OUTSIDE HIRING SERVICE</v>
          </cell>
        </row>
        <row r="5052">
          <cell r="A5052">
            <v>9681727</v>
          </cell>
          <cell r="B5052">
            <v>342637</v>
          </cell>
          <cell r="C5052" t="str">
            <v>OUTSIDE HIRING SERVICE</v>
          </cell>
        </row>
        <row r="5053">
          <cell r="A5053">
            <v>9681734</v>
          </cell>
          <cell r="B5053">
            <v>342637</v>
          </cell>
          <cell r="C5053" t="str">
            <v>OUTSIDE HIRING SERVICE</v>
          </cell>
        </row>
        <row r="5054">
          <cell r="A5054">
            <v>9681748</v>
          </cell>
          <cell r="B5054">
            <v>342637</v>
          </cell>
          <cell r="C5054" t="str">
            <v>OUTSIDE HIRING SERVICE</v>
          </cell>
        </row>
        <row r="5055">
          <cell r="A5055">
            <v>9681749</v>
          </cell>
          <cell r="B5055">
            <v>342637</v>
          </cell>
          <cell r="C5055" t="str">
            <v>OUTSIDE HIRING SERVICE</v>
          </cell>
        </row>
        <row r="5056">
          <cell r="A5056">
            <v>9681894</v>
          </cell>
          <cell r="B5056">
            <v>342637</v>
          </cell>
          <cell r="C5056" t="str">
            <v>OUTSIDE HIRING SERVICE</v>
          </cell>
        </row>
        <row r="5057">
          <cell r="A5057">
            <v>9681999</v>
          </cell>
          <cell r="B5057">
            <v>342637</v>
          </cell>
          <cell r="C5057" t="str">
            <v>OUTSIDE HIRING SERVICE</v>
          </cell>
        </row>
        <row r="5058">
          <cell r="A5058">
            <v>9682715</v>
          </cell>
          <cell r="B5058">
            <v>342637</v>
          </cell>
          <cell r="C5058" t="str">
            <v>OUTSIDE HIRING SERVICE</v>
          </cell>
        </row>
        <row r="5059">
          <cell r="A5059">
            <v>9682722</v>
          </cell>
          <cell r="B5059">
            <v>342637</v>
          </cell>
          <cell r="C5059" t="str">
            <v>OUTSIDE HIRING SERVICE</v>
          </cell>
        </row>
        <row r="5060">
          <cell r="A5060">
            <v>9682999</v>
          </cell>
          <cell r="B5060">
            <v>342637</v>
          </cell>
          <cell r="C5060" t="str">
            <v>OUTSIDE HIRING SERVICE</v>
          </cell>
        </row>
        <row r="5061">
          <cell r="A5061">
            <v>9683999</v>
          </cell>
          <cell r="B5061">
            <v>342637</v>
          </cell>
          <cell r="C5061" t="str">
            <v>OUTSIDE HIRING SERVICE</v>
          </cell>
        </row>
        <row r="5062">
          <cell r="A5062">
            <v>9684999</v>
          </cell>
          <cell r="B5062">
            <v>342637</v>
          </cell>
          <cell r="C5062" t="str">
            <v>OUTSIDE HIRING SERVICE</v>
          </cell>
        </row>
        <row r="5063">
          <cell r="A5063">
            <v>9689692</v>
          </cell>
          <cell r="B5063">
            <v>342637</v>
          </cell>
          <cell r="C5063" t="str">
            <v>OUTSIDE HIRING SERVICE</v>
          </cell>
        </row>
        <row r="5064">
          <cell r="A5064">
            <v>9689747</v>
          </cell>
          <cell r="B5064">
            <v>342637</v>
          </cell>
          <cell r="C5064" t="str">
            <v>OUTSIDE HIRING SERVICE</v>
          </cell>
        </row>
        <row r="5065">
          <cell r="A5065">
            <v>9689883</v>
          </cell>
          <cell r="B5065">
            <v>342637</v>
          </cell>
          <cell r="C5065" t="str">
            <v>OUTSIDE HIRING SERVICE</v>
          </cell>
        </row>
        <row r="5066">
          <cell r="A5066">
            <v>9689890</v>
          </cell>
          <cell r="B5066">
            <v>342637</v>
          </cell>
          <cell r="C5066" t="str">
            <v>OUTSIDE HIRING SERVICE</v>
          </cell>
        </row>
        <row r="5067">
          <cell r="A5067">
            <v>9689906</v>
          </cell>
          <cell r="B5067">
            <v>342637</v>
          </cell>
          <cell r="C5067" t="str">
            <v>OUTSIDE HIRING SERVICE</v>
          </cell>
        </row>
        <row r="5068">
          <cell r="A5068">
            <v>9689925</v>
          </cell>
          <cell r="B5068">
            <v>342637</v>
          </cell>
          <cell r="C5068" t="str">
            <v>OUTSIDE HIRING SERVICE</v>
          </cell>
        </row>
        <row r="5069">
          <cell r="A5069">
            <v>9689990</v>
          </cell>
          <cell r="B5069">
            <v>342637</v>
          </cell>
          <cell r="C5069" t="str">
            <v>OUTSIDE HIRING SERVICE</v>
          </cell>
        </row>
        <row r="5070">
          <cell r="A5070">
            <v>9689991</v>
          </cell>
          <cell r="B5070">
            <v>342637</v>
          </cell>
          <cell r="C5070" t="str">
            <v>OUTSIDE HIRING SERVICE</v>
          </cell>
        </row>
        <row r="5071">
          <cell r="A5071">
            <v>9689992</v>
          </cell>
          <cell r="B5071">
            <v>342637</v>
          </cell>
          <cell r="C5071" t="str">
            <v>OUTSIDE HIRING SERVICE</v>
          </cell>
        </row>
        <row r="5072">
          <cell r="A5072">
            <v>9689993</v>
          </cell>
          <cell r="B5072">
            <v>342637</v>
          </cell>
          <cell r="C5072" t="str">
            <v>OUTSIDE HIRING SERVICE</v>
          </cell>
        </row>
        <row r="5073">
          <cell r="A5073">
            <v>9689994</v>
          </cell>
          <cell r="B5073">
            <v>342637</v>
          </cell>
          <cell r="C5073" t="str">
            <v>OUTSIDE HIRING SERVICE</v>
          </cell>
        </row>
        <row r="5074">
          <cell r="A5074">
            <v>9969681</v>
          </cell>
          <cell r="B5074">
            <v>342637</v>
          </cell>
          <cell r="C5074" t="str">
            <v>OUTSIDE HIRING SERVICE</v>
          </cell>
        </row>
        <row r="5075">
          <cell r="A5075">
            <v>9969901</v>
          </cell>
          <cell r="B5075">
            <v>342637</v>
          </cell>
          <cell r="C5075" t="str">
            <v>OUTSIDE HIRING SERVICE</v>
          </cell>
        </row>
        <row r="5076">
          <cell r="A5076" t="str">
            <v>ZONE-0105-POST</v>
          </cell>
          <cell r="B5076">
            <v>342637</v>
          </cell>
          <cell r="C5076" t="str">
            <v>OUTSIDE HIRING SERVICE</v>
          </cell>
        </row>
        <row r="5077">
          <cell r="A5077" t="str">
            <v>ZONE-0112-POST</v>
          </cell>
          <cell r="B5077">
            <v>342637</v>
          </cell>
          <cell r="C5077" t="str">
            <v>OUTSIDE HIRING SERVICE</v>
          </cell>
        </row>
        <row r="5078">
          <cell r="A5078">
            <v>9090999</v>
          </cell>
          <cell r="B5078">
            <v>342638</v>
          </cell>
          <cell r="C5078" t="str">
            <v>TRAINING EXPENSES</v>
          </cell>
        </row>
        <row r="5079">
          <cell r="A5079">
            <v>9100999</v>
          </cell>
          <cell r="B5079">
            <v>342638</v>
          </cell>
          <cell r="C5079" t="str">
            <v>TRAINING EXPENSES</v>
          </cell>
        </row>
        <row r="5080">
          <cell r="A5080">
            <v>9720703</v>
          </cell>
          <cell r="B5080">
            <v>342638</v>
          </cell>
          <cell r="C5080" t="str">
            <v>TRAINING EXPENSES</v>
          </cell>
        </row>
        <row r="5081">
          <cell r="A5081">
            <v>9724718</v>
          </cell>
          <cell r="B5081">
            <v>342638</v>
          </cell>
          <cell r="C5081" t="str">
            <v>TRAINING EXPENSES</v>
          </cell>
        </row>
        <row r="5082">
          <cell r="A5082">
            <v>9724721</v>
          </cell>
          <cell r="B5082">
            <v>342638</v>
          </cell>
          <cell r="C5082" t="str">
            <v>TRAINING EXPENSES</v>
          </cell>
        </row>
        <row r="5083">
          <cell r="A5083">
            <v>9724724</v>
          </cell>
          <cell r="B5083">
            <v>342638</v>
          </cell>
          <cell r="C5083" t="str">
            <v>TRAINING EXPENSES</v>
          </cell>
        </row>
        <row r="5084">
          <cell r="A5084">
            <v>9725703</v>
          </cell>
          <cell r="B5084">
            <v>342638</v>
          </cell>
          <cell r="C5084" t="str">
            <v>TRAINING EXPENSES</v>
          </cell>
        </row>
        <row r="5085">
          <cell r="A5085">
            <v>9725704</v>
          </cell>
          <cell r="B5085">
            <v>342638</v>
          </cell>
          <cell r="C5085" t="str">
            <v>TRAINING EXPENSES</v>
          </cell>
        </row>
        <row r="5086">
          <cell r="A5086">
            <v>9725711</v>
          </cell>
          <cell r="B5086">
            <v>342638</v>
          </cell>
          <cell r="C5086" t="str">
            <v>TRAINING EXPENSES</v>
          </cell>
        </row>
        <row r="5087">
          <cell r="A5087">
            <v>9725717</v>
          </cell>
          <cell r="B5087">
            <v>342638</v>
          </cell>
          <cell r="C5087" t="str">
            <v>TRAINING EXPENSES</v>
          </cell>
        </row>
        <row r="5088">
          <cell r="A5088">
            <v>9725725</v>
          </cell>
          <cell r="B5088">
            <v>342638</v>
          </cell>
          <cell r="C5088" t="str">
            <v>TRAINING EXPENSES</v>
          </cell>
        </row>
        <row r="5089">
          <cell r="A5089">
            <v>9080999</v>
          </cell>
          <cell r="B5089">
            <v>342640</v>
          </cell>
          <cell r="C5089" t="str">
            <v>TAX CONSULTATION EXPENSE</v>
          </cell>
        </row>
        <row r="5090">
          <cell r="A5090">
            <v>9090999</v>
          </cell>
          <cell r="B5090">
            <v>342640</v>
          </cell>
          <cell r="C5090" t="str">
            <v>TAX CONSULTATION EXPENSE</v>
          </cell>
        </row>
        <row r="5091">
          <cell r="A5091">
            <v>9100999</v>
          </cell>
          <cell r="B5091">
            <v>342640</v>
          </cell>
          <cell r="C5091" t="str">
            <v>TAX CONSULTATION EXPENSE</v>
          </cell>
        </row>
        <row r="5092">
          <cell r="A5092">
            <v>9110999</v>
          </cell>
          <cell r="B5092">
            <v>342640</v>
          </cell>
          <cell r="C5092" t="str">
            <v>TAX CONSULTATION EXPENSE</v>
          </cell>
        </row>
        <row r="5093">
          <cell r="A5093">
            <v>9090999</v>
          </cell>
          <cell r="B5093">
            <v>342642</v>
          </cell>
          <cell r="C5093" t="str">
            <v>AUDITORS FEES AND SERVICE</v>
          </cell>
        </row>
        <row r="5094">
          <cell r="A5094">
            <v>9100999</v>
          </cell>
          <cell r="B5094">
            <v>342642</v>
          </cell>
          <cell r="C5094" t="str">
            <v>AUDITORS FEES AND SERVICE</v>
          </cell>
        </row>
        <row r="5095">
          <cell r="A5095">
            <v>9080700</v>
          </cell>
          <cell r="B5095">
            <v>342646</v>
          </cell>
          <cell r="C5095" t="str">
            <v>DESIGN SERVICES</v>
          </cell>
        </row>
        <row r="5096">
          <cell r="A5096">
            <v>9080701</v>
          </cell>
          <cell r="B5096">
            <v>342646</v>
          </cell>
          <cell r="C5096" t="str">
            <v>DESIGN SERVICES</v>
          </cell>
        </row>
        <row r="5097">
          <cell r="A5097">
            <v>9080702</v>
          </cell>
          <cell r="B5097">
            <v>342646</v>
          </cell>
          <cell r="C5097" t="str">
            <v>DESIGN SERVICES</v>
          </cell>
        </row>
        <row r="5098">
          <cell r="A5098">
            <v>9080705</v>
          </cell>
          <cell r="B5098">
            <v>342646</v>
          </cell>
          <cell r="C5098" t="str">
            <v>DESIGN SERVICES</v>
          </cell>
        </row>
        <row r="5099">
          <cell r="A5099">
            <v>9080707</v>
          </cell>
          <cell r="B5099">
            <v>342646</v>
          </cell>
          <cell r="C5099" t="str">
            <v>DESIGN SERVICES</v>
          </cell>
        </row>
        <row r="5100">
          <cell r="A5100">
            <v>9080710</v>
          </cell>
          <cell r="B5100">
            <v>342646</v>
          </cell>
          <cell r="C5100" t="str">
            <v>DESIGN SERVICES</v>
          </cell>
        </row>
        <row r="5101">
          <cell r="A5101">
            <v>9080999</v>
          </cell>
          <cell r="B5101">
            <v>342646</v>
          </cell>
          <cell r="C5101" t="str">
            <v>DESIGN SERVICES</v>
          </cell>
        </row>
        <row r="5102">
          <cell r="A5102">
            <v>9090999</v>
          </cell>
          <cell r="B5102">
            <v>342646</v>
          </cell>
          <cell r="C5102" t="str">
            <v>DESIGN SERVICES</v>
          </cell>
        </row>
        <row r="5103">
          <cell r="A5103">
            <v>9100999</v>
          </cell>
          <cell r="B5103">
            <v>342646</v>
          </cell>
          <cell r="C5103" t="str">
            <v>DESIGN SERVICES</v>
          </cell>
        </row>
        <row r="5104">
          <cell r="A5104">
            <v>9110700</v>
          </cell>
          <cell r="B5104">
            <v>342646</v>
          </cell>
          <cell r="C5104" t="str">
            <v>DESIGN SERVICES</v>
          </cell>
        </row>
        <row r="5105">
          <cell r="A5105">
            <v>9110702</v>
          </cell>
          <cell r="B5105">
            <v>342646</v>
          </cell>
          <cell r="C5105" t="str">
            <v>DESIGN SERVICES</v>
          </cell>
        </row>
        <row r="5106">
          <cell r="A5106">
            <v>9110705</v>
          </cell>
          <cell r="B5106">
            <v>342646</v>
          </cell>
          <cell r="C5106" t="str">
            <v>DESIGN SERVICES</v>
          </cell>
        </row>
        <row r="5107">
          <cell r="A5107">
            <v>9110707</v>
          </cell>
          <cell r="B5107">
            <v>342646</v>
          </cell>
          <cell r="C5107" t="str">
            <v>DESIGN SERVICES</v>
          </cell>
        </row>
        <row r="5108">
          <cell r="A5108">
            <v>9110999</v>
          </cell>
          <cell r="B5108">
            <v>342646</v>
          </cell>
          <cell r="C5108" t="str">
            <v>DESIGN SERVICES</v>
          </cell>
        </row>
        <row r="5109">
          <cell r="A5109">
            <v>9680700</v>
          </cell>
          <cell r="B5109">
            <v>342646</v>
          </cell>
          <cell r="C5109" t="str">
            <v>DESIGN SERVICES</v>
          </cell>
        </row>
        <row r="5110">
          <cell r="A5110">
            <v>9680701</v>
          </cell>
          <cell r="B5110">
            <v>342646</v>
          </cell>
          <cell r="C5110" t="str">
            <v>DESIGN SERVICES</v>
          </cell>
        </row>
        <row r="5111">
          <cell r="A5111">
            <v>9680702</v>
          </cell>
          <cell r="B5111">
            <v>342646</v>
          </cell>
          <cell r="C5111" t="str">
            <v>DESIGN SERVICES</v>
          </cell>
        </row>
        <row r="5112">
          <cell r="A5112">
            <v>9680705</v>
          </cell>
          <cell r="B5112">
            <v>342646</v>
          </cell>
          <cell r="C5112" t="str">
            <v>DESIGN SERVICES</v>
          </cell>
        </row>
        <row r="5113">
          <cell r="A5113">
            <v>9680707</v>
          </cell>
          <cell r="B5113">
            <v>342646</v>
          </cell>
          <cell r="C5113" t="str">
            <v>DESIGN SERVICES</v>
          </cell>
        </row>
        <row r="5114">
          <cell r="A5114">
            <v>9680710</v>
          </cell>
          <cell r="B5114">
            <v>342646</v>
          </cell>
          <cell r="C5114" t="str">
            <v>DESIGN SERVICES</v>
          </cell>
        </row>
        <row r="5115">
          <cell r="A5115">
            <v>9680712</v>
          </cell>
          <cell r="B5115">
            <v>342646</v>
          </cell>
          <cell r="C5115" t="str">
            <v>DESIGN SERVICES</v>
          </cell>
        </row>
        <row r="5116">
          <cell r="A5116">
            <v>9680714</v>
          </cell>
          <cell r="B5116">
            <v>342646</v>
          </cell>
          <cell r="C5116" t="str">
            <v>DESIGN SERVICES</v>
          </cell>
        </row>
        <row r="5117">
          <cell r="A5117">
            <v>9680734</v>
          </cell>
          <cell r="B5117">
            <v>342646</v>
          </cell>
          <cell r="C5117" t="str">
            <v>DESIGN SERVICES</v>
          </cell>
        </row>
        <row r="5118">
          <cell r="A5118">
            <v>9680748</v>
          </cell>
          <cell r="B5118">
            <v>342646</v>
          </cell>
          <cell r="C5118" t="str">
            <v>DESIGN SERVICES</v>
          </cell>
        </row>
        <row r="5119">
          <cell r="A5119">
            <v>9680749</v>
          </cell>
          <cell r="B5119">
            <v>342646</v>
          </cell>
          <cell r="C5119" t="str">
            <v>DESIGN SERVICES</v>
          </cell>
        </row>
        <row r="5120">
          <cell r="A5120">
            <v>9680894</v>
          </cell>
          <cell r="B5120">
            <v>342646</v>
          </cell>
          <cell r="C5120" t="str">
            <v>DESIGN SERVICES</v>
          </cell>
        </row>
        <row r="5121">
          <cell r="A5121">
            <v>9680999</v>
          </cell>
          <cell r="B5121">
            <v>342646</v>
          </cell>
          <cell r="C5121" t="str">
            <v>DESIGN SERVICES</v>
          </cell>
        </row>
        <row r="5122">
          <cell r="A5122">
            <v>9681700</v>
          </cell>
          <cell r="B5122">
            <v>342646</v>
          </cell>
          <cell r="C5122" t="str">
            <v>DESIGN SERVICES</v>
          </cell>
        </row>
        <row r="5123">
          <cell r="A5123">
            <v>9681701</v>
          </cell>
          <cell r="B5123">
            <v>342646</v>
          </cell>
          <cell r="C5123" t="str">
            <v>DESIGN SERVICES</v>
          </cell>
        </row>
        <row r="5124">
          <cell r="A5124">
            <v>9681702</v>
          </cell>
          <cell r="B5124">
            <v>342646</v>
          </cell>
          <cell r="C5124" t="str">
            <v>DESIGN SERVICES</v>
          </cell>
        </row>
        <row r="5125">
          <cell r="A5125">
            <v>9681705</v>
          </cell>
          <cell r="B5125">
            <v>342646</v>
          </cell>
          <cell r="C5125" t="str">
            <v>DESIGN SERVICES</v>
          </cell>
        </row>
        <row r="5126">
          <cell r="A5126">
            <v>9681706</v>
          </cell>
          <cell r="B5126">
            <v>342646</v>
          </cell>
          <cell r="C5126" t="str">
            <v>DESIGN SERVICES</v>
          </cell>
        </row>
        <row r="5127">
          <cell r="A5127">
            <v>9681707</v>
          </cell>
          <cell r="B5127">
            <v>342646</v>
          </cell>
          <cell r="C5127" t="str">
            <v>DESIGN SERVICES</v>
          </cell>
        </row>
        <row r="5128">
          <cell r="A5128">
            <v>9681710</v>
          </cell>
          <cell r="B5128">
            <v>342646</v>
          </cell>
          <cell r="C5128" t="str">
            <v>DESIGN SERVICES</v>
          </cell>
        </row>
        <row r="5129">
          <cell r="A5129">
            <v>9681712</v>
          </cell>
          <cell r="B5129">
            <v>342646</v>
          </cell>
          <cell r="C5129" t="str">
            <v>DESIGN SERVICES</v>
          </cell>
        </row>
        <row r="5130">
          <cell r="A5130">
            <v>9681727</v>
          </cell>
          <cell r="B5130">
            <v>342646</v>
          </cell>
          <cell r="C5130" t="str">
            <v>DESIGN SERVICES</v>
          </cell>
        </row>
        <row r="5131">
          <cell r="A5131">
            <v>9681734</v>
          </cell>
          <cell r="B5131">
            <v>342646</v>
          </cell>
          <cell r="C5131" t="str">
            <v>DESIGN SERVICES</v>
          </cell>
        </row>
        <row r="5132">
          <cell r="A5132">
            <v>9681748</v>
          </cell>
          <cell r="B5132">
            <v>342646</v>
          </cell>
          <cell r="C5132" t="str">
            <v>DESIGN SERVICES</v>
          </cell>
        </row>
        <row r="5133">
          <cell r="A5133">
            <v>9681749</v>
          </cell>
          <cell r="B5133">
            <v>342646</v>
          </cell>
          <cell r="C5133" t="str">
            <v>DESIGN SERVICES</v>
          </cell>
        </row>
        <row r="5134">
          <cell r="A5134">
            <v>9681894</v>
          </cell>
          <cell r="B5134">
            <v>342646</v>
          </cell>
          <cell r="C5134" t="str">
            <v>DESIGN SERVICES</v>
          </cell>
        </row>
        <row r="5135">
          <cell r="A5135">
            <v>9681999</v>
          </cell>
          <cell r="B5135">
            <v>342646</v>
          </cell>
          <cell r="C5135" t="str">
            <v>DESIGN SERVICES</v>
          </cell>
        </row>
        <row r="5136">
          <cell r="A5136">
            <v>9682715</v>
          </cell>
          <cell r="B5136">
            <v>342646</v>
          </cell>
          <cell r="C5136" t="str">
            <v>DESIGN SERVICES</v>
          </cell>
        </row>
        <row r="5137">
          <cell r="A5137">
            <v>9682722</v>
          </cell>
          <cell r="B5137">
            <v>342646</v>
          </cell>
          <cell r="C5137" t="str">
            <v>DESIGN SERVICES</v>
          </cell>
        </row>
        <row r="5138">
          <cell r="A5138">
            <v>9682999</v>
          </cell>
          <cell r="B5138">
            <v>342646</v>
          </cell>
          <cell r="C5138" t="str">
            <v>DESIGN SERVICES</v>
          </cell>
        </row>
        <row r="5139">
          <cell r="A5139">
            <v>9683999</v>
          </cell>
          <cell r="B5139">
            <v>342646</v>
          </cell>
          <cell r="C5139" t="str">
            <v>DESIGN SERVICES</v>
          </cell>
        </row>
        <row r="5140">
          <cell r="A5140">
            <v>9689692</v>
          </cell>
          <cell r="B5140">
            <v>342646</v>
          </cell>
          <cell r="C5140" t="str">
            <v>DESIGN SERVICES</v>
          </cell>
        </row>
        <row r="5141">
          <cell r="A5141">
            <v>9689747</v>
          </cell>
          <cell r="B5141">
            <v>342646</v>
          </cell>
          <cell r="C5141" t="str">
            <v>DESIGN SERVICES</v>
          </cell>
        </row>
        <row r="5142">
          <cell r="A5142">
            <v>9689890</v>
          </cell>
          <cell r="B5142">
            <v>342646</v>
          </cell>
          <cell r="C5142" t="str">
            <v>DESIGN SERVICES</v>
          </cell>
        </row>
        <row r="5143">
          <cell r="A5143">
            <v>9689925</v>
          </cell>
          <cell r="B5143">
            <v>342646</v>
          </cell>
          <cell r="C5143" t="str">
            <v>DESIGN SERVICES</v>
          </cell>
        </row>
        <row r="5144">
          <cell r="A5144">
            <v>9689990</v>
          </cell>
          <cell r="B5144">
            <v>342646</v>
          </cell>
          <cell r="C5144" t="str">
            <v>DESIGN SERVICES</v>
          </cell>
        </row>
        <row r="5145">
          <cell r="A5145">
            <v>9689993</v>
          </cell>
          <cell r="B5145">
            <v>342646</v>
          </cell>
          <cell r="C5145" t="str">
            <v>DESIGN SERVICES</v>
          </cell>
        </row>
        <row r="5146">
          <cell r="A5146">
            <v>9720703</v>
          </cell>
          <cell r="B5146">
            <v>342646</v>
          </cell>
          <cell r="C5146" t="str">
            <v>DESIGN SERVICES</v>
          </cell>
        </row>
        <row r="5147">
          <cell r="A5147">
            <v>9722709</v>
          </cell>
          <cell r="B5147">
            <v>342646</v>
          </cell>
          <cell r="C5147" t="str">
            <v>DESIGN SERVICES</v>
          </cell>
        </row>
        <row r="5148">
          <cell r="A5148">
            <v>9722713</v>
          </cell>
          <cell r="B5148">
            <v>342646</v>
          </cell>
          <cell r="C5148" t="str">
            <v>DESIGN SERVICES</v>
          </cell>
        </row>
        <row r="5149">
          <cell r="A5149">
            <v>9723723</v>
          </cell>
          <cell r="B5149">
            <v>342646</v>
          </cell>
          <cell r="C5149" t="str">
            <v>DESIGN SERVICES</v>
          </cell>
        </row>
        <row r="5150">
          <cell r="A5150">
            <v>9723729</v>
          </cell>
          <cell r="B5150">
            <v>342646</v>
          </cell>
          <cell r="C5150" t="str">
            <v>DESIGN SERVICES</v>
          </cell>
        </row>
        <row r="5151">
          <cell r="A5151">
            <v>9724718</v>
          </cell>
          <cell r="B5151">
            <v>342646</v>
          </cell>
          <cell r="C5151" t="str">
            <v>DESIGN SERVICES</v>
          </cell>
        </row>
        <row r="5152">
          <cell r="A5152">
            <v>9724721</v>
          </cell>
          <cell r="B5152">
            <v>342646</v>
          </cell>
          <cell r="C5152" t="str">
            <v>DESIGN SERVICES</v>
          </cell>
        </row>
        <row r="5153">
          <cell r="A5153">
            <v>9724724</v>
          </cell>
          <cell r="B5153">
            <v>342646</v>
          </cell>
          <cell r="C5153" t="str">
            <v>DESIGN SERVICES</v>
          </cell>
        </row>
        <row r="5154">
          <cell r="A5154">
            <v>9725703</v>
          </cell>
          <cell r="B5154">
            <v>342646</v>
          </cell>
          <cell r="C5154" t="str">
            <v>DESIGN SERVICES</v>
          </cell>
        </row>
        <row r="5155">
          <cell r="A5155">
            <v>9725704</v>
          </cell>
          <cell r="B5155">
            <v>342646</v>
          </cell>
          <cell r="C5155" t="str">
            <v>DESIGN SERVICES</v>
          </cell>
        </row>
        <row r="5156">
          <cell r="A5156">
            <v>9725711</v>
          </cell>
          <cell r="B5156">
            <v>342646</v>
          </cell>
          <cell r="C5156" t="str">
            <v>DESIGN SERVICES</v>
          </cell>
        </row>
        <row r="5157">
          <cell r="A5157">
            <v>9725717</v>
          </cell>
          <cell r="B5157">
            <v>342646</v>
          </cell>
          <cell r="C5157" t="str">
            <v>DESIGN SERVICES</v>
          </cell>
        </row>
        <row r="5158">
          <cell r="A5158">
            <v>9725725</v>
          </cell>
          <cell r="B5158">
            <v>342646</v>
          </cell>
          <cell r="C5158" t="str">
            <v>DESIGN SERVICES</v>
          </cell>
        </row>
        <row r="5159">
          <cell r="A5159">
            <v>9080700</v>
          </cell>
          <cell r="B5159">
            <v>342647</v>
          </cell>
          <cell r="C5159" t="str">
            <v>MARKET RESEARCH INVESTIGATOR</v>
          </cell>
        </row>
        <row r="5160">
          <cell r="A5160">
            <v>9080701</v>
          </cell>
          <cell r="B5160">
            <v>342647</v>
          </cell>
          <cell r="C5160" t="str">
            <v>MARKET RESEARCH INVESTIGATOR</v>
          </cell>
        </row>
        <row r="5161">
          <cell r="A5161">
            <v>9080702</v>
          </cell>
          <cell r="B5161">
            <v>342647</v>
          </cell>
          <cell r="C5161" t="str">
            <v>MARKET RESEARCH INVESTIGATOR</v>
          </cell>
        </row>
        <row r="5162">
          <cell r="A5162">
            <v>9080705</v>
          </cell>
          <cell r="B5162">
            <v>342647</v>
          </cell>
          <cell r="C5162" t="str">
            <v>MARKET RESEARCH INVESTIGATOR</v>
          </cell>
        </row>
        <row r="5163">
          <cell r="A5163">
            <v>9080707</v>
          </cell>
          <cell r="B5163">
            <v>342647</v>
          </cell>
          <cell r="C5163" t="str">
            <v>MARKET RESEARCH INVESTIGATOR</v>
          </cell>
        </row>
        <row r="5164">
          <cell r="A5164">
            <v>9080710</v>
          </cell>
          <cell r="B5164">
            <v>342647</v>
          </cell>
          <cell r="C5164" t="str">
            <v>MARKET RESEARCH INVESTIGATOR</v>
          </cell>
        </row>
        <row r="5165">
          <cell r="A5165">
            <v>9080999</v>
          </cell>
          <cell r="B5165">
            <v>342647</v>
          </cell>
          <cell r="C5165" t="str">
            <v>MARKET RESEARCH INVESTIGATOR</v>
          </cell>
        </row>
        <row r="5166">
          <cell r="A5166">
            <v>9110700</v>
          </cell>
          <cell r="B5166">
            <v>342647</v>
          </cell>
          <cell r="C5166" t="str">
            <v>MARKET RESEARCH INVESTIGATOR</v>
          </cell>
        </row>
        <row r="5167">
          <cell r="A5167">
            <v>9110702</v>
          </cell>
          <cell r="B5167">
            <v>342647</v>
          </cell>
          <cell r="C5167" t="str">
            <v>MARKET RESEARCH INVESTIGATOR</v>
          </cell>
        </row>
        <row r="5168">
          <cell r="A5168">
            <v>9110705</v>
          </cell>
          <cell r="B5168">
            <v>342647</v>
          </cell>
          <cell r="C5168" t="str">
            <v>MARKET RESEARCH INVESTIGATOR</v>
          </cell>
        </row>
        <row r="5169">
          <cell r="A5169">
            <v>9110707</v>
          </cell>
          <cell r="B5169">
            <v>342647</v>
          </cell>
          <cell r="C5169" t="str">
            <v>MARKET RESEARCH INVESTIGATOR</v>
          </cell>
        </row>
        <row r="5170">
          <cell r="A5170">
            <v>9110999</v>
          </cell>
          <cell r="B5170">
            <v>342647</v>
          </cell>
          <cell r="C5170" t="str">
            <v>MARKET RESEARCH INVESTIGATOR</v>
          </cell>
        </row>
        <row r="5171">
          <cell r="A5171">
            <v>9681700</v>
          </cell>
          <cell r="B5171">
            <v>342647</v>
          </cell>
          <cell r="C5171" t="str">
            <v>MARKET RESEARCH INVESTIGATOR</v>
          </cell>
        </row>
        <row r="5172">
          <cell r="A5172">
            <v>9681701</v>
          </cell>
          <cell r="B5172">
            <v>342647</v>
          </cell>
          <cell r="C5172" t="str">
            <v>MARKET RESEARCH INVESTIGATOR</v>
          </cell>
        </row>
        <row r="5173">
          <cell r="A5173">
            <v>9681702</v>
          </cell>
          <cell r="B5173">
            <v>342647</v>
          </cell>
          <cell r="C5173" t="str">
            <v>MARKET RESEARCH INVESTIGATOR</v>
          </cell>
        </row>
        <row r="5174">
          <cell r="A5174">
            <v>9681705</v>
          </cell>
          <cell r="B5174">
            <v>342647</v>
          </cell>
          <cell r="C5174" t="str">
            <v>MARKET RESEARCH INVESTIGATOR</v>
          </cell>
        </row>
        <row r="5175">
          <cell r="A5175">
            <v>9681706</v>
          </cell>
          <cell r="B5175">
            <v>342647</v>
          </cell>
          <cell r="C5175" t="str">
            <v>MARKET RESEARCH INVESTIGATOR</v>
          </cell>
        </row>
        <row r="5176">
          <cell r="A5176">
            <v>9681707</v>
          </cell>
          <cell r="B5176">
            <v>342647</v>
          </cell>
          <cell r="C5176" t="str">
            <v>MARKET RESEARCH INVESTIGATOR</v>
          </cell>
        </row>
        <row r="5177">
          <cell r="A5177">
            <v>9681712</v>
          </cell>
          <cell r="B5177">
            <v>342647</v>
          </cell>
          <cell r="C5177" t="str">
            <v>MARKET RESEARCH INVESTIGATOR</v>
          </cell>
        </row>
        <row r="5178">
          <cell r="A5178">
            <v>9681727</v>
          </cell>
          <cell r="B5178">
            <v>342647</v>
          </cell>
          <cell r="C5178" t="str">
            <v>MARKET RESEARCH INVESTIGATOR</v>
          </cell>
        </row>
        <row r="5179">
          <cell r="A5179">
            <v>9681749</v>
          </cell>
          <cell r="B5179">
            <v>342647</v>
          </cell>
          <cell r="C5179" t="str">
            <v>MARKET RESEARCH INVESTIGATOR</v>
          </cell>
        </row>
        <row r="5180">
          <cell r="A5180">
            <v>9681999</v>
          </cell>
          <cell r="B5180">
            <v>342647</v>
          </cell>
          <cell r="C5180" t="str">
            <v>MARKET RESEARCH INVESTIGATOR</v>
          </cell>
        </row>
        <row r="5181">
          <cell r="A5181">
            <v>9682715</v>
          </cell>
          <cell r="B5181">
            <v>342647</v>
          </cell>
          <cell r="C5181" t="str">
            <v>MARKET RESEARCH INVESTIGATOR</v>
          </cell>
        </row>
        <row r="5182">
          <cell r="A5182">
            <v>9689994</v>
          </cell>
          <cell r="B5182">
            <v>342647</v>
          </cell>
          <cell r="C5182" t="str">
            <v>MARKET RESEARCH INVESTIGATOR</v>
          </cell>
        </row>
        <row r="5183">
          <cell r="A5183">
            <v>9090999</v>
          </cell>
          <cell r="B5183">
            <v>342649</v>
          </cell>
          <cell r="C5183" t="str">
            <v>FILING FEES -SEC &amp; OTHER AGENCIES</v>
          </cell>
        </row>
        <row r="5184">
          <cell r="A5184">
            <v>9100999</v>
          </cell>
          <cell r="B5184">
            <v>342649</v>
          </cell>
          <cell r="C5184" t="str">
            <v>FILING FEES -SEC &amp; OTHER AGENCIES</v>
          </cell>
        </row>
        <row r="5185">
          <cell r="A5185">
            <v>9689991</v>
          </cell>
          <cell r="B5185">
            <v>342649</v>
          </cell>
          <cell r="C5185" t="str">
            <v>FILING FEES -SEC &amp; OTHER AGENCIES</v>
          </cell>
        </row>
        <row r="5186">
          <cell r="A5186">
            <v>9681710</v>
          </cell>
          <cell r="B5186">
            <v>342657</v>
          </cell>
          <cell r="C5186" t="str">
            <v>PROGRAMMER/SOFTWARE SERVICES</v>
          </cell>
        </row>
        <row r="5187">
          <cell r="A5187">
            <v>9681999</v>
          </cell>
          <cell r="B5187">
            <v>342657</v>
          </cell>
          <cell r="C5187" t="str">
            <v>PROGRAMMER/SOFTWARE SERVICES</v>
          </cell>
        </row>
        <row r="5188">
          <cell r="A5188">
            <v>9689991</v>
          </cell>
          <cell r="B5188">
            <v>342657</v>
          </cell>
          <cell r="C5188" t="str">
            <v>PROGRAMMER/SOFTWARE SERVICES</v>
          </cell>
        </row>
        <row r="5189">
          <cell r="A5189">
            <v>9080700</v>
          </cell>
          <cell r="B5189">
            <v>342660</v>
          </cell>
          <cell r="C5189" t="str">
            <v>FACILITY MOVING EXPENSE</v>
          </cell>
        </row>
        <row r="5190">
          <cell r="A5190">
            <v>9080701</v>
          </cell>
          <cell r="B5190">
            <v>342660</v>
          </cell>
          <cell r="C5190" t="str">
            <v>FACILITY MOVING EXPENSE</v>
          </cell>
        </row>
        <row r="5191">
          <cell r="A5191">
            <v>9080702</v>
          </cell>
          <cell r="B5191">
            <v>342660</v>
          </cell>
          <cell r="C5191" t="str">
            <v>FACILITY MOVING EXPENSE</v>
          </cell>
        </row>
        <row r="5192">
          <cell r="A5192">
            <v>9080705</v>
          </cell>
          <cell r="B5192">
            <v>342660</v>
          </cell>
          <cell r="C5192" t="str">
            <v>FACILITY MOVING EXPENSE</v>
          </cell>
        </row>
        <row r="5193">
          <cell r="A5193">
            <v>9080707</v>
          </cell>
          <cell r="B5193">
            <v>342660</v>
          </cell>
          <cell r="C5193" t="str">
            <v>FACILITY MOVING EXPENSE</v>
          </cell>
        </row>
        <row r="5194">
          <cell r="A5194">
            <v>9080710</v>
          </cell>
          <cell r="B5194">
            <v>342660</v>
          </cell>
          <cell r="C5194" t="str">
            <v>FACILITY MOVING EXPENSE</v>
          </cell>
        </row>
        <row r="5195">
          <cell r="A5195">
            <v>9090999</v>
          </cell>
          <cell r="B5195">
            <v>342660</v>
          </cell>
          <cell r="C5195" t="str">
            <v>FACILITY MOVING EXPENSE</v>
          </cell>
        </row>
        <row r="5196">
          <cell r="A5196">
            <v>9100999</v>
          </cell>
          <cell r="B5196">
            <v>342660</v>
          </cell>
          <cell r="C5196" t="str">
            <v>FACILITY MOVING EXPENSE</v>
          </cell>
        </row>
        <row r="5197">
          <cell r="A5197">
            <v>9110700</v>
          </cell>
          <cell r="B5197">
            <v>342660</v>
          </cell>
          <cell r="C5197" t="str">
            <v>FACILITY MOVING EXPENSE</v>
          </cell>
        </row>
        <row r="5198">
          <cell r="A5198">
            <v>9110702</v>
          </cell>
          <cell r="B5198">
            <v>342660</v>
          </cell>
          <cell r="C5198" t="str">
            <v>FACILITY MOVING EXPENSE</v>
          </cell>
        </row>
        <row r="5199">
          <cell r="A5199">
            <v>9110705</v>
          </cell>
          <cell r="B5199">
            <v>342660</v>
          </cell>
          <cell r="C5199" t="str">
            <v>FACILITY MOVING EXPENSE</v>
          </cell>
        </row>
        <row r="5200">
          <cell r="A5200">
            <v>9110707</v>
          </cell>
          <cell r="B5200">
            <v>342660</v>
          </cell>
          <cell r="C5200" t="str">
            <v>FACILITY MOVING EXPENSE</v>
          </cell>
        </row>
        <row r="5201">
          <cell r="A5201">
            <v>9680700</v>
          </cell>
          <cell r="B5201">
            <v>342660</v>
          </cell>
          <cell r="C5201" t="str">
            <v>FACILITY MOVING EXPENSE</v>
          </cell>
        </row>
        <row r="5202">
          <cell r="A5202">
            <v>9680701</v>
          </cell>
          <cell r="B5202">
            <v>342660</v>
          </cell>
          <cell r="C5202" t="str">
            <v>FACILITY MOVING EXPENSE</v>
          </cell>
        </row>
        <row r="5203">
          <cell r="A5203">
            <v>9680702</v>
          </cell>
          <cell r="B5203">
            <v>342660</v>
          </cell>
          <cell r="C5203" t="str">
            <v>FACILITY MOVING EXPENSE</v>
          </cell>
        </row>
        <row r="5204">
          <cell r="A5204">
            <v>9680705</v>
          </cell>
          <cell r="B5204">
            <v>342660</v>
          </cell>
          <cell r="C5204" t="str">
            <v>FACILITY MOVING EXPENSE</v>
          </cell>
        </row>
        <row r="5205">
          <cell r="A5205">
            <v>9680707</v>
          </cell>
          <cell r="B5205">
            <v>342660</v>
          </cell>
          <cell r="C5205" t="str">
            <v>FACILITY MOVING EXPENSE</v>
          </cell>
        </row>
        <row r="5206">
          <cell r="A5206">
            <v>9680710</v>
          </cell>
          <cell r="B5206">
            <v>342660</v>
          </cell>
          <cell r="C5206" t="str">
            <v>FACILITY MOVING EXPENSE</v>
          </cell>
        </row>
        <row r="5207">
          <cell r="A5207">
            <v>9680712</v>
          </cell>
          <cell r="B5207">
            <v>342660</v>
          </cell>
          <cell r="C5207" t="str">
            <v>FACILITY MOVING EXPENSE</v>
          </cell>
        </row>
        <row r="5208">
          <cell r="A5208">
            <v>9680714</v>
          </cell>
          <cell r="B5208">
            <v>342660</v>
          </cell>
          <cell r="C5208" t="str">
            <v>FACILITY MOVING EXPENSE</v>
          </cell>
        </row>
        <row r="5209">
          <cell r="A5209">
            <v>9680734</v>
          </cell>
          <cell r="B5209">
            <v>342660</v>
          </cell>
          <cell r="C5209" t="str">
            <v>FACILITY MOVING EXPENSE</v>
          </cell>
        </row>
        <row r="5210">
          <cell r="A5210">
            <v>9680748</v>
          </cell>
          <cell r="B5210">
            <v>342660</v>
          </cell>
          <cell r="C5210" t="str">
            <v>FACILITY MOVING EXPENSE</v>
          </cell>
        </row>
        <row r="5211">
          <cell r="A5211">
            <v>9680749</v>
          </cell>
          <cell r="B5211">
            <v>342660</v>
          </cell>
          <cell r="C5211" t="str">
            <v>FACILITY MOVING EXPENSE</v>
          </cell>
        </row>
        <row r="5212">
          <cell r="A5212">
            <v>9680894</v>
          </cell>
          <cell r="B5212">
            <v>342660</v>
          </cell>
          <cell r="C5212" t="str">
            <v>FACILITY MOVING EXPENSE</v>
          </cell>
        </row>
        <row r="5213">
          <cell r="A5213">
            <v>9680999</v>
          </cell>
          <cell r="B5213">
            <v>342660</v>
          </cell>
          <cell r="C5213" t="str">
            <v>FACILITY MOVING EXPENSE</v>
          </cell>
        </row>
        <row r="5214">
          <cell r="A5214">
            <v>9681700</v>
          </cell>
          <cell r="B5214">
            <v>342660</v>
          </cell>
          <cell r="C5214" t="str">
            <v>FACILITY MOVING EXPENSE</v>
          </cell>
        </row>
        <row r="5215">
          <cell r="A5215">
            <v>9681701</v>
          </cell>
          <cell r="B5215">
            <v>342660</v>
          </cell>
          <cell r="C5215" t="str">
            <v>FACILITY MOVING EXPENSE</v>
          </cell>
        </row>
        <row r="5216">
          <cell r="A5216">
            <v>9681702</v>
          </cell>
          <cell r="B5216">
            <v>342660</v>
          </cell>
          <cell r="C5216" t="str">
            <v>FACILITY MOVING EXPENSE</v>
          </cell>
        </row>
        <row r="5217">
          <cell r="A5217">
            <v>9681705</v>
          </cell>
          <cell r="B5217">
            <v>342660</v>
          </cell>
          <cell r="C5217" t="str">
            <v>FACILITY MOVING EXPENSE</v>
          </cell>
        </row>
        <row r="5218">
          <cell r="A5218">
            <v>9681706</v>
          </cell>
          <cell r="B5218">
            <v>342660</v>
          </cell>
          <cell r="C5218" t="str">
            <v>FACILITY MOVING EXPENSE</v>
          </cell>
        </row>
        <row r="5219">
          <cell r="A5219">
            <v>9681707</v>
          </cell>
          <cell r="B5219">
            <v>342660</v>
          </cell>
          <cell r="C5219" t="str">
            <v>FACILITY MOVING EXPENSE</v>
          </cell>
        </row>
        <row r="5220">
          <cell r="A5220">
            <v>9681710</v>
          </cell>
          <cell r="B5220">
            <v>342660</v>
          </cell>
          <cell r="C5220" t="str">
            <v>FACILITY MOVING EXPENSE</v>
          </cell>
        </row>
        <row r="5221">
          <cell r="A5221">
            <v>9681712</v>
          </cell>
          <cell r="B5221">
            <v>342660</v>
          </cell>
          <cell r="C5221" t="str">
            <v>FACILITY MOVING EXPENSE</v>
          </cell>
        </row>
        <row r="5222">
          <cell r="A5222">
            <v>9681727</v>
          </cell>
          <cell r="B5222">
            <v>342660</v>
          </cell>
          <cell r="C5222" t="str">
            <v>FACILITY MOVING EXPENSE</v>
          </cell>
        </row>
        <row r="5223">
          <cell r="A5223">
            <v>9681734</v>
          </cell>
          <cell r="B5223">
            <v>342660</v>
          </cell>
          <cell r="C5223" t="str">
            <v>FACILITY MOVING EXPENSE</v>
          </cell>
        </row>
        <row r="5224">
          <cell r="A5224">
            <v>9681748</v>
          </cell>
          <cell r="B5224">
            <v>342660</v>
          </cell>
          <cell r="C5224" t="str">
            <v>FACILITY MOVING EXPENSE</v>
          </cell>
        </row>
        <row r="5225">
          <cell r="A5225">
            <v>9681749</v>
          </cell>
          <cell r="B5225">
            <v>342660</v>
          </cell>
          <cell r="C5225" t="str">
            <v>FACILITY MOVING EXPENSE</v>
          </cell>
        </row>
        <row r="5226">
          <cell r="A5226">
            <v>9681894</v>
          </cell>
          <cell r="B5226">
            <v>342660</v>
          </cell>
          <cell r="C5226" t="str">
            <v>FACILITY MOVING EXPENSE</v>
          </cell>
        </row>
        <row r="5227">
          <cell r="A5227">
            <v>9681999</v>
          </cell>
          <cell r="B5227">
            <v>342660</v>
          </cell>
          <cell r="C5227" t="str">
            <v>FACILITY MOVING EXPENSE</v>
          </cell>
        </row>
        <row r="5228">
          <cell r="A5228">
            <v>9682715</v>
          </cell>
          <cell r="B5228">
            <v>342660</v>
          </cell>
          <cell r="C5228" t="str">
            <v>FACILITY MOVING EXPENSE</v>
          </cell>
        </row>
        <row r="5229">
          <cell r="A5229">
            <v>9682722</v>
          </cell>
          <cell r="B5229">
            <v>342660</v>
          </cell>
          <cell r="C5229" t="str">
            <v>FACILITY MOVING EXPENSE</v>
          </cell>
        </row>
        <row r="5230">
          <cell r="A5230">
            <v>9682999</v>
          </cell>
          <cell r="B5230">
            <v>342660</v>
          </cell>
          <cell r="C5230" t="str">
            <v>FACILITY MOVING EXPENSE</v>
          </cell>
        </row>
        <row r="5231">
          <cell r="A5231">
            <v>9683999</v>
          </cell>
          <cell r="B5231">
            <v>342660</v>
          </cell>
          <cell r="C5231" t="str">
            <v>FACILITY MOVING EXPENSE</v>
          </cell>
        </row>
        <row r="5232">
          <cell r="A5232">
            <v>9684999</v>
          </cell>
          <cell r="B5232">
            <v>342660</v>
          </cell>
          <cell r="C5232" t="str">
            <v>FACILITY MOVING EXPENSE</v>
          </cell>
        </row>
        <row r="5233">
          <cell r="A5233">
            <v>9685999</v>
          </cell>
          <cell r="B5233">
            <v>342660</v>
          </cell>
          <cell r="C5233" t="str">
            <v>FACILITY MOVING EXPENSE</v>
          </cell>
        </row>
        <row r="5234">
          <cell r="A5234">
            <v>9689692</v>
          </cell>
          <cell r="B5234">
            <v>342660</v>
          </cell>
          <cell r="C5234" t="str">
            <v>FACILITY MOVING EXPENSE</v>
          </cell>
        </row>
        <row r="5235">
          <cell r="A5235">
            <v>9689747</v>
          </cell>
          <cell r="B5235">
            <v>342660</v>
          </cell>
          <cell r="C5235" t="str">
            <v>FACILITY MOVING EXPENSE</v>
          </cell>
        </row>
        <row r="5236">
          <cell r="A5236">
            <v>9689883</v>
          </cell>
          <cell r="B5236">
            <v>342660</v>
          </cell>
          <cell r="C5236" t="str">
            <v>FACILITY MOVING EXPENSE</v>
          </cell>
        </row>
        <row r="5237">
          <cell r="A5237">
            <v>9689890</v>
          </cell>
          <cell r="B5237">
            <v>342660</v>
          </cell>
          <cell r="C5237" t="str">
            <v>FACILITY MOVING EXPENSE</v>
          </cell>
        </row>
        <row r="5238">
          <cell r="A5238">
            <v>9689906</v>
          </cell>
          <cell r="B5238">
            <v>342660</v>
          </cell>
          <cell r="C5238" t="str">
            <v>FACILITY MOVING EXPENSE</v>
          </cell>
        </row>
        <row r="5239">
          <cell r="A5239">
            <v>9689925</v>
          </cell>
          <cell r="B5239">
            <v>342660</v>
          </cell>
          <cell r="C5239" t="str">
            <v>FACILITY MOVING EXPENSE</v>
          </cell>
        </row>
        <row r="5240">
          <cell r="A5240">
            <v>9689990</v>
          </cell>
          <cell r="B5240">
            <v>342660</v>
          </cell>
          <cell r="C5240" t="str">
            <v>FACILITY MOVING EXPENSE</v>
          </cell>
        </row>
        <row r="5241">
          <cell r="A5241">
            <v>9689991</v>
          </cell>
          <cell r="B5241">
            <v>342660</v>
          </cell>
          <cell r="C5241" t="str">
            <v>FACILITY MOVING EXPENSE</v>
          </cell>
        </row>
        <row r="5242">
          <cell r="A5242">
            <v>9689992</v>
          </cell>
          <cell r="B5242">
            <v>342660</v>
          </cell>
          <cell r="C5242" t="str">
            <v>FACILITY MOVING EXPENSE</v>
          </cell>
        </row>
        <row r="5243">
          <cell r="A5243">
            <v>9689883</v>
          </cell>
          <cell r="B5243">
            <v>342661</v>
          </cell>
          <cell r="C5243" t="str">
            <v>FINES AND PENALTIES-GOV'T AGEN</v>
          </cell>
        </row>
        <row r="5244">
          <cell r="A5244">
            <v>9689992</v>
          </cell>
          <cell r="B5244">
            <v>342661</v>
          </cell>
          <cell r="C5244" t="str">
            <v>FINES AND PENALTIES-GOV'T AGEN</v>
          </cell>
        </row>
        <row r="5245">
          <cell r="A5245">
            <v>9080999</v>
          </cell>
          <cell r="B5245">
            <v>342674</v>
          </cell>
          <cell r="C5245" t="str">
            <v>MANAGEMENT SERVICE -CORPORATE</v>
          </cell>
        </row>
        <row r="5246">
          <cell r="A5246">
            <v>9110999</v>
          </cell>
          <cell r="B5246">
            <v>342674</v>
          </cell>
          <cell r="C5246" t="str">
            <v>MANAGEMENT SERVICE -CORPORATE</v>
          </cell>
        </row>
        <row r="5247">
          <cell r="A5247">
            <v>9689994</v>
          </cell>
          <cell r="B5247">
            <v>342674</v>
          </cell>
          <cell r="C5247" t="str">
            <v>MANAGEMENT SERVICE -CORPORATE</v>
          </cell>
        </row>
        <row r="5248">
          <cell r="A5248">
            <v>9722709</v>
          </cell>
          <cell r="B5248">
            <v>342674</v>
          </cell>
          <cell r="C5248" t="str">
            <v>MANAGEMENT SERVICE -CORPORATE</v>
          </cell>
        </row>
        <row r="5249">
          <cell r="A5249">
            <v>9722713</v>
          </cell>
          <cell r="B5249">
            <v>342674</v>
          </cell>
          <cell r="C5249" t="str">
            <v>MANAGEMENT SERVICE -CORPORATE</v>
          </cell>
        </row>
        <row r="5250">
          <cell r="A5250">
            <v>9723723</v>
          </cell>
          <cell r="B5250">
            <v>342674</v>
          </cell>
          <cell r="C5250" t="str">
            <v>MANAGEMENT SERVICE -CORPORATE</v>
          </cell>
        </row>
        <row r="5251">
          <cell r="A5251">
            <v>9723729</v>
          </cell>
          <cell r="B5251">
            <v>342674</v>
          </cell>
          <cell r="C5251" t="str">
            <v>MANAGEMENT SERVICE -CORPORATE</v>
          </cell>
        </row>
        <row r="5252">
          <cell r="A5252">
            <v>9966681</v>
          </cell>
          <cell r="B5252">
            <v>342674</v>
          </cell>
          <cell r="C5252" t="str">
            <v>MANAGEMENT SERVICE -CORPORATE</v>
          </cell>
        </row>
        <row r="5253">
          <cell r="A5253">
            <v>9967681</v>
          </cell>
          <cell r="B5253">
            <v>342674</v>
          </cell>
          <cell r="C5253" t="str">
            <v>MANAGEMENT SERVICE -CORPORATE</v>
          </cell>
        </row>
        <row r="5254">
          <cell r="A5254">
            <v>9968681</v>
          </cell>
          <cell r="B5254">
            <v>342674</v>
          </cell>
          <cell r="C5254" t="str">
            <v>MANAGEMENT SERVICE -CORPORATE</v>
          </cell>
        </row>
        <row r="5255">
          <cell r="A5255">
            <v>9720703</v>
          </cell>
          <cell r="B5255">
            <v>342689</v>
          </cell>
          <cell r="C5255" t="str">
            <v>STORE ATM ADMINISTRATION</v>
          </cell>
        </row>
        <row r="5256">
          <cell r="A5256">
            <v>9722709</v>
          </cell>
          <cell r="B5256">
            <v>342689</v>
          </cell>
          <cell r="C5256" t="str">
            <v>STORE ATM ADMINISTRATION</v>
          </cell>
        </row>
        <row r="5257">
          <cell r="A5257">
            <v>9722713</v>
          </cell>
          <cell r="B5257">
            <v>342689</v>
          </cell>
          <cell r="C5257" t="str">
            <v>STORE ATM ADMINISTRATION</v>
          </cell>
        </row>
        <row r="5258">
          <cell r="A5258">
            <v>9724718</v>
          </cell>
          <cell r="B5258">
            <v>342689</v>
          </cell>
          <cell r="C5258" t="str">
            <v>STORE ATM ADMINISTRATION</v>
          </cell>
        </row>
        <row r="5259">
          <cell r="A5259">
            <v>9724721</v>
          </cell>
          <cell r="B5259">
            <v>342689</v>
          </cell>
          <cell r="C5259" t="str">
            <v>STORE ATM ADMINISTRATION</v>
          </cell>
        </row>
        <row r="5260">
          <cell r="A5260">
            <v>9724724</v>
          </cell>
          <cell r="B5260">
            <v>342689</v>
          </cell>
          <cell r="C5260" t="str">
            <v>STORE ATM ADMINISTRATION</v>
          </cell>
        </row>
        <row r="5261">
          <cell r="A5261">
            <v>9725703</v>
          </cell>
          <cell r="B5261">
            <v>342689</v>
          </cell>
          <cell r="C5261" t="str">
            <v>STORE ATM ADMINISTRATION</v>
          </cell>
        </row>
        <row r="5262">
          <cell r="A5262">
            <v>9725704</v>
          </cell>
          <cell r="B5262">
            <v>342689</v>
          </cell>
          <cell r="C5262" t="str">
            <v>STORE ATM ADMINISTRATION</v>
          </cell>
        </row>
        <row r="5263">
          <cell r="A5263">
            <v>9725711</v>
          </cell>
          <cell r="B5263">
            <v>342689</v>
          </cell>
          <cell r="C5263" t="str">
            <v>STORE ATM ADMINISTRATION</v>
          </cell>
        </row>
        <row r="5264">
          <cell r="A5264">
            <v>9725717</v>
          </cell>
          <cell r="B5264">
            <v>342689</v>
          </cell>
          <cell r="C5264" t="str">
            <v>STORE ATM ADMINISTRATION</v>
          </cell>
        </row>
        <row r="5265">
          <cell r="A5265">
            <v>9725725</v>
          </cell>
          <cell r="B5265">
            <v>342689</v>
          </cell>
          <cell r="C5265" t="str">
            <v>STORE ATM ADMINISTRATION</v>
          </cell>
        </row>
        <row r="5266">
          <cell r="A5266">
            <v>9080999</v>
          </cell>
          <cell r="B5266">
            <v>342695</v>
          </cell>
          <cell r="C5266" t="str">
            <v>GARBAGE AND TRASH DISPOSAL</v>
          </cell>
        </row>
        <row r="5267">
          <cell r="A5267">
            <v>9110999</v>
          </cell>
          <cell r="B5267">
            <v>342695</v>
          </cell>
          <cell r="C5267" t="str">
            <v>GARBAGE AND TRASH DISPOSAL</v>
          </cell>
        </row>
        <row r="5268">
          <cell r="A5268">
            <v>9689994</v>
          </cell>
          <cell r="B5268">
            <v>342695</v>
          </cell>
          <cell r="C5268" t="str">
            <v>GARBAGE AND TRASH DISPOSAL</v>
          </cell>
        </row>
        <row r="5269">
          <cell r="A5269">
            <v>9080999</v>
          </cell>
          <cell r="B5269">
            <v>342699</v>
          </cell>
          <cell r="C5269" t="str">
            <v>JANITORIAL SERVICE</v>
          </cell>
        </row>
        <row r="5270">
          <cell r="A5270">
            <v>9100710</v>
          </cell>
          <cell r="B5270">
            <v>342699</v>
          </cell>
          <cell r="C5270" t="str">
            <v>JANITORIAL SERVICE</v>
          </cell>
        </row>
        <row r="5271">
          <cell r="A5271">
            <v>9100999</v>
          </cell>
          <cell r="B5271">
            <v>342699</v>
          </cell>
          <cell r="C5271" t="str">
            <v>JANITORIAL SERVICE</v>
          </cell>
        </row>
        <row r="5272">
          <cell r="A5272">
            <v>9110999</v>
          </cell>
          <cell r="B5272">
            <v>342699</v>
          </cell>
          <cell r="C5272" t="str">
            <v>JANITORIAL SERVICE</v>
          </cell>
        </row>
        <row r="5273">
          <cell r="A5273">
            <v>8001054179</v>
          </cell>
          <cell r="B5273">
            <v>342709</v>
          </cell>
          <cell r="C5273" t="str">
            <v>PRODUCT TESTING/RESEARCH EXP</v>
          </cell>
        </row>
        <row r="5274">
          <cell r="A5274">
            <v>8001059542</v>
          </cell>
          <cell r="B5274">
            <v>342709</v>
          </cell>
          <cell r="C5274" t="str">
            <v>PRODUCT TESTING/RESEARCH EXP</v>
          </cell>
        </row>
        <row r="5275">
          <cell r="A5275">
            <v>8010512510</v>
          </cell>
          <cell r="B5275">
            <v>342709</v>
          </cell>
          <cell r="C5275" t="str">
            <v>PRODUCT TESTING/RESEARCH EXP</v>
          </cell>
        </row>
        <row r="5276">
          <cell r="A5276">
            <v>9080700</v>
          </cell>
          <cell r="B5276">
            <v>342709</v>
          </cell>
          <cell r="C5276" t="str">
            <v>PRODUCT TESTING/RESEARCH EXP</v>
          </cell>
        </row>
        <row r="5277">
          <cell r="A5277">
            <v>9080701</v>
          </cell>
          <cell r="B5277">
            <v>342709</v>
          </cell>
          <cell r="C5277" t="str">
            <v>PRODUCT TESTING/RESEARCH EXP</v>
          </cell>
        </row>
        <row r="5278">
          <cell r="A5278">
            <v>9080702</v>
          </cell>
          <cell r="B5278">
            <v>342709</v>
          </cell>
          <cell r="C5278" t="str">
            <v>PRODUCT TESTING/RESEARCH EXP</v>
          </cell>
        </row>
        <row r="5279">
          <cell r="A5279">
            <v>9080705</v>
          </cell>
          <cell r="B5279">
            <v>342709</v>
          </cell>
          <cell r="C5279" t="str">
            <v>PRODUCT TESTING/RESEARCH EXP</v>
          </cell>
        </row>
        <row r="5280">
          <cell r="A5280">
            <v>9080707</v>
          </cell>
          <cell r="B5280">
            <v>342709</v>
          </cell>
          <cell r="C5280" t="str">
            <v>PRODUCT TESTING/RESEARCH EXP</v>
          </cell>
        </row>
        <row r="5281">
          <cell r="A5281">
            <v>9080710</v>
          </cell>
          <cell r="B5281">
            <v>342709</v>
          </cell>
          <cell r="C5281" t="str">
            <v>PRODUCT TESTING/RESEARCH EXP</v>
          </cell>
        </row>
        <row r="5282">
          <cell r="A5282">
            <v>9090999</v>
          </cell>
          <cell r="B5282">
            <v>342709</v>
          </cell>
          <cell r="C5282" t="str">
            <v>PRODUCT TESTING/RESEARCH EXP</v>
          </cell>
        </row>
        <row r="5283">
          <cell r="A5283">
            <v>9100999</v>
          </cell>
          <cell r="B5283">
            <v>342709</v>
          </cell>
          <cell r="C5283" t="str">
            <v>PRODUCT TESTING/RESEARCH EXP</v>
          </cell>
        </row>
        <row r="5284">
          <cell r="A5284">
            <v>9110700</v>
          </cell>
          <cell r="B5284">
            <v>342709</v>
          </cell>
          <cell r="C5284" t="str">
            <v>PRODUCT TESTING/RESEARCH EXP</v>
          </cell>
        </row>
        <row r="5285">
          <cell r="A5285">
            <v>9110702</v>
          </cell>
          <cell r="B5285">
            <v>342709</v>
          </cell>
          <cell r="C5285" t="str">
            <v>PRODUCT TESTING/RESEARCH EXP</v>
          </cell>
        </row>
        <row r="5286">
          <cell r="A5286">
            <v>9110705</v>
          </cell>
          <cell r="B5286">
            <v>342709</v>
          </cell>
          <cell r="C5286" t="str">
            <v>PRODUCT TESTING/RESEARCH EXP</v>
          </cell>
        </row>
        <row r="5287">
          <cell r="A5287">
            <v>9110707</v>
          </cell>
          <cell r="B5287">
            <v>342709</v>
          </cell>
          <cell r="C5287" t="str">
            <v>PRODUCT TESTING/RESEARCH EXP</v>
          </cell>
        </row>
        <row r="5288">
          <cell r="A5288">
            <v>9681700</v>
          </cell>
          <cell r="B5288">
            <v>342709</v>
          </cell>
          <cell r="C5288" t="str">
            <v>PRODUCT TESTING/RESEARCH EXP</v>
          </cell>
        </row>
        <row r="5289">
          <cell r="A5289">
            <v>9681701</v>
          </cell>
          <cell r="B5289">
            <v>342709</v>
          </cell>
          <cell r="C5289" t="str">
            <v>PRODUCT TESTING/RESEARCH EXP</v>
          </cell>
        </row>
        <row r="5290">
          <cell r="A5290">
            <v>9681702</v>
          </cell>
          <cell r="B5290">
            <v>342709</v>
          </cell>
          <cell r="C5290" t="str">
            <v>PRODUCT TESTING/RESEARCH EXP</v>
          </cell>
        </row>
        <row r="5291">
          <cell r="A5291">
            <v>9681705</v>
          </cell>
          <cell r="B5291">
            <v>342709</v>
          </cell>
          <cell r="C5291" t="str">
            <v>PRODUCT TESTING/RESEARCH EXP</v>
          </cell>
        </row>
        <row r="5292">
          <cell r="A5292">
            <v>9681706</v>
          </cell>
          <cell r="B5292">
            <v>342709</v>
          </cell>
          <cell r="C5292" t="str">
            <v>PRODUCT TESTING/RESEARCH EXP</v>
          </cell>
        </row>
        <row r="5293">
          <cell r="A5293">
            <v>9681707</v>
          </cell>
          <cell r="B5293">
            <v>342709</v>
          </cell>
          <cell r="C5293" t="str">
            <v>PRODUCT TESTING/RESEARCH EXP</v>
          </cell>
        </row>
        <row r="5294">
          <cell r="A5294">
            <v>9681712</v>
          </cell>
          <cell r="B5294">
            <v>342709</v>
          </cell>
          <cell r="C5294" t="str">
            <v>PRODUCT TESTING/RESEARCH EXP</v>
          </cell>
        </row>
        <row r="5295">
          <cell r="A5295">
            <v>9681727</v>
          </cell>
          <cell r="B5295">
            <v>342709</v>
          </cell>
          <cell r="C5295" t="str">
            <v>PRODUCT TESTING/RESEARCH EXP</v>
          </cell>
        </row>
        <row r="5296">
          <cell r="A5296">
            <v>9681749</v>
          </cell>
          <cell r="B5296">
            <v>342709</v>
          </cell>
          <cell r="C5296" t="str">
            <v>PRODUCT TESTING/RESEARCH EXP</v>
          </cell>
        </row>
        <row r="5297">
          <cell r="A5297">
            <v>9681999</v>
          </cell>
          <cell r="B5297">
            <v>342709</v>
          </cell>
          <cell r="C5297" t="str">
            <v>PRODUCT TESTING/RESEARCH EXP</v>
          </cell>
        </row>
        <row r="5298">
          <cell r="A5298">
            <v>9720703</v>
          </cell>
          <cell r="B5298">
            <v>342709</v>
          </cell>
          <cell r="C5298" t="str">
            <v>PRODUCT TESTING/RESEARCH EXP</v>
          </cell>
        </row>
        <row r="5299">
          <cell r="A5299">
            <v>9724718</v>
          </cell>
          <cell r="B5299">
            <v>342709</v>
          </cell>
          <cell r="C5299" t="str">
            <v>PRODUCT TESTING/RESEARCH EXP</v>
          </cell>
        </row>
        <row r="5300">
          <cell r="A5300">
            <v>9724721</v>
          </cell>
          <cell r="B5300">
            <v>342709</v>
          </cell>
          <cell r="C5300" t="str">
            <v>PRODUCT TESTING/RESEARCH EXP</v>
          </cell>
        </row>
        <row r="5301">
          <cell r="A5301">
            <v>9724724</v>
          </cell>
          <cell r="B5301">
            <v>342709</v>
          </cell>
          <cell r="C5301" t="str">
            <v>PRODUCT TESTING/RESEARCH EXP</v>
          </cell>
        </row>
        <row r="5302">
          <cell r="A5302">
            <v>9725703</v>
          </cell>
          <cell r="B5302">
            <v>342709</v>
          </cell>
          <cell r="C5302" t="str">
            <v>PRODUCT TESTING/RESEARCH EXP</v>
          </cell>
        </row>
        <row r="5303">
          <cell r="A5303">
            <v>9725704</v>
          </cell>
          <cell r="B5303">
            <v>342709</v>
          </cell>
          <cell r="C5303" t="str">
            <v>PRODUCT TESTING/RESEARCH EXP</v>
          </cell>
        </row>
        <row r="5304">
          <cell r="A5304">
            <v>9725711</v>
          </cell>
          <cell r="B5304">
            <v>342709</v>
          </cell>
          <cell r="C5304" t="str">
            <v>PRODUCT TESTING/RESEARCH EXP</v>
          </cell>
        </row>
        <row r="5305">
          <cell r="A5305">
            <v>9725717</v>
          </cell>
          <cell r="B5305">
            <v>342709</v>
          </cell>
          <cell r="C5305" t="str">
            <v>PRODUCT TESTING/RESEARCH EXP</v>
          </cell>
        </row>
        <row r="5306">
          <cell r="A5306">
            <v>9725725</v>
          </cell>
          <cell r="B5306">
            <v>342709</v>
          </cell>
          <cell r="C5306" t="str">
            <v>PRODUCT TESTING/RESEARCH EXP</v>
          </cell>
        </row>
        <row r="5307">
          <cell r="A5307">
            <v>9969681</v>
          </cell>
          <cell r="B5307">
            <v>342709</v>
          </cell>
          <cell r="C5307" t="str">
            <v>PRODUCT TESTING/RESEARCH EXP</v>
          </cell>
        </row>
        <row r="5308">
          <cell r="A5308">
            <v>9969901</v>
          </cell>
          <cell r="B5308">
            <v>342709</v>
          </cell>
          <cell r="C5308" t="str">
            <v>PRODUCT TESTING/RESEARCH EXP</v>
          </cell>
        </row>
        <row r="5309">
          <cell r="A5309" t="str">
            <v>ZONE-0105-POST</v>
          </cell>
          <cell r="B5309">
            <v>342709</v>
          </cell>
          <cell r="C5309" t="str">
            <v>PRODUCT TESTING/RESEARCH EXP</v>
          </cell>
        </row>
        <row r="5310">
          <cell r="A5310" t="str">
            <v>ZONE-0112-POST</v>
          </cell>
          <cell r="B5310">
            <v>342709</v>
          </cell>
          <cell r="C5310" t="str">
            <v>PRODUCT TESTING/RESEARCH EXP</v>
          </cell>
        </row>
        <row r="5311">
          <cell r="A5311">
            <v>9090710</v>
          </cell>
          <cell r="B5311">
            <v>342728</v>
          </cell>
          <cell r="C5311" t="str">
            <v>CREDIT CARD TRANSACTION FEES</v>
          </cell>
        </row>
        <row r="5312">
          <cell r="A5312">
            <v>9090999</v>
          </cell>
          <cell r="B5312">
            <v>342728</v>
          </cell>
          <cell r="C5312" t="str">
            <v>CREDIT CARD TRANSACTION FEES</v>
          </cell>
        </row>
        <row r="5313">
          <cell r="A5313">
            <v>9100710</v>
          </cell>
          <cell r="B5313">
            <v>342728</v>
          </cell>
          <cell r="C5313" t="str">
            <v>CREDIT CARD TRANSACTION FEES</v>
          </cell>
        </row>
        <row r="5314">
          <cell r="A5314">
            <v>9100999</v>
          </cell>
          <cell r="B5314">
            <v>342728</v>
          </cell>
          <cell r="C5314" t="str">
            <v>CREDIT CARD TRANSACTION FEES</v>
          </cell>
        </row>
        <row r="5315">
          <cell r="A5315">
            <v>9090710</v>
          </cell>
          <cell r="B5315">
            <v>342745</v>
          </cell>
          <cell r="C5315" t="str">
            <v>FEES AND COMMISSIONS</v>
          </cell>
        </row>
        <row r="5316">
          <cell r="A5316">
            <v>9100710</v>
          </cell>
          <cell r="B5316">
            <v>342745</v>
          </cell>
          <cell r="C5316" t="str">
            <v>FEES AND COMMISSIONS</v>
          </cell>
        </row>
        <row r="5317">
          <cell r="A5317">
            <v>9080999</v>
          </cell>
          <cell r="B5317">
            <v>342746</v>
          </cell>
          <cell r="C5317" t="str">
            <v>SIGNS</v>
          </cell>
        </row>
        <row r="5318">
          <cell r="A5318">
            <v>9110999</v>
          </cell>
          <cell r="B5318">
            <v>342746</v>
          </cell>
          <cell r="C5318" t="str">
            <v>SIGNS</v>
          </cell>
        </row>
        <row r="5319">
          <cell r="A5319">
            <v>9689994</v>
          </cell>
          <cell r="B5319">
            <v>342746</v>
          </cell>
          <cell r="C5319" t="str">
            <v>SIGNS</v>
          </cell>
        </row>
        <row r="5320">
          <cell r="A5320">
            <v>9080999</v>
          </cell>
          <cell r="B5320">
            <v>342856</v>
          </cell>
          <cell r="C5320" t="str">
            <v>RESTRICTED STOCK EXPENSE</v>
          </cell>
        </row>
        <row r="5321">
          <cell r="A5321">
            <v>9110999</v>
          </cell>
          <cell r="B5321">
            <v>342856</v>
          </cell>
          <cell r="C5321" t="str">
            <v>RESTRICTED STOCK EXPENSE</v>
          </cell>
        </row>
        <row r="5322">
          <cell r="A5322">
            <v>9689692</v>
          </cell>
          <cell r="B5322">
            <v>342856</v>
          </cell>
          <cell r="C5322" t="str">
            <v>RESTRICTED STOCK EXPENSE</v>
          </cell>
        </row>
        <row r="5323">
          <cell r="A5323">
            <v>9689747</v>
          </cell>
          <cell r="B5323">
            <v>342856</v>
          </cell>
          <cell r="C5323" t="str">
            <v>RESTRICTED STOCK EXPENSE</v>
          </cell>
        </row>
        <row r="5324">
          <cell r="A5324">
            <v>9689890</v>
          </cell>
          <cell r="B5324">
            <v>342856</v>
          </cell>
          <cell r="C5324" t="str">
            <v>RESTRICTED STOCK EXPENSE</v>
          </cell>
        </row>
        <row r="5325">
          <cell r="A5325">
            <v>9689925</v>
          </cell>
          <cell r="B5325">
            <v>342856</v>
          </cell>
          <cell r="C5325" t="str">
            <v>RESTRICTED STOCK EXPENSE</v>
          </cell>
        </row>
        <row r="5326">
          <cell r="A5326">
            <v>9689990</v>
          </cell>
          <cell r="B5326">
            <v>342856</v>
          </cell>
          <cell r="C5326" t="str">
            <v>RESTRICTED STOCK EXPENSE</v>
          </cell>
        </row>
        <row r="5327">
          <cell r="A5327">
            <v>9689999</v>
          </cell>
          <cell r="B5327">
            <v>342856</v>
          </cell>
          <cell r="C5327" t="str">
            <v>RESTRICTED STOCK EXPENSE</v>
          </cell>
        </row>
        <row r="5328">
          <cell r="A5328">
            <v>9080700</v>
          </cell>
          <cell r="B5328">
            <v>342887</v>
          </cell>
          <cell r="C5328" t="str">
            <v>POSTAGE</v>
          </cell>
        </row>
        <row r="5329">
          <cell r="A5329">
            <v>9080701</v>
          </cell>
          <cell r="B5329">
            <v>342887</v>
          </cell>
          <cell r="C5329" t="str">
            <v>POSTAGE</v>
          </cell>
        </row>
        <row r="5330">
          <cell r="A5330">
            <v>9080702</v>
          </cell>
          <cell r="B5330">
            <v>342887</v>
          </cell>
          <cell r="C5330" t="str">
            <v>POSTAGE</v>
          </cell>
        </row>
        <row r="5331">
          <cell r="A5331">
            <v>9080705</v>
          </cell>
          <cell r="B5331">
            <v>342887</v>
          </cell>
          <cell r="C5331" t="str">
            <v>POSTAGE</v>
          </cell>
        </row>
        <row r="5332">
          <cell r="A5332">
            <v>9080707</v>
          </cell>
          <cell r="B5332">
            <v>342887</v>
          </cell>
          <cell r="C5332" t="str">
            <v>POSTAGE</v>
          </cell>
        </row>
        <row r="5333">
          <cell r="A5333">
            <v>9080710</v>
          </cell>
          <cell r="B5333">
            <v>342887</v>
          </cell>
          <cell r="C5333" t="str">
            <v>POSTAGE</v>
          </cell>
        </row>
        <row r="5334">
          <cell r="A5334">
            <v>9080999</v>
          </cell>
          <cell r="B5334">
            <v>342887</v>
          </cell>
          <cell r="C5334" t="str">
            <v>POSTAGE</v>
          </cell>
        </row>
        <row r="5335">
          <cell r="A5335">
            <v>9090710</v>
          </cell>
          <cell r="B5335">
            <v>342887</v>
          </cell>
          <cell r="C5335" t="str">
            <v>POSTAGE</v>
          </cell>
        </row>
        <row r="5336">
          <cell r="A5336">
            <v>9090999</v>
          </cell>
          <cell r="B5336">
            <v>342887</v>
          </cell>
          <cell r="C5336" t="str">
            <v>POSTAGE</v>
          </cell>
        </row>
        <row r="5337">
          <cell r="A5337">
            <v>9100710</v>
          </cell>
          <cell r="B5337">
            <v>342887</v>
          </cell>
          <cell r="C5337" t="str">
            <v>POSTAGE</v>
          </cell>
        </row>
        <row r="5338">
          <cell r="A5338">
            <v>9100999</v>
          </cell>
          <cell r="B5338">
            <v>342887</v>
          </cell>
          <cell r="C5338" t="str">
            <v>POSTAGE</v>
          </cell>
        </row>
        <row r="5339">
          <cell r="A5339">
            <v>9110700</v>
          </cell>
          <cell r="B5339">
            <v>342887</v>
          </cell>
          <cell r="C5339" t="str">
            <v>POSTAGE</v>
          </cell>
        </row>
        <row r="5340">
          <cell r="A5340">
            <v>9110702</v>
          </cell>
          <cell r="B5340">
            <v>342887</v>
          </cell>
          <cell r="C5340" t="str">
            <v>POSTAGE</v>
          </cell>
        </row>
        <row r="5341">
          <cell r="A5341">
            <v>9110705</v>
          </cell>
          <cell r="B5341">
            <v>342887</v>
          </cell>
          <cell r="C5341" t="str">
            <v>POSTAGE</v>
          </cell>
        </row>
        <row r="5342">
          <cell r="A5342">
            <v>9110707</v>
          </cell>
          <cell r="B5342">
            <v>342887</v>
          </cell>
          <cell r="C5342" t="str">
            <v>POSTAGE</v>
          </cell>
        </row>
        <row r="5343">
          <cell r="A5343">
            <v>9110999</v>
          </cell>
          <cell r="B5343">
            <v>342887</v>
          </cell>
          <cell r="C5343" t="str">
            <v>POSTAGE</v>
          </cell>
        </row>
        <row r="5344">
          <cell r="A5344">
            <v>9680700</v>
          </cell>
          <cell r="B5344">
            <v>342887</v>
          </cell>
          <cell r="C5344" t="str">
            <v>POSTAGE</v>
          </cell>
        </row>
        <row r="5345">
          <cell r="A5345">
            <v>9680701</v>
          </cell>
          <cell r="B5345">
            <v>342887</v>
          </cell>
          <cell r="C5345" t="str">
            <v>POSTAGE</v>
          </cell>
        </row>
        <row r="5346">
          <cell r="A5346">
            <v>9680702</v>
          </cell>
          <cell r="B5346">
            <v>342887</v>
          </cell>
          <cell r="C5346" t="str">
            <v>POSTAGE</v>
          </cell>
        </row>
        <row r="5347">
          <cell r="A5347">
            <v>9680705</v>
          </cell>
          <cell r="B5347">
            <v>342887</v>
          </cell>
          <cell r="C5347" t="str">
            <v>POSTAGE</v>
          </cell>
        </row>
        <row r="5348">
          <cell r="A5348">
            <v>9680707</v>
          </cell>
          <cell r="B5348">
            <v>342887</v>
          </cell>
          <cell r="C5348" t="str">
            <v>POSTAGE</v>
          </cell>
        </row>
        <row r="5349">
          <cell r="A5349">
            <v>9680710</v>
          </cell>
          <cell r="B5349">
            <v>342887</v>
          </cell>
          <cell r="C5349" t="str">
            <v>POSTAGE</v>
          </cell>
        </row>
        <row r="5350">
          <cell r="A5350">
            <v>9680712</v>
          </cell>
          <cell r="B5350">
            <v>342887</v>
          </cell>
          <cell r="C5350" t="str">
            <v>POSTAGE</v>
          </cell>
        </row>
        <row r="5351">
          <cell r="A5351">
            <v>9680714</v>
          </cell>
          <cell r="B5351">
            <v>342887</v>
          </cell>
          <cell r="C5351" t="str">
            <v>POSTAGE</v>
          </cell>
        </row>
        <row r="5352">
          <cell r="A5352">
            <v>9680734</v>
          </cell>
          <cell r="B5352">
            <v>342887</v>
          </cell>
          <cell r="C5352" t="str">
            <v>POSTAGE</v>
          </cell>
        </row>
        <row r="5353">
          <cell r="A5353">
            <v>9680748</v>
          </cell>
          <cell r="B5353">
            <v>342887</v>
          </cell>
          <cell r="C5353" t="str">
            <v>POSTAGE</v>
          </cell>
        </row>
        <row r="5354">
          <cell r="A5354">
            <v>9680749</v>
          </cell>
          <cell r="B5354">
            <v>342887</v>
          </cell>
          <cell r="C5354" t="str">
            <v>POSTAGE</v>
          </cell>
        </row>
        <row r="5355">
          <cell r="A5355">
            <v>9680894</v>
          </cell>
          <cell r="B5355">
            <v>342887</v>
          </cell>
          <cell r="C5355" t="str">
            <v>POSTAGE</v>
          </cell>
        </row>
        <row r="5356">
          <cell r="A5356">
            <v>9680999</v>
          </cell>
          <cell r="B5356">
            <v>342887</v>
          </cell>
          <cell r="C5356" t="str">
            <v>POSTAGE</v>
          </cell>
        </row>
        <row r="5357">
          <cell r="A5357">
            <v>9681700</v>
          </cell>
          <cell r="B5357">
            <v>342887</v>
          </cell>
          <cell r="C5357" t="str">
            <v>POSTAGE</v>
          </cell>
        </row>
        <row r="5358">
          <cell r="A5358">
            <v>9681701</v>
          </cell>
          <cell r="B5358">
            <v>342887</v>
          </cell>
          <cell r="C5358" t="str">
            <v>POSTAGE</v>
          </cell>
        </row>
        <row r="5359">
          <cell r="A5359">
            <v>9681702</v>
          </cell>
          <cell r="B5359">
            <v>342887</v>
          </cell>
          <cell r="C5359" t="str">
            <v>POSTAGE</v>
          </cell>
        </row>
        <row r="5360">
          <cell r="A5360">
            <v>9681705</v>
          </cell>
          <cell r="B5360">
            <v>342887</v>
          </cell>
          <cell r="C5360" t="str">
            <v>POSTAGE</v>
          </cell>
        </row>
        <row r="5361">
          <cell r="A5361">
            <v>9681706</v>
          </cell>
          <cell r="B5361">
            <v>342887</v>
          </cell>
          <cell r="C5361" t="str">
            <v>POSTAGE</v>
          </cell>
        </row>
        <row r="5362">
          <cell r="A5362">
            <v>9681707</v>
          </cell>
          <cell r="B5362">
            <v>342887</v>
          </cell>
          <cell r="C5362" t="str">
            <v>POSTAGE</v>
          </cell>
        </row>
        <row r="5363">
          <cell r="A5363">
            <v>9681710</v>
          </cell>
          <cell r="B5363">
            <v>342887</v>
          </cell>
          <cell r="C5363" t="str">
            <v>POSTAGE</v>
          </cell>
        </row>
        <row r="5364">
          <cell r="A5364">
            <v>9681712</v>
          </cell>
          <cell r="B5364">
            <v>342887</v>
          </cell>
          <cell r="C5364" t="str">
            <v>POSTAGE</v>
          </cell>
        </row>
        <row r="5365">
          <cell r="A5365">
            <v>9681727</v>
          </cell>
          <cell r="B5365">
            <v>342887</v>
          </cell>
          <cell r="C5365" t="str">
            <v>POSTAGE</v>
          </cell>
        </row>
        <row r="5366">
          <cell r="A5366">
            <v>9681734</v>
          </cell>
          <cell r="B5366">
            <v>342887</v>
          </cell>
          <cell r="C5366" t="str">
            <v>POSTAGE</v>
          </cell>
        </row>
        <row r="5367">
          <cell r="A5367">
            <v>9681748</v>
          </cell>
          <cell r="B5367">
            <v>342887</v>
          </cell>
          <cell r="C5367" t="str">
            <v>POSTAGE</v>
          </cell>
        </row>
        <row r="5368">
          <cell r="A5368">
            <v>9681749</v>
          </cell>
          <cell r="B5368">
            <v>342887</v>
          </cell>
          <cell r="C5368" t="str">
            <v>POSTAGE</v>
          </cell>
        </row>
        <row r="5369">
          <cell r="A5369">
            <v>9681894</v>
          </cell>
          <cell r="B5369">
            <v>342887</v>
          </cell>
          <cell r="C5369" t="str">
            <v>POSTAGE</v>
          </cell>
        </row>
        <row r="5370">
          <cell r="A5370">
            <v>9681999</v>
          </cell>
          <cell r="B5370">
            <v>342887</v>
          </cell>
          <cell r="C5370" t="str">
            <v>POSTAGE</v>
          </cell>
        </row>
        <row r="5371">
          <cell r="A5371">
            <v>9682715</v>
          </cell>
          <cell r="B5371">
            <v>342887</v>
          </cell>
          <cell r="C5371" t="str">
            <v>POSTAGE</v>
          </cell>
        </row>
        <row r="5372">
          <cell r="A5372">
            <v>9682999</v>
          </cell>
          <cell r="B5372">
            <v>342887</v>
          </cell>
          <cell r="C5372" t="str">
            <v>POSTAGE</v>
          </cell>
        </row>
        <row r="5373">
          <cell r="A5373">
            <v>9683999</v>
          </cell>
          <cell r="B5373">
            <v>342887</v>
          </cell>
          <cell r="C5373" t="str">
            <v>POSTAGE</v>
          </cell>
        </row>
        <row r="5374">
          <cell r="A5374">
            <v>9684999</v>
          </cell>
          <cell r="B5374">
            <v>342887</v>
          </cell>
          <cell r="C5374" t="str">
            <v>POSTAGE</v>
          </cell>
        </row>
        <row r="5375">
          <cell r="A5375">
            <v>9689883</v>
          </cell>
          <cell r="B5375">
            <v>342887</v>
          </cell>
          <cell r="C5375" t="str">
            <v>POSTAGE</v>
          </cell>
        </row>
        <row r="5376">
          <cell r="A5376">
            <v>9689992</v>
          </cell>
          <cell r="B5376">
            <v>342887</v>
          </cell>
          <cell r="C5376" t="str">
            <v>POSTAGE</v>
          </cell>
        </row>
        <row r="5377">
          <cell r="A5377">
            <v>9689994</v>
          </cell>
          <cell r="B5377">
            <v>342887</v>
          </cell>
          <cell r="C5377" t="str">
            <v>POSTAGE</v>
          </cell>
        </row>
        <row r="5378">
          <cell r="A5378">
            <v>9080700</v>
          </cell>
          <cell r="B5378">
            <v>342890</v>
          </cell>
          <cell r="C5378" t="str">
            <v>COURIER EXPRESS CHARGES/CREDIT</v>
          </cell>
        </row>
        <row r="5379">
          <cell r="A5379">
            <v>9080701</v>
          </cell>
          <cell r="B5379">
            <v>342890</v>
          </cell>
          <cell r="C5379" t="str">
            <v>COURIER EXPRESS CHARGES/CREDIT</v>
          </cell>
        </row>
        <row r="5380">
          <cell r="A5380">
            <v>9080702</v>
          </cell>
          <cell r="B5380">
            <v>342890</v>
          </cell>
          <cell r="C5380" t="str">
            <v>COURIER EXPRESS CHARGES/CREDIT</v>
          </cell>
        </row>
        <row r="5381">
          <cell r="A5381">
            <v>9080705</v>
          </cell>
          <cell r="B5381">
            <v>342890</v>
          </cell>
          <cell r="C5381" t="str">
            <v>COURIER EXPRESS CHARGES/CREDIT</v>
          </cell>
        </row>
        <row r="5382">
          <cell r="A5382">
            <v>9080707</v>
          </cell>
          <cell r="B5382">
            <v>342890</v>
          </cell>
          <cell r="C5382" t="str">
            <v>COURIER EXPRESS CHARGES/CREDIT</v>
          </cell>
        </row>
        <row r="5383">
          <cell r="A5383">
            <v>9080710</v>
          </cell>
          <cell r="B5383">
            <v>342890</v>
          </cell>
          <cell r="C5383" t="str">
            <v>COURIER EXPRESS CHARGES/CREDIT</v>
          </cell>
        </row>
        <row r="5384">
          <cell r="A5384">
            <v>9080999</v>
          </cell>
          <cell r="B5384">
            <v>342890</v>
          </cell>
          <cell r="C5384" t="str">
            <v>COURIER EXPRESS CHARGES/CREDIT</v>
          </cell>
        </row>
        <row r="5385">
          <cell r="A5385">
            <v>9090999</v>
          </cell>
          <cell r="B5385">
            <v>342890</v>
          </cell>
          <cell r="C5385" t="str">
            <v>COURIER EXPRESS CHARGES/CREDIT</v>
          </cell>
        </row>
        <row r="5386">
          <cell r="A5386">
            <v>9100999</v>
          </cell>
          <cell r="B5386">
            <v>342890</v>
          </cell>
          <cell r="C5386" t="str">
            <v>COURIER EXPRESS CHARGES/CREDIT</v>
          </cell>
        </row>
        <row r="5387">
          <cell r="A5387">
            <v>9110700</v>
          </cell>
          <cell r="B5387">
            <v>342890</v>
          </cell>
          <cell r="C5387" t="str">
            <v>COURIER EXPRESS CHARGES/CREDIT</v>
          </cell>
        </row>
        <row r="5388">
          <cell r="A5388">
            <v>9110702</v>
          </cell>
          <cell r="B5388">
            <v>342890</v>
          </cell>
          <cell r="C5388" t="str">
            <v>COURIER EXPRESS CHARGES/CREDIT</v>
          </cell>
        </row>
        <row r="5389">
          <cell r="A5389">
            <v>9110705</v>
          </cell>
          <cell r="B5389">
            <v>342890</v>
          </cell>
          <cell r="C5389" t="str">
            <v>COURIER EXPRESS CHARGES/CREDIT</v>
          </cell>
        </row>
        <row r="5390">
          <cell r="A5390">
            <v>9110707</v>
          </cell>
          <cell r="B5390">
            <v>342890</v>
          </cell>
          <cell r="C5390" t="str">
            <v>COURIER EXPRESS CHARGES/CREDIT</v>
          </cell>
        </row>
        <row r="5391">
          <cell r="A5391">
            <v>9110999</v>
          </cell>
          <cell r="B5391">
            <v>342890</v>
          </cell>
          <cell r="C5391" t="str">
            <v>COURIER EXPRESS CHARGES/CREDIT</v>
          </cell>
        </row>
        <row r="5392">
          <cell r="A5392">
            <v>9680700</v>
          </cell>
          <cell r="B5392">
            <v>342890</v>
          </cell>
          <cell r="C5392" t="str">
            <v>COURIER EXPRESS CHARGES/CREDIT</v>
          </cell>
        </row>
        <row r="5393">
          <cell r="A5393">
            <v>9680701</v>
          </cell>
          <cell r="B5393">
            <v>342890</v>
          </cell>
          <cell r="C5393" t="str">
            <v>COURIER EXPRESS CHARGES/CREDIT</v>
          </cell>
        </row>
        <row r="5394">
          <cell r="A5394">
            <v>9680702</v>
          </cell>
          <cell r="B5394">
            <v>342890</v>
          </cell>
          <cell r="C5394" t="str">
            <v>COURIER EXPRESS CHARGES/CREDIT</v>
          </cell>
        </row>
        <row r="5395">
          <cell r="A5395">
            <v>9680705</v>
          </cell>
          <cell r="B5395">
            <v>342890</v>
          </cell>
          <cell r="C5395" t="str">
            <v>COURIER EXPRESS CHARGES/CREDIT</v>
          </cell>
        </row>
        <row r="5396">
          <cell r="A5396">
            <v>9680707</v>
          </cell>
          <cell r="B5396">
            <v>342890</v>
          </cell>
          <cell r="C5396" t="str">
            <v>COURIER EXPRESS CHARGES/CREDIT</v>
          </cell>
        </row>
        <row r="5397">
          <cell r="A5397">
            <v>9680710</v>
          </cell>
          <cell r="B5397">
            <v>342890</v>
          </cell>
          <cell r="C5397" t="str">
            <v>COURIER EXPRESS CHARGES/CREDIT</v>
          </cell>
        </row>
        <row r="5398">
          <cell r="A5398">
            <v>9680712</v>
          </cell>
          <cell r="B5398">
            <v>342890</v>
          </cell>
          <cell r="C5398" t="str">
            <v>COURIER EXPRESS CHARGES/CREDIT</v>
          </cell>
        </row>
        <row r="5399">
          <cell r="A5399">
            <v>9680714</v>
          </cell>
          <cell r="B5399">
            <v>342890</v>
          </cell>
          <cell r="C5399" t="str">
            <v>COURIER EXPRESS CHARGES/CREDIT</v>
          </cell>
        </row>
        <row r="5400">
          <cell r="A5400">
            <v>9680734</v>
          </cell>
          <cell r="B5400">
            <v>342890</v>
          </cell>
          <cell r="C5400" t="str">
            <v>COURIER EXPRESS CHARGES/CREDIT</v>
          </cell>
        </row>
        <row r="5401">
          <cell r="A5401">
            <v>9680748</v>
          </cell>
          <cell r="B5401">
            <v>342890</v>
          </cell>
          <cell r="C5401" t="str">
            <v>COURIER EXPRESS CHARGES/CREDIT</v>
          </cell>
        </row>
        <row r="5402">
          <cell r="A5402">
            <v>9680749</v>
          </cell>
          <cell r="B5402">
            <v>342890</v>
          </cell>
          <cell r="C5402" t="str">
            <v>COURIER EXPRESS CHARGES/CREDIT</v>
          </cell>
        </row>
        <row r="5403">
          <cell r="A5403">
            <v>9680894</v>
          </cell>
          <cell r="B5403">
            <v>342890</v>
          </cell>
          <cell r="C5403" t="str">
            <v>COURIER EXPRESS CHARGES/CREDIT</v>
          </cell>
        </row>
        <row r="5404">
          <cell r="A5404">
            <v>9680999</v>
          </cell>
          <cell r="B5404">
            <v>342890</v>
          </cell>
          <cell r="C5404" t="str">
            <v>COURIER EXPRESS CHARGES/CREDIT</v>
          </cell>
        </row>
        <row r="5405">
          <cell r="A5405">
            <v>9681700</v>
          </cell>
          <cell r="B5405">
            <v>342890</v>
          </cell>
          <cell r="C5405" t="str">
            <v>COURIER EXPRESS CHARGES/CREDIT</v>
          </cell>
        </row>
        <row r="5406">
          <cell r="A5406">
            <v>9681701</v>
          </cell>
          <cell r="B5406">
            <v>342890</v>
          </cell>
          <cell r="C5406" t="str">
            <v>COURIER EXPRESS CHARGES/CREDIT</v>
          </cell>
        </row>
        <row r="5407">
          <cell r="A5407">
            <v>9681702</v>
          </cell>
          <cell r="B5407">
            <v>342890</v>
          </cell>
          <cell r="C5407" t="str">
            <v>COURIER EXPRESS CHARGES/CREDIT</v>
          </cell>
        </row>
        <row r="5408">
          <cell r="A5408">
            <v>9681705</v>
          </cell>
          <cell r="B5408">
            <v>342890</v>
          </cell>
          <cell r="C5408" t="str">
            <v>COURIER EXPRESS CHARGES/CREDIT</v>
          </cell>
        </row>
        <row r="5409">
          <cell r="A5409">
            <v>9681706</v>
          </cell>
          <cell r="B5409">
            <v>342890</v>
          </cell>
          <cell r="C5409" t="str">
            <v>COURIER EXPRESS CHARGES/CREDIT</v>
          </cell>
        </row>
        <row r="5410">
          <cell r="A5410">
            <v>9681707</v>
          </cell>
          <cell r="B5410">
            <v>342890</v>
          </cell>
          <cell r="C5410" t="str">
            <v>COURIER EXPRESS CHARGES/CREDIT</v>
          </cell>
        </row>
        <row r="5411">
          <cell r="A5411">
            <v>9681710</v>
          </cell>
          <cell r="B5411">
            <v>342890</v>
          </cell>
          <cell r="C5411" t="str">
            <v>COURIER EXPRESS CHARGES/CREDIT</v>
          </cell>
        </row>
        <row r="5412">
          <cell r="A5412">
            <v>9681712</v>
          </cell>
          <cell r="B5412">
            <v>342890</v>
          </cell>
          <cell r="C5412" t="str">
            <v>COURIER EXPRESS CHARGES/CREDIT</v>
          </cell>
        </row>
        <row r="5413">
          <cell r="A5413">
            <v>9681714</v>
          </cell>
          <cell r="B5413">
            <v>342890</v>
          </cell>
          <cell r="C5413" t="str">
            <v>COURIER EXPRESS CHARGES/CREDIT</v>
          </cell>
        </row>
        <row r="5414">
          <cell r="A5414">
            <v>9681727</v>
          </cell>
          <cell r="B5414">
            <v>342890</v>
          </cell>
          <cell r="C5414" t="str">
            <v>COURIER EXPRESS CHARGES/CREDIT</v>
          </cell>
        </row>
        <row r="5415">
          <cell r="A5415">
            <v>9681734</v>
          </cell>
          <cell r="B5415">
            <v>342890</v>
          </cell>
          <cell r="C5415" t="str">
            <v>COURIER EXPRESS CHARGES/CREDIT</v>
          </cell>
        </row>
        <row r="5416">
          <cell r="A5416">
            <v>9681748</v>
          </cell>
          <cell r="B5416">
            <v>342890</v>
          </cell>
          <cell r="C5416" t="str">
            <v>COURIER EXPRESS CHARGES/CREDIT</v>
          </cell>
        </row>
        <row r="5417">
          <cell r="A5417">
            <v>9681749</v>
          </cell>
          <cell r="B5417">
            <v>342890</v>
          </cell>
          <cell r="C5417" t="str">
            <v>COURIER EXPRESS CHARGES/CREDIT</v>
          </cell>
        </row>
        <row r="5418">
          <cell r="A5418">
            <v>9681894</v>
          </cell>
          <cell r="B5418">
            <v>342890</v>
          </cell>
          <cell r="C5418" t="str">
            <v>COURIER EXPRESS CHARGES/CREDIT</v>
          </cell>
        </row>
        <row r="5419">
          <cell r="A5419">
            <v>9681999</v>
          </cell>
          <cell r="B5419">
            <v>342890</v>
          </cell>
          <cell r="C5419" t="str">
            <v>COURIER EXPRESS CHARGES/CREDIT</v>
          </cell>
        </row>
        <row r="5420">
          <cell r="A5420">
            <v>9682715</v>
          </cell>
          <cell r="B5420">
            <v>342890</v>
          </cell>
          <cell r="C5420" t="str">
            <v>COURIER EXPRESS CHARGES/CREDIT</v>
          </cell>
        </row>
        <row r="5421">
          <cell r="A5421">
            <v>9682722</v>
          </cell>
          <cell r="B5421">
            <v>342890</v>
          </cell>
          <cell r="C5421" t="str">
            <v>COURIER EXPRESS CHARGES/CREDIT</v>
          </cell>
        </row>
        <row r="5422">
          <cell r="A5422">
            <v>9682999</v>
          </cell>
          <cell r="B5422">
            <v>342890</v>
          </cell>
          <cell r="C5422" t="str">
            <v>COURIER EXPRESS CHARGES/CREDIT</v>
          </cell>
        </row>
        <row r="5423">
          <cell r="A5423">
            <v>9683999</v>
          </cell>
          <cell r="B5423">
            <v>342890</v>
          </cell>
          <cell r="C5423" t="str">
            <v>COURIER EXPRESS CHARGES/CREDIT</v>
          </cell>
        </row>
        <row r="5424">
          <cell r="A5424">
            <v>9684999</v>
          </cell>
          <cell r="B5424">
            <v>342890</v>
          </cell>
          <cell r="C5424" t="str">
            <v>COURIER EXPRESS CHARGES/CREDIT</v>
          </cell>
        </row>
        <row r="5425">
          <cell r="A5425">
            <v>9685999</v>
          </cell>
          <cell r="B5425">
            <v>342890</v>
          </cell>
          <cell r="C5425" t="str">
            <v>COURIER EXPRESS CHARGES/CREDIT</v>
          </cell>
        </row>
        <row r="5426">
          <cell r="A5426">
            <v>9689692</v>
          </cell>
          <cell r="B5426">
            <v>342890</v>
          </cell>
          <cell r="C5426" t="str">
            <v>COURIER EXPRESS CHARGES/CREDIT</v>
          </cell>
        </row>
        <row r="5427">
          <cell r="A5427">
            <v>9689747</v>
          </cell>
          <cell r="B5427">
            <v>342890</v>
          </cell>
          <cell r="C5427" t="str">
            <v>COURIER EXPRESS CHARGES/CREDIT</v>
          </cell>
        </row>
        <row r="5428">
          <cell r="A5428">
            <v>9689883</v>
          </cell>
          <cell r="B5428">
            <v>342890</v>
          </cell>
          <cell r="C5428" t="str">
            <v>COURIER EXPRESS CHARGES/CREDIT</v>
          </cell>
        </row>
        <row r="5429">
          <cell r="A5429">
            <v>9689890</v>
          </cell>
          <cell r="B5429">
            <v>342890</v>
          </cell>
          <cell r="C5429" t="str">
            <v>COURIER EXPRESS CHARGES/CREDIT</v>
          </cell>
        </row>
        <row r="5430">
          <cell r="A5430">
            <v>9689906</v>
          </cell>
          <cell r="B5430">
            <v>342890</v>
          </cell>
          <cell r="C5430" t="str">
            <v>COURIER EXPRESS CHARGES/CREDIT</v>
          </cell>
        </row>
        <row r="5431">
          <cell r="A5431">
            <v>9689925</v>
          </cell>
          <cell r="B5431">
            <v>342890</v>
          </cell>
          <cell r="C5431" t="str">
            <v>COURIER EXPRESS CHARGES/CREDIT</v>
          </cell>
        </row>
        <row r="5432">
          <cell r="A5432">
            <v>9689990</v>
          </cell>
          <cell r="B5432">
            <v>342890</v>
          </cell>
          <cell r="C5432" t="str">
            <v>COURIER EXPRESS CHARGES/CREDIT</v>
          </cell>
        </row>
        <row r="5433">
          <cell r="A5433">
            <v>9689991</v>
          </cell>
          <cell r="B5433">
            <v>342890</v>
          </cell>
          <cell r="C5433" t="str">
            <v>COURIER EXPRESS CHARGES/CREDIT</v>
          </cell>
        </row>
        <row r="5434">
          <cell r="A5434">
            <v>9689992</v>
          </cell>
          <cell r="B5434">
            <v>342890</v>
          </cell>
          <cell r="C5434" t="str">
            <v>COURIER EXPRESS CHARGES/CREDIT</v>
          </cell>
        </row>
        <row r="5435">
          <cell r="A5435">
            <v>9689993</v>
          </cell>
          <cell r="B5435">
            <v>342890</v>
          </cell>
          <cell r="C5435" t="str">
            <v>COURIER EXPRESS CHARGES/CREDIT</v>
          </cell>
        </row>
        <row r="5436">
          <cell r="A5436">
            <v>9689994</v>
          </cell>
          <cell r="B5436">
            <v>342890</v>
          </cell>
          <cell r="C5436" t="str">
            <v>COURIER EXPRESS CHARGES/CREDIT</v>
          </cell>
        </row>
        <row r="5437">
          <cell r="A5437">
            <v>9722709</v>
          </cell>
          <cell r="B5437">
            <v>342890</v>
          </cell>
          <cell r="C5437" t="str">
            <v>COURIER EXPRESS CHARGES/CREDIT</v>
          </cell>
        </row>
        <row r="5438">
          <cell r="A5438">
            <v>9722713</v>
          </cell>
          <cell r="B5438">
            <v>342890</v>
          </cell>
          <cell r="C5438" t="str">
            <v>COURIER EXPRESS CHARGES/CREDIT</v>
          </cell>
        </row>
        <row r="5439">
          <cell r="A5439">
            <v>9723729</v>
          </cell>
          <cell r="B5439">
            <v>342890</v>
          </cell>
          <cell r="C5439" t="str">
            <v>COURIER EXPRESS CHARGES/CREDIT</v>
          </cell>
        </row>
        <row r="5440">
          <cell r="A5440">
            <v>9724718</v>
          </cell>
          <cell r="B5440">
            <v>342890</v>
          </cell>
          <cell r="C5440" t="str">
            <v>COURIER EXPRESS CHARGES/CREDIT</v>
          </cell>
        </row>
        <row r="5441">
          <cell r="A5441">
            <v>9967681</v>
          </cell>
          <cell r="B5441">
            <v>342890</v>
          </cell>
          <cell r="C5441" t="str">
            <v>COURIER EXPRESS CHARGES/CREDIT</v>
          </cell>
        </row>
        <row r="5442">
          <cell r="A5442">
            <v>9080700</v>
          </cell>
          <cell r="B5442">
            <v>342990</v>
          </cell>
          <cell r="C5442" t="str">
            <v>OTHER INDIRECT EXPENSE</v>
          </cell>
        </row>
        <row r="5443">
          <cell r="A5443">
            <v>9080701</v>
          </cell>
          <cell r="B5443">
            <v>342990</v>
          </cell>
          <cell r="C5443" t="str">
            <v>OTHER INDIRECT EXPENSE</v>
          </cell>
        </row>
        <row r="5444">
          <cell r="A5444">
            <v>9080702</v>
          </cell>
          <cell r="B5444">
            <v>342990</v>
          </cell>
          <cell r="C5444" t="str">
            <v>OTHER INDIRECT EXPENSE</v>
          </cell>
        </row>
        <row r="5445">
          <cell r="A5445">
            <v>9080705</v>
          </cell>
          <cell r="B5445">
            <v>342990</v>
          </cell>
          <cell r="C5445" t="str">
            <v>OTHER INDIRECT EXPENSE</v>
          </cell>
        </row>
        <row r="5446">
          <cell r="A5446">
            <v>9080707</v>
          </cell>
          <cell r="B5446">
            <v>342990</v>
          </cell>
          <cell r="C5446" t="str">
            <v>OTHER INDIRECT EXPENSE</v>
          </cell>
        </row>
        <row r="5447">
          <cell r="A5447">
            <v>9080710</v>
          </cell>
          <cell r="B5447">
            <v>342990</v>
          </cell>
          <cell r="C5447" t="str">
            <v>OTHER INDIRECT EXPENSE</v>
          </cell>
        </row>
        <row r="5448">
          <cell r="A5448">
            <v>9090710</v>
          </cell>
          <cell r="B5448">
            <v>342990</v>
          </cell>
          <cell r="C5448" t="str">
            <v>OTHER INDIRECT EXPENSE</v>
          </cell>
        </row>
        <row r="5449">
          <cell r="A5449">
            <v>9090999</v>
          </cell>
          <cell r="B5449">
            <v>342990</v>
          </cell>
          <cell r="C5449" t="str">
            <v>OTHER INDIRECT EXPENSE</v>
          </cell>
        </row>
        <row r="5450">
          <cell r="A5450">
            <v>9100710</v>
          </cell>
          <cell r="B5450">
            <v>342990</v>
          </cell>
          <cell r="C5450" t="str">
            <v>OTHER INDIRECT EXPENSE</v>
          </cell>
        </row>
        <row r="5451">
          <cell r="A5451">
            <v>9100999</v>
          </cell>
          <cell r="B5451">
            <v>342990</v>
          </cell>
          <cell r="C5451" t="str">
            <v>OTHER INDIRECT EXPENSE</v>
          </cell>
        </row>
        <row r="5452">
          <cell r="A5452">
            <v>9110700</v>
          </cell>
          <cell r="B5452">
            <v>342990</v>
          </cell>
          <cell r="C5452" t="str">
            <v>OTHER INDIRECT EXPENSE</v>
          </cell>
        </row>
        <row r="5453">
          <cell r="A5453">
            <v>9110702</v>
          </cell>
          <cell r="B5453">
            <v>342990</v>
          </cell>
          <cell r="C5453" t="str">
            <v>OTHER INDIRECT EXPENSE</v>
          </cell>
        </row>
        <row r="5454">
          <cell r="A5454">
            <v>9110705</v>
          </cell>
          <cell r="B5454">
            <v>342990</v>
          </cell>
          <cell r="C5454" t="str">
            <v>OTHER INDIRECT EXPENSE</v>
          </cell>
        </row>
        <row r="5455">
          <cell r="A5455">
            <v>9110707</v>
          </cell>
          <cell r="B5455">
            <v>342990</v>
          </cell>
          <cell r="C5455" t="str">
            <v>OTHER INDIRECT EXPENSE</v>
          </cell>
        </row>
        <row r="5456">
          <cell r="A5456">
            <v>9680700</v>
          </cell>
          <cell r="B5456">
            <v>342990</v>
          </cell>
          <cell r="C5456" t="str">
            <v>OTHER INDIRECT EXPENSE</v>
          </cell>
        </row>
        <row r="5457">
          <cell r="A5457">
            <v>9680701</v>
          </cell>
          <cell r="B5457">
            <v>342990</v>
          </cell>
          <cell r="C5457" t="str">
            <v>OTHER INDIRECT EXPENSE</v>
          </cell>
        </row>
        <row r="5458">
          <cell r="A5458">
            <v>9680702</v>
          </cell>
          <cell r="B5458">
            <v>342990</v>
          </cell>
          <cell r="C5458" t="str">
            <v>OTHER INDIRECT EXPENSE</v>
          </cell>
        </row>
        <row r="5459">
          <cell r="A5459">
            <v>9680705</v>
          </cell>
          <cell r="B5459">
            <v>342990</v>
          </cell>
          <cell r="C5459" t="str">
            <v>OTHER INDIRECT EXPENSE</v>
          </cell>
        </row>
        <row r="5460">
          <cell r="A5460">
            <v>9680707</v>
          </cell>
          <cell r="B5460">
            <v>342990</v>
          </cell>
          <cell r="C5460" t="str">
            <v>OTHER INDIRECT EXPENSE</v>
          </cell>
        </row>
        <row r="5461">
          <cell r="A5461">
            <v>9680710</v>
          </cell>
          <cell r="B5461">
            <v>342990</v>
          </cell>
          <cell r="C5461" t="str">
            <v>OTHER INDIRECT EXPENSE</v>
          </cell>
        </row>
        <row r="5462">
          <cell r="A5462">
            <v>9680712</v>
          </cell>
          <cell r="B5462">
            <v>342990</v>
          </cell>
          <cell r="C5462" t="str">
            <v>OTHER INDIRECT EXPENSE</v>
          </cell>
        </row>
        <row r="5463">
          <cell r="A5463">
            <v>9680714</v>
          </cell>
          <cell r="B5463">
            <v>342990</v>
          </cell>
          <cell r="C5463" t="str">
            <v>OTHER INDIRECT EXPENSE</v>
          </cell>
        </row>
        <row r="5464">
          <cell r="A5464">
            <v>9680734</v>
          </cell>
          <cell r="B5464">
            <v>342990</v>
          </cell>
          <cell r="C5464" t="str">
            <v>OTHER INDIRECT EXPENSE</v>
          </cell>
        </row>
        <row r="5465">
          <cell r="A5465">
            <v>9680748</v>
          </cell>
          <cell r="B5465">
            <v>342990</v>
          </cell>
          <cell r="C5465" t="str">
            <v>OTHER INDIRECT EXPENSE</v>
          </cell>
        </row>
        <row r="5466">
          <cell r="A5466">
            <v>9680749</v>
          </cell>
          <cell r="B5466">
            <v>342990</v>
          </cell>
          <cell r="C5466" t="str">
            <v>OTHER INDIRECT EXPENSE</v>
          </cell>
        </row>
        <row r="5467">
          <cell r="A5467">
            <v>9680894</v>
          </cell>
          <cell r="B5467">
            <v>342990</v>
          </cell>
          <cell r="C5467" t="str">
            <v>OTHER INDIRECT EXPENSE</v>
          </cell>
        </row>
        <row r="5468">
          <cell r="A5468">
            <v>9680999</v>
          </cell>
          <cell r="B5468">
            <v>342990</v>
          </cell>
          <cell r="C5468" t="str">
            <v>OTHER INDIRECT EXPENSE</v>
          </cell>
        </row>
        <row r="5469">
          <cell r="A5469">
            <v>9681700</v>
          </cell>
          <cell r="B5469">
            <v>342990</v>
          </cell>
          <cell r="C5469" t="str">
            <v>OTHER INDIRECT EXPENSE</v>
          </cell>
        </row>
        <row r="5470">
          <cell r="A5470">
            <v>9681701</v>
          </cell>
          <cell r="B5470">
            <v>342990</v>
          </cell>
          <cell r="C5470" t="str">
            <v>OTHER INDIRECT EXPENSE</v>
          </cell>
        </row>
        <row r="5471">
          <cell r="A5471">
            <v>9681702</v>
          </cell>
          <cell r="B5471">
            <v>342990</v>
          </cell>
          <cell r="C5471" t="str">
            <v>OTHER INDIRECT EXPENSE</v>
          </cell>
        </row>
        <row r="5472">
          <cell r="A5472">
            <v>9681705</v>
          </cell>
          <cell r="B5472">
            <v>342990</v>
          </cell>
          <cell r="C5472" t="str">
            <v>OTHER INDIRECT EXPENSE</v>
          </cell>
        </row>
        <row r="5473">
          <cell r="A5473">
            <v>9681706</v>
          </cell>
          <cell r="B5473">
            <v>342990</v>
          </cell>
          <cell r="C5473" t="str">
            <v>OTHER INDIRECT EXPENSE</v>
          </cell>
        </row>
        <row r="5474">
          <cell r="A5474">
            <v>9681707</v>
          </cell>
          <cell r="B5474">
            <v>342990</v>
          </cell>
          <cell r="C5474" t="str">
            <v>OTHER INDIRECT EXPENSE</v>
          </cell>
        </row>
        <row r="5475">
          <cell r="A5475">
            <v>9681710</v>
          </cell>
          <cell r="B5475">
            <v>342990</v>
          </cell>
          <cell r="C5475" t="str">
            <v>OTHER INDIRECT EXPENSE</v>
          </cell>
        </row>
        <row r="5476">
          <cell r="A5476">
            <v>9681712</v>
          </cell>
          <cell r="B5476">
            <v>342990</v>
          </cell>
          <cell r="C5476" t="str">
            <v>OTHER INDIRECT EXPENSE</v>
          </cell>
        </row>
        <row r="5477">
          <cell r="A5477">
            <v>9681727</v>
          </cell>
          <cell r="B5477">
            <v>342990</v>
          </cell>
          <cell r="C5477" t="str">
            <v>OTHER INDIRECT EXPENSE</v>
          </cell>
        </row>
        <row r="5478">
          <cell r="A5478">
            <v>9681734</v>
          </cell>
          <cell r="B5478">
            <v>342990</v>
          </cell>
          <cell r="C5478" t="str">
            <v>OTHER INDIRECT EXPENSE</v>
          </cell>
        </row>
        <row r="5479">
          <cell r="A5479">
            <v>9681748</v>
          </cell>
          <cell r="B5479">
            <v>342990</v>
          </cell>
          <cell r="C5479" t="str">
            <v>OTHER INDIRECT EXPENSE</v>
          </cell>
        </row>
        <row r="5480">
          <cell r="A5480">
            <v>9681749</v>
          </cell>
          <cell r="B5480">
            <v>342990</v>
          </cell>
          <cell r="C5480" t="str">
            <v>OTHER INDIRECT EXPENSE</v>
          </cell>
        </row>
        <row r="5481">
          <cell r="A5481">
            <v>9681894</v>
          </cell>
          <cell r="B5481">
            <v>342990</v>
          </cell>
          <cell r="C5481" t="str">
            <v>OTHER INDIRECT EXPENSE</v>
          </cell>
        </row>
        <row r="5482">
          <cell r="A5482">
            <v>9681999</v>
          </cell>
          <cell r="B5482">
            <v>342990</v>
          </cell>
          <cell r="C5482" t="str">
            <v>OTHER INDIRECT EXPENSE</v>
          </cell>
        </row>
        <row r="5483">
          <cell r="A5483">
            <v>9682715</v>
          </cell>
          <cell r="B5483">
            <v>342990</v>
          </cell>
          <cell r="C5483" t="str">
            <v>OTHER INDIRECT EXPENSE</v>
          </cell>
        </row>
        <row r="5484">
          <cell r="A5484">
            <v>9682722</v>
          </cell>
          <cell r="B5484">
            <v>342990</v>
          </cell>
          <cell r="C5484" t="str">
            <v>OTHER INDIRECT EXPENSE</v>
          </cell>
        </row>
        <row r="5485">
          <cell r="A5485">
            <v>9682999</v>
          </cell>
          <cell r="B5485">
            <v>342990</v>
          </cell>
          <cell r="C5485" t="str">
            <v>OTHER INDIRECT EXPENSE</v>
          </cell>
        </row>
        <row r="5486">
          <cell r="A5486">
            <v>9683999</v>
          </cell>
          <cell r="B5486">
            <v>342990</v>
          </cell>
          <cell r="C5486" t="str">
            <v>OTHER INDIRECT EXPENSE</v>
          </cell>
        </row>
        <row r="5487">
          <cell r="A5487">
            <v>9684999</v>
          </cell>
          <cell r="B5487">
            <v>342990</v>
          </cell>
          <cell r="C5487" t="str">
            <v>OTHER INDIRECT EXPENSE</v>
          </cell>
        </row>
        <row r="5488">
          <cell r="A5488">
            <v>9689692</v>
          </cell>
          <cell r="B5488">
            <v>342990</v>
          </cell>
          <cell r="C5488" t="str">
            <v>OTHER INDIRECT EXPENSE</v>
          </cell>
        </row>
        <row r="5489">
          <cell r="A5489">
            <v>9689747</v>
          </cell>
          <cell r="B5489">
            <v>342990</v>
          </cell>
          <cell r="C5489" t="str">
            <v>OTHER INDIRECT EXPENSE</v>
          </cell>
        </row>
        <row r="5490">
          <cell r="A5490">
            <v>9689883</v>
          </cell>
          <cell r="B5490">
            <v>342990</v>
          </cell>
          <cell r="C5490" t="str">
            <v>OTHER INDIRECT EXPENSE</v>
          </cell>
        </row>
        <row r="5491">
          <cell r="A5491">
            <v>9689890</v>
          </cell>
          <cell r="B5491">
            <v>342990</v>
          </cell>
          <cell r="C5491" t="str">
            <v>OTHER INDIRECT EXPENSE</v>
          </cell>
        </row>
        <row r="5492">
          <cell r="A5492">
            <v>9689906</v>
          </cell>
          <cell r="B5492">
            <v>342990</v>
          </cell>
          <cell r="C5492" t="str">
            <v>OTHER INDIRECT EXPENSE</v>
          </cell>
        </row>
        <row r="5493">
          <cell r="A5493">
            <v>9689925</v>
          </cell>
          <cell r="B5493">
            <v>342990</v>
          </cell>
          <cell r="C5493" t="str">
            <v>OTHER INDIRECT EXPENSE</v>
          </cell>
        </row>
        <row r="5494">
          <cell r="A5494">
            <v>9689990</v>
          </cell>
          <cell r="B5494">
            <v>342990</v>
          </cell>
          <cell r="C5494" t="str">
            <v>OTHER INDIRECT EXPENSE</v>
          </cell>
        </row>
        <row r="5495">
          <cell r="A5495">
            <v>9689992</v>
          </cell>
          <cell r="B5495">
            <v>342990</v>
          </cell>
          <cell r="C5495" t="str">
            <v>OTHER INDIRECT EXPENSE</v>
          </cell>
        </row>
        <row r="5496">
          <cell r="A5496">
            <v>9720703</v>
          </cell>
          <cell r="B5496">
            <v>342990</v>
          </cell>
          <cell r="C5496" t="str">
            <v>OTHER INDIRECT EXPENSE</v>
          </cell>
        </row>
        <row r="5497">
          <cell r="A5497">
            <v>9722709</v>
          </cell>
          <cell r="B5497">
            <v>342990</v>
          </cell>
          <cell r="C5497" t="str">
            <v>OTHER INDIRECT EXPENSE</v>
          </cell>
        </row>
        <row r="5498">
          <cell r="A5498">
            <v>9722713</v>
          </cell>
          <cell r="B5498">
            <v>342990</v>
          </cell>
          <cell r="C5498" t="str">
            <v>OTHER INDIRECT EXPENSE</v>
          </cell>
        </row>
        <row r="5499">
          <cell r="A5499">
            <v>9723723</v>
          </cell>
          <cell r="B5499">
            <v>342990</v>
          </cell>
          <cell r="C5499" t="str">
            <v>OTHER INDIRECT EXPENSE</v>
          </cell>
        </row>
        <row r="5500">
          <cell r="A5500">
            <v>9723729</v>
          </cell>
          <cell r="B5500">
            <v>342990</v>
          </cell>
          <cell r="C5500" t="str">
            <v>OTHER INDIRECT EXPENSE</v>
          </cell>
        </row>
        <row r="5501">
          <cell r="A5501">
            <v>9724718</v>
          </cell>
          <cell r="B5501">
            <v>342990</v>
          </cell>
          <cell r="C5501" t="str">
            <v>OTHER INDIRECT EXPENSE</v>
          </cell>
        </row>
        <row r="5502">
          <cell r="A5502">
            <v>9724721</v>
          </cell>
          <cell r="B5502">
            <v>342990</v>
          </cell>
          <cell r="C5502" t="str">
            <v>OTHER INDIRECT EXPENSE</v>
          </cell>
        </row>
        <row r="5503">
          <cell r="A5503">
            <v>9724724</v>
          </cell>
          <cell r="B5503">
            <v>342990</v>
          </cell>
          <cell r="C5503" t="str">
            <v>OTHER INDIRECT EXPENSE</v>
          </cell>
        </row>
        <row r="5504">
          <cell r="A5504">
            <v>9725703</v>
          </cell>
          <cell r="B5504">
            <v>342990</v>
          </cell>
          <cell r="C5504" t="str">
            <v>OTHER INDIRECT EXPENSE</v>
          </cell>
        </row>
        <row r="5505">
          <cell r="A5505">
            <v>9725704</v>
          </cell>
          <cell r="B5505">
            <v>342990</v>
          </cell>
          <cell r="C5505" t="str">
            <v>OTHER INDIRECT EXPENSE</v>
          </cell>
        </row>
        <row r="5506">
          <cell r="A5506">
            <v>9725711</v>
          </cell>
          <cell r="B5506">
            <v>342990</v>
          </cell>
          <cell r="C5506" t="str">
            <v>OTHER INDIRECT EXPENSE</v>
          </cell>
        </row>
        <row r="5507">
          <cell r="A5507">
            <v>9725717</v>
          </cell>
          <cell r="B5507">
            <v>342990</v>
          </cell>
          <cell r="C5507" t="str">
            <v>OTHER INDIRECT EXPENSE</v>
          </cell>
        </row>
        <row r="5508">
          <cell r="A5508">
            <v>9725725</v>
          </cell>
          <cell r="B5508">
            <v>342990</v>
          </cell>
          <cell r="C5508" t="str">
            <v>OTHER INDIRECT EXPENSE</v>
          </cell>
        </row>
        <row r="5509">
          <cell r="A5509">
            <v>9680999</v>
          </cell>
          <cell r="B5509">
            <v>351203</v>
          </cell>
          <cell r="C5509" t="str">
            <v>REAL PROPERTY TAX</v>
          </cell>
        </row>
        <row r="5510">
          <cell r="A5510">
            <v>9681999</v>
          </cell>
          <cell r="B5510">
            <v>351204</v>
          </cell>
          <cell r="C5510" t="str">
            <v>PERSONAL PROPERTY TAX</v>
          </cell>
        </row>
        <row r="5511">
          <cell r="A5511">
            <v>9689883</v>
          </cell>
          <cell r="B5511">
            <v>351204</v>
          </cell>
          <cell r="C5511" t="str">
            <v>PERSONAL PROPERTY TAX</v>
          </cell>
        </row>
        <row r="5512">
          <cell r="A5512">
            <v>9689992</v>
          </cell>
          <cell r="B5512">
            <v>351204</v>
          </cell>
          <cell r="C5512" t="str">
            <v>PERSONAL PROPERTY TAX</v>
          </cell>
        </row>
        <row r="5513">
          <cell r="A5513">
            <v>9689993</v>
          </cell>
          <cell r="B5513">
            <v>351204</v>
          </cell>
          <cell r="C5513" t="str">
            <v>PERSONAL PROPERTY TAX</v>
          </cell>
        </row>
        <row r="5514">
          <cell r="A5514">
            <v>8001054179</v>
          </cell>
          <cell r="B5514">
            <v>351493</v>
          </cell>
          <cell r="C5514" t="str">
            <v>ONTARIO CAPITAL TAX EXPENSE</v>
          </cell>
        </row>
        <row r="5515">
          <cell r="A5515">
            <v>8001059542</v>
          </cell>
          <cell r="B5515">
            <v>351493</v>
          </cell>
          <cell r="C5515" t="str">
            <v>ONTARIO CAPITAL TAX EXPENSE</v>
          </cell>
        </row>
        <row r="5516">
          <cell r="A5516">
            <v>8010512510</v>
          </cell>
          <cell r="B5516">
            <v>351493</v>
          </cell>
          <cell r="C5516" t="str">
            <v>ONTARIO CAPITAL TAX EXPENSE</v>
          </cell>
        </row>
        <row r="5517">
          <cell r="A5517">
            <v>9969681</v>
          </cell>
          <cell r="B5517">
            <v>351493</v>
          </cell>
          <cell r="C5517" t="str">
            <v>ONTARIO CAPITAL TAX EXPENSE</v>
          </cell>
        </row>
        <row r="5518">
          <cell r="A5518">
            <v>9969901</v>
          </cell>
          <cell r="B5518">
            <v>351493</v>
          </cell>
          <cell r="C5518" t="str">
            <v>ONTARIO CAPITAL TAX EXPENSE</v>
          </cell>
        </row>
        <row r="5519">
          <cell r="A5519" t="str">
            <v>ZONE-0105-POST</v>
          </cell>
          <cell r="B5519">
            <v>351493</v>
          </cell>
          <cell r="C5519" t="str">
            <v>ONTARIO CAPITAL TAX EXPENSE</v>
          </cell>
        </row>
        <row r="5520">
          <cell r="A5520" t="str">
            <v>ZONE-0112-POST</v>
          </cell>
          <cell r="B5520">
            <v>351493</v>
          </cell>
          <cell r="C5520" t="str">
            <v>ONTARIO CAPITAL TAX EXPENSE</v>
          </cell>
        </row>
        <row r="5521">
          <cell r="A5521">
            <v>9689890</v>
          </cell>
          <cell r="B5521">
            <v>351900</v>
          </cell>
          <cell r="C5521" t="str">
            <v>LICENSES</v>
          </cell>
        </row>
        <row r="5522">
          <cell r="A5522">
            <v>8001054179</v>
          </cell>
          <cell r="B5522">
            <v>351990</v>
          </cell>
          <cell r="C5522" t="str">
            <v>OTHER TAXES AND LICENSES</v>
          </cell>
        </row>
        <row r="5523">
          <cell r="A5523">
            <v>8001059542</v>
          </cell>
          <cell r="B5523">
            <v>351990</v>
          </cell>
          <cell r="C5523" t="str">
            <v>OTHER TAXES AND LICENSES</v>
          </cell>
        </row>
        <row r="5524">
          <cell r="A5524">
            <v>8010512510</v>
          </cell>
          <cell r="B5524">
            <v>351990</v>
          </cell>
          <cell r="C5524" t="str">
            <v>OTHER TAXES AND LICENSES</v>
          </cell>
        </row>
        <row r="5525">
          <cell r="A5525">
            <v>9080999</v>
          </cell>
          <cell r="B5525">
            <v>351990</v>
          </cell>
          <cell r="C5525" t="str">
            <v>OTHER TAXES AND LICENSES</v>
          </cell>
        </row>
        <row r="5526">
          <cell r="A5526">
            <v>9110999</v>
          </cell>
          <cell r="B5526">
            <v>351990</v>
          </cell>
          <cell r="C5526" t="str">
            <v>OTHER TAXES AND LICENSES</v>
          </cell>
        </row>
        <row r="5527">
          <cell r="A5527">
            <v>9684999</v>
          </cell>
          <cell r="B5527">
            <v>351990</v>
          </cell>
          <cell r="C5527" t="str">
            <v>OTHER TAXES AND LICENSES</v>
          </cell>
        </row>
        <row r="5528">
          <cell r="A5528">
            <v>9689883</v>
          </cell>
          <cell r="B5528">
            <v>351990</v>
          </cell>
          <cell r="C5528" t="str">
            <v>OTHER TAXES AND LICENSES</v>
          </cell>
        </row>
        <row r="5529">
          <cell r="A5529">
            <v>9689904</v>
          </cell>
          <cell r="B5529">
            <v>351990</v>
          </cell>
          <cell r="C5529" t="str">
            <v>OTHER TAXES AND LICENSES</v>
          </cell>
        </row>
        <row r="5530">
          <cell r="A5530">
            <v>9689991</v>
          </cell>
          <cell r="B5530">
            <v>351990</v>
          </cell>
          <cell r="C5530" t="str">
            <v>OTHER TAXES AND LICENSES</v>
          </cell>
        </row>
        <row r="5531">
          <cell r="A5531">
            <v>9689992</v>
          </cell>
          <cell r="B5531">
            <v>351990</v>
          </cell>
          <cell r="C5531" t="str">
            <v>OTHER TAXES AND LICENSES</v>
          </cell>
        </row>
        <row r="5532">
          <cell r="A5532">
            <v>9689994</v>
          </cell>
          <cell r="B5532">
            <v>351990</v>
          </cell>
          <cell r="C5532" t="str">
            <v>OTHER TAXES AND LICENSES</v>
          </cell>
        </row>
        <row r="5533">
          <cell r="A5533">
            <v>9969681</v>
          </cell>
          <cell r="B5533">
            <v>351990</v>
          </cell>
          <cell r="C5533" t="str">
            <v>OTHER TAXES AND LICENSES</v>
          </cell>
        </row>
        <row r="5534">
          <cell r="A5534">
            <v>9969901</v>
          </cell>
          <cell r="B5534">
            <v>351990</v>
          </cell>
          <cell r="C5534" t="str">
            <v>OTHER TAXES AND LICENSES</v>
          </cell>
        </row>
        <row r="5535">
          <cell r="A5535" t="str">
            <v>ZONE-0105-POST</v>
          </cell>
          <cell r="B5535">
            <v>351990</v>
          </cell>
          <cell r="C5535" t="str">
            <v>OTHER TAXES AND LICENSES</v>
          </cell>
        </row>
        <row r="5536">
          <cell r="A5536" t="str">
            <v>ZONE-0112-POST</v>
          </cell>
          <cell r="B5536">
            <v>351990</v>
          </cell>
          <cell r="C5536" t="str">
            <v>OTHER TAXES AND LICENSES</v>
          </cell>
        </row>
        <row r="5537">
          <cell r="A5537">
            <v>9720703</v>
          </cell>
          <cell r="B5537">
            <v>352530</v>
          </cell>
          <cell r="C5537" t="str">
            <v>DONATION - CASH</v>
          </cell>
        </row>
        <row r="5538">
          <cell r="A5538">
            <v>9724718</v>
          </cell>
          <cell r="B5538">
            <v>352530</v>
          </cell>
          <cell r="C5538" t="str">
            <v>DONATION - CASH</v>
          </cell>
        </row>
        <row r="5539">
          <cell r="A5539">
            <v>9724721</v>
          </cell>
          <cell r="B5539">
            <v>352530</v>
          </cell>
          <cell r="C5539" t="str">
            <v>DONATION - CASH</v>
          </cell>
        </row>
        <row r="5540">
          <cell r="A5540">
            <v>9724724</v>
          </cell>
          <cell r="B5540">
            <v>352530</v>
          </cell>
          <cell r="C5540" t="str">
            <v>DONATION - CASH</v>
          </cell>
        </row>
        <row r="5541">
          <cell r="A5541">
            <v>9725703</v>
          </cell>
          <cell r="B5541">
            <v>352530</v>
          </cell>
          <cell r="C5541" t="str">
            <v>DONATION - CASH</v>
          </cell>
        </row>
        <row r="5542">
          <cell r="A5542">
            <v>9725704</v>
          </cell>
          <cell r="B5542">
            <v>352530</v>
          </cell>
          <cell r="C5542" t="str">
            <v>DONATION - CASH</v>
          </cell>
        </row>
        <row r="5543">
          <cell r="A5543">
            <v>9725711</v>
          </cell>
          <cell r="B5543">
            <v>352530</v>
          </cell>
          <cell r="C5543" t="str">
            <v>DONATION - CASH</v>
          </cell>
        </row>
        <row r="5544">
          <cell r="A5544">
            <v>9725717</v>
          </cell>
          <cell r="B5544">
            <v>352530</v>
          </cell>
          <cell r="C5544" t="str">
            <v>DONATION - CASH</v>
          </cell>
        </row>
        <row r="5545">
          <cell r="A5545">
            <v>9725725</v>
          </cell>
          <cell r="B5545">
            <v>352530</v>
          </cell>
          <cell r="C5545" t="str">
            <v>DONATION - CASH</v>
          </cell>
        </row>
        <row r="5546">
          <cell r="A5546">
            <v>9080700</v>
          </cell>
          <cell r="B5546">
            <v>352593</v>
          </cell>
          <cell r="C5546" t="str">
            <v>DONATIONS &amp; DUES</v>
          </cell>
        </row>
        <row r="5547">
          <cell r="A5547">
            <v>9080701</v>
          </cell>
          <cell r="B5547">
            <v>352593</v>
          </cell>
          <cell r="C5547" t="str">
            <v>DONATIONS &amp; DUES</v>
          </cell>
        </row>
        <row r="5548">
          <cell r="A5548">
            <v>9080702</v>
          </cell>
          <cell r="B5548">
            <v>352593</v>
          </cell>
          <cell r="C5548" t="str">
            <v>DONATIONS &amp; DUES</v>
          </cell>
        </row>
        <row r="5549">
          <cell r="A5549">
            <v>9080705</v>
          </cell>
          <cell r="B5549">
            <v>352593</v>
          </cell>
          <cell r="C5549" t="str">
            <v>DONATIONS &amp; DUES</v>
          </cell>
        </row>
        <row r="5550">
          <cell r="A5550">
            <v>9080707</v>
          </cell>
          <cell r="B5550">
            <v>352593</v>
          </cell>
          <cell r="C5550" t="str">
            <v>DONATIONS &amp; DUES</v>
          </cell>
        </row>
        <row r="5551">
          <cell r="A5551">
            <v>9080710</v>
          </cell>
          <cell r="B5551">
            <v>352593</v>
          </cell>
          <cell r="C5551" t="str">
            <v>DONATIONS &amp; DUES</v>
          </cell>
        </row>
        <row r="5552">
          <cell r="A5552">
            <v>9090710</v>
          </cell>
          <cell r="B5552">
            <v>352593</v>
          </cell>
          <cell r="C5552" t="str">
            <v>DONATIONS &amp; DUES</v>
          </cell>
        </row>
        <row r="5553">
          <cell r="A5553">
            <v>9090999</v>
          </cell>
          <cell r="B5553">
            <v>352593</v>
          </cell>
          <cell r="C5553" t="str">
            <v>DONATIONS &amp; DUES</v>
          </cell>
        </row>
        <row r="5554">
          <cell r="A5554">
            <v>9100710</v>
          </cell>
          <cell r="B5554">
            <v>352593</v>
          </cell>
          <cell r="C5554" t="str">
            <v>DONATIONS &amp; DUES</v>
          </cell>
        </row>
        <row r="5555">
          <cell r="A5555">
            <v>9100999</v>
          </cell>
          <cell r="B5555">
            <v>352593</v>
          </cell>
          <cell r="C5555" t="str">
            <v>DONATIONS &amp; DUES</v>
          </cell>
        </row>
        <row r="5556">
          <cell r="A5556">
            <v>9110700</v>
          </cell>
          <cell r="B5556">
            <v>352593</v>
          </cell>
          <cell r="C5556" t="str">
            <v>DONATIONS &amp; DUES</v>
          </cell>
        </row>
        <row r="5557">
          <cell r="A5557">
            <v>9110702</v>
          </cell>
          <cell r="B5557">
            <v>352593</v>
          </cell>
          <cell r="C5557" t="str">
            <v>DONATIONS &amp; DUES</v>
          </cell>
        </row>
        <row r="5558">
          <cell r="A5558">
            <v>9110705</v>
          </cell>
          <cell r="B5558">
            <v>352593</v>
          </cell>
          <cell r="C5558" t="str">
            <v>DONATIONS &amp; DUES</v>
          </cell>
        </row>
        <row r="5559">
          <cell r="A5559">
            <v>9110707</v>
          </cell>
          <cell r="B5559">
            <v>352593</v>
          </cell>
          <cell r="C5559" t="str">
            <v>DONATIONS &amp; DUES</v>
          </cell>
        </row>
        <row r="5560">
          <cell r="A5560">
            <v>9680700</v>
          </cell>
          <cell r="B5560">
            <v>352593</v>
          </cell>
          <cell r="C5560" t="str">
            <v>DONATIONS &amp; DUES</v>
          </cell>
        </row>
        <row r="5561">
          <cell r="A5561">
            <v>9680701</v>
          </cell>
          <cell r="B5561">
            <v>352593</v>
          </cell>
          <cell r="C5561" t="str">
            <v>DONATIONS &amp; DUES</v>
          </cell>
        </row>
        <row r="5562">
          <cell r="A5562">
            <v>9680702</v>
          </cell>
          <cell r="B5562">
            <v>352593</v>
          </cell>
          <cell r="C5562" t="str">
            <v>DONATIONS &amp; DUES</v>
          </cell>
        </row>
        <row r="5563">
          <cell r="A5563">
            <v>9680705</v>
          </cell>
          <cell r="B5563">
            <v>352593</v>
          </cell>
          <cell r="C5563" t="str">
            <v>DONATIONS &amp; DUES</v>
          </cell>
        </row>
        <row r="5564">
          <cell r="A5564">
            <v>9680707</v>
          </cell>
          <cell r="B5564">
            <v>352593</v>
          </cell>
          <cell r="C5564" t="str">
            <v>DONATIONS &amp; DUES</v>
          </cell>
        </row>
        <row r="5565">
          <cell r="A5565">
            <v>9680710</v>
          </cell>
          <cell r="B5565">
            <v>352593</v>
          </cell>
          <cell r="C5565" t="str">
            <v>DONATIONS &amp; DUES</v>
          </cell>
        </row>
        <row r="5566">
          <cell r="A5566">
            <v>9680712</v>
          </cell>
          <cell r="B5566">
            <v>352593</v>
          </cell>
          <cell r="C5566" t="str">
            <v>DONATIONS &amp; DUES</v>
          </cell>
        </row>
        <row r="5567">
          <cell r="A5567">
            <v>9680714</v>
          </cell>
          <cell r="B5567">
            <v>352593</v>
          </cell>
          <cell r="C5567" t="str">
            <v>DONATIONS &amp; DUES</v>
          </cell>
        </row>
        <row r="5568">
          <cell r="A5568">
            <v>9680734</v>
          </cell>
          <cell r="B5568">
            <v>352593</v>
          </cell>
          <cell r="C5568" t="str">
            <v>DONATIONS &amp; DUES</v>
          </cell>
        </row>
        <row r="5569">
          <cell r="A5569">
            <v>9680748</v>
          </cell>
          <cell r="B5569">
            <v>352593</v>
          </cell>
          <cell r="C5569" t="str">
            <v>DONATIONS &amp; DUES</v>
          </cell>
        </row>
        <row r="5570">
          <cell r="A5570">
            <v>9680749</v>
          </cell>
          <cell r="B5570">
            <v>352593</v>
          </cell>
          <cell r="C5570" t="str">
            <v>DONATIONS &amp; DUES</v>
          </cell>
        </row>
        <row r="5571">
          <cell r="A5571">
            <v>9680894</v>
          </cell>
          <cell r="B5571">
            <v>352593</v>
          </cell>
          <cell r="C5571" t="str">
            <v>DONATIONS &amp; DUES</v>
          </cell>
        </row>
        <row r="5572">
          <cell r="A5572">
            <v>9680999</v>
          </cell>
          <cell r="B5572">
            <v>352593</v>
          </cell>
          <cell r="C5572" t="str">
            <v>DONATIONS &amp; DUES</v>
          </cell>
        </row>
        <row r="5573">
          <cell r="A5573">
            <v>9681700</v>
          </cell>
          <cell r="B5573">
            <v>352593</v>
          </cell>
          <cell r="C5573" t="str">
            <v>DONATIONS &amp; DUES</v>
          </cell>
        </row>
        <row r="5574">
          <cell r="A5574">
            <v>9681701</v>
          </cell>
          <cell r="B5574">
            <v>352593</v>
          </cell>
          <cell r="C5574" t="str">
            <v>DONATIONS &amp; DUES</v>
          </cell>
        </row>
        <row r="5575">
          <cell r="A5575">
            <v>9681702</v>
          </cell>
          <cell r="B5575">
            <v>352593</v>
          </cell>
          <cell r="C5575" t="str">
            <v>DONATIONS &amp; DUES</v>
          </cell>
        </row>
        <row r="5576">
          <cell r="A5576">
            <v>9681705</v>
          </cell>
          <cell r="B5576">
            <v>352593</v>
          </cell>
          <cell r="C5576" t="str">
            <v>DONATIONS &amp; DUES</v>
          </cell>
        </row>
        <row r="5577">
          <cell r="A5577">
            <v>9681706</v>
          </cell>
          <cell r="B5577">
            <v>352593</v>
          </cell>
          <cell r="C5577" t="str">
            <v>DONATIONS &amp; DUES</v>
          </cell>
        </row>
        <row r="5578">
          <cell r="A5578">
            <v>9681707</v>
          </cell>
          <cell r="B5578">
            <v>352593</v>
          </cell>
          <cell r="C5578" t="str">
            <v>DONATIONS &amp; DUES</v>
          </cell>
        </row>
        <row r="5579">
          <cell r="A5579">
            <v>9681710</v>
          </cell>
          <cell r="B5579">
            <v>352593</v>
          </cell>
          <cell r="C5579" t="str">
            <v>DONATIONS &amp; DUES</v>
          </cell>
        </row>
        <row r="5580">
          <cell r="A5580">
            <v>9681712</v>
          </cell>
          <cell r="B5580">
            <v>352593</v>
          </cell>
          <cell r="C5580" t="str">
            <v>DONATIONS &amp; DUES</v>
          </cell>
        </row>
        <row r="5581">
          <cell r="A5581">
            <v>9681727</v>
          </cell>
          <cell r="B5581">
            <v>352593</v>
          </cell>
          <cell r="C5581" t="str">
            <v>DONATIONS &amp; DUES</v>
          </cell>
        </row>
        <row r="5582">
          <cell r="A5582">
            <v>9681734</v>
          </cell>
          <cell r="B5582">
            <v>352593</v>
          </cell>
          <cell r="C5582" t="str">
            <v>DONATIONS &amp; DUES</v>
          </cell>
        </row>
        <row r="5583">
          <cell r="A5583">
            <v>9681748</v>
          </cell>
          <cell r="B5583">
            <v>352593</v>
          </cell>
          <cell r="C5583" t="str">
            <v>DONATIONS &amp; DUES</v>
          </cell>
        </row>
        <row r="5584">
          <cell r="A5584">
            <v>9681749</v>
          </cell>
          <cell r="B5584">
            <v>352593</v>
          </cell>
          <cell r="C5584" t="str">
            <v>DONATIONS &amp; DUES</v>
          </cell>
        </row>
        <row r="5585">
          <cell r="A5585">
            <v>9681894</v>
          </cell>
          <cell r="B5585">
            <v>352593</v>
          </cell>
          <cell r="C5585" t="str">
            <v>DONATIONS &amp; DUES</v>
          </cell>
        </row>
        <row r="5586">
          <cell r="A5586">
            <v>9681999</v>
          </cell>
          <cell r="B5586">
            <v>352593</v>
          </cell>
          <cell r="C5586" t="str">
            <v>DONATIONS &amp; DUES</v>
          </cell>
        </row>
        <row r="5587">
          <cell r="A5587">
            <v>9689692</v>
          </cell>
          <cell r="B5587">
            <v>352593</v>
          </cell>
          <cell r="C5587" t="str">
            <v>DONATIONS &amp; DUES</v>
          </cell>
        </row>
        <row r="5588">
          <cell r="A5588">
            <v>9689747</v>
          </cell>
          <cell r="B5588">
            <v>352593</v>
          </cell>
          <cell r="C5588" t="str">
            <v>DONATIONS &amp; DUES</v>
          </cell>
        </row>
        <row r="5589">
          <cell r="A5589">
            <v>9689890</v>
          </cell>
          <cell r="B5589">
            <v>352593</v>
          </cell>
          <cell r="C5589" t="str">
            <v>DONATIONS &amp; DUES</v>
          </cell>
        </row>
        <row r="5590">
          <cell r="A5590">
            <v>9689925</v>
          </cell>
          <cell r="B5590">
            <v>352593</v>
          </cell>
          <cell r="C5590" t="str">
            <v>DONATIONS &amp; DUES</v>
          </cell>
        </row>
        <row r="5591">
          <cell r="A5591">
            <v>9689990</v>
          </cell>
          <cell r="B5591">
            <v>352593</v>
          </cell>
          <cell r="C5591" t="str">
            <v>DONATIONS &amp; DUES</v>
          </cell>
        </row>
        <row r="5592">
          <cell r="A5592">
            <v>9689993</v>
          </cell>
          <cell r="B5592">
            <v>352593</v>
          </cell>
          <cell r="C5592" t="str">
            <v>DONATIONS &amp; DUES</v>
          </cell>
        </row>
        <row r="5593">
          <cell r="A5593">
            <v>9080999</v>
          </cell>
          <cell r="B5593">
            <v>352603</v>
          </cell>
          <cell r="C5593" t="str">
            <v>DUES-RETAIL-PROFESSIONAL ASSOC</v>
          </cell>
        </row>
        <row r="5594">
          <cell r="A5594">
            <v>9110999</v>
          </cell>
          <cell r="B5594">
            <v>352603</v>
          </cell>
          <cell r="C5594" t="str">
            <v>DUES-RETAIL-PROFESSIONAL ASSOC</v>
          </cell>
        </row>
        <row r="5595">
          <cell r="A5595">
            <v>9681999</v>
          </cell>
          <cell r="B5595">
            <v>352603</v>
          </cell>
          <cell r="C5595" t="str">
            <v>DUES-RETAIL-PROFESSIONAL ASSOC</v>
          </cell>
        </row>
        <row r="5596">
          <cell r="A5596">
            <v>9682999</v>
          </cell>
          <cell r="B5596">
            <v>352603</v>
          </cell>
          <cell r="C5596" t="str">
            <v>DUES-RETAIL-PROFESSIONAL ASSOC</v>
          </cell>
        </row>
        <row r="5597">
          <cell r="A5597">
            <v>9689991</v>
          </cell>
          <cell r="B5597">
            <v>352603</v>
          </cell>
          <cell r="C5597" t="str">
            <v>DUES-RETAIL-PROFESSIONAL ASSOC</v>
          </cell>
        </row>
        <row r="5598">
          <cell r="A5598">
            <v>9689994</v>
          </cell>
          <cell r="B5598">
            <v>352603</v>
          </cell>
          <cell r="C5598" t="str">
            <v>DUES-RETAIL-PROFESSIONAL ASSOC</v>
          </cell>
        </row>
        <row r="5599">
          <cell r="A5599">
            <v>9080700</v>
          </cell>
          <cell r="B5599">
            <v>352694</v>
          </cell>
          <cell r="C5599" t="str">
            <v>DUES-EMPLOYEE</v>
          </cell>
        </row>
        <row r="5600">
          <cell r="A5600">
            <v>9080701</v>
          </cell>
          <cell r="B5600">
            <v>352694</v>
          </cell>
          <cell r="C5600" t="str">
            <v>DUES-EMPLOYEE</v>
          </cell>
        </row>
        <row r="5601">
          <cell r="A5601">
            <v>9080702</v>
          </cell>
          <cell r="B5601">
            <v>352694</v>
          </cell>
          <cell r="C5601" t="str">
            <v>DUES-EMPLOYEE</v>
          </cell>
        </row>
        <row r="5602">
          <cell r="A5602">
            <v>9080705</v>
          </cell>
          <cell r="B5602">
            <v>352694</v>
          </cell>
          <cell r="C5602" t="str">
            <v>DUES-EMPLOYEE</v>
          </cell>
        </row>
        <row r="5603">
          <cell r="A5603">
            <v>9080707</v>
          </cell>
          <cell r="B5603">
            <v>352694</v>
          </cell>
          <cell r="C5603" t="str">
            <v>DUES-EMPLOYEE</v>
          </cell>
        </row>
        <row r="5604">
          <cell r="A5604">
            <v>9080710</v>
          </cell>
          <cell r="B5604">
            <v>352694</v>
          </cell>
          <cell r="C5604" t="str">
            <v>DUES-EMPLOYEE</v>
          </cell>
        </row>
        <row r="5605">
          <cell r="A5605">
            <v>9110700</v>
          </cell>
          <cell r="B5605">
            <v>352694</v>
          </cell>
          <cell r="C5605" t="str">
            <v>DUES-EMPLOYEE</v>
          </cell>
        </row>
        <row r="5606">
          <cell r="A5606">
            <v>9110702</v>
          </cell>
          <cell r="B5606">
            <v>352694</v>
          </cell>
          <cell r="C5606" t="str">
            <v>DUES-EMPLOYEE</v>
          </cell>
        </row>
        <row r="5607">
          <cell r="A5607">
            <v>9110705</v>
          </cell>
          <cell r="B5607">
            <v>352694</v>
          </cell>
          <cell r="C5607" t="str">
            <v>DUES-EMPLOYEE</v>
          </cell>
        </row>
        <row r="5608">
          <cell r="A5608">
            <v>9110707</v>
          </cell>
          <cell r="B5608">
            <v>352694</v>
          </cell>
          <cell r="C5608" t="str">
            <v>DUES-EMPLOYEE</v>
          </cell>
        </row>
        <row r="5609">
          <cell r="A5609">
            <v>9681700</v>
          </cell>
          <cell r="B5609">
            <v>352694</v>
          </cell>
          <cell r="C5609" t="str">
            <v>DUES-EMPLOYEE</v>
          </cell>
        </row>
        <row r="5610">
          <cell r="A5610">
            <v>9681701</v>
          </cell>
          <cell r="B5610">
            <v>352694</v>
          </cell>
          <cell r="C5610" t="str">
            <v>DUES-EMPLOYEE</v>
          </cell>
        </row>
        <row r="5611">
          <cell r="A5611">
            <v>9681702</v>
          </cell>
          <cell r="B5611">
            <v>352694</v>
          </cell>
          <cell r="C5611" t="str">
            <v>DUES-EMPLOYEE</v>
          </cell>
        </row>
        <row r="5612">
          <cell r="A5612">
            <v>9681705</v>
          </cell>
          <cell r="B5612">
            <v>352694</v>
          </cell>
          <cell r="C5612" t="str">
            <v>DUES-EMPLOYEE</v>
          </cell>
        </row>
        <row r="5613">
          <cell r="A5613">
            <v>9681706</v>
          </cell>
          <cell r="B5613">
            <v>352694</v>
          </cell>
          <cell r="C5613" t="str">
            <v>DUES-EMPLOYEE</v>
          </cell>
        </row>
        <row r="5614">
          <cell r="A5614">
            <v>9681707</v>
          </cell>
          <cell r="B5614">
            <v>352694</v>
          </cell>
          <cell r="C5614" t="str">
            <v>DUES-EMPLOYEE</v>
          </cell>
        </row>
        <row r="5615">
          <cell r="A5615">
            <v>9681712</v>
          </cell>
          <cell r="B5615">
            <v>352694</v>
          </cell>
          <cell r="C5615" t="str">
            <v>DUES-EMPLOYEE</v>
          </cell>
        </row>
        <row r="5616">
          <cell r="A5616">
            <v>9681727</v>
          </cell>
          <cell r="B5616">
            <v>352694</v>
          </cell>
          <cell r="C5616" t="str">
            <v>DUES-EMPLOYEE</v>
          </cell>
        </row>
        <row r="5617">
          <cell r="A5617">
            <v>9681749</v>
          </cell>
          <cell r="B5617">
            <v>352694</v>
          </cell>
          <cell r="C5617" t="str">
            <v>DUES-EMPLOYEE</v>
          </cell>
        </row>
        <row r="5618">
          <cell r="A5618">
            <v>9681999</v>
          </cell>
          <cell r="B5618">
            <v>352694</v>
          </cell>
          <cell r="C5618" t="str">
            <v>DUES-EMPLOYEE</v>
          </cell>
        </row>
        <row r="5619">
          <cell r="A5619">
            <v>9682715</v>
          </cell>
          <cell r="B5619">
            <v>352694</v>
          </cell>
          <cell r="C5619" t="str">
            <v>DUES-EMPLOYEE</v>
          </cell>
        </row>
        <row r="5620">
          <cell r="A5620">
            <v>9682722</v>
          </cell>
          <cell r="B5620">
            <v>352694</v>
          </cell>
          <cell r="C5620" t="str">
            <v>DUES-EMPLOYEE</v>
          </cell>
        </row>
        <row r="5621">
          <cell r="A5621">
            <v>9682999</v>
          </cell>
          <cell r="B5621">
            <v>352694</v>
          </cell>
          <cell r="C5621" t="str">
            <v>DUES-EMPLOYEE</v>
          </cell>
        </row>
        <row r="5622">
          <cell r="A5622">
            <v>9689993</v>
          </cell>
          <cell r="B5622">
            <v>352694</v>
          </cell>
          <cell r="C5622" t="str">
            <v>DUES-EMPLOYEE</v>
          </cell>
        </row>
        <row r="5623">
          <cell r="A5623">
            <v>9090999</v>
          </cell>
          <cell r="B5623">
            <v>353300</v>
          </cell>
          <cell r="C5623" t="str">
            <v>INTERCOMPANY INTEREST EXPENSE</v>
          </cell>
        </row>
        <row r="5624">
          <cell r="A5624">
            <v>9100999</v>
          </cell>
          <cell r="B5624">
            <v>353300</v>
          </cell>
          <cell r="C5624" t="str">
            <v>INTERCOMPANY INTEREST EXPENSE</v>
          </cell>
        </row>
        <row r="5625">
          <cell r="A5625">
            <v>9681706</v>
          </cell>
          <cell r="B5625">
            <v>353300</v>
          </cell>
          <cell r="C5625" t="str">
            <v>INTERCOMPANY INTEREST EXPENSE</v>
          </cell>
        </row>
        <row r="5626">
          <cell r="A5626">
            <v>9080700</v>
          </cell>
          <cell r="B5626">
            <v>353322</v>
          </cell>
          <cell r="C5626" t="str">
            <v>INTRACOMPANY-NBV EQUIPT INTRST</v>
          </cell>
        </row>
        <row r="5627">
          <cell r="A5627">
            <v>9080701</v>
          </cell>
          <cell r="B5627">
            <v>353322</v>
          </cell>
          <cell r="C5627" t="str">
            <v>INTRACOMPANY-NBV EQUIPT INTRST</v>
          </cell>
        </row>
        <row r="5628">
          <cell r="A5628">
            <v>9080702</v>
          </cell>
          <cell r="B5628">
            <v>353322</v>
          </cell>
          <cell r="C5628" t="str">
            <v>INTRACOMPANY-NBV EQUIPT INTRST</v>
          </cell>
        </row>
        <row r="5629">
          <cell r="A5629">
            <v>9080705</v>
          </cell>
          <cell r="B5629">
            <v>353322</v>
          </cell>
          <cell r="C5629" t="str">
            <v>INTRACOMPANY-NBV EQUIPT INTRST</v>
          </cell>
        </row>
        <row r="5630">
          <cell r="A5630">
            <v>9080707</v>
          </cell>
          <cell r="B5630">
            <v>353322</v>
          </cell>
          <cell r="C5630" t="str">
            <v>INTRACOMPANY-NBV EQUIPT INTRST</v>
          </cell>
        </row>
        <row r="5631">
          <cell r="A5631">
            <v>9080710</v>
          </cell>
          <cell r="B5631">
            <v>353322</v>
          </cell>
          <cell r="C5631" t="str">
            <v>INTRACOMPANY-NBV EQUIPT INTRST</v>
          </cell>
        </row>
        <row r="5632">
          <cell r="A5632">
            <v>9110700</v>
          </cell>
          <cell r="B5632">
            <v>353322</v>
          </cell>
          <cell r="C5632" t="str">
            <v>INTRACOMPANY-NBV EQUIPT INTRST</v>
          </cell>
        </row>
        <row r="5633">
          <cell r="A5633">
            <v>9110702</v>
          </cell>
          <cell r="B5633">
            <v>353322</v>
          </cell>
          <cell r="C5633" t="str">
            <v>INTRACOMPANY-NBV EQUIPT INTRST</v>
          </cell>
        </row>
        <row r="5634">
          <cell r="A5634">
            <v>9110705</v>
          </cell>
          <cell r="B5634">
            <v>353322</v>
          </cell>
          <cell r="C5634" t="str">
            <v>INTRACOMPANY-NBV EQUIPT INTRST</v>
          </cell>
        </row>
        <row r="5635">
          <cell r="A5635">
            <v>9110707</v>
          </cell>
          <cell r="B5635">
            <v>353322</v>
          </cell>
          <cell r="C5635" t="str">
            <v>INTRACOMPANY-NBV EQUIPT INTRST</v>
          </cell>
        </row>
        <row r="5636">
          <cell r="A5636">
            <v>9681700</v>
          </cell>
          <cell r="B5636">
            <v>353322</v>
          </cell>
          <cell r="C5636" t="str">
            <v>INTRACOMPANY-NBV EQUIPT INTRST</v>
          </cell>
        </row>
        <row r="5637">
          <cell r="A5637">
            <v>9681701</v>
          </cell>
          <cell r="B5637">
            <v>353322</v>
          </cell>
          <cell r="C5637" t="str">
            <v>INTRACOMPANY-NBV EQUIPT INTRST</v>
          </cell>
        </row>
        <row r="5638">
          <cell r="A5638">
            <v>9681702</v>
          </cell>
          <cell r="B5638">
            <v>353322</v>
          </cell>
          <cell r="C5638" t="str">
            <v>INTRACOMPANY-NBV EQUIPT INTRST</v>
          </cell>
        </row>
        <row r="5639">
          <cell r="A5639">
            <v>9681705</v>
          </cell>
          <cell r="B5639">
            <v>353322</v>
          </cell>
          <cell r="C5639" t="str">
            <v>INTRACOMPANY-NBV EQUIPT INTRST</v>
          </cell>
        </row>
        <row r="5640">
          <cell r="A5640">
            <v>9681706</v>
          </cell>
          <cell r="B5640">
            <v>353322</v>
          </cell>
          <cell r="C5640" t="str">
            <v>INTRACOMPANY-NBV EQUIPT INTRST</v>
          </cell>
        </row>
        <row r="5641">
          <cell r="A5641">
            <v>9681707</v>
          </cell>
          <cell r="B5641">
            <v>353322</v>
          </cell>
          <cell r="C5641" t="str">
            <v>INTRACOMPANY-NBV EQUIPT INTRST</v>
          </cell>
        </row>
        <row r="5642">
          <cell r="A5642">
            <v>9681712</v>
          </cell>
          <cell r="B5642">
            <v>353322</v>
          </cell>
          <cell r="C5642" t="str">
            <v>INTRACOMPANY-NBV EQUIPT INTRST</v>
          </cell>
        </row>
        <row r="5643">
          <cell r="A5643">
            <v>9681727</v>
          </cell>
          <cell r="B5643">
            <v>353322</v>
          </cell>
          <cell r="C5643" t="str">
            <v>INTRACOMPANY-NBV EQUIPT INTRST</v>
          </cell>
        </row>
        <row r="5644">
          <cell r="A5644">
            <v>9681749</v>
          </cell>
          <cell r="B5644">
            <v>353322</v>
          </cell>
          <cell r="C5644" t="str">
            <v>INTRACOMPANY-NBV EQUIPT INTRST</v>
          </cell>
        </row>
        <row r="5645">
          <cell r="A5645">
            <v>9681999</v>
          </cell>
          <cell r="B5645">
            <v>353322</v>
          </cell>
          <cell r="C5645" t="str">
            <v>INTRACOMPANY-NBV EQUIPT INTRST</v>
          </cell>
        </row>
        <row r="5646">
          <cell r="A5646">
            <v>9682715</v>
          </cell>
          <cell r="B5646">
            <v>353322</v>
          </cell>
          <cell r="C5646" t="str">
            <v>INTRACOMPANY-NBV EQUIPT INTRST</v>
          </cell>
        </row>
        <row r="5647">
          <cell r="A5647">
            <v>9682722</v>
          </cell>
          <cell r="B5647">
            <v>353322</v>
          </cell>
          <cell r="C5647" t="str">
            <v>INTRACOMPANY-NBV EQUIPT INTRST</v>
          </cell>
        </row>
        <row r="5648">
          <cell r="A5648">
            <v>9682999</v>
          </cell>
          <cell r="B5648">
            <v>353322</v>
          </cell>
          <cell r="C5648" t="str">
            <v>INTRACOMPANY-NBV EQUIPT INTRST</v>
          </cell>
        </row>
        <row r="5649">
          <cell r="A5649">
            <v>9689883</v>
          </cell>
          <cell r="B5649">
            <v>353322</v>
          </cell>
          <cell r="C5649" t="str">
            <v>INTRACOMPANY-NBV EQUIPT INTRST</v>
          </cell>
        </row>
        <row r="5650">
          <cell r="A5650">
            <v>9689906</v>
          </cell>
          <cell r="B5650">
            <v>353322</v>
          </cell>
          <cell r="C5650" t="str">
            <v>INTRACOMPANY-NBV EQUIPT INTRST</v>
          </cell>
        </row>
        <row r="5651">
          <cell r="A5651">
            <v>9689992</v>
          </cell>
          <cell r="B5651">
            <v>353322</v>
          </cell>
          <cell r="C5651" t="str">
            <v>INTRACOMPANY-NBV EQUIPT INTRST</v>
          </cell>
        </row>
        <row r="5652">
          <cell r="A5652">
            <v>9090999</v>
          </cell>
          <cell r="B5652">
            <v>353331</v>
          </cell>
          <cell r="C5652" t="str">
            <v>INTEREST EXP-BID RETE BORROWNG</v>
          </cell>
        </row>
        <row r="5653">
          <cell r="A5653">
            <v>9100999</v>
          </cell>
          <cell r="B5653">
            <v>353331</v>
          </cell>
          <cell r="C5653" t="str">
            <v>INTEREST EXP-BID RETE BORROWNG</v>
          </cell>
        </row>
        <row r="5654">
          <cell r="A5654">
            <v>9090999</v>
          </cell>
          <cell r="B5654">
            <v>353332</v>
          </cell>
          <cell r="C5654" t="str">
            <v>INTEREST EXP. - MONEY MARKET</v>
          </cell>
        </row>
        <row r="5655">
          <cell r="A5655">
            <v>9100999</v>
          </cell>
          <cell r="B5655">
            <v>353332</v>
          </cell>
          <cell r="C5655" t="str">
            <v>INTEREST EXP. - MONEY MARKET</v>
          </cell>
        </row>
        <row r="5656">
          <cell r="A5656">
            <v>9090999</v>
          </cell>
          <cell r="B5656">
            <v>353711</v>
          </cell>
          <cell r="C5656" t="str">
            <v>CAP LEASE INTEREST EXP - EQUIP</v>
          </cell>
        </row>
        <row r="5657">
          <cell r="A5657">
            <v>9681706</v>
          </cell>
          <cell r="B5657">
            <v>353990</v>
          </cell>
          <cell r="C5657" t="str">
            <v>OUTSIDE-OTHER</v>
          </cell>
        </row>
        <row r="5658">
          <cell r="A5658">
            <v>9090999</v>
          </cell>
          <cell r="B5658">
            <v>354125</v>
          </cell>
          <cell r="C5658" t="str">
            <v>EXCESS LIABILITY-OUTSIDE</v>
          </cell>
        </row>
        <row r="5659">
          <cell r="A5659">
            <v>9100999</v>
          </cell>
          <cell r="B5659">
            <v>354125</v>
          </cell>
          <cell r="C5659" t="str">
            <v>EXCESS LIABILITY-OUTSIDE</v>
          </cell>
        </row>
        <row r="5660">
          <cell r="A5660">
            <v>9090999</v>
          </cell>
          <cell r="B5660">
            <v>354130</v>
          </cell>
          <cell r="C5660" t="str">
            <v>DIRECTOR/OFFICER LIABILITY</v>
          </cell>
        </row>
        <row r="5661">
          <cell r="A5661">
            <v>9100999</v>
          </cell>
          <cell r="B5661">
            <v>354130</v>
          </cell>
          <cell r="C5661" t="str">
            <v>DIRECTOR/OFFICER LIABILITY</v>
          </cell>
        </row>
        <row r="5662">
          <cell r="A5662">
            <v>9080999</v>
          </cell>
          <cell r="B5662">
            <v>354490</v>
          </cell>
          <cell r="C5662" t="str">
            <v>BUILDING, EQUIPMENT, INVENTORY</v>
          </cell>
        </row>
        <row r="5663">
          <cell r="A5663">
            <v>9110999</v>
          </cell>
          <cell r="B5663">
            <v>354490</v>
          </cell>
          <cell r="C5663" t="str">
            <v>BUILDING, EQUIPMENT, INVENTORY</v>
          </cell>
        </row>
        <row r="5664">
          <cell r="A5664">
            <v>9689994</v>
          </cell>
          <cell r="B5664">
            <v>354490</v>
          </cell>
          <cell r="C5664" t="str">
            <v>BUILDING, EQUIPMENT, INVENTORY</v>
          </cell>
        </row>
        <row r="5665">
          <cell r="A5665">
            <v>9682715</v>
          </cell>
          <cell r="B5665">
            <v>354600</v>
          </cell>
          <cell r="C5665" t="str">
            <v>PUBLIC LIABILITY-SELF INSURED</v>
          </cell>
        </row>
        <row r="5666">
          <cell r="A5666">
            <v>9682722</v>
          </cell>
          <cell r="B5666">
            <v>354600</v>
          </cell>
          <cell r="C5666" t="str">
            <v>PUBLIC LIABILITY-SELF INSURED</v>
          </cell>
        </row>
        <row r="5667">
          <cell r="A5667">
            <v>9682999</v>
          </cell>
          <cell r="B5667">
            <v>354600</v>
          </cell>
          <cell r="C5667" t="str">
            <v>PUBLIC LIABILITY-SELF INSURED</v>
          </cell>
        </row>
        <row r="5668">
          <cell r="A5668">
            <v>9689692</v>
          </cell>
          <cell r="B5668">
            <v>354600</v>
          </cell>
          <cell r="C5668" t="str">
            <v>PUBLIC LIABILITY-SELF INSURED</v>
          </cell>
        </row>
        <row r="5669">
          <cell r="A5669">
            <v>9689747</v>
          </cell>
          <cell r="B5669">
            <v>354600</v>
          </cell>
          <cell r="C5669" t="str">
            <v>PUBLIC LIABILITY-SELF INSURED</v>
          </cell>
        </row>
        <row r="5670">
          <cell r="A5670">
            <v>9689890</v>
          </cell>
          <cell r="B5670">
            <v>354600</v>
          </cell>
          <cell r="C5670" t="str">
            <v>PUBLIC LIABILITY-SELF INSURED</v>
          </cell>
        </row>
        <row r="5671">
          <cell r="A5671">
            <v>9689925</v>
          </cell>
          <cell r="B5671">
            <v>354600</v>
          </cell>
          <cell r="C5671" t="str">
            <v>PUBLIC LIABILITY-SELF INSURED</v>
          </cell>
        </row>
        <row r="5672">
          <cell r="A5672">
            <v>9689990</v>
          </cell>
          <cell r="B5672">
            <v>354600</v>
          </cell>
          <cell r="C5672" t="str">
            <v>PUBLIC LIABILITY-SELF INSURED</v>
          </cell>
        </row>
        <row r="5673">
          <cell r="A5673">
            <v>9723723</v>
          </cell>
          <cell r="B5673">
            <v>354600</v>
          </cell>
          <cell r="C5673" t="str">
            <v>PUBLIC LIABILITY-SELF INSURED</v>
          </cell>
        </row>
        <row r="5674">
          <cell r="A5674">
            <v>9090999</v>
          </cell>
          <cell r="B5674">
            <v>360511</v>
          </cell>
          <cell r="C5674" t="str">
            <v>DEPRECIATION-BUILDINGS</v>
          </cell>
        </row>
        <row r="5675">
          <cell r="A5675">
            <v>9100999</v>
          </cell>
          <cell r="B5675">
            <v>360511</v>
          </cell>
          <cell r="C5675" t="str">
            <v>DEPRECIATION-BUILDINGS</v>
          </cell>
        </row>
        <row r="5676">
          <cell r="A5676">
            <v>9680999</v>
          </cell>
          <cell r="B5676">
            <v>360511</v>
          </cell>
          <cell r="C5676" t="str">
            <v>DEPRECIATION-BUILDINGS</v>
          </cell>
        </row>
        <row r="5677">
          <cell r="A5677">
            <v>9090999</v>
          </cell>
          <cell r="B5677">
            <v>360529</v>
          </cell>
          <cell r="C5677" t="str">
            <v>AMORTIZATION-LEASEHOLD IMPROV</v>
          </cell>
        </row>
        <row r="5678">
          <cell r="A5678">
            <v>9100999</v>
          </cell>
          <cell r="B5678">
            <v>360529</v>
          </cell>
          <cell r="C5678" t="str">
            <v>AMORTIZATION-LEASEHOLD IMPROV</v>
          </cell>
        </row>
        <row r="5679">
          <cell r="A5679">
            <v>9689883</v>
          </cell>
          <cell r="B5679">
            <v>360529</v>
          </cell>
          <cell r="C5679" t="str">
            <v>AMORTIZATION-LEASEHOLD IMPROV</v>
          </cell>
        </row>
        <row r="5680">
          <cell r="A5680">
            <v>9689906</v>
          </cell>
          <cell r="B5680">
            <v>360529</v>
          </cell>
          <cell r="C5680" t="str">
            <v>AMORTIZATION-LEASEHOLD IMPROV</v>
          </cell>
        </row>
        <row r="5681">
          <cell r="A5681">
            <v>9689990</v>
          </cell>
          <cell r="B5681">
            <v>360529</v>
          </cell>
          <cell r="C5681" t="str">
            <v>AMORTIZATION-LEASEHOLD IMPROV</v>
          </cell>
        </row>
        <row r="5682">
          <cell r="A5682">
            <v>9689992</v>
          </cell>
          <cell r="B5682">
            <v>360529</v>
          </cell>
          <cell r="C5682" t="str">
            <v>AMORTIZATION-LEASEHOLD IMPROV</v>
          </cell>
        </row>
        <row r="5683">
          <cell r="A5683">
            <v>9682999</v>
          </cell>
          <cell r="B5683">
            <v>360726</v>
          </cell>
          <cell r="C5683" t="str">
            <v>EQUIP. &amp; INSTALLATION DEPRECIATION-STORE EQUIPMENT</v>
          </cell>
        </row>
        <row r="5684">
          <cell r="A5684">
            <v>9689883</v>
          </cell>
          <cell r="B5684">
            <v>360726</v>
          </cell>
          <cell r="C5684" t="str">
            <v>EQUIP. &amp; INSTALLATION DEPRECIATION-STORE EQUIPMENT</v>
          </cell>
        </row>
        <row r="5685">
          <cell r="A5685">
            <v>9689906</v>
          </cell>
          <cell r="B5685">
            <v>360726</v>
          </cell>
          <cell r="C5685" t="str">
            <v>EQUIP. &amp; INSTALLATION DEPRECIATION-STORE EQUIPMENT</v>
          </cell>
        </row>
        <row r="5686">
          <cell r="A5686">
            <v>9689992</v>
          </cell>
          <cell r="B5686">
            <v>360726</v>
          </cell>
          <cell r="C5686" t="str">
            <v>EQUIP. &amp; INSTALLATION DEPRECIATION-STORE EQUIPMENT</v>
          </cell>
        </row>
        <row r="5687">
          <cell r="A5687">
            <v>9720703</v>
          </cell>
          <cell r="B5687">
            <v>360726</v>
          </cell>
          <cell r="C5687" t="str">
            <v>EQUIP. &amp; INSTALLATION DEPRECIATION-STORE EQUIPMENT</v>
          </cell>
        </row>
        <row r="5688">
          <cell r="A5688">
            <v>9724718</v>
          </cell>
          <cell r="B5688">
            <v>360726</v>
          </cell>
          <cell r="C5688" t="str">
            <v>EQUIP. &amp; INSTALLATION DEPRECIATION-STORE EQUIPMENT</v>
          </cell>
        </row>
        <row r="5689">
          <cell r="A5689">
            <v>9724721</v>
          </cell>
          <cell r="B5689">
            <v>360726</v>
          </cell>
          <cell r="C5689" t="str">
            <v>EQUIP. &amp; INSTALLATION DEPRECIATION-STORE EQUIPMENT</v>
          </cell>
        </row>
        <row r="5690">
          <cell r="A5690">
            <v>9724724</v>
          </cell>
          <cell r="B5690">
            <v>360726</v>
          </cell>
          <cell r="C5690" t="str">
            <v>EQUIP. &amp; INSTALLATION DEPRECIATION-STORE EQUIPMENT</v>
          </cell>
        </row>
        <row r="5691">
          <cell r="A5691">
            <v>9725703</v>
          </cell>
          <cell r="B5691">
            <v>360726</v>
          </cell>
          <cell r="C5691" t="str">
            <v>EQUIP. &amp; INSTALLATION DEPRECIATION-STORE EQUIPMENT</v>
          </cell>
        </row>
        <row r="5692">
          <cell r="A5692">
            <v>9725704</v>
          </cell>
          <cell r="B5692">
            <v>360726</v>
          </cell>
          <cell r="C5692" t="str">
            <v>EQUIP. &amp; INSTALLATION DEPRECIATION-STORE EQUIPMENT</v>
          </cell>
        </row>
        <row r="5693">
          <cell r="A5693">
            <v>9725711</v>
          </cell>
          <cell r="B5693">
            <v>360726</v>
          </cell>
          <cell r="C5693" t="str">
            <v>EQUIP. &amp; INSTALLATION DEPRECIATION-STORE EQUIPMENT</v>
          </cell>
        </row>
        <row r="5694">
          <cell r="A5694">
            <v>9725717</v>
          </cell>
          <cell r="B5694">
            <v>360726</v>
          </cell>
          <cell r="C5694" t="str">
            <v>EQUIP. &amp; INSTALLATION DEPRECIATION-STORE EQUIPMENT</v>
          </cell>
        </row>
        <row r="5695">
          <cell r="A5695">
            <v>9725725</v>
          </cell>
          <cell r="B5695">
            <v>360726</v>
          </cell>
          <cell r="C5695" t="str">
            <v>EQUIP. &amp; INSTALLATION DEPRECIATION-STORE EQUIPMENT</v>
          </cell>
        </row>
        <row r="5696">
          <cell r="A5696">
            <v>9080700</v>
          </cell>
          <cell r="B5696">
            <v>360727</v>
          </cell>
          <cell r="C5696" t="str">
            <v>EQUIP. &amp; INSTALLATION DEPRECIATION-OFFICE EQUIPMENT</v>
          </cell>
        </row>
        <row r="5697">
          <cell r="A5697">
            <v>9080701</v>
          </cell>
          <cell r="B5697">
            <v>360727</v>
          </cell>
          <cell r="C5697" t="str">
            <v>EQUIP. &amp; INSTALLATION DEPRECIATION-OFFICE EQUIPMENT</v>
          </cell>
        </row>
        <row r="5698">
          <cell r="A5698">
            <v>9080702</v>
          </cell>
          <cell r="B5698">
            <v>360727</v>
          </cell>
          <cell r="C5698" t="str">
            <v>EQUIP. &amp; INSTALLATION DEPRECIATION-OFFICE EQUIPMENT</v>
          </cell>
        </row>
        <row r="5699">
          <cell r="A5699">
            <v>9080705</v>
          </cell>
          <cell r="B5699">
            <v>360727</v>
          </cell>
          <cell r="C5699" t="str">
            <v>EQUIP. &amp; INSTALLATION DEPRECIATION-OFFICE EQUIPMENT</v>
          </cell>
        </row>
        <row r="5700">
          <cell r="A5700">
            <v>9080707</v>
          </cell>
          <cell r="B5700">
            <v>360727</v>
          </cell>
          <cell r="C5700" t="str">
            <v>EQUIP. &amp; INSTALLATION DEPRECIATION-OFFICE EQUIPMENT</v>
          </cell>
        </row>
        <row r="5701">
          <cell r="A5701">
            <v>9080710</v>
          </cell>
          <cell r="B5701">
            <v>360727</v>
          </cell>
          <cell r="C5701" t="str">
            <v>EQUIP. &amp; INSTALLATION DEPRECIATION-OFFICE EQUIPMENT</v>
          </cell>
        </row>
        <row r="5702">
          <cell r="A5702">
            <v>9080999</v>
          </cell>
          <cell r="B5702">
            <v>360727</v>
          </cell>
          <cell r="C5702" t="str">
            <v>EQUIP. &amp; INSTALLATION DEPRECIATION-OFFICE EQUIPMENT</v>
          </cell>
        </row>
        <row r="5703">
          <cell r="A5703">
            <v>9090710</v>
          </cell>
          <cell r="B5703">
            <v>360727</v>
          </cell>
          <cell r="C5703" t="str">
            <v>EQUIP. &amp; INSTALLATION DEPRECIATION-OFFICE EQUIPMENT</v>
          </cell>
        </row>
        <row r="5704">
          <cell r="A5704">
            <v>9090999</v>
          </cell>
          <cell r="B5704">
            <v>360727</v>
          </cell>
          <cell r="C5704" t="str">
            <v>EQUIP. &amp; INSTALLATION DEPRECIATION-OFFICE EQUIPMENT</v>
          </cell>
        </row>
        <row r="5705">
          <cell r="A5705">
            <v>9100710</v>
          </cell>
          <cell r="B5705">
            <v>360727</v>
          </cell>
          <cell r="C5705" t="str">
            <v>EQUIP. &amp; INSTALLATION DEPRECIATION-OFFICE EQUIPMENT</v>
          </cell>
        </row>
        <row r="5706">
          <cell r="A5706">
            <v>9100999</v>
          </cell>
          <cell r="B5706">
            <v>360727</v>
          </cell>
          <cell r="C5706" t="str">
            <v>EQUIP. &amp; INSTALLATION DEPRECIATION-OFFICE EQUIPMENT</v>
          </cell>
        </row>
        <row r="5707">
          <cell r="A5707">
            <v>9110700</v>
          </cell>
          <cell r="B5707">
            <v>360727</v>
          </cell>
          <cell r="C5707" t="str">
            <v>EQUIP. &amp; INSTALLATION DEPRECIATION-OFFICE EQUIPMENT</v>
          </cell>
        </row>
        <row r="5708">
          <cell r="A5708">
            <v>9110702</v>
          </cell>
          <cell r="B5708">
            <v>360727</v>
          </cell>
          <cell r="C5708" t="str">
            <v>EQUIP. &amp; INSTALLATION DEPRECIATION-OFFICE EQUIPMENT</v>
          </cell>
        </row>
        <row r="5709">
          <cell r="A5709">
            <v>9110705</v>
          </cell>
          <cell r="B5709">
            <v>360727</v>
          </cell>
          <cell r="C5709" t="str">
            <v>EQUIP. &amp; INSTALLATION DEPRECIATION-OFFICE EQUIPMENT</v>
          </cell>
        </row>
        <row r="5710">
          <cell r="A5710">
            <v>9110707</v>
          </cell>
          <cell r="B5710">
            <v>360727</v>
          </cell>
          <cell r="C5710" t="str">
            <v>EQUIP. &amp; INSTALLATION DEPRECIATION-OFFICE EQUIPMENT</v>
          </cell>
        </row>
        <row r="5711">
          <cell r="A5711">
            <v>9110999</v>
          </cell>
          <cell r="B5711">
            <v>360727</v>
          </cell>
          <cell r="C5711" t="str">
            <v>EQUIP. &amp; INSTALLATION DEPRECIATION-OFFICE EQUIPMENT</v>
          </cell>
        </row>
        <row r="5712">
          <cell r="A5712">
            <v>9680999</v>
          </cell>
          <cell r="B5712">
            <v>360727</v>
          </cell>
          <cell r="C5712" t="str">
            <v>EQUIP. &amp; INSTALLATION DEPRECIATION-OFFICE EQUIPMENT</v>
          </cell>
        </row>
        <row r="5713">
          <cell r="A5713">
            <v>9681700</v>
          </cell>
          <cell r="B5713">
            <v>360727</v>
          </cell>
          <cell r="C5713" t="str">
            <v>EQUIP. &amp; INSTALLATION DEPRECIATION-OFFICE EQUIPMENT</v>
          </cell>
        </row>
        <row r="5714">
          <cell r="A5714">
            <v>9681701</v>
          </cell>
          <cell r="B5714">
            <v>360727</v>
          </cell>
          <cell r="C5714" t="str">
            <v>EQUIP. &amp; INSTALLATION DEPRECIATION-OFFICE EQUIPMENT</v>
          </cell>
        </row>
        <row r="5715">
          <cell r="A5715">
            <v>9681702</v>
          </cell>
          <cell r="B5715">
            <v>360727</v>
          </cell>
          <cell r="C5715" t="str">
            <v>EQUIP. &amp; INSTALLATION DEPRECIATION-OFFICE EQUIPMENT</v>
          </cell>
        </row>
        <row r="5716">
          <cell r="A5716">
            <v>9681705</v>
          </cell>
          <cell r="B5716">
            <v>360727</v>
          </cell>
          <cell r="C5716" t="str">
            <v>EQUIP. &amp; INSTALLATION DEPRECIATION-OFFICE EQUIPMENT</v>
          </cell>
        </row>
        <row r="5717">
          <cell r="A5717">
            <v>9681706</v>
          </cell>
          <cell r="B5717">
            <v>360727</v>
          </cell>
          <cell r="C5717" t="str">
            <v>EQUIP. &amp; INSTALLATION DEPRECIATION-OFFICE EQUIPMENT</v>
          </cell>
        </row>
        <row r="5718">
          <cell r="A5718">
            <v>9681707</v>
          </cell>
          <cell r="B5718">
            <v>360727</v>
          </cell>
          <cell r="C5718" t="str">
            <v>EQUIP. &amp; INSTALLATION DEPRECIATION-OFFICE EQUIPMENT</v>
          </cell>
        </row>
        <row r="5719">
          <cell r="A5719">
            <v>9681712</v>
          </cell>
          <cell r="B5719">
            <v>360727</v>
          </cell>
          <cell r="C5719" t="str">
            <v>EQUIP. &amp; INSTALLATION DEPRECIATION-OFFICE EQUIPMENT</v>
          </cell>
        </row>
        <row r="5720">
          <cell r="A5720">
            <v>9681714</v>
          </cell>
          <cell r="B5720">
            <v>360727</v>
          </cell>
          <cell r="C5720" t="str">
            <v>EQUIP. &amp; INSTALLATION DEPRECIATION-OFFICE EQUIPMENT</v>
          </cell>
        </row>
        <row r="5721">
          <cell r="A5721">
            <v>9681727</v>
          </cell>
          <cell r="B5721">
            <v>360727</v>
          </cell>
          <cell r="C5721" t="str">
            <v>EQUIP. &amp; INSTALLATION DEPRECIATION-OFFICE EQUIPMENT</v>
          </cell>
        </row>
        <row r="5722">
          <cell r="A5722">
            <v>9681749</v>
          </cell>
          <cell r="B5722">
            <v>360727</v>
          </cell>
          <cell r="C5722" t="str">
            <v>EQUIP. &amp; INSTALLATION DEPRECIATION-OFFICE EQUIPMENT</v>
          </cell>
        </row>
        <row r="5723">
          <cell r="A5723">
            <v>9681999</v>
          </cell>
          <cell r="B5723">
            <v>360727</v>
          </cell>
          <cell r="C5723" t="str">
            <v>EQUIP. &amp; INSTALLATION DEPRECIATION-OFFICE EQUIPMENT</v>
          </cell>
        </row>
        <row r="5724">
          <cell r="A5724">
            <v>9682715</v>
          </cell>
          <cell r="B5724">
            <v>360727</v>
          </cell>
          <cell r="C5724" t="str">
            <v>EQUIP. &amp; INSTALLATION DEPRECIATION-OFFICE EQUIPMENT</v>
          </cell>
        </row>
        <row r="5725">
          <cell r="A5725">
            <v>9682722</v>
          </cell>
          <cell r="B5725">
            <v>360727</v>
          </cell>
          <cell r="C5725" t="str">
            <v>EQUIP. &amp; INSTALLATION DEPRECIATION-OFFICE EQUIPMENT</v>
          </cell>
        </row>
        <row r="5726">
          <cell r="A5726">
            <v>9682999</v>
          </cell>
          <cell r="B5726">
            <v>360727</v>
          </cell>
          <cell r="C5726" t="str">
            <v>EQUIP. &amp; INSTALLATION DEPRECIATION-OFFICE EQUIPMENT</v>
          </cell>
        </row>
        <row r="5727">
          <cell r="A5727">
            <v>9689883</v>
          </cell>
          <cell r="B5727">
            <v>360727</v>
          </cell>
          <cell r="C5727" t="str">
            <v>EQUIP. &amp; INSTALLATION DEPRECIATION-OFFICE EQUIPMENT</v>
          </cell>
        </row>
        <row r="5728">
          <cell r="A5728">
            <v>9689906</v>
          </cell>
          <cell r="B5728">
            <v>360727</v>
          </cell>
          <cell r="C5728" t="str">
            <v>EQUIP. &amp; INSTALLATION DEPRECIATION-OFFICE EQUIPMENT</v>
          </cell>
        </row>
        <row r="5729">
          <cell r="A5729">
            <v>9689991</v>
          </cell>
          <cell r="B5729">
            <v>360727</v>
          </cell>
          <cell r="C5729" t="str">
            <v>EQUIP. &amp; INSTALLATION DEPRECIATION-OFFICE EQUIPMENT</v>
          </cell>
        </row>
        <row r="5730">
          <cell r="A5730">
            <v>9689992</v>
          </cell>
          <cell r="B5730">
            <v>360727</v>
          </cell>
          <cell r="C5730" t="str">
            <v>EQUIP. &amp; INSTALLATION DEPRECIATION-OFFICE EQUIPMENT</v>
          </cell>
        </row>
        <row r="5731">
          <cell r="A5731">
            <v>9689993</v>
          </cell>
          <cell r="B5731">
            <v>360727</v>
          </cell>
          <cell r="C5731" t="str">
            <v>EQUIP. &amp; INSTALLATION DEPRECIATION-OFFICE EQUIPMENT</v>
          </cell>
        </row>
        <row r="5732">
          <cell r="A5732">
            <v>9689994</v>
          </cell>
          <cell r="B5732">
            <v>360727</v>
          </cell>
          <cell r="C5732" t="str">
            <v>EQUIP. &amp; INSTALLATION DEPRECIATION-OFFICE EQUIPMENT</v>
          </cell>
        </row>
        <row r="5733">
          <cell r="A5733">
            <v>9689999</v>
          </cell>
          <cell r="B5733">
            <v>360727</v>
          </cell>
          <cell r="C5733" t="str">
            <v>EQUIP. &amp; INSTALLATION DEPRECIATION-OFFICE EQUIPMENT</v>
          </cell>
        </row>
        <row r="5734">
          <cell r="A5734">
            <v>9090999</v>
          </cell>
          <cell r="B5734">
            <v>360729</v>
          </cell>
          <cell r="C5734" t="str">
            <v>AMORT-LEASE IMPROVE-WRITE-UP</v>
          </cell>
        </row>
        <row r="5735">
          <cell r="A5735">
            <v>9100999</v>
          </cell>
          <cell r="B5735">
            <v>360729</v>
          </cell>
          <cell r="C5735" t="str">
            <v>AMORT-LEASE IMPROVE-WRITE-UP</v>
          </cell>
        </row>
        <row r="5736">
          <cell r="A5736">
            <v>9680700</v>
          </cell>
          <cell r="B5736">
            <v>360729</v>
          </cell>
          <cell r="C5736" t="str">
            <v>AMORT-LEASE IMPROVE-WRITE-UP</v>
          </cell>
        </row>
        <row r="5737">
          <cell r="A5737">
            <v>9680701</v>
          </cell>
          <cell r="B5737">
            <v>360729</v>
          </cell>
          <cell r="C5737" t="str">
            <v>AMORT-LEASE IMPROVE-WRITE-UP</v>
          </cell>
        </row>
        <row r="5738">
          <cell r="A5738">
            <v>9680702</v>
          </cell>
          <cell r="B5738">
            <v>360729</v>
          </cell>
          <cell r="C5738" t="str">
            <v>AMORT-LEASE IMPROVE-WRITE-UP</v>
          </cell>
        </row>
        <row r="5739">
          <cell r="A5739">
            <v>9680705</v>
          </cell>
          <cell r="B5739">
            <v>360729</v>
          </cell>
          <cell r="C5739" t="str">
            <v>AMORT-LEASE IMPROVE-WRITE-UP</v>
          </cell>
        </row>
        <row r="5740">
          <cell r="A5740">
            <v>9680707</v>
          </cell>
          <cell r="B5740">
            <v>360729</v>
          </cell>
          <cell r="C5740" t="str">
            <v>AMORT-LEASE IMPROVE-WRITE-UP</v>
          </cell>
        </row>
        <row r="5741">
          <cell r="A5741">
            <v>9680710</v>
          </cell>
          <cell r="B5741">
            <v>360729</v>
          </cell>
          <cell r="C5741" t="str">
            <v>AMORT-LEASE IMPROVE-WRITE-UP</v>
          </cell>
        </row>
        <row r="5742">
          <cell r="A5742">
            <v>9680712</v>
          </cell>
          <cell r="B5742">
            <v>360729</v>
          </cell>
          <cell r="C5742" t="str">
            <v>AMORT-LEASE IMPROVE-WRITE-UP</v>
          </cell>
        </row>
        <row r="5743">
          <cell r="A5743">
            <v>9680714</v>
          </cell>
          <cell r="B5743">
            <v>360729</v>
          </cell>
          <cell r="C5743" t="str">
            <v>AMORT-LEASE IMPROVE-WRITE-UP</v>
          </cell>
        </row>
        <row r="5744">
          <cell r="A5744">
            <v>9680734</v>
          </cell>
          <cell r="B5744">
            <v>360729</v>
          </cell>
          <cell r="C5744" t="str">
            <v>AMORT-LEASE IMPROVE-WRITE-UP</v>
          </cell>
        </row>
        <row r="5745">
          <cell r="A5745">
            <v>9680748</v>
          </cell>
          <cell r="B5745">
            <v>360729</v>
          </cell>
          <cell r="C5745" t="str">
            <v>AMORT-LEASE IMPROVE-WRITE-UP</v>
          </cell>
        </row>
        <row r="5746">
          <cell r="A5746">
            <v>9680749</v>
          </cell>
          <cell r="B5746">
            <v>360729</v>
          </cell>
          <cell r="C5746" t="str">
            <v>AMORT-LEASE IMPROVE-WRITE-UP</v>
          </cell>
        </row>
        <row r="5747">
          <cell r="A5747">
            <v>9680894</v>
          </cell>
          <cell r="B5747">
            <v>360729</v>
          </cell>
          <cell r="C5747" t="str">
            <v>AMORT-LEASE IMPROVE-WRITE-UP</v>
          </cell>
        </row>
        <row r="5748">
          <cell r="A5748">
            <v>9680999</v>
          </cell>
          <cell r="B5748">
            <v>360729</v>
          </cell>
          <cell r="C5748" t="str">
            <v>AMORT-LEASE IMPROVE-WRITE-UP</v>
          </cell>
        </row>
        <row r="5749">
          <cell r="A5749">
            <v>9681710</v>
          </cell>
          <cell r="B5749">
            <v>360729</v>
          </cell>
          <cell r="C5749" t="str">
            <v>AMORT-LEASE IMPROVE-WRITE-UP</v>
          </cell>
        </row>
        <row r="5750">
          <cell r="A5750">
            <v>9681734</v>
          </cell>
          <cell r="B5750">
            <v>360729</v>
          </cell>
          <cell r="C5750" t="str">
            <v>AMORT-LEASE IMPROVE-WRITE-UP</v>
          </cell>
        </row>
        <row r="5751">
          <cell r="A5751">
            <v>9681748</v>
          </cell>
          <cell r="B5751">
            <v>360729</v>
          </cell>
          <cell r="C5751" t="str">
            <v>AMORT-LEASE IMPROVE-WRITE-UP</v>
          </cell>
        </row>
        <row r="5752">
          <cell r="A5752">
            <v>9681894</v>
          </cell>
          <cell r="B5752">
            <v>360729</v>
          </cell>
          <cell r="C5752" t="str">
            <v>AMORT-LEASE IMPROVE-WRITE-UP</v>
          </cell>
        </row>
        <row r="5753">
          <cell r="A5753">
            <v>9684999</v>
          </cell>
          <cell r="B5753">
            <v>360729</v>
          </cell>
          <cell r="C5753" t="str">
            <v>AMORT-LEASE IMPROVE-WRITE-UP</v>
          </cell>
        </row>
        <row r="5754">
          <cell r="A5754">
            <v>9689883</v>
          </cell>
          <cell r="B5754">
            <v>360729</v>
          </cell>
          <cell r="C5754" t="str">
            <v>AMORT-LEASE IMPROVE-WRITE-UP</v>
          </cell>
        </row>
        <row r="5755">
          <cell r="A5755">
            <v>9689906</v>
          </cell>
          <cell r="B5755">
            <v>360729</v>
          </cell>
          <cell r="C5755" t="str">
            <v>AMORT-LEASE IMPROVE-WRITE-UP</v>
          </cell>
        </row>
        <row r="5756">
          <cell r="A5756">
            <v>9689992</v>
          </cell>
          <cell r="B5756">
            <v>360729</v>
          </cell>
          <cell r="C5756" t="str">
            <v>AMORT-LEASE IMPROVE-WRITE-UP</v>
          </cell>
        </row>
        <row r="5757">
          <cell r="A5757">
            <v>9725711</v>
          </cell>
          <cell r="B5757">
            <v>361104</v>
          </cell>
          <cell r="C5757" t="str">
            <v>PROP RENT-INTERCO-ATM</v>
          </cell>
        </row>
        <row r="5758">
          <cell r="A5758">
            <v>9725725</v>
          </cell>
          <cell r="B5758">
            <v>361104</v>
          </cell>
          <cell r="C5758" t="str">
            <v>PROP RENT-INTERCO-ATM</v>
          </cell>
        </row>
        <row r="5759">
          <cell r="A5759">
            <v>9080700</v>
          </cell>
          <cell r="B5759">
            <v>361108</v>
          </cell>
          <cell r="C5759" t="str">
            <v>PROPERTY RENTAL-OUTSIDE/LEASE</v>
          </cell>
        </row>
        <row r="5760">
          <cell r="A5760">
            <v>9080701</v>
          </cell>
          <cell r="B5760">
            <v>361108</v>
          </cell>
          <cell r="C5760" t="str">
            <v>PROPERTY RENTAL-OUTSIDE/LEASE</v>
          </cell>
        </row>
        <row r="5761">
          <cell r="A5761">
            <v>9080702</v>
          </cell>
          <cell r="B5761">
            <v>361108</v>
          </cell>
          <cell r="C5761" t="str">
            <v>PROPERTY RENTAL-OUTSIDE/LEASE</v>
          </cell>
        </row>
        <row r="5762">
          <cell r="A5762">
            <v>9080705</v>
          </cell>
          <cell r="B5762">
            <v>361108</v>
          </cell>
          <cell r="C5762" t="str">
            <v>PROPERTY RENTAL-OUTSIDE/LEASE</v>
          </cell>
        </row>
        <row r="5763">
          <cell r="A5763">
            <v>9080707</v>
          </cell>
          <cell r="B5763">
            <v>361108</v>
          </cell>
          <cell r="C5763" t="str">
            <v>PROPERTY RENTAL-OUTSIDE/LEASE</v>
          </cell>
        </row>
        <row r="5764">
          <cell r="A5764">
            <v>9080710</v>
          </cell>
          <cell r="B5764">
            <v>361108</v>
          </cell>
          <cell r="C5764" t="str">
            <v>PROPERTY RENTAL-OUTSIDE/LEASE</v>
          </cell>
        </row>
        <row r="5765">
          <cell r="A5765">
            <v>9080999</v>
          </cell>
          <cell r="B5765">
            <v>361108</v>
          </cell>
          <cell r="C5765" t="str">
            <v>PROPERTY RENTAL-OUTSIDE/LEASE</v>
          </cell>
        </row>
        <row r="5766">
          <cell r="A5766">
            <v>9090999</v>
          </cell>
          <cell r="B5766">
            <v>361108</v>
          </cell>
          <cell r="C5766" t="str">
            <v>PROPERTY RENTAL-OUTSIDE/LEASE</v>
          </cell>
        </row>
        <row r="5767">
          <cell r="A5767">
            <v>9100999</v>
          </cell>
          <cell r="B5767">
            <v>361108</v>
          </cell>
          <cell r="C5767" t="str">
            <v>PROPERTY RENTAL-OUTSIDE/LEASE</v>
          </cell>
        </row>
        <row r="5768">
          <cell r="A5768">
            <v>9110700</v>
          </cell>
          <cell r="B5768">
            <v>361108</v>
          </cell>
          <cell r="C5768" t="str">
            <v>PROPERTY RENTAL-OUTSIDE/LEASE</v>
          </cell>
        </row>
        <row r="5769">
          <cell r="A5769">
            <v>9110702</v>
          </cell>
          <cell r="B5769">
            <v>361108</v>
          </cell>
          <cell r="C5769" t="str">
            <v>PROPERTY RENTAL-OUTSIDE/LEASE</v>
          </cell>
        </row>
        <row r="5770">
          <cell r="A5770">
            <v>9110705</v>
          </cell>
          <cell r="B5770">
            <v>361108</v>
          </cell>
          <cell r="C5770" t="str">
            <v>PROPERTY RENTAL-OUTSIDE/LEASE</v>
          </cell>
        </row>
        <row r="5771">
          <cell r="A5771">
            <v>9110707</v>
          </cell>
          <cell r="B5771">
            <v>361108</v>
          </cell>
          <cell r="C5771" t="str">
            <v>PROPERTY RENTAL-OUTSIDE/LEASE</v>
          </cell>
        </row>
        <row r="5772">
          <cell r="A5772">
            <v>9110999</v>
          </cell>
          <cell r="B5772">
            <v>361108</v>
          </cell>
          <cell r="C5772" t="str">
            <v>PROPERTY RENTAL-OUTSIDE/LEASE</v>
          </cell>
        </row>
        <row r="5773">
          <cell r="A5773">
            <v>9680700</v>
          </cell>
          <cell r="B5773">
            <v>361108</v>
          </cell>
          <cell r="C5773" t="str">
            <v>PROPERTY RENTAL-OUTSIDE/LEASE</v>
          </cell>
        </row>
        <row r="5774">
          <cell r="A5774">
            <v>9680701</v>
          </cell>
          <cell r="B5774">
            <v>361108</v>
          </cell>
          <cell r="C5774" t="str">
            <v>PROPERTY RENTAL-OUTSIDE/LEASE</v>
          </cell>
        </row>
        <row r="5775">
          <cell r="A5775">
            <v>9680702</v>
          </cell>
          <cell r="B5775">
            <v>361108</v>
          </cell>
          <cell r="C5775" t="str">
            <v>PROPERTY RENTAL-OUTSIDE/LEASE</v>
          </cell>
        </row>
        <row r="5776">
          <cell r="A5776">
            <v>9680705</v>
          </cell>
          <cell r="B5776">
            <v>361108</v>
          </cell>
          <cell r="C5776" t="str">
            <v>PROPERTY RENTAL-OUTSIDE/LEASE</v>
          </cell>
        </row>
        <row r="5777">
          <cell r="A5777">
            <v>9680707</v>
          </cell>
          <cell r="B5777">
            <v>361108</v>
          </cell>
          <cell r="C5777" t="str">
            <v>PROPERTY RENTAL-OUTSIDE/LEASE</v>
          </cell>
        </row>
        <row r="5778">
          <cell r="A5778">
            <v>9680710</v>
          </cell>
          <cell r="B5778">
            <v>361108</v>
          </cell>
          <cell r="C5778" t="str">
            <v>PROPERTY RENTAL-OUTSIDE/LEASE</v>
          </cell>
        </row>
        <row r="5779">
          <cell r="A5779">
            <v>9680712</v>
          </cell>
          <cell r="B5779">
            <v>361108</v>
          </cell>
          <cell r="C5779" t="str">
            <v>PROPERTY RENTAL-OUTSIDE/LEASE</v>
          </cell>
        </row>
        <row r="5780">
          <cell r="A5780">
            <v>9680714</v>
          </cell>
          <cell r="B5780">
            <v>361108</v>
          </cell>
          <cell r="C5780" t="str">
            <v>PROPERTY RENTAL-OUTSIDE/LEASE</v>
          </cell>
        </row>
        <row r="5781">
          <cell r="A5781">
            <v>9680734</v>
          </cell>
          <cell r="B5781">
            <v>361108</v>
          </cell>
          <cell r="C5781" t="str">
            <v>PROPERTY RENTAL-OUTSIDE/LEASE</v>
          </cell>
        </row>
        <row r="5782">
          <cell r="A5782">
            <v>9680748</v>
          </cell>
          <cell r="B5782">
            <v>361108</v>
          </cell>
          <cell r="C5782" t="str">
            <v>PROPERTY RENTAL-OUTSIDE/LEASE</v>
          </cell>
        </row>
        <row r="5783">
          <cell r="A5783">
            <v>9680749</v>
          </cell>
          <cell r="B5783">
            <v>361108</v>
          </cell>
          <cell r="C5783" t="str">
            <v>PROPERTY RENTAL-OUTSIDE/LEASE</v>
          </cell>
        </row>
        <row r="5784">
          <cell r="A5784">
            <v>9680894</v>
          </cell>
          <cell r="B5784">
            <v>361108</v>
          </cell>
          <cell r="C5784" t="str">
            <v>PROPERTY RENTAL-OUTSIDE/LEASE</v>
          </cell>
        </row>
        <row r="5785">
          <cell r="A5785">
            <v>9680999</v>
          </cell>
          <cell r="B5785">
            <v>361108</v>
          </cell>
          <cell r="C5785" t="str">
            <v>PROPERTY RENTAL-OUTSIDE/LEASE</v>
          </cell>
        </row>
        <row r="5786">
          <cell r="A5786">
            <v>9681700</v>
          </cell>
          <cell r="B5786">
            <v>361108</v>
          </cell>
          <cell r="C5786" t="str">
            <v>PROPERTY RENTAL-OUTSIDE/LEASE</v>
          </cell>
        </row>
        <row r="5787">
          <cell r="A5787">
            <v>9681701</v>
          </cell>
          <cell r="B5787">
            <v>361108</v>
          </cell>
          <cell r="C5787" t="str">
            <v>PROPERTY RENTAL-OUTSIDE/LEASE</v>
          </cell>
        </row>
        <row r="5788">
          <cell r="A5788">
            <v>9681702</v>
          </cell>
          <cell r="B5788">
            <v>361108</v>
          </cell>
          <cell r="C5788" t="str">
            <v>PROPERTY RENTAL-OUTSIDE/LEASE</v>
          </cell>
        </row>
        <row r="5789">
          <cell r="A5789">
            <v>9681705</v>
          </cell>
          <cell r="B5789">
            <v>361108</v>
          </cell>
          <cell r="C5789" t="str">
            <v>PROPERTY RENTAL-OUTSIDE/LEASE</v>
          </cell>
        </row>
        <row r="5790">
          <cell r="A5790">
            <v>9681706</v>
          </cell>
          <cell r="B5790">
            <v>361108</v>
          </cell>
          <cell r="C5790" t="str">
            <v>PROPERTY RENTAL-OUTSIDE/LEASE</v>
          </cell>
        </row>
        <row r="5791">
          <cell r="A5791">
            <v>9681707</v>
          </cell>
          <cell r="B5791">
            <v>361108</v>
          </cell>
          <cell r="C5791" t="str">
            <v>PROPERTY RENTAL-OUTSIDE/LEASE</v>
          </cell>
        </row>
        <row r="5792">
          <cell r="A5792">
            <v>9681710</v>
          </cell>
          <cell r="B5792">
            <v>361108</v>
          </cell>
          <cell r="C5792" t="str">
            <v>PROPERTY RENTAL-OUTSIDE/LEASE</v>
          </cell>
        </row>
        <row r="5793">
          <cell r="A5793">
            <v>9681712</v>
          </cell>
          <cell r="B5793">
            <v>361108</v>
          </cell>
          <cell r="C5793" t="str">
            <v>PROPERTY RENTAL-OUTSIDE/LEASE</v>
          </cell>
        </row>
        <row r="5794">
          <cell r="A5794">
            <v>9681727</v>
          </cell>
          <cell r="B5794">
            <v>361108</v>
          </cell>
          <cell r="C5794" t="str">
            <v>PROPERTY RENTAL-OUTSIDE/LEASE</v>
          </cell>
        </row>
        <row r="5795">
          <cell r="A5795">
            <v>9681734</v>
          </cell>
          <cell r="B5795">
            <v>361108</v>
          </cell>
          <cell r="C5795" t="str">
            <v>PROPERTY RENTAL-OUTSIDE/LEASE</v>
          </cell>
        </row>
        <row r="5796">
          <cell r="A5796">
            <v>9681748</v>
          </cell>
          <cell r="B5796">
            <v>361108</v>
          </cell>
          <cell r="C5796" t="str">
            <v>PROPERTY RENTAL-OUTSIDE/LEASE</v>
          </cell>
        </row>
        <row r="5797">
          <cell r="A5797">
            <v>9681749</v>
          </cell>
          <cell r="B5797">
            <v>361108</v>
          </cell>
          <cell r="C5797" t="str">
            <v>PROPERTY RENTAL-OUTSIDE/LEASE</v>
          </cell>
        </row>
        <row r="5798">
          <cell r="A5798">
            <v>9681894</v>
          </cell>
          <cell r="B5798">
            <v>361108</v>
          </cell>
          <cell r="C5798" t="str">
            <v>PROPERTY RENTAL-OUTSIDE/LEASE</v>
          </cell>
        </row>
        <row r="5799">
          <cell r="A5799">
            <v>9681999</v>
          </cell>
          <cell r="B5799">
            <v>361108</v>
          </cell>
          <cell r="C5799" t="str">
            <v>PROPERTY RENTAL-OUTSIDE/LEASE</v>
          </cell>
        </row>
        <row r="5800">
          <cell r="A5800">
            <v>9684999</v>
          </cell>
          <cell r="B5800">
            <v>361108</v>
          </cell>
          <cell r="C5800" t="str">
            <v>PROPERTY RENTAL-OUTSIDE/LEASE</v>
          </cell>
        </row>
        <row r="5801">
          <cell r="A5801">
            <v>9689883</v>
          </cell>
          <cell r="B5801">
            <v>361108</v>
          </cell>
          <cell r="C5801" t="str">
            <v>PROPERTY RENTAL-OUTSIDE/LEASE</v>
          </cell>
        </row>
        <row r="5802">
          <cell r="A5802">
            <v>9689906</v>
          </cell>
          <cell r="B5802">
            <v>361108</v>
          </cell>
          <cell r="C5802" t="str">
            <v>PROPERTY RENTAL-OUTSIDE/LEASE</v>
          </cell>
        </row>
        <row r="5803">
          <cell r="A5803">
            <v>9689990</v>
          </cell>
          <cell r="B5803">
            <v>361108</v>
          </cell>
          <cell r="C5803" t="str">
            <v>PROPERTY RENTAL-OUTSIDE/LEASE</v>
          </cell>
        </row>
        <row r="5804">
          <cell r="A5804">
            <v>9689991</v>
          </cell>
          <cell r="B5804">
            <v>361108</v>
          </cell>
          <cell r="C5804" t="str">
            <v>PROPERTY RENTAL-OUTSIDE/LEASE</v>
          </cell>
        </row>
        <row r="5805">
          <cell r="A5805">
            <v>9689992</v>
          </cell>
          <cell r="B5805">
            <v>361108</v>
          </cell>
          <cell r="C5805" t="str">
            <v>PROPERTY RENTAL-OUTSIDE/LEASE</v>
          </cell>
        </row>
        <row r="5806">
          <cell r="A5806">
            <v>9689993</v>
          </cell>
          <cell r="B5806">
            <v>361108</v>
          </cell>
          <cell r="C5806" t="str">
            <v>PROPERTY RENTAL-OUTSIDE/LEASE</v>
          </cell>
        </row>
        <row r="5807">
          <cell r="A5807">
            <v>9689994</v>
          </cell>
          <cell r="B5807">
            <v>361108</v>
          </cell>
          <cell r="C5807" t="str">
            <v>PROPERTY RENTAL-OUTSIDE/LEASE</v>
          </cell>
        </row>
        <row r="5808">
          <cell r="A5808">
            <v>9722709</v>
          </cell>
          <cell r="B5808">
            <v>361108</v>
          </cell>
          <cell r="C5808" t="str">
            <v>PROPERTY RENTAL-OUTSIDE/LEASE</v>
          </cell>
        </row>
        <row r="5809">
          <cell r="A5809">
            <v>9722713</v>
          </cell>
          <cell r="B5809">
            <v>361108</v>
          </cell>
          <cell r="C5809" t="str">
            <v>PROPERTY RENTAL-OUTSIDE/LEASE</v>
          </cell>
        </row>
        <row r="5810">
          <cell r="A5810">
            <v>9969681</v>
          </cell>
          <cell r="B5810">
            <v>361108</v>
          </cell>
          <cell r="C5810" t="str">
            <v>PROPERTY RENTAL-OUTSIDE/LEASE</v>
          </cell>
        </row>
        <row r="5811">
          <cell r="A5811">
            <v>9684999</v>
          </cell>
          <cell r="B5811">
            <v>361109</v>
          </cell>
          <cell r="C5811" t="str">
            <v>AMORT LANDLORD REIMBUR LI'S</v>
          </cell>
        </row>
        <row r="5812">
          <cell r="A5812">
            <v>9685999</v>
          </cell>
          <cell r="B5812">
            <v>361109</v>
          </cell>
          <cell r="C5812" t="str">
            <v>AMORT LANDLORD REIMBUR LI'S</v>
          </cell>
        </row>
        <row r="5813">
          <cell r="A5813">
            <v>9689883</v>
          </cell>
          <cell r="B5813">
            <v>361109</v>
          </cell>
          <cell r="C5813" t="str">
            <v>AMORT LANDLORD REIMBUR LI'S</v>
          </cell>
        </row>
        <row r="5814">
          <cell r="A5814">
            <v>9689906</v>
          </cell>
          <cell r="B5814">
            <v>361109</v>
          </cell>
          <cell r="C5814" t="str">
            <v>AMORT LANDLORD REIMBUR LI'S</v>
          </cell>
        </row>
        <row r="5815">
          <cell r="A5815">
            <v>9689990</v>
          </cell>
          <cell r="B5815">
            <v>361109</v>
          </cell>
          <cell r="C5815" t="str">
            <v>AMORT LANDLORD REIMBUR LI'S</v>
          </cell>
        </row>
        <row r="5816">
          <cell r="A5816">
            <v>9689992</v>
          </cell>
          <cell r="B5816">
            <v>361109</v>
          </cell>
          <cell r="C5816" t="str">
            <v>AMORT LANDLORD REIMBUR LI'S</v>
          </cell>
        </row>
        <row r="5817">
          <cell r="A5817">
            <v>9090999</v>
          </cell>
          <cell r="B5817">
            <v>361130</v>
          </cell>
          <cell r="C5817" t="str">
            <v>RENT RECEIVED-OUTSIDE</v>
          </cell>
        </row>
        <row r="5818">
          <cell r="A5818">
            <v>9100999</v>
          </cell>
          <cell r="B5818">
            <v>361130</v>
          </cell>
          <cell r="C5818" t="str">
            <v>RENT RECEIVED-OUTSIDE</v>
          </cell>
        </row>
        <row r="5819">
          <cell r="A5819">
            <v>9720703</v>
          </cell>
          <cell r="B5819">
            <v>361512</v>
          </cell>
          <cell r="C5819" t="str">
            <v>RENT PAID - OUTSIDE - REBILLED</v>
          </cell>
        </row>
        <row r="5820">
          <cell r="A5820">
            <v>9724718</v>
          </cell>
          <cell r="B5820">
            <v>361512</v>
          </cell>
          <cell r="C5820" t="str">
            <v>RENT PAID - OUTSIDE - REBILLED</v>
          </cell>
        </row>
        <row r="5821">
          <cell r="A5821">
            <v>9724721</v>
          </cell>
          <cell r="B5821">
            <v>361512</v>
          </cell>
          <cell r="C5821" t="str">
            <v>RENT PAID - OUTSIDE - REBILLED</v>
          </cell>
        </row>
        <row r="5822">
          <cell r="A5822">
            <v>9724724</v>
          </cell>
          <cell r="B5822">
            <v>361512</v>
          </cell>
          <cell r="C5822" t="str">
            <v>RENT PAID - OUTSIDE - REBILLED</v>
          </cell>
        </row>
        <row r="5823">
          <cell r="A5823">
            <v>9725703</v>
          </cell>
          <cell r="B5823">
            <v>361512</v>
          </cell>
          <cell r="C5823" t="str">
            <v>RENT PAID - OUTSIDE - REBILLED</v>
          </cell>
        </row>
        <row r="5824">
          <cell r="A5824">
            <v>9725704</v>
          </cell>
          <cell r="B5824">
            <v>361512</v>
          </cell>
          <cell r="C5824" t="str">
            <v>RENT PAID - OUTSIDE - REBILLED</v>
          </cell>
        </row>
        <row r="5825">
          <cell r="A5825">
            <v>9725717</v>
          </cell>
          <cell r="B5825">
            <v>361512</v>
          </cell>
          <cell r="C5825" t="str">
            <v>RENT PAID - OUTSIDE - REBILLED</v>
          </cell>
        </row>
        <row r="5826">
          <cell r="A5826">
            <v>9725725</v>
          </cell>
          <cell r="B5826">
            <v>361512</v>
          </cell>
          <cell r="C5826" t="str">
            <v>RENT PAID - OUTSIDE - REBILLED</v>
          </cell>
        </row>
        <row r="5827">
          <cell r="A5827">
            <v>9090999</v>
          </cell>
          <cell r="B5827">
            <v>361578</v>
          </cell>
          <cell r="C5827" t="str">
            <v>AMORT CAP LEASES - EQUIPMENT</v>
          </cell>
        </row>
        <row r="5828">
          <cell r="A5828">
            <v>8001054179</v>
          </cell>
          <cell r="B5828">
            <v>361731</v>
          </cell>
          <cell r="C5828" t="str">
            <v>PROPERTY RENTAL-MINIMUM-OUTSID</v>
          </cell>
        </row>
        <row r="5829">
          <cell r="A5829">
            <v>8001059542</v>
          </cell>
          <cell r="B5829">
            <v>361731</v>
          </cell>
          <cell r="C5829" t="str">
            <v>PROPERTY RENTAL-MINIMUM-OUTSID</v>
          </cell>
        </row>
        <row r="5830">
          <cell r="A5830">
            <v>8010512510</v>
          </cell>
          <cell r="B5830">
            <v>361731</v>
          </cell>
          <cell r="C5830" t="str">
            <v>PROPERTY RENTAL-MINIMUM-OUTSID</v>
          </cell>
        </row>
        <row r="5831">
          <cell r="A5831">
            <v>9969681</v>
          </cell>
          <cell r="B5831">
            <v>361731</v>
          </cell>
          <cell r="C5831" t="str">
            <v>PROPERTY RENTAL-MINIMUM-OUTSID</v>
          </cell>
        </row>
        <row r="5832">
          <cell r="A5832">
            <v>9969901</v>
          </cell>
          <cell r="B5832">
            <v>361731</v>
          </cell>
          <cell r="C5832" t="str">
            <v>PROPERTY RENTAL-MINIMUM-OUTSID</v>
          </cell>
        </row>
        <row r="5833">
          <cell r="A5833" t="str">
            <v>ZONE-0105-POST</v>
          </cell>
          <cell r="B5833">
            <v>361731</v>
          </cell>
          <cell r="C5833" t="str">
            <v>PROPERTY RENTAL-MINIMUM-OUTSID</v>
          </cell>
        </row>
        <row r="5834">
          <cell r="A5834" t="str">
            <v>ZONE-0112-POST</v>
          </cell>
          <cell r="B5834">
            <v>361731</v>
          </cell>
          <cell r="C5834" t="str">
            <v>PROPERTY RENTAL-MINIMUM-OUTSID</v>
          </cell>
        </row>
        <row r="5835">
          <cell r="A5835">
            <v>9090710</v>
          </cell>
          <cell r="B5835">
            <v>361732</v>
          </cell>
          <cell r="C5835" t="str">
            <v>PROPERTY RENTAL-OUTSIDE STORAG</v>
          </cell>
        </row>
        <row r="5836">
          <cell r="A5836">
            <v>9100710</v>
          </cell>
          <cell r="B5836">
            <v>361732</v>
          </cell>
          <cell r="C5836" t="str">
            <v>PROPERTY RENTAL-OUTSIDE STORAG</v>
          </cell>
        </row>
        <row r="5837">
          <cell r="A5837">
            <v>9689883</v>
          </cell>
          <cell r="B5837">
            <v>361732</v>
          </cell>
          <cell r="C5837" t="str">
            <v>PROPERTY RENTAL-OUTSIDE STORAG</v>
          </cell>
        </row>
        <row r="5838">
          <cell r="A5838">
            <v>9689906</v>
          </cell>
          <cell r="B5838">
            <v>361732</v>
          </cell>
          <cell r="C5838" t="str">
            <v>PROPERTY RENTAL-OUTSIDE STORAG</v>
          </cell>
        </row>
        <row r="5839">
          <cell r="A5839">
            <v>9689992</v>
          </cell>
          <cell r="B5839">
            <v>361732</v>
          </cell>
          <cell r="C5839" t="str">
            <v>PROPERTY RENTAL-OUTSIDE STORAG</v>
          </cell>
        </row>
        <row r="5840">
          <cell r="A5840">
            <v>9090999</v>
          </cell>
          <cell r="B5840">
            <v>361831</v>
          </cell>
          <cell r="C5840" t="str">
            <v>REAL PROPERTY RENTAL - OUTSIDE</v>
          </cell>
        </row>
        <row r="5841">
          <cell r="A5841">
            <v>9100999</v>
          </cell>
          <cell r="B5841">
            <v>361831</v>
          </cell>
          <cell r="C5841" t="str">
            <v>REAL PROPERTY RENTAL - OUTSIDE</v>
          </cell>
        </row>
        <row r="5842">
          <cell r="A5842">
            <v>9090999</v>
          </cell>
          <cell r="B5842">
            <v>361843</v>
          </cell>
          <cell r="C5842" t="str">
            <v>EQUIPMENT RENTAL-CAPITAL LEASE</v>
          </cell>
        </row>
        <row r="5843">
          <cell r="A5843">
            <v>9689883</v>
          </cell>
          <cell r="B5843">
            <v>362100</v>
          </cell>
          <cell r="C5843" t="str">
            <v>DEPRECIATION CHARGE-INTER CO.</v>
          </cell>
        </row>
        <row r="5844">
          <cell r="A5844">
            <v>9689906</v>
          </cell>
          <cell r="B5844">
            <v>362100</v>
          </cell>
          <cell r="C5844" t="str">
            <v>DEPRECIATION CHARGE-INTER CO.</v>
          </cell>
        </row>
        <row r="5845">
          <cell r="A5845">
            <v>9689992</v>
          </cell>
          <cell r="B5845">
            <v>362100</v>
          </cell>
          <cell r="C5845" t="str">
            <v>DEPRECIATION CHARGE-INTER CO.</v>
          </cell>
        </row>
        <row r="5846">
          <cell r="A5846">
            <v>8001054179</v>
          </cell>
          <cell r="B5846">
            <v>362841</v>
          </cell>
          <cell r="C5846" t="str">
            <v>EQUIPMENT RENTAL-OUTSIDE</v>
          </cell>
        </row>
        <row r="5847">
          <cell r="A5847">
            <v>8001059542</v>
          </cell>
          <cell r="B5847">
            <v>362841</v>
          </cell>
          <cell r="C5847" t="str">
            <v>EQUIPMENT RENTAL-OUTSIDE</v>
          </cell>
        </row>
        <row r="5848">
          <cell r="A5848">
            <v>8010512510</v>
          </cell>
          <cell r="B5848">
            <v>362841</v>
          </cell>
          <cell r="C5848" t="str">
            <v>EQUIPMENT RENTAL-OUTSIDE</v>
          </cell>
        </row>
        <row r="5849">
          <cell r="A5849">
            <v>9080999</v>
          </cell>
          <cell r="B5849">
            <v>362841</v>
          </cell>
          <cell r="C5849" t="str">
            <v>EQUIPMENT RENTAL-OUTSIDE</v>
          </cell>
        </row>
        <row r="5850">
          <cell r="A5850">
            <v>9090999</v>
          </cell>
          <cell r="B5850">
            <v>362841</v>
          </cell>
          <cell r="C5850" t="str">
            <v>EQUIPMENT RENTAL-OUTSIDE</v>
          </cell>
        </row>
        <row r="5851">
          <cell r="A5851">
            <v>9100999</v>
          </cell>
          <cell r="B5851">
            <v>362841</v>
          </cell>
          <cell r="C5851" t="str">
            <v>EQUIPMENT RENTAL-OUTSIDE</v>
          </cell>
        </row>
        <row r="5852">
          <cell r="A5852">
            <v>9110999</v>
          </cell>
          <cell r="B5852">
            <v>362841</v>
          </cell>
          <cell r="C5852" t="str">
            <v>EQUIPMENT RENTAL-OUTSIDE</v>
          </cell>
        </row>
        <row r="5853">
          <cell r="A5853">
            <v>9680700</v>
          </cell>
          <cell r="B5853">
            <v>362841</v>
          </cell>
          <cell r="C5853" t="str">
            <v>EQUIPMENT RENTAL-OUTSIDE</v>
          </cell>
        </row>
        <row r="5854">
          <cell r="A5854">
            <v>9680701</v>
          </cell>
          <cell r="B5854">
            <v>362841</v>
          </cell>
          <cell r="C5854" t="str">
            <v>EQUIPMENT RENTAL-OUTSIDE</v>
          </cell>
        </row>
        <row r="5855">
          <cell r="A5855">
            <v>9680702</v>
          </cell>
          <cell r="B5855">
            <v>362841</v>
          </cell>
          <cell r="C5855" t="str">
            <v>EQUIPMENT RENTAL-OUTSIDE</v>
          </cell>
        </row>
        <row r="5856">
          <cell r="A5856">
            <v>9680705</v>
          </cell>
          <cell r="B5856">
            <v>362841</v>
          </cell>
          <cell r="C5856" t="str">
            <v>EQUIPMENT RENTAL-OUTSIDE</v>
          </cell>
        </row>
        <row r="5857">
          <cell r="A5857">
            <v>9680707</v>
          </cell>
          <cell r="B5857">
            <v>362841</v>
          </cell>
          <cell r="C5857" t="str">
            <v>EQUIPMENT RENTAL-OUTSIDE</v>
          </cell>
        </row>
        <row r="5858">
          <cell r="A5858">
            <v>9680710</v>
          </cell>
          <cell r="B5858">
            <v>362841</v>
          </cell>
          <cell r="C5858" t="str">
            <v>EQUIPMENT RENTAL-OUTSIDE</v>
          </cell>
        </row>
        <row r="5859">
          <cell r="A5859">
            <v>9680712</v>
          </cell>
          <cell r="B5859">
            <v>362841</v>
          </cell>
          <cell r="C5859" t="str">
            <v>EQUIPMENT RENTAL-OUTSIDE</v>
          </cell>
        </row>
        <row r="5860">
          <cell r="A5860">
            <v>9680714</v>
          </cell>
          <cell r="B5860">
            <v>362841</v>
          </cell>
          <cell r="C5860" t="str">
            <v>EQUIPMENT RENTAL-OUTSIDE</v>
          </cell>
        </row>
        <row r="5861">
          <cell r="A5861">
            <v>9680734</v>
          </cell>
          <cell r="B5861">
            <v>362841</v>
          </cell>
          <cell r="C5861" t="str">
            <v>EQUIPMENT RENTAL-OUTSIDE</v>
          </cell>
        </row>
        <row r="5862">
          <cell r="A5862">
            <v>9680748</v>
          </cell>
          <cell r="B5862">
            <v>362841</v>
          </cell>
          <cell r="C5862" t="str">
            <v>EQUIPMENT RENTAL-OUTSIDE</v>
          </cell>
        </row>
        <row r="5863">
          <cell r="A5863">
            <v>9680749</v>
          </cell>
          <cell r="B5863">
            <v>362841</v>
          </cell>
          <cell r="C5863" t="str">
            <v>EQUIPMENT RENTAL-OUTSIDE</v>
          </cell>
        </row>
        <row r="5864">
          <cell r="A5864">
            <v>9680894</v>
          </cell>
          <cell r="B5864">
            <v>362841</v>
          </cell>
          <cell r="C5864" t="str">
            <v>EQUIPMENT RENTAL-OUTSIDE</v>
          </cell>
        </row>
        <row r="5865">
          <cell r="A5865">
            <v>9680999</v>
          </cell>
          <cell r="B5865">
            <v>362841</v>
          </cell>
          <cell r="C5865" t="str">
            <v>EQUIPMENT RENTAL-OUTSIDE</v>
          </cell>
        </row>
        <row r="5866">
          <cell r="A5866">
            <v>9681707</v>
          </cell>
          <cell r="B5866">
            <v>362841</v>
          </cell>
          <cell r="C5866" t="str">
            <v>EQUIPMENT RENTAL-OUTSIDE</v>
          </cell>
        </row>
        <row r="5867">
          <cell r="A5867">
            <v>9681710</v>
          </cell>
          <cell r="B5867">
            <v>362841</v>
          </cell>
          <cell r="C5867" t="str">
            <v>EQUIPMENT RENTAL-OUTSIDE</v>
          </cell>
        </row>
        <row r="5868">
          <cell r="A5868">
            <v>9681734</v>
          </cell>
          <cell r="B5868">
            <v>362841</v>
          </cell>
          <cell r="C5868" t="str">
            <v>EQUIPMENT RENTAL-OUTSIDE</v>
          </cell>
        </row>
        <row r="5869">
          <cell r="A5869">
            <v>9681748</v>
          </cell>
          <cell r="B5869">
            <v>362841</v>
          </cell>
          <cell r="C5869" t="str">
            <v>EQUIPMENT RENTAL-OUTSIDE</v>
          </cell>
        </row>
        <row r="5870">
          <cell r="A5870">
            <v>9681749</v>
          </cell>
          <cell r="B5870">
            <v>362841</v>
          </cell>
          <cell r="C5870" t="str">
            <v>EQUIPMENT RENTAL-OUTSIDE</v>
          </cell>
        </row>
        <row r="5871">
          <cell r="A5871">
            <v>9681894</v>
          </cell>
          <cell r="B5871">
            <v>362841</v>
          </cell>
          <cell r="C5871" t="str">
            <v>EQUIPMENT RENTAL-OUTSIDE</v>
          </cell>
        </row>
        <row r="5872">
          <cell r="A5872">
            <v>9681999</v>
          </cell>
          <cell r="B5872">
            <v>362841</v>
          </cell>
          <cell r="C5872" t="str">
            <v>EQUIPMENT RENTAL-OUTSIDE</v>
          </cell>
        </row>
        <row r="5873">
          <cell r="A5873">
            <v>9683999</v>
          </cell>
          <cell r="B5873">
            <v>362841</v>
          </cell>
          <cell r="C5873" t="str">
            <v>EQUIPMENT RENTAL-OUTSIDE</v>
          </cell>
        </row>
        <row r="5874">
          <cell r="A5874">
            <v>9689692</v>
          </cell>
          <cell r="B5874">
            <v>362841</v>
          </cell>
          <cell r="C5874" t="str">
            <v>EQUIPMENT RENTAL-OUTSIDE</v>
          </cell>
        </row>
        <row r="5875">
          <cell r="A5875">
            <v>9689747</v>
          </cell>
          <cell r="B5875">
            <v>362841</v>
          </cell>
          <cell r="C5875" t="str">
            <v>EQUIPMENT RENTAL-OUTSIDE</v>
          </cell>
        </row>
        <row r="5876">
          <cell r="A5876">
            <v>9689883</v>
          </cell>
          <cell r="B5876">
            <v>362841</v>
          </cell>
          <cell r="C5876" t="str">
            <v>EQUIPMENT RENTAL-OUTSIDE</v>
          </cell>
        </row>
        <row r="5877">
          <cell r="A5877">
            <v>9689890</v>
          </cell>
          <cell r="B5877">
            <v>362841</v>
          </cell>
          <cell r="C5877" t="str">
            <v>EQUIPMENT RENTAL-OUTSIDE</v>
          </cell>
        </row>
        <row r="5878">
          <cell r="A5878">
            <v>9689906</v>
          </cell>
          <cell r="B5878">
            <v>362841</v>
          </cell>
          <cell r="C5878" t="str">
            <v>EQUIPMENT RENTAL-OUTSIDE</v>
          </cell>
        </row>
        <row r="5879">
          <cell r="A5879">
            <v>9689925</v>
          </cell>
          <cell r="B5879">
            <v>362841</v>
          </cell>
          <cell r="C5879" t="str">
            <v>EQUIPMENT RENTAL-OUTSIDE</v>
          </cell>
        </row>
        <row r="5880">
          <cell r="A5880">
            <v>9689990</v>
          </cell>
          <cell r="B5880">
            <v>362841</v>
          </cell>
          <cell r="C5880" t="str">
            <v>EQUIPMENT RENTAL-OUTSIDE</v>
          </cell>
        </row>
        <row r="5881">
          <cell r="A5881">
            <v>9689992</v>
          </cell>
          <cell r="B5881">
            <v>362841</v>
          </cell>
          <cell r="C5881" t="str">
            <v>EQUIPMENT RENTAL-OUTSIDE</v>
          </cell>
        </row>
        <row r="5882">
          <cell r="A5882">
            <v>9689994</v>
          </cell>
          <cell r="B5882">
            <v>362841</v>
          </cell>
          <cell r="C5882" t="str">
            <v>EQUIPMENT RENTAL-OUTSIDE</v>
          </cell>
        </row>
        <row r="5883">
          <cell r="A5883">
            <v>9969681</v>
          </cell>
          <cell r="B5883">
            <v>362841</v>
          </cell>
          <cell r="C5883" t="str">
            <v>EQUIPMENT RENTAL-OUTSIDE</v>
          </cell>
        </row>
        <row r="5884">
          <cell r="A5884">
            <v>9969901</v>
          </cell>
          <cell r="B5884">
            <v>362841</v>
          </cell>
          <cell r="C5884" t="str">
            <v>EQUIPMENT RENTAL-OUTSIDE</v>
          </cell>
        </row>
        <row r="5885">
          <cell r="A5885" t="str">
            <v>ZONE-0105-POST</v>
          </cell>
          <cell r="B5885">
            <v>362841</v>
          </cell>
          <cell r="C5885" t="str">
            <v>EQUIPMENT RENTAL-OUTSIDE</v>
          </cell>
        </row>
        <row r="5886">
          <cell r="A5886" t="str">
            <v>ZONE-0112-POST</v>
          </cell>
          <cell r="B5886">
            <v>362841</v>
          </cell>
          <cell r="C5886" t="str">
            <v>EQUIPMENT RENTAL-OUTSIDE</v>
          </cell>
        </row>
        <row r="5887">
          <cell r="A5887">
            <v>9080999</v>
          </cell>
          <cell r="B5887">
            <v>363768</v>
          </cell>
          <cell r="C5887" t="str">
            <v>HVAC REPAIRS NON-CONTRACT</v>
          </cell>
        </row>
        <row r="5888">
          <cell r="A5888">
            <v>9110999</v>
          </cell>
          <cell r="B5888">
            <v>363768</v>
          </cell>
          <cell r="C5888" t="str">
            <v>HVAC REPAIRS NON-CONTRACT</v>
          </cell>
        </row>
        <row r="5889">
          <cell r="A5889">
            <v>9689991</v>
          </cell>
          <cell r="B5889">
            <v>363788</v>
          </cell>
          <cell r="C5889" t="str">
            <v>PAINTING</v>
          </cell>
        </row>
        <row r="5890">
          <cell r="A5890">
            <v>9080999</v>
          </cell>
          <cell r="B5890">
            <v>363793</v>
          </cell>
          <cell r="C5890" t="str">
            <v>REPAIRS - BUILDING</v>
          </cell>
        </row>
        <row r="5891">
          <cell r="A5891">
            <v>9100999</v>
          </cell>
          <cell r="B5891">
            <v>363793</v>
          </cell>
          <cell r="C5891" t="str">
            <v>REPAIRS - BUILDING</v>
          </cell>
        </row>
        <row r="5892">
          <cell r="A5892">
            <v>9110999</v>
          </cell>
          <cell r="B5892">
            <v>363793</v>
          </cell>
          <cell r="C5892" t="str">
            <v>REPAIRS - BUILDING</v>
          </cell>
        </row>
        <row r="5893">
          <cell r="A5893">
            <v>9689994</v>
          </cell>
          <cell r="B5893">
            <v>363793</v>
          </cell>
          <cell r="C5893" t="str">
            <v>REPAIRS - BUILDING</v>
          </cell>
        </row>
        <row r="5894">
          <cell r="A5894">
            <v>9080999</v>
          </cell>
          <cell r="B5894">
            <v>364804</v>
          </cell>
          <cell r="C5894" t="str">
            <v>ALL OTHER EQUIPMENT</v>
          </cell>
        </row>
        <row r="5895">
          <cell r="A5895">
            <v>9110999</v>
          </cell>
          <cell r="B5895">
            <v>364804</v>
          </cell>
          <cell r="C5895" t="str">
            <v>ALL OTHER EQUIPMENT</v>
          </cell>
        </row>
        <row r="5896">
          <cell r="A5896">
            <v>9689994</v>
          </cell>
          <cell r="B5896">
            <v>364804</v>
          </cell>
          <cell r="C5896" t="str">
            <v>ALL OTHER EQUIPMENT</v>
          </cell>
        </row>
        <row r="5897">
          <cell r="A5897">
            <v>9689883</v>
          </cell>
          <cell r="B5897">
            <v>364810</v>
          </cell>
          <cell r="C5897" t="str">
            <v>REPAIRS EQUIPT - OTH THAN RETL</v>
          </cell>
        </row>
        <row r="5898">
          <cell r="A5898">
            <v>9689906</v>
          </cell>
          <cell r="B5898">
            <v>364810</v>
          </cell>
          <cell r="C5898" t="str">
            <v>REPAIRS EQUIPT - OTH THAN RETL</v>
          </cell>
        </row>
        <row r="5899">
          <cell r="A5899">
            <v>9689992</v>
          </cell>
          <cell r="B5899">
            <v>364810</v>
          </cell>
          <cell r="C5899" t="str">
            <v>REPAIRS EQUIPT - OTH THAN RETL</v>
          </cell>
        </row>
        <row r="5900">
          <cell r="A5900">
            <v>9720703</v>
          </cell>
          <cell r="B5900">
            <v>366819</v>
          </cell>
          <cell r="C5900" t="str">
            <v>MAINTENANCE-OTHER IT DIRECT</v>
          </cell>
        </row>
        <row r="5901">
          <cell r="A5901">
            <v>9724718</v>
          </cell>
          <cell r="B5901">
            <v>366819</v>
          </cell>
          <cell r="C5901" t="str">
            <v>MAINTENANCE-OTHER IT DIRECT</v>
          </cell>
        </row>
        <row r="5902">
          <cell r="A5902">
            <v>9724721</v>
          </cell>
          <cell r="B5902">
            <v>366819</v>
          </cell>
          <cell r="C5902" t="str">
            <v>MAINTENANCE-OTHER IT DIRECT</v>
          </cell>
        </row>
        <row r="5903">
          <cell r="A5903">
            <v>9724724</v>
          </cell>
          <cell r="B5903">
            <v>366819</v>
          </cell>
          <cell r="C5903" t="str">
            <v>MAINTENANCE-OTHER IT DIRECT</v>
          </cell>
        </row>
        <row r="5904">
          <cell r="A5904">
            <v>9725703</v>
          </cell>
          <cell r="B5904">
            <v>366819</v>
          </cell>
          <cell r="C5904" t="str">
            <v>MAINTENANCE-OTHER IT DIRECT</v>
          </cell>
        </row>
        <row r="5905">
          <cell r="A5905">
            <v>9725704</v>
          </cell>
          <cell r="B5905">
            <v>366819</v>
          </cell>
          <cell r="C5905" t="str">
            <v>MAINTENANCE-OTHER IT DIRECT</v>
          </cell>
        </row>
        <row r="5906">
          <cell r="A5906">
            <v>9725711</v>
          </cell>
          <cell r="B5906">
            <v>366819</v>
          </cell>
          <cell r="C5906" t="str">
            <v>MAINTENANCE-OTHER IT DIRECT</v>
          </cell>
        </row>
        <row r="5907">
          <cell r="A5907">
            <v>9725717</v>
          </cell>
          <cell r="B5907">
            <v>366819</v>
          </cell>
          <cell r="C5907" t="str">
            <v>MAINTENANCE-OTHER IT DIRECT</v>
          </cell>
        </row>
        <row r="5908">
          <cell r="A5908">
            <v>9725725</v>
          </cell>
          <cell r="B5908">
            <v>366819</v>
          </cell>
          <cell r="C5908" t="str">
            <v>MAINTENANCE-OTHER IT DIRECT</v>
          </cell>
        </row>
        <row r="5909">
          <cell r="A5909">
            <v>9090999</v>
          </cell>
          <cell r="B5909">
            <v>366824</v>
          </cell>
          <cell r="C5909" t="str">
            <v>LSE IMP RETIREMENT OBLIGATION</v>
          </cell>
        </row>
        <row r="5910">
          <cell r="A5910">
            <v>9100999</v>
          </cell>
          <cell r="B5910">
            <v>366824</v>
          </cell>
          <cell r="C5910" t="str">
            <v>LSE IMP RETIREMENT OBLIGATION</v>
          </cell>
        </row>
        <row r="5911">
          <cell r="A5911">
            <v>9680700</v>
          </cell>
          <cell r="B5911">
            <v>366824</v>
          </cell>
          <cell r="C5911" t="str">
            <v>LSE IMP RETIREMENT OBLIGATION</v>
          </cell>
        </row>
        <row r="5912">
          <cell r="A5912">
            <v>9680701</v>
          </cell>
          <cell r="B5912">
            <v>366824</v>
          </cell>
          <cell r="C5912" t="str">
            <v>LSE IMP RETIREMENT OBLIGATION</v>
          </cell>
        </row>
        <row r="5913">
          <cell r="A5913">
            <v>9680702</v>
          </cell>
          <cell r="B5913">
            <v>366824</v>
          </cell>
          <cell r="C5913" t="str">
            <v>LSE IMP RETIREMENT OBLIGATION</v>
          </cell>
        </row>
        <row r="5914">
          <cell r="A5914">
            <v>9680705</v>
          </cell>
          <cell r="B5914">
            <v>366824</v>
          </cell>
          <cell r="C5914" t="str">
            <v>LSE IMP RETIREMENT OBLIGATION</v>
          </cell>
        </row>
        <row r="5915">
          <cell r="A5915">
            <v>9680707</v>
          </cell>
          <cell r="B5915">
            <v>366824</v>
          </cell>
          <cell r="C5915" t="str">
            <v>LSE IMP RETIREMENT OBLIGATION</v>
          </cell>
        </row>
        <row r="5916">
          <cell r="A5916">
            <v>9680710</v>
          </cell>
          <cell r="B5916">
            <v>366824</v>
          </cell>
          <cell r="C5916" t="str">
            <v>LSE IMP RETIREMENT OBLIGATION</v>
          </cell>
        </row>
        <row r="5917">
          <cell r="A5917">
            <v>9680712</v>
          </cell>
          <cell r="B5917">
            <v>366824</v>
          </cell>
          <cell r="C5917" t="str">
            <v>LSE IMP RETIREMENT OBLIGATION</v>
          </cell>
        </row>
        <row r="5918">
          <cell r="A5918">
            <v>9680714</v>
          </cell>
          <cell r="B5918">
            <v>366824</v>
          </cell>
          <cell r="C5918" t="str">
            <v>LSE IMP RETIREMENT OBLIGATION</v>
          </cell>
        </row>
        <row r="5919">
          <cell r="A5919">
            <v>9680734</v>
          </cell>
          <cell r="B5919">
            <v>366824</v>
          </cell>
          <cell r="C5919" t="str">
            <v>LSE IMP RETIREMENT OBLIGATION</v>
          </cell>
        </row>
        <row r="5920">
          <cell r="A5920">
            <v>9680748</v>
          </cell>
          <cell r="B5920">
            <v>366824</v>
          </cell>
          <cell r="C5920" t="str">
            <v>LSE IMP RETIREMENT OBLIGATION</v>
          </cell>
        </row>
        <row r="5921">
          <cell r="A5921">
            <v>9680749</v>
          </cell>
          <cell r="B5921">
            <v>366824</v>
          </cell>
          <cell r="C5921" t="str">
            <v>LSE IMP RETIREMENT OBLIGATION</v>
          </cell>
        </row>
        <row r="5922">
          <cell r="A5922">
            <v>9680894</v>
          </cell>
          <cell r="B5922">
            <v>366824</v>
          </cell>
          <cell r="C5922" t="str">
            <v>LSE IMP RETIREMENT OBLIGATION</v>
          </cell>
        </row>
        <row r="5923">
          <cell r="A5923">
            <v>9680999</v>
          </cell>
          <cell r="B5923">
            <v>366824</v>
          </cell>
          <cell r="C5923" t="str">
            <v>LSE IMP RETIREMENT OBLIGATION</v>
          </cell>
        </row>
        <row r="5924">
          <cell r="A5924">
            <v>9681710</v>
          </cell>
          <cell r="B5924">
            <v>366824</v>
          </cell>
          <cell r="C5924" t="str">
            <v>LSE IMP RETIREMENT OBLIGATION</v>
          </cell>
        </row>
        <row r="5925">
          <cell r="A5925">
            <v>9681734</v>
          </cell>
          <cell r="B5925">
            <v>366824</v>
          </cell>
          <cell r="C5925" t="str">
            <v>LSE IMP RETIREMENT OBLIGATION</v>
          </cell>
        </row>
        <row r="5926">
          <cell r="A5926">
            <v>9681748</v>
          </cell>
          <cell r="B5926">
            <v>366824</v>
          </cell>
          <cell r="C5926" t="str">
            <v>LSE IMP RETIREMENT OBLIGATION</v>
          </cell>
        </row>
        <row r="5927">
          <cell r="A5927">
            <v>9681894</v>
          </cell>
          <cell r="B5927">
            <v>366824</v>
          </cell>
          <cell r="C5927" t="str">
            <v>LSE IMP RETIREMENT OBLIGATION</v>
          </cell>
        </row>
        <row r="5928">
          <cell r="A5928">
            <v>9684999</v>
          </cell>
          <cell r="B5928">
            <v>366824</v>
          </cell>
          <cell r="C5928" t="str">
            <v>LSE IMP RETIREMENT OBLIGATION</v>
          </cell>
        </row>
        <row r="5929">
          <cell r="A5929">
            <v>9689883</v>
          </cell>
          <cell r="B5929">
            <v>366824</v>
          </cell>
          <cell r="C5929" t="str">
            <v>LSE IMP RETIREMENT OBLIGATION</v>
          </cell>
        </row>
        <row r="5930">
          <cell r="A5930">
            <v>9689906</v>
          </cell>
          <cell r="B5930">
            <v>366824</v>
          </cell>
          <cell r="C5930" t="str">
            <v>LSE IMP RETIREMENT OBLIGATION</v>
          </cell>
        </row>
        <row r="5931">
          <cell r="A5931">
            <v>9689992</v>
          </cell>
          <cell r="B5931">
            <v>366824</v>
          </cell>
          <cell r="C5931" t="str">
            <v>LSE IMP RETIREMENT OBLIGATION</v>
          </cell>
        </row>
        <row r="5932">
          <cell r="A5932">
            <v>9080999</v>
          </cell>
          <cell r="B5932">
            <v>368820</v>
          </cell>
          <cell r="C5932" t="str">
            <v>ELECTRICITY-RETAIL STORES</v>
          </cell>
        </row>
        <row r="5933">
          <cell r="A5933">
            <v>9090999</v>
          </cell>
          <cell r="B5933">
            <v>368820</v>
          </cell>
          <cell r="C5933" t="str">
            <v>ELECTRICITY-RETAIL STORES</v>
          </cell>
        </row>
        <row r="5934">
          <cell r="A5934">
            <v>9100999</v>
          </cell>
          <cell r="B5934">
            <v>368820</v>
          </cell>
          <cell r="C5934" t="str">
            <v>ELECTRICITY-RETAIL STORES</v>
          </cell>
        </row>
        <row r="5935">
          <cell r="A5935">
            <v>9110999</v>
          </cell>
          <cell r="B5935">
            <v>368820</v>
          </cell>
          <cell r="C5935" t="str">
            <v>ELECTRICITY-RETAIL STORES</v>
          </cell>
        </row>
        <row r="5936">
          <cell r="A5936">
            <v>9680700</v>
          </cell>
          <cell r="B5936">
            <v>368820</v>
          </cell>
          <cell r="C5936" t="str">
            <v>ELECTRICITY-RETAIL STORES</v>
          </cell>
        </row>
        <row r="5937">
          <cell r="A5937">
            <v>9680701</v>
          </cell>
          <cell r="B5937">
            <v>368820</v>
          </cell>
          <cell r="C5937" t="str">
            <v>ELECTRICITY-RETAIL STORES</v>
          </cell>
        </row>
        <row r="5938">
          <cell r="A5938">
            <v>9680702</v>
          </cell>
          <cell r="B5938">
            <v>368820</v>
          </cell>
          <cell r="C5938" t="str">
            <v>ELECTRICITY-RETAIL STORES</v>
          </cell>
        </row>
        <row r="5939">
          <cell r="A5939">
            <v>9680705</v>
          </cell>
          <cell r="B5939">
            <v>368820</v>
          </cell>
          <cell r="C5939" t="str">
            <v>ELECTRICITY-RETAIL STORES</v>
          </cell>
        </row>
        <row r="5940">
          <cell r="A5940">
            <v>9680707</v>
          </cell>
          <cell r="B5940">
            <v>368820</v>
          </cell>
          <cell r="C5940" t="str">
            <v>ELECTRICITY-RETAIL STORES</v>
          </cell>
        </row>
        <row r="5941">
          <cell r="A5941">
            <v>9680710</v>
          </cell>
          <cell r="B5941">
            <v>368820</v>
          </cell>
          <cell r="C5941" t="str">
            <v>ELECTRICITY-RETAIL STORES</v>
          </cell>
        </row>
        <row r="5942">
          <cell r="A5942">
            <v>9680712</v>
          </cell>
          <cell r="B5942">
            <v>368820</v>
          </cell>
          <cell r="C5942" t="str">
            <v>ELECTRICITY-RETAIL STORES</v>
          </cell>
        </row>
        <row r="5943">
          <cell r="A5943">
            <v>9680714</v>
          </cell>
          <cell r="B5943">
            <v>368820</v>
          </cell>
          <cell r="C5943" t="str">
            <v>ELECTRICITY-RETAIL STORES</v>
          </cell>
        </row>
        <row r="5944">
          <cell r="A5944">
            <v>9680734</v>
          </cell>
          <cell r="B5944">
            <v>368820</v>
          </cell>
          <cell r="C5944" t="str">
            <v>ELECTRICITY-RETAIL STORES</v>
          </cell>
        </row>
        <row r="5945">
          <cell r="A5945">
            <v>9680748</v>
          </cell>
          <cell r="B5945">
            <v>368820</v>
          </cell>
          <cell r="C5945" t="str">
            <v>ELECTRICITY-RETAIL STORES</v>
          </cell>
        </row>
        <row r="5946">
          <cell r="A5946">
            <v>9680749</v>
          </cell>
          <cell r="B5946">
            <v>368820</v>
          </cell>
          <cell r="C5946" t="str">
            <v>ELECTRICITY-RETAIL STORES</v>
          </cell>
        </row>
        <row r="5947">
          <cell r="A5947">
            <v>9680894</v>
          </cell>
          <cell r="B5947">
            <v>368820</v>
          </cell>
          <cell r="C5947" t="str">
            <v>ELECTRICITY-RETAIL STORES</v>
          </cell>
        </row>
        <row r="5948">
          <cell r="A5948">
            <v>9680999</v>
          </cell>
          <cell r="B5948">
            <v>368820</v>
          </cell>
          <cell r="C5948" t="str">
            <v>ELECTRICITY-RETAIL STORES</v>
          </cell>
        </row>
        <row r="5949">
          <cell r="A5949">
            <v>9681710</v>
          </cell>
          <cell r="B5949">
            <v>368820</v>
          </cell>
          <cell r="C5949" t="str">
            <v>ELECTRICITY-RETAIL STORES</v>
          </cell>
        </row>
        <row r="5950">
          <cell r="A5950">
            <v>9681734</v>
          </cell>
          <cell r="B5950">
            <v>368820</v>
          </cell>
          <cell r="C5950" t="str">
            <v>ELECTRICITY-RETAIL STORES</v>
          </cell>
        </row>
        <row r="5951">
          <cell r="A5951">
            <v>9681748</v>
          </cell>
          <cell r="B5951">
            <v>368820</v>
          </cell>
          <cell r="C5951" t="str">
            <v>ELECTRICITY-RETAIL STORES</v>
          </cell>
        </row>
        <row r="5952">
          <cell r="A5952">
            <v>9681894</v>
          </cell>
          <cell r="B5952">
            <v>368820</v>
          </cell>
          <cell r="C5952" t="str">
            <v>ELECTRICITY-RETAIL STORES</v>
          </cell>
        </row>
        <row r="5953">
          <cell r="A5953">
            <v>9683999</v>
          </cell>
          <cell r="B5953">
            <v>368820</v>
          </cell>
          <cell r="C5953" t="str">
            <v>ELECTRICITY-RETAIL STORES</v>
          </cell>
        </row>
        <row r="5954">
          <cell r="A5954">
            <v>9689994</v>
          </cell>
          <cell r="B5954">
            <v>368820</v>
          </cell>
          <cell r="C5954" t="str">
            <v>ELECTRICITY-RETAIL STORES</v>
          </cell>
        </row>
        <row r="5955">
          <cell r="A5955">
            <v>9080999</v>
          </cell>
          <cell r="B5955">
            <v>368822</v>
          </cell>
          <cell r="C5955" t="str">
            <v>WATER &amp; SEWAGE DISPOS-RETAIL</v>
          </cell>
        </row>
        <row r="5956">
          <cell r="A5956">
            <v>9110999</v>
          </cell>
          <cell r="B5956">
            <v>368822</v>
          </cell>
          <cell r="C5956" t="str">
            <v>WATER &amp; SEWAGE DISPOS-RETAIL</v>
          </cell>
        </row>
        <row r="5957">
          <cell r="A5957">
            <v>9689994</v>
          </cell>
          <cell r="B5957">
            <v>368822</v>
          </cell>
          <cell r="C5957" t="str">
            <v>WATER &amp; SEWAGE DISPOS-RETAIL</v>
          </cell>
        </row>
        <row r="5958">
          <cell r="A5958">
            <v>9720703</v>
          </cell>
          <cell r="B5958">
            <v>369902</v>
          </cell>
          <cell r="C5958" t="str">
            <v>RADIO - MEDIA</v>
          </cell>
        </row>
        <row r="5959">
          <cell r="A5959">
            <v>9724718</v>
          </cell>
          <cell r="B5959">
            <v>369902</v>
          </cell>
          <cell r="C5959" t="str">
            <v>RADIO - MEDIA</v>
          </cell>
        </row>
        <row r="5960">
          <cell r="A5960">
            <v>9724721</v>
          </cell>
          <cell r="B5960">
            <v>369902</v>
          </cell>
          <cell r="C5960" t="str">
            <v>RADIO - MEDIA</v>
          </cell>
        </row>
        <row r="5961">
          <cell r="A5961">
            <v>9724724</v>
          </cell>
          <cell r="B5961">
            <v>369902</v>
          </cell>
          <cell r="C5961" t="str">
            <v>RADIO - MEDIA</v>
          </cell>
        </row>
        <row r="5962">
          <cell r="A5962">
            <v>9725703</v>
          </cell>
          <cell r="B5962">
            <v>369902</v>
          </cell>
          <cell r="C5962" t="str">
            <v>RADIO - MEDIA</v>
          </cell>
        </row>
        <row r="5963">
          <cell r="A5963">
            <v>9725704</v>
          </cell>
          <cell r="B5963">
            <v>369902</v>
          </cell>
          <cell r="C5963" t="str">
            <v>RADIO - MEDIA</v>
          </cell>
        </row>
        <row r="5964">
          <cell r="A5964">
            <v>9725711</v>
          </cell>
          <cell r="B5964">
            <v>369902</v>
          </cell>
          <cell r="C5964" t="str">
            <v>RADIO - MEDIA</v>
          </cell>
        </row>
        <row r="5965">
          <cell r="A5965">
            <v>9725717</v>
          </cell>
          <cell r="B5965">
            <v>369902</v>
          </cell>
          <cell r="C5965" t="str">
            <v>RADIO - MEDIA</v>
          </cell>
        </row>
        <row r="5966">
          <cell r="A5966">
            <v>9725725</v>
          </cell>
          <cell r="B5966">
            <v>369902</v>
          </cell>
          <cell r="C5966" t="str">
            <v>RADIO - MEDIA</v>
          </cell>
        </row>
        <row r="5967">
          <cell r="A5967">
            <v>8001054179</v>
          </cell>
          <cell r="B5967">
            <v>369909</v>
          </cell>
          <cell r="C5967" t="str">
            <v>MISC ADVERTISING EXPENSE</v>
          </cell>
        </row>
        <row r="5968">
          <cell r="A5968">
            <v>8001059542</v>
          </cell>
          <cell r="B5968">
            <v>369909</v>
          </cell>
          <cell r="C5968" t="str">
            <v>MISC ADVERTISING EXPENSE</v>
          </cell>
        </row>
        <row r="5969">
          <cell r="A5969">
            <v>8010512510</v>
          </cell>
          <cell r="B5969">
            <v>369909</v>
          </cell>
          <cell r="C5969" t="str">
            <v>MISC ADVERTISING EXPENSE</v>
          </cell>
        </row>
        <row r="5970">
          <cell r="A5970">
            <v>9090710</v>
          </cell>
          <cell r="B5970">
            <v>369909</v>
          </cell>
          <cell r="C5970" t="str">
            <v>MISC ADVERTISING EXPENSE</v>
          </cell>
        </row>
        <row r="5971">
          <cell r="A5971">
            <v>9100710</v>
          </cell>
          <cell r="B5971">
            <v>369909</v>
          </cell>
          <cell r="C5971" t="str">
            <v>MISC ADVERTISING EXPENSE</v>
          </cell>
        </row>
        <row r="5972">
          <cell r="A5972">
            <v>9969681</v>
          </cell>
          <cell r="B5972">
            <v>369909</v>
          </cell>
          <cell r="C5972" t="str">
            <v>MISC ADVERTISING EXPENSE</v>
          </cell>
        </row>
        <row r="5973">
          <cell r="A5973">
            <v>9969901</v>
          </cell>
          <cell r="B5973">
            <v>369909</v>
          </cell>
          <cell r="C5973" t="str">
            <v>MISC ADVERTISING EXPENSE</v>
          </cell>
        </row>
        <row r="5974">
          <cell r="A5974" t="str">
            <v>ZONE-0105-POST</v>
          </cell>
          <cell r="B5974">
            <v>369909</v>
          </cell>
          <cell r="C5974" t="str">
            <v>MISC ADVERTISING EXPENSE</v>
          </cell>
        </row>
        <row r="5975">
          <cell r="A5975" t="str">
            <v>ZONE-0112-POST</v>
          </cell>
          <cell r="B5975">
            <v>369909</v>
          </cell>
          <cell r="C5975" t="str">
            <v>MISC ADVERTISING EXPENSE</v>
          </cell>
        </row>
        <row r="5976">
          <cell r="A5976">
            <v>9720703</v>
          </cell>
          <cell r="B5976">
            <v>369921</v>
          </cell>
          <cell r="C5976" t="str">
            <v>DISPLAY MATERIAL-OUTSIDE PURCH</v>
          </cell>
        </row>
        <row r="5977">
          <cell r="A5977">
            <v>9724718</v>
          </cell>
          <cell r="B5977">
            <v>369921</v>
          </cell>
          <cell r="C5977" t="str">
            <v>DISPLAY MATERIAL-OUTSIDE PURCH</v>
          </cell>
        </row>
        <row r="5978">
          <cell r="A5978">
            <v>9724721</v>
          </cell>
          <cell r="B5978">
            <v>369921</v>
          </cell>
          <cell r="C5978" t="str">
            <v>DISPLAY MATERIAL-OUTSIDE PURCH</v>
          </cell>
        </row>
        <row r="5979">
          <cell r="A5979">
            <v>9724724</v>
          </cell>
          <cell r="B5979">
            <v>369921</v>
          </cell>
          <cell r="C5979" t="str">
            <v>DISPLAY MATERIAL-OUTSIDE PURCH</v>
          </cell>
        </row>
        <row r="5980">
          <cell r="A5980">
            <v>9725703</v>
          </cell>
          <cell r="B5980">
            <v>369921</v>
          </cell>
          <cell r="C5980" t="str">
            <v>DISPLAY MATERIAL-OUTSIDE PURCH</v>
          </cell>
        </row>
        <row r="5981">
          <cell r="A5981">
            <v>9725704</v>
          </cell>
          <cell r="B5981">
            <v>369921</v>
          </cell>
          <cell r="C5981" t="str">
            <v>DISPLAY MATERIAL-OUTSIDE PURCH</v>
          </cell>
        </row>
        <row r="5982">
          <cell r="A5982">
            <v>9725711</v>
          </cell>
          <cell r="B5982">
            <v>369921</v>
          </cell>
          <cell r="C5982" t="str">
            <v>DISPLAY MATERIAL-OUTSIDE PURCH</v>
          </cell>
        </row>
        <row r="5983">
          <cell r="A5983">
            <v>9725717</v>
          </cell>
          <cell r="B5983">
            <v>369921</v>
          </cell>
          <cell r="C5983" t="str">
            <v>DISPLAY MATERIAL-OUTSIDE PURCH</v>
          </cell>
        </row>
        <row r="5984">
          <cell r="A5984">
            <v>9725725</v>
          </cell>
          <cell r="B5984">
            <v>369921</v>
          </cell>
          <cell r="C5984" t="str">
            <v>DISPLAY MATERIAL-OUTSIDE PURCH</v>
          </cell>
        </row>
        <row r="5985">
          <cell r="A5985">
            <v>9080999</v>
          </cell>
          <cell r="B5985">
            <v>369923</v>
          </cell>
          <cell r="C5985" t="str">
            <v>DISPLAY MATERIAL-CORPORATE FOR</v>
          </cell>
        </row>
        <row r="5986">
          <cell r="A5986">
            <v>9110999</v>
          </cell>
          <cell r="B5986">
            <v>369923</v>
          </cell>
          <cell r="C5986" t="str">
            <v>DISPLAY MATERIAL-CORPORATE FOR</v>
          </cell>
        </row>
        <row r="5987">
          <cell r="A5987">
            <v>9689994</v>
          </cell>
          <cell r="B5987">
            <v>369923</v>
          </cell>
          <cell r="C5987" t="str">
            <v>DISPLAY MATERIAL-CORPORATE FOR</v>
          </cell>
        </row>
        <row r="5988">
          <cell r="A5988">
            <v>9080700</v>
          </cell>
          <cell r="B5988">
            <v>369925</v>
          </cell>
          <cell r="C5988" t="str">
            <v>SPECIAL EVENTS</v>
          </cell>
        </row>
        <row r="5989">
          <cell r="A5989">
            <v>9080701</v>
          </cell>
          <cell r="B5989">
            <v>369925</v>
          </cell>
          <cell r="C5989" t="str">
            <v>SPECIAL EVENTS</v>
          </cell>
        </row>
        <row r="5990">
          <cell r="A5990">
            <v>9080702</v>
          </cell>
          <cell r="B5990">
            <v>369925</v>
          </cell>
          <cell r="C5990" t="str">
            <v>SPECIAL EVENTS</v>
          </cell>
        </row>
        <row r="5991">
          <cell r="A5991">
            <v>9080705</v>
          </cell>
          <cell r="B5991">
            <v>369925</v>
          </cell>
          <cell r="C5991" t="str">
            <v>SPECIAL EVENTS</v>
          </cell>
        </row>
        <row r="5992">
          <cell r="A5992">
            <v>9080707</v>
          </cell>
          <cell r="B5992">
            <v>369925</v>
          </cell>
          <cell r="C5992" t="str">
            <v>SPECIAL EVENTS</v>
          </cell>
        </row>
        <row r="5993">
          <cell r="A5993">
            <v>9080710</v>
          </cell>
          <cell r="B5993">
            <v>369925</v>
          </cell>
          <cell r="C5993" t="str">
            <v>SPECIAL EVENTS</v>
          </cell>
        </row>
        <row r="5994">
          <cell r="A5994">
            <v>9090710</v>
          </cell>
          <cell r="B5994">
            <v>369925</v>
          </cell>
          <cell r="C5994" t="str">
            <v>SPECIAL EVENTS</v>
          </cell>
        </row>
        <row r="5995">
          <cell r="A5995">
            <v>9090999</v>
          </cell>
          <cell r="B5995">
            <v>369925</v>
          </cell>
          <cell r="C5995" t="str">
            <v>SPECIAL EVENTS</v>
          </cell>
        </row>
        <row r="5996">
          <cell r="A5996">
            <v>9100710</v>
          </cell>
          <cell r="B5996">
            <v>369925</v>
          </cell>
          <cell r="C5996" t="str">
            <v>SPECIAL EVENTS</v>
          </cell>
        </row>
        <row r="5997">
          <cell r="A5997">
            <v>9100999</v>
          </cell>
          <cell r="B5997">
            <v>369925</v>
          </cell>
          <cell r="C5997" t="str">
            <v>SPECIAL EVENTS</v>
          </cell>
        </row>
        <row r="5998">
          <cell r="A5998">
            <v>9110700</v>
          </cell>
          <cell r="B5998">
            <v>369925</v>
          </cell>
          <cell r="C5998" t="str">
            <v>SPECIAL EVENTS</v>
          </cell>
        </row>
        <row r="5999">
          <cell r="A5999">
            <v>9110702</v>
          </cell>
          <cell r="B5999">
            <v>369925</v>
          </cell>
          <cell r="C5999" t="str">
            <v>SPECIAL EVENTS</v>
          </cell>
        </row>
        <row r="6000">
          <cell r="A6000">
            <v>9110705</v>
          </cell>
          <cell r="B6000">
            <v>369925</v>
          </cell>
          <cell r="C6000" t="str">
            <v>SPECIAL EVENTS</v>
          </cell>
        </row>
        <row r="6001">
          <cell r="A6001">
            <v>9110707</v>
          </cell>
          <cell r="B6001">
            <v>369925</v>
          </cell>
          <cell r="C6001" t="str">
            <v>SPECIAL EVENTS</v>
          </cell>
        </row>
        <row r="6002">
          <cell r="A6002">
            <v>9681700</v>
          </cell>
          <cell r="B6002">
            <v>369925</v>
          </cell>
          <cell r="C6002" t="str">
            <v>SPECIAL EVENTS</v>
          </cell>
        </row>
        <row r="6003">
          <cell r="A6003">
            <v>9681710</v>
          </cell>
          <cell r="B6003">
            <v>369925</v>
          </cell>
          <cell r="C6003" t="str">
            <v>SPECIAL EVENTS</v>
          </cell>
        </row>
        <row r="6004">
          <cell r="A6004">
            <v>9681712</v>
          </cell>
          <cell r="B6004">
            <v>369925</v>
          </cell>
          <cell r="C6004" t="str">
            <v>SPECIAL EVENTS</v>
          </cell>
        </row>
        <row r="6005">
          <cell r="A6005">
            <v>9682715</v>
          </cell>
          <cell r="B6005">
            <v>369925</v>
          </cell>
          <cell r="C6005" t="str">
            <v>SPECIAL EVENTS</v>
          </cell>
        </row>
        <row r="6006">
          <cell r="A6006">
            <v>9080700</v>
          </cell>
          <cell r="B6006">
            <v>369931</v>
          </cell>
          <cell r="C6006" t="str">
            <v>MAGAZINE SPACE</v>
          </cell>
        </row>
        <row r="6007">
          <cell r="A6007">
            <v>9080701</v>
          </cell>
          <cell r="B6007">
            <v>369931</v>
          </cell>
          <cell r="C6007" t="str">
            <v>MAGAZINE SPACE</v>
          </cell>
        </row>
        <row r="6008">
          <cell r="A6008">
            <v>9080702</v>
          </cell>
          <cell r="B6008">
            <v>369931</v>
          </cell>
          <cell r="C6008" t="str">
            <v>MAGAZINE SPACE</v>
          </cell>
        </row>
        <row r="6009">
          <cell r="A6009">
            <v>9080705</v>
          </cell>
          <cell r="B6009">
            <v>369931</v>
          </cell>
          <cell r="C6009" t="str">
            <v>MAGAZINE SPACE</v>
          </cell>
        </row>
        <row r="6010">
          <cell r="A6010">
            <v>9080707</v>
          </cell>
          <cell r="B6010">
            <v>369931</v>
          </cell>
          <cell r="C6010" t="str">
            <v>MAGAZINE SPACE</v>
          </cell>
        </row>
        <row r="6011">
          <cell r="A6011">
            <v>9080710</v>
          </cell>
          <cell r="B6011">
            <v>369931</v>
          </cell>
          <cell r="C6011" t="str">
            <v>MAGAZINE SPACE</v>
          </cell>
        </row>
        <row r="6012">
          <cell r="A6012">
            <v>9110700</v>
          </cell>
          <cell r="B6012">
            <v>369931</v>
          </cell>
          <cell r="C6012" t="str">
            <v>MAGAZINE SPACE</v>
          </cell>
        </row>
        <row r="6013">
          <cell r="A6013">
            <v>9110702</v>
          </cell>
          <cell r="B6013">
            <v>369931</v>
          </cell>
          <cell r="C6013" t="str">
            <v>MAGAZINE SPACE</v>
          </cell>
        </row>
        <row r="6014">
          <cell r="A6014">
            <v>9110705</v>
          </cell>
          <cell r="B6014">
            <v>369931</v>
          </cell>
          <cell r="C6014" t="str">
            <v>MAGAZINE SPACE</v>
          </cell>
        </row>
        <row r="6015">
          <cell r="A6015">
            <v>9110707</v>
          </cell>
          <cell r="B6015">
            <v>369931</v>
          </cell>
          <cell r="C6015" t="str">
            <v>MAGAZINE SPACE</v>
          </cell>
        </row>
        <row r="6016">
          <cell r="A6016">
            <v>9681700</v>
          </cell>
          <cell r="B6016">
            <v>369931</v>
          </cell>
          <cell r="C6016" t="str">
            <v>MAGAZINE SPACE</v>
          </cell>
        </row>
        <row r="6017">
          <cell r="A6017">
            <v>9681701</v>
          </cell>
          <cell r="B6017">
            <v>369931</v>
          </cell>
          <cell r="C6017" t="str">
            <v>MAGAZINE SPACE</v>
          </cell>
        </row>
        <row r="6018">
          <cell r="A6018">
            <v>9681702</v>
          </cell>
          <cell r="B6018">
            <v>369931</v>
          </cell>
          <cell r="C6018" t="str">
            <v>MAGAZINE SPACE</v>
          </cell>
        </row>
        <row r="6019">
          <cell r="A6019">
            <v>9681705</v>
          </cell>
          <cell r="B6019">
            <v>369931</v>
          </cell>
          <cell r="C6019" t="str">
            <v>MAGAZINE SPACE</v>
          </cell>
        </row>
        <row r="6020">
          <cell r="A6020">
            <v>9681706</v>
          </cell>
          <cell r="B6020">
            <v>369931</v>
          </cell>
          <cell r="C6020" t="str">
            <v>MAGAZINE SPACE</v>
          </cell>
        </row>
        <row r="6021">
          <cell r="A6021">
            <v>9681707</v>
          </cell>
          <cell r="B6021">
            <v>369931</v>
          </cell>
          <cell r="C6021" t="str">
            <v>MAGAZINE SPACE</v>
          </cell>
        </row>
        <row r="6022">
          <cell r="A6022">
            <v>9681712</v>
          </cell>
          <cell r="B6022">
            <v>369931</v>
          </cell>
          <cell r="C6022" t="str">
            <v>MAGAZINE SPACE</v>
          </cell>
        </row>
        <row r="6023">
          <cell r="A6023">
            <v>9681727</v>
          </cell>
          <cell r="B6023">
            <v>369931</v>
          </cell>
          <cell r="C6023" t="str">
            <v>MAGAZINE SPACE</v>
          </cell>
        </row>
        <row r="6024">
          <cell r="A6024">
            <v>9681749</v>
          </cell>
          <cell r="B6024">
            <v>369931</v>
          </cell>
          <cell r="C6024" t="str">
            <v>MAGAZINE SPACE</v>
          </cell>
        </row>
        <row r="6025">
          <cell r="A6025">
            <v>9681999</v>
          </cell>
          <cell r="B6025">
            <v>369931</v>
          </cell>
          <cell r="C6025" t="str">
            <v>MAGAZINE SPACE</v>
          </cell>
        </row>
        <row r="6026">
          <cell r="A6026">
            <v>9080999</v>
          </cell>
          <cell r="B6026">
            <v>369932</v>
          </cell>
          <cell r="C6026" t="str">
            <v>SMS-ADVERTISING EXPENSE</v>
          </cell>
        </row>
        <row r="6027">
          <cell r="A6027">
            <v>9090999</v>
          </cell>
          <cell r="B6027">
            <v>369932</v>
          </cell>
          <cell r="C6027" t="str">
            <v>SMS-ADVERTISING EXPENSE</v>
          </cell>
        </row>
        <row r="6028">
          <cell r="A6028">
            <v>9100999</v>
          </cell>
          <cell r="B6028">
            <v>369932</v>
          </cell>
          <cell r="C6028" t="str">
            <v>SMS-ADVERTISING EXPENSE</v>
          </cell>
        </row>
        <row r="6029">
          <cell r="A6029">
            <v>9110999</v>
          </cell>
          <cell r="B6029">
            <v>369932</v>
          </cell>
          <cell r="C6029" t="str">
            <v>SMS-ADVERTISING EXPENSE</v>
          </cell>
        </row>
        <row r="6030">
          <cell r="A6030">
            <v>9680700</v>
          </cell>
          <cell r="B6030">
            <v>369932</v>
          </cell>
          <cell r="C6030" t="str">
            <v>SMS-ADVERTISING EXPENSE</v>
          </cell>
        </row>
        <row r="6031">
          <cell r="A6031">
            <v>9680701</v>
          </cell>
          <cell r="B6031">
            <v>369932</v>
          </cell>
          <cell r="C6031" t="str">
            <v>SMS-ADVERTISING EXPENSE</v>
          </cell>
        </row>
        <row r="6032">
          <cell r="A6032">
            <v>9680702</v>
          </cell>
          <cell r="B6032">
            <v>369932</v>
          </cell>
          <cell r="C6032" t="str">
            <v>SMS-ADVERTISING EXPENSE</v>
          </cell>
        </row>
        <row r="6033">
          <cell r="A6033">
            <v>9680705</v>
          </cell>
          <cell r="B6033">
            <v>369932</v>
          </cell>
          <cell r="C6033" t="str">
            <v>SMS-ADVERTISING EXPENSE</v>
          </cell>
        </row>
        <row r="6034">
          <cell r="A6034">
            <v>9680707</v>
          </cell>
          <cell r="B6034">
            <v>369932</v>
          </cell>
          <cell r="C6034" t="str">
            <v>SMS-ADVERTISING EXPENSE</v>
          </cell>
        </row>
        <row r="6035">
          <cell r="A6035">
            <v>9680710</v>
          </cell>
          <cell r="B6035">
            <v>369932</v>
          </cell>
          <cell r="C6035" t="str">
            <v>SMS-ADVERTISING EXPENSE</v>
          </cell>
        </row>
        <row r="6036">
          <cell r="A6036">
            <v>9680712</v>
          </cell>
          <cell r="B6036">
            <v>369932</v>
          </cell>
          <cell r="C6036" t="str">
            <v>SMS-ADVERTISING EXPENSE</v>
          </cell>
        </row>
        <row r="6037">
          <cell r="A6037">
            <v>9680714</v>
          </cell>
          <cell r="B6037">
            <v>369932</v>
          </cell>
          <cell r="C6037" t="str">
            <v>SMS-ADVERTISING EXPENSE</v>
          </cell>
        </row>
        <row r="6038">
          <cell r="A6038">
            <v>9680734</v>
          </cell>
          <cell r="B6038">
            <v>369932</v>
          </cell>
          <cell r="C6038" t="str">
            <v>SMS-ADVERTISING EXPENSE</v>
          </cell>
        </row>
        <row r="6039">
          <cell r="A6039">
            <v>9680748</v>
          </cell>
          <cell r="B6039">
            <v>369932</v>
          </cell>
          <cell r="C6039" t="str">
            <v>SMS-ADVERTISING EXPENSE</v>
          </cell>
        </row>
        <row r="6040">
          <cell r="A6040">
            <v>9680749</v>
          </cell>
          <cell r="B6040">
            <v>369932</v>
          </cell>
          <cell r="C6040" t="str">
            <v>SMS-ADVERTISING EXPENSE</v>
          </cell>
        </row>
        <row r="6041">
          <cell r="A6041">
            <v>9680894</v>
          </cell>
          <cell r="B6041">
            <v>369932</v>
          </cell>
          <cell r="C6041" t="str">
            <v>SMS-ADVERTISING EXPENSE</v>
          </cell>
        </row>
        <row r="6042">
          <cell r="A6042">
            <v>9680999</v>
          </cell>
          <cell r="B6042">
            <v>369932</v>
          </cell>
          <cell r="C6042" t="str">
            <v>SMS-ADVERTISING EXPENSE</v>
          </cell>
        </row>
        <row r="6043">
          <cell r="A6043">
            <v>9681710</v>
          </cell>
          <cell r="B6043">
            <v>369932</v>
          </cell>
          <cell r="C6043" t="str">
            <v>SMS-ADVERTISING EXPENSE</v>
          </cell>
        </row>
        <row r="6044">
          <cell r="A6044">
            <v>9681734</v>
          </cell>
          <cell r="B6044">
            <v>369932</v>
          </cell>
          <cell r="C6044" t="str">
            <v>SMS-ADVERTISING EXPENSE</v>
          </cell>
        </row>
        <row r="6045">
          <cell r="A6045">
            <v>9681748</v>
          </cell>
          <cell r="B6045">
            <v>369932</v>
          </cell>
          <cell r="C6045" t="str">
            <v>SMS-ADVERTISING EXPENSE</v>
          </cell>
        </row>
        <row r="6046">
          <cell r="A6046">
            <v>9681894</v>
          </cell>
          <cell r="B6046">
            <v>369932</v>
          </cell>
          <cell r="C6046" t="str">
            <v>SMS-ADVERTISING EXPENSE</v>
          </cell>
        </row>
        <row r="6047">
          <cell r="A6047">
            <v>9689990</v>
          </cell>
          <cell r="B6047">
            <v>369932</v>
          </cell>
          <cell r="C6047" t="str">
            <v>SMS-ADVERTISING EXPENSE</v>
          </cell>
        </row>
        <row r="6048">
          <cell r="A6048">
            <v>9080999</v>
          </cell>
          <cell r="B6048">
            <v>369981</v>
          </cell>
          <cell r="C6048" t="str">
            <v>PUBLIC RELATIONS</v>
          </cell>
        </row>
        <row r="6049">
          <cell r="A6049">
            <v>9110999</v>
          </cell>
          <cell r="B6049">
            <v>369981</v>
          </cell>
          <cell r="C6049" t="str">
            <v>PUBLIC RELATIONS</v>
          </cell>
        </row>
        <row r="6050">
          <cell r="A6050">
            <v>9681727</v>
          </cell>
          <cell r="B6050">
            <v>369981</v>
          </cell>
          <cell r="C6050" t="str">
            <v>PUBLIC RELATIONS</v>
          </cell>
        </row>
        <row r="6051">
          <cell r="A6051">
            <v>9689883</v>
          </cell>
          <cell r="B6051">
            <v>369981</v>
          </cell>
          <cell r="C6051" t="str">
            <v>PUBLIC RELATIONS</v>
          </cell>
        </row>
        <row r="6052">
          <cell r="A6052">
            <v>9689994</v>
          </cell>
          <cell r="B6052">
            <v>369981</v>
          </cell>
          <cell r="C6052" t="str">
            <v>PUBLIC RELATIONS</v>
          </cell>
        </row>
        <row r="6053">
          <cell r="A6053">
            <v>9080700</v>
          </cell>
          <cell r="B6053">
            <v>370021</v>
          </cell>
          <cell r="C6053" t="str">
            <v>TRAVEL EXPENSE - OTHER</v>
          </cell>
        </row>
        <row r="6054">
          <cell r="A6054">
            <v>9080701</v>
          </cell>
          <cell r="B6054">
            <v>370021</v>
          </cell>
          <cell r="C6054" t="str">
            <v>TRAVEL EXPENSE - OTHER</v>
          </cell>
        </row>
        <row r="6055">
          <cell r="A6055">
            <v>9080702</v>
          </cell>
          <cell r="B6055">
            <v>370021</v>
          </cell>
          <cell r="C6055" t="str">
            <v>TRAVEL EXPENSE - OTHER</v>
          </cell>
        </row>
        <row r="6056">
          <cell r="A6056">
            <v>9080705</v>
          </cell>
          <cell r="B6056">
            <v>370021</v>
          </cell>
          <cell r="C6056" t="str">
            <v>TRAVEL EXPENSE - OTHER</v>
          </cell>
        </row>
        <row r="6057">
          <cell r="A6057">
            <v>9080707</v>
          </cell>
          <cell r="B6057">
            <v>370021</v>
          </cell>
          <cell r="C6057" t="str">
            <v>TRAVEL EXPENSE - OTHER</v>
          </cell>
        </row>
        <row r="6058">
          <cell r="A6058">
            <v>9080710</v>
          </cell>
          <cell r="B6058">
            <v>370021</v>
          </cell>
          <cell r="C6058" t="str">
            <v>TRAVEL EXPENSE - OTHER</v>
          </cell>
        </row>
        <row r="6059">
          <cell r="A6059">
            <v>9090999</v>
          </cell>
          <cell r="B6059">
            <v>370021</v>
          </cell>
          <cell r="C6059" t="str">
            <v>TRAVEL EXPENSE - OTHER</v>
          </cell>
        </row>
        <row r="6060">
          <cell r="A6060">
            <v>9100999</v>
          </cell>
          <cell r="B6060">
            <v>370021</v>
          </cell>
          <cell r="C6060" t="str">
            <v>TRAVEL EXPENSE - OTHER</v>
          </cell>
        </row>
        <row r="6061">
          <cell r="A6061">
            <v>9110700</v>
          </cell>
          <cell r="B6061">
            <v>370021</v>
          </cell>
          <cell r="C6061" t="str">
            <v>TRAVEL EXPENSE - OTHER</v>
          </cell>
        </row>
        <row r="6062">
          <cell r="A6062">
            <v>9110702</v>
          </cell>
          <cell r="B6062">
            <v>370021</v>
          </cell>
          <cell r="C6062" t="str">
            <v>TRAVEL EXPENSE - OTHER</v>
          </cell>
        </row>
        <row r="6063">
          <cell r="A6063">
            <v>9110705</v>
          </cell>
          <cell r="B6063">
            <v>370021</v>
          </cell>
          <cell r="C6063" t="str">
            <v>TRAVEL EXPENSE - OTHER</v>
          </cell>
        </row>
        <row r="6064">
          <cell r="A6064">
            <v>9110707</v>
          </cell>
          <cell r="B6064">
            <v>370021</v>
          </cell>
          <cell r="C6064" t="str">
            <v>TRAVEL EXPENSE - OTHER</v>
          </cell>
        </row>
        <row r="6065">
          <cell r="A6065">
            <v>9680700</v>
          </cell>
          <cell r="B6065">
            <v>370021</v>
          </cell>
          <cell r="C6065" t="str">
            <v>TRAVEL EXPENSE - OTHER</v>
          </cell>
        </row>
        <row r="6066">
          <cell r="A6066">
            <v>9680701</v>
          </cell>
          <cell r="B6066">
            <v>370021</v>
          </cell>
          <cell r="C6066" t="str">
            <v>TRAVEL EXPENSE - OTHER</v>
          </cell>
        </row>
        <row r="6067">
          <cell r="A6067">
            <v>9680702</v>
          </cell>
          <cell r="B6067">
            <v>370021</v>
          </cell>
          <cell r="C6067" t="str">
            <v>TRAVEL EXPENSE - OTHER</v>
          </cell>
        </row>
        <row r="6068">
          <cell r="A6068">
            <v>9680705</v>
          </cell>
          <cell r="B6068">
            <v>370021</v>
          </cell>
          <cell r="C6068" t="str">
            <v>TRAVEL EXPENSE - OTHER</v>
          </cell>
        </row>
        <row r="6069">
          <cell r="A6069">
            <v>9680707</v>
          </cell>
          <cell r="B6069">
            <v>370021</v>
          </cell>
          <cell r="C6069" t="str">
            <v>TRAVEL EXPENSE - OTHER</v>
          </cell>
        </row>
        <row r="6070">
          <cell r="A6070">
            <v>9680710</v>
          </cell>
          <cell r="B6070">
            <v>370021</v>
          </cell>
          <cell r="C6070" t="str">
            <v>TRAVEL EXPENSE - OTHER</v>
          </cell>
        </row>
        <row r="6071">
          <cell r="A6071">
            <v>9680712</v>
          </cell>
          <cell r="B6071">
            <v>370021</v>
          </cell>
          <cell r="C6071" t="str">
            <v>TRAVEL EXPENSE - OTHER</v>
          </cell>
        </row>
        <row r="6072">
          <cell r="A6072">
            <v>9680714</v>
          </cell>
          <cell r="B6072">
            <v>370021</v>
          </cell>
          <cell r="C6072" t="str">
            <v>TRAVEL EXPENSE - OTHER</v>
          </cell>
        </row>
        <row r="6073">
          <cell r="A6073">
            <v>9680734</v>
          </cell>
          <cell r="B6073">
            <v>370021</v>
          </cell>
          <cell r="C6073" t="str">
            <v>TRAVEL EXPENSE - OTHER</v>
          </cell>
        </row>
        <row r="6074">
          <cell r="A6074">
            <v>9680748</v>
          </cell>
          <cell r="B6074">
            <v>370021</v>
          </cell>
          <cell r="C6074" t="str">
            <v>TRAVEL EXPENSE - OTHER</v>
          </cell>
        </row>
        <row r="6075">
          <cell r="A6075">
            <v>9680749</v>
          </cell>
          <cell r="B6075">
            <v>370021</v>
          </cell>
          <cell r="C6075" t="str">
            <v>TRAVEL EXPENSE - OTHER</v>
          </cell>
        </row>
        <row r="6076">
          <cell r="A6076">
            <v>9680894</v>
          </cell>
          <cell r="B6076">
            <v>370021</v>
          </cell>
          <cell r="C6076" t="str">
            <v>TRAVEL EXPENSE - OTHER</v>
          </cell>
        </row>
        <row r="6077">
          <cell r="A6077">
            <v>9680999</v>
          </cell>
          <cell r="B6077">
            <v>370021</v>
          </cell>
          <cell r="C6077" t="str">
            <v>TRAVEL EXPENSE - OTHER</v>
          </cell>
        </row>
        <row r="6078">
          <cell r="A6078">
            <v>9681700</v>
          </cell>
          <cell r="B6078">
            <v>370021</v>
          </cell>
          <cell r="C6078" t="str">
            <v>TRAVEL EXPENSE - OTHER</v>
          </cell>
        </row>
        <row r="6079">
          <cell r="A6079">
            <v>9681701</v>
          </cell>
          <cell r="B6079">
            <v>370021</v>
          </cell>
          <cell r="C6079" t="str">
            <v>TRAVEL EXPENSE - OTHER</v>
          </cell>
        </row>
        <row r="6080">
          <cell r="A6080">
            <v>9681702</v>
          </cell>
          <cell r="B6080">
            <v>370021</v>
          </cell>
          <cell r="C6080" t="str">
            <v>TRAVEL EXPENSE - OTHER</v>
          </cell>
        </row>
        <row r="6081">
          <cell r="A6081">
            <v>9681705</v>
          </cell>
          <cell r="B6081">
            <v>370021</v>
          </cell>
          <cell r="C6081" t="str">
            <v>TRAVEL EXPENSE - OTHER</v>
          </cell>
        </row>
        <row r="6082">
          <cell r="A6082">
            <v>9681706</v>
          </cell>
          <cell r="B6082">
            <v>370021</v>
          </cell>
          <cell r="C6082" t="str">
            <v>TRAVEL EXPENSE - OTHER</v>
          </cell>
        </row>
        <row r="6083">
          <cell r="A6083">
            <v>9681707</v>
          </cell>
          <cell r="B6083">
            <v>370021</v>
          </cell>
          <cell r="C6083" t="str">
            <v>TRAVEL EXPENSE - OTHER</v>
          </cell>
        </row>
        <row r="6084">
          <cell r="A6084">
            <v>9681710</v>
          </cell>
          <cell r="B6084">
            <v>370021</v>
          </cell>
          <cell r="C6084" t="str">
            <v>TRAVEL EXPENSE - OTHER</v>
          </cell>
        </row>
        <row r="6085">
          <cell r="A6085">
            <v>9681712</v>
          </cell>
          <cell r="B6085">
            <v>370021</v>
          </cell>
          <cell r="C6085" t="str">
            <v>TRAVEL EXPENSE - OTHER</v>
          </cell>
        </row>
        <row r="6086">
          <cell r="A6086">
            <v>9681727</v>
          </cell>
          <cell r="B6086">
            <v>370021</v>
          </cell>
          <cell r="C6086" t="str">
            <v>TRAVEL EXPENSE - OTHER</v>
          </cell>
        </row>
        <row r="6087">
          <cell r="A6087">
            <v>9681734</v>
          </cell>
          <cell r="B6087">
            <v>370021</v>
          </cell>
          <cell r="C6087" t="str">
            <v>TRAVEL EXPENSE - OTHER</v>
          </cell>
        </row>
        <row r="6088">
          <cell r="A6088">
            <v>9681748</v>
          </cell>
          <cell r="B6088">
            <v>370021</v>
          </cell>
          <cell r="C6088" t="str">
            <v>TRAVEL EXPENSE - OTHER</v>
          </cell>
        </row>
        <row r="6089">
          <cell r="A6089">
            <v>9681749</v>
          </cell>
          <cell r="B6089">
            <v>370021</v>
          </cell>
          <cell r="C6089" t="str">
            <v>TRAVEL EXPENSE - OTHER</v>
          </cell>
        </row>
        <row r="6090">
          <cell r="A6090">
            <v>9681894</v>
          </cell>
          <cell r="B6090">
            <v>370021</v>
          </cell>
          <cell r="C6090" t="str">
            <v>TRAVEL EXPENSE - OTHER</v>
          </cell>
        </row>
        <row r="6091">
          <cell r="A6091">
            <v>9681999</v>
          </cell>
          <cell r="B6091">
            <v>370021</v>
          </cell>
          <cell r="C6091" t="str">
            <v>TRAVEL EXPENSE - OTHER</v>
          </cell>
        </row>
        <row r="6092">
          <cell r="A6092">
            <v>9683999</v>
          </cell>
          <cell r="B6092">
            <v>370021</v>
          </cell>
          <cell r="C6092" t="str">
            <v>TRAVEL EXPENSE - OTHER</v>
          </cell>
        </row>
        <row r="6093">
          <cell r="A6093">
            <v>9684999</v>
          </cell>
          <cell r="B6093">
            <v>370021</v>
          </cell>
          <cell r="C6093" t="str">
            <v>TRAVEL EXPENSE - OTHER</v>
          </cell>
        </row>
        <row r="6094">
          <cell r="A6094">
            <v>9689692</v>
          </cell>
          <cell r="B6094">
            <v>370021</v>
          </cell>
          <cell r="C6094" t="str">
            <v>TRAVEL EXPENSE - OTHER</v>
          </cell>
        </row>
        <row r="6095">
          <cell r="A6095">
            <v>9689747</v>
          </cell>
          <cell r="B6095">
            <v>370021</v>
          </cell>
          <cell r="C6095" t="str">
            <v>TRAVEL EXPENSE - OTHER</v>
          </cell>
        </row>
        <row r="6096">
          <cell r="A6096">
            <v>9689890</v>
          </cell>
          <cell r="B6096">
            <v>370021</v>
          </cell>
          <cell r="C6096" t="str">
            <v>TRAVEL EXPENSE - OTHER</v>
          </cell>
        </row>
        <row r="6097">
          <cell r="A6097">
            <v>9689925</v>
          </cell>
          <cell r="B6097">
            <v>370021</v>
          </cell>
          <cell r="C6097" t="str">
            <v>TRAVEL EXPENSE - OTHER</v>
          </cell>
        </row>
        <row r="6098">
          <cell r="A6098">
            <v>9689990</v>
          </cell>
          <cell r="B6098">
            <v>370021</v>
          </cell>
          <cell r="C6098" t="str">
            <v>TRAVEL EXPENSE - OTHER</v>
          </cell>
        </row>
        <row r="6099">
          <cell r="A6099">
            <v>8001054179</v>
          </cell>
          <cell r="B6099">
            <v>370499</v>
          </cell>
          <cell r="C6099" t="str">
            <v>TRAVEL - MEALS, ENT &amp; GIF</v>
          </cell>
        </row>
        <row r="6100">
          <cell r="A6100">
            <v>8001059542</v>
          </cell>
          <cell r="B6100">
            <v>370499</v>
          </cell>
          <cell r="C6100" t="str">
            <v>TRAVEL - MEALS, ENT &amp; GIF</v>
          </cell>
        </row>
        <row r="6101">
          <cell r="A6101">
            <v>8010512510</v>
          </cell>
          <cell r="B6101">
            <v>370499</v>
          </cell>
          <cell r="C6101" t="str">
            <v>TRAVEL - MEALS, ENT &amp; GIF</v>
          </cell>
        </row>
        <row r="6102">
          <cell r="A6102">
            <v>9080700</v>
          </cell>
          <cell r="B6102">
            <v>370499</v>
          </cell>
          <cell r="C6102" t="str">
            <v>TRAVEL - MEALS, ENT &amp; GIF</v>
          </cell>
        </row>
        <row r="6103">
          <cell r="A6103">
            <v>9080701</v>
          </cell>
          <cell r="B6103">
            <v>370499</v>
          </cell>
          <cell r="C6103" t="str">
            <v>TRAVEL - MEALS, ENT &amp; GIF</v>
          </cell>
        </row>
        <row r="6104">
          <cell r="A6104">
            <v>9080702</v>
          </cell>
          <cell r="B6104">
            <v>370499</v>
          </cell>
          <cell r="C6104" t="str">
            <v>TRAVEL - MEALS, ENT &amp; GIF</v>
          </cell>
        </row>
        <row r="6105">
          <cell r="A6105">
            <v>9080705</v>
          </cell>
          <cell r="B6105">
            <v>370499</v>
          </cell>
          <cell r="C6105" t="str">
            <v>TRAVEL - MEALS, ENT &amp; GIF</v>
          </cell>
        </row>
        <row r="6106">
          <cell r="A6106">
            <v>9080707</v>
          </cell>
          <cell r="B6106">
            <v>370499</v>
          </cell>
          <cell r="C6106" t="str">
            <v>TRAVEL - MEALS, ENT &amp; GIF</v>
          </cell>
        </row>
        <row r="6107">
          <cell r="A6107">
            <v>9080710</v>
          </cell>
          <cell r="B6107">
            <v>370499</v>
          </cell>
          <cell r="C6107" t="str">
            <v>TRAVEL - MEALS, ENT &amp; GIF</v>
          </cell>
        </row>
        <row r="6108">
          <cell r="A6108">
            <v>9080999</v>
          </cell>
          <cell r="B6108">
            <v>370499</v>
          </cell>
          <cell r="C6108" t="str">
            <v>TRAVEL - MEALS, ENT &amp; GIF</v>
          </cell>
        </row>
        <row r="6109">
          <cell r="A6109">
            <v>9090710</v>
          </cell>
          <cell r="B6109">
            <v>370499</v>
          </cell>
          <cell r="C6109" t="str">
            <v>TRAVEL - MEALS, ENT &amp; GIF</v>
          </cell>
        </row>
        <row r="6110">
          <cell r="A6110">
            <v>9090999</v>
          </cell>
          <cell r="B6110">
            <v>370499</v>
          </cell>
          <cell r="C6110" t="str">
            <v>TRAVEL - MEALS, ENT &amp; GIF</v>
          </cell>
        </row>
        <row r="6111">
          <cell r="A6111">
            <v>9100710</v>
          </cell>
          <cell r="B6111">
            <v>370499</v>
          </cell>
          <cell r="C6111" t="str">
            <v>TRAVEL - MEALS, ENT &amp; GIF</v>
          </cell>
        </row>
        <row r="6112">
          <cell r="A6112">
            <v>9100999</v>
          </cell>
          <cell r="B6112">
            <v>370499</v>
          </cell>
          <cell r="C6112" t="str">
            <v>TRAVEL - MEALS, ENT &amp; GIF</v>
          </cell>
        </row>
        <row r="6113">
          <cell r="A6113">
            <v>9110700</v>
          </cell>
          <cell r="B6113">
            <v>370499</v>
          </cell>
          <cell r="C6113" t="str">
            <v>TRAVEL - MEALS, ENT &amp; GIF</v>
          </cell>
        </row>
        <row r="6114">
          <cell r="A6114">
            <v>9110702</v>
          </cell>
          <cell r="B6114">
            <v>370499</v>
          </cell>
          <cell r="C6114" t="str">
            <v>TRAVEL - MEALS, ENT &amp; GIF</v>
          </cell>
        </row>
        <row r="6115">
          <cell r="A6115">
            <v>9110705</v>
          </cell>
          <cell r="B6115">
            <v>370499</v>
          </cell>
          <cell r="C6115" t="str">
            <v>TRAVEL - MEALS, ENT &amp; GIF</v>
          </cell>
        </row>
        <row r="6116">
          <cell r="A6116">
            <v>9110707</v>
          </cell>
          <cell r="B6116">
            <v>370499</v>
          </cell>
          <cell r="C6116" t="str">
            <v>TRAVEL - MEALS, ENT &amp; GIF</v>
          </cell>
        </row>
        <row r="6117">
          <cell r="A6117">
            <v>9110999</v>
          </cell>
          <cell r="B6117">
            <v>370499</v>
          </cell>
          <cell r="C6117" t="str">
            <v>TRAVEL - MEALS, ENT &amp; GIF</v>
          </cell>
        </row>
        <row r="6118">
          <cell r="A6118">
            <v>9680700</v>
          </cell>
          <cell r="B6118">
            <v>370499</v>
          </cell>
          <cell r="C6118" t="str">
            <v>TRAVEL - MEALS, ENT &amp; GIF</v>
          </cell>
        </row>
        <row r="6119">
          <cell r="A6119">
            <v>9680701</v>
          </cell>
          <cell r="B6119">
            <v>370499</v>
          </cell>
          <cell r="C6119" t="str">
            <v>TRAVEL - MEALS, ENT &amp; GIF</v>
          </cell>
        </row>
        <row r="6120">
          <cell r="A6120">
            <v>9680702</v>
          </cell>
          <cell r="B6120">
            <v>370499</v>
          </cell>
          <cell r="C6120" t="str">
            <v>TRAVEL - MEALS, ENT &amp; GIF</v>
          </cell>
        </row>
        <row r="6121">
          <cell r="A6121">
            <v>9680705</v>
          </cell>
          <cell r="B6121">
            <v>370499</v>
          </cell>
          <cell r="C6121" t="str">
            <v>TRAVEL - MEALS, ENT &amp; GIF</v>
          </cell>
        </row>
        <row r="6122">
          <cell r="A6122">
            <v>9680707</v>
          </cell>
          <cell r="B6122">
            <v>370499</v>
          </cell>
          <cell r="C6122" t="str">
            <v>TRAVEL - MEALS, ENT &amp; GIF</v>
          </cell>
        </row>
        <row r="6123">
          <cell r="A6123">
            <v>9680710</v>
          </cell>
          <cell r="B6123">
            <v>370499</v>
          </cell>
          <cell r="C6123" t="str">
            <v>TRAVEL - MEALS, ENT &amp; GIF</v>
          </cell>
        </row>
        <row r="6124">
          <cell r="A6124">
            <v>9680712</v>
          </cell>
          <cell r="B6124">
            <v>370499</v>
          </cell>
          <cell r="C6124" t="str">
            <v>TRAVEL - MEALS, ENT &amp; GIF</v>
          </cell>
        </row>
        <row r="6125">
          <cell r="A6125">
            <v>9680714</v>
          </cell>
          <cell r="B6125">
            <v>370499</v>
          </cell>
          <cell r="C6125" t="str">
            <v>TRAVEL - MEALS, ENT &amp; GIF</v>
          </cell>
        </row>
        <row r="6126">
          <cell r="A6126">
            <v>9680734</v>
          </cell>
          <cell r="B6126">
            <v>370499</v>
          </cell>
          <cell r="C6126" t="str">
            <v>TRAVEL - MEALS, ENT &amp; GIF</v>
          </cell>
        </row>
        <row r="6127">
          <cell r="A6127">
            <v>9680748</v>
          </cell>
          <cell r="B6127">
            <v>370499</v>
          </cell>
          <cell r="C6127" t="str">
            <v>TRAVEL - MEALS, ENT &amp; GIF</v>
          </cell>
        </row>
        <row r="6128">
          <cell r="A6128">
            <v>9680749</v>
          </cell>
          <cell r="B6128">
            <v>370499</v>
          </cell>
          <cell r="C6128" t="str">
            <v>TRAVEL - MEALS, ENT &amp; GIF</v>
          </cell>
        </row>
        <row r="6129">
          <cell r="A6129">
            <v>9680894</v>
          </cell>
          <cell r="B6129">
            <v>370499</v>
          </cell>
          <cell r="C6129" t="str">
            <v>TRAVEL - MEALS, ENT &amp; GIF</v>
          </cell>
        </row>
        <row r="6130">
          <cell r="A6130">
            <v>9680999</v>
          </cell>
          <cell r="B6130">
            <v>370499</v>
          </cell>
          <cell r="C6130" t="str">
            <v>TRAVEL - MEALS, ENT &amp; GIF</v>
          </cell>
        </row>
        <row r="6131">
          <cell r="A6131">
            <v>9681700</v>
          </cell>
          <cell r="B6131">
            <v>370499</v>
          </cell>
          <cell r="C6131" t="str">
            <v>TRAVEL - MEALS, ENT &amp; GIF</v>
          </cell>
        </row>
        <row r="6132">
          <cell r="A6132">
            <v>9681701</v>
          </cell>
          <cell r="B6132">
            <v>370499</v>
          </cell>
          <cell r="C6132" t="str">
            <v>TRAVEL - MEALS, ENT &amp; GIF</v>
          </cell>
        </row>
        <row r="6133">
          <cell r="A6133">
            <v>9681702</v>
          </cell>
          <cell r="B6133">
            <v>370499</v>
          </cell>
          <cell r="C6133" t="str">
            <v>TRAVEL - MEALS, ENT &amp; GIF</v>
          </cell>
        </row>
        <row r="6134">
          <cell r="A6134">
            <v>9681705</v>
          </cell>
          <cell r="B6134">
            <v>370499</v>
          </cell>
          <cell r="C6134" t="str">
            <v>TRAVEL - MEALS, ENT &amp; GIF</v>
          </cell>
        </row>
        <row r="6135">
          <cell r="A6135">
            <v>9681706</v>
          </cell>
          <cell r="B6135">
            <v>370499</v>
          </cell>
          <cell r="C6135" t="str">
            <v>TRAVEL - MEALS, ENT &amp; GIF</v>
          </cell>
        </row>
        <row r="6136">
          <cell r="A6136">
            <v>9681707</v>
          </cell>
          <cell r="B6136">
            <v>370499</v>
          </cell>
          <cell r="C6136" t="str">
            <v>TRAVEL - MEALS, ENT &amp; GIF</v>
          </cell>
        </row>
        <row r="6137">
          <cell r="A6137">
            <v>9681710</v>
          </cell>
          <cell r="B6137">
            <v>370499</v>
          </cell>
          <cell r="C6137" t="str">
            <v>TRAVEL - MEALS, ENT &amp; GIF</v>
          </cell>
        </row>
        <row r="6138">
          <cell r="A6138">
            <v>9681712</v>
          </cell>
          <cell r="B6138">
            <v>370499</v>
          </cell>
          <cell r="C6138" t="str">
            <v>TRAVEL - MEALS, ENT &amp; GIF</v>
          </cell>
        </row>
        <row r="6139">
          <cell r="A6139">
            <v>9681727</v>
          </cell>
          <cell r="B6139">
            <v>370499</v>
          </cell>
          <cell r="C6139" t="str">
            <v>TRAVEL - MEALS, ENT &amp; GIF</v>
          </cell>
        </row>
        <row r="6140">
          <cell r="A6140">
            <v>9681734</v>
          </cell>
          <cell r="B6140">
            <v>370499</v>
          </cell>
          <cell r="C6140" t="str">
            <v>TRAVEL - MEALS, ENT &amp; GIF</v>
          </cell>
        </row>
        <row r="6141">
          <cell r="A6141">
            <v>9681748</v>
          </cell>
          <cell r="B6141">
            <v>370499</v>
          </cell>
          <cell r="C6141" t="str">
            <v>TRAVEL - MEALS, ENT &amp; GIF</v>
          </cell>
        </row>
        <row r="6142">
          <cell r="A6142">
            <v>9681749</v>
          </cell>
          <cell r="B6142">
            <v>370499</v>
          </cell>
          <cell r="C6142" t="str">
            <v>TRAVEL - MEALS, ENT &amp; GIF</v>
          </cell>
        </row>
        <row r="6143">
          <cell r="A6143">
            <v>9681894</v>
          </cell>
          <cell r="B6143">
            <v>370499</v>
          </cell>
          <cell r="C6143" t="str">
            <v>TRAVEL - MEALS, ENT &amp; GIF</v>
          </cell>
        </row>
        <row r="6144">
          <cell r="A6144">
            <v>9681999</v>
          </cell>
          <cell r="B6144">
            <v>370499</v>
          </cell>
          <cell r="C6144" t="str">
            <v>TRAVEL - MEALS, ENT &amp; GIF</v>
          </cell>
        </row>
        <row r="6145">
          <cell r="A6145">
            <v>9682715</v>
          </cell>
          <cell r="B6145">
            <v>370499</v>
          </cell>
          <cell r="C6145" t="str">
            <v>TRAVEL - MEALS, ENT &amp; GIF</v>
          </cell>
        </row>
        <row r="6146">
          <cell r="A6146">
            <v>9682722</v>
          </cell>
          <cell r="B6146">
            <v>370499</v>
          </cell>
          <cell r="C6146" t="str">
            <v>TRAVEL - MEALS, ENT &amp; GIF</v>
          </cell>
        </row>
        <row r="6147">
          <cell r="A6147">
            <v>9682999</v>
          </cell>
          <cell r="B6147">
            <v>370499</v>
          </cell>
          <cell r="C6147" t="str">
            <v>TRAVEL - MEALS, ENT &amp; GIF</v>
          </cell>
        </row>
        <row r="6148">
          <cell r="A6148">
            <v>9683999</v>
          </cell>
          <cell r="B6148">
            <v>370499</v>
          </cell>
          <cell r="C6148" t="str">
            <v>TRAVEL - MEALS, ENT &amp; GIF</v>
          </cell>
        </row>
        <row r="6149">
          <cell r="A6149">
            <v>9684999</v>
          </cell>
          <cell r="B6149">
            <v>370499</v>
          </cell>
          <cell r="C6149" t="str">
            <v>TRAVEL - MEALS, ENT &amp; GIF</v>
          </cell>
        </row>
        <row r="6150">
          <cell r="A6150">
            <v>9685999</v>
          </cell>
          <cell r="B6150">
            <v>370499</v>
          </cell>
          <cell r="C6150" t="str">
            <v>TRAVEL - MEALS, ENT &amp; GIF</v>
          </cell>
        </row>
        <row r="6151">
          <cell r="A6151">
            <v>9689692</v>
          </cell>
          <cell r="B6151">
            <v>370499</v>
          </cell>
          <cell r="C6151" t="str">
            <v>TRAVEL - MEALS, ENT &amp; GIF</v>
          </cell>
        </row>
        <row r="6152">
          <cell r="A6152">
            <v>9689747</v>
          </cell>
          <cell r="B6152">
            <v>370499</v>
          </cell>
          <cell r="C6152" t="str">
            <v>TRAVEL - MEALS, ENT &amp; GIF</v>
          </cell>
        </row>
        <row r="6153">
          <cell r="A6153">
            <v>9689883</v>
          </cell>
          <cell r="B6153">
            <v>370499</v>
          </cell>
          <cell r="C6153" t="str">
            <v>TRAVEL - MEALS, ENT &amp; GIF</v>
          </cell>
        </row>
        <row r="6154">
          <cell r="A6154">
            <v>9689890</v>
          </cell>
          <cell r="B6154">
            <v>370499</v>
          </cell>
          <cell r="C6154" t="str">
            <v>TRAVEL - MEALS, ENT &amp; GIF</v>
          </cell>
        </row>
        <row r="6155">
          <cell r="A6155">
            <v>9689906</v>
          </cell>
          <cell r="B6155">
            <v>370499</v>
          </cell>
          <cell r="C6155" t="str">
            <v>TRAVEL - MEALS, ENT &amp; GIF</v>
          </cell>
        </row>
        <row r="6156">
          <cell r="A6156">
            <v>9689925</v>
          </cell>
          <cell r="B6156">
            <v>370499</v>
          </cell>
          <cell r="C6156" t="str">
            <v>TRAVEL - MEALS, ENT &amp; GIF</v>
          </cell>
        </row>
        <row r="6157">
          <cell r="A6157">
            <v>9689990</v>
          </cell>
          <cell r="B6157">
            <v>370499</v>
          </cell>
          <cell r="C6157" t="str">
            <v>TRAVEL - MEALS, ENT &amp; GIF</v>
          </cell>
        </row>
        <row r="6158">
          <cell r="A6158">
            <v>9689991</v>
          </cell>
          <cell r="B6158">
            <v>370499</v>
          </cell>
          <cell r="C6158" t="str">
            <v>TRAVEL - MEALS, ENT &amp; GIF</v>
          </cell>
        </row>
        <row r="6159">
          <cell r="A6159">
            <v>9689992</v>
          </cell>
          <cell r="B6159">
            <v>370499</v>
          </cell>
          <cell r="C6159" t="str">
            <v>TRAVEL - MEALS, ENT &amp; GIF</v>
          </cell>
        </row>
        <row r="6160">
          <cell r="A6160">
            <v>9689993</v>
          </cell>
          <cell r="B6160">
            <v>370499</v>
          </cell>
          <cell r="C6160" t="str">
            <v>TRAVEL - MEALS, ENT &amp; GIF</v>
          </cell>
        </row>
        <row r="6161">
          <cell r="A6161">
            <v>9689994</v>
          </cell>
          <cell r="B6161">
            <v>370499</v>
          </cell>
          <cell r="C6161" t="str">
            <v>TRAVEL - MEALS, ENT &amp; GIF</v>
          </cell>
        </row>
        <row r="6162">
          <cell r="A6162">
            <v>9969681</v>
          </cell>
          <cell r="B6162">
            <v>370499</v>
          </cell>
          <cell r="C6162" t="str">
            <v>TRAVEL - MEALS, ENT &amp; GIF</v>
          </cell>
        </row>
        <row r="6163">
          <cell r="A6163">
            <v>9969901</v>
          </cell>
          <cell r="B6163">
            <v>370499</v>
          </cell>
          <cell r="C6163" t="str">
            <v>TRAVEL - MEALS, ENT &amp; GIF</v>
          </cell>
        </row>
        <row r="6164">
          <cell r="A6164" t="str">
            <v>ZONE-0105-POST</v>
          </cell>
          <cell r="B6164">
            <v>370499</v>
          </cell>
          <cell r="C6164" t="str">
            <v>TRAVEL - MEALS, ENT &amp; GIF</v>
          </cell>
        </row>
        <row r="6165">
          <cell r="A6165" t="str">
            <v>ZONE-0112-POST</v>
          </cell>
          <cell r="B6165">
            <v>370499</v>
          </cell>
          <cell r="C6165" t="str">
            <v>TRAVEL - MEALS, ENT &amp; GIF</v>
          </cell>
        </row>
        <row r="6166">
          <cell r="A6166">
            <v>8001054179</v>
          </cell>
          <cell r="B6166">
            <v>370500</v>
          </cell>
          <cell r="C6166" t="str">
            <v>TRAVEL-EXCL MEALS ENT. GIFT</v>
          </cell>
        </row>
        <row r="6167">
          <cell r="A6167">
            <v>8001059542</v>
          </cell>
          <cell r="B6167">
            <v>370500</v>
          </cell>
          <cell r="C6167" t="str">
            <v>TRAVEL-EXCL MEALS ENT. GIFT</v>
          </cell>
        </row>
        <row r="6168">
          <cell r="A6168">
            <v>8010512510</v>
          </cell>
          <cell r="B6168">
            <v>370500</v>
          </cell>
          <cell r="C6168" t="str">
            <v>TRAVEL-EXCL MEALS ENT. GIFT</v>
          </cell>
        </row>
        <row r="6169">
          <cell r="A6169">
            <v>9080700</v>
          </cell>
          <cell r="B6169">
            <v>370500</v>
          </cell>
          <cell r="C6169" t="str">
            <v>TRAVEL-EXCL MEALS ENT. GIFT</v>
          </cell>
        </row>
        <row r="6170">
          <cell r="A6170">
            <v>9080701</v>
          </cell>
          <cell r="B6170">
            <v>370500</v>
          </cell>
          <cell r="C6170" t="str">
            <v>TRAVEL-EXCL MEALS ENT. GIFT</v>
          </cell>
        </row>
        <row r="6171">
          <cell r="A6171">
            <v>9080702</v>
          </cell>
          <cell r="B6171">
            <v>370500</v>
          </cell>
          <cell r="C6171" t="str">
            <v>TRAVEL-EXCL MEALS ENT. GIFT</v>
          </cell>
        </row>
        <row r="6172">
          <cell r="A6172">
            <v>9080705</v>
          </cell>
          <cell r="B6172">
            <v>370500</v>
          </cell>
          <cell r="C6172" t="str">
            <v>TRAVEL-EXCL MEALS ENT. GIFT</v>
          </cell>
        </row>
        <row r="6173">
          <cell r="A6173">
            <v>9080707</v>
          </cell>
          <cell r="B6173">
            <v>370500</v>
          </cell>
          <cell r="C6173" t="str">
            <v>TRAVEL-EXCL MEALS ENT. GIFT</v>
          </cell>
        </row>
        <row r="6174">
          <cell r="A6174">
            <v>9080710</v>
          </cell>
          <cell r="B6174">
            <v>370500</v>
          </cell>
          <cell r="C6174" t="str">
            <v>TRAVEL-EXCL MEALS ENT. GIFT</v>
          </cell>
        </row>
        <row r="6175">
          <cell r="A6175">
            <v>9080999</v>
          </cell>
          <cell r="B6175">
            <v>370500</v>
          </cell>
          <cell r="C6175" t="str">
            <v>TRAVEL-EXCL MEALS ENT. GIFT</v>
          </cell>
        </row>
        <row r="6176">
          <cell r="A6176">
            <v>9090710</v>
          </cell>
          <cell r="B6176">
            <v>370500</v>
          </cell>
          <cell r="C6176" t="str">
            <v>TRAVEL-EXCL MEALS ENT. GIFT</v>
          </cell>
        </row>
        <row r="6177">
          <cell r="A6177">
            <v>9090999</v>
          </cell>
          <cell r="B6177">
            <v>370500</v>
          </cell>
          <cell r="C6177" t="str">
            <v>TRAVEL-EXCL MEALS ENT. GIFT</v>
          </cell>
        </row>
        <row r="6178">
          <cell r="A6178">
            <v>9100710</v>
          </cell>
          <cell r="B6178">
            <v>370500</v>
          </cell>
          <cell r="C6178" t="str">
            <v>TRAVEL-EXCL MEALS ENT. GIFT</v>
          </cell>
        </row>
        <row r="6179">
          <cell r="A6179">
            <v>9100999</v>
          </cell>
          <cell r="B6179">
            <v>370500</v>
          </cell>
          <cell r="C6179" t="str">
            <v>TRAVEL-EXCL MEALS ENT. GIFT</v>
          </cell>
        </row>
        <row r="6180">
          <cell r="A6180">
            <v>9110700</v>
          </cell>
          <cell r="B6180">
            <v>370500</v>
          </cell>
          <cell r="C6180" t="str">
            <v>TRAVEL-EXCL MEALS ENT. GIFT</v>
          </cell>
        </row>
        <row r="6181">
          <cell r="A6181">
            <v>9110702</v>
          </cell>
          <cell r="B6181">
            <v>370500</v>
          </cell>
          <cell r="C6181" t="str">
            <v>TRAVEL-EXCL MEALS ENT. GIFT</v>
          </cell>
        </row>
        <row r="6182">
          <cell r="A6182">
            <v>9110705</v>
          </cell>
          <cell r="B6182">
            <v>370500</v>
          </cell>
          <cell r="C6182" t="str">
            <v>TRAVEL-EXCL MEALS ENT. GIFT</v>
          </cell>
        </row>
        <row r="6183">
          <cell r="A6183">
            <v>9110707</v>
          </cell>
          <cell r="B6183">
            <v>370500</v>
          </cell>
          <cell r="C6183" t="str">
            <v>TRAVEL-EXCL MEALS ENT. GIFT</v>
          </cell>
        </row>
        <row r="6184">
          <cell r="A6184">
            <v>9110999</v>
          </cell>
          <cell r="B6184">
            <v>370500</v>
          </cell>
          <cell r="C6184" t="str">
            <v>TRAVEL-EXCL MEALS ENT. GIFT</v>
          </cell>
        </row>
        <row r="6185">
          <cell r="A6185">
            <v>9680700</v>
          </cell>
          <cell r="B6185">
            <v>370500</v>
          </cell>
          <cell r="C6185" t="str">
            <v>TRAVEL-EXCL MEALS ENT. GIFT</v>
          </cell>
        </row>
        <row r="6186">
          <cell r="A6186">
            <v>9680701</v>
          </cell>
          <cell r="B6186">
            <v>370500</v>
          </cell>
          <cell r="C6186" t="str">
            <v>TRAVEL-EXCL MEALS ENT. GIFT</v>
          </cell>
        </row>
        <row r="6187">
          <cell r="A6187">
            <v>9680702</v>
          </cell>
          <cell r="B6187">
            <v>370500</v>
          </cell>
          <cell r="C6187" t="str">
            <v>TRAVEL-EXCL MEALS ENT. GIFT</v>
          </cell>
        </row>
        <row r="6188">
          <cell r="A6188">
            <v>9680705</v>
          </cell>
          <cell r="B6188">
            <v>370500</v>
          </cell>
          <cell r="C6188" t="str">
            <v>TRAVEL-EXCL MEALS ENT. GIFT</v>
          </cell>
        </row>
        <row r="6189">
          <cell r="A6189">
            <v>9680707</v>
          </cell>
          <cell r="B6189">
            <v>370500</v>
          </cell>
          <cell r="C6189" t="str">
            <v>TRAVEL-EXCL MEALS ENT. GIFT</v>
          </cell>
        </row>
        <row r="6190">
          <cell r="A6190">
            <v>9680710</v>
          </cell>
          <cell r="B6190">
            <v>370500</v>
          </cell>
          <cell r="C6190" t="str">
            <v>TRAVEL-EXCL MEALS ENT. GIFT</v>
          </cell>
        </row>
        <row r="6191">
          <cell r="A6191">
            <v>9680712</v>
          </cell>
          <cell r="B6191">
            <v>370500</v>
          </cell>
          <cell r="C6191" t="str">
            <v>TRAVEL-EXCL MEALS ENT. GIFT</v>
          </cell>
        </row>
        <row r="6192">
          <cell r="A6192">
            <v>9680714</v>
          </cell>
          <cell r="B6192">
            <v>370500</v>
          </cell>
          <cell r="C6192" t="str">
            <v>TRAVEL-EXCL MEALS ENT. GIFT</v>
          </cell>
        </row>
        <row r="6193">
          <cell r="A6193">
            <v>9680734</v>
          </cell>
          <cell r="B6193">
            <v>370500</v>
          </cell>
          <cell r="C6193" t="str">
            <v>TRAVEL-EXCL MEALS ENT. GIFT</v>
          </cell>
        </row>
        <row r="6194">
          <cell r="A6194">
            <v>9680748</v>
          </cell>
          <cell r="B6194">
            <v>370500</v>
          </cell>
          <cell r="C6194" t="str">
            <v>TRAVEL-EXCL MEALS ENT. GIFT</v>
          </cell>
        </row>
        <row r="6195">
          <cell r="A6195">
            <v>9680749</v>
          </cell>
          <cell r="B6195">
            <v>370500</v>
          </cell>
          <cell r="C6195" t="str">
            <v>TRAVEL-EXCL MEALS ENT. GIFT</v>
          </cell>
        </row>
        <row r="6196">
          <cell r="A6196">
            <v>9680894</v>
          </cell>
          <cell r="B6196">
            <v>370500</v>
          </cell>
          <cell r="C6196" t="str">
            <v>TRAVEL-EXCL MEALS ENT. GIFT</v>
          </cell>
        </row>
        <row r="6197">
          <cell r="A6197">
            <v>9680999</v>
          </cell>
          <cell r="B6197">
            <v>370500</v>
          </cell>
          <cell r="C6197" t="str">
            <v>TRAVEL-EXCL MEALS ENT. GIFT</v>
          </cell>
        </row>
        <row r="6198">
          <cell r="A6198">
            <v>9681700</v>
          </cell>
          <cell r="B6198">
            <v>370500</v>
          </cell>
          <cell r="C6198" t="str">
            <v>TRAVEL-EXCL MEALS ENT. GIFT</v>
          </cell>
        </row>
        <row r="6199">
          <cell r="A6199">
            <v>9681701</v>
          </cell>
          <cell r="B6199">
            <v>370500</v>
          </cell>
          <cell r="C6199" t="str">
            <v>TRAVEL-EXCL MEALS ENT. GIFT</v>
          </cell>
        </row>
        <row r="6200">
          <cell r="A6200">
            <v>9681702</v>
          </cell>
          <cell r="B6200">
            <v>370500</v>
          </cell>
          <cell r="C6200" t="str">
            <v>TRAVEL-EXCL MEALS ENT. GIFT</v>
          </cell>
        </row>
        <row r="6201">
          <cell r="A6201">
            <v>9681705</v>
          </cell>
          <cell r="B6201">
            <v>370500</v>
          </cell>
          <cell r="C6201" t="str">
            <v>TRAVEL-EXCL MEALS ENT. GIFT</v>
          </cell>
        </row>
        <row r="6202">
          <cell r="A6202">
            <v>9681706</v>
          </cell>
          <cell r="B6202">
            <v>370500</v>
          </cell>
          <cell r="C6202" t="str">
            <v>TRAVEL-EXCL MEALS ENT. GIFT</v>
          </cell>
        </row>
        <row r="6203">
          <cell r="A6203">
            <v>9681707</v>
          </cell>
          <cell r="B6203">
            <v>370500</v>
          </cell>
          <cell r="C6203" t="str">
            <v>TRAVEL-EXCL MEALS ENT. GIFT</v>
          </cell>
        </row>
        <row r="6204">
          <cell r="A6204">
            <v>9681710</v>
          </cell>
          <cell r="B6204">
            <v>370500</v>
          </cell>
          <cell r="C6204" t="str">
            <v>TRAVEL-EXCL MEALS ENT. GIFT</v>
          </cell>
        </row>
        <row r="6205">
          <cell r="A6205">
            <v>9681712</v>
          </cell>
          <cell r="B6205">
            <v>370500</v>
          </cell>
          <cell r="C6205" t="str">
            <v>TRAVEL-EXCL MEALS ENT. GIFT</v>
          </cell>
        </row>
        <row r="6206">
          <cell r="A6206">
            <v>9681727</v>
          </cell>
          <cell r="B6206">
            <v>370500</v>
          </cell>
          <cell r="C6206" t="str">
            <v>TRAVEL-EXCL MEALS ENT. GIFT</v>
          </cell>
        </row>
        <row r="6207">
          <cell r="A6207">
            <v>9681734</v>
          </cell>
          <cell r="B6207">
            <v>370500</v>
          </cell>
          <cell r="C6207" t="str">
            <v>TRAVEL-EXCL MEALS ENT. GIFT</v>
          </cell>
        </row>
        <row r="6208">
          <cell r="A6208">
            <v>9681748</v>
          </cell>
          <cell r="B6208">
            <v>370500</v>
          </cell>
          <cell r="C6208" t="str">
            <v>TRAVEL-EXCL MEALS ENT. GIFT</v>
          </cell>
        </row>
        <row r="6209">
          <cell r="A6209">
            <v>9681749</v>
          </cell>
          <cell r="B6209">
            <v>370500</v>
          </cell>
          <cell r="C6209" t="str">
            <v>TRAVEL-EXCL MEALS ENT. GIFT</v>
          </cell>
        </row>
        <row r="6210">
          <cell r="A6210">
            <v>9681894</v>
          </cell>
          <cell r="B6210">
            <v>370500</v>
          </cell>
          <cell r="C6210" t="str">
            <v>TRAVEL-EXCL MEALS ENT. GIFT</v>
          </cell>
        </row>
        <row r="6211">
          <cell r="A6211">
            <v>9681999</v>
          </cell>
          <cell r="B6211">
            <v>370500</v>
          </cell>
          <cell r="C6211" t="str">
            <v>TRAVEL-EXCL MEALS ENT. GIFT</v>
          </cell>
        </row>
        <row r="6212">
          <cell r="A6212">
            <v>9682715</v>
          </cell>
          <cell r="B6212">
            <v>370500</v>
          </cell>
          <cell r="C6212" t="str">
            <v>TRAVEL-EXCL MEALS ENT. GIFT</v>
          </cell>
        </row>
        <row r="6213">
          <cell r="A6213">
            <v>9682722</v>
          </cell>
          <cell r="B6213">
            <v>370500</v>
          </cell>
          <cell r="C6213" t="str">
            <v>TRAVEL-EXCL MEALS ENT. GIFT</v>
          </cell>
        </row>
        <row r="6214">
          <cell r="A6214">
            <v>9682999</v>
          </cell>
          <cell r="B6214">
            <v>370500</v>
          </cell>
          <cell r="C6214" t="str">
            <v>TRAVEL-EXCL MEALS ENT. GIFT</v>
          </cell>
        </row>
        <row r="6215">
          <cell r="A6215">
            <v>9683999</v>
          </cell>
          <cell r="B6215">
            <v>370500</v>
          </cell>
          <cell r="C6215" t="str">
            <v>TRAVEL-EXCL MEALS ENT. GIFT</v>
          </cell>
        </row>
        <row r="6216">
          <cell r="A6216">
            <v>9684999</v>
          </cell>
          <cell r="B6216">
            <v>370500</v>
          </cell>
          <cell r="C6216" t="str">
            <v>TRAVEL-EXCL MEALS ENT. GIFT</v>
          </cell>
        </row>
        <row r="6217">
          <cell r="A6217">
            <v>9685999</v>
          </cell>
          <cell r="B6217">
            <v>370500</v>
          </cell>
          <cell r="C6217" t="str">
            <v>TRAVEL-EXCL MEALS ENT. GIFT</v>
          </cell>
        </row>
        <row r="6218">
          <cell r="A6218">
            <v>9689692</v>
          </cell>
          <cell r="B6218">
            <v>370500</v>
          </cell>
          <cell r="C6218" t="str">
            <v>TRAVEL-EXCL MEALS ENT. GIFT</v>
          </cell>
        </row>
        <row r="6219">
          <cell r="A6219">
            <v>9689747</v>
          </cell>
          <cell r="B6219">
            <v>370500</v>
          </cell>
          <cell r="C6219" t="str">
            <v>TRAVEL-EXCL MEALS ENT. GIFT</v>
          </cell>
        </row>
        <row r="6220">
          <cell r="A6220">
            <v>9689883</v>
          </cell>
          <cell r="B6220">
            <v>370500</v>
          </cell>
          <cell r="C6220" t="str">
            <v>TRAVEL-EXCL MEALS ENT. GIFT</v>
          </cell>
        </row>
        <row r="6221">
          <cell r="A6221">
            <v>9689890</v>
          </cell>
          <cell r="B6221">
            <v>370500</v>
          </cell>
          <cell r="C6221" t="str">
            <v>TRAVEL-EXCL MEALS ENT. GIFT</v>
          </cell>
        </row>
        <row r="6222">
          <cell r="A6222">
            <v>9689906</v>
          </cell>
          <cell r="B6222">
            <v>370500</v>
          </cell>
          <cell r="C6222" t="str">
            <v>TRAVEL-EXCL MEALS ENT. GIFT</v>
          </cell>
        </row>
        <row r="6223">
          <cell r="A6223">
            <v>9689925</v>
          </cell>
          <cell r="B6223">
            <v>370500</v>
          </cell>
          <cell r="C6223" t="str">
            <v>TRAVEL-EXCL MEALS ENT. GIFT</v>
          </cell>
        </row>
        <row r="6224">
          <cell r="A6224">
            <v>9689990</v>
          </cell>
          <cell r="B6224">
            <v>370500</v>
          </cell>
          <cell r="C6224" t="str">
            <v>TRAVEL-EXCL MEALS ENT. GIFT</v>
          </cell>
        </row>
        <row r="6225">
          <cell r="A6225">
            <v>9689991</v>
          </cell>
          <cell r="B6225">
            <v>370500</v>
          </cell>
          <cell r="C6225" t="str">
            <v>TRAVEL-EXCL MEALS ENT. GIFT</v>
          </cell>
        </row>
        <row r="6226">
          <cell r="A6226">
            <v>9689992</v>
          </cell>
          <cell r="B6226">
            <v>370500</v>
          </cell>
          <cell r="C6226" t="str">
            <v>TRAVEL-EXCL MEALS ENT. GIFT</v>
          </cell>
        </row>
        <row r="6227">
          <cell r="A6227">
            <v>9689993</v>
          </cell>
          <cell r="B6227">
            <v>370500</v>
          </cell>
          <cell r="C6227" t="str">
            <v>TRAVEL-EXCL MEALS ENT. GIFT</v>
          </cell>
        </row>
        <row r="6228">
          <cell r="A6228">
            <v>9689994</v>
          </cell>
          <cell r="B6228">
            <v>370500</v>
          </cell>
          <cell r="C6228" t="str">
            <v>TRAVEL-EXCL MEALS ENT. GIFT</v>
          </cell>
        </row>
        <row r="6229">
          <cell r="A6229">
            <v>9969681</v>
          </cell>
          <cell r="B6229">
            <v>370500</v>
          </cell>
          <cell r="C6229" t="str">
            <v>TRAVEL-EXCL MEALS ENT. GIFT</v>
          </cell>
        </row>
        <row r="6230">
          <cell r="A6230">
            <v>9969901</v>
          </cell>
          <cell r="B6230">
            <v>370500</v>
          </cell>
          <cell r="C6230" t="str">
            <v>TRAVEL-EXCL MEALS ENT. GIFT</v>
          </cell>
        </row>
        <row r="6231">
          <cell r="A6231" t="str">
            <v>ZONE-0105-POST</v>
          </cell>
          <cell r="B6231">
            <v>370500</v>
          </cell>
          <cell r="C6231" t="str">
            <v>TRAVEL-EXCL MEALS ENT. GIFT</v>
          </cell>
        </row>
        <row r="6232">
          <cell r="A6232" t="str">
            <v>ZONE-0112-POST</v>
          </cell>
          <cell r="B6232">
            <v>370500</v>
          </cell>
          <cell r="C6232" t="str">
            <v>TRAVEL-EXCL MEALS ENT. GIFT</v>
          </cell>
        </row>
        <row r="6233">
          <cell r="A6233">
            <v>9080700</v>
          </cell>
          <cell r="B6233">
            <v>370500</v>
          </cell>
          <cell r="C6233" t="str">
            <v>TRAVEL BUSINESS MILES - PERSONAL CAR</v>
          </cell>
        </row>
        <row r="6234">
          <cell r="A6234">
            <v>9080701</v>
          </cell>
          <cell r="B6234">
            <v>370500</v>
          </cell>
          <cell r="C6234" t="str">
            <v>TRAVEL BUSINESS MILES - PERSONAL CAR</v>
          </cell>
        </row>
        <row r="6235">
          <cell r="A6235">
            <v>9080702</v>
          </cell>
          <cell r="B6235">
            <v>370500</v>
          </cell>
          <cell r="C6235" t="str">
            <v>TRAVEL BUSINESS MILES - PERSONAL CAR</v>
          </cell>
        </row>
        <row r="6236">
          <cell r="A6236">
            <v>9080705</v>
          </cell>
          <cell r="B6236">
            <v>370500</v>
          </cell>
          <cell r="C6236" t="str">
            <v>TRAVEL BUSINESS MILES - PERSONAL CAR</v>
          </cell>
        </row>
        <row r="6237">
          <cell r="A6237">
            <v>9080707</v>
          </cell>
          <cell r="B6237">
            <v>370500</v>
          </cell>
          <cell r="C6237" t="str">
            <v>TRAVEL BUSINESS MILES - PERSONAL CAR</v>
          </cell>
        </row>
        <row r="6238">
          <cell r="A6238">
            <v>9080710</v>
          </cell>
          <cell r="B6238">
            <v>370500</v>
          </cell>
          <cell r="C6238" t="str">
            <v>TRAVEL BUSINESS MILES - PERSONAL CAR</v>
          </cell>
        </row>
        <row r="6239">
          <cell r="A6239">
            <v>9080712</v>
          </cell>
          <cell r="B6239">
            <v>370500</v>
          </cell>
          <cell r="C6239" t="str">
            <v>TRAVEL BUSINESS MILES - PERSONAL CAR</v>
          </cell>
        </row>
        <row r="6240">
          <cell r="A6240">
            <v>9090999</v>
          </cell>
          <cell r="B6240">
            <v>370500</v>
          </cell>
          <cell r="C6240" t="str">
            <v>TRAVEL BUSINESS MILES - PERSONAL CAR</v>
          </cell>
        </row>
        <row r="6241">
          <cell r="A6241">
            <v>9100999</v>
          </cell>
          <cell r="B6241">
            <v>370500</v>
          </cell>
          <cell r="C6241" t="str">
            <v>TRAVEL BUSINESS MILES - PERSONAL CAR</v>
          </cell>
        </row>
        <row r="6242">
          <cell r="A6242">
            <v>9110700</v>
          </cell>
          <cell r="B6242">
            <v>370500</v>
          </cell>
          <cell r="C6242" t="str">
            <v>TRAVEL BUSINESS MILES - PERSONAL CAR</v>
          </cell>
        </row>
        <row r="6243">
          <cell r="A6243">
            <v>9110702</v>
          </cell>
          <cell r="B6243">
            <v>370500</v>
          </cell>
          <cell r="C6243" t="str">
            <v>TRAVEL BUSINESS MILES - PERSONAL CAR</v>
          </cell>
        </row>
        <row r="6244">
          <cell r="A6244">
            <v>9110705</v>
          </cell>
          <cell r="B6244">
            <v>370500</v>
          </cell>
          <cell r="C6244" t="str">
            <v>TRAVEL BUSINESS MILES - PERSONAL CAR</v>
          </cell>
        </row>
        <row r="6245">
          <cell r="A6245">
            <v>9110707</v>
          </cell>
          <cell r="B6245">
            <v>370500</v>
          </cell>
          <cell r="C6245" t="str">
            <v>TRAVEL BUSINESS MILES - PERSONAL CAR</v>
          </cell>
        </row>
        <row r="6246">
          <cell r="A6246">
            <v>9110712</v>
          </cell>
          <cell r="B6246">
            <v>370500</v>
          </cell>
          <cell r="C6246" t="str">
            <v>TRAVEL BUSINESS MILES - PERSONAL CAR</v>
          </cell>
        </row>
        <row r="6247">
          <cell r="A6247">
            <v>9680700</v>
          </cell>
          <cell r="B6247">
            <v>370500</v>
          </cell>
          <cell r="C6247" t="str">
            <v>TRAVEL BUSINESS MILES - PERSONAL CAR</v>
          </cell>
        </row>
        <row r="6248">
          <cell r="A6248">
            <v>9680701</v>
          </cell>
          <cell r="B6248">
            <v>370500</v>
          </cell>
          <cell r="C6248" t="str">
            <v>TRAVEL BUSINESS MILES - PERSONAL CAR</v>
          </cell>
        </row>
        <row r="6249">
          <cell r="A6249">
            <v>9680702</v>
          </cell>
          <cell r="B6249">
            <v>370500</v>
          </cell>
          <cell r="C6249" t="str">
            <v>TRAVEL BUSINESS MILES - PERSONAL CAR</v>
          </cell>
        </row>
        <row r="6250">
          <cell r="A6250">
            <v>9680705</v>
          </cell>
          <cell r="B6250">
            <v>370500</v>
          </cell>
          <cell r="C6250" t="str">
            <v>TRAVEL BUSINESS MILES - PERSONAL CAR</v>
          </cell>
        </row>
        <row r="6251">
          <cell r="A6251">
            <v>9680707</v>
          </cell>
          <cell r="B6251">
            <v>370500</v>
          </cell>
          <cell r="C6251" t="str">
            <v>TRAVEL BUSINESS MILES - PERSONAL CAR</v>
          </cell>
        </row>
        <row r="6252">
          <cell r="A6252">
            <v>9680710</v>
          </cell>
          <cell r="B6252">
            <v>370500</v>
          </cell>
          <cell r="C6252" t="str">
            <v>TRAVEL BUSINESS MILES - PERSONAL CAR</v>
          </cell>
        </row>
        <row r="6253">
          <cell r="A6253">
            <v>9680712</v>
          </cell>
          <cell r="B6253">
            <v>370500</v>
          </cell>
          <cell r="C6253" t="str">
            <v>TRAVEL BUSINESS MILES - PERSONAL CAR</v>
          </cell>
        </row>
        <row r="6254">
          <cell r="A6254">
            <v>9680714</v>
          </cell>
          <cell r="B6254">
            <v>370500</v>
          </cell>
          <cell r="C6254" t="str">
            <v>TRAVEL BUSINESS MILES - PERSONAL CAR</v>
          </cell>
        </row>
        <row r="6255">
          <cell r="A6255">
            <v>9680734</v>
          </cell>
          <cell r="B6255">
            <v>370500</v>
          </cell>
          <cell r="C6255" t="str">
            <v>TRAVEL BUSINESS MILES - PERSONAL CAR</v>
          </cell>
        </row>
        <row r="6256">
          <cell r="A6256">
            <v>9680748</v>
          </cell>
          <cell r="B6256">
            <v>370500</v>
          </cell>
          <cell r="C6256" t="str">
            <v>TRAVEL BUSINESS MILES - PERSONAL CAR</v>
          </cell>
        </row>
        <row r="6257">
          <cell r="A6257">
            <v>9680749</v>
          </cell>
          <cell r="B6257">
            <v>370500</v>
          </cell>
          <cell r="C6257" t="str">
            <v>TRAVEL BUSINESS MILES - PERSONAL CAR</v>
          </cell>
        </row>
        <row r="6258">
          <cell r="A6258">
            <v>9680894</v>
          </cell>
          <cell r="B6258">
            <v>370500</v>
          </cell>
          <cell r="C6258" t="str">
            <v>TRAVEL BUSINESS MILES - PERSONAL CAR</v>
          </cell>
        </row>
        <row r="6259">
          <cell r="A6259">
            <v>9680999</v>
          </cell>
          <cell r="B6259">
            <v>370500</v>
          </cell>
          <cell r="C6259" t="str">
            <v>TRAVEL BUSINESS MILES - PERSONAL CAR</v>
          </cell>
        </row>
        <row r="6260">
          <cell r="A6260">
            <v>9681700</v>
          </cell>
          <cell r="B6260">
            <v>370500</v>
          </cell>
          <cell r="C6260" t="str">
            <v>TRAVEL BUSINESS MILES - PERSONAL CAR</v>
          </cell>
        </row>
        <row r="6261">
          <cell r="A6261">
            <v>9681701</v>
          </cell>
          <cell r="B6261">
            <v>370500</v>
          </cell>
          <cell r="C6261" t="str">
            <v>TRAVEL BUSINESS MILES - PERSONAL CAR</v>
          </cell>
        </row>
        <row r="6262">
          <cell r="A6262">
            <v>9681702</v>
          </cell>
          <cell r="B6262">
            <v>370500</v>
          </cell>
          <cell r="C6262" t="str">
            <v>TRAVEL BUSINESS MILES - PERSONAL CAR</v>
          </cell>
        </row>
        <row r="6263">
          <cell r="A6263">
            <v>9681705</v>
          </cell>
          <cell r="B6263">
            <v>370500</v>
          </cell>
          <cell r="C6263" t="str">
            <v>TRAVEL BUSINESS MILES - PERSONAL CAR</v>
          </cell>
        </row>
        <row r="6264">
          <cell r="A6264">
            <v>9681706</v>
          </cell>
          <cell r="B6264">
            <v>370500</v>
          </cell>
          <cell r="C6264" t="str">
            <v>TRAVEL BUSINESS MILES - PERSONAL CAR</v>
          </cell>
        </row>
        <row r="6265">
          <cell r="A6265">
            <v>9681707</v>
          </cell>
          <cell r="B6265">
            <v>370500</v>
          </cell>
          <cell r="C6265" t="str">
            <v>TRAVEL BUSINESS MILES - PERSONAL CAR</v>
          </cell>
        </row>
        <row r="6266">
          <cell r="A6266">
            <v>9681710</v>
          </cell>
          <cell r="B6266">
            <v>370500</v>
          </cell>
          <cell r="C6266" t="str">
            <v>TRAVEL BUSINESS MILES - PERSONAL CAR</v>
          </cell>
        </row>
        <row r="6267">
          <cell r="A6267">
            <v>9681712</v>
          </cell>
          <cell r="B6267">
            <v>370500</v>
          </cell>
          <cell r="C6267" t="str">
            <v>TRAVEL BUSINESS MILES - PERSONAL CAR</v>
          </cell>
        </row>
        <row r="6268">
          <cell r="A6268">
            <v>9681727</v>
          </cell>
          <cell r="B6268">
            <v>370500</v>
          </cell>
          <cell r="C6268" t="str">
            <v>TRAVEL BUSINESS MILES - PERSONAL CAR</v>
          </cell>
        </row>
        <row r="6269">
          <cell r="A6269">
            <v>9681734</v>
          </cell>
          <cell r="B6269">
            <v>370500</v>
          </cell>
          <cell r="C6269" t="str">
            <v>TRAVEL BUSINESS MILES - PERSONAL CAR</v>
          </cell>
        </row>
        <row r="6270">
          <cell r="A6270">
            <v>9681748</v>
          </cell>
          <cell r="B6270">
            <v>370500</v>
          </cell>
          <cell r="C6270" t="str">
            <v>TRAVEL BUSINESS MILES - PERSONAL CAR</v>
          </cell>
        </row>
        <row r="6271">
          <cell r="A6271">
            <v>9681749</v>
          </cell>
          <cell r="B6271">
            <v>370500</v>
          </cell>
          <cell r="C6271" t="str">
            <v>TRAVEL BUSINESS MILES - PERSONAL CAR</v>
          </cell>
        </row>
        <row r="6272">
          <cell r="A6272">
            <v>9681894</v>
          </cell>
          <cell r="B6272">
            <v>370500</v>
          </cell>
          <cell r="C6272" t="str">
            <v>TRAVEL BUSINESS MILES - PERSONAL CAR</v>
          </cell>
        </row>
        <row r="6273">
          <cell r="A6273">
            <v>9681999</v>
          </cell>
          <cell r="B6273">
            <v>370500</v>
          </cell>
          <cell r="C6273" t="str">
            <v>TRAVEL BUSINESS MILES - PERSONAL CAR</v>
          </cell>
        </row>
        <row r="6274">
          <cell r="A6274">
            <v>9682715</v>
          </cell>
          <cell r="B6274">
            <v>370500</v>
          </cell>
          <cell r="C6274" t="str">
            <v>TRAVEL BUSINESS MILES - PERSONAL CAR</v>
          </cell>
        </row>
        <row r="6275">
          <cell r="A6275">
            <v>9682722</v>
          </cell>
          <cell r="B6275">
            <v>370500</v>
          </cell>
          <cell r="C6275" t="str">
            <v>TRAVEL BUSINESS MILES - PERSONAL CAR</v>
          </cell>
        </row>
        <row r="6276">
          <cell r="A6276">
            <v>9682999</v>
          </cell>
          <cell r="B6276">
            <v>370500</v>
          </cell>
          <cell r="C6276" t="str">
            <v>TRAVEL BUSINESS MILES - PERSONAL CAR</v>
          </cell>
        </row>
        <row r="6277">
          <cell r="A6277">
            <v>9683999</v>
          </cell>
          <cell r="B6277">
            <v>370500</v>
          </cell>
          <cell r="C6277" t="str">
            <v>TRAVEL BUSINESS MILES - PERSONAL CAR</v>
          </cell>
        </row>
        <row r="6278">
          <cell r="A6278">
            <v>9684999</v>
          </cell>
          <cell r="B6278">
            <v>370500</v>
          </cell>
          <cell r="C6278" t="str">
            <v>TRAVEL BUSINESS MILES - PERSONAL CAR</v>
          </cell>
        </row>
        <row r="6279">
          <cell r="A6279">
            <v>9685999</v>
          </cell>
          <cell r="B6279">
            <v>370500</v>
          </cell>
          <cell r="C6279" t="str">
            <v>TRAVEL BUSINESS MILES - PERSONAL CAR</v>
          </cell>
        </row>
        <row r="6280">
          <cell r="A6280">
            <v>9689692</v>
          </cell>
          <cell r="B6280">
            <v>370500</v>
          </cell>
          <cell r="C6280" t="str">
            <v>TRAVEL BUSINESS MILES - PERSONAL CAR</v>
          </cell>
        </row>
        <row r="6281">
          <cell r="A6281">
            <v>9689747</v>
          </cell>
          <cell r="B6281">
            <v>370500</v>
          </cell>
          <cell r="C6281" t="str">
            <v>TRAVEL BUSINESS MILES - PERSONAL CAR</v>
          </cell>
        </row>
        <row r="6282">
          <cell r="A6282">
            <v>9689883</v>
          </cell>
          <cell r="B6282">
            <v>370500</v>
          </cell>
          <cell r="C6282" t="str">
            <v>TRAVEL BUSINESS MILES - PERSONAL CAR</v>
          </cell>
        </row>
        <row r="6283">
          <cell r="A6283">
            <v>9689890</v>
          </cell>
          <cell r="B6283">
            <v>370500</v>
          </cell>
          <cell r="C6283" t="str">
            <v>TRAVEL BUSINESS MILES - PERSONAL CAR</v>
          </cell>
        </row>
        <row r="6284">
          <cell r="A6284">
            <v>9689906</v>
          </cell>
          <cell r="B6284">
            <v>370500</v>
          </cell>
          <cell r="C6284" t="str">
            <v>TRAVEL BUSINESS MILES - PERSONAL CAR</v>
          </cell>
        </row>
        <row r="6285">
          <cell r="A6285">
            <v>9689925</v>
          </cell>
          <cell r="B6285">
            <v>370500</v>
          </cell>
          <cell r="C6285" t="str">
            <v>TRAVEL BUSINESS MILES - PERSONAL CAR</v>
          </cell>
        </row>
        <row r="6286">
          <cell r="A6286">
            <v>9689990</v>
          </cell>
          <cell r="B6286">
            <v>370500</v>
          </cell>
          <cell r="C6286" t="str">
            <v>TRAVEL BUSINESS MILES - PERSONAL CAR</v>
          </cell>
        </row>
        <row r="6287">
          <cell r="A6287">
            <v>9689991</v>
          </cell>
          <cell r="B6287">
            <v>370500</v>
          </cell>
          <cell r="C6287" t="str">
            <v>TRAVEL BUSINESS MILES - PERSONAL CAR</v>
          </cell>
        </row>
        <row r="6288">
          <cell r="A6288">
            <v>9689992</v>
          </cell>
          <cell r="B6288">
            <v>370500</v>
          </cell>
          <cell r="C6288" t="str">
            <v>TRAVEL BUSINESS MILES - PERSONAL CAR</v>
          </cell>
        </row>
        <row r="6289">
          <cell r="A6289">
            <v>9689993</v>
          </cell>
          <cell r="B6289">
            <v>370500</v>
          </cell>
          <cell r="C6289" t="str">
            <v>TRAVEL BUSINESS MILES - PERSONAL CAR</v>
          </cell>
        </row>
        <row r="6290">
          <cell r="A6290">
            <v>9689994</v>
          </cell>
          <cell r="B6290">
            <v>370500</v>
          </cell>
          <cell r="C6290" t="str">
            <v>TRAVEL BUSINESS MILES - PERSONAL CAR</v>
          </cell>
        </row>
        <row r="6291">
          <cell r="A6291">
            <v>9080701</v>
          </cell>
          <cell r="B6291">
            <v>370500</v>
          </cell>
          <cell r="C6291" t="str">
            <v>TRAVEL BUSINESS MILES - LEASED CAR</v>
          </cell>
        </row>
        <row r="6292">
          <cell r="A6292">
            <v>9080702</v>
          </cell>
          <cell r="B6292">
            <v>370500</v>
          </cell>
          <cell r="C6292" t="str">
            <v>TRAVEL BUSINESS MILES - LEASED CAR</v>
          </cell>
        </row>
        <row r="6293">
          <cell r="A6293">
            <v>9080705</v>
          </cell>
          <cell r="B6293">
            <v>370500</v>
          </cell>
          <cell r="C6293" t="str">
            <v>TRAVEL BUSINESS MILES - LEASED CAR</v>
          </cell>
        </row>
        <row r="6294">
          <cell r="A6294">
            <v>9080707</v>
          </cell>
          <cell r="B6294">
            <v>370500</v>
          </cell>
          <cell r="C6294" t="str">
            <v>TRAVEL BUSINESS MILES - LEASED CAR</v>
          </cell>
        </row>
        <row r="6295">
          <cell r="A6295">
            <v>9080710</v>
          </cell>
          <cell r="B6295">
            <v>370500</v>
          </cell>
          <cell r="C6295" t="str">
            <v>TRAVEL BUSINESS MILES - LEASED CAR</v>
          </cell>
        </row>
        <row r="6296">
          <cell r="A6296">
            <v>9080712</v>
          </cell>
          <cell r="B6296">
            <v>370500</v>
          </cell>
          <cell r="C6296" t="str">
            <v>TRAVEL BUSINESS MILES - LEASED CAR</v>
          </cell>
        </row>
        <row r="6297">
          <cell r="A6297">
            <v>9080999</v>
          </cell>
          <cell r="B6297">
            <v>370500</v>
          </cell>
          <cell r="C6297" t="str">
            <v>TRAVEL BUSINESS MILES - LEASED CAR</v>
          </cell>
        </row>
        <row r="6298">
          <cell r="A6298">
            <v>9110702</v>
          </cell>
          <cell r="B6298">
            <v>370500</v>
          </cell>
          <cell r="C6298" t="str">
            <v>TRAVEL BUSINESS MILES - LEASED CAR</v>
          </cell>
        </row>
        <row r="6299">
          <cell r="A6299">
            <v>9110705</v>
          </cell>
          <cell r="B6299">
            <v>370500</v>
          </cell>
          <cell r="C6299" t="str">
            <v>TRAVEL BUSINESS MILES - LEASED CAR</v>
          </cell>
        </row>
        <row r="6300">
          <cell r="A6300">
            <v>9110707</v>
          </cell>
          <cell r="B6300">
            <v>370500</v>
          </cell>
          <cell r="C6300" t="str">
            <v>TRAVEL BUSINESS MILES - LEASED CAR</v>
          </cell>
        </row>
        <row r="6301">
          <cell r="A6301">
            <v>9110712</v>
          </cell>
          <cell r="B6301">
            <v>370500</v>
          </cell>
          <cell r="C6301" t="str">
            <v>TRAVEL BUSINESS MILES - LEASED CAR</v>
          </cell>
        </row>
        <row r="6302">
          <cell r="A6302">
            <v>9110999</v>
          </cell>
          <cell r="B6302">
            <v>370500</v>
          </cell>
          <cell r="C6302" t="str">
            <v>TRAVEL BUSINESS MILES - LEASED CAR</v>
          </cell>
        </row>
        <row r="6303">
          <cell r="A6303">
            <v>9689994</v>
          </cell>
          <cell r="B6303">
            <v>370500</v>
          </cell>
          <cell r="C6303" t="str">
            <v>TRAVEL BUSINESS MILES - LEASED CAR</v>
          </cell>
        </row>
        <row r="6304">
          <cell r="A6304">
            <v>9080701</v>
          </cell>
          <cell r="B6304">
            <v>370500</v>
          </cell>
          <cell r="C6304" t="str">
            <v>TRAVEL PERSONAL MILES - LEASED CAR</v>
          </cell>
        </row>
        <row r="6305">
          <cell r="A6305">
            <v>9080702</v>
          </cell>
          <cell r="B6305">
            <v>370500</v>
          </cell>
          <cell r="C6305" t="str">
            <v>TRAVEL PERSONAL MILES - LEASED CAR</v>
          </cell>
        </row>
        <row r="6306">
          <cell r="A6306">
            <v>9080705</v>
          </cell>
          <cell r="B6306">
            <v>370500</v>
          </cell>
          <cell r="C6306" t="str">
            <v>TRAVEL PERSONAL MILES - LEASED CAR</v>
          </cell>
        </row>
        <row r="6307">
          <cell r="A6307">
            <v>9080707</v>
          </cell>
          <cell r="B6307">
            <v>370500</v>
          </cell>
          <cell r="C6307" t="str">
            <v>TRAVEL PERSONAL MILES - LEASED CAR</v>
          </cell>
        </row>
        <row r="6308">
          <cell r="A6308">
            <v>9080710</v>
          </cell>
          <cell r="B6308">
            <v>370500</v>
          </cell>
          <cell r="C6308" t="str">
            <v>TRAVEL PERSONAL MILES - LEASED CAR</v>
          </cell>
        </row>
        <row r="6309">
          <cell r="A6309">
            <v>9080712</v>
          </cell>
          <cell r="B6309">
            <v>370500</v>
          </cell>
          <cell r="C6309" t="str">
            <v>TRAVEL PERSONAL MILES - LEASED CAR</v>
          </cell>
        </row>
        <row r="6310">
          <cell r="A6310">
            <v>9080999</v>
          </cell>
          <cell r="B6310">
            <v>370500</v>
          </cell>
          <cell r="C6310" t="str">
            <v>TRAVEL PERSONAL MILES - LEASED CAR</v>
          </cell>
        </row>
        <row r="6311">
          <cell r="A6311">
            <v>9110702</v>
          </cell>
          <cell r="B6311">
            <v>370500</v>
          </cell>
          <cell r="C6311" t="str">
            <v>TRAVEL PERSONAL MILES - LEASED CAR</v>
          </cell>
        </row>
        <row r="6312">
          <cell r="A6312">
            <v>9110705</v>
          </cell>
          <cell r="B6312">
            <v>370500</v>
          </cell>
          <cell r="C6312" t="str">
            <v>TRAVEL PERSONAL MILES - LEASED CAR</v>
          </cell>
        </row>
        <row r="6313">
          <cell r="A6313">
            <v>9110707</v>
          </cell>
          <cell r="B6313">
            <v>370500</v>
          </cell>
          <cell r="C6313" t="str">
            <v>TRAVEL PERSONAL MILES - LEASED CAR</v>
          </cell>
        </row>
        <row r="6314">
          <cell r="A6314">
            <v>9110712</v>
          </cell>
          <cell r="B6314">
            <v>370500</v>
          </cell>
          <cell r="C6314" t="str">
            <v>TRAVEL PERSONAL MILES - LEASED CAR</v>
          </cell>
        </row>
        <row r="6315">
          <cell r="A6315">
            <v>9110999</v>
          </cell>
          <cell r="B6315">
            <v>370500</v>
          </cell>
          <cell r="C6315" t="str">
            <v>TRAVEL PERSONAL MILES - LEASED CAR</v>
          </cell>
        </row>
        <row r="6316">
          <cell r="A6316">
            <v>9689994</v>
          </cell>
          <cell r="B6316">
            <v>370500</v>
          </cell>
          <cell r="C6316" t="str">
            <v>TRAVEL PERSONAL MILES - LEASED CAR</v>
          </cell>
        </row>
        <row r="6317">
          <cell r="A6317">
            <v>9080700</v>
          </cell>
          <cell r="B6317">
            <v>370501</v>
          </cell>
          <cell r="C6317" t="str">
            <v>AIR FARES - U.S.</v>
          </cell>
        </row>
        <row r="6318">
          <cell r="A6318">
            <v>9080701</v>
          </cell>
          <cell r="B6318">
            <v>370501</v>
          </cell>
          <cell r="C6318" t="str">
            <v>AIR FARES - U.S.</v>
          </cell>
        </row>
        <row r="6319">
          <cell r="A6319">
            <v>9080702</v>
          </cell>
          <cell r="B6319">
            <v>370501</v>
          </cell>
          <cell r="C6319" t="str">
            <v>AIR FARES - U.S.</v>
          </cell>
        </row>
        <row r="6320">
          <cell r="A6320">
            <v>9080705</v>
          </cell>
          <cell r="B6320">
            <v>370501</v>
          </cell>
          <cell r="C6320" t="str">
            <v>AIR FARES - U.S.</v>
          </cell>
        </row>
        <row r="6321">
          <cell r="A6321">
            <v>9080707</v>
          </cell>
          <cell r="B6321">
            <v>370501</v>
          </cell>
          <cell r="C6321" t="str">
            <v>AIR FARES - U.S.</v>
          </cell>
        </row>
        <row r="6322">
          <cell r="A6322">
            <v>9080710</v>
          </cell>
          <cell r="B6322">
            <v>370501</v>
          </cell>
          <cell r="C6322" t="str">
            <v>AIR FARES - U.S.</v>
          </cell>
        </row>
        <row r="6323">
          <cell r="A6323">
            <v>9080999</v>
          </cell>
          <cell r="B6323">
            <v>370501</v>
          </cell>
          <cell r="C6323" t="str">
            <v>AIR FARES - U.S.</v>
          </cell>
        </row>
        <row r="6324">
          <cell r="A6324">
            <v>9090710</v>
          </cell>
          <cell r="B6324">
            <v>370501</v>
          </cell>
          <cell r="C6324" t="str">
            <v>AIR FARES - U.S.</v>
          </cell>
        </row>
        <row r="6325">
          <cell r="A6325">
            <v>9090999</v>
          </cell>
          <cell r="B6325">
            <v>370501</v>
          </cell>
          <cell r="C6325" t="str">
            <v>AIR FARES - U.S.</v>
          </cell>
        </row>
        <row r="6326">
          <cell r="A6326">
            <v>9100710</v>
          </cell>
          <cell r="B6326">
            <v>370501</v>
          </cell>
          <cell r="C6326" t="str">
            <v>AIR FARES - U.S.</v>
          </cell>
        </row>
        <row r="6327">
          <cell r="A6327">
            <v>9100999</v>
          </cell>
          <cell r="B6327">
            <v>370501</v>
          </cell>
          <cell r="C6327" t="str">
            <v>AIR FARES - U.S.</v>
          </cell>
        </row>
        <row r="6328">
          <cell r="A6328">
            <v>9110700</v>
          </cell>
          <cell r="B6328">
            <v>370501</v>
          </cell>
          <cell r="C6328" t="str">
            <v>AIR FARES - U.S.</v>
          </cell>
        </row>
        <row r="6329">
          <cell r="A6329">
            <v>9110702</v>
          </cell>
          <cell r="B6329">
            <v>370501</v>
          </cell>
          <cell r="C6329" t="str">
            <v>AIR FARES - U.S.</v>
          </cell>
        </row>
        <row r="6330">
          <cell r="A6330">
            <v>9110705</v>
          </cell>
          <cell r="B6330">
            <v>370501</v>
          </cell>
          <cell r="C6330" t="str">
            <v>AIR FARES - U.S.</v>
          </cell>
        </row>
        <row r="6331">
          <cell r="A6331">
            <v>9110707</v>
          </cell>
          <cell r="B6331">
            <v>370501</v>
          </cell>
          <cell r="C6331" t="str">
            <v>AIR FARES - U.S.</v>
          </cell>
        </row>
        <row r="6332">
          <cell r="A6332">
            <v>9110999</v>
          </cell>
          <cell r="B6332">
            <v>370501</v>
          </cell>
          <cell r="C6332" t="str">
            <v>AIR FARES - U.S.</v>
          </cell>
        </row>
        <row r="6333">
          <cell r="A6333">
            <v>9680700</v>
          </cell>
          <cell r="B6333">
            <v>370501</v>
          </cell>
          <cell r="C6333" t="str">
            <v>AIR FARES - U.S.</v>
          </cell>
        </row>
        <row r="6334">
          <cell r="A6334">
            <v>9680701</v>
          </cell>
          <cell r="B6334">
            <v>370501</v>
          </cell>
          <cell r="C6334" t="str">
            <v>AIR FARES - U.S.</v>
          </cell>
        </row>
        <row r="6335">
          <cell r="A6335">
            <v>9680702</v>
          </cell>
          <cell r="B6335">
            <v>370501</v>
          </cell>
          <cell r="C6335" t="str">
            <v>AIR FARES - U.S.</v>
          </cell>
        </row>
        <row r="6336">
          <cell r="A6336">
            <v>9680705</v>
          </cell>
          <cell r="B6336">
            <v>370501</v>
          </cell>
          <cell r="C6336" t="str">
            <v>AIR FARES - U.S.</v>
          </cell>
        </row>
        <row r="6337">
          <cell r="A6337">
            <v>9680707</v>
          </cell>
          <cell r="B6337">
            <v>370501</v>
          </cell>
          <cell r="C6337" t="str">
            <v>AIR FARES - U.S.</v>
          </cell>
        </row>
        <row r="6338">
          <cell r="A6338">
            <v>9680710</v>
          </cell>
          <cell r="B6338">
            <v>370501</v>
          </cell>
          <cell r="C6338" t="str">
            <v>AIR FARES - U.S.</v>
          </cell>
        </row>
        <row r="6339">
          <cell r="A6339">
            <v>9680712</v>
          </cell>
          <cell r="B6339">
            <v>370501</v>
          </cell>
          <cell r="C6339" t="str">
            <v>AIR FARES - U.S.</v>
          </cell>
        </row>
        <row r="6340">
          <cell r="A6340">
            <v>9680714</v>
          </cell>
          <cell r="B6340">
            <v>370501</v>
          </cell>
          <cell r="C6340" t="str">
            <v>AIR FARES - U.S.</v>
          </cell>
        </row>
        <row r="6341">
          <cell r="A6341">
            <v>9680734</v>
          </cell>
          <cell r="B6341">
            <v>370501</v>
          </cell>
          <cell r="C6341" t="str">
            <v>AIR FARES - U.S.</v>
          </cell>
        </row>
        <row r="6342">
          <cell r="A6342">
            <v>9680748</v>
          </cell>
          <cell r="B6342">
            <v>370501</v>
          </cell>
          <cell r="C6342" t="str">
            <v>AIR FARES - U.S.</v>
          </cell>
        </row>
        <row r="6343">
          <cell r="A6343">
            <v>9680749</v>
          </cell>
          <cell r="B6343">
            <v>370501</v>
          </cell>
          <cell r="C6343" t="str">
            <v>AIR FARES - U.S.</v>
          </cell>
        </row>
        <row r="6344">
          <cell r="A6344">
            <v>9680894</v>
          </cell>
          <cell r="B6344">
            <v>370501</v>
          </cell>
          <cell r="C6344" t="str">
            <v>AIR FARES - U.S.</v>
          </cell>
        </row>
        <row r="6345">
          <cell r="A6345">
            <v>9680999</v>
          </cell>
          <cell r="B6345">
            <v>370501</v>
          </cell>
          <cell r="C6345" t="str">
            <v>AIR FARES - U.S.</v>
          </cell>
        </row>
        <row r="6346">
          <cell r="A6346">
            <v>9681700</v>
          </cell>
          <cell r="B6346">
            <v>370501</v>
          </cell>
          <cell r="C6346" t="str">
            <v>AIR FARES - U.S.</v>
          </cell>
        </row>
        <row r="6347">
          <cell r="A6347">
            <v>9681701</v>
          </cell>
          <cell r="B6347">
            <v>370501</v>
          </cell>
          <cell r="C6347" t="str">
            <v>AIR FARES - U.S.</v>
          </cell>
        </row>
        <row r="6348">
          <cell r="A6348">
            <v>9681702</v>
          </cell>
          <cell r="B6348">
            <v>370501</v>
          </cell>
          <cell r="C6348" t="str">
            <v>AIR FARES - U.S.</v>
          </cell>
        </row>
        <row r="6349">
          <cell r="A6349">
            <v>9681705</v>
          </cell>
          <cell r="B6349">
            <v>370501</v>
          </cell>
          <cell r="C6349" t="str">
            <v>AIR FARES - U.S.</v>
          </cell>
        </row>
        <row r="6350">
          <cell r="A6350">
            <v>9681706</v>
          </cell>
          <cell r="B6350">
            <v>370501</v>
          </cell>
          <cell r="C6350" t="str">
            <v>AIR FARES - U.S.</v>
          </cell>
        </row>
        <row r="6351">
          <cell r="A6351">
            <v>9681707</v>
          </cell>
          <cell r="B6351">
            <v>370501</v>
          </cell>
          <cell r="C6351" t="str">
            <v>AIR FARES - U.S.</v>
          </cell>
        </row>
        <row r="6352">
          <cell r="A6352">
            <v>9681710</v>
          </cell>
          <cell r="B6352">
            <v>370501</v>
          </cell>
          <cell r="C6352" t="str">
            <v>AIR FARES - U.S.</v>
          </cell>
        </row>
        <row r="6353">
          <cell r="A6353">
            <v>9681712</v>
          </cell>
          <cell r="B6353">
            <v>370501</v>
          </cell>
          <cell r="C6353" t="str">
            <v>AIR FARES - U.S.</v>
          </cell>
        </row>
        <row r="6354">
          <cell r="A6354">
            <v>9681727</v>
          </cell>
          <cell r="B6354">
            <v>370501</v>
          </cell>
          <cell r="C6354" t="str">
            <v>AIR FARES - U.S.</v>
          </cell>
        </row>
        <row r="6355">
          <cell r="A6355">
            <v>9681734</v>
          </cell>
          <cell r="B6355">
            <v>370501</v>
          </cell>
          <cell r="C6355" t="str">
            <v>AIR FARES - U.S.</v>
          </cell>
        </row>
        <row r="6356">
          <cell r="A6356">
            <v>9681748</v>
          </cell>
          <cell r="B6356">
            <v>370501</v>
          </cell>
          <cell r="C6356" t="str">
            <v>AIR FARES - U.S.</v>
          </cell>
        </row>
        <row r="6357">
          <cell r="A6357">
            <v>9681749</v>
          </cell>
          <cell r="B6357">
            <v>370501</v>
          </cell>
          <cell r="C6357" t="str">
            <v>AIR FARES - U.S.</v>
          </cell>
        </row>
        <row r="6358">
          <cell r="A6358">
            <v>9681894</v>
          </cell>
          <cell r="B6358">
            <v>370501</v>
          </cell>
          <cell r="C6358" t="str">
            <v>AIR FARES - U.S.</v>
          </cell>
        </row>
        <row r="6359">
          <cell r="A6359">
            <v>9681999</v>
          </cell>
          <cell r="B6359">
            <v>370501</v>
          </cell>
          <cell r="C6359" t="str">
            <v>AIR FARES - U.S.</v>
          </cell>
        </row>
        <row r="6360">
          <cell r="A6360">
            <v>9682715</v>
          </cell>
          <cell r="B6360">
            <v>370501</v>
          </cell>
          <cell r="C6360" t="str">
            <v>AIR FARES - U.S.</v>
          </cell>
        </row>
        <row r="6361">
          <cell r="A6361">
            <v>9682722</v>
          </cell>
          <cell r="B6361">
            <v>370501</v>
          </cell>
          <cell r="C6361" t="str">
            <v>AIR FARES - U.S.</v>
          </cell>
        </row>
        <row r="6362">
          <cell r="A6362">
            <v>9682999</v>
          </cell>
          <cell r="B6362">
            <v>370501</v>
          </cell>
          <cell r="C6362" t="str">
            <v>AIR FARES - U.S.</v>
          </cell>
        </row>
        <row r="6363">
          <cell r="A6363">
            <v>9683999</v>
          </cell>
          <cell r="B6363">
            <v>370501</v>
          </cell>
          <cell r="C6363" t="str">
            <v>AIR FARES - U.S.</v>
          </cell>
        </row>
        <row r="6364">
          <cell r="A6364">
            <v>9684999</v>
          </cell>
          <cell r="B6364">
            <v>370501</v>
          </cell>
          <cell r="C6364" t="str">
            <v>AIR FARES - U.S.</v>
          </cell>
        </row>
        <row r="6365">
          <cell r="A6365">
            <v>9685999</v>
          </cell>
          <cell r="B6365">
            <v>370501</v>
          </cell>
          <cell r="C6365" t="str">
            <v>AIR FARES - U.S.</v>
          </cell>
        </row>
        <row r="6366">
          <cell r="A6366">
            <v>9689692</v>
          </cell>
          <cell r="B6366">
            <v>370501</v>
          </cell>
          <cell r="C6366" t="str">
            <v>AIR FARES - U.S.</v>
          </cell>
        </row>
        <row r="6367">
          <cell r="A6367">
            <v>9689747</v>
          </cell>
          <cell r="B6367">
            <v>370501</v>
          </cell>
          <cell r="C6367" t="str">
            <v>AIR FARES - U.S.</v>
          </cell>
        </row>
        <row r="6368">
          <cell r="A6368">
            <v>9689883</v>
          </cell>
          <cell r="B6368">
            <v>370501</v>
          </cell>
          <cell r="C6368" t="str">
            <v>AIR FARES - U.S.</v>
          </cell>
        </row>
        <row r="6369">
          <cell r="A6369">
            <v>9689890</v>
          </cell>
          <cell r="B6369">
            <v>370501</v>
          </cell>
          <cell r="C6369" t="str">
            <v>AIR FARES - U.S.</v>
          </cell>
        </row>
        <row r="6370">
          <cell r="A6370">
            <v>9689904</v>
          </cell>
          <cell r="B6370">
            <v>370501</v>
          </cell>
          <cell r="C6370" t="str">
            <v>AIR FARES - U.S.</v>
          </cell>
        </row>
        <row r="6371">
          <cell r="A6371">
            <v>9689906</v>
          </cell>
          <cell r="B6371">
            <v>370501</v>
          </cell>
          <cell r="C6371" t="str">
            <v>AIR FARES - U.S.</v>
          </cell>
        </row>
        <row r="6372">
          <cell r="A6372">
            <v>9689925</v>
          </cell>
          <cell r="B6372">
            <v>370501</v>
          </cell>
          <cell r="C6372" t="str">
            <v>AIR FARES - U.S.</v>
          </cell>
        </row>
        <row r="6373">
          <cell r="A6373">
            <v>9689990</v>
          </cell>
          <cell r="B6373">
            <v>370501</v>
          </cell>
          <cell r="C6373" t="str">
            <v>AIR FARES - U.S.</v>
          </cell>
        </row>
        <row r="6374">
          <cell r="A6374">
            <v>9689991</v>
          </cell>
          <cell r="B6374">
            <v>370501</v>
          </cell>
          <cell r="C6374" t="str">
            <v>AIR FARES - U.S.</v>
          </cell>
        </row>
        <row r="6375">
          <cell r="A6375">
            <v>9689992</v>
          </cell>
          <cell r="B6375">
            <v>370501</v>
          </cell>
          <cell r="C6375" t="str">
            <v>AIR FARES - U.S.</v>
          </cell>
        </row>
        <row r="6376">
          <cell r="A6376">
            <v>9689993</v>
          </cell>
          <cell r="B6376">
            <v>370501</v>
          </cell>
          <cell r="C6376" t="str">
            <v>AIR FARES - U.S.</v>
          </cell>
        </row>
        <row r="6377">
          <cell r="A6377">
            <v>9689994</v>
          </cell>
          <cell r="B6377">
            <v>370501</v>
          </cell>
          <cell r="C6377" t="str">
            <v>AIR FARES - U.S.</v>
          </cell>
        </row>
        <row r="6378">
          <cell r="A6378">
            <v>9080999</v>
          </cell>
          <cell r="B6378">
            <v>370502</v>
          </cell>
          <cell r="C6378" t="str">
            <v>CAR RENTAL - U.S.</v>
          </cell>
        </row>
        <row r="6379">
          <cell r="A6379">
            <v>9110999</v>
          </cell>
          <cell r="B6379">
            <v>370502</v>
          </cell>
          <cell r="C6379" t="str">
            <v>CAR RENTAL - U.S.</v>
          </cell>
        </row>
        <row r="6380">
          <cell r="A6380">
            <v>9090999</v>
          </cell>
          <cell r="B6380">
            <v>370503</v>
          </cell>
          <cell r="C6380" t="str">
            <v>LEASED CARS - U.S.</v>
          </cell>
        </row>
        <row r="6381">
          <cell r="A6381">
            <v>9100999</v>
          </cell>
          <cell r="B6381">
            <v>370503</v>
          </cell>
          <cell r="C6381" t="str">
            <v>LEASED CARS - U.S.</v>
          </cell>
        </row>
        <row r="6382">
          <cell r="A6382">
            <v>8001054179</v>
          </cell>
          <cell r="B6382">
            <v>370510</v>
          </cell>
          <cell r="C6382" t="str">
            <v>REGULAR - CANADA - TRAVEL</v>
          </cell>
        </row>
        <row r="6383">
          <cell r="A6383">
            <v>8001059542</v>
          </cell>
          <cell r="B6383">
            <v>370510</v>
          </cell>
          <cell r="C6383" t="str">
            <v>REGULAR - CANADA - TRAVEL</v>
          </cell>
        </row>
        <row r="6384">
          <cell r="A6384">
            <v>8010512510</v>
          </cell>
          <cell r="B6384">
            <v>370510</v>
          </cell>
          <cell r="C6384" t="str">
            <v>REGULAR - CANADA - TRAVEL</v>
          </cell>
        </row>
        <row r="6385">
          <cell r="A6385">
            <v>9969681</v>
          </cell>
          <cell r="B6385">
            <v>370510</v>
          </cell>
          <cell r="C6385" t="str">
            <v>REGULAR - CANADA - TRAVEL</v>
          </cell>
        </row>
        <row r="6386">
          <cell r="A6386">
            <v>9969901</v>
          </cell>
          <cell r="B6386">
            <v>370510</v>
          </cell>
          <cell r="C6386" t="str">
            <v>REGULAR - CANADA - TRAVEL</v>
          </cell>
        </row>
        <row r="6387">
          <cell r="A6387" t="str">
            <v>ZONE-0105-POST</v>
          </cell>
          <cell r="B6387">
            <v>370510</v>
          </cell>
          <cell r="C6387" t="str">
            <v>REGULAR - CANADA - TRAVEL</v>
          </cell>
        </row>
        <row r="6388">
          <cell r="A6388" t="str">
            <v>ZONE-0112-POST</v>
          </cell>
          <cell r="B6388">
            <v>370510</v>
          </cell>
          <cell r="C6388" t="str">
            <v>REGULAR - CANADA - TRAVEL</v>
          </cell>
        </row>
        <row r="6389">
          <cell r="A6389">
            <v>8001054179</v>
          </cell>
          <cell r="B6389">
            <v>370510</v>
          </cell>
          <cell r="C6389" t="str">
            <v>CANADA TRAVEL BUSINESS MILES - PERSONAL CAR</v>
          </cell>
        </row>
        <row r="6390">
          <cell r="A6390">
            <v>8001059542</v>
          </cell>
          <cell r="B6390">
            <v>370510</v>
          </cell>
          <cell r="C6390" t="str">
            <v>CANADA TRAVEL BUSINESS MILES - PERSONAL CAR</v>
          </cell>
        </row>
        <row r="6391">
          <cell r="A6391">
            <v>8010512510</v>
          </cell>
          <cell r="B6391">
            <v>370510</v>
          </cell>
          <cell r="C6391" t="str">
            <v>CANADA TRAVEL BUSINESS MILES - PERSONAL CAR</v>
          </cell>
        </row>
        <row r="6392">
          <cell r="A6392">
            <v>9969681</v>
          </cell>
          <cell r="B6392">
            <v>370510</v>
          </cell>
          <cell r="C6392" t="str">
            <v>CANADA TRAVEL BUSINESS MILES - PERSONAL CAR</v>
          </cell>
        </row>
        <row r="6393">
          <cell r="A6393">
            <v>9969901</v>
          </cell>
          <cell r="B6393">
            <v>370510</v>
          </cell>
          <cell r="C6393" t="str">
            <v>CANADA TRAVEL BUSINESS MILES - PERSONAL CAR</v>
          </cell>
        </row>
        <row r="6394">
          <cell r="A6394" t="str">
            <v>ZONE-0105-POST</v>
          </cell>
          <cell r="B6394">
            <v>370510</v>
          </cell>
          <cell r="C6394" t="str">
            <v>CANADA TRAVEL BUSINESS MILES - PERSONAL CAR</v>
          </cell>
        </row>
        <row r="6395">
          <cell r="A6395" t="str">
            <v>ZONE-0112-POST</v>
          </cell>
          <cell r="B6395">
            <v>370510</v>
          </cell>
          <cell r="C6395" t="str">
            <v>CANADA TRAVEL BUSINESS MILES - PERSONAL CAR</v>
          </cell>
        </row>
        <row r="6396">
          <cell r="A6396">
            <v>8001054179</v>
          </cell>
          <cell r="B6396">
            <v>370510</v>
          </cell>
          <cell r="C6396" t="str">
            <v>CANADA TRAVEL BUSINESS MILES - LEASED CAR</v>
          </cell>
        </row>
        <row r="6397">
          <cell r="A6397">
            <v>8001059542</v>
          </cell>
          <cell r="B6397">
            <v>370510</v>
          </cell>
          <cell r="C6397" t="str">
            <v>CANADA TRAVEL BUSINESS MILES - LEASED CAR</v>
          </cell>
        </row>
        <row r="6398">
          <cell r="A6398">
            <v>8010512510</v>
          </cell>
          <cell r="B6398">
            <v>370510</v>
          </cell>
          <cell r="C6398" t="str">
            <v>CANADA TRAVEL BUSINESS MILES - LEASED CAR</v>
          </cell>
        </row>
        <row r="6399">
          <cell r="A6399">
            <v>9969681</v>
          </cell>
          <cell r="B6399">
            <v>370510</v>
          </cell>
          <cell r="C6399" t="str">
            <v>CANADA TRAVEL BUSINESS MILES - LEASED CAR</v>
          </cell>
        </row>
        <row r="6400">
          <cell r="A6400">
            <v>9969901</v>
          </cell>
          <cell r="B6400">
            <v>370510</v>
          </cell>
          <cell r="C6400" t="str">
            <v>CANADA TRAVEL BUSINESS MILES - LEASED CAR</v>
          </cell>
        </row>
        <row r="6401">
          <cell r="A6401" t="str">
            <v>ZONE-0105-POST</v>
          </cell>
          <cell r="B6401">
            <v>370510</v>
          </cell>
          <cell r="C6401" t="str">
            <v>CANADA TRAVEL BUSINESS MILES - LEASED CAR</v>
          </cell>
        </row>
        <row r="6402">
          <cell r="A6402" t="str">
            <v>ZONE-0112-POST</v>
          </cell>
          <cell r="B6402">
            <v>370510</v>
          </cell>
          <cell r="C6402" t="str">
            <v>CANADA TRAVEL BUSINESS MILES - LEASED CAR</v>
          </cell>
        </row>
        <row r="6403">
          <cell r="A6403">
            <v>8001054179</v>
          </cell>
          <cell r="B6403">
            <v>370510</v>
          </cell>
          <cell r="C6403" t="str">
            <v>CANADA TRAVEL PERSONAL MILES - LEASED CAR</v>
          </cell>
        </row>
        <row r="6404">
          <cell r="A6404">
            <v>8001059542</v>
          </cell>
          <cell r="B6404">
            <v>370510</v>
          </cell>
          <cell r="C6404" t="str">
            <v>CANADA TRAVEL PERSONAL MILES - LEASED CAR</v>
          </cell>
        </row>
        <row r="6405">
          <cell r="A6405">
            <v>8010512510</v>
          </cell>
          <cell r="B6405">
            <v>370510</v>
          </cell>
          <cell r="C6405" t="str">
            <v>CANADA TRAVEL PERSONAL MILES - LEASED CAR</v>
          </cell>
        </row>
        <row r="6406">
          <cell r="A6406">
            <v>9969681</v>
          </cell>
          <cell r="B6406">
            <v>370510</v>
          </cell>
          <cell r="C6406" t="str">
            <v>CANADA TRAVEL PERSONAL MILES - LEASED CAR</v>
          </cell>
        </row>
        <row r="6407">
          <cell r="A6407">
            <v>9969901</v>
          </cell>
          <cell r="B6407">
            <v>370510</v>
          </cell>
          <cell r="C6407" t="str">
            <v>CANADA TRAVEL PERSONAL MILES - LEASED CAR</v>
          </cell>
        </row>
        <row r="6408">
          <cell r="A6408" t="str">
            <v>ZONE-0105-POST</v>
          </cell>
          <cell r="B6408">
            <v>370510</v>
          </cell>
          <cell r="C6408" t="str">
            <v>CANADA TRAVEL PERSONAL MILES - LEASED CAR</v>
          </cell>
        </row>
        <row r="6409">
          <cell r="A6409" t="str">
            <v>ZONE-0112-POST</v>
          </cell>
          <cell r="B6409">
            <v>370510</v>
          </cell>
          <cell r="C6409" t="str">
            <v>CANADA TRAVEL PERSONAL MILES - LEASED CAR</v>
          </cell>
        </row>
        <row r="6410">
          <cell r="A6410">
            <v>8001054179</v>
          </cell>
          <cell r="B6410">
            <v>370514</v>
          </cell>
          <cell r="C6410" t="str">
            <v>MEETING EXPENSE - TRAVEL</v>
          </cell>
        </row>
        <row r="6411">
          <cell r="A6411">
            <v>8001059542</v>
          </cell>
          <cell r="B6411">
            <v>370514</v>
          </cell>
          <cell r="C6411" t="str">
            <v>MEETING EXPENSE - TRAVEL</v>
          </cell>
        </row>
        <row r="6412">
          <cell r="A6412">
            <v>8010512510</v>
          </cell>
          <cell r="B6412">
            <v>370514</v>
          </cell>
          <cell r="C6412" t="str">
            <v>MEETING EXPENSE - TRAVEL</v>
          </cell>
        </row>
        <row r="6413">
          <cell r="A6413">
            <v>9080700</v>
          </cell>
          <cell r="B6413">
            <v>370514</v>
          </cell>
          <cell r="C6413" t="str">
            <v>MEETING EXPENSE - TRAVEL</v>
          </cell>
        </row>
        <row r="6414">
          <cell r="A6414">
            <v>9080701</v>
          </cell>
          <cell r="B6414">
            <v>370514</v>
          </cell>
          <cell r="C6414" t="str">
            <v>MEETING EXPENSE - TRAVEL</v>
          </cell>
        </row>
        <row r="6415">
          <cell r="A6415">
            <v>9080702</v>
          </cell>
          <cell r="B6415">
            <v>370514</v>
          </cell>
          <cell r="C6415" t="str">
            <v>MEETING EXPENSE - TRAVEL</v>
          </cell>
        </row>
        <row r="6416">
          <cell r="A6416">
            <v>9080705</v>
          </cell>
          <cell r="B6416">
            <v>370514</v>
          </cell>
          <cell r="C6416" t="str">
            <v>MEETING EXPENSE - TRAVEL</v>
          </cell>
        </row>
        <row r="6417">
          <cell r="A6417">
            <v>9080707</v>
          </cell>
          <cell r="B6417">
            <v>370514</v>
          </cell>
          <cell r="C6417" t="str">
            <v>MEETING EXPENSE - TRAVEL</v>
          </cell>
        </row>
        <row r="6418">
          <cell r="A6418">
            <v>9080710</v>
          </cell>
          <cell r="B6418">
            <v>370514</v>
          </cell>
          <cell r="C6418" t="str">
            <v>MEETING EXPENSE - TRAVEL</v>
          </cell>
        </row>
        <row r="6419">
          <cell r="A6419">
            <v>9080999</v>
          </cell>
          <cell r="B6419">
            <v>370514</v>
          </cell>
          <cell r="C6419" t="str">
            <v>MEETING EXPENSE - TRAVEL</v>
          </cell>
        </row>
        <row r="6420">
          <cell r="A6420">
            <v>9090999</v>
          </cell>
          <cell r="B6420">
            <v>370514</v>
          </cell>
          <cell r="C6420" t="str">
            <v>MEETING EXPENSE - TRAVEL</v>
          </cell>
        </row>
        <row r="6421">
          <cell r="A6421">
            <v>9100999</v>
          </cell>
          <cell r="B6421">
            <v>370514</v>
          </cell>
          <cell r="C6421" t="str">
            <v>MEETING EXPENSE - TRAVEL</v>
          </cell>
        </row>
        <row r="6422">
          <cell r="A6422">
            <v>9110700</v>
          </cell>
          <cell r="B6422">
            <v>370514</v>
          </cell>
          <cell r="C6422" t="str">
            <v>MEETING EXPENSE - TRAVEL</v>
          </cell>
        </row>
        <row r="6423">
          <cell r="A6423">
            <v>9110702</v>
          </cell>
          <cell r="B6423">
            <v>370514</v>
          </cell>
          <cell r="C6423" t="str">
            <v>MEETING EXPENSE - TRAVEL</v>
          </cell>
        </row>
        <row r="6424">
          <cell r="A6424">
            <v>9110705</v>
          </cell>
          <cell r="B6424">
            <v>370514</v>
          </cell>
          <cell r="C6424" t="str">
            <v>MEETING EXPENSE - TRAVEL</v>
          </cell>
        </row>
        <row r="6425">
          <cell r="A6425">
            <v>9110707</v>
          </cell>
          <cell r="B6425">
            <v>370514</v>
          </cell>
          <cell r="C6425" t="str">
            <v>MEETING EXPENSE - TRAVEL</v>
          </cell>
        </row>
        <row r="6426">
          <cell r="A6426">
            <v>9110999</v>
          </cell>
          <cell r="B6426">
            <v>370514</v>
          </cell>
          <cell r="C6426" t="str">
            <v>MEETING EXPENSE - TRAVEL</v>
          </cell>
        </row>
        <row r="6427">
          <cell r="A6427">
            <v>9680700</v>
          </cell>
          <cell r="B6427">
            <v>370514</v>
          </cell>
          <cell r="C6427" t="str">
            <v>MEETING EXPENSE - TRAVEL</v>
          </cell>
        </row>
        <row r="6428">
          <cell r="A6428">
            <v>9680701</v>
          </cell>
          <cell r="B6428">
            <v>370514</v>
          </cell>
          <cell r="C6428" t="str">
            <v>MEETING EXPENSE - TRAVEL</v>
          </cell>
        </row>
        <row r="6429">
          <cell r="A6429">
            <v>9680702</v>
          </cell>
          <cell r="B6429">
            <v>370514</v>
          </cell>
          <cell r="C6429" t="str">
            <v>MEETING EXPENSE - TRAVEL</v>
          </cell>
        </row>
        <row r="6430">
          <cell r="A6430">
            <v>9680705</v>
          </cell>
          <cell r="B6430">
            <v>370514</v>
          </cell>
          <cell r="C6430" t="str">
            <v>MEETING EXPENSE - TRAVEL</v>
          </cell>
        </row>
        <row r="6431">
          <cell r="A6431">
            <v>9680707</v>
          </cell>
          <cell r="B6431">
            <v>370514</v>
          </cell>
          <cell r="C6431" t="str">
            <v>MEETING EXPENSE - TRAVEL</v>
          </cell>
        </row>
        <row r="6432">
          <cell r="A6432">
            <v>9680710</v>
          </cell>
          <cell r="B6432">
            <v>370514</v>
          </cell>
          <cell r="C6432" t="str">
            <v>MEETING EXPENSE - TRAVEL</v>
          </cell>
        </row>
        <row r="6433">
          <cell r="A6433">
            <v>9680712</v>
          </cell>
          <cell r="B6433">
            <v>370514</v>
          </cell>
          <cell r="C6433" t="str">
            <v>MEETING EXPENSE - TRAVEL</v>
          </cell>
        </row>
        <row r="6434">
          <cell r="A6434">
            <v>9680714</v>
          </cell>
          <cell r="B6434">
            <v>370514</v>
          </cell>
          <cell r="C6434" t="str">
            <v>MEETING EXPENSE - TRAVEL</v>
          </cell>
        </row>
        <row r="6435">
          <cell r="A6435">
            <v>9680734</v>
          </cell>
          <cell r="B6435">
            <v>370514</v>
          </cell>
          <cell r="C6435" t="str">
            <v>MEETING EXPENSE - TRAVEL</v>
          </cell>
        </row>
        <row r="6436">
          <cell r="A6436">
            <v>9680748</v>
          </cell>
          <cell r="B6436">
            <v>370514</v>
          </cell>
          <cell r="C6436" t="str">
            <v>MEETING EXPENSE - TRAVEL</v>
          </cell>
        </row>
        <row r="6437">
          <cell r="A6437">
            <v>9680749</v>
          </cell>
          <cell r="B6437">
            <v>370514</v>
          </cell>
          <cell r="C6437" t="str">
            <v>MEETING EXPENSE - TRAVEL</v>
          </cell>
        </row>
        <row r="6438">
          <cell r="A6438">
            <v>9680894</v>
          </cell>
          <cell r="B6438">
            <v>370514</v>
          </cell>
          <cell r="C6438" t="str">
            <v>MEETING EXPENSE - TRAVEL</v>
          </cell>
        </row>
        <row r="6439">
          <cell r="A6439">
            <v>9680999</v>
          </cell>
          <cell r="B6439">
            <v>370514</v>
          </cell>
          <cell r="C6439" t="str">
            <v>MEETING EXPENSE - TRAVEL</v>
          </cell>
        </row>
        <row r="6440">
          <cell r="A6440">
            <v>9681700</v>
          </cell>
          <cell r="B6440">
            <v>370514</v>
          </cell>
          <cell r="C6440" t="str">
            <v>MEETING EXPENSE - TRAVEL</v>
          </cell>
        </row>
        <row r="6441">
          <cell r="A6441">
            <v>9681701</v>
          </cell>
          <cell r="B6441">
            <v>370514</v>
          </cell>
          <cell r="C6441" t="str">
            <v>MEETING EXPENSE - TRAVEL</v>
          </cell>
        </row>
        <row r="6442">
          <cell r="A6442">
            <v>9681702</v>
          </cell>
          <cell r="B6442">
            <v>370514</v>
          </cell>
          <cell r="C6442" t="str">
            <v>MEETING EXPENSE - TRAVEL</v>
          </cell>
        </row>
        <row r="6443">
          <cell r="A6443">
            <v>9681705</v>
          </cell>
          <cell r="B6443">
            <v>370514</v>
          </cell>
          <cell r="C6443" t="str">
            <v>MEETING EXPENSE - TRAVEL</v>
          </cell>
        </row>
        <row r="6444">
          <cell r="A6444">
            <v>9681706</v>
          </cell>
          <cell r="B6444">
            <v>370514</v>
          </cell>
          <cell r="C6444" t="str">
            <v>MEETING EXPENSE - TRAVEL</v>
          </cell>
        </row>
        <row r="6445">
          <cell r="A6445">
            <v>9681707</v>
          </cell>
          <cell r="B6445">
            <v>370514</v>
          </cell>
          <cell r="C6445" t="str">
            <v>MEETING EXPENSE - TRAVEL</v>
          </cell>
        </row>
        <row r="6446">
          <cell r="A6446">
            <v>9681710</v>
          </cell>
          <cell r="B6446">
            <v>370514</v>
          </cell>
          <cell r="C6446" t="str">
            <v>MEETING EXPENSE - TRAVEL</v>
          </cell>
        </row>
        <row r="6447">
          <cell r="A6447">
            <v>9681712</v>
          </cell>
          <cell r="B6447">
            <v>370514</v>
          </cell>
          <cell r="C6447" t="str">
            <v>MEETING EXPENSE - TRAVEL</v>
          </cell>
        </row>
        <row r="6448">
          <cell r="A6448">
            <v>9681727</v>
          </cell>
          <cell r="B6448">
            <v>370514</v>
          </cell>
          <cell r="C6448" t="str">
            <v>MEETING EXPENSE - TRAVEL</v>
          </cell>
        </row>
        <row r="6449">
          <cell r="A6449">
            <v>9681734</v>
          </cell>
          <cell r="B6449">
            <v>370514</v>
          </cell>
          <cell r="C6449" t="str">
            <v>MEETING EXPENSE - TRAVEL</v>
          </cell>
        </row>
        <row r="6450">
          <cell r="A6450">
            <v>9681748</v>
          </cell>
          <cell r="B6450">
            <v>370514</v>
          </cell>
          <cell r="C6450" t="str">
            <v>MEETING EXPENSE - TRAVEL</v>
          </cell>
        </row>
        <row r="6451">
          <cell r="A6451">
            <v>9681749</v>
          </cell>
          <cell r="B6451">
            <v>370514</v>
          </cell>
          <cell r="C6451" t="str">
            <v>MEETING EXPENSE - TRAVEL</v>
          </cell>
        </row>
        <row r="6452">
          <cell r="A6452">
            <v>9681894</v>
          </cell>
          <cell r="B6452">
            <v>370514</v>
          </cell>
          <cell r="C6452" t="str">
            <v>MEETING EXPENSE - TRAVEL</v>
          </cell>
        </row>
        <row r="6453">
          <cell r="A6453">
            <v>9681999</v>
          </cell>
          <cell r="B6453">
            <v>370514</v>
          </cell>
          <cell r="C6453" t="str">
            <v>MEETING EXPENSE - TRAVEL</v>
          </cell>
        </row>
        <row r="6454">
          <cell r="A6454">
            <v>9682715</v>
          </cell>
          <cell r="B6454">
            <v>370514</v>
          </cell>
          <cell r="C6454" t="str">
            <v>MEETING EXPENSE - TRAVEL</v>
          </cell>
        </row>
        <row r="6455">
          <cell r="A6455">
            <v>9682722</v>
          </cell>
          <cell r="B6455">
            <v>370514</v>
          </cell>
          <cell r="C6455" t="str">
            <v>MEETING EXPENSE - TRAVEL</v>
          </cell>
        </row>
        <row r="6456">
          <cell r="A6456">
            <v>9682999</v>
          </cell>
          <cell r="B6456">
            <v>370514</v>
          </cell>
          <cell r="C6456" t="str">
            <v>MEETING EXPENSE - TRAVEL</v>
          </cell>
        </row>
        <row r="6457">
          <cell r="A6457">
            <v>9683999</v>
          </cell>
          <cell r="B6457">
            <v>370514</v>
          </cell>
          <cell r="C6457" t="str">
            <v>MEETING EXPENSE - TRAVEL</v>
          </cell>
        </row>
        <row r="6458">
          <cell r="A6458">
            <v>9684999</v>
          </cell>
          <cell r="B6458">
            <v>370514</v>
          </cell>
          <cell r="C6458" t="str">
            <v>MEETING EXPENSE - TRAVEL</v>
          </cell>
        </row>
        <row r="6459">
          <cell r="A6459">
            <v>9685999</v>
          </cell>
          <cell r="B6459">
            <v>370514</v>
          </cell>
          <cell r="C6459" t="str">
            <v>MEETING EXPENSE - TRAVEL</v>
          </cell>
        </row>
        <row r="6460">
          <cell r="A6460">
            <v>9689692</v>
          </cell>
          <cell r="B6460">
            <v>370514</v>
          </cell>
          <cell r="C6460" t="str">
            <v>MEETING EXPENSE - TRAVEL</v>
          </cell>
        </row>
        <row r="6461">
          <cell r="A6461">
            <v>9689747</v>
          </cell>
          <cell r="B6461">
            <v>370514</v>
          </cell>
          <cell r="C6461" t="str">
            <v>MEETING EXPENSE - TRAVEL</v>
          </cell>
        </row>
        <row r="6462">
          <cell r="A6462">
            <v>9689883</v>
          </cell>
          <cell r="B6462">
            <v>370514</v>
          </cell>
          <cell r="C6462" t="str">
            <v>MEETING EXPENSE - TRAVEL</v>
          </cell>
        </row>
        <row r="6463">
          <cell r="A6463">
            <v>9689890</v>
          </cell>
          <cell r="B6463">
            <v>370514</v>
          </cell>
          <cell r="C6463" t="str">
            <v>MEETING EXPENSE - TRAVEL</v>
          </cell>
        </row>
        <row r="6464">
          <cell r="A6464">
            <v>9689906</v>
          </cell>
          <cell r="B6464">
            <v>370514</v>
          </cell>
          <cell r="C6464" t="str">
            <v>MEETING EXPENSE - TRAVEL</v>
          </cell>
        </row>
        <row r="6465">
          <cell r="A6465">
            <v>9689925</v>
          </cell>
          <cell r="B6465">
            <v>370514</v>
          </cell>
          <cell r="C6465" t="str">
            <v>MEETING EXPENSE - TRAVEL</v>
          </cell>
        </row>
        <row r="6466">
          <cell r="A6466">
            <v>9689990</v>
          </cell>
          <cell r="B6466">
            <v>370514</v>
          </cell>
          <cell r="C6466" t="str">
            <v>MEETING EXPENSE - TRAVEL</v>
          </cell>
        </row>
        <row r="6467">
          <cell r="A6467">
            <v>9689991</v>
          </cell>
          <cell r="B6467">
            <v>370514</v>
          </cell>
          <cell r="C6467" t="str">
            <v>MEETING EXPENSE - TRAVEL</v>
          </cell>
        </row>
        <row r="6468">
          <cell r="A6468">
            <v>9689992</v>
          </cell>
          <cell r="B6468">
            <v>370514</v>
          </cell>
          <cell r="C6468" t="str">
            <v>MEETING EXPENSE - TRAVEL</v>
          </cell>
        </row>
        <row r="6469">
          <cell r="A6469">
            <v>9689993</v>
          </cell>
          <cell r="B6469">
            <v>370514</v>
          </cell>
          <cell r="C6469" t="str">
            <v>MEETING EXPENSE - TRAVEL</v>
          </cell>
        </row>
        <row r="6470">
          <cell r="A6470">
            <v>9689994</v>
          </cell>
          <cell r="B6470">
            <v>370514</v>
          </cell>
          <cell r="C6470" t="str">
            <v>MEETING EXPENSE - TRAVEL</v>
          </cell>
        </row>
        <row r="6471">
          <cell r="A6471">
            <v>9969681</v>
          </cell>
          <cell r="B6471">
            <v>370514</v>
          </cell>
          <cell r="C6471" t="str">
            <v>MEETING EXPENSE - TRAVEL</v>
          </cell>
        </row>
        <row r="6472">
          <cell r="A6472">
            <v>9969901</v>
          </cell>
          <cell r="B6472">
            <v>370514</v>
          </cell>
          <cell r="C6472" t="str">
            <v>MEETING EXPENSE - TRAVEL</v>
          </cell>
        </row>
        <row r="6473">
          <cell r="A6473" t="str">
            <v>ZONE-0105-POST</v>
          </cell>
          <cell r="B6473">
            <v>370514</v>
          </cell>
          <cell r="C6473" t="str">
            <v>MEETING EXPENSE - TRAVEL</v>
          </cell>
        </row>
        <row r="6474">
          <cell r="A6474" t="str">
            <v>ZONE-0112-POST</v>
          </cell>
          <cell r="B6474">
            <v>370514</v>
          </cell>
          <cell r="C6474" t="str">
            <v>MEETING EXPENSE - TRAVEL</v>
          </cell>
        </row>
        <row r="6475">
          <cell r="A6475">
            <v>8001054179</v>
          </cell>
          <cell r="B6475">
            <v>370524</v>
          </cell>
          <cell r="C6475" t="str">
            <v>MEALS, ENTERTAINMENT  - BUSINESS</v>
          </cell>
        </row>
        <row r="6476">
          <cell r="A6476">
            <v>8001059542</v>
          </cell>
          <cell r="B6476">
            <v>370524</v>
          </cell>
          <cell r="C6476" t="str">
            <v>MEALS, ENTERTAINMENT  - BUSINESS</v>
          </cell>
        </row>
        <row r="6477">
          <cell r="A6477">
            <v>8010512510</v>
          </cell>
          <cell r="B6477">
            <v>370524</v>
          </cell>
          <cell r="C6477" t="str">
            <v>MEALS, ENTERTAINMENT  - BUSINESS</v>
          </cell>
        </row>
        <row r="6478">
          <cell r="A6478">
            <v>9080700</v>
          </cell>
          <cell r="B6478">
            <v>370524</v>
          </cell>
          <cell r="C6478" t="str">
            <v>MEALS, ENTERTAINMENT  - BUSINESS</v>
          </cell>
        </row>
        <row r="6479">
          <cell r="A6479">
            <v>9080701</v>
          </cell>
          <cell r="B6479">
            <v>370524</v>
          </cell>
          <cell r="C6479" t="str">
            <v>MEALS, ENTERTAINMENT  - BUSINESS</v>
          </cell>
        </row>
        <row r="6480">
          <cell r="A6480">
            <v>9080702</v>
          </cell>
          <cell r="B6480">
            <v>370524</v>
          </cell>
          <cell r="C6480" t="str">
            <v>MEALS, ENTERTAINMENT  - BUSINESS</v>
          </cell>
        </row>
        <row r="6481">
          <cell r="A6481">
            <v>9080705</v>
          </cell>
          <cell r="B6481">
            <v>370524</v>
          </cell>
          <cell r="C6481" t="str">
            <v>MEALS, ENTERTAINMENT  - BUSINESS</v>
          </cell>
        </row>
        <row r="6482">
          <cell r="A6482">
            <v>9080707</v>
          </cell>
          <cell r="B6482">
            <v>370524</v>
          </cell>
          <cell r="C6482" t="str">
            <v>MEALS, ENTERTAINMENT  - BUSINESS</v>
          </cell>
        </row>
        <row r="6483">
          <cell r="A6483">
            <v>9080710</v>
          </cell>
          <cell r="B6483">
            <v>370524</v>
          </cell>
          <cell r="C6483" t="str">
            <v>MEALS, ENTERTAINMENT  - BUSINESS</v>
          </cell>
        </row>
        <row r="6484">
          <cell r="A6484">
            <v>9090999</v>
          </cell>
          <cell r="B6484">
            <v>370524</v>
          </cell>
          <cell r="C6484" t="str">
            <v>MEALS, ENTERTAINMENT  - BUSINESS</v>
          </cell>
        </row>
        <row r="6485">
          <cell r="A6485">
            <v>9100999</v>
          </cell>
          <cell r="B6485">
            <v>370524</v>
          </cell>
          <cell r="C6485" t="str">
            <v>MEALS, ENTERTAINMENT  - BUSINESS</v>
          </cell>
        </row>
        <row r="6486">
          <cell r="A6486">
            <v>9110700</v>
          </cell>
          <cell r="B6486">
            <v>370524</v>
          </cell>
          <cell r="C6486" t="str">
            <v>MEALS, ENTERTAINMENT  - BUSINESS</v>
          </cell>
        </row>
        <row r="6487">
          <cell r="A6487">
            <v>9110702</v>
          </cell>
          <cell r="B6487">
            <v>370524</v>
          </cell>
          <cell r="C6487" t="str">
            <v>MEALS, ENTERTAINMENT  - BUSINESS</v>
          </cell>
        </row>
        <row r="6488">
          <cell r="A6488">
            <v>9110705</v>
          </cell>
          <cell r="B6488">
            <v>370524</v>
          </cell>
          <cell r="C6488" t="str">
            <v>MEALS, ENTERTAINMENT  - BUSINESS</v>
          </cell>
        </row>
        <row r="6489">
          <cell r="A6489">
            <v>9110707</v>
          </cell>
          <cell r="B6489">
            <v>370524</v>
          </cell>
          <cell r="C6489" t="str">
            <v>MEALS, ENTERTAINMENT  - BUSINESS</v>
          </cell>
        </row>
        <row r="6490">
          <cell r="A6490">
            <v>9680700</v>
          </cell>
          <cell r="B6490">
            <v>370524</v>
          </cell>
          <cell r="C6490" t="str">
            <v>MEALS, ENTERTAINMENT  - BUSINESS</v>
          </cell>
        </row>
        <row r="6491">
          <cell r="A6491">
            <v>9680701</v>
          </cell>
          <cell r="B6491">
            <v>370524</v>
          </cell>
          <cell r="C6491" t="str">
            <v>MEALS, ENTERTAINMENT  - BUSINESS</v>
          </cell>
        </row>
        <row r="6492">
          <cell r="A6492">
            <v>9680702</v>
          </cell>
          <cell r="B6492">
            <v>370524</v>
          </cell>
          <cell r="C6492" t="str">
            <v>MEALS, ENTERTAINMENT  - BUSINESS</v>
          </cell>
        </row>
        <row r="6493">
          <cell r="A6493">
            <v>9680705</v>
          </cell>
          <cell r="B6493">
            <v>370524</v>
          </cell>
          <cell r="C6493" t="str">
            <v>MEALS, ENTERTAINMENT  - BUSINESS</v>
          </cell>
        </row>
        <row r="6494">
          <cell r="A6494">
            <v>9680707</v>
          </cell>
          <cell r="B6494">
            <v>370524</v>
          </cell>
          <cell r="C6494" t="str">
            <v>MEALS, ENTERTAINMENT  - BUSINESS</v>
          </cell>
        </row>
        <row r="6495">
          <cell r="A6495">
            <v>9680710</v>
          </cell>
          <cell r="B6495">
            <v>370524</v>
          </cell>
          <cell r="C6495" t="str">
            <v>MEALS, ENTERTAINMENT  - BUSINESS</v>
          </cell>
        </row>
        <row r="6496">
          <cell r="A6496">
            <v>9680712</v>
          </cell>
          <cell r="B6496">
            <v>370524</v>
          </cell>
          <cell r="C6496" t="str">
            <v>MEALS, ENTERTAINMENT  - BUSINESS</v>
          </cell>
        </row>
        <row r="6497">
          <cell r="A6497">
            <v>9680714</v>
          </cell>
          <cell r="B6497">
            <v>370524</v>
          </cell>
          <cell r="C6497" t="str">
            <v>MEALS, ENTERTAINMENT  - BUSINESS</v>
          </cell>
        </row>
        <row r="6498">
          <cell r="A6498">
            <v>9680734</v>
          </cell>
          <cell r="B6498">
            <v>370524</v>
          </cell>
          <cell r="C6498" t="str">
            <v>MEALS, ENTERTAINMENT  - BUSINESS</v>
          </cell>
        </row>
        <row r="6499">
          <cell r="A6499">
            <v>9680748</v>
          </cell>
          <cell r="B6499">
            <v>370524</v>
          </cell>
          <cell r="C6499" t="str">
            <v>MEALS, ENTERTAINMENT  - BUSINESS</v>
          </cell>
        </row>
        <row r="6500">
          <cell r="A6500">
            <v>9680749</v>
          </cell>
          <cell r="B6500">
            <v>370524</v>
          </cell>
          <cell r="C6500" t="str">
            <v>MEALS, ENTERTAINMENT  - BUSINESS</v>
          </cell>
        </row>
        <row r="6501">
          <cell r="A6501">
            <v>9680894</v>
          </cell>
          <cell r="B6501">
            <v>370524</v>
          </cell>
          <cell r="C6501" t="str">
            <v>MEALS, ENTERTAINMENT  - BUSINESS</v>
          </cell>
        </row>
        <row r="6502">
          <cell r="A6502">
            <v>9680999</v>
          </cell>
          <cell r="B6502">
            <v>370524</v>
          </cell>
          <cell r="C6502" t="str">
            <v>MEALS, ENTERTAINMENT  - BUSINESS</v>
          </cell>
        </row>
        <row r="6503">
          <cell r="A6503">
            <v>9681700</v>
          </cell>
          <cell r="B6503">
            <v>370524</v>
          </cell>
          <cell r="C6503" t="str">
            <v>MEALS, ENTERTAINMENT  - BUSINESS</v>
          </cell>
        </row>
        <row r="6504">
          <cell r="A6504">
            <v>9681701</v>
          </cell>
          <cell r="B6504">
            <v>370524</v>
          </cell>
          <cell r="C6504" t="str">
            <v>MEALS, ENTERTAINMENT  - BUSINESS</v>
          </cell>
        </row>
        <row r="6505">
          <cell r="A6505">
            <v>9681702</v>
          </cell>
          <cell r="B6505">
            <v>370524</v>
          </cell>
          <cell r="C6505" t="str">
            <v>MEALS, ENTERTAINMENT  - BUSINESS</v>
          </cell>
        </row>
        <row r="6506">
          <cell r="A6506">
            <v>9681705</v>
          </cell>
          <cell r="B6506">
            <v>370524</v>
          </cell>
          <cell r="C6506" t="str">
            <v>MEALS, ENTERTAINMENT  - BUSINESS</v>
          </cell>
        </row>
        <row r="6507">
          <cell r="A6507">
            <v>9681706</v>
          </cell>
          <cell r="B6507">
            <v>370524</v>
          </cell>
          <cell r="C6507" t="str">
            <v>MEALS, ENTERTAINMENT  - BUSINESS</v>
          </cell>
        </row>
        <row r="6508">
          <cell r="A6508">
            <v>9681707</v>
          </cell>
          <cell r="B6508">
            <v>370524</v>
          </cell>
          <cell r="C6508" t="str">
            <v>MEALS, ENTERTAINMENT  - BUSINESS</v>
          </cell>
        </row>
        <row r="6509">
          <cell r="A6509">
            <v>9681710</v>
          </cell>
          <cell r="B6509">
            <v>370524</v>
          </cell>
          <cell r="C6509" t="str">
            <v>MEALS, ENTERTAINMENT  - BUSINESS</v>
          </cell>
        </row>
        <row r="6510">
          <cell r="A6510">
            <v>9681712</v>
          </cell>
          <cell r="B6510">
            <v>370524</v>
          </cell>
          <cell r="C6510" t="str">
            <v>MEALS, ENTERTAINMENT  - BUSINESS</v>
          </cell>
        </row>
        <row r="6511">
          <cell r="A6511">
            <v>9681727</v>
          </cell>
          <cell r="B6511">
            <v>370524</v>
          </cell>
          <cell r="C6511" t="str">
            <v>MEALS, ENTERTAINMENT  - BUSINESS</v>
          </cell>
        </row>
        <row r="6512">
          <cell r="A6512">
            <v>9681734</v>
          </cell>
          <cell r="B6512">
            <v>370524</v>
          </cell>
          <cell r="C6512" t="str">
            <v>MEALS, ENTERTAINMENT  - BUSINESS</v>
          </cell>
        </row>
        <row r="6513">
          <cell r="A6513">
            <v>9681748</v>
          </cell>
          <cell r="B6513">
            <v>370524</v>
          </cell>
          <cell r="C6513" t="str">
            <v>MEALS, ENTERTAINMENT  - BUSINESS</v>
          </cell>
        </row>
        <row r="6514">
          <cell r="A6514">
            <v>9681749</v>
          </cell>
          <cell r="B6514">
            <v>370524</v>
          </cell>
          <cell r="C6514" t="str">
            <v>MEALS, ENTERTAINMENT  - BUSINESS</v>
          </cell>
        </row>
        <row r="6515">
          <cell r="A6515">
            <v>9681894</v>
          </cell>
          <cell r="B6515">
            <v>370524</v>
          </cell>
          <cell r="C6515" t="str">
            <v>MEALS, ENTERTAINMENT  - BUSINESS</v>
          </cell>
        </row>
        <row r="6516">
          <cell r="A6516">
            <v>9681999</v>
          </cell>
          <cell r="B6516">
            <v>370524</v>
          </cell>
          <cell r="C6516" t="str">
            <v>MEALS, ENTERTAINMENT  - BUSINESS</v>
          </cell>
        </row>
        <row r="6517">
          <cell r="A6517">
            <v>9682715</v>
          </cell>
          <cell r="B6517">
            <v>370524</v>
          </cell>
          <cell r="C6517" t="str">
            <v>MEALS, ENTERTAINMENT  - BUSINESS</v>
          </cell>
        </row>
        <row r="6518">
          <cell r="A6518">
            <v>9682722</v>
          </cell>
          <cell r="B6518">
            <v>370524</v>
          </cell>
          <cell r="C6518" t="str">
            <v>MEALS, ENTERTAINMENT  - BUSINESS</v>
          </cell>
        </row>
        <row r="6519">
          <cell r="A6519">
            <v>9682999</v>
          </cell>
          <cell r="B6519">
            <v>370524</v>
          </cell>
          <cell r="C6519" t="str">
            <v>MEALS, ENTERTAINMENT  - BUSINESS</v>
          </cell>
        </row>
        <row r="6520">
          <cell r="A6520">
            <v>9683999</v>
          </cell>
          <cell r="B6520">
            <v>370524</v>
          </cell>
          <cell r="C6520" t="str">
            <v>MEALS, ENTERTAINMENT  - BUSINESS</v>
          </cell>
        </row>
        <row r="6521">
          <cell r="A6521">
            <v>9684999</v>
          </cell>
          <cell r="B6521">
            <v>370524</v>
          </cell>
          <cell r="C6521" t="str">
            <v>MEALS, ENTERTAINMENT  - BUSINESS</v>
          </cell>
        </row>
        <row r="6522">
          <cell r="A6522">
            <v>9689692</v>
          </cell>
          <cell r="B6522">
            <v>370524</v>
          </cell>
          <cell r="C6522" t="str">
            <v>MEALS, ENTERTAINMENT  - BUSINESS</v>
          </cell>
        </row>
        <row r="6523">
          <cell r="A6523">
            <v>9689747</v>
          </cell>
          <cell r="B6523">
            <v>370524</v>
          </cell>
          <cell r="C6523" t="str">
            <v>MEALS, ENTERTAINMENT  - BUSINESS</v>
          </cell>
        </row>
        <row r="6524">
          <cell r="A6524">
            <v>9689883</v>
          </cell>
          <cell r="B6524">
            <v>370524</v>
          </cell>
          <cell r="C6524" t="str">
            <v>MEALS, ENTERTAINMENT  - BUSINESS</v>
          </cell>
        </row>
        <row r="6525">
          <cell r="A6525">
            <v>9689890</v>
          </cell>
          <cell r="B6525">
            <v>370524</v>
          </cell>
          <cell r="C6525" t="str">
            <v>MEALS, ENTERTAINMENT  - BUSINESS</v>
          </cell>
        </row>
        <row r="6526">
          <cell r="A6526">
            <v>9689906</v>
          </cell>
          <cell r="B6526">
            <v>370524</v>
          </cell>
          <cell r="C6526" t="str">
            <v>MEALS, ENTERTAINMENT  - BUSINESS</v>
          </cell>
        </row>
        <row r="6527">
          <cell r="A6527">
            <v>9689925</v>
          </cell>
          <cell r="B6527">
            <v>370524</v>
          </cell>
          <cell r="C6527" t="str">
            <v>MEALS, ENTERTAINMENT  - BUSINESS</v>
          </cell>
        </row>
        <row r="6528">
          <cell r="A6528">
            <v>9689990</v>
          </cell>
          <cell r="B6528">
            <v>370524</v>
          </cell>
          <cell r="C6528" t="str">
            <v>MEALS, ENTERTAINMENT  - BUSINESS</v>
          </cell>
        </row>
        <row r="6529">
          <cell r="A6529">
            <v>9689991</v>
          </cell>
          <cell r="B6529">
            <v>370524</v>
          </cell>
          <cell r="C6529" t="str">
            <v>MEALS, ENTERTAINMENT  - BUSINESS</v>
          </cell>
        </row>
        <row r="6530">
          <cell r="A6530">
            <v>9689992</v>
          </cell>
          <cell r="B6530">
            <v>370524</v>
          </cell>
          <cell r="C6530" t="str">
            <v>MEALS, ENTERTAINMENT  - BUSINESS</v>
          </cell>
        </row>
        <row r="6531">
          <cell r="A6531">
            <v>9689993</v>
          </cell>
          <cell r="B6531">
            <v>370524</v>
          </cell>
          <cell r="C6531" t="str">
            <v>MEALS, ENTERTAINMENT  - BUSINESS</v>
          </cell>
        </row>
        <row r="6532">
          <cell r="A6532">
            <v>9689994</v>
          </cell>
          <cell r="B6532">
            <v>370524</v>
          </cell>
          <cell r="C6532" t="str">
            <v>MEALS, ENTERTAINMENT  - BUSINESS</v>
          </cell>
        </row>
        <row r="6533">
          <cell r="A6533">
            <v>9969681</v>
          </cell>
          <cell r="B6533">
            <v>370524</v>
          </cell>
          <cell r="C6533" t="str">
            <v>MEALS, ENTERTAINMENT  - BUSINESS</v>
          </cell>
        </row>
        <row r="6534">
          <cell r="A6534">
            <v>9969901</v>
          </cell>
          <cell r="B6534">
            <v>370524</v>
          </cell>
          <cell r="C6534" t="str">
            <v>MEALS, ENTERTAINMENT  - BUSINESS</v>
          </cell>
        </row>
        <row r="6535">
          <cell r="A6535" t="str">
            <v>ZONE-0105-POST</v>
          </cell>
          <cell r="B6535">
            <v>370524</v>
          </cell>
          <cell r="C6535" t="str">
            <v>MEALS, ENTERTAINMENT  - BUSINESS</v>
          </cell>
        </row>
        <row r="6536">
          <cell r="A6536" t="str">
            <v>ZONE-0112-POST</v>
          </cell>
          <cell r="B6536">
            <v>370524</v>
          </cell>
          <cell r="C6536" t="str">
            <v>MEALS, ENTERTAINMENT  - BUSINESS</v>
          </cell>
        </row>
        <row r="6537">
          <cell r="A6537">
            <v>8001054179</v>
          </cell>
          <cell r="B6537">
            <v>371123</v>
          </cell>
          <cell r="C6537" t="str">
            <v>MISC. OTHER INCOME</v>
          </cell>
        </row>
        <row r="6538">
          <cell r="A6538">
            <v>8001059542</v>
          </cell>
          <cell r="B6538">
            <v>371123</v>
          </cell>
          <cell r="C6538" t="str">
            <v>MISC. OTHER INCOME</v>
          </cell>
        </row>
        <row r="6539">
          <cell r="A6539">
            <v>8010512510</v>
          </cell>
          <cell r="B6539">
            <v>371123</v>
          </cell>
          <cell r="C6539" t="str">
            <v>MISC. OTHER INCOME</v>
          </cell>
        </row>
        <row r="6540">
          <cell r="A6540">
            <v>9080700</v>
          </cell>
          <cell r="B6540">
            <v>371123</v>
          </cell>
          <cell r="C6540" t="str">
            <v>MISC. OTHER INCOME</v>
          </cell>
        </row>
        <row r="6541">
          <cell r="A6541">
            <v>9080701</v>
          </cell>
          <cell r="B6541">
            <v>371123</v>
          </cell>
          <cell r="C6541" t="str">
            <v>MISC. OTHER INCOME</v>
          </cell>
        </row>
        <row r="6542">
          <cell r="A6542">
            <v>9080702</v>
          </cell>
          <cell r="B6542">
            <v>371123</v>
          </cell>
          <cell r="C6542" t="str">
            <v>MISC. OTHER INCOME</v>
          </cell>
        </row>
        <row r="6543">
          <cell r="A6543">
            <v>9080705</v>
          </cell>
          <cell r="B6543">
            <v>371123</v>
          </cell>
          <cell r="C6543" t="str">
            <v>MISC. OTHER INCOME</v>
          </cell>
        </row>
        <row r="6544">
          <cell r="A6544">
            <v>9080707</v>
          </cell>
          <cell r="B6544">
            <v>371123</v>
          </cell>
          <cell r="C6544" t="str">
            <v>MISC. OTHER INCOME</v>
          </cell>
        </row>
        <row r="6545">
          <cell r="A6545">
            <v>9080710</v>
          </cell>
          <cell r="B6545">
            <v>371123</v>
          </cell>
          <cell r="C6545" t="str">
            <v>MISC. OTHER INCOME</v>
          </cell>
        </row>
        <row r="6546">
          <cell r="A6546">
            <v>9090999</v>
          </cell>
          <cell r="B6546">
            <v>371123</v>
          </cell>
          <cell r="C6546" t="str">
            <v>MISC. OTHER INCOME</v>
          </cell>
        </row>
        <row r="6547">
          <cell r="A6547">
            <v>9100999</v>
          </cell>
          <cell r="B6547">
            <v>371123</v>
          </cell>
          <cell r="C6547" t="str">
            <v>MISC. OTHER INCOME</v>
          </cell>
        </row>
        <row r="6548">
          <cell r="A6548">
            <v>9110700</v>
          </cell>
          <cell r="B6548">
            <v>371123</v>
          </cell>
          <cell r="C6548" t="str">
            <v>MISC. OTHER INCOME</v>
          </cell>
        </row>
        <row r="6549">
          <cell r="A6549">
            <v>9110702</v>
          </cell>
          <cell r="B6549">
            <v>371123</v>
          </cell>
          <cell r="C6549" t="str">
            <v>MISC. OTHER INCOME</v>
          </cell>
        </row>
        <row r="6550">
          <cell r="A6550">
            <v>9110705</v>
          </cell>
          <cell r="B6550">
            <v>371123</v>
          </cell>
          <cell r="C6550" t="str">
            <v>MISC. OTHER INCOME</v>
          </cell>
        </row>
        <row r="6551">
          <cell r="A6551">
            <v>9110707</v>
          </cell>
          <cell r="B6551">
            <v>371123</v>
          </cell>
          <cell r="C6551" t="str">
            <v>MISC. OTHER INCOME</v>
          </cell>
        </row>
        <row r="6552">
          <cell r="A6552">
            <v>9681700</v>
          </cell>
          <cell r="B6552">
            <v>371123</v>
          </cell>
          <cell r="C6552" t="str">
            <v>MISC. OTHER INCOME</v>
          </cell>
        </row>
        <row r="6553">
          <cell r="A6553">
            <v>9681701</v>
          </cell>
          <cell r="B6553">
            <v>371123</v>
          </cell>
          <cell r="C6553" t="str">
            <v>MISC. OTHER INCOME</v>
          </cell>
        </row>
        <row r="6554">
          <cell r="A6554">
            <v>9681702</v>
          </cell>
          <cell r="B6554">
            <v>371123</v>
          </cell>
          <cell r="C6554" t="str">
            <v>MISC. OTHER INCOME</v>
          </cell>
        </row>
        <row r="6555">
          <cell r="A6555">
            <v>9681705</v>
          </cell>
          <cell r="B6555">
            <v>371123</v>
          </cell>
          <cell r="C6555" t="str">
            <v>MISC. OTHER INCOME</v>
          </cell>
        </row>
        <row r="6556">
          <cell r="A6556">
            <v>9681706</v>
          </cell>
          <cell r="B6556">
            <v>371123</v>
          </cell>
          <cell r="C6556" t="str">
            <v>MISC. OTHER INCOME</v>
          </cell>
        </row>
        <row r="6557">
          <cell r="A6557">
            <v>9681707</v>
          </cell>
          <cell r="B6557">
            <v>371123</v>
          </cell>
          <cell r="C6557" t="str">
            <v>MISC. OTHER INCOME</v>
          </cell>
        </row>
        <row r="6558">
          <cell r="A6558">
            <v>9681710</v>
          </cell>
          <cell r="B6558">
            <v>371123</v>
          </cell>
          <cell r="C6558" t="str">
            <v>MISC. OTHER INCOME</v>
          </cell>
        </row>
        <row r="6559">
          <cell r="A6559">
            <v>9681712</v>
          </cell>
          <cell r="B6559">
            <v>371123</v>
          </cell>
          <cell r="C6559" t="str">
            <v>MISC. OTHER INCOME</v>
          </cell>
        </row>
        <row r="6560">
          <cell r="A6560">
            <v>9681727</v>
          </cell>
          <cell r="B6560">
            <v>371123</v>
          </cell>
          <cell r="C6560" t="str">
            <v>MISC. OTHER INCOME</v>
          </cell>
        </row>
        <row r="6561">
          <cell r="A6561">
            <v>9681749</v>
          </cell>
          <cell r="B6561">
            <v>371123</v>
          </cell>
          <cell r="C6561" t="str">
            <v>MISC. OTHER INCOME</v>
          </cell>
        </row>
        <row r="6562">
          <cell r="A6562">
            <v>9681999</v>
          </cell>
          <cell r="B6562">
            <v>371123</v>
          </cell>
          <cell r="C6562" t="str">
            <v>MISC. OTHER INCOME</v>
          </cell>
        </row>
        <row r="6563">
          <cell r="A6563">
            <v>9689883</v>
          </cell>
          <cell r="B6563">
            <v>371123</v>
          </cell>
          <cell r="C6563" t="str">
            <v>MISC. OTHER INCOME</v>
          </cell>
        </row>
        <row r="6564">
          <cell r="A6564">
            <v>9689906</v>
          </cell>
          <cell r="B6564">
            <v>371123</v>
          </cell>
          <cell r="C6564" t="str">
            <v>MISC. OTHER INCOME</v>
          </cell>
        </row>
        <row r="6565">
          <cell r="A6565">
            <v>9689992</v>
          </cell>
          <cell r="B6565">
            <v>371123</v>
          </cell>
          <cell r="C6565" t="str">
            <v>MISC. OTHER INCOME</v>
          </cell>
        </row>
        <row r="6566">
          <cell r="A6566">
            <v>9722709</v>
          </cell>
          <cell r="B6566">
            <v>371123</v>
          </cell>
          <cell r="C6566" t="str">
            <v>MISC. OTHER INCOME</v>
          </cell>
        </row>
        <row r="6567">
          <cell r="A6567">
            <v>9722713</v>
          </cell>
          <cell r="B6567">
            <v>371123</v>
          </cell>
          <cell r="C6567" t="str">
            <v>MISC. OTHER INCOME</v>
          </cell>
        </row>
        <row r="6568">
          <cell r="A6568">
            <v>9723729</v>
          </cell>
          <cell r="B6568">
            <v>371123</v>
          </cell>
          <cell r="C6568" t="str">
            <v>MISC. OTHER INCOME</v>
          </cell>
        </row>
        <row r="6569">
          <cell r="A6569">
            <v>9968681</v>
          </cell>
          <cell r="B6569">
            <v>371123</v>
          </cell>
          <cell r="C6569" t="str">
            <v>MISC. OTHER INCOME</v>
          </cell>
        </row>
        <row r="6570">
          <cell r="A6570">
            <v>9969681</v>
          </cell>
          <cell r="B6570">
            <v>371123</v>
          </cell>
          <cell r="C6570" t="str">
            <v>MISC. OTHER INCOME</v>
          </cell>
        </row>
        <row r="6571">
          <cell r="A6571">
            <v>9969901</v>
          </cell>
          <cell r="B6571">
            <v>371123</v>
          </cell>
          <cell r="C6571" t="str">
            <v>MISC. OTHER INCOME</v>
          </cell>
        </row>
        <row r="6572">
          <cell r="A6572" t="str">
            <v>ZONE-0105-POST</v>
          </cell>
          <cell r="B6572">
            <v>371123</v>
          </cell>
          <cell r="C6572" t="str">
            <v>MISC. OTHER INCOME</v>
          </cell>
        </row>
        <row r="6573">
          <cell r="A6573" t="str">
            <v>ZONE-0112-POST</v>
          </cell>
          <cell r="B6573">
            <v>371123</v>
          </cell>
          <cell r="C6573" t="str">
            <v>MISC. OTHER INCOME</v>
          </cell>
        </row>
        <row r="6574">
          <cell r="A6574">
            <v>9090710</v>
          </cell>
          <cell r="B6574">
            <v>371140</v>
          </cell>
          <cell r="C6574" t="str">
            <v>ASP TRANSACTIONAL REVENUE</v>
          </cell>
        </row>
        <row r="6575">
          <cell r="A6575">
            <v>9100710</v>
          </cell>
          <cell r="B6575">
            <v>371140</v>
          </cell>
          <cell r="C6575" t="str">
            <v>ASP TRANSACTIONAL REVENUE</v>
          </cell>
        </row>
        <row r="6576">
          <cell r="A6576">
            <v>9090710</v>
          </cell>
          <cell r="B6576">
            <v>371141</v>
          </cell>
          <cell r="C6576" t="str">
            <v>LICENSE REVENUE</v>
          </cell>
        </row>
        <row r="6577">
          <cell r="A6577">
            <v>9100710</v>
          </cell>
          <cell r="B6577">
            <v>371141</v>
          </cell>
          <cell r="C6577" t="str">
            <v>LICENSE REVENUE</v>
          </cell>
        </row>
        <row r="6578">
          <cell r="A6578">
            <v>9090710</v>
          </cell>
          <cell r="B6578">
            <v>371142</v>
          </cell>
          <cell r="C6578" t="str">
            <v>USAGE FEE REVENUE</v>
          </cell>
        </row>
        <row r="6579">
          <cell r="A6579">
            <v>9100710</v>
          </cell>
          <cell r="B6579">
            <v>371142</v>
          </cell>
          <cell r="C6579" t="str">
            <v>USAGE FEE REVENUE</v>
          </cell>
        </row>
        <row r="6580">
          <cell r="A6580">
            <v>9080700</v>
          </cell>
          <cell r="B6580">
            <v>371660</v>
          </cell>
          <cell r="C6580" t="str">
            <v>CUSTOMER COMPLAINTS</v>
          </cell>
        </row>
        <row r="6581">
          <cell r="A6581">
            <v>9080701</v>
          </cell>
          <cell r="B6581">
            <v>371660</v>
          </cell>
          <cell r="C6581" t="str">
            <v>CUSTOMER COMPLAINTS</v>
          </cell>
        </row>
        <row r="6582">
          <cell r="A6582">
            <v>9080702</v>
          </cell>
          <cell r="B6582">
            <v>371660</v>
          </cell>
          <cell r="C6582" t="str">
            <v>CUSTOMER COMPLAINTS</v>
          </cell>
        </row>
        <row r="6583">
          <cell r="A6583">
            <v>9080705</v>
          </cell>
          <cell r="B6583">
            <v>371660</v>
          </cell>
          <cell r="C6583" t="str">
            <v>CUSTOMER COMPLAINTS</v>
          </cell>
        </row>
        <row r="6584">
          <cell r="A6584">
            <v>9080707</v>
          </cell>
          <cell r="B6584">
            <v>371660</v>
          </cell>
          <cell r="C6584" t="str">
            <v>CUSTOMER COMPLAINTS</v>
          </cell>
        </row>
        <row r="6585">
          <cell r="A6585">
            <v>9080710</v>
          </cell>
          <cell r="B6585">
            <v>371660</v>
          </cell>
          <cell r="C6585" t="str">
            <v>CUSTOMER COMPLAINTS</v>
          </cell>
        </row>
        <row r="6586">
          <cell r="A6586">
            <v>9090999</v>
          </cell>
          <cell r="B6586">
            <v>371660</v>
          </cell>
          <cell r="C6586" t="str">
            <v>CUSTOMER COMPLAINTS</v>
          </cell>
        </row>
        <row r="6587">
          <cell r="A6587">
            <v>9100999</v>
          </cell>
          <cell r="B6587">
            <v>371660</v>
          </cell>
          <cell r="C6587" t="str">
            <v>CUSTOMER COMPLAINTS</v>
          </cell>
        </row>
        <row r="6588">
          <cell r="A6588">
            <v>9110700</v>
          </cell>
          <cell r="B6588">
            <v>371660</v>
          </cell>
          <cell r="C6588" t="str">
            <v>CUSTOMER COMPLAINTS</v>
          </cell>
        </row>
        <row r="6589">
          <cell r="A6589">
            <v>9110702</v>
          </cell>
          <cell r="B6589">
            <v>371660</v>
          </cell>
          <cell r="C6589" t="str">
            <v>CUSTOMER COMPLAINTS</v>
          </cell>
        </row>
        <row r="6590">
          <cell r="A6590">
            <v>9110705</v>
          </cell>
          <cell r="B6590">
            <v>371660</v>
          </cell>
          <cell r="C6590" t="str">
            <v>CUSTOMER COMPLAINTS</v>
          </cell>
        </row>
        <row r="6591">
          <cell r="A6591">
            <v>9110707</v>
          </cell>
          <cell r="B6591">
            <v>371660</v>
          </cell>
          <cell r="C6591" t="str">
            <v>CUSTOMER COMPLAINTS</v>
          </cell>
        </row>
        <row r="6592">
          <cell r="A6592">
            <v>9680999</v>
          </cell>
          <cell r="B6592">
            <v>371660</v>
          </cell>
          <cell r="C6592" t="str">
            <v>CUSTOMER COMPLAINTS</v>
          </cell>
        </row>
        <row r="6593">
          <cell r="A6593">
            <v>9681700</v>
          </cell>
          <cell r="B6593">
            <v>371660</v>
          </cell>
          <cell r="C6593" t="str">
            <v>CUSTOMER COMPLAINTS</v>
          </cell>
        </row>
        <row r="6594">
          <cell r="A6594">
            <v>9681701</v>
          </cell>
          <cell r="B6594">
            <v>371660</v>
          </cell>
          <cell r="C6594" t="str">
            <v>CUSTOMER COMPLAINTS</v>
          </cell>
        </row>
        <row r="6595">
          <cell r="A6595">
            <v>9681702</v>
          </cell>
          <cell r="B6595">
            <v>371660</v>
          </cell>
          <cell r="C6595" t="str">
            <v>CUSTOMER COMPLAINTS</v>
          </cell>
        </row>
        <row r="6596">
          <cell r="A6596">
            <v>9681705</v>
          </cell>
          <cell r="B6596">
            <v>371660</v>
          </cell>
          <cell r="C6596" t="str">
            <v>CUSTOMER COMPLAINTS</v>
          </cell>
        </row>
        <row r="6597">
          <cell r="A6597">
            <v>9681706</v>
          </cell>
          <cell r="B6597">
            <v>371660</v>
          </cell>
          <cell r="C6597" t="str">
            <v>CUSTOMER COMPLAINTS</v>
          </cell>
        </row>
        <row r="6598">
          <cell r="A6598">
            <v>9681707</v>
          </cell>
          <cell r="B6598">
            <v>371660</v>
          </cell>
          <cell r="C6598" t="str">
            <v>CUSTOMER COMPLAINTS</v>
          </cell>
        </row>
        <row r="6599">
          <cell r="A6599">
            <v>9681712</v>
          </cell>
          <cell r="B6599">
            <v>371660</v>
          </cell>
          <cell r="C6599" t="str">
            <v>CUSTOMER COMPLAINTS</v>
          </cell>
        </row>
        <row r="6600">
          <cell r="A6600">
            <v>9681727</v>
          </cell>
          <cell r="B6600">
            <v>371660</v>
          </cell>
          <cell r="C6600" t="str">
            <v>CUSTOMER COMPLAINTS</v>
          </cell>
        </row>
        <row r="6601">
          <cell r="A6601">
            <v>9681749</v>
          </cell>
          <cell r="B6601">
            <v>371660</v>
          </cell>
          <cell r="C6601" t="str">
            <v>CUSTOMER COMPLAINTS</v>
          </cell>
        </row>
        <row r="6602">
          <cell r="A6602">
            <v>9681999</v>
          </cell>
          <cell r="B6602">
            <v>371660</v>
          </cell>
          <cell r="C6602" t="str">
            <v>CUSTOMER COMPLAINTS</v>
          </cell>
        </row>
        <row r="6603">
          <cell r="A6603">
            <v>9682715</v>
          </cell>
          <cell r="B6603">
            <v>371660</v>
          </cell>
          <cell r="C6603" t="str">
            <v>CUSTOMER COMPLAINTS</v>
          </cell>
        </row>
        <row r="6604">
          <cell r="A6604">
            <v>9720703</v>
          </cell>
          <cell r="B6604">
            <v>371889</v>
          </cell>
          <cell r="C6604" t="str">
            <v>AUTOMATIC TELLER MACHINES</v>
          </cell>
        </row>
        <row r="6605">
          <cell r="A6605">
            <v>9724718</v>
          </cell>
          <cell r="B6605">
            <v>371889</v>
          </cell>
          <cell r="C6605" t="str">
            <v>AUTOMATIC TELLER MACHINES</v>
          </cell>
        </row>
        <row r="6606">
          <cell r="A6606">
            <v>9724721</v>
          </cell>
          <cell r="B6606">
            <v>371889</v>
          </cell>
          <cell r="C6606" t="str">
            <v>AUTOMATIC TELLER MACHINES</v>
          </cell>
        </row>
        <row r="6607">
          <cell r="A6607">
            <v>9724724</v>
          </cell>
          <cell r="B6607">
            <v>371889</v>
          </cell>
          <cell r="C6607" t="str">
            <v>AUTOMATIC TELLER MACHINES</v>
          </cell>
        </row>
        <row r="6608">
          <cell r="A6608">
            <v>9725703</v>
          </cell>
          <cell r="B6608">
            <v>371889</v>
          </cell>
          <cell r="C6608" t="str">
            <v>AUTOMATIC TELLER MACHINES</v>
          </cell>
        </row>
        <row r="6609">
          <cell r="A6609">
            <v>9725704</v>
          </cell>
          <cell r="B6609">
            <v>371889</v>
          </cell>
          <cell r="C6609" t="str">
            <v>AUTOMATIC TELLER MACHINES</v>
          </cell>
        </row>
        <row r="6610">
          <cell r="A6610">
            <v>9725717</v>
          </cell>
          <cell r="B6610">
            <v>371889</v>
          </cell>
          <cell r="C6610" t="str">
            <v>AUTOMATIC TELLER MACHINES</v>
          </cell>
        </row>
        <row r="6611">
          <cell r="A6611">
            <v>9725725</v>
          </cell>
          <cell r="B6611">
            <v>371889</v>
          </cell>
          <cell r="C6611" t="str">
            <v>AUTOMATIC TELLER MACHINES</v>
          </cell>
        </row>
        <row r="6612">
          <cell r="A6612">
            <v>9080700</v>
          </cell>
          <cell r="B6612">
            <v>380101</v>
          </cell>
          <cell r="C6612" t="str">
            <v>STORE MARGIN PROGRAMS EXPENSE</v>
          </cell>
        </row>
        <row r="6613">
          <cell r="A6613">
            <v>9080701</v>
          </cell>
          <cell r="B6613">
            <v>380101</v>
          </cell>
          <cell r="C6613" t="str">
            <v>STORE MARGIN PROGRAMS EXPENSE</v>
          </cell>
        </row>
        <row r="6614">
          <cell r="A6614">
            <v>9080702</v>
          </cell>
          <cell r="B6614">
            <v>380101</v>
          </cell>
          <cell r="C6614" t="str">
            <v>STORE MARGIN PROGRAMS EXPENSE</v>
          </cell>
        </row>
        <row r="6615">
          <cell r="A6615">
            <v>9080705</v>
          </cell>
          <cell r="B6615">
            <v>380101</v>
          </cell>
          <cell r="C6615" t="str">
            <v>STORE MARGIN PROGRAMS EXPENSE</v>
          </cell>
        </row>
        <row r="6616">
          <cell r="A6616">
            <v>9080707</v>
          </cell>
          <cell r="B6616">
            <v>380101</v>
          </cell>
          <cell r="C6616" t="str">
            <v>STORE MARGIN PROGRAMS EXPENSE</v>
          </cell>
        </row>
        <row r="6617">
          <cell r="A6617">
            <v>9080710</v>
          </cell>
          <cell r="B6617">
            <v>380101</v>
          </cell>
          <cell r="C6617" t="str">
            <v>STORE MARGIN PROGRAMS EXPENSE</v>
          </cell>
        </row>
        <row r="6618">
          <cell r="A6618">
            <v>9090999</v>
          </cell>
          <cell r="B6618">
            <v>380101</v>
          </cell>
          <cell r="C6618" t="str">
            <v>STORE MARGIN PROGRAMS EXPENSE</v>
          </cell>
        </row>
        <row r="6619">
          <cell r="A6619">
            <v>9100999</v>
          </cell>
          <cell r="B6619">
            <v>380101</v>
          </cell>
          <cell r="C6619" t="str">
            <v>STORE MARGIN PROGRAMS EXPENSE</v>
          </cell>
        </row>
        <row r="6620">
          <cell r="A6620">
            <v>9110700</v>
          </cell>
          <cell r="B6620">
            <v>380101</v>
          </cell>
          <cell r="C6620" t="str">
            <v>STORE MARGIN PROGRAMS EXPENSE</v>
          </cell>
        </row>
        <row r="6621">
          <cell r="A6621">
            <v>9110702</v>
          </cell>
          <cell r="B6621">
            <v>380101</v>
          </cell>
          <cell r="C6621" t="str">
            <v>STORE MARGIN PROGRAMS EXPENSE</v>
          </cell>
        </row>
        <row r="6622">
          <cell r="A6622">
            <v>9110705</v>
          </cell>
          <cell r="B6622">
            <v>380101</v>
          </cell>
          <cell r="C6622" t="str">
            <v>STORE MARGIN PROGRAMS EXPENSE</v>
          </cell>
        </row>
        <row r="6623">
          <cell r="A6623">
            <v>9110707</v>
          </cell>
          <cell r="B6623">
            <v>380101</v>
          </cell>
          <cell r="C6623" t="str">
            <v>STORE MARGIN PROGRAMS EXPENSE</v>
          </cell>
        </row>
        <row r="6624">
          <cell r="A6624">
            <v>9680700</v>
          </cell>
          <cell r="B6624">
            <v>380101</v>
          </cell>
          <cell r="C6624" t="str">
            <v>STORE MARGIN PROGRAMS EXPENSE</v>
          </cell>
        </row>
        <row r="6625">
          <cell r="A6625">
            <v>9680701</v>
          </cell>
          <cell r="B6625">
            <v>380101</v>
          </cell>
          <cell r="C6625" t="str">
            <v>STORE MARGIN PROGRAMS EXPENSE</v>
          </cell>
        </row>
        <row r="6626">
          <cell r="A6626">
            <v>9680702</v>
          </cell>
          <cell r="B6626">
            <v>380101</v>
          </cell>
          <cell r="C6626" t="str">
            <v>STORE MARGIN PROGRAMS EXPENSE</v>
          </cell>
        </row>
        <row r="6627">
          <cell r="A6627">
            <v>9680705</v>
          </cell>
          <cell r="B6627">
            <v>380101</v>
          </cell>
          <cell r="C6627" t="str">
            <v>STORE MARGIN PROGRAMS EXPENSE</v>
          </cell>
        </row>
        <row r="6628">
          <cell r="A6628">
            <v>9680707</v>
          </cell>
          <cell r="B6628">
            <v>380101</v>
          </cell>
          <cell r="C6628" t="str">
            <v>STORE MARGIN PROGRAMS EXPENSE</v>
          </cell>
        </row>
        <row r="6629">
          <cell r="A6629">
            <v>9680710</v>
          </cell>
          <cell r="B6629">
            <v>380101</v>
          </cell>
          <cell r="C6629" t="str">
            <v>STORE MARGIN PROGRAMS EXPENSE</v>
          </cell>
        </row>
        <row r="6630">
          <cell r="A6630">
            <v>9680712</v>
          </cell>
          <cell r="B6630">
            <v>380101</v>
          </cell>
          <cell r="C6630" t="str">
            <v>STORE MARGIN PROGRAMS EXPENSE</v>
          </cell>
        </row>
        <row r="6631">
          <cell r="A6631">
            <v>9680714</v>
          </cell>
          <cell r="B6631">
            <v>380101</v>
          </cell>
          <cell r="C6631" t="str">
            <v>STORE MARGIN PROGRAMS EXPENSE</v>
          </cell>
        </row>
        <row r="6632">
          <cell r="A6632">
            <v>9680734</v>
          </cell>
          <cell r="B6632">
            <v>380101</v>
          </cell>
          <cell r="C6632" t="str">
            <v>STORE MARGIN PROGRAMS EXPENSE</v>
          </cell>
        </row>
        <row r="6633">
          <cell r="A6633">
            <v>9680748</v>
          </cell>
          <cell r="B6633">
            <v>380101</v>
          </cell>
          <cell r="C6633" t="str">
            <v>STORE MARGIN PROGRAMS EXPENSE</v>
          </cell>
        </row>
        <row r="6634">
          <cell r="A6634">
            <v>9680749</v>
          </cell>
          <cell r="B6634">
            <v>380101</v>
          </cell>
          <cell r="C6634" t="str">
            <v>STORE MARGIN PROGRAMS EXPENSE</v>
          </cell>
        </row>
        <row r="6635">
          <cell r="A6635">
            <v>9680894</v>
          </cell>
          <cell r="B6635">
            <v>380101</v>
          </cell>
          <cell r="C6635" t="str">
            <v>STORE MARGIN PROGRAMS EXPENSE</v>
          </cell>
        </row>
        <row r="6636">
          <cell r="A6636">
            <v>9680999</v>
          </cell>
          <cell r="B6636">
            <v>380101</v>
          </cell>
          <cell r="C6636" t="str">
            <v>STORE MARGIN PROGRAMS EXPENSE</v>
          </cell>
        </row>
        <row r="6637">
          <cell r="A6637">
            <v>9681700</v>
          </cell>
          <cell r="B6637">
            <v>380101</v>
          </cell>
          <cell r="C6637" t="str">
            <v>STORE MARGIN PROGRAMS EXPENSE</v>
          </cell>
        </row>
        <row r="6638">
          <cell r="A6638">
            <v>9681701</v>
          </cell>
          <cell r="B6638">
            <v>380101</v>
          </cell>
          <cell r="C6638" t="str">
            <v>STORE MARGIN PROGRAMS EXPENSE</v>
          </cell>
        </row>
        <row r="6639">
          <cell r="A6639">
            <v>9681702</v>
          </cell>
          <cell r="B6639">
            <v>380101</v>
          </cell>
          <cell r="C6639" t="str">
            <v>STORE MARGIN PROGRAMS EXPENSE</v>
          </cell>
        </row>
        <row r="6640">
          <cell r="A6640">
            <v>9681705</v>
          </cell>
          <cell r="B6640">
            <v>380101</v>
          </cell>
          <cell r="C6640" t="str">
            <v>STORE MARGIN PROGRAMS EXPENSE</v>
          </cell>
        </row>
        <row r="6641">
          <cell r="A6641">
            <v>9681706</v>
          </cell>
          <cell r="B6641">
            <v>380101</v>
          </cell>
          <cell r="C6641" t="str">
            <v>STORE MARGIN PROGRAMS EXPENSE</v>
          </cell>
        </row>
        <row r="6642">
          <cell r="A6642">
            <v>9681707</v>
          </cell>
          <cell r="B6642">
            <v>380101</v>
          </cell>
          <cell r="C6642" t="str">
            <v>STORE MARGIN PROGRAMS EXPENSE</v>
          </cell>
        </row>
        <row r="6643">
          <cell r="A6643">
            <v>9681710</v>
          </cell>
          <cell r="B6643">
            <v>380101</v>
          </cell>
          <cell r="C6643" t="str">
            <v>STORE MARGIN PROGRAMS EXPENSE</v>
          </cell>
        </row>
        <row r="6644">
          <cell r="A6644">
            <v>9681712</v>
          </cell>
          <cell r="B6644">
            <v>380101</v>
          </cell>
          <cell r="C6644" t="str">
            <v>STORE MARGIN PROGRAMS EXPENSE</v>
          </cell>
        </row>
        <row r="6645">
          <cell r="A6645">
            <v>9681727</v>
          </cell>
          <cell r="B6645">
            <v>380101</v>
          </cell>
          <cell r="C6645" t="str">
            <v>STORE MARGIN PROGRAMS EXPENSE</v>
          </cell>
        </row>
        <row r="6646">
          <cell r="A6646">
            <v>9681734</v>
          </cell>
          <cell r="B6646">
            <v>380101</v>
          </cell>
          <cell r="C6646" t="str">
            <v>STORE MARGIN PROGRAMS EXPENSE</v>
          </cell>
        </row>
        <row r="6647">
          <cell r="A6647">
            <v>9681748</v>
          </cell>
          <cell r="B6647">
            <v>380101</v>
          </cell>
          <cell r="C6647" t="str">
            <v>STORE MARGIN PROGRAMS EXPENSE</v>
          </cell>
        </row>
        <row r="6648">
          <cell r="A6648">
            <v>9681749</v>
          </cell>
          <cell r="B6648">
            <v>380101</v>
          </cell>
          <cell r="C6648" t="str">
            <v>STORE MARGIN PROGRAMS EXPENSE</v>
          </cell>
        </row>
        <row r="6649">
          <cell r="A6649">
            <v>9681894</v>
          </cell>
          <cell r="B6649">
            <v>380101</v>
          </cell>
          <cell r="C6649" t="str">
            <v>STORE MARGIN PROGRAMS EXPENSE</v>
          </cell>
        </row>
        <row r="6650">
          <cell r="A6650">
            <v>9681999</v>
          </cell>
          <cell r="B6650">
            <v>380101</v>
          </cell>
          <cell r="C6650" t="str">
            <v>STORE MARGIN PROGRAMS EXPENSE</v>
          </cell>
        </row>
        <row r="6651">
          <cell r="A6651">
            <v>9682715</v>
          </cell>
          <cell r="B6651">
            <v>380101</v>
          </cell>
          <cell r="C6651" t="str">
            <v>STORE MARGIN PROGRAMS EXPENSE</v>
          </cell>
        </row>
        <row r="6652">
          <cell r="A6652">
            <v>9682722</v>
          </cell>
          <cell r="B6652">
            <v>380101</v>
          </cell>
          <cell r="C6652" t="str">
            <v>STORE MARGIN PROGRAMS EXPENSE</v>
          </cell>
        </row>
        <row r="6653">
          <cell r="A6653">
            <v>9682999</v>
          </cell>
          <cell r="B6653">
            <v>380101</v>
          </cell>
          <cell r="C6653" t="str">
            <v>STORE MARGIN PROGRAMS EXPENSE</v>
          </cell>
        </row>
        <row r="6654">
          <cell r="A6654">
            <v>9722709</v>
          </cell>
          <cell r="B6654">
            <v>380101</v>
          </cell>
          <cell r="C6654" t="str">
            <v>STORE MARGIN PROGRAMS EXPENSE</v>
          </cell>
        </row>
        <row r="6655">
          <cell r="A6655">
            <v>9722713</v>
          </cell>
          <cell r="B6655">
            <v>380101</v>
          </cell>
          <cell r="C6655" t="str">
            <v>STORE MARGIN PROGRAMS EXPENSE</v>
          </cell>
        </row>
        <row r="6656">
          <cell r="A6656">
            <v>9724721</v>
          </cell>
          <cell r="B6656">
            <v>380101</v>
          </cell>
          <cell r="C6656" t="str">
            <v>STORE MARGIN PROGRAMS EXPENSE</v>
          </cell>
        </row>
        <row r="6657">
          <cell r="A6657">
            <v>9682715</v>
          </cell>
          <cell r="B6657">
            <v>380111</v>
          </cell>
          <cell r="C6657" t="str">
            <v>VALUED CONNECTION EXPENSE</v>
          </cell>
        </row>
        <row r="6658">
          <cell r="A6658">
            <v>9682722</v>
          </cell>
          <cell r="B6658">
            <v>380111</v>
          </cell>
          <cell r="C6658" t="str">
            <v>VALUED CONNECTION EXPENSE</v>
          </cell>
        </row>
        <row r="6659">
          <cell r="A6659">
            <v>9682999</v>
          </cell>
          <cell r="B6659">
            <v>380111</v>
          </cell>
          <cell r="C6659" t="str">
            <v>VALUED CONNECTION EXPENSE</v>
          </cell>
        </row>
        <row r="6660">
          <cell r="A6660">
            <v>9720703</v>
          </cell>
          <cell r="B6660">
            <v>380111</v>
          </cell>
          <cell r="C6660" t="str">
            <v>VALUED CONNECTION EXPENSE</v>
          </cell>
        </row>
        <row r="6661">
          <cell r="A6661">
            <v>9722709</v>
          </cell>
          <cell r="B6661">
            <v>380111</v>
          </cell>
          <cell r="C6661" t="str">
            <v>VALUED CONNECTION EXPENSE</v>
          </cell>
        </row>
        <row r="6662">
          <cell r="A6662">
            <v>9722713</v>
          </cell>
          <cell r="B6662">
            <v>380111</v>
          </cell>
          <cell r="C6662" t="str">
            <v>VALUED CONNECTION EXPENSE</v>
          </cell>
        </row>
        <row r="6663">
          <cell r="A6663">
            <v>9724718</v>
          </cell>
          <cell r="B6663">
            <v>380111</v>
          </cell>
          <cell r="C6663" t="str">
            <v>VALUED CONNECTION EXPENSE</v>
          </cell>
        </row>
        <row r="6664">
          <cell r="A6664">
            <v>9724721</v>
          </cell>
          <cell r="B6664">
            <v>380111</v>
          </cell>
          <cell r="C6664" t="str">
            <v>VALUED CONNECTION EXPENSE</v>
          </cell>
        </row>
        <row r="6665">
          <cell r="A6665">
            <v>9724724</v>
          </cell>
          <cell r="B6665">
            <v>380111</v>
          </cell>
          <cell r="C6665" t="str">
            <v>VALUED CONNECTION EXPENSE</v>
          </cell>
        </row>
        <row r="6666">
          <cell r="A6666">
            <v>9725703</v>
          </cell>
          <cell r="B6666">
            <v>380111</v>
          </cell>
          <cell r="C6666" t="str">
            <v>VALUED CONNECTION EXPENSE</v>
          </cell>
        </row>
        <row r="6667">
          <cell r="A6667">
            <v>9725704</v>
          </cell>
          <cell r="B6667">
            <v>380111</v>
          </cell>
          <cell r="C6667" t="str">
            <v>VALUED CONNECTION EXPENSE</v>
          </cell>
        </row>
        <row r="6668">
          <cell r="A6668">
            <v>9725711</v>
          </cell>
          <cell r="B6668">
            <v>380111</v>
          </cell>
          <cell r="C6668" t="str">
            <v>VALUED CONNECTION EXPENSE</v>
          </cell>
        </row>
        <row r="6669">
          <cell r="A6669">
            <v>9725717</v>
          </cell>
          <cell r="B6669">
            <v>380111</v>
          </cell>
          <cell r="C6669" t="str">
            <v>VALUED CONNECTION EXPENSE</v>
          </cell>
        </row>
        <row r="6670">
          <cell r="A6670">
            <v>9725725</v>
          </cell>
          <cell r="B6670">
            <v>380111</v>
          </cell>
          <cell r="C6670" t="str">
            <v>VALUED CONNECTION EXPENSE</v>
          </cell>
        </row>
        <row r="6671">
          <cell r="A6671">
            <v>9683999</v>
          </cell>
          <cell r="B6671">
            <v>380549</v>
          </cell>
          <cell r="C6671" t="str">
            <v>TRANSIT PASSES-EMPLOYEE BENEFI</v>
          </cell>
        </row>
        <row r="6672">
          <cell r="A6672">
            <v>9090999</v>
          </cell>
          <cell r="B6672">
            <v>380930</v>
          </cell>
          <cell r="C6672" t="str">
            <v>ROYALTY REVENUE</v>
          </cell>
        </row>
        <row r="6673">
          <cell r="A6673">
            <v>9100999</v>
          </cell>
          <cell r="B6673">
            <v>380930</v>
          </cell>
          <cell r="C6673" t="str">
            <v>ROYALTY REVENUE</v>
          </cell>
        </row>
        <row r="6674">
          <cell r="A6674">
            <v>8001054179</v>
          </cell>
          <cell r="B6674">
            <v>380935</v>
          </cell>
          <cell r="C6674" t="str">
            <v>UNCLAIMED DRAFTS/CHECKS</v>
          </cell>
        </row>
        <row r="6675">
          <cell r="A6675">
            <v>8001059542</v>
          </cell>
          <cell r="B6675">
            <v>380935</v>
          </cell>
          <cell r="C6675" t="str">
            <v>UNCLAIMED DRAFTS/CHECKS</v>
          </cell>
        </row>
        <row r="6676">
          <cell r="A6676">
            <v>8010512510</v>
          </cell>
          <cell r="B6676">
            <v>380935</v>
          </cell>
          <cell r="C6676" t="str">
            <v>UNCLAIMED DRAFTS/CHECKS</v>
          </cell>
        </row>
        <row r="6677">
          <cell r="A6677">
            <v>9969681</v>
          </cell>
          <cell r="B6677">
            <v>380935</v>
          </cell>
          <cell r="C6677" t="str">
            <v>UNCLAIMED DRAFTS/CHECKS</v>
          </cell>
        </row>
        <row r="6678">
          <cell r="A6678">
            <v>9969901</v>
          </cell>
          <cell r="B6678">
            <v>380935</v>
          </cell>
          <cell r="C6678" t="str">
            <v>UNCLAIMED DRAFTS/CHECKS</v>
          </cell>
        </row>
        <row r="6679">
          <cell r="A6679" t="str">
            <v>ZONE-0105-POST</v>
          </cell>
          <cell r="B6679">
            <v>380935</v>
          </cell>
          <cell r="C6679" t="str">
            <v>UNCLAIMED DRAFTS/CHECKS</v>
          </cell>
        </row>
        <row r="6680">
          <cell r="A6680" t="str">
            <v>ZONE-0112-POST</v>
          </cell>
          <cell r="B6680">
            <v>380935</v>
          </cell>
          <cell r="C6680" t="str">
            <v>UNCLAIMED DRAFTS/CHECKS</v>
          </cell>
        </row>
        <row r="6681">
          <cell r="A6681">
            <v>9080700</v>
          </cell>
          <cell r="B6681">
            <v>380998</v>
          </cell>
          <cell r="C6681" t="str">
            <v>CENTS ADJUSTMENT</v>
          </cell>
        </row>
        <row r="6682">
          <cell r="A6682">
            <v>9080701</v>
          </cell>
          <cell r="B6682">
            <v>380998</v>
          </cell>
          <cell r="C6682" t="str">
            <v>CENTS ADJUSTMENT</v>
          </cell>
        </row>
        <row r="6683">
          <cell r="A6683">
            <v>9080702</v>
          </cell>
          <cell r="B6683">
            <v>380998</v>
          </cell>
          <cell r="C6683" t="str">
            <v>CENTS ADJUSTMENT</v>
          </cell>
        </row>
        <row r="6684">
          <cell r="A6684">
            <v>9080705</v>
          </cell>
          <cell r="B6684">
            <v>380998</v>
          </cell>
          <cell r="C6684" t="str">
            <v>CENTS ADJUSTMENT</v>
          </cell>
        </row>
        <row r="6685">
          <cell r="A6685">
            <v>9080707</v>
          </cell>
          <cell r="B6685">
            <v>380998</v>
          </cell>
          <cell r="C6685" t="str">
            <v>CENTS ADJUSTMENT</v>
          </cell>
        </row>
        <row r="6686">
          <cell r="A6686">
            <v>9080710</v>
          </cell>
          <cell r="B6686">
            <v>380998</v>
          </cell>
          <cell r="C6686" t="str">
            <v>CENTS ADJUSTMENT</v>
          </cell>
        </row>
        <row r="6687">
          <cell r="A6687">
            <v>9090999</v>
          </cell>
          <cell r="B6687">
            <v>380998</v>
          </cell>
          <cell r="C6687" t="str">
            <v>CENTS ADJUSTMENT</v>
          </cell>
        </row>
        <row r="6688">
          <cell r="A6688">
            <v>9110700</v>
          </cell>
          <cell r="B6688">
            <v>380998</v>
          </cell>
          <cell r="C6688" t="str">
            <v>CENTS ADJUSTMENT</v>
          </cell>
        </row>
        <row r="6689">
          <cell r="A6689">
            <v>9110702</v>
          </cell>
          <cell r="B6689">
            <v>380998</v>
          </cell>
          <cell r="C6689" t="str">
            <v>CENTS ADJUSTMENT</v>
          </cell>
        </row>
        <row r="6690">
          <cell r="A6690">
            <v>9110705</v>
          </cell>
          <cell r="B6690">
            <v>380998</v>
          </cell>
          <cell r="C6690" t="str">
            <v>CENTS ADJUSTMENT</v>
          </cell>
        </row>
        <row r="6691">
          <cell r="A6691">
            <v>9110707</v>
          </cell>
          <cell r="B6691">
            <v>380998</v>
          </cell>
          <cell r="C6691" t="str">
            <v>CENTS ADJUSTMENT</v>
          </cell>
        </row>
        <row r="6692">
          <cell r="A6692">
            <v>9681700</v>
          </cell>
          <cell r="B6692">
            <v>380998</v>
          </cell>
          <cell r="C6692" t="str">
            <v>CENTS ADJUSTMENT</v>
          </cell>
        </row>
        <row r="6693">
          <cell r="A6693">
            <v>9682999</v>
          </cell>
          <cell r="B6693">
            <v>380998</v>
          </cell>
          <cell r="C6693" t="str">
            <v>CENTS ADJUSTMENT</v>
          </cell>
        </row>
        <row r="6694">
          <cell r="A6694">
            <v>9689883</v>
          </cell>
          <cell r="B6694">
            <v>380998</v>
          </cell>
          <cell r="C6694" t="str">
            <v>CENTS ADJUSTMENT</v>
          </cell>
        </row>
        <row r="6695">
          <cell r="A6695">
            <v>9689906</v>
          </cell>
          <cell r="B6695">
            <v>380998</v>
          </cell>
          <cell r="C6695" t="str">
            <v>CENTS ADJUSTMENT</v>
          </cell>
        </row>
        <row r="6696">
          <cell r="A6696">
            <v>9689992</v>
          </cell>
          <cell r="B6696">
            <v>380998</v>
          </cell>
          <cell r="C6696" t="str">
            <v>CENTS ADJUSTMENT</v>
          </cell>
        </row>
        <row r="6697">
          <cell r="A6697">
            <v>8001054179</v>
          </cell>
          <cell r="B6697">
            <v>381980</v>
          </cell>
          <cell r="C6697" t="str">
            <v>GAIN/LOSS-MONEY EXCHANGE-NET</v>
          </cell>
        </row>
        <row r="6698">
          <cell r="A6698">
            <v>8001059542</v>
          </cell>
          <cell r="B6698">
            <v>381980</v>
          </cell>
          <cell r="C6698" t="str">
            <v>GAIN/LOSS-MONEY EXCHANGE-NET</v>
          </cell>
        </row>
        <row r="6699">
          <cell r="A6699">
            <v>8010512510</v>
          </cell>
          <cell r="B6699">
            <v>381980</v>
          </cell>
          <cell r="C6699" t="str">
            <v>GAIN/LOSS-MONEY EXCHANGE-NET</v>
          </cell>
        </row>
        <row r="6700">
          <cell r="A6700">
            <v>9080999</v>
          </cell>
          <cell r="B6700">
            <v>381980</v>
          </cell>
          <cell r="C6700" t="str">
            <v>GAIN/LOSS-MONEY EXCHANGE-NET</v>
          </cell>
        </row>
        <row r="6701">
          <cell r="A6701">
            <v>9110999</v>
          </cell>
          <cell r="B6701">
            <v>381980</v>
          </cell>
          <cell r="C6701" t="str">
            <v>GAIN/LOSS-MONEY EXCHANGE-NET</v>
          </cell>
        </row>
        <row r="6702">
          <cell r="A6702">
            <v>9969681</v>
          </cell>
          <cell r="B6702">
            <v>381980</v>
          </cell>
          <cell r="C6702" t="str">
            <v>GAIN/LOSS-MONEY EXCHANGE-NET</v>
          </cell>
        </row>
        <row r="6703">
          <cell r="A6703">
            <v>9969901</v>
          </cell>
          <cell r="B6703">
            <v>381980</v>
          </cell>
          <cell r="C6703" t="str">
            <v>GAIN/LOSS-MONEY EXCHANGE-NET</v>
          </cell>
        </row>
        <row r="6704">
          <cell r="A6704" t="str">
            <v>I/C-1510-POST</v>
          </cell>
          <cell r="B6704">
            <v>381980</v>
          </cell>
          <cell r="C6704" t="str">
            <v>GAIN/LOSS-MONEY EXCHANGE-NET</v>
          </cell>
        </row>
        <row r="6705">
          <cell r="A6705" t="str">
            <v>ZONE-0068-POST</v>
          </cell>
          <cell r="B6705">
            <v>381980</v>
          </cell>
          <cell r="C6705" t="str">
            <v>GAIN/LOSS-MONEY EXCHANGE-NET</v>
          </cell>
        </row>
        <row r="6706">
          <cell r="A6706" t="str">
            <v>ZONE-0072-POST</v>
          </cell>
          <cell r="B6706">
            <v>381980</v>
          </cell>
          <cell r="C6706" t="str">
            <v>GAIN/LOSS-MONEY EXCHANGE-NET</v>
          </cell>
        </row>
        <row r="6707">
          <cell r="A6707" t="str">
            <v>ZONE-0102-POST</v>
          </cell>
          <cell r="B6707">
            <v>381980</v>
          </cell>
          <cell r="C6707" t="str">
            <v>GAIN/LOSS-MONEY EXCHANGE-NET</v>
          </cell>
        </row>
        <row r="6708">
          <cell r="A6708" t="str">
            <v>ZONE-0103-POST</v>
          </cell>
          <cell r="B6708">
            <v>381980</v>
          </cell>
          <cell r="C6708" t="str">
            <v>GAIN/LOSS-MONEY EXCHANGE-NET</v>
          </cell>
        </row>
        <row r="6709">
          <cell r="A6709" t="str">
            <v>ZONE-0104-POST</v>
          </cell>
          <cell r="B6709">
            <v>381980</v>
          </cell>
          <cell r="C6709" t="str">
            <v>GAIN/LOSS-MONEY EXCHANGE-NET</v>
          </cell>
        </row>
        <row r="6710">
          <cell r="A6710" t="str">
            <v>ZONE-0105-POST</v>
          </cell>
          <cell r="B6710">
            <v>381980</v>
          </cell>
          <cell r="C6710" t="str">
            <v>GAIN/LOSS-MONEY EXCHANGE-NET</v>
          </cell>
        </row>
        <row r="6711">
          <cell r="A6711" t="str">
            <v>ZONE-0108-POST</v>
          </cell>
          <cell r="B6711">
            <v>381980</v>
          </cell>
          <cell r="C6711" t="str">
            <v>GAIN/LOSS-MONEY EXCHANGE-NET</v>
          </cell>
        </row>
        <row r="6712">
          <cell r="A6712" t="str">
            <v>ZONE-0109-POST</v>
          </cell>
          <cell r="B6712">
            <v>381980</v>
          </cell>
          <cell r="C6712" t="str">
            <v>GAIN/LOSS-MONEY EXCHANGE-NET</v>
          </cell>
        </row>
        <row r="6713">
          <cell r="A6713" t="str">
            <v>ZONE-0110-POST</v>
          </cell>
          <cell r="B6713">
            <v>381980</v>
          </cell>
          <cell r="C6713" t="str">
            <v>GAIN/LOSS-MONEY EXCHANGE-NET</v>
          </cell>
        </row>
        <row r="6714">
          <cell r="A6714" t="str">
            <v>ZONE-0111-POST</v>
          </cell>
          <cell r="B6714">
            <v>381980</v>
          </cell>
          <cell r="C6714" t="str">
            <v>GAIN/LOSS-MONEY EXCHANGE-NET</v>
          </cell>
        </row>
        <row r="6715">
          <cell r="A6715" t="str">
            <v>ZONE-0112-POST</v>
          </cell>
          <cell r="B6715">
            <v>381980</v>
          </cell>
          <cell r="C6715" t="str">
            <v>GAIN/LOSS-MONEY EXCHANGE-NET</v>
          </cell>
        </row>
        <row r="6716">
          <cell r="A6716" t="str">
            <v>ZONE-9998-POST</v>
          </cell>
          <cell r="B6716">
            <v>381980</v>
          </cell>
          <cell r="C6716" t="str">
            <v>GAIN/LOSS-MONEY EXCHANGE-NET</v>
          </cell>
        </row>
        <row r="6717">
          <cell r="A6717" t="str">
            <v>ZONE-9999-POST</v>
          </cell>
          <cell r="B6717">
            <v>381980</v>
          </cell>
          <cell r="C6717" t="str">
            <v>GAIN/LOSS-MONEY EXCHANGE-NET</v>
          </cell>
        </row>
        <row r="6718">
          <cell r="A6718">
            <v>9080999</v>
          </cell>
          <cell r="B6718">
            <v>381985</v>
          </cell>
          <cell r="C6718" t="str">
            <v>GAIN/LOSS-UNREALIZED REVALUATI</v>
          </cell>
        </row>
        <row r="6719">
          <cell r="A6719">
            <v>9110999</v>
          </cell>
          <cell r="B6719">
            <v>381985</v>
          </cell>
          <cell r="C6719" t="str">
            <v>GAIN/LOSS-UNREALIZED REVALUATI</v>
          </cell>
        </row>
        <row r="6720">
          <cell r="A6720">
            <v>9967681</v>
          </cell>
          <cell r="B6720">
            <v>381985</v>
          </cell>
          <cell r="C6720" t="str">
            <v>GAIN/LOSS-UNREALIZED REVALUATI</v>
          </cell>
        </row>
        <row r="6721">
          <cell r="A6721">
            <v>9968681</v>
          </cell>
          <cell r="B6721">
            <v>381985</v>
          </cell>
          <cell r="C6721" t="str">
            <v>GAIN/LOSS-UNREALIZED REVALUATI</v>
          </cell>
        </row>
        <row r="6722">
          <cell r="A6722" t="str">
            <v>ZONE-0068-POST</v>
          </cell>
          <cell r="B6722">
            <v>381985</v>
          </cell>
          <cell r="C6722" t="str">
            <v>GAIN/LOSS-UNREALIZED REVALUATI</v>
          </cell>
        </row>
        <row r="6723">
          <cell r="A6723" t="str">
            <v>ZONE-0108-POST</v>
          </cell>
          <cell r="B6723">
            <v>381985</v>
          </cell>
          <cell r="C6723" t="str">
            <v>GAIN/LOSS-UNREALIZED REVALUATI</v>
          </cell>
        </row>
        <row r="6724">
          <cell r="A6724" t="str">
            <v>ZONE-9999-POST</v>
          </cell>
          <cell r="B6724">
            <v>381985</v>
          </cell>
          <cell r="C6724" t="str">
            <v>GAIN/LOSS-UNREALIZED REVALUATI</v>
          </cell>
        </row>
        <row r="6725">
          <cell r="A6725">
            <v>9080999</v>
          </cell>
          <cell r="B6725">
            <v>382901</v>
          </cell>
          <cell r="C6725" t="str">
            <v>GAIN/LOSS TRANSFERRED</v>
          </cell>
        </row>
        <row r="6726">
          <cell r="A6726">
            <v>9090999</v>
          </cell>
          <cell r="B6726">
            <v>382901</v>
          </cell>
          <cell r="C6726" t="str">
            <v>GAIN/LOSS TRANSFERRED</v>
          </cell>
        </row>
        <row r="6727">
          <cell r="A6727">
            <v>9100999</v>
          </cell>
          <cell r="B6727">
            <v>382901</v>
          </cell>
          <cell r="C6727" t="str">
            <v>GAIN/LOSS TRANSFERRED</v>
          </cell>
        </row>
        <row r="6728">
          <cell r="A6728">
            <v>9110999</v>
          </cell>
          <cell r="B6728">
            <v>382901</v>
          </cell>
          <cell r="C6728" t="str">
            <v>GAIN/LOSS TRANSFERRED</v>
          </cell>
        </row>
        <row r="6729">
          <cell r="A6729">
            <v>9120999</v>
          </cell>
          <cell r="B6729">
            <v>382901</v>
          </cell>
          <cell r="C6729" t="str">
            <v>GAIN/LOSS TRANSFERRED</v>
          </cell>
        </row>
        <row r="6730">
          <cell r="A6730">
            <v>9689999</v>
          </cell>
          <cell r="B6730">
            <v>382901</v>
          </cell>
          <cell r="C6730" t="str">
            <v>GAIN/LOSS TRANSFERRED</v>
          </cell>
        </row>
        <row r="6731">
          <cell r="A6731">
            <v>9966681</v>
          </cell>
          <cell r="B6731">
            <v>382901</v>
          </cell>
          <cell r="C6731" t="str">
            <v>GAIN/LOSS TRANSFERRED</v>
          </cell>
        </row>
        <row r="6732">
          <cell r="A6732">
            <v>9090999</v>
          </cell>
          <cell r="B6732">
            <v>382910</v>
          </cell>
          <cell r="C6732" t="str">
            <v>GAIN/LOSS-SALE OF SURPLUS REAL</v>
          </cell>
        </row>
        <row r="6733">
          <cell r="A6733">
            <v>9100999</v>
          </cell>
          <cell r="B6733">
            <v>382910</v>
          </cell>
          <cell r="C6733" t="str">
            <v>GAIN/LOSS-SALE OF SURPLUS REAL</v>
          </cell>
        </row>
        <row r="6734">
          <cell r="A6734">
            <v>9680999</v>
          </cell>
          <cell r="B6734">
            <v>382910</v>
          </cell>
          <cell r="C6734" t="str">
            <v>GAIN/LOSS-SALE OF SURPLUS REAL</v>
          </cell>
        </row>
        <row r="6735">
          <cell r="A6735">
            <v>9684999</v>
          </cell>
          <cell r="B6735">
            <v>382910</v>
          </cell>
          <cell r="C6735" t="str">
            <v>GAIN/LOSS-SALE OF SURPLUS REAL</v>
          </cell>
        </row>
        <row r="6736">
          <cell r="A6736">
            <v>9689883</v>
          </cell>
          <cell r="B6736">
            <v>382910</v>
          </cell>
          <cell r="C6736" t="str">
            <v>GAIN/LOSS-SALE OF SURPLUS REAL</v>
          </cell>
        </row>
        <row r="6737">
          <cell r="A6737">
            <v>9689906</v>
          </cell>
          <cell r="B6737">
            <v>382910</v>
          </cell>
          <cell r="C6737" t="str">
            <v>GAIN/LOSS-SALE OF SURPLUS REAL</v>
          </cell>
        </row>
        <row r="6738">
          <cell r="A6738">
            <v>9689990</v>
          </cell>
          <cell r="B6738">
            <v>382910</v>
          </cell>
          <cell r="C6738" t="str">
            <v>GAIN/LOSS-SALE OF SURPLUS REAL</v>
          </cell>
        </row>
        <row r="6739">
          <cell r="A6739">
            <v>9689992</v>
          </cell>
          <cell r="B6739">
            <v>382910</v>
          </cell>
          <cell r="C6739" t="str">
            <v>GAIN/LOSS-SALE OF SURPLUS REAL</v>
          </cell>
        </row>
        <row r="6740">
          <cell r="A6740">
            <v>9080700</v>
          </cell>
          <cell r="B6740">
            <v>383930</v>
          </cell>
          <cell r="C6740" t="str">
            <v>GAIN/LOSS DISP OF EQUIPMENT</v>
          </cell>
        </row>
        <row r="6741">
          <cell r="A6741">
            <v>9080701</v>
          </cell>
          <cell r="B6741">
            <v>383930</v>
          </cell>
          <cell r="C6741" t="str">
            <v>GAIN/LOSS DISP OF EQUIPMENT</v>
          </cell>
        </row>
        <row r="6742">
          <cell r="A6742">
            <v>9080702</v>
          </cell>
          <cell r="B6742">
            <v>383930</v>
          </cell>
          <cell r="C6742" t="str">
            <v>GAIN/LOSS DISP OF EQUIPMENT</v>
          </cell>
        </row>
        <row r="6743">
          <cell r="A6743">
            <v>9080705</v>
          </cell>
          <cell r="B6743">
            <v>383930</v>
          </cell>
          <cell r="C6743" t="str">
            <v>GAIN/LOSS DISP OF EQUIPMENT</v>
          </cell>
        </row>
        <row r="6744">
          <cell r="A6744">
            <v>9080707</v>
          </cell>
          <cell r="B6744">
            <v>383930</v>
          </cell>
          <cell r="C6744" t="str">
            <v>GAIN/LOSS DISP OF EQUIPMENT</v>
          </cell>
        </row>
        <row r="6745">
          <cell r="A6745">
            <v>9080710</v>
          </cell>
          <cell r="B6745">
            <v>383930</v>
          </cell>
          <cell r="C6745" t="str">
            <v>GAIN/LOSS DISP OF EQUIPMENT</v>
          </cell>
        </row>
        <row r="6746">
          <cell r="A6746">
            <v>9080712</v>
          </cell>
          <cell r="B6746">
            <v>383930</v>
          </cell>
          <cell r="C6746" t="str">
            <v>GAIN/LOSS DISP OF EQUIPMENT</v>
          </cell>
        </row>
        <row r="6747">
          <cell r="A6747">
            <v>9080999</v>
          </cell>
          <cell r="B6747">
            <v>383930</v>
          </cell>
          <cell r="C6747" t="str">
            <v>GAIN/LOSS DISP OF EQUIPMENT</v>
          </cell>
        </row>
        <row r="6748">
          <cell r="A6748">
            <v>9090999</v>
          </cell>
          <cell r="B6748">
            <v>383930</v>
          </cell>
          <cell r="C6748" t="str">
            <v>GAIN/LOSS DISP OF EQUIPMENT</v>
          </cell>
        </row>
        <row r="6749">
          <cell r="A6749">
            <v>9100999</v>
          </cell>
          <cell r="B6749">
            <v>383930</v>
          </cell>
          <cell r="C6749" t="str">
            <v>GAIN/LOSS DISP OF EQUIPMENT</v>
          </cell>
        </row>
        <row r="6750">
          <cell r="A6750">
            <v>9110700</v>
          </cell>
          <cell r="B6750">
            <v>383930</v>
          </cell>
          <cell r="C6750" t="str">
            <v>GAIN/LOSS DISP OF EQUIPMENT</v>
          </cell>
        </row>
        <row r="6751">
          <cell r="A6751">
            <v>9110702</v>
          </cell>
          <cell r="B6751">
            <v>383930</v>
          </cell>
          <cell r="C6751" t="str">
            <v>GAIN/LOSS DISP OF EQUIPMENT</v>
          </cell>
        </row>
        <row r="6752">
          <cell r="A6752">
            <v>9110705</v>
          </cell>
          <cell r="B6752">
            <v>383930</v>
          </cell>
          <cell r="C6752" t="str">
            <v>GAIN/LOSS DISP OF EQUIPMENT</v>
          </cell>
        </row>
        <row r="6753">
          <cell r="A6753">
            <v>9110707</v>
          </cell>
          <cell r="B6753">
            <v>383930</v>
          </cell>
          <cell r="C6753" t="str">
            <v>GAIN/LOSS DISP OF EQUIPMENT</v>
          </cell>
        </row>
        <row r="6754">
          <cell r="A6754">
            <v>9110712</v>
          </cell>
          <cell r="B6754">
            <v>383930</v>
          </cell>
          <cell r="C6754" t="str">
            <v>GAIN/LOSS DISP OF EQUIPMENT</v>
          </cell>
        </row>
        <row r="6755">
          <cell r="A6755">
            <v>9110999</v>
          </cell>
          <cell r="B6755">
            <v>383930</v>
          </cell>
          <cell r="C6755" t="str">
            <v>GAIN/LOSS DISP OF EQUIPMENT</v>
          </cell>
        </row>
        <row r="6756">
          <cell r="A6756">
            <v>9680999</v>
          </cell>
          <cell r="B6756">
            <v>383930</v>
          </cell>
          <cell r="C6756" t="str">
            <v>GAIN/LOSS DISP OF EQUIPMENT</v>
          </cell>
        </row>
        <row r="6757">
          <cell r="A6757">
            <v>9681700</v>
          </cell>
          <cell r="B6757">
            <v>383930</v>
          </cell>
          <cell r="C6757" t="str">
            <v>GAIN/LOSS DISP OF EQUIPMENT</v>
          </cell>
        </row>
        <row r="6758">
          <cell r="A6758">
            <v>9681701</v>
          </cell>
          <cell r="B6758">
            <v>383930</v>
          </cell>
          <cell r="C6758" t="str">
            <v>GAIN/LOSS DISP OF EQUIPMENT</v>
          </cell>
        </row>
        <row r="6759">
          <cell r="A6759">
            <v>9681702</v>
          </cell>
          <cell r="B6759">
            <v>383930</v>
          </cell>
          <cell r="C6759" t="str">
            <v>GAIN/LOSS DISP OF EQUIPMENT</v>
          </cell>
        </row>
        <row r="6760">
          <cell r="A6760">
            <v>9681705</v>
          </cell>
          <cell r="B6760">
            <v>383930</v>
          </cell>
          <cell r="C6760" t="str">
            <v>GAIN/LOSS DISP OF EQUIPMENT</v>
          </cell>
        </row>
        <row r="6761">
          <cell r="A6761">
            <v>9681706</v>
          </cell>
          <cell r="B6761">
            <v>383930</v>
          </cell>
          <cell r="C6761" t="str">
            <v>GAIN/LOSS DISP OF EQUIPMENT</v>
          </cell>
        </row>
        <row r="6762">
          <cell r="A6762">
            <v>9681707</v>
          </cell>
          <cell r="B6762">
            <v>383930</v>
          </cell>
          <cell r="C6762" t="str">
            <v>GAIN/LOSS DISP OF EQUIPMENT</v>
          </cell>
        </row>
        <row r="6763">
          <cell r="A6763">
            <v>9681712</v>
          </cell>
          <cell r="B6763">
            <v>383930</v>
          </cell>
          <cell r="C6763" t="str">
            <v>GAIN/LOSS DISP OF EQUIPMENT</v>
          </cell>
        </row>
        <row r="6764">
          <cell r="A6764">
            <v>9681714</v>
          </cell>
          <cell r="B6764">
            <v>383930</v>
          </cell>
          <cell r="C6764" t="str">
            <v>GAIN/LOSS DISP OF EQUIPMENT</v>
          </cell>
        </row>
        <row r="6765">
          <cell r="A6765">
            <v>9681727</v>
          </cell>
          <cell r="B6765">
            <v>383930</v>
          </cell>
          <cell r="C6765" t="str">
            <v>GAIN/LOSS DISP OF EQUIPMENT</v>
          </cell>
        </row>
        <row r="6766">
          <cell r="A6766">
            <v>9681749</v>
          </cell>
          <cell r="B6766">
            <v>383930</v>
          </cell>
          <cell r="C6766" t="str">
            <v>GAIN/LOSS DISP OF EQUIPMENT</v>
          </cell>
        </row>
        <row r="6767">
          <cell r="A6767">
            <v>9681999</v>
          </cell>
          <cell r="B6767">
            <v>383930</v>
          </cell>
          <cell r="C6767" t="str">
            <v>GAIN/LOSS DISP OF EQUIPMENT</v>
          </cell>
        </row>
        <row r="6768">
          <cell r="A6768">
            <v>9682715</v>
          </cell>
          <cell r="B6768">
            <v>383930</v>
          </cell>
          <cell r="C6768" t="str">
            <v>GAIN/LOSS DISP OF EQUIPMENT</v>
          </cell>
        </row>
        <row r="6769">
          <cell r="A6769">
            <v>9682722</v>
          </cell>
          <cell r="B6769">
            <v>383930</v>
          </cell>
          <cell r="C6769" t="str">
            <v>GAIN/LOSS DISP OF EQUIPMENT</v>
          </cell>
        </row>
        <row r="6770">
          <cell r="A6770">
            <v>9682999</v>
          </cell>
          <cell r="B6770">
            <v>383930</v>
          </cell>
          <cell r="C6770" t="str">
            <v>GAIN/LOSS DISP OF EQUIPMENT</v>
          </cell>
        </row>
        <row r="6771">
          <cell r="A6771">
            <v>9689883</v>
          </cell>
          <cell r="B6771">
            <v>383930</v>
          </cell>
          <cell r="C6771" t="str">
            <v>GAIN/LOSS DISP OF EQUIPMENT</v>
          </cell>
        </row>
        <row r="6772">
          <cell r="A6772">
            <v>9689906</v>
          </cell>
          <cell r="B6772">
            <v>383930</v>
          </cell>
          <cell r="C6772" t="str">
            <v>GAIN/LOSS DISP OF EQUIPMENT</v>
          </cell>
        </row>
        <row r="6773">
          <cell r="A6773">
            <v>9689991</v>
          </cell>
          <cell r="B6773">
            <v>383930</v>
          </cell>
          <cell r="C6773" t="str">
            <v>GAIN/LOSS DISP OF EQUIPMENT</v>
          </cell>
        </row>
        <row r="6774">
          <cell r="A6774">
            <v>9689992</v>
          </cell>
          <cell r="B6774">
            <v>383930</v>
          </cell>
          <cell r="C6774" t="str">
            <v>GAIN/LOSS DISP OF EQUIPMENT</v>
          </cell>
        </row>
        <row r="6775">
          <cell r="A6775">
            <v>9689993</v>
          </cell>
          <cell r="B6775">
            <v>383930</v>
          </cell>
          <cell r="C6775" t="str">
            <v>GAIN/LOSS DISP OF EQUIPMENT</v>
          </cell>
        </row>
        <row r="6776">
          <cell r="A6776">
            <v>9689994</v>
          </cell>
          <cell r="B6776">
            <v>383930</v>
          </cell>
          <cell r="C6776" t="str">
            <v>GAIN/LOSS DISP OF EQUIPMENT</v>
          </cell>
        </row>
        <row r="6777">
          <cell r="A6777">
            <v>9720703</v>
          </cell>
          <cell r="B6777">
            <v>383930</v>
          </cell>
          <cell r="C6777" t="str">
            <v>GAIN/LOSS DISP OF EQUIPMENT</v>
          </cell>
        </row>
        <row r="6778">
          <cell r="A6778">
            <v>9724718</v>
          </cell>
          <cell r="B6778">
            <v>383930</v>
          </cell>
          <cell r="C6778" t="str">
            <v>GAIN/LOSS DISP OF EQUIPMENT</v>
          </cell>
        </row>
        <row r="6779">
          <cell r="A6779">
            <v>9724721</v>
          </cell>
          <cell r="B6779">
            <v>383930</v>
          </cell>
          <cell r="C6779" t="str">
            <v>GAIN/LOSS DISP OF EQUIPMENT</v>
          </cell>
        </row>
        <row r="6780">
          <cell r="A6780">
            <v>9724724</v>
          </cell>
          <cell r="B6780">
            <v>383930</v>
          </cell>
          <cell r="C6780" t="str">
            <v>GAIN/LOSS DISP OF EQUIPMENT</v>
          </cell>
        </row>
        <row r="6781">
          <cell r="A6781">
            <v>9725703</v>
          </cell>
          <cell r="B6781">
            <v>383930</v>
          </cell>
          <cell r="C6781" t="str">
            <v>GAIN/LOSS DISP OF EQUIPMENT</v>
          </cell>
        </row>
        <row r="6782">
          <cell r="A6782">
            <v>9725704</v>
          </cell>
          <cell r="B6782">
            <v>383930</v>
          </cell>
          <cell r="C6782" t="str">
            <v>GAIN/LOSS DISP OF EQUIPMENT</v>
          </cell>
        </row>
        <row r="6783">
          <cell r="A6783">
            <v>9725711</v>
          </cell>
          <cell r="B6783">
            <v>383930</v>
          </cell>
          <cell r="C6783" t="str">
            <v>GAIN/LOSS DISP OF EQUIPMENT</v>
          </cell>
        </row>
        <row r="6784">
          <cell r="A6784">
            <v>9725717</v>
          </cell>
          <cell r="B6784">
            <v>383930</v>
          </cell>
          <cell r="C6784" t="str">
            <v>GAIN/LOSS DISP OF EQUIPMENT</v>
          </cell>
        </row>
        <row r="6785">
          <cell r="A6785">
            <v>9725725</v>
          </cell>
          <cell r="B6785">
            <v>383930</v>
          </cell>
          <cell r="C6785" t="str">
            <v>GAIN/LOSS DISP OF EQUIPMENT</v>
          </cell>
        </row>
        <row r="6786">
          <cell r="A6786">
            <v>9080999</v>
          </cell>
          <cell r="B6786">
            <v>384100</v>
          </cell>
          <cell r="C6786" t="str">
            <v>INTERCOMPANY INTEREST INCOME</v>
          </cell>
        </row>
        <row r="6787">
          <cell r="A6787">
            <v>9110999</v>
          </cell>
          <cell r="B6787">
            <v>384100</v>
          </cell>
          <cell r="C6787" t="str">
            <v>INTERCOMPANY INTEREST INCOME</v>
          </cell>
        </row>
        <row r="6788">
          <cell r="A6788">
            <v>9681706</v>
          </cell>
          <cell r="B6788">
            <v>384100</v>
          </cell>
          <cell r="C6788" t="str">
            <v>INTERCOMPANY INTEREST INCOME</v>
          </cell>
        </row>
        <row r="6789">
          <cell r="A6789">
            <v>9681999</v>
          </cell>
          <cell r="B6789">
            <v>384100</v>
          </cell>
          <cell r="C6789" t="str">
            <v>INTERCOMPANY INTEREST INCOME</v>
          </cell>
        </row>
        <row r="6790">
          <cell r="A6790">
            <v>9689992</v>
          </cell>
          <cell r="B6790">
            <v>384100</v>
          </cell>
          <cell r="C6790" t="str">
            <v>INTERCOMPANY INTEREST INCOME</v>
          </cell>
        </row>
        <row r="6791">
          <cell r="A6791">
            <v>9689999</v>
          </cell>
          <cell r="B6791">
            <v>384100</v>
          </cell>
          <cell r="C6791" t="str">
            <v>INTERCOMPANY INTEREST INCOME</v>
          </cell>
        </row>
        <row r="6792">
          <cell r="A6792">
            <v>9681706</v>
          </cell>
          <cell r="B6792">
            <v>384151</v>
          </cell>
          <cell r="C6792" t="str">
            <v>SHORT TERM INVESTMENTS-CASH</v>
          </cell>
        </row>
        <row r="6793">
          <cell r="A6793">
            <v>9681999</v>
          </cell>
          <cell r="B6793">
            <v>384151</v>
          </cell>
          <cell r="C6793" t="str">
            <v>SHORT TERM INVESTMENTS-CASH</v>
          </cell>
        </row>
        <row r="6794">
          <cell r="A6794">
            <v>9689883</v>
          </cell>
          <cell r="B6794">
            <v>384151</v>
          </cell>
          <cell r="C6794" t="str">
            <v>SHORT TERM INVESTMENTS-CASH</v>
          </cell>
        </row>
        <row r="6795">
          <cell r="A6795">
            <v>9689992</v>
          </cell>
          <cell r="B6795">
            <v>384151</v>
          </cell>
          <cell r="C6795" t="str">
            <v>SHORT TERM INVESTMENTS-CASH</v>
          </cell>
        </row>
        <row r="6796">
          <cell r="A6796">
            <v>8001054179</v>
          </cell>
          <cell r="B6796">
            <v>384220</v>
          </cell>
          <cell r="C6796" t="str">
            <v>INTEREST RECEIVED-OUTSIDE</v>
          </cell>
        </row>
        <row r="6797">
          <cell r="A6797">
            <v>8001059542</v>
          </cell>
          <cell r="B6797">
            <v>384220</v>
          </cell>
          <cell r="C6797" t="str">
            <v>INTEREST RECEIVED-OUTSIDE</v>
          </cell>
        </row>
        <row r="6798">
          <cell r="A6798">
            <v>8010512510</v>
          </cell>
          <cell r="B6798">
            <v>384220</v>
          </cell>
          <cell r="C6798" t="str">
            <v>INTEREST RECEIVED-OUTSIDE</v>
          </cell>
        </row>
        <row r="6799">
          <cell r="A6799">
            <v>9050999</v>
          </cell>
          <cell r="B6799">
            <v>384220</v>
          </cell>
          <cell r="C6799" t="str">
            <v>INTEREST RECEIVED-OUTSIDE</v>
          </cell>
        </row>
        <row r="6800">
          <cell r="A6800">
            <v>9080999</v>
          </cell>
          <cell r="B6800">
            <v>384220</v>
          </cell>
          <cell r="C6800" t="str">
            <v>INTEREST RECEIVED-OUTSIDE</v>
          </cell>
        </row>
        <row r="6801">
          <cell r="A6801">
            <v>9090999</v>
          </cell>
          <cell r="B6801">
            <v>384220</v>
          </cell>
          <cell r="C6801" t="str">
            <v>INTEREST RECEIVED-OUTSIDE</v>
          </cell>
        </row>
        <row r="6802">
          <cell r="A6802">
            <v>9100999</v>
          </cell>
          <cell r="B6802">
            <v>384220</v>
          </cell>
          <cell r="C6802" t="str">
            <v>INTEREST RECEIVED-OUTSIDE</v>
          </cell>
        </row>
        <row r="6803">
          <cell r="A6803">
            <v>9110999</v>
          </cell>
          <cell r="B6803">
            <v>384220</v>
          </cell>
          <cell r="C6803" t="str">
            <v>INTEREST RECEIVED-OUTSIDE</v>
          </cell>
        </row>
        <row r="6804">
          <cell r="A6804">
            <v>9682715</v>
          </cell>
          <cell r="B6804">
            <v>384220</v>
          </cell>
          <cell r="C6804" t="str">
            <v>INTEREST RECEIVED-OUTSIDE</v>
          </cell>
        </row>
        <row r="6805">
          <cell r="A6805">
            <v>9682722</v>
          </cell>
          <cell r="B6805">
            <v>384220</v>
          </cell>
          <cell r="C6805" t="str">
            <v>INTEREST RECEIVED-OUTSIDE</v>
          </cell>
        </row>
        <row r="6806">
          <cell r="A6806">
            <v>9682999</v>
          </cell>
          <cell r="B6806">
            <v>384220</v>
          </cell>
          <cell r="C6806" t="str">
            <v>INTEREST RECEIVED-OUTSIDE</v>
          </cell>
        </row>
        <row r="6807">
          <cell r="A6807">
            <v>9689692</v>
          </cell>
          <cell r="B6807">
            <v>384220</v>
          </cell>
          <cell r="C6807" t="str">
            <v>INTEREST RECEIVED-OUTSIDE</v>
          </cell>
        </row>
        <row r="6808">
          <cell r="A6808">
            <v>9689747</v>
          </cell>
          <cell r="B6808">
            <v>384220</v>
          </cell>
          <cell r="C6808" t="str">
            <v>INTEREST RECEIVED-OUTSIDE</v>
          </cell>
        </row>
        <row r="6809">
          <cell r="A6809">
            <v>9689890</v>
          </cell>
          <cell r="B6809">
            <v>384220</v>
          </cell>
          <cell r="C6809" t="str">
            <v>INTEREST RECEIVED-OUTSIDE</v>
          </cell>
        </row>
        <row r="6810">
          <cell r="A6810">
            <v>9689925</v>
          </cell>
          <cell r="B6810">
            <v>384220</v>
          </cell>
          <cell r="C6810" t="str">
            <v>INTEREST RECEIVED-OUTSIDE</v>
          </cell>
        </row>
        <row r="6811">
          <cell r="A6811">
            <v>9689990</v>
          </cell>
          <cell r="B6811">
            <v>384220</v>
          </cell>
          <cell r="C6811" t="str">
            <v>INTEREST RECEIVED-OUTSIDE</v>
          </cell>
        </row>
        <row r="6812">
          <cell r="A6812">
            <v>9722709</v>
          </cell>
          <cell r="B6812">
            <v>384220</v>
          </cell>
          <cell r="C6812" t="str">
            <v>INTEREST RECEIVED-OUTSIDE</v>
          </cell>
        </row>
        <row r="6813">
          <cell r="A6813">
            <v>9722713</v>
          </cell>
          <cell r="B6813">
            <v>384220</v>
          </cell>
          <cell r="C6813" t="str">
            <v>INTEREST RECEIVED-OUTSIDE</v>
          </cell>
        </row>
        <row r="6814">
          <cell r="A6814">
            <v>9968681</v>
          </cell>
          <cell r="B6814">
            <v>384220</v>
          </cell>
          <cell r="C6814" t="str">
            <v>INTEREST RECEIVED-OUTSIDE</v>
          </cell>
        </row>
        <row r="6815">
          <cell r="A6815">
            <v>9969681</v>
          </cell>
          <cell r="B6815">
            <v>384220</v>
          </cell>
          <cell r="C6815" t="str">
            <v>INTEREST RECEIVED-OUTSIDE</v>
          </cell>
        </row>
        <row r="6816">
          <cell r="A6816">
            <v>9969901</v>
          </cell>
          <cell r="B6816">
            <v>384220</v>
          </cell>
          <cell r="C6816" t="str">
            <v>INTEREST RECEIVED-OUTSIDE</v>
          </cell>
        </row>
        <row r="6817">
          <cell r="A6817" t="str">
            <v>ZONE-0105-POST</v>
          </cell>
          <cell r="B6817">
            <v>384220</v>
          </cell>
          <cell r="C6817" t="str">
            <v>INTEREST RECEIVED-OUTSIDE</v>
          </cell>
        </row>
        <row r="6818">
          <cell r="A6818" t="str">
            <v>ZONE-0112-POST</v>
          </cell>
          <cell r="B6818">
            <v>384220</v>
          </cell>
          <cell r="C6818" t="str">
            <v>INTEREST RECEIVED-OUTSIDE</v>
          </cell>
        </row>
        <row r="6819">
          <cell r="A6819">
            <v>9681999</v>
          </cell>
          <cell r="B6819">
            <v>386202</v>
          </cell>
          <cell r="C6819" t="str">
            <v>AMORTIZATION - DOMAIN NAMES</v>
          </cell>
        </row>
        <row r="6820">
          <cell r="A6820">
            <v>9080999</v>
          </cell>
          <cell r="B6820">
            <v>387004</v>
          </cell>
          <cell r="C6820" t="str">
            <v>EQUITY IN EARNINGS OF SUBS</v>
          </cell>
        </row>
        <row r="6821">
          <cell r="A6821">
            <v>9090999</v>
          </cell>
          <cell r="B6821">
            <v>387004</v>
          </cell>
          <cell r="C6821" t="str">
            <v>EQUITY IN EARNINGS OF SUBS</v>
          </cell>
        </row>
        <row r="6822">
          <cell r="A6822">
            <v>9110999</v>
          </cell>
          <cell r="B6822">
            <v>387004</v>
          </cell>
          <cell r="C6822" t="str">
            <v>EQUITY IN EARNINGS OF SUBS</v>
          </cell>
        </row>
        <row r="6823">
          <cell r="A6823">
            <v>9120999</v>
          </cell>
          <cell r="B6823">
            <v>387004</v>
          </cell>
          <cell r="C6823" t="str">
            <v>EQUITY IN EARNINGS OF SUBS</v>
          </cell>
        </row>
        <row r="6824">
          <cell r="A6824">
            <v>9689999</v>
          </cell>
          <cell r="B6824">
            <v>387004</v>
          </cell>
          <cell r="C6824" t="str">
            <v>EQUITY IN EARNINGS OF SUBS</v>
          </cell>
        </row>
        <row r="6825">
          <cell r="A6825">
            <v>9966681</v>
          </cell>
          <cell r="B6825">
            <v>387004</v>
          </cell>
          <cell r="C6825" t="str">
            <v>EQUITY IN EARNINGS OF SUBS</v>
          </cell>
        </row>
        <row r="6826">
          <cell r="A6826">
            <v>8001054179</v>
          </cell>
          <cell r="B6826">
            <v>388002</v>
          </cell>
          <cell r="C6826" t="str">
            <v>INCOME TAX-FEDERAL/DOMINION</v>
          </cell>
        </row>
        <row r="6827">
          <cell r="A6827">
            <v>8001059542</v>
          </cell>
          <cell r="B6827">
            <v>388002</v>
          </cell>
          <cell r="C6827" t="str">
            <v>INCOME TAX-FEDERAL/DOMINION</v>
          </cell>
        </row>
        <row r="6828">
          <cell r="A6828">
            <v>8010512510</v>
          </cell>
          <cell r="B6828">
            <v>388002</v>
          </cell>
          <cell r="C6828" t="str">
            <v>INCOME TAX-FEDERAL/DOMINION</v>
          </cell>
        </row>
        <row r="6829">
          <cell r="A6829">
            <v>9090999</v>
          </cell>
          <cell r="B6829">
            <v>388002</v>
          </cell>
          <cell r="C6829" t="str">
            <v>INCOME TAX-FEDERAL/DOMINION</v>
          </cell>
        </row>
        <row r="6830">
          <cell r="A6830">
            <v>9100999</v>
          </cell>
          <cell r="B6830">
            <v>388002</v>
          </cell>
          <cell r="C6830" t="str">
            <v>INCOME TAX-FEDERAL/DOMINION</v>
          </cell>
        </row>
        <row r="6831">
          <cell r="A6831">
            <v>9969681</v>
          </cell>
          <cell r="B6831">
            <v>388002</v>
          </cell>
          <cell r="C6831" t="str">
            <v>INCOME TAX-FEDERAL/DOMINION</v>
          </cell>
        </row>
        <row r="6832">
          <cell r="A6832">
            <v>9969901</v>
          </cell>
          <cell r="B6832">
            <v>388002</v>
          </cell>
          <cell r="C6832" t="str">
            <v>INCOME TAX-FEDERAL/DOMINION</v>
          </cell>
        </row>
        <row r="6833">
          <cell r="A6833" t="str">
            <v>ZONE-0105-POST</v>
          </cell>
          <cell r="B6833">
            <v>388002</v>
          </cell>
          <cell r="C6833" t="str">
            <v>INCOME TAX-FEDERAL/DOMINION</v>
          </cell>
        </row>
        <row r="6834">
          <cell r="A6834" t="str">
            <v>ZONE-0112-POST</v>
          </cell>
          <cell r="B6834">
            <v>388002</v>
          </cell>
          <cell r="C6834" t="str">
            <v>INCOME TAX-FEDERAL/DOMINION</v>
          </cell>
        </row>
        <row r="6835">
          <cell r="A6835">
            <v>9724721</v>
          </cell>
          <cell r="B6835">
            <v>391939</v>
          </cell>
          <cell r="C6835" t="str">
            <v>INTRA CORP CREDIT - OTHER</v>
          </cell>
        </row>
        <row r="6836">
          <cell r="A6836">
            <v>8001054179</v>
          </cell>
          <cell r="B6836">
            <v>391950</v>
          </cell>
          <cell r="C6836" t="str">
            <v>I/C CHARGES BRANCHES SAME CORP</v>
          </cell>
        </row>
        <row r="6837">
          <cell r="A6837">
            <v>8001059542</v>
          </cell>
          <cell r="B6837">
            <v>391950</v>
          </cell>
          <cell r="C6837" t="str">
            <v>I/C CHARGES BRANCHES SAME CORP</v>
          </cell>
        </row>
        <row r="6838">
          <cell r="A6838">
            <v>8010512510</v>
          </cell>
          <cell r="B6838">
            <v>391950</v>
          </cell>
          <cell r="C6838" t="str">
            <v>I/C CHARGES BRANCHES SAME CORP</v>
          </cell>
        </row>
        <row r="6839">
          <cell r="A6839">
            <v>9080700</v>
          </cell>
          <cell r="B6839">
            <v>391950</v>
          </cell>
          <cell r="C6839" t="str">
            <v>I/C CHARGES BRANCHES SAME CORP</v>
          </cell>
        </row>
        <row r="6840">
          <cell r="A6840">
            <v>9080701</v>
          </cell>
          <cell r="B6840">
            <v>391950</v>
          </cell>
          <cell r="C6840" t="str">
            <v>I/C CHARGES BRANCHES SAME CORP</v>
          </cell>
        </row>
        <row r="6841">
          <cell r="A6841">
            <v>9080702</v>
          </cell>
          <cell r="B6841">
            <v>391950</v>
          </cell>
          <cell r="C6841" t="str">
            <v>I/C CHARGES BRANCHES SAME CORP</v>
          </cell>
        </row>
        <row r="6842">
          <cell r="A6842">
            <v>9080705</v>
          </cell>
          <cell r="B6842">
            <v>391950</v>
          </cell>
          <cell r="C6842" t="str">
            <v>I/C CHARGES BRANCHES SAME CORP</v>
          </cell>
        </row>
        <row r="6843">
          <cell r="A6843">
            <v>9080707</v>
          </cell>
          <cell r="B6843">
            <v>391950</v>
          </cell>
          <cell r="C6843" t="str">
            <v>I/C CHARGES BRANCHES SAME CORP</v>
          </cell>
        </row>
        <row r="6844">
          <cell r="A6844">
            <v>9080710</v>
          </cell>
          <cell r="B6844">
            <v>391950</v>
          </cell>
          <cell r="C6844" t="str">
            <v>I/C CHARGES BRANCHES SAME CORP</v>
          </cell>
        </row>
        <row r="6845">
          <cell r="A6845">
            <v>9110700</v>
          </cell>
          <cell r="B6845">
            <v>391950</v>
          </cell>
          <cell r="C6845" t="str">
            <v>I/C CHARGES BRANCHES SAME CORP</v>
          </cell>
        </row>
        <row r="6846">
          <cell r="A6846">
            <v>9110702</v>
          </cell>
          <cell r="B6846">
            <v>391950</v>
          </cell>
          <cell r="C6846" t="str">
            <v>I/C CHARGES BRANCHES SAME CORP</v>
          </cell>
        </row>
        <row r="6847">
          <cell r="A6847">
            <v>9110705</v>
          </cell>
          <cell r="B6847">
            <v>391950</v>
          </cell>
          <cell r="C6847" t="str">
            <v>I/C CHARGES BRANCHES SAME CORP</v>
          </cell>
        </row>
        <row r="6848">
          <cell r="A6848">
            <v>9110707</v>
          </cell>
          <cell r="B6848">
            <v>391950</v>
          </cell>
          <cell r="C6848" t="str">
            <v>I/C CHARGES BRANCHES SAME CORP</v>
          </cell>
        </row>
        <row r="6849">
          <cell r="A6849">
            <v>9680700</v>
          </cell>
          <cell r="B6849">
            <v>391950</v>
          </cell>
          <cell r="C6849" t="str">
            <v>I/C CHARGES BRANCHES SAME CORP</v>
          </cell>
        </row>
        <row r="6850">
          <cell r="A6850">
            <v>9680710</v>
          </cell>
          <cell r="B6850">
            <v>391950</v>
          </cell>
          <cell r="C6850" t="str">
            <v>I/C CHARGES BRANCHES SAME CORP</v>
          </cell>
        </row>
        <row r="6851">
          <cell r="A6851">
            <v>9681700</v>
          </cell>
          <cell r="B6851">
            <v>391950</v>
          </cell>
          <cell r="C6851" t="str">
            <v>I/C CHARGES BRANCHES SAME CORP</v>
          </cell>
        </row>
        <row r="6852">
          <cell r="A6852">
            <v>9681701</v>
          </cell>
          <cell r="B6852">
            <v>391950</v>
          </cell>
          <cell r="C6852" t="str">
            <v>I/C CHARGES BRANCHES SAME CORP</v>
          </cell>
        </row>
        <row r="6853">
          <cell r="A6853">
            <v>9681702</v>
          </cell>
          <cell r="B6853">
            <v>391950</v>
          </cell>
          <cell r="C6853" t="str">
            <v>I/C CHARGES BRANCHES SAME CORP</v>
          </cell>
        </row>
        <row r="6854">
          <cell r="A6854">
            <v>9681705</v>
          </cell>
          <cell r="B6854">
            <v>391950</v>
          </cell>
          <cell r="C6854" t="str">
            <v>I/C CHARGES BRANCHES SAME CORP</v>
          </cell>
        </row>
        <row r="6855">
          <cell r="A6855">
            <v>9681706</v>
          </cell>
          <cell r="B6855">
            <v>391950</v>
          </cell>
          <cell r="C6855" t="str">
            <v>I/C CHARGES BRANCHES SAME CORP</v>
          </cell>
        </row>
        <row r="6856">
          <cell r="A6856">
            <v>9681707</v>
          </cell>
          <cell r="B6856">
            <v>391950</v>
          </cell>
          <cell r="C6856" t="str">
            <v>I/C CHARGES BRANCHES SAME CORP</v>
          </cell>
        </row>
        <row r="6857">
          <cell r="A6857">
            <v>9681710</v>
          </cell>
          <cell r="B6857">
            <v>391950</v>
          </cell>
          <cell r="C6857" t="str">
            <v>I/C CHARGES BRANCHES SAME CORP</v>
          </cell>
        </row>
        <row r="6858">
          <cell r="A6858">
            <v>9681712</v>
          </cell>
          <cell r="B6858">
            <v>391950</v>
          </cell>
          <cell r="C6858" t="str">
            <v>I/C CHARGES BRANCHES SAME CORP</v>
          </cell>
        </row>
        <row r="6859">
          <cell r="A6859">
            <v>9681727</v>
          </cell>
          <cell r="B6859">
            <v>391950</v>
          </cell>
          <cell r="C6859" t="str">
            <v>I/C CHARGES BRANCHES SAME CORP</v>
          </cell>
        </row>
        <row r="6860">
          <cell r="A6860">
            <v>9681749</v>
          </cell>
          <cell r="B6860">
            <v>391950</v>
          </cell>
          <cell r="C6860" t="str">
            <v>I/C CHARGES BRANCHES SAME CORP</v>
          </cell>
        </row>
        <row r="6861">
          <cell r="A6861">
            <v>9681999</v>
          </cell>
          <cell r="B6861">
            <v>391950</v>
          </cell>
          <cell r="C6861" t="str">
            <v>I/C CHARGES BRANCHES SAME CORP</v>
          </cell>
        </row>
        <row r="6862">
          <cell r="A6862">
            <v>9682715</v>
          </cell>
          <cell r="B6862">
            <v>391950</v>
          </cell>
          <cell r="C6862" t="str">
            <v>I/C CHARGES BRANCHES SAME CORP</v>
          </cell>
        </row>
        <row r="6863">
          <cell r="A6863">
            <v>9683999</v>
          </cell>
          <cell r="B6863">
            <v>391950</v>
          </cell>
          <cell r="C6863" t="str">
            <v>I/C CHARGES BRANCHES SAME CORP</v>
          </cell>
        </row>
        <row r="6864">
          <cell r="A6864">
            <v>9689883</v>
          </cell>
          <cell r="B6864">
            <v>391950</v>
          </cell>
          <cell r="C6864" t="str">
            <v>I/C CHARGES BRANCHES SAME CORP</v>
          </cell>
        </row>
        <row r="6865">
          <cell r="A6865">
            <v>9689906</v>
          </cell>
          <cell r="B6865">
            <v>391950</v>
          </cell>
          <cell r="C6865" t="str">
            <v>I/C CHARGES BRANCHES SAME CORP</v>
          </cell>
        </row>
        <row r="6866">
          <cell r="A6866">
            <v>9689992</v>
          </cell>
          <cell r="B6866">
            <v>391950</v>
          </cell>
          <cell r="C6866" t="str">
            <v>I/C CHARGES BRANCHES SAME CORP</v>
          </cell>
        </row>
        <row r="6867">
          <cell r="A6867">
            <v>9720703</v>
          </cell>
          <cell r="B6867">
            <v>391950</v>
          </cell>
          <cell r="C6867" t="str">
            <v>I/C CHARGES BRANCHES SAME CORP</v>
          </cell>
        </row>
        <row r="6868">
          <cell r="A6868">
            <v>9724718</v>
          </cell>
          <cell r="B6868">
            <v>391950</v>
          </cell>
          <cell r="C6868" t="str">
            <v>I/C CHARGES BRANCHES SAME CORP</v>
          </cell>
        </row>
        <row r="6869">
          <cell r="A6869">
            <v>9724721</v>
          </cell>
          <cell r="B6869">
            <v>391950</v>
          </cell>
          <cell r="C6869" t="str">
            <v>I/C CHARGES BRANCHES SAME CORP</v>
          </cell>
        </row>
        <row r="6870">
          <cell r="A6870">
            <v>9724724</v>
          </cell>
          <cell r="B6870">
            <v>391950</v>
          </cell>
          <cell r="C6870" t="str">
            <v>I/C CHARGES BRANCHES SAME CORP</v>
          </cell>
        </row>
        <row r="6871">
          <cell r="A6871">
            <v>9725703</v>
          </cell>
          <cell r="B6871">
            <v>391950</v>
          </cell>
          <cell r="C6871" t="str">
            <v>I/C CHARGES BRANCHES SAME CORP</v>
          </cell>
        </row>
        <row r="6872">
          <cell r="A6872">
            <v>9725704</v>
          </cell>
          <cell r="B6872">
            <v>391950</v>
          </cell>
          <cell r="C6872" t="str">
            <v>I/C CHARGES BRANCHES SAME CORP</v>
          </cell>
        </row>
        <row r="6873">
          <cell r="A6873">
            <v>9725711</v>
          </cell>
          <cell r="B6873">
            <v>391950</v>
          </cell>
          <cell r="C6873" t="str">
            <v>I/C CHARGES BRANCHES SAME CORP</v>
          </cell>
        </row>
        <row r="6874">
          <cell r="A6874">
            <v>9725717</v>
          </cell>
          <cell r="B6874">
            <v>391950</v>
          </cell>
          <cell r="C6874" t="str">
            <v>I/C CHARGES BRANCHES SAME CORP</v>
          </cell>
        </row>
        <row r="6875">
          <cell r="A6875">
            <v>9725725</v>
          </cell>
          <cell r="B6875">
            <v>391950</v>
          </cell>
          <cell r="C6875" t="str">
            <v>I/C CHARGES BRANCHES SAME CORP</v>
          </cell>
        </row>
        <row r="6876">
          <cell r="A6876">
            <v>9969681</v>
          </cell>
          <cell r="B6876">
            <v>391950</v>
          </cell>
          <cell r="C6876" t="str">
            <v>I/C CHARGES BRANCHES SAME CORP</v>
          </cell>
        </row>
        <row r="6877">
          <cell r="A6877">
            <v>9969901</v>
          </cell>
          <cell r="B6877">
            <v>391950</v>
          </cell>
          <cell r="C6877" t="str">
            <v>I/C CHARGES BRANCHES SAME CORP</v>
          </cell>
        </row>
        <row r="6878">
          <cell r="A6878" t="str">
            <v>ZONE-0105-POST</v>
          </cell>
          <cell r="B6878">
            <v>391950</v>
          </cell>
          <cell r="C6878" t="str">
            <v>I/C CHARGES BRANCHES SAME CORP</v>
          </cell>
        </row>
        <row r="6879">
          <cell r="A6879" t="str">
            <v>ZONE-0112-POST</v>
          </cell>
          <cell r="B6879">
            <v>391950</v>
          </cell>
          <cell r="C6879" t="str">
            <v>I/C CHARGES BRANCHES SAME CORP</v>
          </cell>
        </row>
        <row r="6880">
          <cell r="A6880">
            <v>9080700</v>
          </cell>
          <cell r="B6880">
            <v>391969</v>
          </cell>
          <cell r="C6880" t="str">
            <v>I/C PRINTING CHARGE</v>
          </cell>
        </row>
        <row r="6881">
          <cell r="A6881">
            <v>9080701</v>
          </cell>
          <cell r="B6881">
            <v>391969</v>
          </cell>
          <cell r="C6881" t="str">
            <v>I/C PRINTING CHARGE</v>
          </cell>
        </row>
        <row r="6882">
          <cell r="A6882">
            <v>9080702</v>
          </cell>
          <cell r="B6882">
            <v>391969</v>
          </cell>
          <cell r="C6882" t="str">
            <v>I/C PRINTING CHARGE</v>
          </cell>
        </row>
        <row r="6883">
          <cell r="A6883">
            <v>9080705</v>
          </cell>
          <cell r="B6883">
            <v>391969</v>
          </cell>
          <cell r="C6883" t="str">
            <v>I/C PRINTING CHARGE</v>
          </cell>
        </row>
        <row r="6884">
          <cell r="A6884">
            <v>9080707</v>
          </cell>
          <cell r="B6884">
            <v>391969</v>
          </cell>
          <cell r="C6884" t="str">
            <v>I/C PRINTING CHARGE</v>
          </cell>
        </row>
        <row r="6885">
          <cell r="A6885">
            <v>9080710</v>
          </cell>
          <cell r="B6885">
            <v>391969</v>
          </cell>
          <cell r="C6885" t="str">
            <v>I/C PRINTING CHARGE</v>
          </cell>
        </row>
        <row r="6886">
          <cell r="A6886">
            <v>9090999</v>
          </cell>
          <cell r="B6886">
            <v>391969</v>
          </cell>
          <cell r="C6886" t="str">
            <v>I/C PRINTING CHARGE</v>
          </cell>
        </row>
        <row r="6887">
          <cell r="A6887">
            <v>9100999</v>
          </cell>
          <cell r="B6887">
            <v>391969</v>
          </cell>
          <cell r="C6887" t="str">
            <v>I/C PRINTING CHARGE</v>
          </cell>
        </row>
        <row r="6888">
          <cell r="A6888">
            <v>9110700</v>
          </cell>
          <cell r="B6888">
            <v>391969</v>
          </cell>
          <cell r="C6888" t="str">
            <v>I/C PRINTING CHARGE</v>
          </cell>
        </row>
        <row r="6889">
          <cell r="A6889">
            <v>9110702</v>
          </cell>
          <cell r="B6889">
            <v>391969</v>
          </cell>
          <cell r="C6889" t="str">
            <v>I/C PRINTING CHARGE</v>
          </cell>
        </row>
        <row r="6890">
          <cell r="A6890">
            <v>9110705</v>
          </cell>
          <cell r="B6890">
            <v>391969</v>
          </cell>
          <cell r="C6890" t="str">
            <v>I/C PRINTING CHARGE</v>
          </cell>
        </row>
        <row r="6891">
          <cell r="A6891">
            <v>9110707</v>
          </cell>
          <cell r="B6891">
            <v>391969</v>
          </cell>
          <cell r="C6891" t="str">
            <v>I/C PRINTING CHARGE</v>
          </cell>
        </row>
        <row r="6892">
          <cell r="A6892">
            <v>9680700</v>
          </cell>
          <cell r="B6892">
            <v>391969</v>
          </cell>
          <cell r="C6892" t="str">
            <v>I/C PRINTING CHARGE</v>
          </cell>
        </row>
        <row r="6893">
          <cell r="A6893">
            <v>9680701</v>
          </cell>
          <cell r="B6893">
            <v>391969</v>
          </cell>
          <cell r="C6893" t="str">
            <v>I/C PRINTING CHARGE</v>
          </cell>
        </row>
        <row r="6894">
          <cell r="A6894">
            <v>9680702</v>
          </cell>
          <cell r="B6894">
            <v>391969</v>
          </cell>
          <cell r="C6894" t="str">
            <v>I/C PRINTING CHARGE</v>
          </cell>
        </row>
        <row r="6895">
          <cell r="A6895">
            <v>9680705</v>
          </cell>
          <cell r="B6895">
            <v>391969</v>
          </cell>
          <cell r="C6895" t="str">
            <v>I/C PRINTING CHARGE</v>
          </cell>
        </row>
        <row r="6896">
          <cell r="A6896">
            <v>9680707</v>
          </cell>
          <cell r="B6896">
            <v>391969</v>
          </cell>
          <cell r="C6896" t="str">
            <v>I/C PRINTING CHARGE</v>
          </cell>
        </row>
        <row r="6897">
          <cell r="A6897">
            <v>9680710</v>
          </cell>
          <cell r="B6897">
            <v>391969</v>
          </cell>
          <cell r="C6897" t="str">
            <v>I/C PRINTING CHARGE</v>
          </cell>
        </row>
        <row r="6898">
          <cell r="A6898">
            <v>9680712</v>
          </cell>
          <cell r="B6898">
            <v>391969</v>
          </cell>
          <cell r="C6898" t="str">
            <v>I/C PRINTING CHARGE</v>
          </cell>
        </row>
        <row r="6899">
          <cell r="A6899">
            <v>9680714</v>
          </cell>
          <cell r="B6899">
            <v>391969</v>
          </cell>
          <cell r="C6899" t="str">
            <v>I/C PRINTING CHARGE</v>
          </cell>
        </row>
        <row r="6900">
          <cell r="A6900">
            <v>9680734</v>
          </cell>
          <cell r="B6900">
            <v>391969</v>
          </cell>
          <cell r="C6900" t="str">
            <v>I/C PRINTING CHARGE</v>
          </cell>
        </row>
        <row r="6901">
          <cell r="A6901">
            <v>9680748</v>
          </cell>
          <cell r="B6901">
            <v>391969</v>
          </cell>
          <cell r="C6901" t="str">
            <v>I/C PRINTING CHARGE</v>
          </cell>
        </row>
        <row r="6902">
          <cell r="A6902">
            <v>9680749</v>
          </cell>
          <cell r="B6902">
            <v>391969</v>
          </cell>
          <cell r="C6902" t="str">
            <v>I/C PRINTING CHARGE</v>
          </cell>
        </row>
        <row r="6903">
          <cell r="A6903">
            <v>9680894</v>
          </cell>
          <cell r="B6903">
            <v>391969</v>
          </cell>
          <cell r="C6903" t="str">
            <v>I/C PRINTING CHARGE</v>
          </cell>
        </row>
        <row r="6904">
          <cell r="A6904">
            <v>9680999</v>
          </cell>
          <cell r="B6904">
            <v>391969</v>
          </cell>
          <cell r="C6904" t="str">
            <v>I/C PRINTING CHARGE</v>
          </cell>
        </row>
        <row r="6905">
          <cell r="A6905">
            <v>9681700</v>
          </cell>
          <cell r="B6905">
            <v>391969</v>
          </cell>
          <cell r="C6905" t="str">
            <v>I/C PRINTING CHARGE</v>
          </cell>
        </row>
        <row r="6906">
          <cell r="A6906">
            <v>9681701</v>
          </cell>
          <cell r="B6906">
            <v>391969</v>
          </cell>
          <cell r="C6906" t="str">
            <v>I/C PRINTING CHARGE</v>
          </cell>
        </row>
        <row r="6907">
          <cell r="A6907">
            <v>9681702</v>
          </cell>
          <cell r="B6907">
            <v>391969</v>
          </cell>
          <cell r="C6907" t="str">
            <v>I/C PRINTING CHARGE</v>
          </cell>
        </row>
        <row r="6908">
          <cell r="A6908">
            <v>9681705</v>
          </cell>
          <cell r="B6908">
            <v>391969</v>
          </cell>
          <cell r="C6908" t="str">
            <v>I/C PRINTING CHARGE</v>
          </cell>
        </row>
        <row r="6909">
          <cell r="A6909">
            <v>9681706</v>
          </cell>
          <cell r="B6909">
            <v>391969</v>
          </cell>
          <cell r="C6909" t="str">
            <v>I/C PRINTING CHARGE</v>
          </cell>
        </row>
        <row r="6910">
          <cell r="A6910">
            <v>9681707</v>
          </cell>
          <cell r="B6910">
            <v>391969</v>
          </cell>
          <cell r="C6910" t="str">
            <v>I/C PRINTING CHARGE</v>
          </cell>
        </row>
        <row r="6911">
          <cell r="A6911">
            <v>9681710</v>
          </cell>
          <cell r="B6911">
            <v>391969</v>
          </cell>
          <cell r="C6911" t="str">
            <v>I/C PRINTING CHARGE</v>
          </cell>
        </row>
        <row r="6912">
          <cell r="A6912">
            <v>9681712</v>
          </cell>
          <cell r="B6912">
            <v>391969</v>
          </cell>
          <cell r="C6912" t="str">
            <v>I/C PRINTING CHARGE</v>
          </cell>
        </row>
        <row r="6913">
          <cell r="A6913">
            <v>9681727</v>
          </cell>
          <cell r="B6913">
            <v>391969</v>
          </cell>
          <cell r="C6913" t="str">
            <v>I/C PRINTING CHARGE</v>
          </cell>
        </row>
        <row r="6914">
          <cell r="A6914">
            <v>9681734</v>
          </cell>
          <cell r="B6914">
            <v>391969</v>
          </cell>
          <cell r="C6914" t="str">
            <v>I/C PRINTING CHARGE</v>
          </cell>
        </row>
        <row r="6915">
          <cell r="A6915">
            <v>9681748</v>
          </cell>
          <cell r="B6915">
            <v>391969</v>
          </cell>
          <cell r="C6915" t="str">
            <v>I/C PRINTING CHARGE</v>
          </cell>
        </row>
        <row r="6916">
          <cell r="A6916">
            <v>9681749</v>
          </cell>
          <cell r="B6916">
            <v>391969</v>
          </cell>
          <cell r="C6916" t="str">
            <v>I/C PRINTING CHARGE</v>
          </cell>
        </row>
        <row r="6917">
          <cell r="A6917">
            <v>9681894</v>
          </cell>
          <cell r="B6917">
            <v>391969</v>
          </cell>
          <cell r="C6917" t="str">
            <v>I/C PRINTING CHARGE</v>
          </cell>
        </row>
        <row r="6918">
          <cell r="A6918">
            <v>9681999</v>
          </cell>
          <cell r="B6918">
            <v>391969</v>
          </cell>
          <cell r="C6918" t="str">
            <v>I/C PRINTING CHARGE</v>
          </cell>
        </row>
        <row r="6919">
          <cell r="A6919">
            <v>9682715</v>
          </cell>
          <cell r="B6919">
            <v>391969</v>
          </cell>
          <cell r="C6919" t="str">
            <v>I/C PRINTING CHARGE</v>
          </cell>
        </row>
        <row r="6920">
          <cell r="A6920">
            <v>9682722</v>
          </cell>
          <cell r="B6920">
            <v>391969</v>
          </cell>
          <cell r="C6920" t="str">
            <v>I/C PRINTING CHARGE</v>
          </cell>
        </row>
        <row r="6921">
          <cell r="A6921">
            <v>9682999</v>
          </cell>
          <cell r="B6921">
            <v>391969</v>
          </cell>
          <cell r="C6921" t="str">
            <v>I/C PRINTING CHARGE</v>
          </cell>
        </row>
        <row r="6922">
          <cell r="A6922">
            <v>9683999</v>
          </cell>
          <cell r="B6922">
            <v>391969</v>
          </cell>
          <cell r="C6922" t="str">
            <v>I/C PRINTING CHARGE</v>
          </cell>
        </row>
        <row r="6923">
          <cell r="A6923">
            <v>9684999</v>
          </cell>
          <cell r="B6923">
            <v>391969</v>
          </cell>
          <cell r="C6923" t="str">
            <v>I/C PRINTING CHARGE</v>
          </cell>
        </row>
        <row r="6924">
          <cell r="A6924">
            <v>9689692</v>
          </cell>
          <cell r="B6924">
            <v>391969</v>
          </cell>
          <cell r="C6924" t="str">
            <v>I/C PRINTING CHARGE</v>
          </cell>
        </row>
        <row r="6925">
          <cell r="A6925">
            <v>9689747</v>
          </cell>
          <cell r="B6925">
            <v>391969</v>
          </cell>
          <cell r="C6925" t="str">
            <v>I/C PRINTING CHARGE</v>
          </cell>
        </row>
        <row r="6926">
          <cell r="A6926">
            <v>9689883</v>
          </cell>
          <cell r="B6926">
            <v>391969</v>
          </cell>
          <cell r="C6926" t="str">
            <v>I/C PRINTING CHARGE</v>
          </cell>
        </row>
        <row r="6927">
          <cell r="A6927">
            <v>9689890</v>
          </cell>
          <cell r="B6927">
            <v>391969</v>
          </cell>
          <cell r="C6927" t="str">
            <v>I/C PRINTING CHARGE</v>
          </cell>
        </row>
        <row r="6928">
          <cell r="A6928">
            <v>9689906</v>
          </cell>
          <cell r="B6928">
            <v>391969</v>
          </cell>
          <cell r="C6928" t="str">
            <v>I/C PRINTING CHARGE</v>
          </cell>
        </row>
        <row r="6929">
          <cell r="A6929">
            <v>9689925</v>
          </cell>
          <cell r="B6929">
            <v>391969</v>
          </cell>
          <cell r="C6929" t="str">
            <v>I/C PRINTING CHARGE</v>
          </cell>
        </row>
        <row r="6930">
          <cell r="A6930">
            <v>9689990</v>
          </cell>
          <cell r="B6930">
            <v>391969</v>
          </cell>
          <cell r="C6930" t="str">
            <v>I/C PRINTING CHARGE</v>
          </cell>
        </row>
        <row r="6931">
          <cell r="A6931">
            <v>9689992</v>
          </cell>
          <cell r="B6931">
            <v>391969</v>
          </cell>
          <cell r="C6931" t="str">
            <v>I/C PRINTING CHARGE</v>
          </cell>
        </row>
        <row r="6932">
          <cell r="A6932">
            <v>9080700</v>
          </cell>
          <cell r="B6932">
            <v>391975</v>
          </cell>
          <cell r="C6932" t="str">
            <v>INTRA CORP CHRG/CR-RTL TO CORP</v>
          </cell>
        </row>
        <row r="6933">
          <cell r="A6933">
            <v>9080701</v>
          </cell>
          <cell r="B6933">
            <v>391975</v>
          </cell>
          <cell r="C6933" t="str">
            <v>INTRA CORP CHRG/CR-RTL TO CORP</v>
          </cell>
        </row>
        <row r="6934">
          <cell r="A6934">
            <v>9080702</v>
          </cell>
          <cell r="B6934">
            <v>391975</v>
          </cell>
          <cell r="C6934" t="str">
            <v>INTRA CORP CHRG/CR-RTL TO CORP</v>
          </cell>
        </row>
        <row r="6935">
          <cell r="A6935">
            <v>9080705</v>
          </cell>
          <cell r="B6935">
            <v>391975</v>
          </cell>
          <cell r="C6935" t="str">
            <v>INTRA CORP CHRG/CR-RTL TO CORP</v>
          </cell>
        </row>
        <row r="6936">
          <cell r="A6936">
            <v>9080707</v>
          </cell>
          <cell r="B6936">
            <v>391975</v>
          </cell>
          <cell r="C6936" t="str">
            <v>INTRA CORP CHRG/CR-RTL TO CORP</v>
          </cell>
        </row>
        <row r="6937">
          <cell r="A6937">
            <v>9080710</v>
          </cell>
          <cell r="B6937">
            <v>391975</v>
          </cell>
          <cell r="C6937" t="str">
            <v>INTRA CORP CHRG/CR-RTL TO CORP</v>
          </cell>
        </row>
        <row r="6938">
          <cell r="A6938">
            <v>9090999</v>
          </cell>
          <cell r="B6938">
            <v>391975</v>
          </cell>
          <cell r="C6938" t="str">
            <v>INTRA CORP CHRG/CR-RTL TO CORP</v>
          </cell>
        </row>
        <row r="6939">
          <cell r="A6939">
            <v>9100999</v>
          </cell>
          <cell r="B6939">
            <v>391975</v>
          </cell>
          <cell r="C6939" t="str">
            <v>INTRA CORP CHRG/CR-RTL TO CORP</v>
          </cell>
        </row>
        <row r="6940">
          <cell r="A6940">
            <v>9110700</v>
          </cell>
          <cell r="B6940">
            <v>391975</v>
          </cell>
          <cell r="C6940" t="str">
            <v>INTRA CORP CHRG/CR-RTL TO CORP</v>
          </cell>
        </row>
        <row r="6941">
          <cell r="A6941">
            <v>9110702</v>
          </cell>
          <cell r="B6941">
            <v>391975</v>
          </cell>
          <cell r="C6941" t="str">
            <v>INTRA CORP CHRG/CR-RTL TO CORP</v>
          </cell>
        </row>
        <row r="6942">
          <cell r="A6942">
            <v>9110705</v>
          </cell>
          <cell r="B6942">
            <v>391975</v>
          </cell>
          <cell r="C6942" t="str">
            <v>INTRA CORP CHRG/CR-RTL TO CORP</v>
          </cell>
        </row>
        <row r="6943">
          <cell r="A6943">
            <v>9110707</v>
          </cell>
          <cell r="B6943">
            <v>391975</v>
          </cell>
          <cell r="C6943" t="str">
            <v>INTRA CORP CHRG/CR-RTL TO CORP</v>
          </cell>
        </row>
        <row r="6944">
          <cell r="A6944">
            <v>9680700</v>
          </cell>
          <cell r="B6944">
            <v>391975</v>
          </cell>
          <cell r="C6944" t="str">
            <v>INTRA CORP CHRG/CR-RTL TO CORP</v>
          </cell>
        </row>
        <row r="6945">
          <cell r="A6945">
            <v>9680701</v>
          </cell>
          <cell r="B6945">
            <v>391975</v>
          </cell>
          <cell r="C6945" t="str">
            <v>INTRA CORP CHRG/CR-RTL TO CORP</v>
          </cell>
        </row>
        <row r="6946">
          <cell r="A6946">
            <v>9680702</v>
          </cell>
          <cell r="B6946">
            <v>391975</v>
          </cell>
          <cell r="C6946" t="str">
            <v>INTRA CORP CHRG/CR-RTL TO CORP</v>
          </cell>
        </row>
        <row r="6947">
          <cell r="A6947">
            <v>9680705</v>
          </cell>
          <cell r="B6947">
            <v>391975</v>
          </cell>
          <cell r="C6947" t="str">
            <v>INTRA CORP CHRG/CR-RTL TO CORP</v>
          </cell>
        </row>
        <row r="6948">
          <cell r="A6948">
            <v>9680707</v>
          </cell>
          <cell r="B6948">
            <v>391975</v>
          </cell>
          <cell r="C6948" t="str">
            <v>INTRA CORP CHRG/CR-RTL TO CORP</v>
          </cell>
        </row>
        <row r="6949">
          <cell r="A6949">
            <v>9680710</v>
          </cell>
          <cell r="B6949">
            <v>391975</v>
          </cell>
          <cell r="C6949" t="str">
            <v>INTRA CORP CHRG/CR-RTL TO CORP</v>
          </cell>
        </row>
        <row r="6950">
          <cell r="A6950">
            <v>9680712</v>
          </cell>
          <cell r="B6950">
            <v>391975</v>
          </cell>
          <cell r="C6950" t="str">
            <v>INTRA CORP CHRG/CR-RTL TO CORP</v>
          </cell>
        </row>
        <row r="6951">
          <cell r="A6951">
            <v>9680714</v>
          </cell>
          <cell r="B6951">
            <v>391975</v>
          </cell>
          <cell r="C6951" t="str">
            <v>INTRA CORP CHRG/CR-RTL TO CORP</v>
          </cell>
        </row>
        <row r="6952">
          <cell r="A6952">
            <v>9680734</v>
          </cell>
          <cell r="B6952">
            <v>391975</v>
          </cell>
          <cell r="C6952" t="str">
            <v>INTRA CORP CHRG/CR-RTL TO CORP</v>
          </cell>
        </row>
        <row r="6953">
          <cell r="A6953">
            <v>9680748</v>
          </cell>
          <cell r="B6953">
            <v>391975</v>
          </cell>
          <cell r="C6953" t="str">
            <v>INTRA CORP CHRG/CR-RTL TO CORP</v>
          </cell>
        </row>
        <row r="6954">
          <cell r="A6954">
            <v>9680749</v>
          </cell>
          <cell r="B6954">
            <v>391975</v>
          </cell>
          <cell r="C6954" t="str">
            <v>INTRA CORP CHRG/CR-RTL TO CORP</v>
          </cell>
        </row>
        <row r="6955">
          <cell r="A6955">
            <v>9680894</v>
          </cell>
          <cell r="B6955">
            <v>391975</v>
          </cell>
          <cell r="C6955" t="str">
            <v>INTRA CORP CHRG/CR-RTL TO CORP</v>
          </cell>
        </row>
        <row r="6956">
          <cell r="A6956">
            <v>9680999</v>
          </cell>
          <cell r="B6956">
            <v>391975</v>
          </cell>
          <cell r="C6956" t="str">
            <v>INTRA CORP CHRG/CR-RTL TO CORP</v>
          </cell>
        </row>
        <row r="6957">
          <cell r="A6957">
            <v>9681700</v>
          </cell>
          <cell r="B6957">
            <v>391975</v>
          </cell>
          <cell r="C6957" t="str">
            <v>INTRA CORP CHRG/CR-RTL TO CORP</v>
          </cell>
        </row>
        <row r="6958">
          <cell r="A6958">
            <v>9681701</v>
          </cell>
          <cell r="B6958">
            <v>391975</v>
          </cell>
          <cell r="C6958" t="str">
            <v>INTRA CORP CHRG/CR-RTL TO CORP</v>
          </cell>
        </row>
        <row r="6959">
          <cell r="A6959">
            <v>9681702</v>
          </cell>
          <cell r="B6959">
            <v>391975</v>
          </cell>
          <cell r="C6959" t="str">
            <v>INTRA CORP CHRG/CR-RTL TO CORP</v>
          </cell>
        </row>
        <row r="6960">
          <cell r="A6960">
            <v>9681705</v>
          </cell>
          <cell r="B6960">
            <v>391975</v>
          </cell>
          <cell r="C6960" t="str">
            <v>INTRA CORP CHRG/CR-RTL TO CORP</v>
          </cell>
        </row>
        <row r="6961">
          <cell r="A6961">
            <v>9681706</v>
          </cell>
          <cell r="B6961">
            <v>391975</v>
          </cell>
          <cell r="C6961" t="str">
            <v>INTRA CORP CHRG/CR-RTL TO CORP</v>
          </cell>
        </row>
        <row r="6962">
          <cell r="A6962">
            <v>9681707</v>
          </cell>
          <cell r="B6962">
            <v>391975</v>
          </cell>
          <cell r="C6962" t="str">
            <v>INTRA CORP CHRG/CR-RTL TO CORP</v>
          </cell>
        </row>
        <row r="6963">
          <cell r="A6963">
            <v>9681710</v>
          </cell>
          <cell r="B6963">
            <v>391975</v>
          </cell>
          <cell r="C6963" t="str">
            <v>INTRA CORP CHRG/CR-RTL TO CORP</v>
          </cell>
        </row>
        <row r="6964">
          <cell r="A6964">
            <v>9681712</v>
          </cell>
          <cell r="B6964">
            <v>391975</v>
          </cell>
          <cell r="C6964" t="str">
            <v>INTRA CORP CHRG/CR-RTL TO CORP</v>
          </cell>
        </row>
        <row r="6965">
          <cell r="A6965">
            <v>9681727</v>
          </cell>
          <cell r="B6965">
            <v>391975</v>
          </cell>
          <cell r="C6965" t="str">
            <v>INTRA CORP CHRG/CR-RTL TO CORP</v>
          </cell>
        </row>
        <row r="6966">
          <cell r="A6966">
            <v>9681734</v>
          </cell>
          <cell r="B6966">
            <v>391975</v>
          </cell>
          <cell r="C6966" t="str">
            <v>INTRA CORP CHRG/CR-RTL TO CORP</v>
          </cell>
        </row>
        <row r="6967">
          <cell r="A6967">
            <v>9681748</v>
          </cell>
          <cell r="B6967">
            <v>391975</v>
          </cell>
          <cell r="C6967" t="str">
            <v>INTRA CORP CHRG/CR-RTL TO CORP</v>
          </cell>
        </row>
        <row r="6968">
          <cell r="A6968">
            <v>9681749</v>
          </cell>
          <cell r="B6968">
            <v>391975</v>
          </cell>
          <cell r="C6968" t="str">
            <v>INTRA CORP CHRG/CR-RTL TO CORP</v>
          </cell>
        </row>
        <row r="6969">
          <cell r="A6969">
            <v>9681894</v>
          </cell>
          <cell r="B6969">
            <v>391975</v>
          </cell>
          <cell r="C6969" t="str">
            <v>INTRA CORP CHRG/CR-RTL TO CORP</v>
          </cell>
        </row>
        <row r="6970">
          <cell r="A6970">
            <v>9681999</v>
          </cell>
          <cell r="B6970">
            <v>391975</v>
          </cell>
          <cell r="C6970" t="str">
            <v>INTRA CORP CHRG/CR-RTL TO CORP</v>
          </cell>
        </row>
        <row r="6971">
          <cell r="A6971">
            <v>9682715</v>
          </cell>
          <cell r="B6971">
            <v>391975</v>
          </cell>
          <cell r="C6971" t="str">
            <v>INTRA CORP CHRG/CR-RTL TO CORP</v>
          </cell>
        </row>
        <row r="6972">
          <cell r="A6972">
            <v>9682722</v>
          </cell>
          <cell r="B6972">
            <v>391975</v>
          </cell>
          <cell r="C6972" t="str">
            <v>INTRA CORP CHRG/CR-RTL TO CORP</v>
          </cell>
        </row>
        <row r="6973">
          <cell r="A6973">
            <v>9682999</v>
          </cell>
          <cell r="B6973">
            <v>391975</v>
          </cell>
          <cell r="C6973" t="str">
            <v>INTRA CORP CHRG/CR-RTL TO CORP</v>
          </cell>
        </row>
        <row r="6974">
          <cell r="A6974">
            <v>9683999</v>
          </cell>
          <cell r="B6974">
            <v>391975</v>
          </cell>
          <cell r="C6974" t="str">
            <v>INTRA CORP CHRG/CR-RTL TO CORP</v>
          </cell>
        </row>
        <row r="6975">
          <cell r="A6975">
            <v>9684999</v>
          </cell>
          <cell r="B6975">
            <v>391975</v>
          </cell>
          <cell r="C6975" t="str">
            <v>INTRA CORP CHRG/CR-RTL TO CORP</v>
          </cell>
        </row>
        <row r="6976">
          <cell r="A6976">
            <v>9689692</v>
          </cell>
          <cell r="B6976">
            <v>391975</v>
          </cell>
          <cell r="C6976" t="str">
            <v>INTRA CORP CHRG/CR-RTL TO CORP</v>
          </cell>
        </row>
        <row r="6977">
          <cell r="A6977">
            <v>9689747</v>
          </cell>
          <cell r="B6977">
            <v>391975</v>
          </cell>
          <cell r="C6977" t="str">
            <v>INTRA CORP CHRG/CR-RTL TO CORP</v>
          </cell>
        </row>
        <row r="6978">
          <cell r="A6978">
            <v>9689883</v>
          </cell>
          <cell r="B6978">
            <v>391975</v>
          </cell>
          <cell r="C6978" t="str">
            <v>INTRA CORP CHRG/CR-RTL TO CORP</v>
          </cell>
        </row>
        <row r="6979">
          <cell r="A6979">
            <v>9689890</v>
          </cell>
          <cell r="B6979">
            <v>391975</v>
          </cell>
          <cell r="C6979" t="str">
            <v>INTRA CORP CHRG/CR-RTL TO CORP</v>
          </cell>
        </row>
        <row r="6980">
          <cell r="A6980">
            <v>9689906</v>
          </cell>
          <cell r="B6980">
            <v>391975</v>
          </cell>
          <cell r="C6980" t="str">
            <v>INTRA CORP CHRG/CR-RTL TO CORP</v>
          </cell>
        </row>
        <row r="6981">
          <cell r="A6981">
            <v>9689925</v>
          </cell>
          <cell r="B6981">
            <v>391975</v>
          </cell>
          <cell r="C6981" t="str">
            <v>INTRA CORP CHRG/CR-RTL TO CORP</v>
          </cell>
        </row>
        <row r="6982">
          <cell r="A6982">
            <v>9689990</v>
          </cell>
          <cell r="B6982">
            <v>391975</v>
          </cell>
          <cell r="C6982" t="str">
            <v>INTRA CORP CHRG/CR-RTL TO CORP</v>
          </cell>
        </row>
        <row r="6983">
          <cell r="A6983">
            <v>9689992</v>
          </cell>
          <cell r="B6983">
            <v>391975</v>
          </cell>
          <cell r="C6983" t="str">
            <v>INTRA CORP CHRG/CR-RTL TO CORP</v>
          </cell>
        </row>
        <row r="6984">
          <cell r="A6984">
            <v>9689993</v>
          </cell>
          <cell r="B6984">
            <v>391975</v>
          </cell>
          <cell r="C6984" t="str">
            <v>INTRA CORP CHRG/CR-RTL TO CORP</v>
          </cell>
        </row>
        <row r="6985">
          <cell r="A6985">
            <v>9720703</v>
          </cell>
          <cell r="B6985">
            <v>391975</v>
          </cell>
          <cell r="C6985" t="str">
            <v>INTRA CORP CHRG/CR-RTL TO CORP</v>
          </cell>
        </row>
        <row r="6986">
          <cell r="A6986">
            <v>9722709</v>
          </cell>
          <cell r="B6986">
            <v>391975</v>
          </cell>
          <cell r="C6986" t="str">
            <v>INTRA CORP CHRG/CR-RTL TO CORP</v>
          </cell>
        </row>
        <row r="6987">
          <cell r="A6987">
            <v>9722713</v>
          </cell>
          <cell r="B6987">
            <v>391975</v>
          </cell>
          <cell r="C6987" t="str">
            <v>INTRA CORP CHRG/CR-RTL TO CORP</v>
          </cell>
        </row>
        <row r="6988">
          <cell r="A6988">
            <v>9723723</v>
          </cell>
          <cell r="B6988">
            <v>391975</v>
          </cell>
          <cell r="C6988" t="str">
            <v>INTRA CORP CHRG/CR-RTL TO CORP</v>
          </cell>
        </row>
        <row r="6989">
          <cell r="A6989">
            <v>9723729</v>
          </cell>
          <cell r="B6989">
            <v>391975</v>
          </cell>
          <cell r="C6989" t="str">
            <v>INTRA CORP CHRG/CR-RTL TO CORP</v>
          </cell>
        </row>
        <row r="6990">
          <cell r="A6990">
            <v>9724718</v>
          </cell>
          <cell r="B6990">
            <v>391975</v>
          </cell>
          <cell r="C6990" t="str">
            <v>INTRA CORP CHRG/CR-RTL TO CORP</v>
          </cell>
        </row>
        <row r="6991">
          <cell r="A6991">
            <v>9724721</v>
          </cell>
          <cell r="B6991">
            <v>391975</v>
          </cell>
          <cell r="C6991" t="str">
            <v>INTRA CORP CHRG/CR-RTL TO CORP</v>
          </cell>
        </row>
        <row r="6992">
          <cell r="A6992">
            <v>9724724</v>
          </cell>
          <cell r="B6992">
            <v>391975</v>
          </cell>
          <cell r="C6992" t="str">
            <v>INTRA CORP CHRG/CR-RTL TO CORP</v>
          </cell>
        </row>
        <row r="6993">
          <cell r="A6993">
            <v>9725703</v>
          </cell>
          <cell r="B6993">
            <v>391975</v>
          </cell>
          <cell r="C6993" t="str">
            <v>INTRA CORP CHRG/CR-RTL TO CORP</v>
          </cell>
        </row>
        <row r="6994">
          <cell r="A6994">
            <v>9725704</v>
          </cell>
          <cell r="B6994">
            <v>391975</v>
          </cell>
          <cell r="C6994" t="str">
            <v>INTRA CORP CHRG/CR-RTL TO CORP</v>
          </cell>
        </row>
        <row r="6995">
          <cell r="A6995">
            <v>9725711</v>
          </cell>
          <cell r="B6995">
            <v>391975</v>
          </cell>
          <cell r="C6995" t="str">
            <v>INTRA CORP CHRG/CR-RTL TO CORP</v>
          </cell>
        </row>
        <row r="6996">
          <cell r="A6996">
            <v>9725717</v>
          </cell>
          <cell r="B6996">
            <v>391975</v>
          </cell>
          <cell r="C6996" t="str">
            <v>INTRA CORP CHRG/CR-RTL TO CORP</v>
          </cell>
        </row>
        <row r="6997">
          <cell r="A6997">
            <v>9725725</v>
          </cell>
          <cell r="B6997">
            <v>391975</v>
          </cell>
          <cell r="C6997" t="str">
            <v>INTRA CORP CHRG/CR-RTL TO CORP</v>
          </cell>
        </row>
        <row r="6998">
          <cell r="A6998">
            <v>9090999</v>
          </cell>
          <cell r="B6998">
            <v>391976</v>
          </cell>
          <cell r="C6998" t="str">
            <v>EMPLOYEE BENEFITS- INTRA CO</v>
          </cell>
        </row>
        <row r="6999">
          <cell r="A6999">
            <v>9100999</v>
          </cell>
          <cell r="B6999">
            <v>391976</v>
          </cell>
          <cell r="C6999" t="str">
            <v>EMPLOYEE BENEFITS- INTRA CO</v>
          </cell>
        </row>
        <row r="7000">
          <cell r="A7000">
            <v>9680700</v>
          </cell>
          <cell r="B7000">
            <v>391976</v>
          </cell>
          <cell r="C7000" t="str">
            <v>EMPLOYEE BENEFITS- INTRA CO</v>
          </cell>
        </row>
        <row r="7001">
          <cell r="A7001">
            <v>9680701</v>
          </cell>
          <cell r="B7001">
            <v>391976</v>
          </cell>
          <cell r="C7001" t="str">
            <v>EMPLOYEE BENEFITS- INTRA CO</v>
          </cell>
        </row>
        <row r="7002">
          <cell r="A7002">
            <v>9680702</v>
          </cell>
          <cell r="B7002">
            <v>391976</v>
          </cell>
          <cell r="C7002" t="str">
            <v>EMPLOYEE BENEFITS- INTRA CO</v>
          </cell>
        </row>
        <row r="7003">
          <cell r="A7003">
            <v>9680705</v>
          </cell>
          <cell r="B7003">
            <v>391976</v>
          </cell>
          <cell r="C7003" t="str">
            <v>EMPLOYEE BENEFITS- INTRA CO</v>
          </cell>
        </row>
        <row r="7004">
          <cell r="A7004">
            <v>9680707</v>
          </cell>
          <cell r="B7004">
            <v>391976</v>
          </cell>
          <cell r="C7004" t="str">
            <v>EMPLOYEE BENEFITS- INTRA CO</v>
          </cell>
        </row>
        <row r="7005">
          <cell r="A7005">
            <v>9680710</v>
          </cell>
          <cell r="B7005">
            <v>391976</v>
          </cell>
          <cell r="C7005" t="str">
            <v>EMPLOYEE BENEFITS- INTRA CO</v>
          </cell>
        </row>
        <row r="7006">
          <cell r="A7006">
            <v>9680712</v>
          </cell>
          <cell r="B7006">
            <v>391976</v>
          </cell>
          <cell r="C7006" t="str">
            <v>EMPLOYEE BENEFITS- INTRA CO</v>
          </cell>
        </row>
        <row r="7007">
          <cell r="A7007">
            <v>9680714</v>
          </cell>
          <cell r="B7007">
            <v>391976</v>
          </cell>
          <cell r="C7007" t="str">
            <v>EMPLOYEE BENEFITS- INTRA CO</v>
          </cell>
        </row>
        <row r="7008">
          <cell r="A7008">
            <v>9680734</v>
          </cell>
          <cell r="B7008">
            <v>391976</v>
          </cell>
          <cell r="C7008" t="str">
            <v>EMPLOYEE BENEFITS- INTRA CO</v>
          </cell>
        </row>
        <row r="7009">
          <cell r="A7009">
            <v>9680748</v>
          </cell>
          <cell r="B7009">
            <v>391976</v>
          </cell>
          <cell r="C7009" t="str">
            <v>EMPLOYEE BENEFITS- INTRA CO</v>
          </cell>
        </row>
        <row r="7010">
          <cell r="A7010">
            <v>9680749</v>
          </cell>
          <cell r="B7010">
            <v>391976</v>
          </cell>
          <cell r="C7010" t="str">
            <v>EMPLOYEE BENEFITS- INTRA CO</v>
          </cell>
        </row>
        <row r="7011">
          <cell r="A7011">
            <v>9680894</v>
          </cell>
          <cell r="B7011">
            <v>391976</v>
          </cell>
          <cell r="C7011" t="str">
            <v>EMPLOYEE BENEFITS- INTRA CO</v>
          </cell>
        </row>
        <row r="7012">
          <cell r="A7012">
            <v>9680999</v>
          </cell>
          <cell r="B7012">
            <v>391976</v>
          </cell>
          <cell r="C7012" t="str">
            <v>EMPLOYEE BENEFITS- INTRA CO</v>
          </cell>
        </row>
        <row r="7013">
          <cell r="A7013">
            <v>9681710</v>
          </cell>
          <cell r="B7013">
            <v>391976</v>
          </cell>
          <cell r="C7013" t="str">
            <v>EMPLOYEE BENEFITS- INTRA CO</v>
          </cell>
        </row>
        <row r="7014">
          <cell r="A7014">
            <v>9681734</v>
          </cell>
          <cell r="B7014">
            <v>391976</v>
          </cell>
          <cell r="C7014" t="str">
            <v>EMPLOYEE BENEFITS- INTRA CO</v>
          </cell>
        </row>
        <row r="7015">
          <cell r="A7015">
            <v>9681748</v>
          </cell>
          <cell r="B7015">
            <v>391976</v>
          </cell>
          <cell r="C7015" t="str">
            <v>EMPLOYEE BENEFITS- INTRA CO</v>
          </cell>
        </row>
        <row r="7016">
          <cell r="A7016">
            <v>9681894</v>
          </cell>
          <cell r="B7016">
            <v>391976</v>
          </cell>
          <cell r="C7016" t="str">
            <v>EMPLOYEE BENEFITS- INTRA CO</v>
          </cell>
        </row>
        <row r="7017">
          <cell r="A7017">
            <v>9683999</v>
          </cell>
          <cell r="B7017">
            <v>391976</v>
          </cell>
          <cell r="C7017" t="str">
            <v>EMPLOYEE BENEFITS- INTRA CO</v>
          </cell>
        </row>
        <row r="7018">
          <cell r="A7018">
            <v>9684999</v>
          </cell>
          <cell r="B7018">
            <v>391976</v>
          </cell>
          <cell r="C7018" t="str">
            <v>EMPLOYEE BENEFITS- INTRA CO</v>
          </cell>
        </row>
        <row r="7019">
          <cell r="A7019">
            <v>9689692</v>
          </cell>
          <cell r="B7019">
            <v>391976</v>
          </cell>
          <cell r="C7019" t="str">
            <v>EMPLOYEE BENEFITS- INTRA CO</v>
          </cell>
        </row>
        <row r="7020">
          <cell r="A7020">
            <v>9689747</v>
          </cell>
          <cell r="B7020">
            <v>391976</v>
          </cell>
          <cell r="C7020" t="str">
            <v>EMPLOYEE BENEFITS- INTRA CO</v>
          </cell>
        </row>
        <row r="7021">
          <cell r="A7021">
            <v>9689883</v>
          </cell>
          <cell r="B7021">
            <v>391976</v>
          </cell>
          <cell r="C7021" t="str">
            <v>EMPLOYEE BENEFITS- INTRA CO</v>
          </cell>
        </row>
        <row r="7022">
          <cell r="A7022">
            <v>9689890</v>
          </cell>
          <cell r="B7022">
            <v>391976</v>
          </cell>
          <cell r="C7022" t="str">
            <v>EMPLOYEE BENEFITS- INTRA CO</v>
          </cell>
        </row>
        <row r="7023">
          <cell r="A7023">
            <v>9689906</v>
          </cell>
          <cell r="B7023">
            <v>391976</v>
          </cell>
          <cell r="C7023" t="str">
            <v>EMPLOYEE BENEFITS- INTRA CO</v>
          </cell>
        </row>
        <row r="7024">
          <cell r="A7024">
            <v>9689925</v>
          </cell>
          <cell r="B7024">
            <v>391976</v>
          </cell>
          <cell r="C7024" t="str">
            <v>EMPLOYEE BENEFITS- INTRA CO</v>
          </cell>
        </row>
        <row r="7025">
          <cell r="A7025">
            <v>9689990</v>
          </cell>
          <cell r="B7025">
            <v>391976</v>
          </cell>
          <cell r="C7025" t="str">
            <v>EMPLOYEE BENEFITS- INTRA CO</v>
          </cell>
        </row>
        <row r="7026">
          <cell r="A7026">
            <v>9689992</v>
          </cell>
          <cell r="B7026">
            <v>391976</v>
          </cell>
          <cell r="C7026" t="str">
            <v>EMPLOYEE BENEFITS- INTRA CO</v>
          </cell>
        </row>
        <row r="7027">
          <cell r="A7027">
            <v>9689993</v>
          </cell>
          <cell r="B7027">
            <v>391976</v>
          </cell>
          <cell r="C7027" t="str">
            <v>EMPLOYEE BENEFITS- INTRA CO</v>
          </cell>
        </row>
        <row r="7028">
          <cell r="A7028">
            <v>9720703</v>
          </cell>
          <cell r="B7028">
            <v>391976</v>
          </cell>
          <cell r="C7028" t="str">
            <v>EMPLOYEE BENEFITS- INTRA CO</v>
          </cell>
        </row>
        <row r="7029">
          <cell r="A7029">
            <v>9723723</v>
          </cell>
          <cell r="B7029">
            <v>391976</v>
          </cell>
          <cell r="C7029" t="str">
            <v>EMPLOYEE BENEFITS- INTRA CO</v>
          </cell>
        </row>
        <row r="7030">
          <cell r="A7030">
            <v>9723729</v>
          </cell>
          <cell r="B7030">
            <v>391976</v>
          </cell>
          <cell r="C7030" t="str">
            <v>EMPLOYEE BENEFITS- INTRA CO</v>
          </cell>
        </row>
        <row r="7031">
          <cell r="A7031">
            <v>9724718</v>
          </cell>
          <cell r="B7031">
            <v>391976</v>
          </cell>
          <cell r="C7031" t="str">
            <v>EMPLOYEE BENEFITS- INTRA CO</v>
          </cell>
        </row>
        <row r="7032">
          <cell r="A7032">
            <v>9724721</v>
          </cell>
          <cell r="B7032">
            <v>391976</v>
          </cell>
          <cell r="C7032" t="str">
            <v>EMPLOYEE BENEFITS- INTRA CO</v>
          </cell>
        </row>
        <row r="7033">
          <cell r="A7033">
            <v>9724724</v>
          </cell>
          <cell r="B7033">
            <v>391976</v>
          </cell>
          <cell r="C7033" t="str">
            <v>EMPLOYEE BENEFITS- INTRA CO</v>
          </cell>
        </row>
        <row r="7034">
          <cell r="A7034">
            <v>9725703</v>
          </cell>
          <cell r="B7034">
            <v>391976</v>
          </cell>
          <cell r="C7034" t="str">
            <v>EMPLOYEE BENEFITS- INTRA CO</v>
          </cell>
        </row>
        <row r="7035">
          <cell r="A7035">
            <v>9725704</v>
          </cell>
          <cell r="B7035">
            <v>391976</v>
          </cell>
          <cell r="C7035" t="str">
            <v>EMPLOYEE BENEFITS- INTRA CO</v>
          </cell>
        </row>
        <row r="7036">
          <cell r="A7036">
            <v>9725711</v>
          </cell>
          <cell r="B7036">
            <v>391976</v>
          </cell>
          <cell r="C7036" t="str">
            <v>EMPLOYEE BENEFITS- INTRA CO</v>
          </cell>
        </row>
        <row r="7037">
          <cell r="A7037">
            <v>9725717</v>
          </cell>
          <cell r="B7037">
            <v>391976</v>
          </cell>
          <cell r="C7037" t="str">
            <v>EMPLOYEE BENEFITS- INTRA CO</v>
          </cell>
        </row>
        <row r="7038">
          <cell r="A7038">
            <v>9725725</v>
          </cell>
          <cell r="B7038">
            <v>391976</v>
          </cell>
          <cell r="C7038" t="str">
            <v>EMPLOYEE BENEFITS- INTRA CO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gining Balance.2"/>
      <sheetName val="Additions.3"/>
      <sheetName val="Retirements.4"/>
      <sheetName val="Calculation"/>
      <sheetName val="Depreciation.5"/>
      <sheetName val="Commitments"/>
      <sheetName val="Tickmarks"/>
    </sheetNames>
    <sheetDataSet>
      <sheetData sheetId="0" refreshError="1"/>
      <sheetData sheetId="1"/>
      <sheetData sheetId="2" refreshError="1"/>
      <sheetData sheetId="3" refreshError="1"/>
      <sheetData sheetId="4"/>
      <sheetData sheetId="5" refreshError="1"/>
      <sheetData sheetId="6">
        <row r="14">
          <cell r="A14" t="str">
            <v>{f}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"/>
      <sheetName val=".0 Consolidation"/>
      <sheetName val=".1 Rent"/>
      <sheetName val=".2 Payroll"/>
      <sheetName val=".3 SG&amp;A Detail Testing"/>
      <sheetName val=".3a SG&amp;A CMA Detail"/>
      <sheetName val="4. Insurance"/>
      <sheetName val=".5 Related Party Expenses"/>
      <sheetName val="Links"/>
      <sheetName val=".6 AJE Test"/>
      <sheetName val=".7 STAT RPT Tie Out"/>
      <sheetName val=".8 Credit Balance Test"/>
      <sheetName val="XREF"/>
      <sheetName val="Tickmarks"/>
      <sheetName val="Partner Tracking Code Lookup"/>
      <sheetName val="Gegenkonto"/>
      <sheetName val="1. SG&amp;A Analytical Testing"/>
      <sheetName val="2. SG&amp;A Detail Testing"/>
      <sheetName val="Expenses DAX GL Listing"/>
    </sheetNames>
    <sheetDataSet>
      <sheetData sheetId="0">
        <row r="204">
          <cell r="F204">
            <v>72830349</v>
          </cell>
          <cell r="I204">
            <v>-1303268.5</v>
          </cell>
          <cell r="N204">
            <v>71527080.5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0 Lead"/>
      <sheetName val="Links"/>
      <sheetName val=".1 Rent"/>
      <sheetName val=".2 Payroll"/>
      <sheetName val=".3 SG&amp;A"/>
      <sheetName val=".4 CMA"/>
      <sheetName val=".5 Intercompany Expenses"/>
      <sheetName val="XREF"/>
      <sheetName val="Tickmarks"/>
      <sheetName val="Lead"/>
      <sheetName val="0. Consolidation"/>
      <sheetName val="1. SG&amp;A Analytical Testing"/>
      <sheetName val="2. SG&amp;A CMA Detail"/>
      <sheetName val="3. SG&amp;A Detail Testing"/>
    </sheetNames>
    <sheetDataSet>
      <sheetData sheetId="0">
        <row r="171">
          <cell r="L171">
            <v>55830471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1 Lead"/>
      <sheetName val="Links"/>
      <sheetName val=".2 Rollforward"/>
      <sheetName val=".3 Beg Bal"/>
      <sheetName val=".4a Additions (Interim)"/>
      <sheetName val=".4b Additions (Final)"/>
      <sheetName val=".5 Depr"/>
      <sheetName val=".6 Retire"/>
      <sheetName val=".7 Footnote"/>
      <sheetName val="8. SD"/>
      <sheetName val="9. Additions Xfer CMA"/>
      <sheetName val="10. CIP Additions CMA"/>
      <sheetName val="11. ACL Logs"/>
      <sheetName val="Tickmarks"/>
      <sheetName val="#REF"/>
      <sheetName val="Comp"/>
      <sheetName val="Store NBV"/>
      <sheetName val="6. ST Investments"/>
      <sheetName val="XREF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953">
          <cell r="D953">
            <v>25314712.86000013</v>
          </cell>
        </row>
      </sheetData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ummary by Productline"/>
      <sheetName val="Summary by Region"/>
      <sheetName val="Pre-tax NI roll"/>
      <sheetName val="BHN Other Revenue Summary"/>
      <sheetName val="BHN Revenue Detail"/>
      <sheetName val="Cash Flow Summary"/>
      <sheetName val="Turnover calculation"/>
      <sheetName val="FV by Product $$"/>
      <sheetName val="FV by Product %"/>
      <sheetName val="FV Seasonality"/>
      <sheetName val="Store Productivity and Roll-Fw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6"/>
  </sheetPr>
  <dimension ref="A1:AI167"/>
  <sheetViews>
    <sheetView zoomScale="80" zoomScaleNormal="80" workbookViewId="0">
      <selection activeCell="J3" sqref="J3"/>
    </sheetView>
  </sheetViews>
  <sheetFormatPr defaultColWidth="9.140625" defaultRowHeight="15" outlineLevelRow="2" outlineLevelCol="1" x14ac:dyDescent="0.25"/>
  <cols>
    <col min="1" max="1" width="0.28515625" customWidth="1"/>
    <col min="2" max="2" width="37.5703125" style="1" customWidth="1"/>
    <col min="3" max="3" width="0.28515625" style="1" customWidth="1"/>
    <col min="4" max="4" width="12.7109375" style="1" customWidth="1"/>
    <col min="5" max="7" width="12.7109375" style="1" hidden="1" customWidth="1" outlineLevel="1"/>
    <col min="8" max="8" width="12.7109375" style="1" customWidth="1" collapsed="1"/>
    <col min="9" max="9" width="10.7109375" style="1" customWidth="1"/>
    <col min="10" max="10" width="10.7109375" style="87" customWidth="1"/>
    <col min="11" max="11" width="0.28515625" customWidth="1"/>
    <col min="12" max="12" width="12.7109375" style="1" customWidth="1"/>
    <col min="13" max="15" width="12.7109375" style="1" hidden="1" customWidth="1" outlineLevel="1"/>
    <col min="16" max="16" width="12.7109375" style="1" customWidth="1" collapsed="1"/>
    <col min="17" max="17" width="10.7109375" style="1" customWidth="1"/>
    <col min="18" max="18" width="10.7109375" style="87" customWidth="1"/>
    <col min="19" max="19" width="0.28515625" customWidth="1"/>
    <col min="20" max="20" width="12.7109375" style="1" customWidth="1"/>
    <col min="21" max="23" width="12.7109375" style="1" hidden="1" customWidth="1" outlineLevel="1"/>
    <col min="24" max="24" width="12.7109375" style="1" customWidth="1" collapsed="1"/>
    <col min="25" max="25" width="11.42578125" style="1" bestFit="1" customWidth="1"/>
    <col min="26" max="26" width="10.7109375" style="87" customWidth="1"/>
    <col min="27" max="27" width="0.28515625" customWidth="1"/>
    <col min="28" max="28" width="14.7109375" style="1" customWidth="1"/>
    <col min="29" max="35" width="8.7109375" customWidth="1"/>
    <col min="36" max="16384" width="9.140625" style="1"/>
  </cols>
  <sheetData>
    <row r="1" spans="1:35" x14ac:dyDescent="0.25">
      <c r="A1" s="1"/>
      <c r="B1" s="2"/>
      <c r="C1" s="2"/>
      <c r="D1" s="3"/>
      <c r="E1" s="3"/>
      <c r="F1" s="3"/>
      <c r="G1" s="3"/>
      <c r="H1" s="3"/>
      <c r="I1" s="3"/>
      <c r="J1" s="4"/>
      <c r="K1" s="3"/>
      <c r="L1" s="3"/>
      <c r="M1" s="3"/>
      <c r="N1" s="3"/>
      <c r="O1" s="3"/>
      <c r="P1" s="3"/>
      <c r="Q1" s="3"/>
      <c r="R1" s="4"/>
      <c r="S1" s="3"/>
      <c r="T1" s="3"/>
      <c r="U1" s="3"/>
      <c r="V1" s="3"/>
      <c r="W1" s="3"/>
      <c r="X1" s="3"/>
      <c r="Y1" s="3"/>
      <c r="Z1" s="4"/>
      <c r="AA1" s="3"/>
      <c r="AB1" s="3"/>
      <c r="AC1" s="1"/>
      <c r="AD1" s="1"/>
      <c r="AE1" s="1"/>
      <c r="AF1" s="1"/>
      <c r="AG1" s="1"/>
      <c r="AH1" s="1"/>
      <c r="AI1" s="1"/>
    </row>
    <row r="2" spans="1:35" x14ac:dyDescent="0.25">
      <c r="A2" s="1"/>
      <c r="B2" s="2" t="s">
        <v>0</v>
      </c>
      <c r="C2" s="2"/>
      <c r="D2" s="3"/>
      <c r="E2" s="3"/>
      <c r="F2" s="3"/>
      <c r="G2" s="3"/>
      <c r="H2" s="5"/>
      <c r="I2" s="3"/>
      <c r="J2" s="3"/>
      <c r="K2" s="3"/>
      <c r="L2" s="3"/>
      <c r="M2" s="3"/>
      <c r="N2" s="3"/>
      <c r="O2" s="3"/>
      <c r="P2" s="3"/>
      <c r="Q2" s="3"/>
      <c r="R2" s="5"/>
      <c r="S2" s="3"/>
      <c r="T2" s="3"/>
      <c r="U2" s="3"/>
      <c r="V2" s="3"/>
      <c r="W2" s="3"/>
      <c r="X2" s="3"/>
      <c r="Y2" s="3"/>
      <c r="Z2" s="5"/>
      <c r="AA2" s="3"/>
      <c r="AB2" s="3"/>
      <c r="AC2" s="1"/>
      <c r="AD2" s="1"/>
      <c r="AE2" s="1"/>
      <c r="AF2" s="1"/>
      <c r="AG2" s="1"/>
      <c r="AH2" s="1"/>
      <c r="AI2" s="1"/>
    </row>
    <row r="3" spans="1:35" x14ac:dyDescent="0.25">
      <c r="A3" s="1"/>
      <c r="B3" s="2" t="s">
        <v>1</v>
      </c>
      <c r="C3" s="2"/>
      <c r="D3" s="3"/>
      <c r="E3" s="3"/>
      <c r="F3" s="3"/>
      <c r="G3" s="3"/>
      <c r="H3" s="5"/>
      <c r="I3" s="3"/>
      <c r="J3" s="3"/>
      <c r="K3" s="3"/>
      <c r="L3" s="3"/>
      <c r="M3" s="3"/>
      <c r="N3" s="3"/>
      <c r="O3" s="3"/>
      <c r="P3" s="3"/>
      <c r="Q3" s="3"/>
      <c r="R3" s="5"/>
      <c r="S3" s="3"/>
      <c r="T3" s="3"/>
      <c r="U3" s="3"/>
      <c r="V3" s="3"/>
      <c r="W3" s="3"/>
      <c r="X3" s="3"/>
      <c r="Y3" s="3"/>
      <c r="Z3" s="5"/>
      <c r="AA3" s="3"/>
      <c r="AB3" s="3"/>
      <c r="AC3" s="1"/>
      <c r="AD3" s="1"/>
      <c r="AE3" s="1"/>
      <c r="AF3" s="1"/>
      <c r="AG3" s="1"/>
      <c r="AH3" s="1"/>
      <c r="AI3" s="1"/>
    </row>
    <row r="4" spans="1:35" x14ac:dyDescent="0.25">
      <c r="A4" s="1"/>
      <c r="B4" s="2" t="e">
        <f ca="1">"PERIOD "&amp;INDIRECT("'Input Data'!C2")&amp;", "&amp;INDIRECT("'Input Data'!C4")</f>
        <v>#REF!</v>
      </c>
      <c r="C4" s="2"/>
      <c r="D4" s="3"/>
      <c r="E4" s="3"/>
      <c r="F4" s="3"/>
      <c r="G4" s="3"/>
      <c r="H4" s="5"/>
      <c r="I4" s="3"/>
      <c r="J4" s="3"/>
      <c r="K4" s="3"/>
      <c r="L4" s="3"/>
      <c r="M4" s="3"/>
      <c r="N4" s="3"/>
      <c r="O4" s="3"/>
      <c r="P4" s="3"/>
      <c r="Q4" s="3"/>
      <c r="R4" s="5"/>
      <c r="S4" s="3"/>
      <c r="T4" s="3"/>
      <c r="U4" s="3"/>
      <c r="V4" s="3"/>
      <c r="W4" s="3"/>
      <c r="X4" s="3"/>
      <c r="Y4" s="3"/>
      <c r="Z4" s="5"/>
      <c r="AA4" s="3"/>
      <c r="AB4" s="3"/>
      <c r="AC4" s="1"/>
      <c r="AD4" s="1"/>
      <c r="AE4" s="1"/>
      <c r="AF4" s="1"/>
      <c r="AG4" s="1"/>
      <c r="AH4" s="1"/>
      <c r="AI4" s="1"/>
    </row>
    <row r="5" spans="1:35" x14ac:dyDescent="0.25">
      <c r="A5" s="1"/>
      <c r="B5" s="2" t="s">
        <v>2</v>
      </c>
      <c r="C5" s="2"/>
      <c r="D5" s="6"/>
      <c r="E5" s="6"/>
      <c r="F5" s="3"/>
      <c r="G5" s="3"/>
      <c r="H5" s="5"/>
      <c r="I5" s="6"/>
      <c r="J5" s="6"/>
      <c r="K5" s="3"/>
      <c r="L5" s="6"/>
      <c r="M5" s="6"/>
      <c r="N5" s="6"/>
      <c r="O5" s="6"/>
      <c r="P5" s="3"/>
      <c r="Q5" s="3"/>
      <c r="R5" s="5"/>
      <c r="S5" s="3"/>
      <c r="T5" s="6"/>
      <c r="U5" s="6"/>
      <c r="V5" s="6"/>
      <c r="W5" s="6"/>
      <c r="X5" s="3"/>
      <c r="Y5" s="3"/>
      <c r="Z5" s="5"/>
      <c r="AA5" s="3"/>
      <c r="AB5" s="6"/>
      <c r="AC5" s="1"/>
      <c r="AD5" s="1"/>
      <c r="AE5" s="1"/>
      <c r="AF5" s="1"/>
      <c r="AG5" s="1"/>
      <c r="AH5" s="1"/>
      <c r="AI5" s="1"/>
    </row>
    <row r="6" spans="1:35" hidden="1" x14ac:dyDescent="0.25">
      <c r="A6" s="1"/>
      <c r="B6" s="2"/>
      <c r="C6" s="2"/>
      <c r="D6" s="6"/>
      <c r="E6" s="6"/>
      <c r="F6" s="6"/>
      <c r="G6" s="6"/>
      <c r="H6" s="3"/>
      <c r="I6" s="3"/>
      <c r="J6" s="5"/>
      <c r="K6" s="3"/>
      <c r="L6" s="6"/>
      <c r="M6" s="6"/>
      <c r="N6" s="6"/>
      <c r="O6" s="6"/>
      <c r="P6" s="3"/>
      <c r="Q6" s="3"/>
      <c r="R6" s="5"/>
      <c r="S6" s="3"/>
      <c r="T6" s="6"/>
      <c r="U6" s="6"/>
      <c r="V6" s="6"/>
      <c r="W6" s="6"/>
      <c r="X6" s="3"/>
      <c r="Y6" s="3"/>
      <c r="Z6" s="5"/>
      <c r="AA6" s="3"/>
      <c r="AB6" s="6"/>
      <c r="AC6" s="1"/>
      <c r="AD6" s="1"/>
      <c r="AE6" s="1"/>
      <c r="AF6" s="1"/>
      <c r="AG6" s="1"/>
      <c r="AH6" s="1"/>
      <c r="AI6" s="1"/>
    </row>
    <row r="7" spans="1:35" hidden="1" x14ac:dyDescent="0.25">
      <c r="A7" s="1"/>
      <c r="B7" s="3"/>
      <c r="C7" s="3"/>
      <c r="D7" s="3"/>
      <c r="E7" s="3"/>
      <c r="F7" s="3"/>
      <c r="G7" s="3"/>
      <c r="H7" s="3"/>
      <c r="I7" s="3"/>
      <c r="J7" s="5"/>
      <c r="K7" s="3"/>
      <c r="L7" s="3"/>
      <c r="M7" s="3"/>
      <c r="N7" s="3"/>
      <c r="O7" s="3"/>
      <c r="P7" s="3"/>
      <c r="Q7" s="3"/>
      <c r="R7" s="5"/>
      <c r="S7" s="3"/>
      <c r="T7" s="3"/>
      <c r="U7" s="3"/>
      <c r="V7" s="3"/>
      <c r="W7" s="3"/>
      <c r="X7" s="3"/>
      <c r="Y7" s="3"/>
      <c r="Z7" s="5"/>
      <c r="AA7" s="3"/>
      <c r="AB7" s="3"/>
      <c r="AC7" s="1"/>
      <c r="AD7" s="1"/>
      <c r="AE7" s="1"/>
      <c r="AF7" s="1"/>
      <c r="AG7" s="1"/>
      <c r="AH7" s="1"/>
      <c r="AI7" s="1"/>
    </row>
    <row r="8" spans="1:35" x14ac:dyDescent="0.25">
      <c r="A8" s="1"/>
      <c r="B8" s="2"/>
      <c r="C8" s="2"/>
      <c r="D8" s="3"/>
      <c r="E8" s="3"/>
      <c r="F8" s="3"/>
      <c r="G8" s="3"/>
      <c r="H8" s="3"/>
      <c r="I8" s="3"/>
      <c r="J8" s="5"/>
      <c r="K8" s="3"/>
      <c r="L8" s="3"/>
      <c r="M8" s="3"/>
      <c r="N8" s="3"/>
      <c r="O8" s="3"/>
      <c r="P8" s="3"/>
      <c r="Q8" s="3"/>
      <c r="R8" s="5"/>
      <c r="S8" s="3"/>
      <c r="T8" s="3"/>
      <c r="U8" s="3"/>
      <c r="V8" s="3"/>
      <c r="W8" s="3"/>
      <c r="X8" s="3"/>
      <c r="Y8" s="3"/>
      <c r="Z8" s="5"/>
      <c r="AA8" s="3"/>
      <c r="AB8" s="3"/>
      <c r="AC8" s="1"/>
      <c r="AD8" s="1"/>
      <c r="AE8" s="1"/>
      <c r="AF8" s="1"/>
      <c r="AG8" s="1"/>
      <c r="AH8" s="1"/>
      <c r="AI8" s="1"/>
    </row>
    <row r="9" spans="1:35" x14ac:dyDescent="0.25">
      <c r="A9" s="1"/>
      <c r="B9" s="7" t="s">
        <v>3</v>
      </c>
      <c r="C9" s="8"/>
      <c r="D9" s="9" t="e">
        <f ca="1">"Period "&amp;INDIRECT("'Input Data'!$C$2")</f>
        <v>#REF!</v>
      </c>
      <c r="E9" s="10"/>
      <c r="F9" s="10"/>
      <c r="G9" s="10"/>
      <c r="H9" s="10"/>
      <c r="I9" s="10"/>
      <c r="J9" s="11"/>
      <c r="K9" s="3"/>
      <c r="L9" s="9" t="e">
        <f ca="1">"QTD - "&amp;INDIRECT("'Input Data'!$C$3")</f>
        <v>#REF!</v>
      </c>
      <c r="M9" s="10"/>
      <c r="N9" s="10"/>
      <c r="O9" s="10"/>
      <c r="P9" s="10"/>
      <c r="Q9" s="10"/>
      <c r="R9" s="11"/>
      <c r="S9" s="3"/>
      <c r="T9" s="9" t="s">
        <v>4</v>
      </c>
      <c r="U9" s="10"/>
      <c r="V9" s="10"/>
      <c r="W9" s="10"/>
      <c r="X9" s="10"/>
      <c r="Y9" s="10"/>
      <c r="Z9" s="11"/>
      <c r="AA9" s="3"/>
      <c r="AB9" s="12" t="s">
        <v>5</v>
      </c>
      <c r="AC9" s="1"/>
      <c r="AD9" s="1"/>
      <c r="AE9" s="1"/>
      <c r="AF9" s="1"/>
      <c r="AG9" s="1"/>
      <c r="AH9" s="1"/>
      <c r="AI9" s="1"/>
    </row>
    <row r="10" spans="1:35" x14ac:dyDescent="0.25">
      <c r="A10" s="1"/>
      <c r="B10" s="8"/>
      <c r="C10" s="8"/>
      <c r="D10" s="13"/>
      <c r="E10" s="14" t="s">
        <v>6</v>
      </c>
      <c r="F10" s="14" t="s">
        <v>7</v>
      </c>
      <c r="G10" s="14" t="s">
        <v>8</v>
      </c>
      <c r="H10" s="8"/>
      <c r="I10" s="14" t="s">
        <v>9</v>
      </c>
      <c r="J10" s="15" t="s">
        <v>10</v>
      </c>
      <c r="K10" s="3"/>
      <c r="L10" s="13"/>
      <c r="M10" s="14" t="s">
        <v>6</v>
      </c>
      <c r="N10" s="14" t="s">
        <v>7</v>
      </c>
      <c r="O10" s="14" t="s">
        <v>8</v>
      </c>
      <c r="P10" s="8"/>
      <c r="Q10" s="14" t="s">
        <v>9</v>
      </c>
      <c r="R10" s="15" t="s">
        <v>10</v>
      </c>
      <c r="S10" s="3"/>
      <c r="T10" s="13"/>
      <c r="U10" s="14" t="s">
        <v>6</v>
      </c>
      <c r="V10" s="14" t="s">
        <v>7</v>
      </c>
      <c r="W10" s="14" t="s">
        <v>8</v>
      </c>
      <c r="X10" s="8"/>
      <c r="Y10" s="14" t="s">
        <v>9</v>
      </c>
      <c r="Z10" s="15" t="s">
        <v>10</v>
      </c>
      <c r="AA10" s="3"/>
      <c r="AB10" s="16"/>
      <c r="AC10" s="1"/>
      <c r="AD10" s="1"/>
      <c r="AE10" s="1"/>
      <c r="AF10" s="1"/>
      <c r="AG10" s="1"/>
      <c r="AH10" s="1"/>
      <c r="AI10" s="1"/>
    </row>
    <row r="11" spans="1:35" x14ac:dyDescent="0.25">
      <c r="A11" s="1"/>
      <c r="B11" s="8" t="s">
        <v>11</v>
      </c>
      <c r="C11" s="8"/>
      <c r="D11" s="17" t="s">
        <v>12</v>
      </c>
      <c r="E11" s="14" t="s">
        <v>12</v>
      </c>
      <c r="F11" s="14" t="s">
        <v>13</v>
      </c>
      <c r="G11" s="14" t="s">
        <v>13</v>
      </c>
      <c r="H11" s="14" t="s">
        <v>14</v>
      </c>
      <c r="I11" s="14" t="s">
        <v>15</v>
      </c>
      <c r="J11" s="15" t="s">
        <v>15</v>
      </c>
      <c r="K11" s="3"/>
      <c r="L11" s="17" t="s">
        <v>12</v>
      </c>
      <c r="M11" s="14" t="s">
        <v>12</v>
      </c>
      <c r="N11" s="14" t="s">
        <v>13</v>
      </c>
      <c r="O11" s="14" t="s">
        <v>13</v>
      </c>
      <c r="P11" s="14" t="s">
        <v>14</v>
      </c>
      <c r="Q11" s="14" t="s">
        <v>15</v>
      </c>
      <c r="R11" s="15" t="s">
        <v>15</v>
      </c>
      <c r="S11" s="3"/>
      <c r="T11" s="17" t="s">
        <v>12</v>
      </c>
      <c r="U11" s="14" t="s">
        <v>12</v>
      </c>
      <c r="V11" s="14" t="s">
        <v>13</v>
      </c>
      <c r="W11" s="14" t="s">
        <v>13</v>
      </c>
      <c r="X11" s="14" t="s">
        <v>14</v>
      </c>
      <c r="Y11" s="14" t="s">
        <v>15</v>
      </c>
      <c r="Z11" s="15" t="s">
        <v>15</v>
      </c>
      <c r="AA11" s="3"/>
      <c r="AB11" s="18" t="s">
        <v>14</v>
      </c>
      <c r="AC11" s="1"/>
      <c r="AD11" s="1"/>
      <c r="AE11" s="1"/>
      <c r="AF11" s="1"/>
      <c r="AG11" s="1"/>
      <c r="AH11" s="1"/>
      <c r="AI11" s="1"/>
    </row>
    <row r="12" spans="1:35" x14ac:dyDescent="0.25">
      <c r="A12" s="1"/>
      <c r="B12" s="19"/>
      <c r="C12" s="19"/>
      <c r="D12" s="20"/>
      <c r="E12" s="21"/>
      <c r="F12" s="21"/>
      <c r="G12" s="21"/>
      <c r="H12" s="21"/>
      <c r="I12" s="21"/>
      <c r="J12" s="22"/>
      <c r="K12" s="3"/>
      <c r="L12" s="20"/>
      <c r="M12" s="21"/>
      <c r="N12" s="21"/>
      <c r="O12" s="21"/>
      <c r="P12" s="21"/>
      <c r="Q12" s="21"/>
      <c r="R12" s="22"/>
      <c r="S12" s="3"/>
      <c r="T12" s="20"/>
      <c r="U12" s="21"/>
      <c r="V12" s="21"/>
      <c r="W12" s="21"/>
      <c r="X12" s="21"/>
      <c r="Y12" s="21"/>
      <c r="Z12" s="22"/>
      <c r="AA12" s="3"/>
      <c r="AB12" s="23"/>
      <c r="AC12" s="1"/>
      <c r="AD12" s="1"/>
      <c r="AE12" s="1"/>
      <c r="AF12" s="1"/>
      <c r="AG12" s="1"/>
      <c r="AH12" s="1"/>
      <c r="AI12" s="1"/>
    </row>
    <row r="13" spans="1:35" ht="14.25" x14ac:dyDescent="0.2">
      <c r="A13" s="1"/>
      <c r="B13" s="19" t="s">
        <v>16</v>
      </c>
      <c r="C13" s="19"/>
      <c r="D13" s="24">
        <f>-10934684.35/1000*-1</f>
        <v>10934.68435</v>
      </c>
      <c r="E13" s="25">
        <f>-18926305.42/1000*-1</f>
        <v>18926.305420000001</v>
      </c>
      <c r="F13" s="25">
        <f t="shared" ref="F13:F28" si="0">D13-E13</f>
        <v>-7991.6210700000011</v>
      </c>
      <c r="G13" s="26">
        <f t="shared" ref="G13:G28" si="1">IF(ISERROR(F13/E13),"N/A",IF(ABS(F13/E13)&gt;5,"N/A",F13/E13))</f>
        <v>-0.4222493980021591</v>
      </c>
      <c r="H13" s="25">
        <f>-12502065.34/1000*-1</f>
        <v>12502.065339999999</v>
      </c>
      <c r="I13" s="25">
        <f t="shared" ref="I13:I28" si="2">D13-H13</f>
        <v>-1567.3809899999997</v>
      </c>
      <c r="J13" s="27">
        <f t="shared" ref="J13:J28" si="3">IF(ISERROR(I13/H13),"N/A",IF(ABS(I13/H13)&gt;5,"N/A",I13/H13))</f>
        <v>-0.12536976470481315</v>
      </c>
      <c r="K13" s="3"/>
      <c r="L13" s="24">
        <f>-30693394.68/1000*-1</f>
        <v>30693.394680000001</v>
      </c>
      <c r="M13" s="25">
        <f>-52110932.46/1000*-1</f>
        <v>52110.932460000004</v>
      </c>
      <c r="N13" s="25">
        <f t="shared" ref="N13:N28" si="4">L13-M13</f>
        <v>-21417.537780000002</v>
      </c>
      <c r="O13" s="26">
        <f t="shared" ref="O13:O28" si="5">IF(ISERROR(N13/M13),"N/A",IF(ABS(N13/M13)&gt;5,"N/A",N13/M13))</f>
        <v>-0.41099893571161789</v>
      </c>
      <c r="P13" s="25">
        <f>-31453038.97/1000*-1</f>
        <v>31453.038969999998</v>
      </c>
      <c r="Q13" s="25">
        <f t="shared" ref="Q13:Q28" si="6">L13-P13</f>
        <v>-759.64428999999654</v>
      </c>
      <c r="R13" s="27">
        <f t="shared" ref="R13:R28" si="7">IF(ISERROR(Q13/P13),"N/A",IF(ABS(Q13/P13)&gt;5,"N/A",Q13/P13))</f>
        <v>-2.4151697733390643E-2</v>
      </c>
      <c r="S13" s="3"/>
      <c r="T13" s="24">
        <f>-79064715.92/1000*-1</f>
        <v>79064.715920000002</v>
      </c>
      <c r="U13" s="25">
        <f>-92988052.77/1000*-1</f>
        <v>92988.052769999995</v>
      </c>
      <c r="V13" s="25">
        <f t="shared" ref="V13:V28" si="8">T13-U13</f>
        <v>-13923.336849999992</v>
      </c>
      <c r="W13" s="26">
        <f t="shared" ref="W13:W28" si="9">IF(ISERROR(V13/U13),"N/A",IF(ABS(V13/U13)&gt;5,"N/A",V13/U13))</f>
        <v>-0.14973253482830182</v>
      </c>
      <c r="X13" s="25">
        <f>-79824360.21/1000*-1</f>
        <v>79824.360209999999</v>
      </c>
      <c r="Y13" s="25">
        <f t="shared" ref="Y13:Y28" si="10">T13-X13</f>
        <v>-759.64428999999654</v>
      </c>
      <c r="Z13" s="27">
        <f t="shared" ref="Z13:Z28" si="11">IF(ISERROR(Y13/X13),"N/A",IF(ABS(Y13/X13)&gt;5,"N/A",Y13/X13))</f>
        <v>-9.516446959318468E-3</v>
      </c>
      <c r="AA13" s="3"/>
      <c r="AB13" s="28">
        <f>-217629687.52/1000*-1</f>
        <v>217629.68752000001</v>
      </c>
      <c r="AC13" s="1"/>
      <c r="AD13" s="1"/>
      <c r="AE13" s="1"/>
      <c r="AF13" s="1"/>
      <c r="AG13" s="1"/>
      <c r="AH13" s="1"/>
      <c r="AI13" s="1"/>
    </row>
    <row r="14" spans="1:35" ht="14.25" x14ac:dyDescent="0.2">
      <c r="A14" s="1"/>
      <c r="B14" s="29" t="s">
        <v>17</v>
      </c>
      <c r="C14" s="19"/>
      <c r="D14" s="30">
        <f>-1575876.17/1000*-1</f>
        <v>1575.87617</v>
      </c>
      <c r="E14" s="31">
        <f>-2190819.82/1000*-1</f>
        <v>2190.8198199999997</v>
      </c>
      <c r="F14" s="31">
        <f t="shared" si="0"/>
        <v>-614.94364999999971</v>
      </c>
      <c r="G14" s="26">
        <f t="shared" si="1"/>
        <v>-0.28069111133018682</v>
      </c>
      <c r="H14" s="31">
        <f>-1948846.12/1000*-1</f>
        <v>1948.8461200000002</v>
      </c>
      <c r="I14" s="31">
        <f t="shared" si="2"/>
        <v>-372.96995000000015</v>
      </c>
      <c r="J14" s="27">
        <f t="shared" si="3"/>
        <v>-0.19137988688403995</v>
      </c>
      <c r="K14" s="3"/>
      <c r="L14" s="30">
        <f>-4165638.91/1000*-1</f>
        <v>4165.6389100000006</v>
      </c>
      <c r="M14" s="31">
        <f>-5880378.4/1000*-1</f>
        <v>5880.3784000000005</v>
      </c>
      <c r="N14" s="31">
        <f t="shared" si="4"/>
        <v>-1714.7394899999999</v>
      </c>
      <c r="O14" s="26">
        <f t="shared" si="5"/>
        <v>-0.29160359646243172</v>
      </c>
      <c r="P14" s="31">
        <f>-4564400.86/1000*-1</f>
        <v>4564.4008600000006</v>
      </c>
      <c r="Q14" s="31">
        <f t="shared" si="6"/>
        <v>-398.76195000000007</v>
      </c>
      <c r="R14" s="27">
        <f t="shared" si="7"/>
        <v>-8.7363481480020586E-2</v>
      </c>
      <c r="S14" s="3"/>
      <c r="T14" s="30">
        <f>-12588003.37/1000*-1</f>
        <v>12588.003369999999</v>
      </c>
      <c r="U14" s="31">
        <f>-13585196.09/1000*-1</f>
        <v>13585.196089999999</v>
      </c>
      <c r="V14" s="31">
        <f t="shared" si="8"/>
        <v>-997.19272000000092</v>
      </c>
      <c r="W14" s="26">
        <f t="shared" si="9"/>
        <v>-7.3402894841836694E-2</v>
      </c>
      <c r="X14" s="31">
        <f>-12986765.32/1000*-1</f>
        <v>12986.76532</v>
      </c>
      <c r="Y14" s="31">
        <f t="shared" si="10"/>
        <v>-398.76195000000189</v>
      </c>
      <c r="Z14" s="27">
        <f t="shared" si="11"/>
        <v>-3.0705255710280432E-2</v>
      </c>
      <c r="AA14" s="3"/>
      <c r="AB14" s="32">
        <f>-27545282.54/1000*-1</f>
        <v>27545.28254</v>
      </c>
      <c r="AC14" s="1"/>
      <c r="AD14" s="1"/>
      <c r="AE14" s="1"/>
      <c r="AF14" s="1"/>
      <c r="AG14" s="1"/>
      <c r="AH14" s="1"/>
      <c r="AI14" s="1"/>
    </row>
    <row r="15" spans="1:35" ht="14.25" x14ac:dyDescent="0.2">
      <c r="A15" s="1"/>
      <c r="B15" s="19" t="s">
        <v>18</v>
      </c>
      <c r="C15" s="19"/>
      <c r="D15" s="30">
        <f>SUM(D16:D17)</f>
        <v>461.61678000000001</v>
      </c>
      <c r="E15" s="31">
        <f>SUM(E16:E17)</f>
        <v>1443.58032</v>
      </c>
      <c r="F15" s="31">
        <f t="shared" si="0"/>
        <v>-981.96353999999997</v>
      </c>
      <c r="G15" s="26">
        <f t="shared" si="1"/>
        <v>-0.68022785181776368</v>
      </c>
      <c r="H15" s="31">
        <f>SUM(H16:H17)</f>
        <v>52.485999999999997</v>
      </c>
      <c r="I15" s="31">
        <f t="shared" si="2"/>
        <v>409.13078000000002</v>
      </c>
      <c r="J15" s="27" t="str">
        <f t="shared" si="3"/>
        <v>N/A</v>
      </c>
      <c r="K15" s="3"/>
      <c r="L15" s="30">
        <f>SUM(L16:L17)</f>
        <v>1170.2066499999999</v>
      </c>
      <c r="M15" s="31">
        <f>SUM(M16:M17)</f>
        <v>1451.1387500000001</v>
      </c>
      <c r="N15" s="31">
        <f t="shared" si="4"/>
        <v>-280.93210000000022</v>
      </c>
      <c r="O15" s="26">
        <f t="shared" si="5"/>
        <v>-0.19359423762889677</v>
      </c>
      <c r="P15" s="31">
        <f>SUM(P16:P17)</f>
        <v>104.18167</v>
      </c>
      <c r="Q15" s="31">
        <f t="shared" si="6"/>
        <v>1066.0249799999999</v>
      </c>
      <c r="R15" s="27" t="str">
        <f t="shared" si="7"/>
        <v>N/A</v>
      </c>
      <c r="S15" s="3"/>
      <c r="T15" s="30">
        <f>SUM(T16:T17)</f>
        <v>4134.1417099999999</v>
      </c>
      <c r="U15" s="31">
        <f>SUM(U16:U17)</f>
        <v>7946.0096700000004</v>
      </c>
      <c r="V15" s="31">
        <f t="shared" si="8"/>
        <v>-3811.8679600000005</v>
      </c>
      <c r="W15" s="26">
        <f t="shared" si="9"/>
        <v>-0.47972103210390382</v>
      </c>
      <c r="X15" s="31">
        <f>SUM(X16:X17)</f>
        <v>3068.1167300000002</v>
      </c>
      <c r="Y15" s="31">
        <f t="shared" si="10"/>
        <v>1066.0249799999997</v>
      </c>
      <c r="Z15" s="27">
        <f t="shared" si="11"/>
        <v>0.34745254949931442</v>
      </c>
      <c r="AA15" s="3"/>
      <c r="AB15" s="32">
        <f>SUM(AB16:AB17)</f>
        <v>3474.8777300000002</v>
      </c>
      <c r="AC15" s="1"/>
      <c r="AD15" s="1"/>
      <c r="AE15" s="1"/>
      <c r="AF15" s="1"/>
      <c r="AG15" s="1"/>
      <c r="AH15" s="1"/>
      <c r="AI15" s="1"/>
    </row>
    <row r="16" spans="1:35" ht="14.25" hidden="1" outlineLevel="1" x14ac:dyDescent="0.2">
      <c r="A16" s="1"/>
      <c r="B16" s="33" t="s">
        <v>19</v>
      </c>
      <c r="C16" s="19"/>
      <c r="D16" s="30">
        <f>0/1000*-1</f>
        <v>0</v>
      </c>
      <c r="E16" s="31">
        <f>0/1000*-1</f>
        <v>0</v>
      </c>
      <c r="F16" s="31">
        <f t="shared" si="0"/>
        <v>0</v>
      </c>
      <c r="G16" s="26" t="str">
        <f t="shared" si="1"/>
        <v>N/A</v>
      </c>
      <c r="H16" s="31">
        <f>0/1000*-1</f>
        <v>0</v>
      </c>
      <c r="I16" s="31">
        <f t="shared" si="2"/>
        <v>0</v>
      </c>
      <c r="J16" s="27" t="str">
        <f t="shared" si="3"/>
        <v>N/A</v>
      </c>
      <c r="K16" s="3"/>
      <c r="L16" s="30">
        <f>0/1000*-1</f>
        <v>0</v>
      </c>
      <c r="M16" s="31">
        <f>0/1000*-1</f>
        <v>0</v>
      </c>
      <c r="N16" s="31">
        <f t="shared" si="4"/>
        <v>0</v>
      </c>
      <c r="O16" s="26" t="str">
        <f t="shared" si="5"/>
        <v>N/A</v>
      </c>
      <c r="P16" s="31">
        <f>0/1000*-1</f>
        <v>0</v>
      </c>
      <c r="Q16" s="31">
        <f t="shared" si="6"/>
        <v>0</v>
      </c>
      <c r="R16" s="27" t="str">
        <f t="shared" si="7"/>
        <v>N/A</v>
      </c>
      <c r="S16" s="3"/>
      <c r="T16" s="30">
        <f>0/1000*-1</f>
        <v>0</v>
      </c>
      <c r="U16" s="31">
        <f>0/1000*-1</f>
        <v>0</v>
      </c>
      <c r="V16" s="31">
        <f t="shared" si="8"/>
        <v>0</v>
      </c>
      <c r="W16" s="26" t="str">
        <f t="shared" si="9"/>
        <v>N/A</v>
      </c>
      <c r="X16" s="31">
        <f>0/1000*-1</f>
        <v>0</v>
      </c>
      <c r="Y16" s="31">
        <f t="shared" si="10"/>
        <v>0</v>
      </c>
      <c r="Z16" s="27" t="str">
        <f t="shared" si="11"/>
        <v>N/A</v>
      </c>
      <c r="AA16" s="3"/>
      <c r="AB16" s="32">
        <f>0/1000*-1</f>
        <v>0</v>
      </c>
      <c r="AC16" s="1"/>
      <c r="AD16" s="1"/>
      <c r="AE16" s="1"/>
      <c r="AF16" s="1"/>
      <c r="AG16" s="1"/>
      <c r="AH16" s="1"/>
      <c r="AI16" s="1"/>
    </row>
    <row r="17" spans="1:35" ht="14.25" hidden="1" outlineLevel="1" x14ac:dyDescent="0.2">
      <c r="A17" s="1"/>
      <c r="B17" s="33" t="s">
        <v>20</v>
      </c>
      <c r="C17" s="19"/>
      <c r="D17" s="30">
        <f>-461616.78/1000*-1</f>
        <v>461.61678000000001</v>
      </c>
      <c r="E17" s="31">
        <f>-1443580.32/1000*-1</f>
        <v>1443.58032</v>
      </c>
      <c r="F17" s="31">
        <f t="shared" si="0"/>
        <v>-981.96353999999997</v>
      </c>
      <c r="G17" s="26">
        <f t="shared" si="1"/>
        <v>-0.68022785181776368</v>
      </c>
      <c r="H17" s="31">
        <f>-52486/1000*-1</f>
        <v>52.485999999999997</v>
      </c>
      <c r="I17" s="31">
        <f t="shared" si="2"/>
        <v>409.13078000000002</v>
      </c>
      <c r="J17" s="27" t="str">
        <f t="shared" si="3"/>
        <v>N/A</v>
      </c>
      <c r="K17" s="3"/>
      <c r="L17" s="30">
        <f>-1170206.65/1000*-1</f>
        <v>1170.2066499999999</v>
      </c>
      <c r="M17" s="31">
        <f>-1451138.75/1000*-1</f>
        <v>1451.1387500000001</v>
      </c>
      <c r="N17" s="31">
        <f t="shared" si="4"/>
        <v>-280.93210000000022</v>
      </c>
      <c r="O17" s="26">
        <f t="shared" si="5"/>
        <v>-0.19359423762889677</v>
      </c>
      <c r="P17" s="31">
        <f>-104181.67/1000*-1</f>
        <v>104.18167</v>
      </c>
      <c r="Q17" s="31">
        <f t="shared" si="6"/>
        <v>1066.0249799999999</v>
      </c>
      <c r="R17" s="27" t="str">
        <f t="shared" si="7"/>
        <v>N/A</v>
      </c>
      <c r="S17" s="3"/>
      <c r="T17" s="30">
        <f>-4134141.71/1000*-1</f>
        <v>4134.1417099999999</v>
      </c>
      <c r="U17" s="31">
        <f>-7946009.67/1000*-1</f>
        <v>7946.0096700000004</v>
      </c>
      <c r="V17" s="31">
        <f t="shared" si="8"/>
        <v>-3811.8679600000005</v>
      </c>
      <c r="W17" s="26">
        <f t="shared" si="9"/>
        <v>-0.47972103210390382</v>
      </c>
      <c r="X17" s="31">
        <f>-3068116.73/1000*-1</f>
        <v>3068.1167300000002</v>
      </c>
      <c r="Y17" s="31">
        <f t="shared" si="10"/>
        <v>1066.0249799999997</v>
      </c>
      <c r="Z17" s="27">
        <f t="shared" si="11"/>
        <v>0.34745254949931442</v>
      </c>
      <c r="AA17" s="3"/>
      <c r="AB17" s="32">
        <f>-3474877.73/1000*-1</f>
        <v>3474.8777300000002</v>
      </c>
      <c r="AC17" s="1"/>
      <c r="AD17" s="1"/>
      <c r="AE17" s="1"/>
      <c r="AF17" s="1"/>
      <c r="AG17" s="1"/>
      <c r="AH17" s="1"/>
      <c r="AI17" s="1"/>
    </row>
    <row r="18" spans="1:35" ht="14.25" collapsed="1" x14ac:dyDescent="0.2">
      <c r="A18" s="1"/>
      <c r="B18" s="19" t="s">
        <v>21</v>
      </c>
      <c r="C18" s="19"/>
      <c r="D18" s="30">
        <f>SUM(D19:D20)</f>
        <v>5799.7389000000003</v>
      </c>
      <c r="E18" s="31">
        <f>SUM(E19:E20)</f>
        <v>2143.11841</v>
      </c>
      <c r="F18" s="31">
        <f t="shared" si="0"/>
        <v>3656.6204900000002</v>
      </c>
      <c r="G18" s="26">
        <f t="shared" si="1"/>
        <v>1.7062148656545768</v>
      </c>
      <c r="H18" s="31">
        <f>SUM(H19:H20)</f>
        <v>4708.5879999999997</v>
      </c>
      <c r="I18" s="31">
        <f t="shared" si="2"/>
        <v>1091.1509000000005</v>
      </c>
      <c r="J18" s="27">
        <f t="shared" si="3"/>
        <v>0.23173632944738434</v>
      </c>
      <c r="K18" s="3"/>
      <c r="L18" s="30">
        <f>SUM(L19:L20)</f>
        <v>7818.5352899999998</v>
      </c>
      <c r="M18" s="31">
        <f>SUM(M19:M20)</f>
        <v>5100.6937800000005</v>
      </c>
      <c r="N18" s="31">
        <f t="shared" si="4"/>
        <v>2717.8415099999993</v>
      </c>
      <c r="O18" s="26">
        <f t="shared" si="5"/>
        <v>0.53283761527828843</v>
      </c>
      <c r="P18" s="31">
        <f>SUM(P19:P20)</f>
        <v>7146.1723499999998</v>
      </c>
      <c r="Q18" s="31">
        <f t="shared" si="6"/>
        <v>672.36293999999998</v>
      </c>
      <c r="R18" s="27">
        <f t="shared" si="7"/>
        <v>9.4087143028393369E-2</v>
      </c>
      <c r="S18" s="3"/>
      <c r="T18" s="30">
        <f>SUM(T19:T20)</f>
        <v>17916.483960000001</v>
      </c>
      <c r="U18" s="31">
        <f>SUM(U19:U20)</f>
        <v>8519.7466000000004</v>
      </c>
      <c r="V18" s="31">
        <f t="shared" si="8"/>
        <v>9396.737360000001</v>
      </c>
      <c r="W18" s="26">
        <f t="shared" si="9"/>
        <v>1.1029362493011237</v>
      </c>
      <c r="X18" s="31">
        <f>SUM(X19:X20)</f>
        <v>17244.121019999999</v>
      </c>
      <c r="Y18" s="31">
        <f t="shared" si="10"/>
        <v>672.36294000000271</v>
      </c>
      <c r="Z18" s="27">
        <f t="shared" si="11"/>
        <v>3.8990850227749257E-2</v>
      </c>
      <c r="AA18" s="3"/>
      <c r="AB18" s="32">
        <f>SUM(AB19:AB20)</f>
        <v>32287.022019999997</v>
      </c>
      <c r="AC18" s="1"/>
      <c r="AD18" s="1"/>
      <c r="AE18" s="1"/>
      <c r="AF18" s="1"/>
      <c r="AG18" s="1"/>
      <c r="AH18" s="1"/>
      <c r="AI18" s="1"/>
    </row>
    <row r="19" spans="1:35" ht="14.25" hidden="1" outlineLevel="1" x14ac:dyDescent="0.2">
      <c r="A19" s="1"/>
      <c r="B19" s="33" t="s">
        <v>22</v>
      </c>
      <c r="C19" s="19"/>
      <c r="D19" s="30">
        <f>0/1000*-1</f>
        <v>0</v>
      </c>
      <c r="E19" s="31">
        <f>359000/1000*-1</f>
        <v>-359</v>
      </c>
      <c r="F19" s="31">
        <f t="shared" si="0"/>
        <v>359</v>
      </c>
      <c r="G19" s="26">
        <f t="shared" si="1"/>
        <v>-1</v>
      </c>
      <c r="H19" s="31">
        <f>-4708588/1000*-1</f>
        <v>4708.5879999999997</v>
      </c>
      <c r="I19" s="31">
        <f t="shared" si="2"/>
        <v>-4708.5879999999997</v>
      </c>
      <c r="J19" s="27">
        <f t="shared" si="3"/>
        <v>-1</v>
      </c>
      <c r="K19" s="3"/>
      <c r="L19" s="30">
        <f>0/1000*-1</f>
        <v>0</v>
      </c>
      <c r="M19" s="31">
        <f>359000/1000*-1</f>
        <v>-359</v>
      </c>
      <c r="N19" s="31">
        <f t="shared" si="4"/>
        <v>359</v>
      </c>
      <c r="O19" s="26">
        <f t="shared" si="5"/>
        <v>-1</v>
      </c>
      <c r="P19" s="31">
        <f>-7051876/1000*-1</f>
        <v>7051.8760000000002</v>
      </c>
      <c r="Q19" s="31">
        <f t="shared" si="6"/>
        <v>-7051.8760000000002</v>
      </c>
      <c r="R19" s="27">
        <f t="shared" si="7"/>
        <v>-1</v>
      </c>
      <c r="S19" s="3"/>
      <c r="T19" s="30">
        <f>0/1000*-1</f>
        <v>0</v>
      </c>
      <c r="U19" s="31">
        <f>209000/1000*-1</f>
        <v>-209</v>
      </c>
      <c r="V19" s="31">
        <f t="shared" si="8"/>
        <v>209</v>
      </c>
      <c r="W19" s="26">
        <f t="shared" si="9"/>
        <v>-1</v>
      </c>
      <c r="X19" s="31">
        <f>-7051876/1000*-1</f>
        <v>7051.8760000000002</v>
      </c>
      <c r="Y19" s="31">
        <f t="shared" si="10"/>
        <v>-7051.8760000000002</v>
      </c>
      <c r="Z19" s="27">
        <f t="shared" si="11"/>
        <v>-1</v>
      </c>
      <c r="AA19" s="3"/>
      <c r="AB19" s="32">
        <f>-22094777/1000*-1</f>
        <v>22094.776999999998</v>
      </c>
      <c r="AC19" s="1"/>
      <c r="AD19" s="1"/>
      <c r="AE19" s="1"/>
      <c r="AF19" s="1"/>
      <c r="AG19" s="1"/>
      <c r="AH19" s="1"/>
      <c r="AI19" s="1"/>
    </row>
    <row r="20" spans="1:35" ht="14.25" hidden="1" outlineLevel="1" x14ac:dyDescent="0.2">
      <c r="A20" s="1"/>
      <c r="B20" s="33" t="s">
        <v>23</v>
      </c>
      <c r="C20" s="19"/>
      <c r="D20" s="30">
        <f>-5799738.9/1000*-1</f>
        <v>5799.7389000000003</v>
      </c>
      <c r="E20" s="31">
        <f>-2502118.41/1000*-1</f>
        <v>2502.11841</v>
      </c>
      <c r="F20" s="31">
        <f t="shared" si="0"/>
        <v>3297.6204900000002</v>
      </c>
      <c r="G20" s="26">
        <f t="shared" si="1"/>
        <v>1.3179314283531451</v>
      </c>
      <c r="H20" s="31">
        <f>0/1000*-1</f>
        <v>0</v>
      </c>
      <c r="I20" s="31">
        <f t="shared" si="2"/>
        <v>5799.7389000000003</v>
      </c>
      <c r="J20" s="27" t="str">
        <f t="shared" si="3"/>
        <v>N/A</v>
      </c>
      <c r="K20" s="3"/>
      <c r="L20" s="30">
        <f>-7818535.29/1000*-1</f>
        <v>7818.5352899999998</v>
      </c>
      <c r="M20" s="31">
        <f>-5459693.78/1000*-1</f>
        <v>5459.6937800000005</v>
      </c>
      <c r="N20" s="31">
        <f t="shared" si="4"/>
        <v>2358.8415099999993</v>
      </c>
      <c r="O20" s="26">
        <f t="shared" si="5"/>
        <v>0.43204648558146774</v>
      </c>
      <c r="P20" s="31">
        <f>-94296.35/1000*-1</f>
        <v>94.296350000000004</v>
      </c>
      <c r="Q20" s="31">
        <f t="shared" si="6"/>
        <v>7724.2389400000002</v>
      </c>
      <c r="R20" s="27" t="str">
        <f t="shared" si="7"/>
        <v>N/A</v>
      </c>
      <c r="S20" s="3"/>
      <c r="T20" s="30">
        <f>-17916483.96/1000*-1</f>
        <v>17916.483960000001</v>
      </c>
      <c r="U20" s="31">
        <f>-8728746.6/1000*-1</f>
        <v>8728.7466000000004</v>
      </c>
      <c r="V20" s="31">
        <f t="shared" si="8"/>
        <v>9187.737360000001</v>
      </c>
      <c r="W20" s="26">
        <f t="shared" si="9"/>
        <v>1.0525838108302972</v>
      </c>
      <c r="X20" s="31">
        <f>-10192245.02/1000*-1</f>
        <v>10192.24502</v>
      </c>
      <c r="Y20" s="31">
        <f t="shared" si="10"/>
        <v>7724.2389400000011</v>
      </c>
      <c r="Z20" s="27">
        <f t="shared" si="11"/>
        <v>0.7578545182972849</v>
      </c>
      <c r="AA20" s="3"/>
      <c r="AB20" s="32">
        <f>-10192245.02/1000*-1</f>
        <v>10192.24502</v>
      </c>
      <c r="AC20" s="1"/>
      <c r="AD20" s="1"/>
      <c r="AE20" s="1"/>
      <c r="AF20" s="1"/>
      <c r="AG20" s="1"/>
      <c r="AH20" s="1"/>
      <c r="AI20" s="1"/>
    </row>
    <row r="21" spans="1:35" ht="14.25" collapsed="1" x14ac:dyDescent="0.2">
      <c r="A21" s="1"/>
      <c r="B21" s="19" t="s">
        <v>24</v>
      </c>
      <c r="C21" s="19"/>
      <c r="D21" s="30">
        <f>0/1000*-1</f>
        <v>0</v>
      </c>
      <c r="E21" s="31">
        <f>0/1000*-1</f>
        <v>0</v>
      </c>
      <c r="F21" s="31">
        <f t="shared" si="0"/>
        <v>0</v>
      </c>
      <c r="G21" s="26" t="str">
        <f t="shared" si="1"/>
        <v>N/A</v>
      </c>
      <c r="H21" s="31">
        <f>0/1000*-1</f>
        <v>0</v>
      </c>
      <c r="I21" s="31">
        <f t="shared" si="2"/>
        <v>0</v>
      </c>
      <c r="J21" s="27" t="str">
        <f t="shared" si="3"/>
        <v>N/A</v>
      </c>
      <c r="K21" s="3"/>
      <c r="L21" s="30">
        <f>0/1000*-1</f>
        <v>0</v>
      </c>
      <c r="M21" s="31">
        <f>0/1000*-1</f>
        <v>0</v>
      </c>
      <c r="N21" s="31">
        <f t="shared" si="4"/>
        <v>0</v>
      </c>
      <c r="O21" s="26" t="str">
        <f t="shared" si="5"/>
        <v>N/A</v>
      </c>
      <c r="P21" s="31">
        <f>0/1000*-1</f>
        <v>0</v>
      </c>
      <c r="Q21" s="31">
        <f t="shared" si="6"/>
        <v>0</v>
      </c>
      <c r="R21" s="27" t="str">
        <f t="shared" si="7"/>
        <v>N/A</v>
      </c>
      <c r="S21" s="3"/>
      <c r="T21" s="30">
        <f>0/1000*-1</f>
        <v>0</v>
      </c>
      <c r="U21" s="31">
        <f>0/1000*-1</f>
        <v>0</v>
      </c>
      <c r="V21" s="31">
        <f t="shared" si="8"/>
        <v>0</v>
      </c>
      <c r="W21" s="26" t="str">
        <f t="shared" si="9"/>
        <v>N/A</v>
      </c>
      <c r="X21" s="31">
        <f>0/1000*-1</f>
        <v>0</v>
      </c>
      <c r="Y21" s="31">
        <f t="shared" si="10"/>
        <v>0</v>
      </c>
      <c r="Z21" s="27" t="str">
        <f t="shared" si="11"/>
        <v>N/A</v>
      </c>
      <c r="AA21" s="3"/>
      <c r="AB21" s="32">
        <f>0/1000*-1</f>
        <v>0</v>
      </c>
      <c r="AC21" s="1"/>
      <c r="AD21" s="1"/>
      <c r="AE21" s="1"/>
      <c r="AF21" s="1"/>
      <c r="AG21" s="1"/>
      <c r="AH21" s="1"/>
      <c r="AI21" s="1"/>
    </row>
    <row r="22" spans="1:35" ht="14.25" x14ac:dyDescent="0.2">
      <c r="A22" s="1"/>
      <c r="B22" s="19" t="s">
        <v>25</v>
      </c>
      <c r="C22" s="19"/>
      <c r="D22" s="30">
        <f>SUM(D23:D26)</f>
        <v>2121.4252500000002</v>
      </c>
      <c r="E22" s="31">
        <f>SUM(E23:E26)</f>
        <v>4476.1444000000001</v>
      </c>
      <c r="F22" s="31">
        <f t="shared" si="0"/>
        <v>-2354.7191499999999</v>
      </c>
      <c r="G22" s="26">
        <f t="shared" si="1"/>
        <v>-0.52605969324850199</v>
      </c>
      <c r="H22" s="31">
        <f>SUM(H23:H26)</f>
        <v>3415.6110700000004</v>
      </c>
      <c r="I22" s="31">
        <f t="shared" si="2"/>
        <v>-1294.1858200000001</v>
      </c>
      <c r="J22" s="27">
        <f t="shared" si="3"/>
        <v>-0.37890315772984073</v>
      </c>
      <c r="K22" s="3"/>
      <c r="L22" s="30">
        <f>SUM(L23:L26)</f>
        <v>5818.4611299999997</v>
      </c>
      <c r="M22" s="31">
        <f>SUM(M23:M26)</f>
        <v>10241.211369999999</v>
      </c>
      <c r="N22" s="31">
        <f t="shared" si="4"/>
        <v>-4422.7502399999994</v>
      </c>
      <c r="O22" s="26">
        <f t="shared" si="5"/>
        <v>-0.4318581152377875</v>
      </c>
      <c r="P22" s="31">
        <f>SUM(P23:P26)</f>
        <v>8563.4950399999998</v>
      </c>
      <c r="Q22" s="31">
        <f t="shared" si="6"/>
        <v>-2745.0339100000001</v>
      </c>
      <c r="R22" s="27">
        <f t="shared" si="7"/>
        <v>-0.32055065101082841</v>
      </c>
      <c r="S22" s="3"/>
      <c r="T22" s="30">
        <f>SUM(T23:T26)</f>
        <v>12485.095169999999</v>
      </c>
      <c r="U22" s="31">
        <f>SUM(U23:U26)</f>
        <v>19470.620049999998</v>
      </c>
      <c r="V22" s="31">
        <f t="shared" si="8"/>
        <v>-6985.524879999999</v>
      </c>
      <c r="W22" s="26">
        <f t="shared" si="9"/>
        <v>-0.35877259491795177</v>
      </c>
      <c r="X22" s="31">
        <f>SUM(X23:X26)</f>
        <v>15230.129080000001</v>
      </c>
      <c r="Y22" s="31">
        <f t="shared" si="10"/>
        <v>-2745.0339100000019</v>
      </c>
      <c r="Z22" s="27">
        <f t="shared" si="11"/>
        <v>-0.18023707452386226</v>
      </c>
      <c r="AA22" s="3"/>
      <c r="AB22" s="32">
        <f>SUM(AB23:AB26)</f>
        <v>43256.370640000001</v>
      </c>
      <c r="AC22" s="1"/>
      <c r="AD22" s="1"/>
      <c r="AE22" s="1"/>
      <c r="AF22" s="1"/>
      <c r="AG22" s="1"/>
      <c r="AH22" s="1"/>
      <c r="AI22" s="1"/>
    </row>
    <row r="23" spans="1:35" ht="14.25" hidden="1" outlineLevel="1" x14ac:dyDescent="0.2">
      <c r="A23" s="1"/>
      <c r="B23" s="33" t="s">
        <v>26</v>
      </c>
      <c r="C23" s="19"/>
      <c r="D23" s="30">
        <f>0/1000*-1</f>
        <v>0</v>
      </c>
      <c r="E23" s="31">
        <f>0/1000*-1</f>
        <v>0</v>
      </c>
      <c r="F23" s="31">
        <f t="shared" si="0"/>
        <v>0</v>
      </c>
      <c r="G23" s="26" t="str">
        <f t="shared" si="1"/>
        <v>N/A</v>
      </c>
      <c r="H23" s="31">
        <f>0/1000*-1</f>
        <v>0</v>
      </c>
      <c r="I23" s="31">
        <f t="shared" si="2"/>
        <v>0</v>
      </c>
      <c r="J23" s="27" t="str">
        <f t="shared" si="3"/>
        <v>N/A</v>
      </c>
      <c r="K23" s="3"/>
      <c r="L23" s="30">
        <f>0/1000*-1</f>
        <v>0</v>
      </c>
      <c r="M23" s="31">
        <f>0/1000*-1</f>
        <v>0</v>
      </c>
      <c r="N23" s="31">
        <f t="shared" si="4"/>
        <v>0</v>
      </c>
      <c r="O23" s="26" t="str">
        <f t="shared" si="5"/>
        <v>N/A</v>
      </c>
      <c r="P23" s="31">
        <f>0/1000*-1</f>
        <v>0</v>
      </c>
      <c r="Q23" s="31">
        <f t="shared" si="6"/>
        <v>0</v>
      </c>
      <c r="R23" s="27" t="str">
        <f t="shared" si="7"/>
        <v>N/A</v>
      </c>
      <c r="S23" s="3"/>
      <c r="T23" s="30">
        <f>0/1000*-1</f>
        <v>0</v>
      </c>
      <c r="U23" s="31">
        <f>0/1000*-1</f>
        <v>0</v>
      </c>
      <c r="V23" s="31">
        <f t="shared" si="8"/>
        <v>0</v>
      </c>
      <c r="W23" s="26" t="str">
        <f t="shared" si="9"/>
        <v>N/A</v>
      </c>
      <c r="X23" s="31">
        <f>0/1000*-1</f>
        <v>0</v>
      </c>
      <c r="Y23" s="31">
        <f t="shared" si="10"/>
        <v>0</v>
      </c>
      <c r="Z23" s="27" t="str">
        <f t="shared" si="11"/>
        <v>N/A</v>
      </c>
      <c r="AA23" s="3"/>
      <c r="AB23" s="32">
        <f>0/1000*-1</f>
        <v>0</v>
      </c>
      <c r="AC23" s="1"/>
      <c r="AD23" s="1"/>
      <c r="AE23" s="1"/>
      <c r="AF23" s="1"/>
      <c r="AG23" s="1"/>
      <c r="AH23" s="1"/>
      <c r="AI23" s="1"/>
    </row>
    <row r="24" spans="1:35" ht="14.25" hidden="1" outlineLevel="1" x14ac:dyDescent="0.2">
      <c r="A24" s="1"/>
      <c r="B24" s="33" t="s">
        <v>27</v>
      </c>
      <c r="C24" s="19"/>
      <c r="D24" s="30">
        <f>0/1000*-1</f>
        <v>0</v>
      </c>
      <c r="E24" s="31">
        <f>0/1000*-1</f>
        <v>0</v>
      </c>
      <c r="F24" s="31">
        <f t="shared" si="0"/>
        <v>0</v>
      </c>
      <c r="G24" s="26" t="str">
        <f t="shared" si="1"/>
        <v>N/A</v>
      </c>
      <c r="H24" s="31">
        <f>0/1000*-1</f>
        <v>0</v>
      </c>
      <c r="I24" s="31">
        <f t="shared" si="2"/>
        <v>0</v>
      </c>
      <c r="J24" s="27" t="str">
        <f t="shared" si="3"/>
        <v>N/A</v>
      </c>
      <c r="K24" s="3"/>
      <c r="L24" s="30">
        <f>0/1000*-1</f>
        <v>0</v>
      </c>
      <c r="M24" s="31">
        <f>0/1000*-1</f>
        <v>0</v>
      </c>
      <c r="N24" s="31">
        <f t="shared" si="4"/>
        <v>0</v>
      </c>
      <c r="O24" s="26" t="str">
        <f t="shared" si="5"/>
        <v>N/A</v>
      </c>
      <c r="P24" s="31">
        <f>0/1000*-1</f>
        <v>0</v>
      </c>
      <c r="Q24" s="31">
        <f t="shared" si="6"/>
        <v>0</v>
      </c>
      <c r="R24" s="27" t="str">
        <f t="shared" si="7"/>
        <v>N/A</v>
      </c>
      <c r="S24" s="3"/>
      <c r="T24" s="30">
        <f>0/1000*-1</f>
        <v>0</v>
      </c>
      <c r="U24" s="31">
        <f>0/1000*-1</f>
        <v>0</v>
      </c>
      <c r="V24" s="31">
        <f t="shared" si="8"/>
        <v>0</v>
      </c>
      <c r="W24" s="26" t="str">
        <f t="shared" si="9"/>
        <v>N/A</v>
      </c>
      <c r="X24" s="31">
        <f>0/1000*-1</f>
        <v>0</v>
      </c>
      <c r="Y24" s="31">
        <f t="shared" si="10"/>
        <v>0</v>
      </c>
      <c r="Z24" s="27" t="str">
        <f t="shared" si="11"/>
        <v>N/A</v>
      </c>
      <c r="AA24" s="3"/>
      <c r="AB24" s="32">
        <f>0/1000*-1</f>
        <v>0</v>
      </c>
      <c r="AC24" s="1"/>
      <c r="AD24" s="1"/>
      <c r="AE24" s="1"/>
      <c r="AF24" s="1"/>
      <c r="AG24" s="1"/>
      <c r="AH24" s="1"/>
      <c r="AI24" s="1"/>
    </row>
    <row r="25" spans="1:35" ht="14.25" hidden="1" outlineLevel="1" x14ac:dyDescent="0.2">
      <c r="A25" s="1"/>
      <c r="B25" s="33" t="s">
        <v>28</v>
      </c>
      <c r="C25" s="19"/>
      <c r="D25" s="30">
        <f>-132866.29/1000*-1</f>
        <v>132.86629000000002</v>
      </c>
      <c r="E25" s="31">
        <f>-350248.57/1000*-1</f>
        <v>350.24857000000003</v>
      </c>
      <c r="F25" s="31">
        <f t="shared" si="0"/>
        <v>-217.38228000000001</v>
      </c>
      <c r="G25" s="26">
        <f t="shared" si="1"/>
        <v>-0.62065144191737887</v>
      </c>
      <c r="H25" s="31">
        <f>-79766.18/1000*-1</f>
        <v>79.766179999999991</v>
      </c>
      <c r="I25" s="31">
        <f t="shared" si="2"/>
        <v>53.100110000000029</v>
      </c>
      <c r="J25" s="27">
        <f t="shared" si="3"/>
        <v>0.66569704102666116</v>
      </c>
      <c r="K25" s="3"/>
      <c r="L25" s="30">
        <f>-132866.29/1000*-1</f>
        <v>132.86629000000002</v>
      </c>
      <c r="M25" s="31">
        <f>-350430.17/1000*-1</f>
        <v>350.43016999999998</v>
      </c>
      <c r="N25" s="31">
        <f t="shared" si="4"/>
        <v>-217.56387999999995</v>
      </c>
      <c r="O25" s="26">
        <f t="shared" si="5"/>
        <v>-0.62084802801083017</v>
      </c>
      <c r="P25" s="31">
        <f>-79766.18/1000*-1</f>
        <v>79.766179999999991</v>
      </c>
      <c r="Q25" s="31">
        <f t="shared" si="6"/>
        <v>53.100110000000029</v>
      </c>
      <c r="R25" s="27">
        <f t="shared" si="7"/>
        <v>0.66569704102666116</v>
      </c>
      <c r="S25" s="3"/>
      <c r="T25" s="30">
        <f>-190221.05/1000*-1</f>
        <v>190.22104999999999</v>
      </c>
      <c r="U25" s="31">
        <f>-404792.78/1000*-1</f>
        <v>404.79278000000005</v>
      </c>
      <c r="V25" s="31">
        <f t="shared" si="8"/>
        <v>-214.57173000000006</v>
      </c>
      <c r="W25" s="26">
        <f t="shared" si="9"/>
        <v>-0.53007795741811414</v>
      </c>
      <c r="X25" s="31">
        <f>-137120.94/1000*-1</f>
        <v>137.12093999999999</v>
      </c>
      <c r="Y25" s="31">
        <f t="shared" si="10"/>
        <v>53.100110000000001</v>
      </c>
      <c r="Z25" s="27">
        <f t="shared" si="11"/>
        <v>0.3872501895042435</v>
      </c>
      <c r="AA25" s="3"/>
      <c r="AB25" s="32">
        <f>-296653.3/1000*-1</f>
        <v>296.6533</v>
      </c>
      <c r="AC25" s="1"/>
      <c r="AD25" s="1"/>
      <c r="AE25" s="1"/>
      <c r="AF25" s="1"/>
      <c r="AG25" s="1"/>
      <c r="AH25" s="1"/>
      <c r="AI25" s="1"/>
    </row>
    <row r="26" spans="1:35" ht="14.25" hidden="1" outlineLevel="1" x14ac:dyDescent="0.2">
      <c r="A26" s="1"/>
      <c r="B26" s="33" t="s">
        <v>29</v>
      </c>
      <c r="C26" s="19"/>
      <c r="D26" s="30">
        <f>SUM(D27:D28)</f>
        <v>1988.5589600000001</v>
      </c>
      <c r="E26" s="31">
        <f>SUM(E27:E28)</f>
        <v>4125.8958300000004</v>
      </c>
      <c r="F26" s="31">
        <f t="shared" si="0"/>
        <v>-2137.3368700000001</v>
      </c>
      <c r="G26" s="26">
        <f t="shared" si="1"/>
        <v>-0.51802977051895172</v>
      </c>
      <c r="H26" s="31">
        <f>SUM(H27:H28)</f>
        <v>3335.8448900000003</v>
      </c>
      <c r="I26" s="31">
        <f t="shared" si="2"/>
        <v>-1347.2859300000002</v>
      </c>
      <c r="J26" s="27">
        <f t="shared" si="3"/>
        <v>-0.40388146764222005</v>
      </c>
      <c r="K26" s="3"/>
      <c r="L26" s="30">
        <f>SUM(L27:L28)</f>
        <v>5685.5948399999997</v>
      </c>
      <c r="M26" s="31">
        <f>SUM(M27:M28)</f>
        <v>9890.7811999999994</v>
      </c>
      <c r="N26" s="31">
        <f t="shared" si="4"/>
        <v>-4205.1863599999997</v>
      </c>
      <c r="O26" s="26">
        <f t="shared" si="5"/>
        <v>-0.42516220660103166</v>
      </c>
      <c r="P26" s="31">
        <f>SUM(P27:P28)</f>
        <v>8483.7288599999993</v>
      </c>
      <c r="Q26" s="31">
        <f t="shared" si="6"/>
        <v>-2798.1340199999995</v>
      </c>
      <c r="R26" s="27">
        <f t="shared" si="7"/>
        <v>-0.32982360306126046</v>
      </c>
      <c r="S26" s="3"/>
      <c r="T26" s="30">
        <f>SUM(T27:T28)</f>
        <v>12294.874119999999</v>
      </c>
      <c r="U26" s="31">
        <f>SUM(U27:U28)</f>
        <v>19065.827269999998</v>
      </c>
      <c r="V26" s="31">
        <f t="shared" si="8"/>
        <v>-6770.9531499999994</v>
      </c>
      <c r="W26" s="26">
        <f t="shared" si="9"/>
        <v>-0.35513555504900995</v>
      </c>
      <c r="X26" s="31">
        <f>SUM(X27:X28)</f>
        <v>15093.00814</v>
      </c>
      <c r="Y26" s="31">
        <f t="shared" si="10"/>
        <v>-2798.1340200000013</v>
      </c>
      <c r="Z26" s="27">
        <f t="shared" si="11"/>
        <v>-0.18539273245233945</v>
      </c>
      <c r="AA26" s="3"/>
      <c r="AB26" s="32">
        <f>SUM(AB27:AB28)</f>
        <v>42959.717340000003</v>
      </c>
      <c r="AC26" s="1"/>
      <c r="AD26" s="1"/>
      <c r="AE26" s="1"/>
      <c r="AF26" s="1"/>
      <c r="AG26" s="1"/>
      <c r="AH26" s="1"/>
      <c r="AI26" s="1"/>
    </row>
    <row r="27" spans="1:35" ht="14.25" hidden="1" outlineLevel="2" x14ac:dyDescent="0.2">
      <c r="A27" s="1"/>
      <c r="B27" s="34" t="s">
        <v>30</v>
      </c>
      <c r="C27" s="19"/>
      <c r="D27" s="30">
        <f>-1988558.96/1000*-1</f>
        <v>1988.5589600000001</v>
      </c>
      <c r="E27" s="31">
        <f>-4125895.83/1000*-1</f>
        <v>4125.8958300000004</v>
      </c>
      <c r="F27" s="31">
        <f t="shared" si="0"/>
        <v>-2137.3368700000001</v>
      </c>
      <c r="G27" s="26">
        <f t="shared" si="1"/>
        <v>-0.51802977051895172</v>
      </c>
      <c r="H27" s="31">
        <f>-3335844.89/1000*-1</f>
        <v>3335.8448900000003</v>
      </c>
      <c r="I27" s="31">
        <f t="shared" si="2"/>
        <v>-1347.2859300000002</v>
      </c>
      <c r="J27" s="27">
        <f t="shared" si="3"/>
        <v>-0.40388146764222005</v>
      </c>
      <c r="K27" s="3"/>
      <c r="L27" s="30">
        <f>-5685594.84/1000*-1</f>
        <v>5685.5948399999997</v>
      </c>
      <c r="M27" s="31">
        <f>-9890781.2/1000*-1</f>
        <v>9890.7811999999994</v>
      </c>
      <c r="N27" s="31">
        <f t="shared" si="4"/>
        <v>-4205.1863599999997</v>
      </c>
      <c r="O27" s="26">
        <f t="shared" si="5"/>
        <v>-0.42516220660103166</v>
      </c>
      <c r="P27" s="31">
        <f>-8483728.86/1000*-1</f>
        <v>8483.7288599999993</v>
      </c>
      <c r="Q27" s="31">
        <f t="shared" si="6"/>
        <v>-2798.1340199999995</v>
      </c>
      <c r="R27" s="27">
        <f t="shared" si="7"/>
        <v>-0.32982360306126046</v>
      </c>
      <c r="S27" s="3"/>
      <c r="T27" s="30">
        <f>-12294874.12/1000*-1</f>
        <v>12294.874119999999</v>
      </c>
      <c r="U27" s="31">
        <f>-19065827.27/1000*-1</f>
        <v>19065.827269999998</v>
      </c>
      <c r="V27" s="31">
        <f t="shared" si="8"/>
        <v>-6770.9531499999994</v>
      </c>
      <c r="W27" s="26">
        <f t="shared" si="9"/>
        <v>-0.35513555504900995</v>
      </c>
      <c r="X27" s="31">
        <f>-15093008.14/1000*-1</f>
        <v>15093.00814</v>
      </c>
      <c r="Y27" s="31">
        <f t="shared" si="10"/>
        <v>-2798.1340200000013</v>
      </c>
      <c r="Z27" s="27">
        <f t="shared" si="11"/>
        <v>-0.18539273245233945</v>
      </c>
      <c r="AA27" s="3"/>
      <c r="AB27" s="32">
        <f>-42959717.34/1000*-1</f>
        <v>42959.717340000003</v>
      </c>
      <c r="AC27" s="1"/>
      <c r="AD27" s="1"/>
      <c r="AE27" s="1"/>
      <c r="AF27" s="1"/>
      <c r="AG27" s="1"/>
      <c r="AH27" s="1"/>
      <c r="AI27" s="1"/>
    </row>
    <row r="28" spans="1:35" s="35" customFormat="1" ht="14.25" hidden="1" outlineLevel="2" x14ac:dyDescent="0.2">
      <c r="B28" s="34" t="s">
        <v>31</v>
      </c>
      <c r="C28" s="19"/>
      <c r="D28" s="30">
        <f>0/1000*-1</f>
        <v>0</v>
      </c>
      <c r="E28" s="31">
        <f>0/1000*-1</f>
        <v>0</v>
      </c>
      <c r="F28" s="31">
        <f t="shared" si="0"/>
        <v>0</v>
      </c>
      <c r="G28" s="26" t="str">
        <f t="shared" si="1"/>
        <v>N/A</v>
      </c>
      <c r="H28" s="31">
        <f>0/1000*-1</f>
        <v>0</v>
      </c>
      <c r="I28" s="31">
        <f t="shared" si="2"/>
        <v>0</v>
      </c>
      <c r="J28" s="27" t="str">
        <f t="shared" si="3"/>
        <v>N/A</v>
      </c>
      <c r="K28" s="19"/>
      <c r="L28" s="30">
        <f>0/1000*-1</f>
        <v>0</v>
      </c>
      <c r="M28" s="31">
        <f>0/1000*-1</f>
        <v>0</v>
      </c>
      <c r="N28" s="31">
        <f t="shared" si="4"/>
        <v>0</v>
      </c>
      <c r="O28" s="26" t="str">
        <f t="shared" si="5"/>
        <v>N/A</v>
      </c>
      <c r="P28" s="31">
        <f>0/1000*-1</f>
        <v>0</v>
      </c>
      <c r="Q28" s="31">
        <f t="shared" si="6"/>
        <v>0</v>
      </c>
      <c r="R28" s="27" t="str">
        <f t="shared" si="7"/>
        <v>N/A</v>
      </c>
      <c r="S28" s="19"/>
      <c r="T28" s="30">
        <f>0/1000*-1</f>
        <v>0</v>
      </c>
      <c r="U28" s="31">
        <f>0/1000*-1</f>
        <v>0</v>
      </c>
      <c r="V28" s="31">
        <f t="shared" si="8"/>
        <v>0</v>
      </c>
      <c r="W28" s="26" t="str">
        <f t="shared" si="9"/>
        <v>N/A</v>
      </c>
      <c r="X28" s="31">
        <f>0/1000*-1</f>
        <v>0</v>
      </c>
      <c r="Y28" s="31">
        <f t="shared" si="10"/>
        <v>0</v>
      </c>
      <c r="Z28" s="27" t="str">
        <f t="shared" si="11"/>
        <v>N/A</v>
      </c>
      <c r="AA28" s="19"/>
      <c r="AB28" s="32">
        <f>0/1000*-1</f>
        <v>0</v>
      </c>
    </row>
    <row r="29" spans="1:35" s="35" customFormat="1" ht="5.0999999999999996" hidden="1" customHeight="1" outlineLevel="1" x14ac:dyDescent="0.2">
      <c r="B29" s="34"/>
      <c r="C29" s="19"/>
      <c r="D29" s="36"/>
      <c r="E29" s="37"/>
      <c r="F29" s="37"/>
      <c r="G29" s="38"/>
      <c r="H29" s="37"/>
      <c r="I29" s="37"/>
      <c r="J29" s="39"/>
      <c r="K29" s="19"/>
      <c r="L29" s="36"/>
      <c r="M29" s="37"/>
      <c r="N29" s="37"/>
      <c r="O29" s="38"/>
      <c r="P29" s="37"/>
      <c r="Q29" s="37"/>
      <c r="R29" s="39"/>
      <c r="S29" s="19"/>
      <c r="T29" s="36"/>
      <c r="U29" s="37"/>
      <c r="V29" s="37"/>
      <c r="W29" s="38"/>
      <c r="X29" s="37"/>
      <c r="Y29" s="37"/>
      <c r="Z29" s="39"/>
      <c r="AA29" s="19"/>
      <c r="AB29" s="40"/>
    </row>
    <row r="30" spans="1:35" ht="14.25" collapsed="1" x14ac:dyDescent="0.2">
      <c r="A30" s="1"/>
      <c r="B30" s="19" t="s">
        <v>32</v>
      </c>
      <c r="C30" s="19"/>
      <c r="D30" s="30">
        <f>SUM(D13:D15,D18,D21:D22)</f>
        <v>20893.34145</v>
      </c>
      <c r="E30" s="31">
        <f>SUM(E13:E15,E18,E21:E22)</f>
        <v>29179.968370000002</v>
      </c>
      <c r="F30" s="31">
        <f>D30-E30</f>
        <v>-8286.6269200000024</v>
      </c>
      <c r="G30" s="26">
        <f>IF(ISERROR(F30/E30),"N/A",IF(ABS(F30/E30)&gt;5,"N/A",F30/E30))</f>
        <v>-0.28398340995185944</v>
      </c>
      <c r="H30" s="31">
        <f>SUM(H13:H15,H18,H21:H22)</f>
        <v>22627.596529999999</v>
      </c>
      <c r="I30" s="31">
        <f>D30-H30</f>
        <v>-1734.255079999999</v>
      </c>
      <c r="J30" s="27">
        <f>IF(ISERROR(I30/H30),"N/A",IF(ABS(I30/H30)&gt;5,"N/A",I30/H30))</f>
        <v>-7.6643362351838745E-2</v>
      </c>
      <c r="K30" s="3"/>
      <c r="L30" s="30">
        <f>SUM(L13:L15,L18,L21:L22)</f>
        <v>49666.236659999995</v>
      </c>
      <c r="M30" s="31">
        <f>SUM(M13:M15,M18,M21:M22)</f>
        <v>74784.354760000002</v>
      </c>
      <c r="N30" s="31">
        <f>L30-M30</f>
        <v>-25118.118100000007</v>
      </c>
      <c r="O30" s="26">
        <f>IF(ISERROR(N30/M30),"N/A",IF(ABS(N30/M30)&gt;5,"N/A",N30/M30))</f>
        <v>-0.33587396963722904</v>
      </c>
      <c r="P30" s="31">
        <f>SUM(P13:P15,P18,P21:P22)</f>
        <v>51831.288889999996</v>
      </c>
      <c r="Q30" s="31">
        <f>L30-P30</f>
        <v>-2165.0522300000011</v>
      </c>
      <c r="R30" s="27">
        <f>IF(ISERROR(Q30/P30),"N/A",IF(ABS(Q30/P30)&gt;5,"N/A",Q30/P30))</f>
        <v>-4.1771143962767876E-2</v>
      </c>
      <c r="S30" s="3"/>
      <c r="T30" s="30">
        <f>SUM(T13:T15,T18,T21:T22)</f>
        <v>126188.44013</v>
      </c>
      <c r="U30" s="31">
        <f>SUM(U13:U15,U18,U21:U22)</f>
        <v>142509.62517999997</v>
      </c>
      <c r="V30" s="31">
        <f>T30-U30</f>
        <v>-16321.185049999971</v>
      </c>
      <c r="W30" s="26">
        <f>IF(ISERROR(V30/U30),"N/A",IF(ABS(V30/U30)&gt;5,"N/A",V30/U30))</f>
        <v>-0.11452689619655608</v>
      </c>
      <c r="X30" s="31">
        <f>SUM(X13:X15,X18,X21:X22)</f>
        <v>128353.49235999999</v>
      </c>
      <c r="Y30" s="31">
        <f>T30-X30</f>
        <v>-2165.0522299999866</v>
      </c>
      <c r="Z30" s="27">
        <f>IF(ISERROR(Y30/X30),"N/A",IF(ABS(Y30/X30)&gt;5,"N/A",Y30/X30))</f>
        <v>-1.6867887193342177E-2</v>
      </c>
      <c r="AA30" s="3"/>
      <c r="AB30" s="32">
        <f>SUM(AB13:AB15,AB18,AB21:AB22)</f>
        <v>324193.24044999998</v>
      </c>
      <c r="AC30" s="1"/>
      <c r="AD30" s="1"/>
      <c r="AE30" s="1"/>
      <c r="AF30" s="1"/>
      <c r="AG30" s="1"/>
      <c r="AH30" s="1"/>
      <c r="AI30" s="1"/>
    </row>
    <row r="31" spans="1:35" ht="14.25" x14ac:dyDescent="0.2">
      <c r="A31" s="1"/>
      <c r="B31" s="34"/>
      <c r="C31" s="19"/>
      <c r="D31" s="30"/>
      <c r="E31" s="31"/>
      <c r="F31" s="31"/>
      <c r="G31" s="26"/>
      <c r="H31" s="31"/>
      <c r="I31" s="31"/>
      <c r="J31" s="27"/>
      <c r="K31" s="3"/>
      <c r="L31" s="30"/>
      <c r="M31" s="31"/>
      <c r="N31" s="31"/>
      <c r="O31" s="26"/>
      <c r="P31" s="31"/>
      <c r="Q31" s="31"/>
      <c r="R31" s="27"/>
      <c r="S31" s="3"/>
      <c r="T31" s="30"/>
      <c r="U31" s="31"/>
      <c r="V31" s="31"/>
      <c r="W31" s="26"/>
      <c r="X31" s="31"/>
      <c r="Y31" s="31"/>
      <c r="Z31" s="27"/>
      <c r="AA31" s="3"/>
      <c r="AB31" s="32"/>
      <c r="AC31" s="1"/>
      <c r="AD31" s="1"/>
      <c r="AE31" s="1"/>
      <c r="AF31" s="1"/>
      <c r="AG31" s="1"/>
      <c r="AH31" s="1"/>
      <c r="AI31" s="1"/>
    </row>
    <row r="32" spans="1:35" ht="14.25" x14ac:dyDescent="0.2">
      <c r="A32" s="1"/>
      <c r="B32" s="29" t="s">
        <v>33</v>
      </c>
      <c r="C32" s="19"/>
      <c r="D32" s="30">
        <f>-2700337.15/1000*-1</f>
        <v>2700.3371499999998</v>
      </c>
      <c r="E32" s="31">
        <f>-3584219.25/1000*-1</f>
        <v>3584.2192500000001</v>
      </c>
      <c r="F32" s="31">
        <f>D32-E32</f>
        <v>-883.88210000000026</v>
      </c>
      <c r="G32" s="26">
        <f>IF(ISERROR(F32/E32),"N/A",IF(ABS(F32/E32)&gt;5,"N/A",F32/E32))</f>
        <v>-0.2466038036038114</v>
      </c>
      <c r="H32" s="31">
        <f>-3646364.29/1000*-1</f>
        <v>3646.36429</v>
      </c>
      <c r="I32" s="31">
        <f>D32-H32</f>
        <v>-946.02714000000014</v>
      </c>
      <c r="J32" s="27">
        <f>IF(ISERROR(I32/H32),"N/A",IF(ABS(I32/H32)&gt;5,"N/A",I32/H32))</f>
        <v>-0.25944394601341386</v>
      </c>
      <c r="K32" s="3"/>
      <c r="L32" s="30">
        <f>-6196989.29/1000*-1</f>
        <v>6196.9892900000004</v>
      </c>
      <c r="M32" s="31">
        <f>-10197951.81/1000*-1</f>
        <v>10197.95181</v>
      </c>
      <c r="N32" s="31">
        <f>L32-M32</f>
        <v>-4000.96252</v>
      </c>
      <c r="O32" s="26">
        <f>IF(ISERROR(N32/M32),"N/A",IF(ABS(N32/M32)&gt;5,"N/A",N32/M32))</f>
        <v>-0.39233000847059307</v>
      </c>
      <c r="P32" s="31">
        <f>-7402175.46/1000*-1</f>
        <v>7402.1754600000004</v>
      </c>
      <c r="Q32" s="31">
        <f>L32-P32</f>
        <v>-1205.1861699999999</v>
      </c>
      <c r="R32" s="27">
        <f>IF(ISERROR(Q32/P32),"N/A",IF(ABS(Q32/P32)&gt;5,"N/A",Q32/P32))</f>
        <v>-0.16281513137760717</v>
      </c>
      <c r="S32" s="3"/>
      <c r="T32" s="30">
        <f>-15433468.22/1000*-1</f>
        <v>15433.468220000001</v>
      </c>
      <c r="U32" s="31">
        <f>-17865582.33/1000*-1</f>
        <v>17865.582329999997</v>
      </c>
      <c r="V32" s="31">
        <f>T32-U32</f>
        <v>-2432.1141099999968</v>
      </c>
      <c r="W32" s="26">
        <f>IF(ISERROR(V32/U32),"N/A",IF(ABS(V32/U32)&gt;5,"N/A",V32/U32))</f>
        <v>-0.13613405178044355</v>
      </c>
      <c r="X32" s="31">
        <f>-16638654.39/1000*-1</f>
        <v>16638.65439</v>
      </c>
      <c r="Y32" s="31">
        <f>T32-X32</f>
        <v>-1205.186169999999</v>
      </c>
      <c r="Z32" s="27">
        <f>IF(ISERROR(Y32/X32),"N/A",IF(ABS(Y32/X32)&gt;5,"N/A",Y32/X32))</f>
        <v>-7.2432910844300494E-2</v>
      </c>
      <c r="AA32" s="3"/>
      <c r="AB32" s="32">
        <f>-51020610.83/1000*-1</f>
        <v>51020.610829999998</v>
      </c>
      <c r="AC32" s="1"/>
      <c r="AD32" s="1"/>
      <c r="AE32" s="1"/>
      <c r="AF32" s="1"/>
      <c r="AG32" s="1"/>
      <c r="AH32" s="1"/>
      <c r="AI32" s="1"/>
    </row>
    <row r="33" spans="1:35" ht="14.25" x14ac:dyDescent="0.2">
      <c r="A33" s="1"/>
      <c r="B33" s="34"/>
      <c r="C33" s="19"/>
      <c r="D33" s="30"/>
      <c r="E33" s="31"/>
      <c r="F33" s="31"/>
      <c r="G33" s="26"/>
      <c r="H33" s="31"/>
      <c r="I33" s="31"/>
      <c r="J33" s="27"/>
      <c r="K33" s="3"/>
      <c r="L33" s="30"/>
      <c r="M33" s="31"/>
      <c r="N33" s="31"/>
      <c r="O33" s="26"/>
      <c r="P33" s="31"/>
      <c r="Q33" s="31"/>
      <c r="R33" s="27"/>
      <c r="S33" s="3"/>
      <c r="T33" s="30"/>
      <c r="U33" s="31"/>
      <c r="V33" s="31"/>
      <c r="W33" s="26"/>
      <c r="X33" s="31"/>
      <c r="Y33" s="31"/>
      <c r="Z33" s="27"/>
      <c r="AA33" s="3"/>
      <c r="AB33" s="32"/>
      <c r="AC33" s="1"/>
      <c r="AD33" s="1"/>
      <c r="AE33" s="1"/>
      <c r="AF33" s="1"/>
      <c r="AG33" s="1"/>
      <c r="AH33" s="1"/>
      <c r="AI33" s="1"/>
    </row>
    <row r="34" spans="1:35" x14ac:dyDescent="0.25">
      <c r="A34" s="1"/>
      <c r="B34" s="41" t="s">
        <v>34</v>
      </c>
      <c r="C34" s="19"/>
      <c r="D34" s="30">
        <f>SUM(D30:D33)</f>
        <v>23593.678599999999</v>
      </c>
      <c r="E34" s="31">
        <f>SUM(E30:E33)</f>
        <v>32764.187620000004</v>
      </c>
      <c r="F34" s="31">
        <f>D34-E34</f>
        <v>-9170.509020000005</v>
      </c>
      <c r="G34" s="26">
        <f>IF(ISERROR(F34/E34),"N/A",IF(ABS(F34/E34)&gt;5,"N/A",F34/E34))</f>
        <v>-0.27989428965429675</v>
      </c>
      <c r="H34" s="31">
        <f>SUM(H30:H33)</f>
        <v>26273.96082</v>
      </c>
      <c r="I34" s="31">
        <f>D34-H34</f>
        <v>-2680.282220000001</v>
      </c>
      <c r="J34" s="27">
        <f>IF(ISERROR(I34/H34),"N/A",IF(ABS(I34/H34)&gt;5,"N/A",I34/H34))</f>
        <v>-0.10201287268266547</v>
      </c>
      <c r="K34" s="3"/>
      <c r="L34" s="30">
        <f>SUM(L30:L33)</f>
        <v>55863.225949999993</v>
      </c>
      <c r="M34" s="31">
        <f>SUM(M30:M33)</f>
        <v>84982.306570000001</v>
      </c>
      <c r="N34" s="31">
        <f>L34-M34</f>
        <v>-29119.080620000008</v>
      </c>
      <c r="O34" s="26">
        <f>IF(ISERROR(N34/M34),"N/A",IF(ABS(N34/M34)&gt;5,"N/A",N34/M34))</f>
        <v>-0.34264874413610552</v>
      </c>
      <c r="P34" s="31">
        <f>SUM(P30:P33)</f>
        <v>59233.464349999995</v>
      </c>
      <c r="Q34" s="31">
        <f>L34-P34</f>
        <v>-3370.238400000002</v>
      </c>
      <c r="R34" s="27">
        <f>IF(ISERROR(Q34/P34),"N/A",IF(ABS(Q34/P34)&gt;5,"N/A",Q34/P34))</f>
        <v>-5.6897539878570387E-2</v>
      </c>
      <c r="S34" s="3"/>
      <c r="T34" s="30">
        <f>SUM(T30:T33)</f>
        <v>141621.90835000001</v>
      </c>
      <c r="U34" s="31">
        <f>SUM(U30:U33)</f>
        <v>160375.20750999998</v>
      </c>
      <c r="V34" s="31">
        <f>T34-U34</f>
        <v>-18753.299159999966</v>
      </c>
      <c r="W34" s="26">
        <f>IF(ISERROR(V34/U34),"N/A",IF(ABS(V34/U34)&gt;5,"N/A",V34/U34))</f>
        <v>-0.1169339042559345</v>
      </c>
      <c r="X34" s="31">
        <f>SUM(X30:X33)</f>
        <v>144992.14674999999</v>
      </c>
      <c r="Y34" s="31">
        <f>T34-X34</f>
        <v>-3370.2383999999729</v>
      </c>
      <c r="Z34" s="27">
        <f>IF(ISERROR(Y34/X34),"N/A",IF(ABS(Y34/X34)&gt;5,"N/A",Y34/X34))</f>
        <v>-2.3244282366623924E-2</v>
      </c>
      <c r="AA34" s="3"/>
      <c r="AB34" s="32">
        <f>SUM(AB30:AB33)</f>
        <v>375213.85128</v>
      </c>
      <c r="AC34" s="1"/>
      <c r="AD34" s="1"/>
      <c r="AE34" s="1"/>
      <c r="AF34" s="1"/>
      <c r="AG34" s="1"/>
      <c r="AH34" s="1"/>
      <c r="AI34" s="1"/>
    </row>
    <row r="35" spans="1:35" s="35" customFormat="1" x14ac:dyDescent="0.25">
      <c r="B35" s="41"/>
      <c r="C35" s="19"/>
      <c r="D35" s="30"/>
      <c r="E35" s="31"/>
      <c r="F35" s="31"/>
      <c r="G35" s="26"/>
      <c r="H35" s="31"/>
      <c r="I35" s="31"/>
      <c r="J35" s="27"/>
      <c r="K35" s="19"/>
      <c r="L35" s="30"/>
      <c r="M35" s="31"/>
      <c r="N35" s="31"/>
      <c r="O35" s="26"/>
      <c r="P35" s="31"/>
      <c r="Q35" s="31"/>
      <c r="R35" s="27"/>
      <c r="S35" s="19"/>
      <c r="T35" s="30"/>
      <c r="U35" s="31"/>
      <c r="V35" s="31"/>
      <c r="W35" s="26"/>
      <c r="X35" s="31"/>
      <c r="Y35" s="31"/>
      <c r="Z35" s="27"/>
      <c r="AA35" s="19"/>
      <c r="AB35" s="42"/>
    </row>
    <row r="36" spans="1:35" s="35" customFormat="1" x14ac:dyDescent="0.25">
      <c r="B36" s="19"/>
      <c r="C36" s="19"/>
      <c r="D36" s="43"/>
      <c r="E36" s="44"/>
      <c r="F36" s="44"/>
      <c r="G36" s="45"/>
      <c r="H36" s="44"/>
      <c r="I36" s="44"/>
      <c r="J36" s="46"/>
      <c r="K36" s="19"/>
      <c r="L36" s="43"/>
      <c r="M36" s="44"/>
      <c r="N36" s="44"/>
      <c r="O36" s="45"/>
      <c r="P36" s="44"/>
      <c r="Q36" s="44"/>
      <c r="R36" s="46"/>
      <c r="S36" s="19"/>
      <c r="T36" s="43"/>
      <c r="U36" s="44"/>
      <c r="V36" s="44"/>
      <c r="W36" s="45"/>
      <c r="X36" s="44"/>
      <c r="Y36" s="44"/>
      <c r="Z36" s="46"/>
      <c r="AA36" s="19"/>
      <c r="AB36" s="47"/>
    </row>
    <row r="37" spans="1:35" ht="14.25" x14ac:dyDescent="0.2">
      <c r="A37" s="1"/>
      <c r="B37" s="19" t="s">
        <v>16</v>
      </c>
      <c r="C37" s="19"/>
      <c r="D37" s="30">
        <f>-841094.04/1000*-1</f>
        <v>841.09404000000006</v>
      </c>
      <c r="E37" s="31">
        <f>-1014389.45/1000*-1</f>
        <v>1014.3894499999999</v>
      </c>
      <c r="F37" s="31">
        <f t="shared" ref="F37:F52" si="12">D37-E37</f>
        <v>-173.29540999999983</v>
      </c>
      <c r="G37" s="26">
        <f t="shared" ref="G37:G52" si="13">IF(ISERROR(F37/E37),"N/A",IF(ABS(F37/E37)&gt;5,"N/A",F37/E37))</f>
        <v>-0.17083715726735904</v>
      </c>
      <c r="H37" s="31">
        <f>-1142900.389863/1000*-1</f>
        <v>1142.9003898630001</v>
      </c>
      <c r="I37" s="31">
        <f t="shared" ref="I37:I52" si="14">D37-H37</f>
        <v>-301.80634986300004</v>
      </c>
      <c r="J37" s="27">
        <f t="shared" ref="J37:J52" si="15">IF(ISERROR(I37/H37),"N/A",IF(ABS(I37/H37)&gt;5,"N/A",I37/H37))</f>
        <v>-0.26407056340157314</v>
      </c>
      <c r="K37" s="3"/>
      <c r="L37" s="30">
        <f>-2398965.28/1000*-1</f>
        <v>2398.9652799999999</v>
      </c>
      <c r="M37" s="31">
        <f>-2936204.19/1000*-1</f>
        <v>2936.2041899999999</v>
      </c>
      <c r="N37" s="31">
        <f t="shared" ref="N37:N52" si="16">L37-M37</f>
        <v>-537.23891000000003</v>
      </c>
      <c r="O37" s="26">
        <f t="shared" ref="O37:O52" si="17">IF(ISERROR(N37/M37),"N/A",IF(ABS(N37/M37)&gt;5,"N/A",N37/M37))</f>
        <v>-0.18297055491907055</v>
      </c>
      <c r="P37" s="31">
        <f>-2943444.772842/1000*-1</f>
        <v>2943.4447728419996</v>
      </c>
      <c r="Q37" s="31">
        <f t="shared" ref="Q37:Q52" si="18">L37-P37</f>
        <v>-544.47949284199967</v>
      </c>
      <c r="R37" s="27">
        <f t="shared" ref="R37:R52" si="19">IF(ISERROR(Q37/P37),"N/A",IF(ABS(Q37/P37)&gt;5,"N/A",Q37/P37))</f>
        <v>-0.18498036649632313</v>
      </c>
      <c r="S37" s="3"/>
      <c r="T37" s="30">
        <f>-5075179.58/1000*-1</f>
        <v>5075.17958</v>
      </c>
      <c r="U37" s="31">
        <f>-5848787.02/1000*-1</f>
        <v>5848.7870199999998</v>
      </c>
      <c r="V37" s="31">
        <f t="shared" ref="V37:V52" si="20">T37-U37</f>
        <v>-773.60743999999977</v>
      </c>
      <c r="W37" s="26">
        <f t="shared" ref="W37:W52" si="21">IF(ISERROR(V37/U37),"N/A",IF(ABS(V37/U37)&gt;5,"N/A",V37/U37))</f>
        <v>-0.13226801341109526</v>
      </c>
      <c r="X37" s="31">
        <f>-5619659.072842/1000*-1</f>
        <v>5619.6590728419997</v>
      </c>
      <c r="Y37" s="31">
        <f t="shared" ref="Y37:Y52" si="22">T37-X37</f>
        <v>-544.47949284199967</v>
      </c>
      <c r="Z37" s="27">
        <f t="shared" ref="Z37:Z52" si="23">IF(ISERROR(Y37/X37),"N/A",IF(ABS(Y37/X37)&gt;5,"N/A",Y37/X37))</f>
        <v>-9.6888349592823789E-2</v>
      </c>
      <c r="AA37" s="3"/>
      <c r="AB37" s="32">
        <f>-17446563.289075/1000*-1</f>
        <v>17446.563289074998</v>
      </c>
      <c r="AC37" s="1"/>
      <c r="AD37" s="1"/>
      <c r="AE37" s="1"/>
      <c r="AF37" s="1"/>
      <c r="AG37" s="1"/>
      <c r="AH37" s="1"/>
      <c r="AI37" s="1"/>
    </row>
    <row r="38" spans="1:35" ht="14.25" x14ac:dyDescent="0.2">
      <c r="A38" s="1"/>
      <c r="B38" s="29" t="s">
        <v>17</v>
      </c>
      <c r="C38" s="19"/>
      <c r="D38" s="30">
        <f>-75982.06/1000*-1</f>
        <v>75.982060000000004</v>
      </c>
      <c r="E38" s="31">
        <f>-415541.89/1000*-1</f>
        <v>415.54189000000002</v>
      </c>
      <c r="F38" s="31">
        <f t="shared" si="12"/>
        <v>-339.55983000000003</v>
      </c>
      <c r="G38" s="26">
        <f t="shared" si="13"/>
        <v>-0.81714945754325763</v>
      </c>
      <c r="H38" s="31">
        <f>-136298.397846/1000*-1</f>
        <v>136.298397846</v>
      </c>
      <c r="I38" s="31">
        <f t="shared" si="14"/>
        <v>-60.316337845999996</v>
      </c>
      <c r="J38" s="27">
        <f t="shared" si="15"/>
        <v>-0.44253152494242709</v>
      </c>
      <c r="K38" s="3"/>
      <c r="L38" s="30">
        <f>-26838.47/1000*-1</f>
        <v>26.838470000000001</v>
      </c>
      <c r="M38" s="31">
        <f>-522361.78/1000*-1</f>
        <v>522.36178000000007</v>
      </c>
      <c r="N38" s="31">
        <f t="shared" si="16"/>
        <v>-495.52331000000004</v>
      </c>
      <c r="O38" s="26">
        <f t="shared" si="17"/>
        <v>-0.94862091556545347</v>
      </c>
      <c r="P38" s="31">
        <f>-506839.61958/1000*-1</f>
        <v>506.83961957999998</v>
      </c>
      <c r="Q38" s="31">
        <f t="shared" si="18"/>
        <v>-480.00114957999995</v>
      </c>
      <c r="R38" s="27">
        <f t="shared" si="19"/>
        <v>-0.94704741112733037</v>
      </c>
      <c r="S38" s="3"/>
      <c r="T38" s="30">
        <f>-481496.78/1000*-1</f>
        <v>481.49678</v>
      </c>
      <c r="U38" s="31">
        <f>-652105.87/1000*-1</f>
        <v>652.10586999999998</v>
      </c>
      <c r="V38" s="31">
        <f t="shared" si="20"/>
        <v>-170.60908999999998</v>
      </c>
      <c r="W38" s="26">
        <f t="shared" si="21"/>
        <v>-0.26162790100325273</v>
      </c>
      <c r="X38" s="31">
        <f>-961497.92958/1000*-1</f>
        <v>961.49792958</v>
      </c>
      <c r="Y38" s="31">
        <f t="shared" si="22"/>
        <v>-480.00114958</v>
      </c>
      <c r="Z38" s="27">
        <f t="shared" si="23"/>
        <v>-0.49922223939647309</v>
      </c>
      <c r="AA38" s="3"/>
      <c r="AB38" s="32">
        <f>-1999172.980985/1000*-1</f>
        <v>1999.1729809850001</v>
      </c>
      <c r="AC38" s="1"/>
      <c r="AD38" s="1"/>
      <c r="AE38" s="1"/>
      <c r="AF38" s="1"/>
      <c r="AG38" s="1"/>
      <c r="AH38" s="1"/>
      <c r="AI38" s="1"/>
    </row>
    <row r="39" spans="1:35" ht="14.25" x14ac:dyDescent="0.2">
      <c r="A39" s="1"/>
      <c r="B39" s="19" t="s">
        <v>18</v>
      </c>
      <c r="C39" s="19"/>
      <c r="D39" s="30">
        <f>SUM(D40:D41)</f>
        <v>-6.1109999999999998E-2</v>
      </c>
      <c r="E39" s="31">
        <f>SUM(E40:E41)</f>
        <v>-7.6489999999999989E-2</v>
      </c>
      <c r="F39" s="31">
        <f t="shared" si="12"/>
        <v>1.5379999999999991E-2</v>
      </c>
      <c r="G39" s="26">
        <f t="shared" si="13"/>
        <v>-0.20107203556020387</v>
      </c>
      <c r="H39" s="31">
        <f>SUM(H40:H41)</f>
        <v>49.081292169999998</v>
      </c>
      <c r="I39" s="31">
        <f t="shared" si="14"/>
        <v>-49.142402169999997</v>
      </c>
      <c r="J39" s="27">
        <f t="shared" si="15"/>
        <v>-1.0012450772442651</v>
      </c>
      <c r="K39" s="3"/>
      <c r="L39" s="30">
        <f>SUM(L40:L41)</f>
        <v>-0.29205999999999999</v>
      </c>
      <c r="M39" s="31">
        <f>SUM(M40:M41)</f>
        <v>-11.71719</v>
      </c>
      <c r="N39" s="31">
        <f t="shared" si="16"/>
        <v>11.425130000000001</v>
      </c>
      <c r="O39" s="26">
        <f t="shared" si="17"/>
        <v>-0.97507422854797099</v>
      </c>
      <c r="P39" s="31">
        <f>SUM(P40:P41)</f>
        <v>49.304592170000006</v>
      </c>
      <c r="Q39" s="31">
        <f t="shared" si="18"/>
        <v>-49.596652170000006</v>
      </c>
      <c r="R39" s="27">
        <f t="shared" si="19"/>
        <v>-1.0059235861640026</v>
      </c>
      <c r="S39" s="3"/>
      <c r="T39" s="30">
        <f>SUM(T40:T41)</f>
        <v>-0.55601999999999996</v>
      </c>
      <c r="U39" s="31">
        <f>SUM(U40:U41)</f>
        <v>-9.9315599999999993</v>
      </c>
      <c r="V39" s="31">
        <f t="shared" si="20"/>
        <v>9.3755399999999991</v>
      </c>
      <c r="W39" s="26">
        <f t="shared" si="21"/>
        <v>-0.94401483754817972</v>
      </c>
      <c r="X39" s="31">
        <f>SUM(X40:X41)</f>
        <v>49.040632169999995</v>
      </c>
      <c r="Y39" s="31">
        <f t="shared" si="22"/>
        <v>-49.596652169999992</v>
      </c>
      <c r="Z39" s="27">
        <f t="shared" si="23"/>
        <v>-1.0113379451976179</v>
      </c>
      <c r="AA39" s="3"/>
      <c r="AB39" s="32">
        <f>SUM(AB40:AB41)</f>
        <v>291.87708237999999</v>
      </c>
      <c r="AC39" s="1"/>
      <c r="AD39" s="1"/>
      <c r="AE39" s="1"/>
      <c r="AF39" s="1"/>
      <c r="AG39" s="1"/>
      <c r="AH39" s="1"/>
      <c r="AI39" s="1"/>
    </row>
    <row r="40" spans="1:35" ht="14.25" hidden="1" outlineLevel="1" x14ac:dyDescent="0.2">
      <c r="A40" s="1"/>
      <c r="B40" s="33" t="s">
        <v>19</v>
      </c>
      <c r="C40" s="19"/>
      <c r="D40" s="30">
        <f>0/1000*-1</f>
        <v>0</v>
      </c>
      <c r="E40" s="31">
        <f>0/1000*-1</f>
        <v>0</v>
      </c>
      <c r="F40" s="31">
        <f t="shared" si="12"/>
        <v>0</v>
      </c>
      <c r="G40" s="26" t="str">
        <f t="shared" si="13"/>
        <v>N/A</v>
      </c>
      <c r="H40" s="31">
        <f>0/1000*-1</f>
        <v>0</v>
      </c>
      <c r="I40" s="31">
        <f t="shared" si="14"/>
        <v>0</v>
      </c>
      <c r="J40" s="27" t="str">
        <f t="shared" si="15"/>
        <v>N/A</v>
      </c>
      <c r="K40" s="3"/>
      <c r="L40" s="30">
        <f>0/1000*-1</f>
        <v>0</v>
      </c>
      <c r="M40" s="31">
        <f>0/1000*-1</f>
        <v>0</v>
      </c>
      <c r="N40" s="31">
        <f t="shared" si="16"/>
        <v>0</v>
      </c>
      <c r="O40" s="26" t="str">
        <f t="shared" si="17"/>
        <v>N/A</v>
      </c>
      <c r="P40" s="31">
        <f>0/1000*-1</f>
        <v>0</v>
      </c>
      <c r="Q40" s="31">
        <f t="shared" si="18"/>
        <v>0</v>
      </c>
      <c r="R40" s="27" t="str">
        <f t="shared" si="19"/>
        <v>N/A</v>
      </c>
      <c r="S40" s="3"/>
      <c r="T40" s="30">
        <f>0/1000*-1</f>
        <v>0</v>
      </c>
      <c r="U40" s="31">
        <f>0/1000*-1</f>
        <v>0</v>
      </c>
      <c r="V40" s="31">
        <f t="shared" si="20"/>
        <v>0</v>
      </c>
      <c r="W40" s="26" t="str">
        <f t="shared" si="21"/>
        <v>N/A</v>
      </c>
      <c r="X40" s="31">
        <f>0/1000*-1</f>
        <v>0</v>
      </c>
      <c r="Y40" s="31">
        <f t="shared" si="22"/>
        <v>0</v>
      </c>
      <c r="Z40" s="27" t="str">
        <f t="shared" si="23"/>
        <v>N/A</v>
      </c>
      <c r="AA40" s="3"/>
      <c r="AB40" s="32">
        <f>0/1000*-1</f>
        <v>0</v>
      </c>
      <c r="AC40" s="1"/>
      <c r="AD40" s="1"/>
      <c r="AE40" s="1"/>
      <c r="AF40" s="1"/>
      <c r="AG40" s="1"/>
      <c r="AH40" s="1"/>
      <c r="AI40" s="1"/>
    </row>
    <row r="41" spans="1:35" ht="14.25" hidden="1" outlineLevel="1" x14ac:dyDescent="0.2">
      <c r="A41" s="1"/>
      <c r="B41" s="33" t="s">
        <v>20</v>
      </c>
      <c r="C41" s="19"/>
      <c r="D41" s="30">
        <f>61.11/1000*-1</f>
        <v>-6.1109999999999998E-2</v>
      </c>
      <c r="E41" s="31">
        <f>76.49/1000*-1</f>
        <v>-7.6489999999999989E-2</v>
      </c>
      <c r="F41" s="31">
        <f t="shared" si="12"/>
        <v>1.5379999999999991E-2</v>
      </c>
      <c r="G41" s="26">
        <f t="shared" si="13"/>
        <v>-0.20107203556020387</v>
      </c>
      <c r="H41" s="31">
        <f>-49081.29217/1000*-1</f>
        <v>49.081292169999998</v>
      </c>
      <c r="I41" s="31">
        <f t="shared" si="14"/>
        <v>-49.142402169999997</v>
      </c>
      <c r="J41" s="27">
        <f t="shared" si="15"/>
        <v>-1.0012450772442651</v>
      </c>
      <c r="K41" s="3"/>
      <c r="L41" s="30">
        <f>292.06/1000*-1</f>
        <v>-0.29205999999999999</v>
      </c>
      <c r="M41" s="31">
        <f>11717.19/1000*-1</f>
        <v>-11.71719</v>
      </c>
      <c r="N41" s="31">
        <f t="shared" si="16"/>
        <v>11.425130000000001</v>
      </c>
      <c r="O41" s="26">
        <f t="shared" si="17"/>
        <v>-0.97507422854797099</v>
      </c>
      <c r="P41" s="31">
        <f>-49304.59217/1000*-1</f>
        <v>49.304592170000006</v>
      </c>
      <c r="Q41" s="31">
        <f t="shared" si="18"/>
        <v>-49.596652170000006</v>
      </c>
      <c r="R41" s="27">
        <f t="shared" si="19"/>
        <v>-1.0059235861640026</v>
      </c>
      <c r="S41" s="3"/>
      <c r="T41" s="30">
        <f>556.02/1000*-1</f>
        <v>-0.55601999999999996</v>
      </c>
      <c r="U41" s="31">
        <f>9931.56/1000*-1</f>
        <v>-9.9315599999999993</v>
      </c>
      <c r="V41" s="31">
        <f t="shared" si="20"/>
        <v>9.3755399999999991</v>
      </c>
      <c r="W41" s="26">
        <f t="shared" si="21"/>
        <v>-0.94401483754817972</v>
      </c>
      <c r="X41" s="31">
        <f>-49040.63217/1000*-1</f>
        <v>49.040632169999995</v>
      </c>
      <c r="Y41" s="31">
        <f t="shared" si="22"/>
        <v>-49.596652169999992</v>
      </c>
      <c r="Z41" s="27">
        <f t="shared" si="23"/>
        <v>-1.0113379451976179</v>
      </c>
      <c r="AA41" s="3"/>
      <c r="AB41" s="32">
        <f>-291877.08238/1000*-1</f>
        <v>291.87708237999999</v>
      </c>
      <c r="AC41" s="1"/>
      <c r="AD41" s="1"/>
      <c r="AE41" s="1"/>
      <c r="AF41" s="1"/>
      <c r="AG41" s="1"/>
      <c r="AH41" s="1"/>
      <c r="AI41" s="1"/>
    </row>
    <row r="42" spans="1:35" ht="14.25" collapsed="1" x14ac:dyDescent="0.2">
      <c r="A42" s="1"/>
      <c r="B42" s="19" t="s">
        <v>21</v>
      </c>
      <c r="C42" s="19"/>
      <c r="D42" s="30">
        <f>SUM(D43:D44)</f>
        <v>250.25001</v>
      </c>
      <c r="E42" s="31">
        <f>SUM(E43:E44)</f>
        <v>70.355379999999997</v>
      </c>
      <c r="F42" s="31">
        <f t="shared" si="12"/>
        <v>179.89463000000001</v>
      </c>
      <c r="G42" s="26">
        <f t="shared" si="13"/>
        <v>2.5569420561725344</v>
      </c>
      <c r="H42" s="31">
        <f>SUM(H43:H44)</f>
        <v>19.172098085000002</v>
      </c>
      <c r="I42" s="31">
        <f t="shared" si="14"/>
        <v>231.07791191500002</v>
      </c>
      <c r="J42" s="27" t="str">
        <f t="shared" si="15"/>
        <v>N/A</v>
      </c>
      <c r="K42" s="3"/>
      <c r="L42" s="30">
        <f>SUM(L43:L44)</f>
        <v>405.40556000000004</v>
      </c>
      <c r="M42" s="31">
        <f>SUM(M43:M44)</f>
        <v>404.63884000000002</v>
      </c>
      <c r="N42" s="31">
        <f t="shared" si="16"/>
        <v>0.76672000000002072</v>
      </c>
      <c r="O42" s="26">
        <f t="shared" si="17"/>
        <v>1.8948255189739588E-3</v>
      </c>
      <c r="P42" s="31">
        <f>SUM(P43:P44)</f>
        <v>70.822820359999994</v>
      </c>
      <c r="Q42" s="31">
        <f t="shared" si="18"/>
        <v>334.58273964000006</v>
      </c>
      <c r="R42" s="27">
        <f t="shared" si="19"/>
        <v>4.7242221919330536</v>
      </c>
      <c r="S42" s="3"/>
      <c r="T42" s="30">
        <f>SUM(T43:T44)</f>
        <v>800.85548000000006</v>
      </c>
      <c r="U42" s="31">
        <f>SUM(U43:U44)</f>
        <v>970.01681000000008</v>
      </c>
      <c r="V42" s="31">
        <f t="shared" si="20"/>
        <v>-169.16133000000002</v>
      </c>
      <c r="W42" s="26">
        <f t="shared" si="21"/>
        <v>-0.17439010154885873</v>
      </c>
      <c r="X42" s="31">
        <f>SUM(X43:X44)</f>
        <v>466.27274036000006</v>
      </c>
      <c r="Y42" s="31">
        <f t="shared" si="22"/>
        <v>334.58273964</v>
      </c>
      <c r="Z42" s="27">
        <f t="shared" si="23"/>
        <v>0.71756873323041626</v>
      </c>
      <c r="AA42" s="3"/>
      <c r="AB42" s="32">
        <f>SUM(AB43:AB44)</f>
        <v>2237.9995177660003</v>
      </c>
      <c r="AC42" s="1"/>
      <c r="AD42" s="1"/>
      <c r="AE42" s="1"/>
      <c r="AF42" s="1"/>
      <c r="AG42" s="1"/>
      <c r="AH42" s="1"/>
      <c r="AI42" s="1"/>
    </row>
    <row r="43" spans="1:35" ht="14.25" hidden="1" outlineLevel="1" x14ac:dyDescent="0.2">
      <c r="A43" s="1"/>
      <c r="B43" s="33" t="s">
        <v>22</v>
      </c>
      <c r="C43" s="19"/>
      <c r="D43" s="30">
        <f>-240410.92/1000*-1</f>
        <v>240.41092</v>
      </c>
      <c r="E43" s="31">
        <f>-69516.53/1000*-1</f>
        <v>69.516530000000003</v>
      </c>
      <c r="F43" s="31">
        <f t="shared" si="12"/>
        <v>170.89438999999999</v>
      </c>
      <c r="G43" s="26">
        <f t="shared" si="13"/>
        <v>2.4583273934990713</v>
      </c>
      <c r="H43" s="31">
        <f>-19172.098085/1000*-1</f>
        <v>19.172098085000002</v>
      </c>
      <c r="I43" s="31">
        <f t="shared" si="14"/>
        <v>221.23882191500002</v>
      </c>
      <c r="J43" s="27" t="str">
        <f t="shared" si="15"/>
        <v>N/A</v>
      </c>
      <c r="K43" s="3"/>
      <c r="L43" s="30">
        <f>-363152.69/1000*-1</f>
        <v>363.15269000000001</v>
      </c>
      <c r="M43" s="31">
        <f>-226724.02/1000*-1</f>
        <v>226.72402</v>
      </c>
      <c r="N43" s="31">
        <f t="shared" si="16"/>
        <v>136.42867000000001</v>
      </c>
      <c r="O43" s="26">
        <f t="shared" si="17"/>
        <v>0.60173893352808416</v>
      </c>
      <c r="P43" s="31">
        <f>-38409.04036/1000*-1</f>
        <v>38.409040359999999</v>
      </c>
      <c r="Q43" s="31">
        <f t="shared" si="18"/>
        <v>324.74364964</v>
      </c>
      <c r="R43" s="27" t="str">
        <f t="shared" si="19"/>
        <v>N/A</v>
      </c>
      <c r="S43" s="3"/>
      <c r="T43" s="30">
        <f>-757970.92/1000*-1</f>
        <v>757.97092000000009</v>
      </c>
      <c r="U43" s="31">
        <f>-473209.33/1000*-1</f>
        <v>473.20933000000002</v>
      </c>
      <c r="V43" s="31">
        <f t="shared" si="20"/>
        <v>284.76159000000007</v>
      </c>
      <c r="W43" s="26">
        <f t="shared" si="21"/>
        <v>0.60176664310486028</v>
      </c>
      <c r="X43" s="31">
        <f>-433227.27036/1000*-1</f>
        <v>433.22727036000003</v>
      </c>
      <c r="Y43" s="31">
        <f t="shared" si="22"/>
        <v>324.74364964000006</v>
      </c>
      <c r="Z43" s="27">
        <f t="shared" si="23"/>
        <v>0.74959189288833772</v>
      </c>
      <c r="AA43" s="3"/>
      <c r="AB43" s="32">
        <f>-2204954.047766/1000*-1</f>
        <v>2204.9540477660003</v>
      </c>
      <c r="AC43" s="1"/>
      <c r="AD43" s="1"/>
      <c r="AE43" s="1"/>
      <c r="AF43" s="1"/>
      <c r="AG43" s="1"/>
      <c r="AH43" s="1"/>
      <c r="AI43" s="1"/>
    </row>
    <row r="44" spans="1:35" ht="14.25" hidden="1" outlineLevel="1" x14ac:dyDescent="0.2">
      <c r="A44" s="1"/>
      <c r="B44" s="33">
        <v>420040</v>
      </c>
      <c r="C44" s="19"/>
      <c r="D44" s="30">
        <f>-9839.09/1000*-1</f>
        <v>9.8390900000000006</v>
      </c>
      <c r="E44" s="31">
        <f>-838.85/1000*-1</f>
        <v>0.83884999999999998</v>
      </c>
      <c r="F44" s="31">
        <f t="shared" si="12"/>
        <v>9.0002399999999998</v>
      </c>
      <c r="G44" s="26" t="str">
        <f t="shared" si="13"/>
        <v>N/A</v>
      </c>
      <c r="H44" s="31">
        <f>0/1000*-1</f>
        <v>0</v>
      </c>
      <c r="I44" s="31">
        <f t="shared" si="14"/>
        <v>9.8390900000000006</v>
      </c>
      <c r="J44" s="27" t="str">
        <f t="shared" si="15"/>
        <v>N/A</v>
      </c>
      <c r="K44" s="3"/>
      <c r="L44" s="30">
        <f>-42252.87/1000*-1</f>
        <v>42.252870000000001</v>
      </c>
      <c r="M44" s="31">
        <f>-177914.82/1000*-1</f>
        <v>177.91482000000002</v>
      </c>
      <c r="N44" s="31">
        <f t="shared" si="16"/>
        <v>-135.66195000000002</v>
      </c>
      <c r="O44" s="26">
        <f t="shared" si="17"/>
        <v>-0.76251067786258619</v>
      </c>
      <c r="P44" s="31">
        <f>-32413.78/1000*-1</f>
        <v>32.413779999999996</v>
      </c>
      <c r="Q44" s="31">
        <f t="shared" si="18"/>
        <v>9.8390900000000059</v>
      </c>
      <c r="R44" s="27">
        <f t="shared" si="19"/>
        <v>0.30354651632731533</v>
      </c>
      <c r="S44" s="3"/>
      <c r="T44" s="30">
        <f>-42884.56/1000*-1</f>
        <v>42.88456</v>
      </c>
      <c r="U44" s="31">
        <f>-496807.48/1000*-1</f>
        <v>496.80748</v>
      </c>
      <c r="V44" s="31">
        <f t="shared" si="20"/>
        <v>-453.92291999999998</v>
      </c>
      <c r="W44" s="26">
        <f t="shared" si="21"/>
        <v>-0.91367972156940946</v>
      </c>
      <c r="X44" s="31">
        <f>-33045.47/1000*-1</f>
        <v>33.045470000000002</v>
      </c>
      <c r="Y44" s="31">
        <f t="shared" si="22"/>
        <v>9.8390899999999988</v>
      </c>
      <c r="Z44" s="27">
        <f t="shared" si="23"/>
        <v>0.29774398729992335</v>
      </c>
      <c r="AA44" s="3"/>
      <c r="AB44" s="32">
        <f>-33045.47/1000*-1</f>
        <v>33.045470000000002</v>
      </c>
      <c r="AC44" s="1"/>
      <c r="AD44" s="1"/>
      <c r="AE44" s="1"/>
      <c r="AF44" s="1"/>
      <c r="AG44" s="1"/>
      <c r="AH44" s="1"/>
      <c r="AI44" s="1"/>
    </row>
    <row r="45" spans="1:35" ht="14.25" collapsed="1" x14ac:dyDescent="0.2">
      <c r="A45" s="1"/>
      <c r="B45" s="19" t="s">
        <v>24</v>
      </c>
      <c r="C45" s="19"/>
      <c r="D45" s="30">
        <v>0</v>
      </c>
      <c r="E45" s="31">
        <v>0</v>
      </c>
      <c r="F45" s="31">
        <f t="shared" si="12"/>
        <v>0</v>
      </c>
      <c r="G45" s="26" t="str">
        <f t="shared" si="13"/>
        <v>N/A</v>
      </c>
      <c r="H45" s="31">
        <v>0</v>
      </c>
      <c r="I45" s="31">
        <f t="shared" si="14"/>
        <v>0</v>
      </c>
      <c r="J45" s="27" t="str">
        <f t="shared" si="15"/>
        <v>N/A</v>
      </c>
      <c r="K45" s="3"/>
      <c r="L45" s="30">
        <v>0</v>
      </c>
      <c r="M45" s="31">
        <v>0</v>
      </c>
      <c r="N45" s="31">
        <f t="shared" si="16"/>
        <v>0</v>
      </c>
      <c r="O45" s="26" t="str">
        <f t="shared" si="17"/>
        <v>N/A</v>
      </c>
      <c r="P45" s="31">
        <v>0</v>
      </c>
      <c r="Q45" s="31">
        <f t="shared" si="18"/>
        <v>0</v>
      </c>
      <c r="R45" s="27" t="str">
        <f t="shared" si="19"/>
        <v>N/A</v>
      </c>
      <c r="S45" s="3"/>
      <c r="T45" s="30">
        <v>0</v>
      </c>
      <c r="U45" s="31">
        <v>0</v>
      </c>
      <c r="V45" s="31">
        <f t="shared" si="20"/>
        <v>0</v>
      </c>
      <c r="W45" s="26" t="str">
        <f t="shared" si="21"/>
        <v>N/A</v>
      </c>
      <c r="X45" s="31">
        <v>0</v>
      </c>
      <c r="Y45" s="31">
        <f t="shared" si="22"/>
        <v>0</v>
      </c>
      <c r="Z45" s="27" t="str">
        <f t="shared" si="23"/>
        <v>N/A</v>
      </c>
      <c r="AA45" s="3"/>
      <c r="AB45" s="32">
        <v>0</v>
      </c>
      <c r="AC45" s="1"/>
      <c r="AD45" s="1"/>
      <c r="AE45" s="1"/>
      <c r="AF45" s="1"/>
      <c r="AG45" s="1"/>
      <c r="AH45" s="1"/>
      <c r="AI45" s="1"/>
    </row>
    <row r="46" spans="1:35" ht="14.25" x14ac:dyDescent="0.2">
      <c r="A46" s="1"/>
      <c r="B46" s="19" t="s">
        <v>25</v>
      </c>
      <c r="C46" s="19"/>
      <c r="D46" s="30">
        <f>SUM(D47:D50)</f>
        <v>257.00891999999999</v>
      </c>
      <c r="E46" s="31">
        <f>SUM(E47:E50)</f>
        <v>254.46739000000002</v>
      </c>
      <c r="F46" s="31">
        <f t="shared" si="12"/>
        <v>2.5415299999999661</v>
      </c>
      <c r="G46" s="26">
        <f t="shared" si="13"/>
        <v>9.9876451752814611E-3</v>
      </c>
      <c r="H46" s="31">
        <f>SUM(H47:H50)</f>
        <v>117.70517637</v>
      </c>
      <c r="I46" s="31">
        <f t="shared" si="14"/>
        <v>139.30374362999999</v>
      </c>
      <c r="J46" s="27">
        <f t="shared" si="15"/>
        <v>1.183497174262804</v>
      </c>
      <c r="K46" s="3"/>
      <c r="L46" s="30">
        <f>SUM(L47:L50)</f>
        <v>867.67494999999997</v>
      </c>
      <c r="M46" s="31">
        <f>SUM(M47:M50)</f>
        <v>530.28447999999992</v>
      </c>
      <c r="N46" s="31">
        <f t="shared" si="16"/>
        <v>337.39047000000005</v>
      </c>
      <c r="O46" s="26">
        <f t="shared" si="17"/>
        <v>0.63624428533152644</v>
      </c>
      <c r="P46" s="31">
        <f>SUM(P47:P50)</f>
        <v>432.62561843899999</v>
      </c>
      <c r="Q46" s="31">
        <f t="shared" si="18"/>
        <v>435.04933156099997</v>
      </c>
      <c r="R46" s="27">
        <f t="shared" si="19"/>
        <v>1.0056023337932349</v>
      </c>
      <c r="S46" s="3"/>
      <c r="T46" s="30">
        <f>SUM(T47:T50)</f>
        <v>1643.4117700000002</v>
      </c>
      <c r="U46" s="31">
        <f>SUM(U47:U50)</f>
        <v>924.20557000000008</v>
      </c>
      <c r="V46" s="31">
        <f t="shared" si="20"/>
        <v>719.20620000000008</v>
      </c>
      <c r="W46" s="26">
        <f t="shared" si="21"/>
        <v>0.77818855820139676</v>
      </c>
      <c r="X46" s="31">
        <f>SUM(X47:X50)</f>
        <v>1208.362438439</v>
      </c>
      <c r="Y46" s="31">
        <f t="shared" si="22"/>
        <v>435.04933156100014</v>
      </c>
      <c r="Z46" s="27">
        <f t="shared" si="23"/>
        <v>0.36003215403071476</v>
      </c>
      <c r="AA46" s="3"/>
      <c r="AB46" s="32">
        <f>SUM(AB47:AB50)</f>
        <v>3565.3448481380001</v>
      </c>
      <c r="AC46" s="1"/>
      <c r="AD46" s="1"/>
      <c r="AE46" s="1"/>
      <c r="AF46" s="1"/>
      <c r="AG46" s="1"/>
      <c r="AH46" s="1"/>
      <c r="AI46" s="1"/>
    </row>
    <row r="47" spans="1:35" ht="14.25" hidden="1" outlineLevel="1" x14ac:dyDescent="0.2">
      <c r="A47" s="1"/>
      <c r="B47" s="33" t="s">
        <v>26</v>
      </c>
      <c r="C47" s="19"/>
      <c r="D47" s="30">
        <f>0/1000*-1</f>
        <v>0</v>
      </c>
      <c r="E47" s="31">
        <f>0/1000*-1</f>
        <v>0</v>
      </c>
      <c r="F47" s="31">
        <f t="shared" si="12"/>
        <v>0</v>
      </c>
      <c r="G47" s="26" t="str">
        <f t="shared" si="13"/>
        <v>N/A</v>
      </c>
      <c r="H47" s="31">
        <f>0/1000*-1</f>
        <v>0</v>
      </c>
      <c r="I47" s="31">
        <f t="shared" si="14"/>
        <v>0</v>
      </c>
      <c r="J47" s="27" t="str">
        <f t="shared" si="15"/>
        <v>N/A</v>
      </c>
      <c r="K47" s="3"/>
      <c r="L47" s="30">
        <f>0/1000*-1</f>
        <v>0</v>
      </c>
      <c r="M47" s="31">
        <f>0/1000*-1</f>
        <v>0</v>
      </c>
      <c r="N47" s="31">
        <f t="shared" si="16"/>
        <v>0</v>
      </c>
      <c r="O47" s="26" t="str">
        <f t="shared" si="17"/>
        <v>N/A</v>
      </c>
      <c r="P47" s="31">
        <f>0/1000*-1</f>
        <v>0</v>
      </c>
      <c r="Q47" s="31">
        <f t="shared" si="18"/>
        <v>0</v>
      </c>
      <c r="R47" s="27" t="str">
        <f t="shared" si="19"/>
        <v>N/A</v>
      </c>
      <c r="S47" s="3"/>
      <c r="T47" s="30">
        <f>0/1000*-1</f>
        <v>0</v>
      </c>
      <c r="U47" s="31">
        <f>0/1000*-1</f>
        <v>0</v>
      </c>
      <c r="V47" s="31">
        <f t="shared" si="20"/>
        <v>0</v>
      </c>
      <c r="W47" s="26" t="str">
        <f t="shared" si="21"/>
        <v>N/A</v>
      </c>
      <c r="X47" s="31">
        <f>0/1000*-1</f>
        <v>0</v>
      </c>
      <c r="Y47" s="31">
        <f t="shared" si="22"/>
        <v>0</v>
      </c>
      <c r="Z47" s="27" t="str">
        <f t="shared" si="23"/>
        <v>N/A</v>
      </c>
      <c r="AA47" s="3"/>
      <c r="AB47" s="32">
        <f>0/1000*-1</f>
        <v>0</v>
      </c>
      <c r="AC47" s="1"/>
      <c r="AD47" s="1"/>
      <c r="AE47" s="1"/>
      <c r="AF47" s="1"/>
      <c r="AG47" s="1"/>
      <c r="AH47" s="1"/>
      <c r="AI47" s="1"/>
    </row>
    <row r="48" spans="1:35" ht="14.25" hidden="1" outlineLevel="1" x14ac:dyDescent="0.2">
      <c r="A48" s="1"/>
      <c r="B48" s="33" t="s">
        <v>27</v>
      </c>
      <c r="C48" s="19"/>
      <c r="D48" s="30">
        <f>8958.37/1000*-1</f>
        <v>-8.9583700000000004</v>
      </c>
      <c r="E48" s="31">
        <f>-80449.1/1000*-1</f>
        <v>80.449100000000001</v>
      </c>
      <c r="F48" s="31">
        <f t="shared" si="12"/>
        <v>-89.407470000000004</v>
      </c>
      <c r="G48" s="26">
        <f t="shared" si="13"/>
        <v>-1.1113545086271941</v>
      </c>
      <c r="H48" s="31">
        <f>0/1000*-1</f>
        <v>0</v>
      </c>
      <c r="I48" s="31">
        <f t="shared" si="14"/>
        <v>-8.9583700000000004</v>
      </c>
      <c r="J48" s="27" t="str">
        <f t="shared" si="15"/>
        <v>N/A</v>
      </c>
      <c r="K48" s="3"/>
      <c r="L48" s="30">
        <f>-27611.37/1000*-1</f>
        <v>27.611369999999997</v>
      </c>
      <c r="M48" s="31">
        <f>-130150.69/1000*-1</f>
        <v>130.15069</v>
      </c>
      <c r="N48" s="31">
        <f t="shared" si="16"/>
        <v>-102.53932</v>
      </c>
      <c r="O48" s="26">
        <f t="shared" si="17"/>
        <v>-0.78785075976162711</v>
      </c>
      <c r="P48" s="31">
        <f>-3182.11/1000*-1</f>
        <v>3.1821100000000002</v>
      </c>
      <c r="Q48" s="31">
        <f t="shared" si="18"/>
        <v>24.429259999999996</v>
      </c>
      <c r="R48" s="27" t="str">
        <f t="shared" si="19"/>
        <v>N/A</v>
      </c>
      <c r="S48" s="3"/>
      <c r="T48" s="30">
        <f>-56591.03/1000*-1</f>
        <v>56.591029999999996</v>
      </c>
      <c r="U48" s="31">
        <f>-185007.08/1000*-1</f>
        <v>185.00707999999997</v>
      </c>
      <c r="V48" s="31">
        <f t="shared" si="20"/>
        <v>-128.41604999999998</v>
      </c>
      <c r="W48" s="26">
        <f t="shared" si="21"/>
        <v>-0.69411424687098466</v>
      </c>
      <c r="X48" s="31">
        <f>-32161.77/1000*-1</f>
        <v>32.161769999999997</v>
      </c>
      <c r="Y48" s="31">
        <f t="shared" si="22"/>
        <v>24.429259999999999</v>
      </c>
      <c r="Z48" s="27">
        <f t="shared" si="23"/>
        <v>0.75957448859313403</v>
      </c>
      <c r="AA48" s="3"/>
      <c r="AB48" s="32">
        <f>-32161.77/1000*-1</f>
        <v>32.161769999999997</v>
      </c>
      <c r="AC48" s="1"/>
      <c r="AD48" s="1"/>
      <c r="AE48" s="1"/>
      <c r="AF48" s="1"/>
      <c r="AG48" s="1"/>
      <c r="AH48" s="1"/>
      <c r="AI48" s="1"/>
    </row>
    <row r="49" spans="1:35" ht="14.25" hidden="1" outlineLevel="1" x14ac:dyDescent="0.2">
      <c r="A49" s="1"/>
      <c r="B49" s="33" t="s">
        <v>28</v>
      </c>
      <c r="C49" s="19"/>
      <c r="D49" s="30">
        <f>-213573.43/1000*-1</f>
        <v>213.57343</v>
      </c>
      <c r="E49" s="31">
        <f>-42530.88/1000*-1</f>
        <v>42.530879999999996</v>
      </c>
      <c r="F49" s="31">
        <f t="shared" si="12"/>
        <v>171.04255000000001</v>
      </c>
      <c r="G49" s="26">
        <f t="shared" si="13"/>
        <v>4.0216085347869601</v>
      </c>
      <c r="H49" s="31">
        <f>-107855.25569/1000*-1</f>
        <v>107.85525569000001</v>
      </c>
      <c r="I49" s="31">
        <f t="shared" si="14"/>
        <v>105.71817430999999</v>
      </c>
      <c r="J49" s="27">
        <f t="shared" si="15"/>
        <v>0.98018565376042077</v>
      </c>
      <c r="K49" s="3"/>
      <c r="L49" s="30">
        <f>-572236.19/1000*-1</f>
        <v>572.23618999999997</v>
      </c>
      <c r="M49" s="31">
        <f>-42530.88/1000*-1</f>
        <v>42.530879999999996</v>
      </c>
      <c r="N49" s="31">
        <f t="shared" si="16"/>
        <v>529.70530999999994</v>
      </c>
      <c r="O49" s="26" t="str">
        <f t="shared" si="17"/>
        <v>N/A</v>
      </c>
      <c r="P49" s="31">
        <f>-317760.42756/1000*-1</f>
        <v>317.76042755999998</v>
      </c>
      <c r="Q49" s="31">
        <f t="shared" si="18"/>
        <v>254.47576243999998</v>
      </c>
      <c r="R49" s="27">
        <f t="shared" si="19"/>
        <v>0.80084157865110339</v>
      </c>
      <c r="S49" s="3"/>
      <c r="T49" s="30">
        <f>-1061344.37/1000*-1</f>
        <v>1061.34437</v>
      </c>
      <c r="U49" s="31">
        <f>-64242.2/1000*-1</f>
        <v>64.242199999999997</v>
      </c>
      <c r="V49" s="31">
        <f t="shared" si="20"/>
        <v>997.10217</v>
      </c>
      <c r="W49" s="26" t="str">
        <f t="shared" si="21"/>
        <v>N/A</v>
      </c>
      <c r="X49" s="31">
        <f>-806868.60756/1000*-1</f>
        <v>806.86860755999999</v>
      </c>
      <c r="Y49" s="31">
        <f t="shared" si="22"/>
        <v>254.47576244000004</v>
      </c>
      <c r="Z49" s="27">
        <f t="shared" si="23"/>
        <v>0.31538686727389731</v>
      </c>
      <c r="AA49" s="3"/>
      <c r="AB49" s="32">
        <f>-2547900.60833/1000*-1</f>
        <v>2547.9006083300001</v>
      </c>
      <c r="AC49" s="1"/>
      <c r="AD49" s="1"/>
      <c r="AE49" s="1"/>
      <c r="AF49" s="1"/>
      <c r="AG49" s="1"/>
      <c r="AH49" s="1"/>
      <c r="AI49" s="1"/>
    </row>
    <row r="50" spans="1:35" ht="14.25" hidden="1" outlineLevel="1" x14ac:dyDescent="0.2">
      <c r="A50" s="1"/>
      <c r="B50" s="33" t="s">
        <v>29</v>
      </c>
      <c r="C50" s="19"/>
      <c r="D50" s="30">
        <f>SUM(D51:D52)</f>
        <v>52.393860000000004</v>
      </c>
      <c r="E50" s="31">
        <f>SUM(E51:E52)</f>
        <v>131.48741000000001</v>
      </c>
      <c r="F50" s="31">
        <f t="shared" si="12"/>
        <v>-79.093550000000008</v>
      </c>
      <c r="G50" s="26">
        <f t="shared" si="13"/>
        <v>-0.60152945441696659</v>
      </c>
      <c r="H50" s="31">
        <f>SUM(H51:H52)</f>
        <v>9.8499206799999985</v>
      </c>
      <c r="I50" s="31">
        <f t="shared" si="14"/>
        <v>42.543939320000007</v>
      </c>
      <c r="J50" s="27">
        <f t="shared" si="15"/>
        <v>4.3192164386038501</v>
      </c>
      <c r="K50" s="3"/>
      <c r="L50" s="30">
        <f>SUM(L51:L52)</f>
        <v>267.82739000000004</v>
      </c>
      <c r="M50" s="31">
        <f>SUM(M51:M52)</f>
        <v>357.60290999999995</v>
      </c>
      <c r="N50" s="31">
        <f t="shared" si="16"/>
        <v>-89.775519999999915</v>
      </c>
      <c r="O50" s="26">
        <f t="shared" si="17"/>
        <v>-0.25104806893210102</v>
      </c>
      <c r="P50" s="31">
        <f>SUM(P51:P52)</f>
        <v>111.683080879</v>
      </c>
      <c r="Q50" s="31">
        <f t="shared" si="18"/>
        <v>156.14430912100005</v>
      </c>
      <c r="R50" s="27">
        <f t="shared" si="19"/>
        <v>1.3981017347665252</v>
      </c>
      <c r="S50" s="3"/>
      <c r="T50" s="30">
        <f>SUM(T51:T52)</f>
        <v>525.47636999999997</v>
      </c>
      <c r="U50" s="31">
        <f>SUM(U51:U52)</f>
        <v>674.95629000000008</v>
      </c>
      <c r="V50" s="31">
        <f t="shared" si="20"/>
        <v>-149.47992000000011</v>
      </c>
      <c r="W50" s="26">
        <f t="shared" si="21"/>
        <v>-0.22146607449202391</v>
      </c>
      <c r="X50" s="31">
        <f>SUM(X51:X52)</f>
        <v>369.33206087899998</v>
      </c>
      <c r="Y50" s="31">
        <f t="shared" si="22"/>
        <v>156.14430912099999</v>
      </c>
      <c r="Z50" s="27">
        <f t="shared" si="23"/>
        <v>0.42277485672210774</v>
      </c>
      <c r="AA50" s="3"/>
      <c r="AB50" s="32">
        <f>SUM(AB51:AB52)</f>
        <v>985.28246980799997</v>
      </c>
      <c r="AC50" s="1"/>
      <c r="AD50" s="1"/>
      <c r="AE50" s="1"/>
      <c r="AF50" s="1"/>
      <c r="AG50" s="1"/>
      <c r="AH50" s="1"/>
      <c r="AI50" s="1"/>
    </row>
    <row r="51" spans="1:35" ht="14.25" hidden="1" outlineLevel="2" x14ac:dyDescent="0.2">
      <c r="A51" s="1"/>
      <c r="B51" s="34" t="s">
        <v>30</v>
      </c>
      <c r="C51" s="19"/>
      <c r="D51" s="30">
        <f>-52393.86/1000*-1</f>
        <v>52.393860000000004</v>
      </c>
      <c r="E51" s="31">
        <f>-131487.41/1000*-1</f>
        <v>131.48741000000001</v>
      </c>
      <c r="F51" s="31">
        <f t="shared" si="12"/>
        <v>-79.093550000000008</v>
      </c>
      <c r="G51" s="26">
        <f t="shared" si="13"/>
        <v>-0.60152945441696659</v>
      </c>
      <c r="H51" s="31">
        <f>-9849.92068/1000*-1</f>
        <v>9.8499206799999985</v>
      </c>
      <c r="I51" s="31">
        <f t="shared" si="14"/>
        <v>42.543939320000007</v>
      </c>
      <c r="J51" s="27">
        <f t="shared" si="15"/>
        <v>4.3192164386038501</v>
      </c>
      <c r="K51" s="3"/>
      <c r="L51" s="30">
        <f>-267827.39/1000*-1</f>
        <v>267.82739000000004</v>
      </c>
      <c r="M51" s="31">
        <f>-357602.91/1000*-1</f>
        <v>357.60290999999995</v>
      </c>
      <c r="N51" s="31">
        <f t="shared" si="16"/>
        <v>-89.775519999999915</v>
      </c>
      <c r="O51" s="26">
        <f t="shared" si="17"/>
        <v>-0.25104806893210102</v>
      </c>
      <c r="P51" s="31">
        <f>-111683.080879/1000*-1</f>
        <v>111.683080879</v>
      </c>
      <c r="Q51" s="31">
        <f t="shared" si="18"/>
        <v>156.14430912100005</v>
      </c>
      <c r="R51" s="27">
        <f t="shared" si="19"/>
        <v>1.3981017347665252</v>
      </c>
      <c r="S51" s="3"/>
      <c r="T51" s="30">
        <f>-525476.37/1000*-1</f>
        <v>525.47636999999997</v>
      </c>
      <c r="U51" s="31">
        <f>-674956.29/1000*-1</f>
        <v>674.95629000000008</v>
      </c>
      <c r="V51" s="31">
        <f t="shared" si="20"/>
        <v>-149.47992000000011</v>
      </c>
      <c r="W51" s="26">
        <f t="shared" si="21"/>
        <v>-0.22146607449202391</v>
      </c>
      <c r="X51" s="31">
        <f>-369332.060879/1000*-1</f>
        <v>369.33206087899998</v>
      </c>
      <c r="Y51" s="31">
        <f t="shared" si="22"/>
        <v>156.14430912099999</v>
      </c>
      <c r="Z51" s="27">
        <f t="shared" si="23"/>
        <v>0.42277485672210774</v>
      </c>
      <c r="AA51" s="3"/>
      <c r="AB51" s="32">
        <f>-985282.469808/1000*-1</f>
        <v>985.28246980799997</v>
      </c>
      <c r="AC51" s="1"/>
      <c r="AD51" s="1"/>
      <c r="AE51" s="1"/>
      <c r="AF51" s="1"/>
      <c r="AG51" s="1"/>
      <c r="AH51" s="1"/>
      <c r="AI51" s="1"/>
    </row>
    <row r="52" spans="1:35" s="35" customFormat="1" ht="14.25" hidden="1" outlineLevel="2" x14ac:dyDescent="0.2">
      <c r="B52" s="34" t="s">
        <v>31</v>
      </c>
      <c r="C52" s="19"/>
      <c r="D52" s="30">
        <f>0/1000*-1</f>
        <v>0</v>
      </c>
      <c r="E52" s="31">
        <f>0/1000*-1</f>
        <v>0</v>
      </c>
      <c r="F52" s="31">
        <f t="shared" si="12"/>
        <v>0</v>
      </c>
      <c r="G52" s="26" t="str">
        <f t="shared" si="13"/>
        <v>N/A</v>
      </c>
      <c r="H52" s="31">
        <f>0/1000*-1</f>
        <v>0</v>
      </c>
      <c r="I52" s="31">
        <f t="shared" si="14"/>
        <v>0</v>
      </c>
      <c r="J52" s="27" t="str">
        <f t="shared" si="15"/>
        <v>N/A</v>
      </c>
      <c r="K52" s="19"/>
      <c r="L52" s="30">
        <f>0/1000*-1</f>
        <v>0</v>
      </c>
      <c r="M52" s="31">
        <f>0/1000*-1</f>
        <v>0</v>
      </c>
      <c r="N52" s="31">
        <f t="shared" si="16"/>
        <v>0</v>
      </c>
      <c r="O52" s="26" t="str">
        <f t="shared" si="17"/>
        <v>N/A</v>
      </c>
      <c r="P52" s="31">
        <f>0/1000*-1</f>
        <v>0</v>
      </c>
      <c r="Q52" s="31">
        <f t="shared" si="18"/>
        <v>0</v>
      </c>
      <c r="R52" s="27" t="str">
        <f t="shared" si="19"/>
        <v>N/A</v>
      </c>
      <c r="S52" s="19"/>
      <c r="T52" s="30">
        <f>0/1000*-1</f>
        <v>0</v>
      </c>
      <c r="U52" s="31">
        <f>0/1000*-1</f>
        <v>0</v>
      </c>
      <c r="V52" s="31">
        <f t="shared" si="20"/>
        <v>0</v>
      </c>
      <c r="W52" s="26" t="str">
        <f t="shared" si="21"/>
        <v>N/A</v>
      </c>
      <c r="X52" s="31">
        <f>0/1000*-1</f>
        <v>0</v>
      </c>
      <c r="Y52" s="31">
        <f t="shared" si="22"/>
        <v>0</v>
      </c>
      <c r="Z52" s="27" t="str">
        <f t="shared" si="23"/>
        <v>N/A</v>
      </c>
      <c r="AA52" s="19"/>
      <c r="AB52" s="32">
        <f>0/1000*-1</f>
        <v>0</v>
      </c>
    </row>
    <row r="53" spans="1:35" s="35" customFormat="1" ht="5.0999999999999996" hidden="1" customHeight="1" outlineLevel="1" x14ac:dyDescent="0.2">
      <c r="B53" s="34"/>
      <c r="C53" s="19"/>
      <c r="D53" s="36"/>
      <c r="E53" s="37"/>
      <c r="F53" s="37"/>
      <c r="G53" s="38"/>
      <c r="H53" s="37"/>
      <c r="I53" s="37"/>
      <c r="J53" s="39"/>
      <c r="K53" s="19"/>
      <c r="L53" s="36"/>
      <c r="M53" s="37"/>
      <c r="N53" s="37"/>
      <c r="O53" s="38"/>
      <c r="P53" s="37"/>
      <c r="Q53" s="37"/>
      <c r="R53" s="39"/>
      <c r="S53" s="19"/>
      <c r="T53" s="36"/>
      <c r="U53" s="37"/>
      <c r="V53" s="37"/>
      <c r="W53" s="38"/>
      <c r="X53" s="37"/>
      <c r="Y53" s="37"/>
      <c r="Z53" s="39"/>
      <c r="AA53" s="19"/>
      <c r="AB53" s="40"/>
    </row>
    <row r="54" spans="1:35" ht="14.25" collapsed="1" x14ac:dyDescent="0.2">
      <c r="A54" s="1"/>
      <c r="B54" s="19" t="s">
        <v>32</v>
      </c>
      <c r="C54" s="19"/>
      <c r="D54" s="30">
        <f>SUM(D37:D39,D42,D45:D46)</f>
        <v>1424.2739200000001</v>
      </c>
      <c r="E54" s="31">
        <f>SUM(E37:E39,E42,E45:E46)</f>
        <v>1754.6776199999999</v>
      </c>
      <c r="F54" s="31">
        <f>D54-E54</f>
        <v>-330.40369999999984</v>
      </c>
      <c r="G54" s="26">
        <f>IF(ISERROR(F54/E54),"N/A",IF(ABS(F54/E54)&gt;5,"N/A",F54/E54))</f>
        <v>-0.18829880556634662</v>
      </c>
      <c r="H54" s="31">
        <f>SUM(H37:H39,H42,H45:H46)</f>
        <v>1465.157354334</v>
      </c>
      <c r="I54" s="31">
        <f>D54-H54</f>
        <v>-40.883434333999958</v>
      </c>
      <c r="J54" s="27">
        <f>IF(ISERROR(I54/H54),"N/A",IF(ABS(I54/H54)&gt;5,"N/A",I54/H54))</f>
        <v>-2.7903783994985217E-2</v>
      </c>
      <c r="K54" s="3"/>
      <c r="L54" s="30">
        <f>SUM(L37:L39,L42,L45:L46)</f>
        <v>3698.5922</v>
      </c>
      <c r="M54" s="31">
        <f>SUM(M37:M39,M42,M45:M46)</f>
        <v>4381.7721000000001</v>
      </c>
      <c r="N54" s="31">
        <f>L54-M54</f>
        <v>-683.17990000000009</v>
      </c>
      <c r="O54" s="26">
        <f>IF(ISERROR(N54/M54),"N/A",IF(ABS(N54/M54)&gt;5,"N/A",N54/M54))</f>
        <v>-0.1559140649966711</v>
      </c>
      <c r="P54" s="31">
        <f>SUM(P37:P39,P42,P45:P46)</f>
        <v>4003.0374233909997</v>
      </c>
      <c r="Q54" s="31">
        <f>L54-P54</f>
        <v>-304.44522339099967</v>
      </c>
      <c r="R54" s="27">
        <f>IF(ISERROR(Q54/P54),"N/A",IF(ABS(Q54/P54)&gt;5,"N/A",Q54/P54))</f>
        <v>-7.605355413667407E-2</v>
      </c>
      <c r="S54" s="3"/>
      <c r="T54" s="30">
        <f>SUM(T37:T39,T42,T45:T46)</f>
        <v>8000.3875900000003</v>
      </c>
      <c r="U54" s="31">
        <f>SUM(U37:U39,U42,U45:U46)</f>
        <v>8385.1837100000012</v>
      </c>
      <c r="V54" s="31">
        <f>T54-U54</f>
        <v>-384.79612000000088</v>
      </c>
      <c r="W54" s="26">
        <f>IF(ISERROR(V54/U54),"N/A",IF(ABS(V54/U54)&gt;5,"N/A",V54/U54))</f>
        <v>-4.5890004716426284E-2</v>
      </c>
      <c r="X54" s="31">
        <f>SUM(X37:X39,X42,X45:X46)</f>
        <v>8304.8328133909999</v>
      </c>
      <c r="Y54" s="31">
        <f>T54-X54</f>
        <v>-304.44522339099967</v>
      </c>
      <c r="Z54" s="27">
        <f>IF(ISERROR(Y54/X54),"N/A",IF(ABS(Y54/X54)&gt;5,"N/A",Y54/X54))</f>
        <v>-3.6658802197691645E-2</v>
      </c>
      <c r="AA54" s="3"/>
      <c r="AB54" s="32">
        <f>SUM(AB37:AB39,AB42,AB45:AB46)</f>
        <v>25540.957718344001</v>
      </c>
      <c r="AC54" s="1"/>
      <c r="AD54" s="1"/>
      <c r="AE54" s="1"/>
      <c r="AF54" s="1"/>
      <c r="AG54" s="1"/>
      <c r="AH54" s="1"/>
      <c r="AI54" s="1"/>
    </row>
    <row r="55" spans="1:35" ht="14.25" x14ac:dyDescent="0.2">
      <c r="A55" s="1"/>
      <c r="B55" s="34"/>
      <c r="C55" s="19"/>
      <c r="D55" s="30"/>
      <c r="E55" s="31"/>
      <c r="F55" s="31"/>
      <c r="G55" s="26"/>
      <c r="H55" s="31"/>
      <c r="I55" s="31"/>
      <c r="J55" s="27"/>
      <c r="K55" s="3"/>
      <c r="L55" s="30"/>
      <c r="M55" s="31"/>
      <c r="N55" s="31"/>
      <c r="O55" s="26"/>
      <c r="P55" s="31"/>
      <c r="Q55" s="31"/>
      <c r="R55" s="27"/>
      <c r="S55" s="3"/>
      <c r="T55" s="30"/>
      <c r="U55" s="31"/>
      <c r="V55" s="31"/>
      <c r="W55" s="26"/>
      <c r="X55" s="31"/>
      <c r="Y55" s="31"/>
      <c r="Z55" s="27"/>
      <c r="AA55" s="3"/>
      <c r="AB55" s="32"/>
      <c r="AC55" s="1"/>
      <c r="AD55" s="1"/>
      <c r="AE55" s="1"/>
      <c r="AF55" s="1"/>
      <c r="AG55" s="1"/>
      <c r="AH55" s="1"/>
      <c r="AI55" s="1"/>
    </row>
    <row r="56" spans="1:35" ht="14.25" x14ac:dyDescent="0.2">
      <c r="A56" s="1"/>
      <c r="B56" s="29" t="s">
        <v>33</v>
      </c>
      <c r="C56" s="19"/>
      <c r="D56" s="30">
        <f>-340501.97/1000*-1</f>
        <v>340.50196999999997</v>
      </c>
      <c r="E56" s="31">
        <f>-1366738.39/1000*-1</f>
        <v>1366.73839</v>
      </c>
      <c r="F56" s="31">
        <f>D56-E56</f>
        <v>-1026.23642</v>
      </c>
      <c r="G56" s="26">
        <f>IF(ISERROR(F56/E56),"N/A",IF(ABS(F56/E56)&gt;5,"N/A",F56/E56))</f>
        <v>-0.75086529178418704</v>
      </c>
      <c r="H56" s="31">
        <f>-1028760.24528/1000*-1</f>
        <v>1028.7602452799999</v>
      </c>
      <c r="I56" s="31">
        <f>D56-H56</f>
        <v>-688.25827527999991</v>
      </c>
      <c r="J56" s="27">
        <f>IF(ISERROR(I56/H56),"N/A",IF(ABS(I56/H56)&gt;5,"N/A",I56/H56))</f>
        <v>-0.66901717716811182</v>
      </c>
      <c r="K56" s="3"/>
      <c r="L56" s="30">
        <f>-1301689.83/1000*-1</f>
        <v>1301.68983</v>
      </c>
      <c r="M56" s="31">
        <f>-2350522.27/1000*-1</f>
        <v>2350.5222699999999</v>
      </c>
      <c r="N56" s="31">
        <f>L56-M56</f>
        <v>-1048.8324399999999</v>
      </c>
      <c r="O56" s="26">
        <f>IF(ISERROR(N56/M56),"N/A",IF(ABS(N56/M56)&gt;5,"N/A",N56/M56))</f>
        <v>-0.44621250918843663</v>
      </c>
      <c r="P56" s="31">
        <f>-2651474.02366/1000*-1</f>
        <v>2651.4740236600001</v>
      </c>
      <c r="Q56" s="31">
        <f>L56-P56</f>
        <v>-1349.78419366</v>
      </c>
      <c r="R56" s="27">
        <f>IF(ISERROR(Q56/P56),"N/A",IF(ABS(Q56/P56)&gt;5,"N/A",Q56/P56))</f>
        <v>-0.50906936353719434</v>
      </c>
      <c r="S56" s="3"/>
      <c r="T56" s="30">
        <f>-3080009.94/1000*-1</f>
        <v>3080.0099399999999</v>
      </c>
      <c r="U56" s="31">
        <f>-3570518.77/1000*-1</f>
        <v>3570.5187700000001</v>
      </c>
      <c r="V56" s="31">
        <f>T56-U56</f>
        <v>-490.50883000000022</v>
      </c>
      <c r="W56" s="26">
        <f>IF(ISERROR(V56/U56),"N/A",IF(ABS(V56/U56)&gt;5,"N/A",V56/U56))</f>
        <v>-0.13737746854079699</v>
      </c>
      <c r="X56" s="31">
        <f>-4429794.13366/1000*-1</f>
        <v>4429.7941336599997</v>
      </c>
      <c r="Y56" s="31">
        <f>T56-X56</f>
        <v>-1349.7841936599998</v>
      </c>
      <c r="Z56" s="27">
        <f>IF(ISERROR(Y56/X56),"N/A",IF(ABS(Y56/X56)&gt;5,"N/A",Y56/X56))</f>
        <v>-0.30470585154366453</v>
      </c>
      <c r="AA56" s="3"/>
      <c r="AB56" s="32">
        <f>-11444281.61567/1000*-1</f>
        <v>11444.281615669999</v>
      </c>
      <c r="AC56" s="1"/>
      <c r="AD56" s="1"/>
      <c r="AE56" s="1"/>
      <c r="AF56" s="1"/>
      <c r="AG56" s="1"/>
      <c r="AH56" s="1"/>
      <c r="AI56" s="1"/>
    </row>
    <row r="57" spans="1:35" ht="14.25" x14ac:dyDescent="0.2">
      <c r="A57" s="1"/>
      <c r="B57" s="34"/>
      <c r="C57" s="19"/>
      <c r="D57" s="30"/>
      <c r="E57" s="31"/>
      <c r="F57" s="31"/>
      <c r="G57" s="26"/>
      <c r="H57" s="31"/>
      <c r="I57" s="31"/>
      <c r="J57" s="27"/>
      <c r="K57" s="3"/>
      <c r="L57" s="30"/>
      <c r="M57" s="31"/>
      <c r="N57" s="31"/>
      <c r="O57" s="26"/>
      <c r="P57" s="31"/>
      <c r="Q57" s="31"/>
      <c r="R57" s="27"/>
      <c r="S57" s="3"/>
      <c r="T57" s="30"/>
      <c r="U57" s="31"/>
      <c r="V57" s="31"/>
      <c r="W57" s="26"/>
      <c r="X57" s="31"/>
      <c r="Y57" s="31"/>
      <c r="Z57" s="27"/>
      <c r="AA57" s="3"/>
      <c r="AB57" s="32"/>
      <c r="AC57" s="1"/>
      <c r="AD57" s="1"/>
      <c r="AE57" s="1"/>
      <c r="AF57" s="1"/>
      <c r="AG57" s="1"/>
      <c r="AH57" s="1"/>
      <c r="AI57" s="1"/>
    </row>
    <row r="58" spans="1:35" x14ac:dyDescent="0.25">
      <c r="A58" s="1"/>
      <c r="B58" s="2" t="s">
        <v>35</v>
      </c>
      <c r="C58" s="19"/>
      <c r="D58" s="30">
        <f>SUM(D54:D57)</f>
        <v>1764.7758900000001</v>
      </c>
      <c r="E58" s="31">
        <f>SUM(E54:E57)</f>
        <v>3121.4160099999999</v>
      </c>
      <c r="F58" s="31">
        <f>D58-E58</f>
        <v>-1356.6401199999998</v>
      </c>
      <c r="G58" s="26">
        <f>IF(ISERROR(F58/E58),"N/A",IF(ABS(F58/E58)&gt;5,"N/A",F58/E58))</f>
        <v>-0.43462329777695985</v>
      </c>
      <c r="H58" s="31">
        <f>SUM(H54:H57)</f>
        <v>2493.9175996140002</v>
      </c>
      <c r="I58" s="31">
        <f>D58-H58</f>
        <v>-729.14170961400009</v>
      </c>
      <c r="J58" s="27">
        <f>IF(ISERROR(I58/H58),"N/A",IF(ABS(I58/H58)&gt;5,"N/A",I58/H58))</f>
        <v>-0.29236800354865539</v>
      </c>
      <c r="K58" s="3"/>
      <c r="L58" s="30">
        <f>SUM(L54:L57)</f>
        <v>5000.2820300000003</v>
      </c>
      <c r="M58" s="31">
        <f>SUM(M54:M57)</f>
        <v>6732.2943699999996</v>
      </c>
      <c r="N58" s="31">
        <f>L58-M58</f>
        <v>-1732.0123399999993</v>
      </c>
      <c r="O58" s="26">
        <f>IF(ISERROR(N58/M58),"N/A",IF(ABS(N58/M58)&gt;5,"N/A",N58/M58))</f>
        <v>-0.25726925247328414</v>
      </c>
      <c r="P58" s="31">
        <f>SUM(P54:P57)</f>
        <v>6654.5114470509998</v>
      </c>
      <c r="Q58" s="31">
        <f>L58-P58</f>
        <v>-1654.2294170509995</v>
      </c>
      <c r="R58" s="27">
        <f>IF(ISERROR(Q58/P58),"N/A",IF(ABS(Q58/P58)&gt;5,"N/A",Q58/P58))</f>
        <v>-0.24858765819451473</v>
      </c>
      <c r="S58" s="3"/>
      <c r="T58" s="30">
        <f>SUM(T54:T57)</f>
        <v>11080.39753</v>
      </c>
      <c r="U58" s="31">
        <f>SUM(U54:U57)</f>
        <v>11955.702480000002</v>
      </c>
      <c r="V58" s="31">
        <f>T58-U58</f>
        <v>-875.30495000000155</v>
      </c>
      <c r="W58" s="26">
        <f>IF(ISERROR(V58/U58),"N/A",IF(ABS(V58/U58)&gt;5,"N/A",V58/U58))</f>
        <v>-7.3212339589768832E-2</v>
      </c>
      <c r="X58" s="31">
        <f>SUM(X54:X57)</f>
        <v>12734.626947051</v>
      </c>
      <c r="Y58" s="31">
        <f>T58-X58</f>
        <v>-1654.2294170509995</v>
      </c>
      <c r="Z58" s="27">
        <f>IF(ISERROR(Y58/X58),"N/A",IF(ABS(Y58/X58)&gt;5,"N/A",Y58/X58))</f>
        <v>-0.12990010810124869</v>
      </c>
      <c r="AA58" s="3"/>
      <c r="AB58" s="32">
        <f>SUM(AB54:AB57)</f>
        <v>36985.239334013997</v>
      </c>
      <c r="AC58" s="1"/>
      <c r="AD58" s="1"/>
      <c r="AE58" s="1"/>
      <c r="AF58" s="1"/>
      <c r="AG58" s="1"/>
      <c r="AH58" s="1"/>
      <c r="AI58" s="1"/>
    </row>
    <row r="59" spans="1:35" ht="14.25" x14ac:dyDescent="0.2">
      <c r="A59" s="1"/>
      <c r="B59" s="19"/>
      <c r="C59" s="19"/>
      <c r="D59" s="30"/>
      <c r="E59" s="31"/>
      <c r="F59" s="31"/>
      <c r="G59" s="26"/>
      <c r="H59" s="31"/>
      <c r="I59" s="31"/>
      <c r="J59" s="27"/>
      <c r="K59" s="3"/>
      <c r="L59" s="30"/>
      <c r="M59" s="31"/>
      <c r="N59" s="31"/>
      <c r="O59" s="26"/>
      <c r="P59" s="31"/>
      <c r="Q59" s="31"/>
      <c r="R59" s="27"/>
      <c r="S59" s="3"/>
      <c r="T59" s="30"/>
      <c r="U59" s="31"/>
      <c r="V59" s="31"/>
      <c r="W59" s="26"/>
      <c r="X59" s="31"/>
      <c r="Y59" s="31"/>
      <c r="Z59" s="27"/>
      <c r="AA59" s="3"/>
      <c r="AB59" s="42"/>
      <c r="AC59" s="1"/>
      <c r="AD59" s="1"/>
      <c r="AE59" s="1"/>
      <c r="AF59" s="1"/>
      <c r="AG59" s="1"/>
      <c r="AH59" s="1"/>
      <c r="AI59" s="1"/>
    </row>
    <row r="60" spans="1:35" s="35" customFormat="1" x14ac:dyDescent="0.25">
      <c r="B60" s="19"/>
      <c r="C60" s="19"/>
      <c r="D60" s="43"/>
      <c r="E60" s="44"/>
      <c r="F60" s="44"/>
      <c r="G60" s="45"/>
      <c r="H60" s="44"/>
      <c r="I60" s="44"/>
      <c r="J60" s="46"/>
      <c r="K60" s="19"/>
      <c r="L60" s="43"/>
      <c r="M60" s="44"/>
      <c r="N60" s="44"/>
      <c r="O60" s="45"/>
      <c r="P60" s="44"/>
      <c r="Q60" s="44"/>
      <c r="R60" s="46"/>
      <c r="S60" s="19"/>
      <c r="T60" s="43"/>
      <c r="U60" s="44"/>
      <c r="V60" s="44"/>
      <c r="W60" s="45"/>
      <c r="X60" s="44"/>
      <c r="Y60" s="44"/>
      <c r="Z60" s="46"/>
      <c r="AA60" s="19"/>
      <c r="AB60" s="47"/>
    </row>
    <row r="61" spans="1:35" ht="14.25" x14ac:dyDescent="0.2">
      <c r="A61" s="1"/>
      <c r="B61" s="19" t="s">
        <v>16</v>
      </c>
      <c r="C61" s="19"/>
      <c r="D61" s="30">
        <f>0/1000*-1</f>
        <v>0</v>
      </c>
      <c r="E61" s="31">
        <f>0/1000*-1</f>
        <v>0</v>
      </c>
      <c r="F61" s="31">
        <f t="shared" ref="F61:F76" si="24">D61-E61</f>
        <v>0</v>
      </c>
      <c r="G61" s="26" t="str">
        <f t="shared" ref="G61:G76" si="25">IF(ISERROR(F61/E61),"N/A",IF(ABS(F61/E61)&gt;5,"N/A",F61/E61))</f>
        <v>N/A</v>
      </c>
      <c r="H61" s="31">
        <f>0/1000*-1</f>
        <v>0</v>
      </c>
      <c r="I61" s="31">
        <f t="shared" ref="I61:I76" si="26">D61-H61</f>
        <v>0</v>
      </c>
      <c r="J61" s="27" t="str">
        <f t="shared" ref="J61:J76" si="27">IF(ISERROR(I61/H61),"N/A",IF(ABS(I61/H61)&gt;5,"N/A",I61/H61))</f>
        <v>N/A</v>
      </c>
      <c r="K61" s="3"/>
      <c r="L61" s="30">
        <f>0/1000*-1</f>
        <v>0</v>
      </c>
      <c r="M61" s="31">
        <f>0/1000*-1</f>
        <v>0</v>
      </c>
      <c r="N61" s="31">
        <f t="shared" ref="N61:N76" si="28">L61-M61</f>
        <v>0</v>
      </c>
      <c r="O61" s="26" t="str">
        <f t="shared" ref="O61:O76" si="29">IF(ISERROR(N61/M61),"N/A",IF(ABS(N61/M61)&gt;5,"N/A",N61/M61))</f>
        <v>N/A</v>
      </c>
      <c r="P61" s="31">
        <f>0/1000*-1</f>
        <v>0</v>
      </c>
      <c r="Q61" s="31">
        <f t="shared" ref="Q61:Q76" si="30">L61-P61</f>
        <v>0</v>
      </c>
      <c r="R61" s="27" t="str">
        <f t="shared" ref="R61:R76" si="31">IF(ISERROR(Q61/P61),"N/A",IF(ABS(Q61/P61)&gt;5,"N/A",Q61/P61))</f>
        <v>N/A</v>
      </c>
      <c r="S61" s="3"/>
      <c r="T61" s="30">
        <f>0/1000*-1</f>
        <v>0</v>
      </c>
      <c r="U61" s="31">
        <f>0/1000*-1</f>
        <v>0</v>
      </c>
      <c r="V61" s="31">
        <f t="shared" ref="V61:V76" si="32">T61-U61</f>
        <v>0</v>
      </c>
      <c r="W61" s="26" t="str">
        <f t="shared" ref="W61:W76" si="33">IF(ISERROR(V61/U61),"N/A",IF(ABS(V61/U61)&gt;5,"N/A",V61/U61))</f>
        <v>N/A</v>
      </c>
      <c r="X61" s="31">
        <f>0/1000*-1</f>
        <v>0</v>
      </c>
      <c r="Y61" s="31">
        <f t="shared" ref="Y61:Y76" si="34">T61-X61</f>
        <v>0</v>
      </c>
      <c r="Z61" s="27" t="str">
        <f t="shared" ref="Z61:Z76" si="35">IF(ISERROR(Y61/X61),"N/A",IF(ABS(Y61/X61)&gt;5,"N/A",Y61/X61))</f>
        <v>N/A</v>
      </c>
      <c r="AA61" s="3"/>
      <c r="AB61" s="32">
        <f>0/1000*-1</f>
        <v>0</v>
      </c>
      <c r="AC61" s="1"/>
      <c r="AD61" s="1"/>
      <c r="AE61" s="1"/>
      <c r="AF61" s="1"/>
      <c r="AG61" s="1"/>
      <c r="AH61" s="1"/>
      <c r="AI61" s="1"/>
    </row>
    <row r="62" spans="1:35" ht="14.25" x14ac:dyDescent="0.2">
      <c r="A62" s="1"/>
      <c r="B62" s="29" t="s">
        <v>17</v>
      </c>
      <c r="C62" s="19"/>
      <c r="D62" s="30">
        <f>0/1000*-1</f>
        <v>0</v>
      </c>
      <c r="E62" s="31">
        <f>-2601.71/1000*-1</f>
        <v>2.6017100000000002</v>
      </c>
      <c r="F62" s="31">
        <f t="shared" si="24"/>
        <v>-2.6017100000000002</v>
      </c>
      <c r="G62" s="26">
        <f t="shared" si="25"/>
        <v>-1</v>
      </c>
      <c r="H62" s="31">
        <f>0/1000*-1</f>
        <v>0</v>
      </c>
      <c r="I62" s="31">
        <f t="shared" si="26"/>
        <v>0</v>
      </c>
      <c r="J62" s="27" t="str">
        <f t="shared" si="27"/>
        <v>N/A</v>
      </c>
      <c r="K62" s="3"/>
      <c r="L62" s="30">
        <f>0/1000*-1</f>
        <v>0</v>
      </c>
      <c r="M62" s="31">
        <f>-6804.01/1000*-1</f>
        <v>6.8040099999999999</v>
      </c>
      <c r="N62" s="31">
        <f t="shared" si="28"/>
        <v>-6.8040099999999999</v>
      </c>
      <c r="O62" s="26">
        <f t="shared" si="29"/>
        <v>-1</v>
      </c>
      <c r="P62" s="31">
        <f>0/1000*-1</f>
        <v>0</v>
      </c>
      <c r="Q62" s="31">
        <f t="shared" si="30"/>
        <v>0</v>
      </c>
      <c r="R62" s="27" t="str">
        <f t="shared" si="31"/>
        <v>N/A</v>
      </c>
      <c r="S62" s="3"/>
      <c r="T62" s="30">
        <f>-21529.85/1000*-1</f>
        <v>21.52985</v>
      </c>
      <c r="U62" s="31">
        <f>-12969.44/1000*-1</f>
        <v>12.969440000000001</v>
      </c>
      <c r="V62" s="31">
        <f t="shared" si="32"/>
        <v>8.5604099999999992</v>
      </c>
      <c r="W62" s="26">
        <f t="shared" si="33"/>
        <v>0.66004468967048679</v>
      </c>
      <c r="X62" s="31">
        <f>-21529.85/1000*-1</f>
        <v>21.52985</v>
      </c>
      <c r="Y62" s="31">
        <f t="shared" si="34"/>
        <v>0</v>
      </c>
      <c r="Z62" s="27">
        <f t="shared" si="35"/>
        <v>0</v>
      </c>
      <c r="AA62" s="3"/>
      <c r="AB62" s="32">
        <f>-21529.85/1000*-1</f>
        <v>21.52985</v>
      </c>
      <c r="AC62" s="1"/>
      <c r="AD62" s="1"/>
      <c r="AE62" s="1"/>
      <c r="AF62" s="1"/>
      <c r="AG62" s="1"/>
      <c r="AH62" s="1"/>
      <c r="AI62" s="1"/>
    </row>
    <row r="63" spans="1:35" ht="14.25" x14ac:dyDescent="0.2">
      <c r="A63" s="1"/>
      <c r="B63" s="19" t="s">
        <v>18</v>
      </c>
      <c r="C63" s="19"/>
      <c r="D63" s="30">
        <f>SUM(D64:D65)</f>
        <v>0</v>
      </c>
      <c r="E63" s="31">
        <f>SUM(E64:E65)</f>
        <v>0</v>
      </c>
      <c r="F63" s="31">
        <f t="shared" si="24"/>
        <v>0</v>
      </c>
      <c r="G63" s="26" t="str">
        <f t="shared" si="25"/>
        <v>N/A</v>
      </c>
      <c r="H63" s="31">
        <f>SUM(H64:H65)</f>
        <v>26</v>
      </c>
      <c r="I63" s="31">
        <f t="shared" si="26"/>
        <v>-26</v>
      </c>
      <c r="J63" s="27">
        <f t="shared" si="27"/>
        <v>-1</v>
      </c>
      <c r="K63" s="3"/>
      <c r="L63" s="30">
        <f>SUM(L64:L65)</f>
        <v>0</v>
      </c>
      <c r="M63" s="31">
        <f>SUM(M64:M65)</f>
        <v>0</v>
      </c>
      <c r="N63" s="31">
        <f t="shared" si="28"/>
        <v>0</v>
      </c>
      <c r="O63" s="26" t="str">
        <f t="shared" si="29"/>
        <v>N/A</v>
      </c>
      <c r="P63" s="31">
        <f>SUM(P64:P65)</f>
        <v>84.5</v>
      </c>
      <c r="Q63" s="31">
        <f t="shared" si="30"/>
        <v>-84.5</v>
      </c>
      <c r="R63" s="27">
        <f t="shared" si="31"/>
        <v>-1</v>
      </c>
      <c r="S63" s="3"/>
      <c r="T63" s="30">
        <f>SUM(T64:T65)</f>
        <v>0</v>
      </c>
      <c r="U63" s="31">
        <f>SUM(U64:U65)</f>
        <v>0</v>
      </c>
      <c r="V63" s="31">
        <f t="shared" si="32"/>
        <v>0</v>
      </c>
      <c r="W63" s="26" t="str">
        <f t="shared" si="33"/>
        <v>N/A</v>
      </c>
      <c r="X63" s="31">
        <f>SUM(X64:X65)</f>
        <v>84.5</v>
      </c>
      <c r="Y63" s="31">
        <f t="shared" si="34"/>
        <v>-84.5</v>
      </c>
      <c r="Z63" s="27">
        <f t="shared" si="35"/>
        <v>-1</v>
      </c>
      <c r="AA63" s="3"/>
      <c r="AB63" s="32">
        <f>SUM(AB64:AB65)</f>
        <v>491.06</v>
      </c>
      <c r="AC63" s="1"/>
      <c r="AD63" s="1"/>
      <c r="AE63" s="1"/>
      <c r="AF63" s="1"/>
      <c r="AG63" s="1"/>
      <c r="AH63" s="1"/>
      <c r="AI63" s="1"/>
    </row>
    <row r="64" spans="1:35" ht="14.25" hidden="1" outlineLevel="1" x14ac:dyDescent="0.2">
      <c r="A64" s="1"/>
      <c r="B64" s="33" t="s">
        <v>19</v>
      </c>
      <c r="C64" s="19"/>
      <c r="D64" s="30">
        <f>0/1000*-1</f>
        <v>0</v>
      </c>
      <c r="E64" s="31">
        <f>0/1000*-1</f>
        <v>0</v>
      </c>
      <c r="F64" s="31">
        <f t="shared" si="24"/>
        <v>0</v>
      </c>
      <c r="G64" s="26" t="str">
        <f t="shared" si="25"/>
        <v>N/A</v>
      </c>
      <c r="H64" s="31">
        <f>0/1000*-1</f>
        <v>0</v>
      </c>
      <c r="I64" s="31">
        <f t="shared" si="26"/>
        <v>0</v>
      </c>
      <c r="J64" s="27" t="str">
        <f t="shared" si="27"/>
        <v>N/A</v>
      </c>
      <c r="K64" s="3"/>
      <c r="L64" s="30">
        <f>0/1000*-1</f>
        <v>0</v>
      </c>
      <c r="M64" s="31">
        <f>0/1000*-1</f>
        <v>0</v>
      </c>
      <c r="N64" s="31">
        <f t="shared" si="28"/>
        <v>0</v>
      </c>
      <c r="O64" s="26" t="str">
        <f t="shared" si="29"/>
        <v>N/A</v>
      </c>
      <c r="P64" s="31">
        <f>0/1000*-1</f>
        <v>0</v>
      </c>
      <c r="Q64" s="31">
        <f t="shared" si="30"/>
        <v>0</v>
      </c>
      <c r="R64" s="27" t="str">
        <f t="shared" si="31"/>
        <v>N/A</v>
      </c>
      <c r="S64" s="3"/>
      <c r="T64" s="30">
        <f>0/1000*-1</f>
        <v>0</v>
      </c>
      <c r="U64" s="31">
        <f>0/1000*-1</f>
        <v>0</v>
      </c>
      <c r="V64" s="31">
        <f t="shared" si="32"/>
        <v>0</v>
      </c>
      <c r="W64" s="26" t="str">
        <f t="shared" si="33"/>
        <v>N/A</v>
      </c>
      <c r="X64" s="31">
        <f>0/1000*-1</f>
        <v>0</v>
      </c>
      <c r="Y64" s="31">
        <f t="shared" si="34"/>
        <v>0</v>
      </c>
      <c r="Z64" s="27" t="str">
        <f t="shared" si="35"/>
        <v>N/A</v>
      </c>
      <c r="AA64" s="3"/>
      <c r="AB64" s="32">
        <f>0/1000*-1</f>
        <v>0</v>
      </c>
      <c r="AC64" s="1"/>
      <c r="AD64" s="1"/>
      <c r="AE64" s="1"/>
      <c r="AF64" s="1"/>
      <c r="AG64" s="1"/>
      <c r="AH64" s="1"/>
      <c r="AI64" s="1"/>
    </row>
    <row r="65" spans="1:35" ht="14.25" hidden="1" outlineLevel="1" x14ac:dyDescent="0.2">
      <c r="A65" s="1"/>
      <c r="B65" s="33" t="s">
        <v>20</v>
      </c>
      <c r="C65" s="19"/>
      <c r="D65" s="30">
        <f>0/1000*-1</f>
        <v>0</v>
      </c>
      <c r="E65" s="31">
        <f>0/1000*-1</f>
        <v>0</v>
      </c>
      <c r="F65" s="31">
        <f t="shared" si="24"/>
        <v>0</v>
      </c>
      <c r="G65" s="26" t="str">
        <f t="shared" si="25"/>
        <v>N/A</v>
      </c>
      <c r="H65" s="31">
        <f>-26000/1000*-1</f>
        <v>26</v>
      </c>
      <c r="I65" s="31">
        <f t="shared" si="26"/>
        <v>-26</v>
      </c>
      <c r="J65" s="27">
        <f t="shared" si="27"/>
        <v>-1</v>
      </c>
      <c r="K65" s="3"/>
      <c r="L65" s="30">
        <f>0/1000*-1</f>
        <v>0</v>
      </c>
      <c r="M65" s="31">
        <f>0/1000*-1</f>
        <v>0</v>
      </c>
      <c r="N65" s="31">
        <f t="shared" si="28"/>
        <v>0</v>
      </c>
      <c r="O65" s="26" t="str">
        <f t="shared" si="29"/>
        <v>N/A</v>
      </c>
      <c r="P65" s="31">
        <f>-84500/1000*-1</f>
        <v>84.5</v>
      </c>
      <c r="Q65" s="31">
        <f t="shared" si="30"/>
        <v>-84.5</v>
      </c>
      <c r="R65" s="27">
        <f t="shared" si="31"/>
        <v>-1</v>
      </c>
      <c r="S65" s="3"/>
      <c r="T65" s="30">
        <f>0/1000*-1</f>
        <v>0</v>
      </c>
      <c r="U65" s="31">
        <f>0/1000*-1</f>
        <v>0</v>
      </c>
      <c r="V65" s="31">
        <f t="shared" si="32"/>
        <v>0</v>
      </c>
      <c r="W65" s="26" t="str">
        <f t="shared" si="33"/>
        <v>N/A</v>
      </c>
      <c r="X65" s="31">
        <f>-84500/1000*-1</f>
        <v>84.5</v>
      </c>
      <c r="Y65" s="31">
        <f t="shared" si="34"/>
        <v>-84.5</v>
      </c>
      <c r="Z65" s="27">
        <f t="shared" si="35"/>
        <v>-1</v>
      </c>
      <c r="AA65" s="3"/>
      <c r="AB65" s="32">
        <f>-491060/1000*-1</f>
        <v>491.06</v>
      </c>
      <c r="AC65" s="1"/>
      <c r="AD65" s="1"/>
      <c r="AE65" s="1"/>
      <c r="AF65" s="1"/>
      <c r="AG65" s="1"/>
      <c r="AH65" s="1"/>
      <c r="AI65" s="1"/>
    </row>
    <row r="66" spans="1:35" ht="14.25" collapsed="1" x14ac:dyDescent="0.2">
      <c r="A66" s="1"/>
      <c r="B66" s="19" t="s">
        <v>21</v>
      </c>
      <c r="C66" s="19"/>
      <c r="D66" s="30">
        <f>SUM(D67:D68)</f>
        <v>-48.830489999999998</v>
      </c>
      <c r="E66" s="31">
        <f>SUM(E67:E68)</f>
        <v>7.0365000000000002</v>
      </c>
      <c r="F66" s="31">
        <f t="shared" si="24"/>
        <v>-55.866990000000001</v>
      </c>
      <c r="G66" s="26" t="str">
        <f t="shared" si="25"/>
        <v>N/A</v>
      </c>
      <c r="H66" s="31">
        <f>SUM(H67:H68)</f>
        <v>0</v>
      </c>
      <c r="I66" s="31">
        <f t="shared" si="26"/>
        <v>-48.830489999999998</v>
      </c>
      <c r="J66" s="27" t="str">
        <f t="shared" si="27"/>
        <v>N/A</v>
      </c>
      <c r="K66" s="3"/>
      <c r="L66" s="30">
        <f>SUM(L67:L68)</f>
        <v>-48.818080000000002</v>
      </c>
      <c r="M66" s="31">
        <f>SUM(M67:M68)</f>
        <v>35.047309999999996</v>
      </c>
      <c r="N66" s="31">
        <f t="shared" si="28"/>
        <v>-83.865389999999991</v>
      </c>
      <c r="O66" s="26">
        <f t="shared" si="29"/>
        <v>-2.3929194565859691</v>
      </c>
      <c r="P66" s="31">
        <f>SUM(P67:P68)</f>
        <v>1.2410000000000001E-2</v>
      </c>
      <c r="Q66" s="31">
        <f t="shared" si="30"/>
        <v>-48.830490000000005</v>
      </c>
      <c r="R66" s="27" t="str">
        <f t="shared" si="31"/>
        <v>N/A</v>
      </c>
      <c r="S66" s="3"/>
      <c r="T66" s="30">
        <f>SUM(T67:T68)</f>
        <v>-80.805940000000007</v>
      </c>
      <c r="U66" s="31">
        <f>SUM(U67:U68)</f>
        <v>116.22278</v>
      </c>
      <c r="V66" s="31">
        <f t="shared" si="32"/>
        <v>-197.02872000000002</v>
      </c>
      <c r="W66" s="26">
        <f t="shared" si="33"/>
        <v>-1.6952676575108598</v>
      </c>
      <c r="X66" s="31">
        <f>SUM(X67:X68)</f>
        <v>-31.975450000000002</v>
      </c>
      <c r="Y66" s="31">
        <f t="shared" si="34"/>
        <v>-48.830490000000005</v>
      </c>
      <c r="Z66" s="27">
        <f t="shared" si="35"/>
        <v>1.5271244032531208</v>
      </c>
      <c r="AA66" s="3"/>
      <c r="AB66" s="32">
        <f>SUM(AB67:AB68)</f>
        <v>-31.975450000000002</v>
      </c>
      <c r="AC66" s="1"/>
      <c r="AD66" s="1"/>
      <c r="AE66" s="1"/>
      <c r="AF66" s="1"/>
      <c r="AG66" s="1"/>
      <c r="AH66" s="1"/>
      <c r="AI66" s="1"/>
    </row>
    <row r="67" spans="1:35" ht="14.25" hidden="1" outlineLevel="1" x14ac:dyDescent="0.2">
      <c r="A67" s="1"/>
      <c r="B67" s="33" t="s">
        <v>22</v>
      </c>
      <c r="C67" s="19"/>
      <c r="D67" s="30">
        <f>48830.49/1000*-1</f>
        <v>-48.830489999999998</v>
      </c>
      <c r="E67" s="31">
        <f>-7036.5/1000*-1</f>
        <v>7.0365000000000002</v>
      </c>
      <c r="F67" s="31">
        <f t="shared" si="24"/>
        <v>-55.866990000000001</v>
      </c>
      <c r="G67" s="26" t="str">
        <f t="shared" si="25"/>
        <v>N/A</v>
      </c>
      <c r="H67" s="31">
        <f>0/1000*-1</f>
        <v>0</v>
      </c>
      <c r="I67" s="31">
        <f t="shared" si="26"/>
        <v>-48.830489999999998</v>
      </c>
      <c r="J67" s="27" t="str">
        <f t="shared" si="27"/>
        <v>N/A</v>
      </c>
      <c r="K67" s="3"/>
      <c r="L67" s="30">
        <f>48818.08/1000*-1</f>
        <v>-48.818080000000002</v>
      </c>
      <c r="M67" s="31">
        <f>-35047.31/1000*-1</f>
        <v>35.047309999999996</v>
      </c>
      <c r="N67" s="31">
        <f t="shared" si="28"/>
        <v>-83.865389999999991</v>
      </c>
      <c r="O67" s="26">
        <f t="shared" si="29"/>
        <v>-2.3929194565859691</v>
      </c>
      <c r="P67" s="31">
        <f>-12.41/1000*-1</f>
        <v>1.2410000000000001E-2</v>
      </c>
      <c r="Q67" s="31">
        <f t="shared" si="30"/>
        <v>-48.830490000000005</v>
      </c>
      <c r="R67" s="27" t="str">
        <f t="shared" si="31"/>
        <v>N/A</v>
      </c>
      <c r="S67" s="3"/>
      <c r="T67" s="30">
        <f>80805.94/1000*-1</f>
        <v>-80.805940000000007</v>
      </c>
      <c r="U67" s="31">
        <f>-116222.78/1000*-1</f>
        <v>116.22278</v>
      </c>
      <c r="V67" s="31">
        <f t="shared" si="32"/>
        <v>-197.02872000000002</v>
      </c>
      <c r="W67" s="26">
        <f t="shared" si="33"/>
        <v>-1.6952676575108598</v>
      </c>
      <c r="X67" s="31">
        <f>31975.45/1000*-1</f>
        <v>-31.975450000000002</v>
      </c>
      <c r="Y67" s="31">
        <f t="shared" si="34"/>
        <v>-48.830490000000005</v>
      </c>
      <c r="Z67" s="27">
        <f t="shared" si="35"/>
        <v>1.5271244032531208</v>
      </c>
      <c r="AA67" s="3"/>
      <c r="AB67" s="32">
        <f>31975.45/1000*-1</f>
        <v>-31.975450000000002</v>
      </c>
      <c r="AC67" s="1"/>
      <c r="AD67" s="1"/>
      <c r="AE67" s="1"/>
      <c r="AF67" s="1"/>
      <c r="AG67" s="1"/>
      <c r="AH67" s="1"/>
      <c r="AI67" s="1"/>
    </row>
    <row r="68" spans="1:35" ht="14.25" hidden="1" outlineLevel="1" x14ac:dyDescent="0.2">
      <c r="A68" s="1"/>
      <c r="B68" s="33">
        <v>420040</v>
      </c>
      <c r="C68" s="19"/>
      <c r="D68" s="30">
        <f>0/1000*-1</f>
        <v>0</v>
      </c>
      <c r="E68" s="31">
        <f>0/1000*-1</f>
        <v>0</v>
      </c>
      <c r="F68" s="31">
        <f t="shared" si="24"/>
        <v>0</v>
      </c>
      <c r="G68" s="26" t="str">
        <f t="shared" si="25"/>
        <v>N/A</v>
      </c>
      <c r="H68" s="31">
        <f>0/1000*-1</f>
        <v>0</v>
      </c>
      <c r="I68" s="31">
        <f t="shared" si="26"/>
        <v>0</v>
      </c>
      <c r="J68" s="27" t="str">
        <f t="shared" si="27"/>
        <v>N/A</v>
      </c>
      <c r="K68" s="3"/>
      <c r="L68" s="30">
        <f>0/1000*-1</f>
        <v>0</v>
      </c>
      <c r="M68" s="31">
        <f>0/1000*-1</f>
        <v>0</v>
      </c>
      <c r="N68" s="31">
        <f t="shared" si="28"/>
        <v>0</v>
      </c>
      <c r="O68" s="26" t="str">
        <f t="shared" si="29"/>
        <v>N/A</v>
      </c>
      <c r="P68" s="31">
        <f>0/1000*-1</f>
        <v>0</v>
      </c>
      <c r="Q68" s="31">
        <f t="shared" si="30"/>
        <v>0</v>
      </c>
      <c r="R68" s="27" t="str">
        <f t="shared" si="31"/>
        <v>N/A</v>
      </c>
      <c r="S68" s="3"/>
      <c r="T68" s="30">
        <f>0/1000*-1</f>
        <v>0</v>
      </c>
      <c r="U68" s="31">
        <f>0/1000*-1</f>
        <v>0</v>
      </c>
      <c r="V68" s="31">
        <f t="shared" si="32"/>
        <v>0</v>
      </c>
      <c r="W68" s="26" t="str">
        <f t="shared" si="33"/>
        <v>N/A</v>
      </c>
      <c r="X68" s="31">
        <f>0/1000*-1</f>
        <v>0</v>
      </c>
      <c r="Y68" s="31">
        <f t="shared" si="34"/>
        <v>0</v>
      </c>
      <c r="Z68" s="27" t="str">
        <f t="shared" si="35"/>
        <v>N/A</v>
      </c>
      <c r="AA68" s="3"/>
      <c r="AB68" s="32">
        <f>0/1000*-1</f>
        <v>0</v>
      </c>
      <c r="AC68" s="1"/>
      <c r="AD68" s="1"/>
      <c r="AE68" s="1"/>
      <c r="AF68" s="1"/>
      <c r="AG68" s="1"/>
      <c r="AH68" s="1"/>
      <c r="AI68" s="1"/>
    </row>
    <row r="69" spans="1:35" ht="14.25" collapsed="1" x14ac:dyDescent="0.2">
      <c r="A69" s="1"/>
      <c r="B69" s="19" t="s">
        <v>24</v>
      </c>
      <c r="C69" s="19"/>
      <c r="D69" s="30">
        <v>0</v>
      </c>
      <c r="E69" s="31">
        <v>0</v>
      </c>
      <c r="F69" s="31">
        <f t="shared" si="24"/>
        <v>0</v>
      </c>
      <c r="G69" s="26" t="str">
        <f t="shared" si="25"/>
        <v>N/A</v>
      </c>
      <c r="H69" s="31">
        <v>0</v>
      </c>
      <c r="I69" s="31">
        <f t="shared" si="26"/>
        <v>0</v>
      </c>
      <c r="J69" s="27" t="str">
        <f t="shared" si="27"/>
        <v>N/A</v>
      </c>
      <c r="K69" s="3"/>
      <c r="L69" s="30">
        <v>0</v>
      </c>
      <c r="M69" s="31">
        <v>0</v>
      </c>
      <c r="N69" s="31">
        <f t="shared" si="28"/>
        <v>0</v>
      </c>
      <c r="O69" s="26" t="str">
        <f t="shared" si="29"/>
        <v>N/A</v>
      </c>
      <c r="P69" s="31">
        <v>0</v>
      </c>
      <c r="Q69" s="31">
        <f t="shared" si="30"/>
        <v>0</v>
      </c>
      <c r="R69" s="27" t="str">
        <f t="shared" si="31"/>
        <v>N/A</v>
      </c>
      <c r="S69" s="3"/>
      <c r="T69" s="30">
        <v>0</v>
      </c>
      <c r="U69" s="31">
        <v>0</v>
      </c>
      <c r="V69" s="31">
        <f t="shared" si="32"/>
        <v>0</v>
      </c>
      <c r="W69" s="26" t="str">
        <f t="shared" si="33"/>
        <v>N/A</v>
      </c>
      <c r="X69" s="31">
        <v>0</v>
      </c>
      <c r="Y69" s="31">
        <f t="shared" si="34"/>
        <v>0</v>
      </c>
      <c r="Z69" s="27" t="str">
        <f t="shared" si="35"/>
        <v>N/A</v>
      </c>
      <c r="AA69" s="3"/>
      <c r="AB69" s="32">
        <v>0</v>
      </c>
      <c r="AC69" s="1"/>
      <c r="AD69" s="1"/>
      <c r="AE69" s="1"/>
      <c r="AF69" s="1"/>
      <c r="AG69" s="1"/>
      <c r="AH69" s="1"/>
      <c r="AI69" s="1"/>
    </row>
    <row r="70" spans="1:35" ht="14.25" x14ac:dyDescent="0.2">
      <c r="A70" s="1"/>
      <c r="B70" s="19" t="s">
        <v>25</v>
      </c>
      <c r="C70" s="19"/>
      <c r="D70" s="30">
        <f>SUM(D71:D74)</f>
        <v>104.81122999999999</v>
      </c>
      <c r="E70" s="31">
        <f>SUM(E71:E74)</f>
        <v>118.32719</v>
      </c>
      <c r="F70" s="31">
        <f t="shared" si="24"/>
        <v>-13.515960000000007</v>
      </c>
      <c r="G70" s="26">
        <f t="shared" si="25"/>
        <v>-0.11422531034498501</v>
      </c>
      <c r="H70" s="31">
        <f>SUM(H71:H74)</f>
        <v>215.21177</v>
      </c>
      <c r="I70" s="31">
        <f t="shared" si="26"/>
        <v>-110.40054000000001</v>
      </c>
      <c r="J70" s="27">
        <f t="shared" si="27"/>
        <v>-0.51298560483007039</v>
      </c>
      <c r="K70" s="3"/>
      <c r="L70" s="30">
        <f>SUM(L71:L74)</f>
        <v>289.15539999999999</v>
      </c>
      <c r="M70" s="31">
        <f>SUM(M71:M74)</f>
        <v>385.96410000000003</v>
      </c>
      <c r="N70" s="31">
        <f t="shared" si="28"/>
        <v>-96.808700000000044</v>
      </c>
      <c r="O70" s="26">
        <f t="shared" si="29"/>
        <v>-0.25082306877764027</v>
      </c>
      <c r="P70" s="31">
        <f>SUM(P71:P74)</f>
        <v>481.48322999999999</v>
      </c>
      <c r="Q70" s="31">
        <f t="shared" si="30"/>
        <v>-192.32783000000001</v>
      </c>
      <c r="R70" s="27">
        <f t="shared" si="31"/>
        <v>-0.39944865784837408</v>
      </c>
      <c r="S70" s="3"/>
      <c r="T70" s="30">
        <f>SUM(T71:T74)</f>
        <v>663.05265999999995</v>
      </c>
      <c r="U70" s="31">
        <f>SUM(U71:U74)</f>
        <v>947.8827</v>
      </c>
      <c r="V70" s="31">
        <f t="shared" si="32"/>
        <v>-284.83004000000005</v>
      </c>
      <c r="W70" s="26">
        <f t="shared" si="33"/>
        <v>-0.30049080967507907</v>
      </c>
      <c r="X70" s="31">
        <f>SUM(X71:X74)</f>
        <v>855.38049000000001</v>
      </c>
      <c r="Y70" s="31">
        <f t="shared" si="34"/>
        <v>-192.32783000000006</v>
      </c>
      <c r="Z70" s="27">
        <f t="shared" si="35"/>
        <v>-0.22484477054182059</v>
      </c>
      <c r="AA70" s="3"/>
      <c r="AB70" s="32">
        <f>SUM(AB71:AB74)</f>
        <v>2371.7554300000002</v>
      </c>
      <c r="AC70" s="1"/>
      <c r="AD70" s="1"/>
      <c r="AE70" s="1"/>
      <c r="AF70" s="1"/>
      <c r="AG70" s="1"/>
      <c r="AH70" s="1"/>
      <c r="AI70" s="1"/>
    </row>
    <row r="71" spans="1:35" ht="14.25" hidden="1" outlineLevel="1" x14ac:dyDescent="0.2">
      <c r="A71" s="1"/>
      <c r="B71" s="33" t="s">
        <v>26</v>
      </c>
      <c r="C71" s="19"/>
      <c r="D71" s="30">
        <f>0/1000*-1</f>
        <v>0</v>
      </c>
      <c r="E71" s="31">
        <f>0/1000*-1</f>
        <v>0</v>
      </c>
      <c r="F71" s="31">
        <f t="shared" si="24"/>
        <v>0</v>
      </c>
      <c r="G71" s="26" t="str">
        <f t="shared" si="25"/>
        <v>N/A</v>
      </c>
      <c r="H71" s="31">
        <f>0/1000*-1</f>
        <v>0</v>
      </c>
      <c r="I71" s="31">
        <f t="shared" si="26"/>
        <v>0</v>
      </c>
      <c r="J71" s="27" t="str">
        <f t="shared" si="27"/>
        <v>N/A</v>
      </c>
      <c r="K71" s="3"/>
      <c r="L71" s="30">
        <f>0/1000*-1</f>
        <v>0</v>
      </c>
      <c r="M71" s="31">
        <f>0/1000*-1</f>
        <v>0</v>
      </c>
      <c r="N71" s="31">
        <f t="shared" si="28"/>
        <v>0</v>
      </c>
      <c r="O71" s="26" t="str">
        <f t="shared" si="29"/>
        <v>N/A</v>
      </c>
      <c r="P71" s="31">
        <f>0/1000*-1</f>
        <v>0</v>
      </c>
      <c r="Q71" s="31">
        <f t="shared" si="30"/>
        <v>0</v>
      </c>
      <c r="R71" s="27" t="str">
        <f t="shared" si="31"/>
        <v>N/A</v>
      </c>
      <c r="S71" s="3"/>
      <c r="T71" s="30">
        <f>0/1000*-1</f>
        <v>0</v>
      </c>
      <c r="U71" s="31">
        <f>0/1000*-1</f>
        <v>0</v>
      </c>
      <c r="V71" s="31">
        <f t="shared" si="32"/>
        <v>0</v>
      </c>
      <c r="W71" s="26" t="str">
        <f t="shared" si="33"/>
        <v>N/A</v>
      </c>
      <c r="X71" s="31">
        <f>0/1000*-1</f>
        <v>0</v>
      </c>
      <c r="Y71" s="31">
        <f t="shared" si="34"/>
        <v>0</v>
      </c>
      <c r="Z71" s="27" t="str">
        <f t="shared" si="35"/>
        <v>N/A</v>
      </c>
      <c r="AA71" s="3"/>
      <c r="AB71" s="32">
        <f>0/1000*-1</f>
        <v>0</v>
      </c>
      <c r="AC71" s="1"/>
      <c r="AD71" s="1"/>
      <c r="AE71" s="1"/>
      <c r="AF71" s="1"/>
      <c r="AG71" s="1"/>
      <c r="AH71" s="1"/>
      <c r="AI71" s="1"/>
    </row>
    <row r="72" spans="1:35" ht="14.25" hidden="1" outlineLevel="1" x14ac:dyDescent="0.2">
      <c r="A72" s="1"/>
      <c r="B72" s="33" t="s">
        <v>27</v>
      </c>
      <c r="C72" s="19"/>
      <c r="D72" s="30">
        <f>0/1000*-1</f>
        <v>0</v>
      </c>
      <c r="E72" s="31">
        <f>0/1000*-1</f>
        <v>0</v>
      </c>
      <c r="F72" s="31">
        <f t="shared" si="24"/>
        <v>0</v>
      </c>
      <c r="G72" s="26" t="str">
        <f t="shared" si="25"/>
        <v>N/A</v>
      </c>
      <c r="H72" s="31">
        <f>0/1000*-1</f>
        <v>0</v>
      </c>
      <c r="I72" s="31">
        <f t="shared" si="26"/>
        <v>0</v>
      </c>
      <c r="J72" s="27" t="str">
        <f t="shared" si="27"/>
        <v>N/A</v>
      </c>
      <c r="K72" s="3"/>
      <c r="L72" s="30">
        <f>0/1000*-1</f>
        <v>0</v>
      </c>
      <c r="M72" s="31">
        <f>0/1000*-1</f>
        <v>0</v>
      </c>
      <c r="N72" s="31">
        <f t="shared" si="28"/>
        <v>0</v>
      </c>
      <c r="O72" s="26" t="str">
        <f t="shared" si="29"/>
        <v>N/A</v>
      </c>
      <c r="P72" s="31">
        <f>0/1000*-1</f>
        <v>0</v>
      </c>
      <c r="Q72" s="31">
        <f t="shared" si="30"/>
        <v>0</v>
      </c>
      <c r="R72" s="27" t="str">
        <f t="shared" si="31"/>
        <v>N/A</v>
      </c>
      <c r="S72" s="3"/>
      <c r="T72" s="30">
        <f>0/1000*-1</f>
        <v>0</v>
      </c>
      <c r="U72" s="31">
        <f>0/1000*-1</f>
        <v>0</v>
      </c>
      <c r="V72" s="31">
        <f t="shared" si="32"/>
        <v>0</v>
      </c>
      <c r="W72" s="26" t="str">
        <f t="shared" si="33"/>
        <v>N/A</v>
      </c>
      <c r="X72" s="31">
        <f>0/1000*-1</f>
        <v>0</v>
      </c>
      <c r="Y72" s="31">
        <f t="shared" si="34"/>
        <v>0</v>
      </c>
      <c r="Z72" s="27" t="str">
        <f t="shared" si="35"/>
        <v>N/A</v>
      </c>
      <c r="AA72" s="3"/>
      <c r="AB72" s="32">
        <f>0/1000*-1</f>
        <v>0</v>
      </c>
      <c r="AC72" s="1"/>
      <c r="AD72" s="1"/>
      <c r="AE72" s="1"/>
      <c r="AF72" s="1"/>
      <c r="AG72" s="1"/>
      <c r="AH72" s="1"/>
      <c r="AI72" s="1"/>
    </row>
    <row r="73" spans="1:35" ht="14.25" hidden="1" outlineLevel="1" x14ac:dyDescent="0.2">
      <c r="A73" s="1"/>
      <c r="B73" s="33" t="s">
        <v>28</v>
      </c>
      <c r="C73" s="19"/>
      <c r="D73" s="30">
        <f>-59938.96/1000*-1</f>
        <v>59.938960000000002</v>
      </c>
      <c r="E73" s="31">
        <f>-31226.27/1000*-1</f>
        <v>31.22627</v>
      </c>
      <c r="F73" s="31">
        <f t="shared" si="24"/>
        <v>28.712690000000002</v>
      </c>
      <c r="G73" s="26">
        <f t="shared" si="25"/>
        <v>0.91950431479648398</v>
      </c>
      <c r="H73" s="31">
        <f>-87256/1000*-1</f>
        <v>87.256</v>
      </c>
      <c r="I73" s="31">
        <f t="shared" si="26"/>
        <v>-27.317039999999999</v>
      </c>
      <c r="J73" s="27">
        <f t="shared" si="27"/>
        <v>-0.31306775465297515</v>
      </c>
      <c r="K73" s="3"/>
      <c r="L73" s="30">
        <f>-87533.52/1000*-1</f>
        <v>87.53352000000001</v>
      </c>
      <c r="M73" s="31">
        <f>-106274.52/1000*-1</f>
        <v>106.27452000000001</v>
      </c>
      <c r="N73" s="31">
        <f t="shared" si="28"/>
        <v>-18.741</v>
      </c>
      <c r="O73" s="26">
        <f t="shared" si="29"/>
        <v>-0.17634518603330315</v>
      </c>
      <c r="P73" s="31">
        <f>-179354.13/1000*-1</f>
        <v>179.35413</v>
      </c>
      <c r="Q73" s="31">
        <f t="shared" si="30"/>
        <v>-91.820609999999988</v>
      </c>
      <c r="R73" s="27">
        <f t="shared" si="31"/>
        <v>-0.51195146718952045</v>
      </c>
      <c r="S73" s="3"/>
      <c r="T73" s="30">
        <f>-142761.18/1000*-1</f>
        <v>142.76118</v>
      </c>
      <c r="U73" s="31">
        <f>-325902.06/1000*-1</f>
        <v>325.90206000000001</v>
      </c>
      <c r="V73" s="31">
        <f t="shared" si="32"/>
        <v>-183.14088000000001</v>
      </c>
      <c r="W73" s="26">
        <f t="shared" si="33"/>
        <v>-0.56195066701941065</v>
      </c>
      <c r="X73" s="31">
        <f>-234581.79/1000*-1</f>
        <v>234.58179000000001</v>
      </c>
      <c r="Y73" s="31">
        <f t="shared" si="34"/>
        <v>-91.820610000000016</v>
      </c>
      <c r="Z73" s="27">
        <f t="shared" si="35"/>
        <v>-0.3914225822899553</v>
      </c>
      <c r="AA73" s="3"/>
      <c r="AB73" s="32">
        <f>-641690.91/1000*-1</f>
        <v>641.69091000000003</v>
      </c>
      <c r="AC73" s="1"/>
      <c r="AD73" s="1"/>
      <c r="AE73" s="1"/>
      <c r="AF73" s="1"/>
      <c r="AG73" s="1"/>
      <c r="AH73" s="1"/>
      <c r="AI73" s="1"/>
    </row>
    <row r="74" spans="1:35" ht="14.25" hidden="1" outlineLevel="1" x14ac:dyDescent="0.2">
      <c r="A74" s="1"/>
      <c r="B74" s="33" t="s">
        <v>29</v>
      </c>
      <c r="C74" s="19"/>
      <c r="D74" s="30">
        <f>SUM(D75:D76)</f>
        <v>44.87227</v>
      </c>
      <c r="E74" s="31">
        <f>SUM(E75:E76)</f>
        <v>87.100920000000002</v>
      </c>
      <c r="F74" s="31">
        <f t="shared" si="24"/>
        <v>-42.228650000000002</v>
      </c>
      <c r="G74" s="26">
        <f t="shared" si="25"/>
        <v>-0.48482438532222161</v>
      </c>
      <c r="H74" s="31">
        <f>SUM(H75:H76)</f>
        <v>127.95577</v>
      </c>
      <c r="I74" s="31">
        <f t="shared" si="26"/>
        <v>-83.083500000000001</v>
      </c>
      <c r="J74" s="27">
        <f t="shared" si="27"/>
        <v>-0.64931421224693497</v>
      </c>
      <c r="K74" s="3"/>
      <c r="L74" s="30">
        <f>SUM(L75:L76)</f>
        <v>201.62188</v>
      </c>
      <c r="M74" s="31">
        <f>SUM(M75:M76)</f>
        <v>279.68958000000003</v>
      </c>
      <c r="N74" s="31">
        <f t="shared" si="28"/>
        <v>-78.067700000000031</v>
      </c>
      <c r="O74" s="26">
        <f t="shared" si="29"/>
        <v>-0.27912266163079802</v>
      </c>
      <c r="P74" s="31">
        <f>SUM(P75:P76)</f>
        <v>302.12909999999999</v>
      </c>
      <c r="Q74" s="31">
        <f t="shared" si="30"/>
        <v>-100.50721999999999</v>
      </c>
      <c r="R74" s="27">
        <f t="shared" si="31"/>
        <v>-0.33266315624678322</v>
      </c>
      <c r="S74" s="3"/>
      <c r="T74" s="30">
        <f>SUM(T75:T76)</f>
        <v>520.29147999999998</v>
      </c>
      <c r="U74" s="31">
        <f>SUM(U75:U76)</f>
        <v>621.98063999999999</v>
      </c>
      <c r="V74" s="31">
        <f t="shared" si="32"/>
        <v>-101.68916000000002</v>
      </c>
      <c r="W74" s="26">
        <f t="shared" si="33"/>
        <v>-0.16349248426767754</v>
      </c>
      <c r="X74" s="31">
        <f>SUM(X75:X76)</f>
        <v>620.79869999999994</v>
      </c>
      <c r="Y74" s="31">
        <f t="shared" si="34"/>
        <v>-100.50721999999996</v>
      </c>
      <c r="Z74" s="27">
        <f t="shared" si="35"/>
        <v>-0.16189985578255878</v>
      </c>
      <c r="AA74" s="3"/>
      <c r="AB74" s="32">
        <f>SUM(AB75:AB76)</f>
        <v>1730.0645200000001</v>
      </c>
      <c r="AC74" s="1"/>
      <c r="AD74" s="1"/>
      <c r="AE74" s="1"/>
      <c r="AF74" s="1"/>
      <c r="AG74" s="1"/>
      <c r="AH74" s="1"/>
      <c r="AI74" s="1"/>
    </row>
    <row r="75" spans="1:35" ht="14.25" hidden="1" outlineLevel="2" x14ac:dyDescent="0.2">
      <c r="A75" s="1"/>
      <c r="B75" s="34" t="s">
        <v>30</v>
      </c>
      <c r="C75" s="19"/>
      <c r="D75" s="30">
        <f>-44872.27/1000*-1</f>
        <v>44.87227</v>
      </c>
      <c r="E75" s="31">
        <f>-87100.92/1000*-1</f>
        <v>87.100920000000002</v>
      </c>
      <c r="F75" s="31">
        <f t="shared" si="24"/>
        <v>-42.228650000000002</v>
      </c>
      <c r="G75" s="26">
        <f t="shared" si="25"/>
        <v>-0.48482438532222161</v>
      </c>
      <c r="H75" s="31">
        <f>-127955.77/1000*-1</f>
        <v>127.95577</v>
      </c>
      <c r="I75" s="31">
        <f t="shared" si="26"/>
        <v>-83.083500000000001</v>
      </c>
      <c r="J75" s="27">
        <f t="shared" si="27"/>
        <v>-0.64931421224693497</v>
      </c>
      <c r="K75" s="3"/>
      <c r="L75" s="30">
        <f>-201621.88/1000*-1</f>
        <v>201.62188</v>
      </c>
      <c r="M75" s="31">
        <f>-279689.58/1000*-1</f>
        <v>279.68958000000003</v>
      </c>
      <c r="N75" s="31">
        <f t="shared" si="28"/>
        <v>-78.067700000000031</v>
      </c>
      <c r="O75" s="26">
        <f t="shared" si="29"/>
        <v>-0.27912266163079802</v>
      </c>
      <c r="P75" s="31">
        <f>-302129.1/1000*-1</f>
        <v>302.12909999999999</v>
      </c>
      <c r="Q75" s="31">
        <f t="shared" si="30"/>
        <v>-100.50721999999999</v>
      </c>
      <c r="R75" s="27">
        <f t="shared" si="31"/>
        <v>-0.33266315624678322</v>
      </c>
      <c r="S75" s="3"/>
      <c r="T75" s="30">
        <f>-520291.48/1000*-1</f>
        <v>520.29147999999998</v>
      </c>
      <c r="U75" s="31">
        <f>-621980.64/1000*-1</f>
        <v>621.98063999999999</v>
      </c>
      <c r="V75" s="31">
        <f t="shared" si="32"/>
        <v>-101.68916000000002</v>
      </c>
      <c r="W75" s="26">
        <f t="shared" si="33"/>
        <v>-0.16349248426767754</v>
      </c>
      <c r="X75" s="31">
        <f>-620798.7/1000*-1</f>
        <v>620.79869999999994</v>
      </c>
      <c r="Y75" s="31">
        <f t="shared" si="34"/>
        <v>-100.50721999999996</v>
      </c>
      <c r="Z75" s="27">
        <f t="shared" si="35"/>
        <v>-0.16189985578255878</v>
      </c>
      <c r="AA75" s="3"/>
      <c r="AB75" s="32">
        <f>-1730064.52/1000*-1</f>
        <v>1730.0645200000001</v>
      </c>
      <c r="AC75" s="1"/>
      <c r="AD75" s="1"/>
      <c r="AE75" s="1"/>
      <c r="AF75" s="1"/>
      <c r="AG75" s="1"/>
      <c r="AH75" s="1"/>
      <c r="AI75" s="1"/>
    </row>
    <row r="76" spans="1:35" s="35" customFormat="1" ht="14.25" hidden="1" outlineLevel="2" x14ac:dyDescent="0.2">
      <c r="B76" s="34" t="s">
        <v>31</v>
      </c>
      <c r="C76" s="19"/>
      <c r="D76" s="30">
        <f>0/1000*-1</f>
        <v>0</v>
      </c>
      <c r="E76" s="31">
        <f>0/1000*-1</f>
        <v>0</v>
      </c>
      <c r="F76" s="31">
        <f t="shared" si="24"/>
        <v>0</v>
      </c>
      <c r="G76" s="26" t="str">
        <f t="shared" si="25"/>
        <v>N/A</v>
      </c>
      <c r="H76" s="31">
        <f>0/1000*-1</f>
        <v>0</v>
      </c>
      <c r="I76" s="31">
        <f t="shared" si="26"/>
        <v>0</v>
      </c>
      <c r="J76" s="27" t="str">
        <f t="shared" si="27"/>
        <v>N/A</v>
      </c>
      <c r="K76" s="19"/>
      <c r="L76" s="30">
        <f>0/1000*-1</f>
        <v>0</v>
      </c>
      <c r="M76" s="31">
        <f>0/1000*-1</f>
        <v>0</v>
      </c>
      <c r="N76" s="31">
        <f t="shared" si="28"/>
        <v>0</v>
      </c>
      <c r="O76" s="26" t="str">
        <f t="shared" si="29"/>
        <v>N/A</v>
      </c>
      <c r="P76" s="31">
        <f>0/1000*-1</f>
        <v>0</v>
      </c>
      <c r="Q76" s="31">
        <f t="shared" si="30"/>
        <v>0</v>
      </c>
      <c r="R76" s="27" t="str">
        <f t="shared" si="31"/>
        <v>N/A</v>
      </c>
      <c r="S76" s="19"/>
      <c r="T76" s="30">
        <f>0/1000*-1</f>
        <v>0</v>
      </c>
      <c r="U76" s="31">
        <f>0/1000*-1</f>
        <v>0</v>
      </c>
      <c r="V76" s="31">
        <f t="shared" si="32"/>
        <v>0</v>
      </c>
      <c r="W76" s="26" t="str">
        <f t="shared" si="33"/>
        <v>N/A</v>
      </c>
      <c r="X76" s="31">
        <f>0/1000*-1</f>
        <v>0</v>
      </c>
      <c r="Y76" s="31">
        <f t="shared" si="34"/>
        <v>0</v>
      </c>
      <c r="Z76" s="27" t="str">
        <f t="shared" si="35"/>
        <v>N/A</v>
      </c>
      <c r="AA76" s="19"/>
      <c r="AB76" s="32">
        <f>0/1000*-1</f>
        <v>0</v>
      </c>
    </row>
    <row r="77" spans="1:35" s="35" customFormat="1" ht="5.0999999999999996" hidden="1" customHeight="1" outlineLevel="1" x14ac:dyDescent="0.2">
      <c r="B77" s="34"/>
      <c r="C77" s="19"/>
      <c r="D77" s="36"/>
      <c r="E77" s="37"/>
      <c r="F77" s="37"/>
      <c r="G77" s="38"/>
      <c r="H77" s="37"/>
      <c r="I77" s="37"/>
      <c r="J77" s="39"/>
      <c r="K77" s="19"/>
      <c r="L77" s="36"/>
      <c r="M77" s="37"/>
      <c r="N77" s="37"/>
      <c r="O77" s="38"/>
      <c r="P77" s="37"/>
      <c r="Q77" s="37"/>
      <c r="R77" s="39"/>
      <c r="S77" s="19"/>
      <c r="T77" s="36"/>
      <c r="U77" s="37"/>
      <c r="V77" s="37"/>
      <c r="W77" s="38"/>
      <c r="X77" s="37"/>
      <c r="Y77" s="37"/>
      <c r="Z77" s="39"/>
      <c r="AA77" s="19"/>
      <c r="AB77" s="40"/>
    </row>
    <row r="78" spans="1:35" ht="14.25" collapsed="1" x14ac:dyDescent="0.2">
      <c r="A78" s="1"/>
      <c r="B78" s="19" t="s">
        <v>32</v>
      </c>
      <c r="C78" s="19"/>
      <c r="D78" s="30">
        <f>SUM(D61:D63,D66,D69:D70)</f>
        <v>55.980739999999997</v>
      </c>
      <c r="E78" s="31">
        <f>SUM(E61:E63,E66,E69:E70)</f>
        <v>127.9654</v>
      </c>
      <c r="F78" s="31">
        <f>D78-E78</f>
        <v>-71.984660000000005</v>
      </c>
      <c r="G78" s="26">
        <f>IF(ISERROR(F78/E78),"N/A",IF(ABS(F78/E78)&gt;5,"N/A",F78/E78))</f>
        <v>-0.56253221573956713</v>
      </c>
      <c r="H78" s="31">
        <f>SUM(H61:H63,H66,H69:H70)</f>
        <v>241.21177</v>
      </c>
      <c r="I78" s="31">
        <f>D78-H78</f>
        <v>-185.23103</v>
      </c>
      <c r="J78" s="27">
        <f>IF(ISERROR(I78/H78),"N/A",IF(ABS(I78/H78)&gt;5,"N/A",I78/H78))</f>
        <v>-0.76791870479620461</v>
      </c>
      <c r="K78" s="3"/>
      <c r="L78" s="30">
        <f>SUM(L61:L63,L66,L69:L70)</f>
        <v>240.33731999999998</v>
      </c>
      <c r="M78" s="31">
        <f>SUM(M61:M63,M66,M69:M70)</f>
        <v>427.81542000000002</v>
      </c>
      <c r="N78" s="31">
        <f>L78-M78</f>
        <v>-187.47810000000004</v>
      </c>
      <c r="O78" s="26">
        <f>IF(ISERROR(N78/M78),"N/A",IF(ABS(N78/M78)&gt;5,"N/A",N78/M78))</f>
        <v>-0.43822193225293288</v>
      </c>
      <c r="P78" s="31">
        <f>SUM(P61:P63,P66,P69:P70)</f>
        <v>565.99563999999998</v>
      </c>
      <c r="Q78" s="31">
        <f>L78-P78</f>
        <v>-325.65832</v>
      </c>
      <c r="R78" s="27">
        <f>IF(ISERROR(Q78/P78),"N/A",IF(ABS(Q78/P78)&gt;5,"N/A",Q78/P78))</f>
        <v>-0.5753724887350723</v>
      </c>
      <c r="S78" s="3"/>
      <c r="T78" s="30">
        <f>SUM(T61:T63,T66,T69:T70)</f>
        <v>603.77656999999999</v>
      </c>
      <c r="U78" s="31">
        <f>SUM(U61:U63,U66,U69:U70)</f>
        <v>1077.07492</v>
      </c>
      <c r="V78" s="31">
        <f>T78-U78</f>
        <v>-473.29835000000003</v>
      </c>
      <c r="W78" s="26">
        <f>IF(ISERROR(V78/U78),"N/A",IF(ABS(V78/U78)&gt;5,"N/A",V78/U78))</f>
        <v>-0.4394293667148057</v>
      </c>
      <c r="X78" s="31">
        <f>SUM(X61:X63,X66,X69:X70)</f>
        <v>929.43489</v>
      </c>
      <c r="Y78" s="31">
        <f>T78-X78</f>
        <v>-325.65832</v>
      </c>
      <c r="Z78" s="27">
        <f>IF(ISERROR(Y78/X78),"N/A",IF(ABS(Y78/X78)&gt;5,"N/A",Y78/X78))</f>
        <v>-0.35038314518190727</v>
      </c>
      <c r="AA78" s="3"/>
      <c r="AB78" s="32">
        <f>SUM(AB61:AB63,AB66,AB69:AB70)</f>
        <v>2852.3698300000001</v>
      </c>
      <c r="AC78" s="1"/>
      <c r="AD78" s="1"/>
      <c r="AE78" s="1"/>
      <c r="AF78" s="1"/>
      <c r="AG78" s="1"/>
      <c r="AH78" s="1"/>
      <c r="AI78" s="1"/>
    </row>
    <row r="79" spans="1:35" ht="14.25" x14ac:dyDescent="0.2">
      <c r="A79" s="1"/>
      <c r="B79" s="34"/>
      <c r="C79" s="19"/>
      <c r="D79" s="30"/>
      <c r="E79" s="31"/>
      <c r="F79" s="31"/>
      <c r="G79" s="26"/>
      <c r="H79" s="31"/>
      <c r="I79" s="31"/>
      <c r="J79" s="27"/>
      <c r="K79" s="3"/>
      <c r="L79" s="30"/>
      <c r="M79" s="31"/>
      <c r="N79" s="31"/>
      <c r="O79" s="26"/>
      <c r="P79" s="31"/>
      <c r="Q79" s="31"/>
      <c r="R79" s="27"/>
      <c r="S79" s="3"/>
      <c r="T79" s="30"/>
      <c r="U79" s="31"/>
      <c r="V79" s="31"/>
      <c r="W79" s="26"/>
      <c r="X79" s="31"/>
      <c r="Y79" s="31"/>
      <c r="Z79" s="27"/>
      <c r="AA79" s="3"/>
      <c r="AB79" s="32"/>
      <c r="AC79" s="1"/>
      <c r="AD79" s="1"/>
      <c r="AE79" s="1"/>
      <c r="AF79" s="1"/>
      <c r="AG79" s="1"/>
      <c r="AH79" s="1"/>
      <c r="AI79" s="1"/>
    </row>
    <row r="80" spans="1:35" ht="14.25" x14ac:dyDescent="0.2">
      <c r="A80" s="1"/>
      <c r="B80" s="29" t="s">
        <v>33</v>
      </c>
      <c r="C80" s="19"/>
      <c r="D80" s="30">
        <f>-1040140.5/1000*-1</f>
        <v>1040.1405</v>
      </c>
      <c r="E80" s="31">
        <f>-383314.39/1000*-1</f>
        <v>383.31439</v>
      </c>
      <c r="F80" s="31">
        <f>D80-E80</f>
        <v>656.82610999999997</v>
      </c>
      <c r="G80" s="26">
        <f>IF(ISERROR(F80/E80),"N/A",IF(ABS(F80/E80)&gt;5,"N/A",F80/E80))</f>
        <v>1.7135440962704269</v>
      </c>
      <c r="H80" s="31">
        <f>0/1000*-1</f>
        <v>0</v>
      </c>
      <c r="I80" s="31">
        <f>D80-H80</f>
        <v>1040.1405</v>
      </c>
      <c r="J80" s="27" t="str">
        <f>IF(ISERROR(I80/H80),"N/A",IF(ABS(I80/H80)&gt;5,"N/A",I80/H80))</f>
        <v>N/A</v>
      </c>
      <c r="K80" s="3"/>
      <c r="L80" s="30">
        <f>-1332574.34/1000*-1</f>
        <v>1332.5743400000001</v>
      </c>
      <c r="M80" s="31">
        <f>-761001.15/1000*-1</f>
        <v>761.00115000000005</v>
      </c>
      <c r="N80" s="31">
        <f>L80-M80</f>
        <v>571.57319000000007</v>
      </c>
      <c r="O80" s="26">
        <f>IF(ISERROR(N80/M80),"N/A",IF(ABS(N80/M80)&gt;5,"N/A",N80/M80))</f>
        <v>0.75108058640910069</v>
      </c>
      <c r="P80" s="31">
        <f>-215733.79/1000*-1</f>
        <v>215.73379</v>
      </c>
      <c r="Q80" s="31">
        <f>L80-P80</f>
        <v>1116.8405500000001</v>
      </c>
      <c r="R80" s="27" t="str">
        <f>IF(ISERROR(Q80/P80),"N/A",IF(ABS(Q80/P80)&gt;5,"N/A",Q80/P80))</f>
        <v>N/A</v>
      </c>
      <c r="S80" s="3"/>
      <c r="T80" s="30">
        <f>-2406116.26/1000*-1</f>
        <v>2406.1162599999998</v>
      </c>
      <c r="U80" s="31">
        <f>-1311670.49/1000*-1</f>
        <v>1311.67049</v>
      </c>
      <c r="V80" s="31">
        <f>T80-U80</f>
        <v>1094.4457699999998</v>
      </c>
      <c r="W80" s="26">
        <f>IF(ISERROR(V80/U80),"N/A",IF(ABS(V80/U80)&gt;5,"N/A",V80/U80))</f>
        <v>0.83439078514299714</v>
      </c>
      <c r="X80" s="31">
        <f>-1289275.71/1000*-1</f>
        <v>1289.2757099999999</v>
      </c>
      <c r="Y80" s="31">
        <f>T80-X80</f>
        <v>1116.8405499999999</v>
      </c>
      <c r="Z80" s="27">
        <f>IF(ISERROR(Y80/X80),"N/A",IF(ABS(Y80/X80)&gt;5,"N/A",Y80/X80))</f>
        <v>0.86625423975450522</v>
      </c>
      <c r="AA80" s="3"/>
      <c r="AB80" s="32">
        <f>-5726055.71/1000*-1</f>
        <v>5726.0557099999996</v>
      </c>
      <c r="AC80" s="1"/>
      <c r="AD80" s="1"/>
      <c r="AE80" s="1"/>
      <c r="AF80" s="1"/>
      <c r="AG80" s="1"/>
      <c r="AH80" s="1"/>
      <c r="AI80" s="1"/>
    </row>
    <row r="81" spans="1:35" ht="14.25" x14ac:dyDescent="0.2">
      <c r="A81" s="1"/>
      <c r="B81" s="34"/>
      <c r="C81" s="19"/>
      <c r="D81" s="30"/>
      <c r="E81" s="31"/>
      <c r="F81" s="31"/>
      <c r="G81" s="26"/>
      <c r="H81" s="31"/>
      <c r="I81" s="31"/>
      <c r="J81" s="27"/>
      <c r="K81" s="3"/>
      <c r="L81" s="30"/>
      <c r="M81" s="31"/>
      <c r="N81" s="31"/>
      <c r="O81" s="26"/>
      <c r="P81" s="31"/>
      <c r="Q81" s="31"/>
      <c r="R81" s="27"/>
      <c r="S81" s="3"/>
      <c r="T81" s="30"/>
      <c r="U81" s="31"/>
      <c r="V81" s="31"/>
      <c r="W81" s="26"/>
      <c r="X81" s="31"/>
      <c r="Y81" s="31"/>
      <c r="Z81" s="27"/>
      <c r="AA81" s="3"/>
      <c r="AB81" s="32"/>
      <c r="AC81" s="1"/>
      <c r="AD81" s="1"/>
      <c r="AE81" s="1"/>
      <c r="AF81" s="1"/>
      <c r="AG81" s="1"/>
      <c r="AH81" s="1"/>
      <c r="AI81" s="1"/>
    </row>
    <row r="82" spans="1:35" x14ac:dyDescent="0.25">
      <c r="A82" s="1"/>
      <c r="B82" s="2" t="s">
        <v>36</v>
      </c>
      <c r="C82" s="19"/>
      <c r="D82" s="30">
        <f>SUM(D78:D81)</f>
        <v>1096.1212399999999</v>
      </c>
      <c r="E82" s="31">
        <f>SUM(E78:E81)</f>
        <v>511.27978999999999</v>
      </c>
      <c r="F82" s="31">
        <f>D82-E82</f>
        <v>584.8414499999999</v>
      </c>
      <c r="G82" s="26">
        <f>IF(ISERROR(F82/E82),"N/A",IF(ABS(F82/E82)&gt;5,"N/A",F82/E82))</f>
        <v>1.1438775039396725</v>
      </c>
      <c r="H82" s="31">
        <f>SUM(H78:H81)</f>
        <v>241.21177</v>
      </c>
      <c r="I82" s="31">
        <f>D82-H82</f>
        <v>854.90946999999994</v>
      </c>
      <c r="J82" s="27">
        <f>IF(ISERROR(I82/H82),"N/A",IF(ABS(I82/H82)&gt;5,"N/A",I82/H82))</f>
        <v>3.544227837638271</v>
      </c>
      <c r="K82" s="3"/>
      <c r="L82" s="30">
        <f>SUM(L78:L81)</f>
        <v>1572.9116600000002</v>
      </c>
      <c r="M82" s="31">
        <f>SUM(M78:M81)</f>
        <v>1188.81657</v>
      </c>
      <c r="N82" s="31">
        <f>L82-M82</f>
        <v>384.09509000000025</v>
      </c>
      <c r="O82" s="26">
        <f>IF(ISERROR(N82/M82),"N/A",IF(ABS(N82/M82)&gt;5,"N/A",N82/M82))</f>
        <v>0.32309028969877185</v>
      </c>
      <c r="P82" s="31">
        <f>SUM(P78:P81)</f>
        <v>781.72942999999998</v>
      </c>
      <c r="Q82" s="31">
        <f>L82-P82</f>
        <v>791.18223000000023</v>
      </c>
      <c r="R82" s="27">
        <f>IF(ISERROR(Q82/P82),"N/A",IF(ABS(Q82/P82)&gt;5,"N/A",Q82/P82))</f>
        <v>1.0120921633972515</v>
      </c>
      <c r="S82" s="3"/>
      <c r="T82" s="30">
        <f>SUM(T78:T81)</f>
        <v>3009.8928299999998</v>
      </c>
      <c r="U82" s="31">
        <f>SUM(U78:U81)</f>
        <v>2388.74541</v>
      </c>
      <c r="V82" s="31">
        <f>T82-U82</f>
        <v>621.14741999999978</v>
      </c>
      <c r="W82" s="26">
        <f>IF(ISERROR(V82/U82),"N/A",IF(ABS(V82/U82)&gt;5,"N/A",V82/U82))</f>
        <v>0.26003081676251122</v>
      </c>
      <c r="X82" s="31">
        <f>SUM(X78:X81)</f>
        <v>2218.7105999999999</v>
      </c>
      <c r="Y82" s="31">
        <f>T82-X82</f>
        <v>791.18222999999989</v>
      </c>
      <c r="Z82" s="27">
        <f>IF(ISERROR(Y82/X82),"N/A",IF(ABS(Y82/X82)&gt;5,"N/A",Y82/X82))</f>
        <v>0.35659550641710547</v>
      </c>
      <c r="AA82" s="3"/>
      <c r="AB82" s="32">
        <f>SUM(AB78:AB81)</f>
        <v>8578.4255400000002</v>
      </c>
      <c r="AC82" s="1"/>
      <c r="AD82" s="1"/>
      <c r="AE82" s="1"/>
      <c r="AF82" s="1"/>
      <c r="AG82" s="1"/>
      <c r="AH82" s="1"/>
      <c r="AI82" s="1"/>
    </row>
    <row r="83" spans="1:35" ht="14.25" x14ac:dyDescent="0.2">
      <c r="A83" s="1"/>
      <c r="B83" s="19"/>
      <c r="C83" s="19"/>
      <c r="D83" s="30"/>
      <c r="E83" s="31"/>
      <c r="F83" s="31"/>
      <c r="G83" s="26"/>
      <c r="H83" s="31"/>
      <c r="I83" s="31"/>
      <c r="J83" s="27"/>
      <c r="K83" s="3"/>
      <c r="L83" s="30"/>
      <c r="M83" s="31"/>
      <c r="N83" s="31"/>
      <c r="O83" s="26"/>
      <c r="P83" s="31"/>
      <c r="Q83" s="31"/>
      <c r="R83" s="27"/>
      <c r="S83" s="3"/>
      <c r="T83" s="30"/>
      <c r="U83" s="31"/>
      <c r="V83" s="31"/>
      <c r="W83" s="26"/>
      <c r="X83" s="31"/>
      <c r="Y83" s="31"/>
      <c r="Z83" s="27"/>
      <c r="AA83" s="3"/>
      <c r="AB83" s="42"/>
      <c r="AC83" s="1"/>
      <c r="AD83" s="1"/>
      <c r="AE83" s="1"/>
      <c r="AF83" s="1"/>
      <c r="AG83" s="1"/>
      <c r="AH83" s="1"/>
      <c r="AI83" s="1"/>
    </row>
    <row r="84" spans="1:35" s="35" customFormat="1" x14ac:dyDescent="0.25">
      <c r="B84" s="19"/>
      <c r="C84" s="19"/>
      <c r="D84" s="43"/>
      <c r="E84" s="44"/>
      <c r="F84" s="44"/>
      <c r="G84" s="45"/>
      <c r="H84" s="44"/>
      <c r="I84" s="44"/>
      <c r="J84" s="46"/>
      <c r="K84" s="19"/>
      <c r="L84" s="43"/>
      <c r="M84" s="44"/>
      <c r="N84" s="44"/>
      <c r="O84" s="45"/>
      <c r="P84" s="44"/>
      <c r="Q84" s="44"/>
      <c r="R84" s="46"/>
      <c r="S84" s="19"/>
      <c r="T84" s="43"/>
      <c r="U84" s="44"/>
      <c r="V84" s="44"/>
      <c r="W84" s="45"/>
      <c r="X84" s="44"/>
      <c r="Y84" s="44"/>
      <c r="Z84" s="46"/>
      <c r="AA84" s="19"/>
      <c r="AB84" s="47"/>
    </row>
    <row r="85" spans="1:35" ht="14.25" x14ac:dyDescent="0.2">
      <c r="A85" s="1"/>
      <c r="B85" s="19" t="s">
        <v>16</v>
      </c>
      <c r="C85" s="19"/>
      <c r="D85" s="30">
        <f>-238912.13/1000*-1</f>
        <v>238.91212999999999</v>
      </c>
      <c r="E85" s="31">
        <f>-217921.33/1000*-1</f>
        <v>217.92132999999998</v>
      </c>
      <c r="F85" s="31">
        <f t="shared" ref="F85:F100" si="36">D85-E85</f>
        <v>20.990800000000007</v>
      </c>
      <c r="G85" s="26">
        <f t="shared" ref="G85:G100" si="37">IF(ISERROR(F85/E85),"N/A",IF(ABS(F85/E85)&gt;5,"N/A",F85/E85))</f>
        <v>9.6322833565672575E-2</v>
      </c>
      <c r="H85" s="31">
        <f>-143565.84/1000*-1</f>
        <v>143.56584000000001</v>
      </c>
      <c r="I85" s="31">
        <f t="shared" ref="I85:I100" si="38">D85-H85</f>
        <v>95.346289999999982</v>
      </c>
      <c r="J85" s="27">
        <f t="shared" ref="J85:J100" si="39">IF(ISERROR(I85/H85),"N/A",IF(ABS(I85/H85)&gt;5,"N/A",I85/H85))</f>
        <v>0.66412936392111088</v>
      </c>
      <c r="K85" s="3"/>
      <c r="L85" s="30">
        <f>-595474.5/1000*-1</f>
        <v>595.47450000000003</v>
      </c>
      <c r="M85" s="31">
        <f>-814083.36/1000*-1</f>
        <v>814.08335999999997</v>
      </c>
      <c r="N85" s="31">
        <f t="shared" ref="N85:N100" si="40">L85-M85</f>
        <v>-218.60885999999994</v>
      </c>
      <c r="O85" s="26">
        <f t="shared" ref="O85:O100" si="41">IF(ISERROR(N85/M85),"N/A",IF(ABS(N85/M85)&gt;5,"N/A",N85/M85))</f>
        <v>-0.26853375310361333</v>
      </c>
      <c r="P85" s="31">
        <f>-458414.31/1000*-1</f>
        <v>458.41431</v>
      </c>
      <c r="Q85" s="31">
        <f t="shared" ref="Q85:Q100" si="42">L85-P85</f>
        <v>137.06019000000003</v>
      </c>
      <c r="R85" s="27">
        <f t="shared" ref="R85:R100" si="43">IF(ISERROR(Q85/P85),"N/A",IF(ABS(Q85/P85)&gt;5,"N/A",Q85/P85))</f>
        <v>0.29898759050519175</v>
      </c>
      <c r="S85" s="3"/>
      <c r="T85" s="30">
        <f>-1364581.69/1000*-1</f>
        <v>1364.58169</v>
      </c>
      <c r="U85" s="31">
        <f>-1546148.94/1000*-1</f>
        <v>1546.14894</v>
      </c>
      <c r="V85" s="31">
        <f t="shared" ref="V85:V100" si="44">T85-U85</f>
        <v>-181.56725000000006</v>
      </c>
      <c r="W85" s="26">
        <f t="shared" ref="W85:W100" si="45">IF(ISERROR(V85/U85),"N/A",IF(ABS(V85/U85)&gt;5,"N/A",V85/U85))</f>
        <v>-0.11743192735364813</v>
      </c>
      <c r="X85" s="31">
        <f>-1227521.5/1000*-1</f>
        <v>1227.5215000000001</v>
      </c>
      <c r="Y85" s="31">
        <f t="shared" ref="Y85:Y100" si="46">T85-X85</f>
        <v>137.06018999999992</v>
      </c>
      <c r="Z85" s="27">
        <f t="shared" ref="Z85:Z100" si="47">IF(ISERROR(Y85/X85),"N/A",IF(ABS(Y85/X85)&gt;5,"N/A",Y85/X85))</f>
        <v>0.11165604024043564</v>
      </c>
      <c r="AA85" s="3"/>
      <c r="AB85" s="32">
        <f>-3508086.93/1000*-1</f>
        <v>3508.0869300000004</v>
      </c>
      <c r="AC85" s="1"/>
      <c r="AD85" s="1"/>
      <c r="AE85" s="1"/>
      <c r="AF85" s="1"/>
      <c r="AG85" s="1"/>
      <c r="AH85" s="1"/>
      <c r="AI85" s="1"/>
    </row>
    <row r="86" spans="1:35" ht="14.25" x14ac:dyDescent="0.2">
      <c r="A86" s="1"/>
      <c r="B86" s="29" t="s">
        <v>17</v>
      </c>
      <c r="C86" s="19"/>
      <c r="D86" s="30">
        <f>40729.2/1000*-1</f>
        <v>-40.729199999999999</v>
      </c>
      <c r="E86" s="31">
        <f>36163.85/1000*-1</f>
        <v>-36.163849999999996</v>
      </c>
      <c r="F86" s="31">
        <f t="shared" si="36"/>
        <v>-4.5653500000000022</v>
      </c>
      <c r="G86" s="26">
        <f t="shared" si="37"/>
        <v>0.12624070722558584</v>
      </c>
      <c r="H86" s="31">
        <f>25080/1000*-1</f>
        <v>-25.08</v>
      </c>
      <c r="I86" s="31">
        <f t="shared" si="38"/>
        <v>-15.6492</v>
      </c>
      <c r="J86" s="27">
        <f t="shared" si="39"/>
        <v>0.62397129186602873</v>
      </c>
      <c r="K86" s="3"/>
      <c r="L86" s="30">
        <f>109438.54/1000*-1</f>
        <v>-109.43853999999999</v>
      </c>
      <c r="M86" s="31">
        <f>61298.19/1000*-1</f>
        <v>-61.298190000000005</v>
      </c>
      <c r="N86" s="31">
        <f t="shared" si="40"/>
        <v>-48.140349999999984</v>
      </c>
      <c r="O86" s="26">
        <f t="shared" si="41"/>
        <v>0.78534700616771846</v>
      </c>
      <c r="P86" s="31">
        <f>81303.93/1000*-1</f>
        <v>-81.303929999999994</v>
      </c>
      <c r="Q86" s="31">
        <f t="shared" si="42"/>
        <v>-28.134609999999995</v>
      </c>
      <c r="R86" s="27">
        <f t="shared" si="43"/>
        <v>0.34604243607904311</v>
      </c>
      <c r="S86" s="3"/>
      <c r="T86" s="30">
        <f>210969.36/1000*-1</f>
        <v>-210.96935999999999</v>
      </c>
      <c r="U86" s="31">
        <f>170927.4/1000*-1</f>
        <v>-170.92740000000001</v>
      </c>
      <c r="V86" s="31">
        <f t="shared" si="44"/>
        <v>-40.041959999999989</v>
      </c>
      <c r="W86" s="26">
        <f t="shared" si="45"/>
        <v>0.23426296778632325</v>
      </c>
      <c r="X86" s="31">
        <f>182834.75/1000*-1</f>
        <v>-182.83475000000001</v>
      </c>
      <c r="Y86" s="31">
        <f t="shared" si="46"/>
        <v>-28.134609999999981</v>
      </c>
      <c r="Z86" s="27">
        <f t="shared" si="47"/>
        <v>0.15387999272567157</v>
      </c>
      <c r="AA86" s="3"/>
      <c r="AB86" s="32">
        <f>361054.75/1000*-1</f>
        <v>-361.05475000000001</v>
      </c>
      <c r="AC86" s="1"/>
      <c r="AD86" s="1"/>
      <c r="AE86" s="1"/>
      <c r="AF86" s="1"/>
      <c r="AG86" s="1"/>
      <c r="AH86" s="1"/>
      <c r="AI86" s="1"/>
    </row>
    <row r="87" spans="1:35" ht="14.25" x14ac:dyDescent="0.2">
      <c r="A87" s="1"/>
      <c r="B87" s="19" t="s">
        <v>18</v>
      </c>
      <c r="C87" s="19"/>
      <c r="D87" s="30">
        <f>SUM(D88:D89)</f>
        <v>0</v>
      </c>
      <c r="E87" s="31">
        <f>SUM(E88:E89)</f>
        <v>0</v>
      </c>
      <c r="F87" s="31">
        <f t="shared" si="36"/>
        <v>0</v>
      </c>
      <c r="G87" s="26" t="str">
        <f t="shared" si="37"/>
        <v>N/A</v>
      </c>
      <c r="H87" s="31">
        <f>SUM(H88:H89)</f>
        <v>3.6960000000000002</v>
      </c>
      <c r="I87" s="31">
        <f t="shared" si="38"/>
        <v>-3.6960000000000002</v>
      </c>
      <c r="J87" s="27">
        <f t="shared" si="39"/>
        <v>-1</v>
      </c>
      <c r="K87" s="3"/>
      <c r="L87" s="30">
        <f>SUM(L88:L89)</f>
        <v>0</v>
      </c>
      <c r="M87" s="31">
        <f>SUM(M88:M89)</f>
        <v>0</v>
      </c>
      <c r="N87" s="31">
        <f t="shared" si="40"/>
        <v>0</v>
      </c>
      <c r="O87" s="26" t="str">
        <f t="shared" si="41"/>
        <v>N/A</v>
      </c>
      <c r="P87" s="31">
        <f>SUM(P88:P89)</f>
        <v>7.3920000000000003</v>
      </c>
      <c r="Q87" s="31">
        <f t="shared" si="42"/>
        <v>-7.3920000000000003</v>
      </c>
      <c r="R87" s="27">
        <f t="shared" si="43"/>
        <v>-1</v>
      </c>
      <c r="S87" s="3"/>
      <c r="T87" s="30">
        <f>SUM(T88:T89)</f>
        <v>0</v>
      </c>
      <c r="U87" s="31">
        <f>SUM(U88:U89)</f>
        <v>0</v>
      </c>
      <c r="V87" s="31">
        <f t="shared" si="44"/>
        <v>0</v>
      </c>
      <c r="W87" s="26" t="str">
        <f t="shared" si="45"/>
        <v>N/A</v>
      </c>
      <c r="X87" s="31">
        <f>SUM(X88:X89)</f>
        <v>7.3920000000000003</v>
      </c>
      <c r="Y87" s="31">
        <f t="shared" si="46"/>
        <v>-7.3920000000000003</v>
      </c>
      <c r="Z87" s="27">
        <f t="shared" si="47"/>
        <v>-1</v>
      </c>
      <c r="AA87" s="3"/>
      <c r="AB87" s="32">
        <f>SUM(AB88:AB89)</f>
        <v>33.655999999999999</v>
      </c>
      <c r="AC87" s="1"/>
      <c r="AD87" s="1"/>
      <c r="AE87" s="1"/>
      <c r="AF87" s="1"/>
      <c r="AG87" s="1"/>
      <c r="AH87" s="1"/>
      <c r="AI87" s="1"/>
    </row>
    <row r="88" spans="1:35" ht="14.25" hidden="1" outlineLevel="1" x14ac:dyDescent="0.2">
      <c r="A88" s="1"/>
      <c r="B88" s="33" t="s">
        <v>19</v>
      </c>
      <c r="C88" s="19"/>
      <c r="D88" s="30">
        <f>0/1000*-1</f>
        <v>0</v>
      </c>
      <c r="E88" s="31">
        <f>0/1000*-1</f>
        <v>0</v>
      </c>
      <c r="F88" s="31">
        <f t="shared" si="36"/>
        <v>0</v>
      </c>
      <c r="G88" s="26" t="str">
        <f t="shared" si="37"/>
        <v>N/A</v>
      </c>
      <c r="H88" s="31">
        <f>0/1000*-1</f>
        <v>0</v>
      </c>
      <c r="I88" s="31">
        <f t="shared" si="38"/>
        <v>0</v>
      </c>
      <c r="J88" s="27" t="str">
        <f t="shared" si="39"/>
        <v>N/A</v>
      </c>
      <c r="K88" s="3"/>
      <c r="L88" s="30">
        <f>0/1000*-1</f>
        <v>0</v>
      </c>
      <c r="M88" s="31">
        <f>0/1000*-1</f>
        <v>0</v>
      </c>
      <c r="N88" s="31">
        <f t="shared" si="40"/>
        <v>0</v>
      </c>
      <c r="O88" s="26" t="str">
        <f t="shared" si="41"/>
        <v>N/A</v>
      </c>
      <c r="P88" s="31">
        <f>0/1000*-1</f>
        <v>0</v>
      </c>
      <c r="Q88" s="31">
        <f t="shared" si="42"/>
        <v>0</v>
      </c>
      <c r="R88" s="27" t="str">
        <f t="shared" si="43"/>
        <v>N/A</v>
      </c>
      <c r="S88" s="3"/>
      <c r="T88" s="30">
        <f>0/1000*-1</f>
        <v>0</v>
      </c>
      <c r="U88" s="31">
        <f>0/1000*-1</f>
        <v>0</v>
      </c>
      <c r="V88" s="31">
        <f t="shared" si="44"/>
        <v>0</v>
      </c>
      <c r="W88" s="26" t="str">
        <f t="shared" si="45"/>
        <v>N/A</v>
      </c>
      <c r="X88" s="31">
        <f>0/1000*-1</f>
        <v>0</v>
      </c>
      <c r="Y88" s="31">
        <f t="shared" si="46"/>
        <v>0</v>
      </c>
      <c r="Z88" s="27" t="str">
        <f t="shared" si="47"/>
        <v>N/A</v>
      </c>
      <c r="AA88" s="3"/>
      <c r="AB88" s="32">
        <f>0/1000*-1</f>
        <v>0</v>
      </c>
      <c r="AC88" s="1"/>
      <c r="AD88" s="1"/>
      <c r="AE88" s="1"/>
      <c r="AF88" s="1"/>
      <c r="AG88" s="1"/>
      <c r="AH88" s="1"/>
      <c r="AI88" s="1"/>
    </row>
    <row r="89" spans="1:35" ht="14.25" hidden="1" outlineLevel="1" x14ac:dyDescent="0.2">
      <c r="A89" s="1"/>
      <c r="B89" s="33" t="s">
        <v>20</v>
      </c>
      <c r="C89" s="19"/>
      <c r="D89" s="30">
        <f>0/1000*-1</f>
        <v>0</v>
      </c>
      <c r="E89" s="31">
        <f>0/1000*-1</f>
        <v>0</v>
      </c>
      <c r="F89" s="31">
        <f t="shared" si="36"/>
        <v>0</v>
      </c>
      <c r="G89" s="26" t="str">
        <f t="shared" si="37"/>
        <v>N/A</v>
      </c>
      <c r="H89" s="31">
        <f>-3696/1000*-1</f>
        <v>3.6960000000000002</v>
      </c>
      <c r="I89" s="31">
        <f t="shared" si="38"/>
        <v>-3.6960000000000002</v>
      </c>
      <c r="J89" s="27">
        <f t="shared" si="39"/>
        <v>-1</v>
      </c>
      <c r="K89" s="3"/>
      <c r="L89" s="30">
        <f>0/1000*-1</f>
        <v>0</v>
      </c>
      <c r="M89" s="31">
        <f>0/1000*-1</f>
        <v>0</v>
      </c>
      <c r="N89" s="31">
        <f t="shared" si="40"/>
        <v>0</v>
      </c>
      <c r="O89" s="26" t="str">
        <f t="shared" si="41"/>
        <v>N/A</v>
      </c>
      <c r="P89" s="31">
        <f>-7392/1000*-1</f>
        <v>7.3920000000000003</v>
      </c>
      <c r="Q89" s="31">
        <f t="shared" si="42"/>
        <v>-7.3920000000000003</v>
      </c>
      <c r="R89" s="27">
        <f t="shared" si="43"/>
        <v>-1</v>
      </c>
      <c r="S89" s="3"/>
      <c r="T89" s="30">
        <f>0/1000*-1</f>
        <v>0</v>
      </c>
      <c r="U89" s="31">
        <f>0/1000*-1</f>
        <v>0</v>
      </c>
      <c r="V89" s="31">
        <f t="shared" si="44"/>
        <v>0</v>
      </c>
      <c r="W89" s="26" t="str">
        <f t="shared" si="45"/>
        <v>N/A</v>
      </c>
      <c r="X89" s="31">
        <f>-7392/1000*-1</f>
        <v>7.3920000000000003</v>
      </c>
      <c r="Y89" s="31">
        <f t="shared" si="46"/>
        <v>-7.3920000000000003</v>
      </c>
      <c r="Z89" s="27">
        <f t="shared" si="47"/>
        <v>-1</v>
      </c>
      <c r="AA89" s="3"/>
      <c r="AB89" s="32">
        <f>-33656/1000*-1</f>
        <v>33.655999999999999</v>
      </c>
      <c r="AC89" s="1"/>
      <c r="AD89" s="1"/>
      <c r="AE89" s="1"/>
      <c r="AF89" s="1"/>
      <c r="AG89" s="1"/>
      <c r="AH89" s="1"/>
      <c r="AI89" s="1"/>
    </row>
    <row r="90" spans="1:35" ht="14.25" collapsed="1" x14ac:dyDescent="0.2">
      <c r="A90" s="1"/>
      <c r="B90" s="19" t="s">
        <v>21</v>
      </c>
      <c r="C90" s="19"/>
      <c r="D90" s="30">
        <f>SUM(D91:D92)</f>
        <v>114.61602000000001</v>
      </c>
      <c r="E90" s="31">
        <f>SUM(E91:E92)</f>
        <v>146.81292999999999</v>
      </c>
      <c r="F90" s="31">
        <f t="shared" si="36"/>
        <v>-32.196909999999988</v>
      </c>
      <c r="G90" s="26">
        <f t="shared" si="37"/>
        <v>-0.21930568377049617</v>
      </c>
      <c r="H90" s="31">
        <f>SUM(H91:H92)</f>
        <v>117.38232000000001</v>
      </c>
      <c r="I90" s="31">
        <f t="shared" si="38"/>
        <v>-2.7663000000000011</v>
      </c>
      <c r="J90" s="27">
        <f t="shared" si="39"/>
        <v>-2.3566581406808122E-2</v>
      </c>
      <c r="K90" s="3"/>
      <c r="L90" s="30">
        <f>SUM(L91:L92)</f>
        <v>331.95896000000005</v>
      </c>
      <c r="M90" s="31">
        <f>SUM(M91:M92)</f>
        <v>466.85657000000003</v>
      </c>
      <c r="N90" s="31">
        <f t="shared" si="40"/>
        <v>-134.89760999999999</v>
      </c>
      <c r="O90" s="26">
        <f t="shared" si="41"/>
        <v>-0.28894872358763202</v>
      </c>
      <c r="P90" s="31">
        <f>SUM(P91:P92)</f>
        <v>345.25973999999997</v>
      </c>
      <c r="Q90" s="31">
        <f t="shared" si="42"/>
        <v>-13.300779999999918</v>
      </c>
      <c r="R90" s="27">
        <f t="shared" si="43"/>
        <v>-3.8523981973687171E-2</v>
      </c>
      <c r="S90" s="3"/>
      <c r="T90" s="30">
        <f>SUM(T91:T92)</f>
        <v>854.49214000000006</v>
      </c>
      <c r="U90" s="31">
        <f>SUM(U91:U92)</f>
        <v>951.73482999999999</v>
      </c>
      <c r="V90" s="31">
        <f t="shared" si="44"/>
        <v>-97.242689999999925</v>
      </c>
      <c r="W90" s="26">
        <f t="shared" si="45"/>
        <v>-0.10217414235013331</v>
      </c>
      <c r="X90" s="31">
        <f>SUM(X91:X92)</f>
        <v>867.79292000000009</v>
      </c>
      <c r="Y90" s="31">
        <f t="shared" si="46"/>
        <v>-13.300780000000032</v>
      </c>
      <c r="Z90" s="27">
        <f t="shared" si="47"/>
        <v>-1.5327135879375496E-2</v>
      </c>
      <c r="AA90" s="3"/>
      <c r="AB90" s="32">
        <f>SUM(AB91:AB92)</f>
        <v>2199.2671700000001</v>
      </c>
      <c r="AC90" s="1"/>
      <c r="AD90" s="1"/>
      <c r="AE90" s="1"/>
      <c r="AF90" s="1"/>
      <c r="AG90" s="1"/>
      <c r="AH90" s="1"/>
      <c r="AI90" s="1"/>
    </row>
    <row r="91" spans="1:35" ht="14.25" hidden="1" outlineLevel="1" x14ac:dyDescent="0.2">
      <c r="A91" s="1"/>
      <c r="B91" s="33" t="s">
        <v>22</v>
      </c>
      <c r="C91" s="19"/>
      <c r="D91" s="30">
        <f>-114616.02/1000*-1</f>
        <v>114.61602000000001</v>
      </c>
      <c r="E91" s="31">
        <f>-146812.93/1000*-1</f>
        <v>146.81292999999999</v>
      </c>
      <c r="F91" s="31">
        <f t="shared" si="36"/>
        <v>-32.196909999999988</v>
      </c>
      <c r="G91" s="26">
        <f t="shared" si="37"/>
        <v>-0.21930568377049617</v>
      </c>
      <c r="H91" s="31">
        <f>-117382.32/1000*-1</f>
        <v>117.38232000000001</v>
      </c>
      <c r="I91" s="31">
        <f t="shared" si="38"/>
        <v>-2.7663000000000011</v>
      </c>
      <c r="J91" s="27">
        <f t="shared" si="39"/>
        <v>-2.3566581406808122E-2</v>
      </c>
      <c r="K91" s="3"/>
      <c r="L91" s="30">
        <f>-331958.96/1000*-1</f>
        <v>331.95896000000005</v>
      </c>
      <c r="M91" s="31">
        <f>-466856.57/1000*-1</f>
        <v>466.85657000000003</v>
      </c>
      <c r="N91" s="31">
        <f t="shared" si="40"/>
        <v>-134.89760999999999</v>
      </c>
      <c r="O91" s="26">
        <f t="shared" si="41"/>
        <v>-0.28894872358763202</v>
      </c>
      <c r="P91" s="31">
        <f>-345259.74/1000*-1</f>
        <v>345.25973999999997</v>
      </c>
      <c r="Q91" s="31">
        <f t="shared" si="42"/>
        <v>-13.300779999999918</v>
      </c>
      <c r="R91" s="27">
        <f t="shared" si="43"/>
        <v>-3.8523981973687171E-2</v>
      </c>
      <c r="S91" s="3"/>
      <c r="T91" s="30">
        <f>-854492.14/1000*-1</f>
        <v>854.49214000000006</v>
      </c>
      <c r="U91" s="31">
        <f>-951734.83/1000*-1</f>
        <v>951.73482999999999</v>
      </c>
      <c r="V91" s="31">
        <f t="shared" si="44"/>
        <v>-97.242689999999925</v>
      </c>
      <c r="W91" s="26">
        <f t="shared" si="45"/>
        <v>-0.10217414235013331</v>
      </c>
      <c r="X91" s="31">
        <f>-867792.92/1000*-1</f>
        <v>867.79292000000009</v>
      </c>
      <c r="Y91" s="31">
        <f t="shared" si="46"/>
        <v>-13.300780000000032</v>
      </c>
      <c r="Z91" s="27">
        <f t="shared" si="47"/>
        <v>-1.5327135879375496E-2</v>
      </c>
      <c r="AA91" s="3"/>
      <c r="AB91" s="32">
        <f>-2199267.17/1000*-1</f>
        <v>2199.2671700000001</v>
      </c>
      <c r="AC91" s="1"/>
      <c r="AD91" s="1"/>
      <c r="AE91" s="1"/>
      <c r="AF91" s="1"/>
      <c r="AG91" s="1"/>
      <c r="AH91" s="1"/>
      <c r="AI91" s="1"/>
    </row>
    <row r="92" spans="1:35" ht="14.25" hidden="1" outlineLevel="1" x14ac:dyDescent="0.2">
      <c r="A92" s="1"/>
      <c r="B92" s="33">
        <v>420040</v>
      </c>
      <c r="C92" s="19"/>
      <c r="D92" s="30">
        <f>0/1000*-1</f>
        <v>0</v>
      </c>
      <c r="E92" s="31">
        <f>0/1000*-1</f>
        <v>0</v>
      </c>
      <c r="F92" s="31">
        <f t="shared" si="36"/>
        <v>0</v>
      </c>
      <c r="G92" s="26" t="str">
        <f t="shared" si="37"/>
        <v>N/A</v>
      </c>
      <c r="H92" s="31">
        <f>0/1000*-1</f>
        <v>0</v>
      </c>
      <c r="I92" s="31">
        <f t="shared" si="38"/>
        <v>0</v>
      </c>
      <c r="J92" s="27" t="str">
        <f t="shared" si="39"/>
        <v>N/A</v>
      </c>
      <c r="K92" s="3"/>
      <c r="L92" s="30">
        <f>0/1000*-1</f>
        <v>0</v>
      </c>
      <c r="M92" s="31">
        <f>0/1000*-1</f>
        <v>0</v>
      </c>
      <c r="N92" s="31">
        <f t="shared" si="40"/>
        <v>0</v>
      </c>
      <c r="O92" s="26" t="str">
        <f t="shared" si="41"/>
        <v>N/A</v>
      </c>
      <c r="P92" s="31">
        <f>0/1000*-1</f>
        <v>0</v>
      </c>
      <c r="Q92" s="31">
        <f t="shared" si="42"/>
        <v>0</v>
      </c>
      <c r="R92" s="27" t="str">
        <f t="shared" si="43"/>
        <v>N/A</v>
      </c>
      <c r="S92" s="3"/>
      <c r="T92" s="30">
        <f>0/1000*-1</f>
        <v>0</v>
      </c>
      <c r="U92" s="31">
        <f>0/1000*-1</f>
        <v>0</v>
      </c>
      <c r="V92" s="31">
        <f t="shared" si="44"/>
        <v>0</v>
      </c>
      <c r="W92" s="26" t="str">
        <f t="shared" si="45"/>
        <v>N/A</v>
      </c>
      <c r="X92" s="31">
        <f>0/1000*-1</f>
        <v>0</v>
      </c>
      <c r="Y92" s="31">
        <f t="shared" si="46"/>
        <v>0</v>
      </c>
      <c r="Z92" s="27" t="str">
        <f t="shared" si="47"/>
        <v>N/A</v>
      </c>
      <c r="AA92" s="3"/>
      <c r="AB92" s="32">
        <f>0/1000*-1</f>
        <v>0</v>
      </c>
      <c r="AC92" s="1"/>
      <c r="AD92" s="1"/>
      <c r="AE92" s="1"/>
      <c r="AF92" s="1"/>
      <c r="AG92" s="1"/>
      <c r="AH92" s="1"/>
      <c r="AI92" s="1"/>
    </row>
    <row r="93" spans="1:35" ht="14.25" collapsed="1" x14ac:dyDescent="0.2">
      <c r="A93" s="1"/>
      <c r="B93" s="19" t="s">
        <v>24</v>
      </c>
      <c r="C93" s="19"/>
      <c r="D93" s="30">
        <v>0</v>
      </c>
      <c r="E93" s="31">
        <v>0</v>
      </c>
      <c r="F93" s="31">
        <f t="shared" si="36"/>
        <v>0</v>
      </c>
      <c r="G93" s="26" t="str">
        <f t="shared" si="37"/>
        <v>N/A</v>
      </c>
      <c r="H93" s="31">
        <v>0</v>
      </c>
      <c r="I93" s="31">
        <f t="shared" si="38"/>
        <v>0</v>
      </c>
      <c r="J93" s="27" t="str">
        <f t="shared" si="39"/>
        <v>N/A</v>
      </c>
      <c r="K93" s="3"/>
      <c r="L93" s="30">
        <v>0</v>
      </c>
      <c r="M93" s="31">
        <v>0</v>
      </c>
      <c r="N93" s="31">
        <f t="shared" si="40"/>
        <v>0</v>
      </c>
      <c r="O93" s="26" t="str">
        <f t="shared" si="41"/>
        <v>N/A</v>
      </c>
      <c r="P93" s="31">
        <v>0</v>
      </c>
      <c r="Q93" s="31">
        <f t="shared" si="42"/>
        <v>0</v>
      </c>
      <c r="R93" s="27" t="str">
        <f t="shared" si="43"/>
        <v>N/A</v>
      </c>
      <c r="S93" s="3"/>
      <c r="T93" s="30">
        <v>0</v>
      </c>
      <c r="U93" s="31">
        <v>0</v>
      </c>
      <c r="V93" s="31">
        <f t="shared" si="44"/>
        <v>0</v>
      </c>
      <c r="W93" s="26" t="str">
        <f t="shared" si="45"/>
        <v>N/A</v>
      </c>
      <c r="X93" s="31">
        <v>0</v>
      </c>
      <c r="Y93" s="31">
        <f t="shared" si="46"/>
        <v>0</v>
      </c>
      <c r="Z93" s="27" t="str">
        <f t="shared" si="47"/>
        <v>N/A</v>
      </c>
      <c r="AA93" s="3"/>
      <c r="AB93" s="32">
        <v>0</v>
      </c>
      <c r="AC93" s="1"/>
      <c r="AD93" s="1"/>
      <c r="AE93" s="1"/>
      <c r="AF93" s="1"/>
      <c r="AG93" s="1"/>
      <c r="AH93" s="1"/>
      <c r="AI93" s="1"/>
    </row>
    <row r="94" spans="1:35" ht="14.25" x14ac:dyDescent="0.2">
      <c r="A94" s="1"/>
      <c r="B94" s="19" t="s">
        <v>25</v>
      </c>
      <c r="C94" s="19"/>
      <c r="D94" s="30">
        <f>SUM(D95:D98)</f>
        <v>391.72937999999999</v>
      </c>
      <c r="E94" s="31">
        <f>SUM(E95:E98)</f>
        <v>449.27139</v>
      </c>
      <c r="F94" s="31">
        <f t="shared" si="36"/>
        <v>-57.542010000000005</v>
      </c>
      <c r="G94" s="26">
        <f t="shared" si="37"/>
        <v>-0.12807850951737659</v>
      </c>
      <c r="H94" s="31">
        <f>SUM(H95:H98)</f>
        <v>364.98989999999998</v>
      </c>
      <c r="I94" s="31">
        <f t="shared" si="38"/>
        <v>26.739480000000015</v>
      </c>
      <c r="J94" s="27">
        <f t="shared" si="39"/>
        <v>7.3260876533843861E-2</v>
      </c>
      <c r="K94" s="3"/>
      <c r="L94" s="30">
        <f>SUM(L95:L98)</f>
        <v>1279.1116100000002</v>
      </c>
      <c r="M94" s="31">
        <f>SUM(M95:M98)</f>
        <v>1306.9468099999999</v>
      </c>
      <c r="N94" s="31">
        <f t="shared" si="40"/>
        <v>-27.835199999999759</v>
      </c>
      <c r="O94" s="26">
        <f t="shared" si="41"/>
        <v>-2.1297882811313309E-2</v>
      </c>
      <c r="P94" s="31">
        <f>SUM(P95:P98)</f>
        <v>1189.41876</v>
      </c>
      <c r="Q94" s="31">
        <f t="shared" si="42"/>
        <v>89.692850000000135</v>
      </c>
      <c r="R94" s="27">
        <f t="shared" si="43"/>
        <v>7.5408975388953955E-2</v>
      </c>
      <c r="S94" s="3"/>
      <c r="T94" s="30">
        <f>SUM(T95:T98)</f>
        <v>2815.25173</v>
      </c>
      <c r="U94" s="31">
        <f>SUM(U95:U98)</f>
        <v>2946.3163100000002</v>
      </c>
      <c r="V94" s="31">
        <f t="shared" si="44"/>
        <v>-131.06458000000021</v>
      </c>
      <c r="W94" s="26">
        <f t="shared" si="45"/>
        <v>-4.4484219007700568E-2</v>
      </c>
      <c r="X94" s="31">
        <f>SUM(X95:X98)</f>
        <v>2725.5588799999996</v>
      </c>
      <c r="Y94" s="31">
        <f t="shared" si="46"/>
        <v>89.692850000000362</v>
      </c>
      <c r="Z94" s="27">
        <f t="shared" si="47"/>
        <v>3.2908058108067864E-2</v>
      </c>
      <c r="AA94" s="3"/>
      <c r="AB94" s="32">
        <f>SUM(AB95:AB98)</f>
        <v>6394.7449699999997</v>
      </c>
      <c r="AC94" s="1"/>
      <c r="AD94" s="1"/>
      <c r="AE94" s="1"/>
      <c r="AF94" s="1"/>
      <c r="AG94" s="1"/>
      <c r="AH94" s="1"/>
      <c r="AI94" s="1"/>
    </row>
    <row r="95" spans="1:35" ht="14.25" hidden="1" outlineLevel="1" x14ac:dyDescent="0.2">
      <c r="A95" s="1"/>
      <c r="B95" s="33" t="s">
        <v>26</v>
      </c>
      <c r="C95" s="19"/>
      <c r="D95" s="30">
        <f>0/1000*-1</f>
        <v>0</v>
      </c>
      <c r="E95" s="31">
        <f>0/1000*-1</f>
        <v>0</v>
      </c>
      <c r="F95" s="31">
        <f t="shared" si="36"/>
        <v>0</v>
      </c>
      <c r="G95" s="26" t="str">
        <f t="shared" si="37"/>
        <v>N/A</v>
      </c>
      <c r="H95" s="31">
        <f>0/1000*-1</f>
        <v>0</v>
      </c>
      <c r="I95" s="31">
        <f t="shared" si="38"/>
        <v>0</v>
      </c>
      <c r="J95" s="27" t="str">
        <f t="shared" si="39"/>
        <v>N/A</v>
      </c>
      <c r="K95" s="3"/>
      <c r="L95" s="30">
        <f>0/1000*-1</f>
        <v>0</v>
      </c>
      <c r="M95" s="31">
        <f>0/1000*-1</f>
        <v>0</v>
      </c>
      <c r="N95" s="31">
        <f t="shared" si="40"/>
        <v>0</v>
      </c>
      <c r="O95" s="26" t="str">
        <f t="shared" si="41"/>
        <v>N/A</v>
      </c>
      <c r="P95" s="31">
        <f>0/1000*-1</f>
        <v>0</v>
      </c>
      <c r="Q95" s="31">
        <f t="shared" si="42"/>
        <v>0</v>
      </c>
      <c r="R95" s="27" t="str">
        <f t="shared" si="43"/>
        <v>N/A</v>
      </c>
      <c r="S95" s="3"/>
      <c r="T95" s="30">
        <f>0/1000*-1</f>
        <v>0</v>
      </c>
      <c r="U95" s="31">
        <f>0/1000*-1</f>
        <v>0</v>
      </c>
      <c r="V95" s="31">
        <f t="shared" si="44"/>
        <v>0</v>
      </c>
      <c r="W95" s="26" t="str">
        <f t="shared" si="45"/>
        <v>N/A</v>
      </c>
      <c r="X95" s="31">
        <f>0/1000*-1</f>
        <v>0</v>
      </c>
      <c r="Y95" s="31">
        <f t="shared" si="46"/>
        <v>0</v>
      </c>
      <c r="Z95" s="27" t="str">
        <f t="shared" si="47"/>
        <v>N/A</v>
      </c>
      <c r="AA95" s="3"/>
      <c r="AB95" s="32">
        <f>0/1000*-1</f>
        <v>0</v>
      </c>
      <c r="AC95" s="1"/>
      <c r="AD95" s="1"/>
      <c r="AE95" s="1"/>
      <c r="AF95" s="1"/>
      <c r="AG95" s="1"/>
      <c r="AH95" s="1"/>
      <c r="AI95" s="1"/>
    </row>
    <row r="96" spans="1:35" ht="14.25" hidden="1" outlineLevel="1" x14ac:dyDescent="0.2">
      <c r="A96" s="1"/>
      <c r="B96" s="33" t="s">
        <v>27</v>
      </c>
      <c r="C96" s="19"/>
      <c r="D96" s="30">
        <f>-2875.07/1000*-1</f>
        <v>2.87507</v>
      </c>
      <c r="E96" s="31">
        <f>-3516.96/1000*-1</f>
        <v>3.5169600000000001</v>
      </c>
      <c r="F96" s="31">
        <f t="shared" si="36"/>
        <v>-0.64189000000000007</v>
      </c>
      <c r="G96" s="26">
        <f t="shared" si="37"/>
        <v>-0.18251273827396389</v>
      </c>
      <c r="H96" s="31">
        <f>0/1000*-1</f>
        <v>0</v>
      </c>
      <c r="I96" s="31">
        <f t="shared" si="38"/>
        <v>2.87507</v>
      </c>
      <c r="J96" s="27" t="str">
        <f t="shared" si="39"/>
        <v>N/A</v>
      </c>
      <c r="K96" s="3"/>
      <c r="L96" s="30">
        <f>-7086.3/1000*-1</f>
        <v>7.0863000000000005</v>
      </c>
      <c r="M96" s="31">
        <f>-11675.35/1000*-1</f>
        <v>11.67535</v>
      </c>
      <c r="N96" s="31">
        <f t="shared" si="40"/>
        <v>-4.5890499999999994</v>
      </c>
      <c r="O96" s="26">
        <f t="shared" si="41"/>
        <v>-0.3930545979349655</v>
      </c>
      <c r="P96" s="31">
        <f>-1865.22/1000*-1</f>
        <v>1.8652200000000001</v>
      </c>
      <c r="Q96" s="31">
        <f t="shared" si="42"/>
        <v>5.2210800000000006</v>
      </c>
      <c r="R96" s="27">
        <f t="shared" si="43"/>
        <v>2.7991765046482455</v>
      </c>
      <c r="S96" s="3"/>
      <c r="T96" s="30">
        <f>-17542.14/1000*-1</f>
        <v>17.54214</v>
      </c>
      <c r="U96" s="31">
        <f>-24965.47/1000*-1</f>
        <v>24.96547</v>
      </c>
      <c r="V96" s="31">
        <f t="shared" si="44"/>
        <v>-7.42333</v>
      </c>
      <c r="W96" s="26">
        <f t="shared" si="45"/>
        <v>-0.29734389138277789</v>
      </c>
      <c r="X96" s="31">
        <f>-12321.06/1000*-1</f>
        <v>12.321059999999999</v>
      </c>
      <c r="Y96" s="31">
        <f t="shared" si="46"/>
        <v>5.2210800000000006</v>
      </c>
      <c r="Z96" s="27">
        <f t="shared" si="47"/>
        <v>0.4237525018139674</v>
      </c>
      <c r="AA96" s="3"/>
      <c r="AB96" s="32">
        <f>-12321.06/1000*-1</f>
        <v>12.321059999999999</v>
      </c>
      <c r="AC96" s="1"/>
      <c r="AD96" s="1"/>
      <c r="AE96" s="1"/>
      <c r="AF96" s="1"/>
      <c r="AG96" s="1"/>
      <c r="AH96" s="1"/>
      <c r="AI96" s="1"/>
    </row>
    <row r="97" spans="1:35" ht="14.25" hidden="1" outlineLevel="1" x14ac:dyDescent="0.2">
      <c r="A97" s="1"/>
      <c r="B97" s="33" t="s">
        <v>28</v>
      </c>
      <c r="C97" s="19"/>
      <c r="D97" s="30">
        <f>-200623.71/1000*-1</f>
        <v>200.62370999999999</v>
      </c>
      <c r="E97" s="31">
        <f>-161104.48/1000*-1</f>
        <v>161.10448000000002</v>
      </c>
      <c r="F97" s="31">
        <f t="shared" si="36"/>
        <v>39.519229999999965</v>
      </c>
      <c r="G97" s="26">
        <f t="shared" si="37"/>
        <v>0.24530186870036116</v>
      </c>
      <c r="H97" s="31">
        <f>-174061.8/1000*-1</f>
        <v>174.06179999999998</v>
      </c>
      <c r="I97" s="31">
        <f t="shared" si="38"/>
        <v>26.561910000000012</v>
      </c>
      <c r="J97" s="27">
        <f t="shared" si="39"/>
        <v>0.15260045570021691</v>
      </c>
      <c r="K97" s="3"/>
      <c r="L97" s="30">
        <f>-608324.88/1000*-1</f>
        <v>608.32488000000001</v>
      </c>
      <c r="M97" s="31">
        <f>-682476.02/1000*-1</f>
        <v>682.47602000000006</v>
      </c>
      <c r="N97" s="31">
        <f t="shared" si="40"/>
        <v>-74.151140000000055</v>
      </c>
      <c r="O97" s="26">
        <f t="shared" si="41"/>
        <v>-0.10865017645601679</v>
      </c>
      <c r="P97" s="31">
        <f>-545909.13/1000*-1</f>
        <v>545.90913</v>
      </c>
      <c r="Q97" s="31">
        <f t="shared" si="42"/>
        <v>62.415750000000003</v>
      </c>
      <c r="R97" s="27">
        <f t="shared" si="43"/>
        <v>0.11433358881541329</v>
      </c>
      <c r="S97" s="3"/>
      <c r="T97" s="30">
        <f>-1723189.39/1000*-1</f>
        <v>1723.18939</v>
      </c>
      <c r="U97" s="31">
        <f>-1833631.93/1000*-1</f>
        <v>1833.63193</v>
      </c>
      <c r="V97" s="31">
        <f t="shared" si="44"/>
        <v>-110.44254000000001</v>
      </c>
      <c r="W97" s="26">
        <f t="shared" si="45"/>
        <v>-6.0231575483090549E-2</v>
      </c>
      <c r="X97" s="31">
        <f>-1660773.64/1000*-1</f>
        <v>1660.7736399999999</v>
      </c>
      <c r="Y97" s="31">
        <f t="shared" si="46"/>
        <v>62.415750000000116</v>
      </c>
      <c r="Z97" s="27">
        <f t="shared" si="47"/>
        <v>3.7582334218647713E-2</v>
      </c>
      <c r="AA97" s="3"/>
      <c r="AB97" s="32">
        <f>-3846450.99/1000*-1</f>
        <v>3846.4509900000003</v>
      </c>
      <c r="AC97" s="1"/>
      <c r="AD97" s="1"/>
      <c r="AE97" s="1"/>
      <c r="AF97" s="1"/>
      <c r="AG97" s="1"/>
      <c r="AH97" s="1"/>
      <c r="AI97" s="1"/>
    </row>
    <row r="98" spans="1:35" ht="14.25" hidden="1" outlineLevel="1" x14ac:dyDescent="0.2">
      <c r="A98" s="1"/>
      <c r="B98" s="33" t="s">
        <v>29</v>
      </c>
      <c r="C98" s="19"/>
      <c r="D98" s="30">
        <f>SUM(D99:D100)</f>
        <v>188.23060000000001</v>
      </c>
      <c r="E98" s="31">
        <f>SUM(E99:E100)</f>
        <v>284.64994999999999</v>
      </c>
      <c r="F98" s="31">
        <f t="shared" si="36"/>
        <v>-96.41934999999998</v>
      </c>
      <c r="G98" s="26">
        <f t="shared" si="37"/>
        <v>-0.33872955185834386</v>
      </c>
      <c r="H98" s="31">
        <f>SUM(H99:H100)</f>
        <v>190.9281</v>
      </c>
      <c r="I98" s="31">
        <f t="shared" si="38"/>
        <v>-2.6974999999999909</v>
      </c>
      <c r="J98" s="27">
        <f t="shared" si="39"/>
        <v>-1.412835512425877E-2</v>
      </c>
      <c r="K98" s="3"/>
      <c r="L98" s="30">
        <f>SUM(L99:L100)</f>
        <v>663.7004300000001</v>
      </c>
      <c r="M98" s="31">
        <f>SUM(M99:M100)</f>
        <v>612.79543999999999</v>
      </c>
      <c r="N98" s="31">
        <f t="shared" si="40"/>
        <v>50.904990000000112</v>
      </c>
      <c r="O98" s="26">
        <f t="shared" si="41"/>
        <v>8.307011879853432E-2</v>
      </c>
      <c r="P98" s="31">
        <f>SUM(P99:P100)</f>
        <v>641.64440999999999</v>
      </c>
      <c r="Q98" s="31">
        <f t="shared" si="42"/>
        <v>22.056020000000103</v>
      </c>
      <c r="R98" s="27">
        <f t="shared" si="43"/>
        <v>3.4374210475861706E-2</v>
      </c>
      <c r="S98" s="3"/>
      <c r="T98" s="30">
        <f>SUM(T99:T100)</f>
        <v>1074.5201999999999</v>
      </c>
      <c r="U98" s="31">
        <f>SUM(U99:U100)</f>
        <v>1087.7189099999998</v>
      </c>
      <c r="V98" s="31">
        <f t="shared" si="44"/>
        <v>-13.198709999999892</v>
      </c>
      <c r="W98" s="26">
        <f t="shared" si="45"/>
        <v>-1.2134302234388748E-2</v>
      </c>
      <c r="X98" s="31">
        <f>SUM(X99:X100)</f>
        <v>1052.4641799999999</v>
      </c>
      <c r="Y98" s="31">
        <f t="shared" si="46"/>
        <v>22.05601999999999</v>
      </c>
      <c r="Z98" s="27">
        <f t="shared" si="47"/>
        <v>2.0956551699460205E-2</v>
      </c>
      <c r="AA98" s="3"/>
      <c r="AB98" s="32">
        <f>SUM(AB99:AB100)</f>
        <v>2535.9729199999997</v>
      </c>
      <c r="AC98" s="1"/>
      <c r="AD98" s="1"/>
      <c r="AE98" s="1"/>
      <c r="AF98" s="1"/>
      <c r="AG98" s="1"/>
      <c r="AH98" s="1"/>
      <c r="AI98" s="1"/>
    </row>
    <row r="99" spans="1:35" ht="14.25" hidden="1" outlineLevel="2" x14ac:dyDescent="0.2">
      <c r="A99" s="1"/>
      <c r="B99" s="34" t="s">
        <v>30</v>
      </c>
      <c r="C99" s="19"/>
      <c r="D99" s="30">
        <f>-188230.6/1000*-1</f>
        <v>188.23060000000001</v>
      </c>
      <c r="E99" s="31">
        <f>-284649.95/1000*-1</f>
        <v>284.64994999999999</v>
      </c>
      <c r="F99" s="31">
        <f t="shared" si="36"/>
        <v>-96.41934999999998</v>
      </c>
      <c r="G99" s="26">
        <f t="shared" si="37"/>
        <v>-0.33872955185834386</v>
      </c>
      <c r="H99" s="31">
        <f>-190928.1/1000*-1</f>
        <v>190.9281</v>
      </c>
      <c r="I99" s="31">
        <f t="shared" si="38"/>
        <v>-2.6974999999999909</v>
      </c>
      <c r="J99" s="27">
        <f t="shared" si="39"/>
        <v>-1.412835512425877E-2</v>
      </c>
      <c r="K99" s="3"/>
      <c r="L99" s="30">
        <f>-663700.43/1000*-1</f>
        <v>663.7004300000001</v>
      </c>
      <c r="M99" s="31">
        <f>-612795.44/1000*-1</f>
        <v>612.79543999999999</v>
      </c>
      <c r="N99" s="31">
        <f t="shared" si="40"/>
        <v>50.904990000000112</v>
      </c>
      <c r="O99" s="26">
        <f t="shared" si="41"/>
        <v>8.307011879853432E-2</v>
      </c>
      <c r="P99" s="31">
        <f>-641644.41/1000*-1</f>
        <v>641.64440999999999</v>
      </c>
      <c r="Q99" s="31">
        <f t="shared" si="42"/>
        <v>22.056020000000103</v>
      </c>
      <c r="R99" s="27">
        <f t="shared" si="43"/>
        <v>3.4374210475861706E-2</v>
      </c>
      <c r="S99" s="3"/>
      <c r="T99" s="30">
        <f>-1074520.2/1000*-1</f>
        <v>1074.5201999999999</v>
      </c>
      <c r="U99" s="31">
        <f>-1087718.91/1000*-1</f>
        <v>1087.7189099999998</v>
      </c>
      <c r="V99" s="31">
        <f t="shared" si="44"/>
        <v>-13.198709999999892</v>
      </c>
      <c r="W99" s="26">
        <f t="shared" si="45"/>
        <v>-1.2134302234388748E-2</v>
      </c>
      <c r="X99" s="31">
        <f>-1052464.18/1000*-1</f>
        <v>1052.4641799999999</v>
      </c>
      <c r="Y99" s="31">
        <f t="shared" si="46"/>
        <v>22.05601999999999</v>
      </c>
      <c r="Z99" s="27">
        <f t="shared" si="47"/>
        <v>2.0956551699460205E-2</v>
      </c>
      <c r="AA99" s="3"/>
      <c r="AB99" s="32">
        <f>-2535972.92/1000*-1</f>
        <v>2535.9729199999997</v>
      </c>
      <c r="AC99" s="1"/>
      <c r="AD99" s="1"/>
      <c r="AE99" s="1"/>
      <c r="AF99" s="1"/>
      <c r="AG99" s="1"/>
      <c r="AH99" s="1"/>
      <c r="AI99" s="1"/>
    </row>
    <row r="100" spans="1:35" s="35" customFormat="1" ht="14.25" hidden="1" outlineLevel="2" x14ac:dyDescent="0.2">
      <c r="B100" s="34" t="s">
        <v>31</v>
      </c>
      <c r="C100" s="19"/>
      <c r="D100" s="30">
        <f>0/1000*-1</f>
        <v>0</v>
      </c>
      <c r="E100" s="31">
        <f>0/1000*-1</f>
        <v>0</v>
      </c>
      <c r="F100" s="31">
        <f t="shared" si="36"/>
        <v>0</v>
      </c>
      <c r="G100" s="26" t="str">
        <f t="shared" si="37"/>
        <v>N/A</v>
      </c>
      <c r="H100" s="31">
        <f>0/1000*-1</f>
        <v>0</v>
      </c>
      <c r="I100" s="31">
        <f t="shared" si="38"/>
        <v>0</v>
      </c>
      <c r="J100" s="27" t="str">
        <f t="shared" si="39"/>
        <v>N/A</v>
      </c>
      <c r="K100" s="19"/>
      <c r="L100" s="30">
        <f>0/1000*-1</f>
        <v>0</v>
      </c>
      <c r="M100" s="31">
        <f>0/1000*-1</f>
        <v>0</v>
      </c>
      <c r="N100" s="31">
        <f t="shared" si="40"/>
        <v>0</v>
      </c>
      <c r="O100" s="26" t="str">
        <f t="shared" si="41"/>
        <v>N/A</v>
      </c>
      <c r="P100" s="31">
        <f>0/1000*-1</f>
        <v>0</v>
      </c>
      <c r="Q100" s="31">
        <f t="shared" si="42"/>
        <v>0</v>
      </c>
      <c r="R100" s="27" t="str">
        <f t="shared" si="43"/>
        <v>N/A</v>
      </c>
      <c r="S100" s="19"/>
      <c r="T100" s="30">
        <f>0/1000*-1</f>
        <v>0</v>
      </c>
      <c r="U100" s="31">
        <f>0/1000*-1</f>
        <v>0</v>
      </c>
      <c r="V100" s="31">
        <f t="shared" si="44"/>
        <v>0</v>
      </c>
      <c r="W100" s="26" t="str">
        <f t="shared" si="45"/>
        <v>N/A</v>
      </c>
      <c r="X100" s="31">
        <f>0/1000*-1</f>
        <v>0</v>
      </c>
      <c r="Y100" s="31">
        <f t="shared" si="46"/>
        <v>0</v>
      </c>
      <c r="Z100" s="27" t="str">
        <f t="shared" si="47"/>
        <v>N/A</v>
      </c>
      <c r="AA100" s="19"/>
      <c r="AB100" s="32">
        <f>0/1000*-1</f>
        <v>0</v>
      </c>
    </row>
    <row r="101" spans="1:35" s="35" customFormat="1" ht="5.0999999999999996" hidden="1" customHeight="1" outlineLevel="1" x14ac:dyDescent="0.2">
      <c r="B101" s="34"/>
      <c r="C101" s="19"/>
      <c r="D101" s="36"/>
      <c r="E101" s="37"/>
      <c r="F101" s="37"/>
      <c r="G101" s="38"/>
      <c r="H101" s="37"/>
      <c r="I101" s="37"/>
      <c r="J101" s="39"/>
      <c r="K101" s="19"/>
      <c r="L101" s="36"/>
      <c r="M101" s="37"/>
      <c r="N101" s="37"/>
      <c r="O101" s="38"/>
      <c r="P101" s="37"/>
      <c r="Q101" s="37"/>
      <c r="R101" s="39"/>
      <c r="S101" s="19"/>
      <c r="T101" s="36"/>
      <c r="U101" s="37"/>
      <c r="V101" s="37"/>
      <c r="W101" s="38"/>
      <c r="X101" s="37"/>
      <c r="Y101" s="37"/>
      <c r="Z101" s="39"/>
      <c r="AA101" s="19"/>
      <c r="AB101" s="40"/>
    </row>
    <row r="102" spans="1:35" ht="14.25" collapsed="1" x14ac:dyDescent="0.2">
      <c r="A102" s="1"/>
      <c r="B102" s="19" t="s">
        <v>32</v>
      </c>
      <c r="C102" s="19"/>
      <c r="D102" s="30">
        <f>SUM(D85:D87,D90,D93:D94)</f>
        <v>704.52832999999998</v>
      </c>
      <c r="E102" s="31">
        <f>SUM(E85:E87,E90,E93:E94)</f>
        <v>777.84179999999992</v>
      </c>
      <c r="F102" s="31">
        <f>D102-E102</f>
        <v>-73.313469999999938</v>
      </c>
      <c r="G102" s="26">
        <f>IF(ISERROR(F102/E102),"N/A",IF(ABS(F102/E102)&gt;5,"N/A",F102/E102))</f>
        <v>-9.4252417393871024E-2</v>
      </c>
      <c r="H102" s="31">
        <f>SUM(H85:H87,H90,H93:H94)</f>
        <v>604.55405999999994</v>
      </c>
      <c r="I102" s="31">
        <f>D102-H102</f>
        <v>99.974270000000047</v>
      </c>
      <c r="J102" s="27">
        <f>IF(ISERROR(I102/H102),"N/A",IF(ABS(I102/H102)&gt;5,"N/A",I102/H102))</f>
        <v>0.16536861897842528</v>
      </c>
      <c r="K102" s="3"/>
      <c r="L102" s="30">
        <f>SUM(L85:L87,L90,L93:L94)</f>
        <v>2097.10653</v>
      </c>
      <c r="M102" s="31">
        <f>SUM(M85:M87,M90,M93:M94)</f>
        <v>2526.5885499999999</v>
      </c>
      <c r="N102" s="31">
        <f>L102-M102</f>
        <v>-429.48201999999992</v>
      </c>
      <c r="O102" s="26">
        <f>IF(ISERROR(N102/M102),"N/A",IF(ABS(N102/M102)&gt;5,"N/A",N102/M102))</f>
        <v>-0.16998494669818714</v>
      </c>
      <c r="P102" s="31">
        <f>SUM(P85:P87,P90,P93:P94)</f>
        <v>1919.1808799999999</v>
      </c>
      <c r="Q102" s="31">
        <f>L102-P102</f>
        <v>177.92565000000013</v>
      </c>
      <c r="R102" s="27">
        <f>IF(ISERROR(Q102/P102),"N/A",IF(ABS(Q102/P102)&gt;5,"N/A",Q102/P102))</f>
        <v>9.270916142099131E-2</v>
      </c>
      <c r="S102" s="3"/>
      <c r="T102" s="30">
        <f>SUM(T85:T87,T90,T93:T94)</f>
        <v>4823.3562000000002</v>
      </c>
      <c r="U102" s="31">
        <f>SUM(U85:U87,U90,U93:U94)</f>
        <v>5273.27268</v>
      </c>
      <c r="V102" s="31">
        <f>T102-U102</f>
        <v>-449.91647999999986</v>
      </c>
      <c r="W102" s="26">
        <f>IF(ISERROR(V102/U102),"N/A",IF(ABS(V102/U102)&gt;5,"N/A",V102/U102))</f>
        <v>-8.5320162127477894E-2</v>
      </c>
      <c r="X102" s="31">
        <f>SUM(X85:X87,X90,X93:X94)</f>
        <v>4645.43055</v>
      </c>
      <c r="Y102" s="31">
        <f>T102-X102</f>
        <v>177.92565000000013</v>
      </c>
      <c r="Z102" s="27">
        <f>IF(ISERROR(Y102/X102),"N/A",IF(ABS(Y102/X102)&gt;5,"N/A",Y102/X102))</f>
        <v>3.8301218387604599E-2</v>
      </c>
      <c r="AA102" s="3"/>
      <c r="AB102" s="32">
        <f>SUM(AB85:AB87,AB90,AB93:AB94)</f>
        <v>11774.70032</v>
      </c>
      <c r="AC102" s="1"/>
      <c r="AD102" s="1"/>
      <c r="AE102" s="1"/>
      <c r="AF102" s="1"/>
      <c r="AG102" s="1"/>
      <c r="AH102" s="1"/>
      <c r="AI102" s="1"/>
    </row>
    <row r="103" spans="1:35" ht="14.25" x14ac:dyDescent="0.2">
      <c r="A103" s="1"/>
      <c r="B103" s="34"/>
      <c r="C103" s="19"/>
      <c r="D103" s="30"/>
      <c r="E103" s="31"/>
      <c r="F103" s="31"/>
      <c r="G103" s="26"/>
      <c r="H103" s="31"/>
      <c r="I103" s="31"/>
      <c r="J103" s="27"/>
      <c r="K103" s="3"/>
      <c r="L103" s="30"/>
      <c r="M103" s="31"/>
      <c r="N103" s="31"/>
      <c r="O103" s="26"/>
      <c r="P103" s="31"/>
      <c r="Q103" s="31"/>
      <c r="R103" s="27"/>
      <c r="S103" s="3"/>
      <c r="T103" s="30"/>
      <c r="U103" s="31"/>
      <c r="V103" s="31"/>
      <c r="W103" s="26"/>
      <c r="X103" s="31"/>
      <c r="Y103" s="31"/>
      <c r="Z103" s="27"/>
      <c r="AA103" s="3"/>
      <c r="AB103" s="32"/>
      <c r="AC103" s="1"/>
      <c r="AD103" s="1"/>
      <c r="AE103" s="1"/>
      <c r="AF103" s="1"/>
      <c r="AG103" s="1"/>
      <c r="AH103" s="1"/>
      <c r="AI103" s="1"/>
    </row>
    <row r="104" spans="1:35" ht="14.25" x14ac:dyDescent="0.2">
      <c r="A104" s="1"/>
      <c r="B104" s="29" t="s">
        <v>33</v>
      </c>
      <c r="C104" s="19"/>
      <c r="D104" s="30">
        <f>-619746.24/1000*-1</f>
        <v>619.74623999999994</v>
      </c>
      <c r="E104" s="31">
        <f>-1026170.12/1000*-1</f>
        <v>1026.17012</v>
      </c>
      <c r="F104" s="31">
        <f>D104-E104</f>
        <v>-406.42388000000005</v>
      </c>
      <c r="G104" s="26">
        <f>IF(ISERROR(F104/E104),"N/A",IF(ABS(F104/E104)&gt;5,"N/A",F104/E104))</f>
        <v>-0.39605896924771117</v>
      </c>
      <c r="H104" s="31">
        <f>-479468.91457/1000*-1</f>
        <v>479.46891457000004</v>
      </c>
      <c r="I104" s="31">
        <f>D104-H104</f>
        <v>140.27732542999991</v>
      </c>
      <c r="J104" s="27">
        <f>IF(ISERROR(I104/H104),"N/A",IF(ABS(I104/H104)&gt;5,"N/A",I104/H104))</f>
        <v>0.29256813354793643</v>
      </c>
      <c r="K104" s="3"/>
      <c r="L104" s="30">
        <f>-2274165.33/1000*-1</f>
        <v>2274.1653300000003</v>
      </c>
      <c r="M104" s="31">
        <f>-4179577.44/1000*-1</f>
        <v>4179.57744</v>
      </c>
      <c r="N104" s="31">
        <f>L104-M104</f>
        <v>-1905.4121099999998</v>
      </c>
      <c r="O104" s="26">
        <f>IF(ISERROR(N104/M104),"N/A",IF(ABS(N104/M104)&gt;5,"N/A",N104/M104))</f>
        <v>-0.45588630366422872</v>
      </c>
      <c r="P104" s="31">
        <f>-1972150.48446/1000*-1</f>
        <v>1972.1504844599999</v>
      </c>
      <c r="Q104" s="31">
        <f>L104-P104</f>
        <v>302.01484554000035</v>
      </c>
      <c r="R104" s="27">
        <f>IF(ISERROR(Q104/P104),"N/A",IF(ABS(Q104/P104)&gt;5,"N/A",Q104/P104))</f>
        <v>0.15313985820037251</v>
      </c>
      <c r="S104" s="3"/>
      <c r="T104" s="30">
        <f>-4581706.35/1000*-1</f>
        <v>4581.7063499999995</v>
      </c>
      <c r="U104" s="31">
        <f>-5799466.93/1000*-1</f>
        <v>5799.4669299999996</v>
      </c>
      <c r="V104" s="31">
        <f>T104-U104</f>
        <v>-1217.7605800000001</v>
      </c>
      <c r="W104" s="26">
        <f>IF(ISERROR(V104/U104),"N/A",IF(ABS(V104/U104)&gt;5,"N/A",V104/U104))</f>
        <v>-0.20997801947980074</v>
      </c>
      <c r="X104" s="31">
        <f>-4279691.50446/1000*-1</f>
        <v>4279.69150446</v>
      </c>
      <c r="Y104" s="31">
        <f>T104-X104</f>
        <v>302.01484553999944</v>
      </c>
      <c r="Z104" s="27">
        <f>IF(ISERROR(Y104/X104),"N/A",IF(ABS(Y104/X104)&gt;5,"N/A",Y104/X104))</f>
        <v>7.0569302769898326E-2</v>
      </c>
      <c r="AA104" s="3"/>
      <c r="AB104" s="32">
        <f>-8393943.14676/1000*-1</f>
        <v>8393.9431467600007</v>
      </c>
      <c r="AC104" s="1"/>
      <c r="AD104" s="1"/>
      <c r="AE104" s="1"/>
      <c r="AF104" s="1"/>
      <c r="AG104" s="1"/>
      <c r="AH104" s="1"/>
      <c r="AI104" s="1"/>
    </row>
    <row r="105" spans="1:35" ht="14.25" x14ac:dyDescent="0.2">
      <c r="A105" s="1"/>
      <c r="B105" s="34"/>
      <c r="C105" s="19"/>
      <c r="D105" s="30"/>
      <c r="E105" s="31"/>
      <c r="F105" s="31"/>
      <c r="G105" s="26"/>
      <c r="H105" s="31"/>
      <c r="I105" s="31"/>
      <c r="J105" s="27"/>
      <c r="K105" s="3"/>
      <c r="L105" s="30"/>
      <c r="M105" s="31"/>
      <c r="N105" s="31"/>
      <c r="O105" s="26"/>
      <c r="P105" s="31"/>
      <c r="Q105" s="31"/>
      <c r="R105" s="27"/>
      <c r="S105" s="3"/>
      <c r="T105" s="30"/>
      <c r="U105" s="31"/>
      <c r="V105" s="31"/>
      <c r="W105" s="26"/>
      <c r="X105" s="31"/>
      <c r="Y105" s="31"/>
      <c r="Z105" s="27"/>
      <c r="AA105" s="3"/>
      <c r="AB105" s="32"/>
      <c r="AC105" s="1"/>
      <c r="AD105" s="1"/>
      <c r="AE105" s="1"/>
      <c r="AF105" s="1"/>
      <c r="AG105" s="1"/>
      <c r="AH105" s="1"/>
      <c r="AI105" s="1"/>
    </row>
    <row r="106" spans="1:35" x14ac:dyDescent="0.25">
      <c r="A106" s="1"/>
      <c r="B106" s="2" t="s">
        <v>37</v>
      </c>
      <c r="C106" s="19"/>
      <c r="D106" s="30">
        <f>SUM(D102:D105)</f>
        <v>1324.27457</v>
      </c>
      <c r="E106" s="31">
        <f>SUM(E102:E105)</f>
        <v>1804.0119199999999</v>
      </c>
      <c r="F106" s="31">
        <f>D106-E106</f>
        <v>-479.73734999999988</v>
      </c>
      <c r="G106" s="26">
        <f>IF(ISERROR(F106/E106),"N/A",IF(ABS(F106/E106)&gt;5,"N/A",F106/E106))</f>
        <v>-0.26592803777039337</v>
      </c>
      <c r="H106" s="31">
        <f>SUM(H102:H105)</f>
        <v>1084.0229745699999</v>
      </c>
      <c r="I106" s="31">
        <f>D106-H106</f>
        <v>240.25159543000018</v>
      </c>
      <c r="J106" s="27">
        <f>IF(ISERROR(I106/H106),"N/A",IF(ABS(I106/H106)&gt;5,"N/A",I106/H106))</f>
        <v>0.22162961585320731</v>
      </c>
      <c r="K106" s="3"/>
      <c r="L106" s="30">
        <f>SUM(L102:L105)</f>
        <v>4371.2718600000007</v>
      </c>
      <c r="M106" s="31">
        <f>SUM(M102:M105)</f>
        <v>6706.1659899999995</v>
      </c>
      <c r="N106" s="31">
        <f>L106-M106</f>
        <v>-2334.8941299999988</v>
      </c>
      <c r="O106" s="26">
        <f>IF(ISERROR(N106/M106),"N/A",IF(ABS(N106/M106)&gt;5,"N/A",N106/M106))</f>
        <v>-0.34817124024095308</v>
      </c>
      <c r="P106" s="31">
        <f>SUM(P102:P105)</f>
        <v>3891.3313644599998</v>
      </c>
      <c r="Q106" s="31">
        <f>L106-P106</f>
        <v>479.94049554000094</v>
      </c>
      <c r="R106" s="27">
        <f>IF(ISERROR(Q106/P106),"N/A",IF(ABS(Q106/P106)&gt;5,"N/A",Q106/P106))</f>
        <v>0.12333580735975239</v>
      </c>
      <c r="S106" s="3"/>
      <c r="T106" s="30">
        <f>SUM(T102:T105)</f>
        <v>9405.0625499999987</v>
      </c>
      <c r="U106" s="31">
        <f>SUM(U102:U105)</f>
        <v>11072.739610000001</v>
      </c>
      <c r="V106" s="31">
        <f>T106-U106</f>
        <v>-1667.6770600000018</v>
      </c>
      <c r="W106" s="26">
        <f>IF(ISERROR(V106/U106),"N/A",IF(ABS(V106/U106)&gt;5,"N/A",V106/U106))</f>
        <v>-0.15061106092424417</v>
      </c>
      <c r="X106" s="31">
        <f>SUM(X102:X105)</f>
        <v>8925.1220544600001</v>
      </c>
      <c r="Y106" s="31">
        <f>T106-X106</f>
        <v>479.94049553999866</v>
      </c>
      <c r="Z106" s="27">
        <f>IF(ISERROR(Y106/X106),"N/A",IF(ABS(Y106/X106)&gt;5,"N/A",Y106/X106))</f>
        <v>5.3774110047062736E-2</v>
      </c>
      <c r="AA106" s="3"/>
      <c r="AB106" s="32">
        <f>SUM(AB102:AB105)</f>
        <v>20168.643466760001</v>
      </c>
      <c r="AC106" s="1"/>
      <c r="AD106" s="1"/>
      <c r="AE106" s="1"/>
      <c r="AF106" s="1"/>
      <c r="AG106" s="1"/>
      <c r="AH106" s="1"/>
      <c r="AI106" s="1"/>
    </row>
    <row r="107" spans="1:35" x14ac:dyDescent="0.25">
      <c r="A107" s="1"/>
      <c r="B107" s="2"/>
      <c r="C107" s="19"/>
      <c r="D107" s="30"/>
      <c r="E107" s="31"/>
      <c r="F107" s="31"/>
      <c r="G107" s="26"/>
      <c r="H107" s="31"/>
      <c r="I107" s="31"/>
      <c r="J107" s="27"/>
      <c r="K107" s="3"/>
      <c r="L107" s="30"/>
      <c r="M107" s="31"/>
      <c r="N107" s="31"/>
      <c r="O107" s="26"/>
      <c r="P107" s="31"/>
      <c r="Q107" s="31"/>
      <c r="R107" s="27"/>
      <c r="S107" s="3"/>
      <c r="T107" s="30"/>
      <c r="U107" s="31"/>
      <c r="V107" s="31"/>
      <c r="W107" s="26"/>
      <c r="X107" s="31"/>
      <c r="Y107" s="31"/>
      <c r="Z107" s="27"/>
      <c r="AA107" s="3"/>
      <c r="AB107" s="42"/>
      <c r="AC107" s="1"/>
      <c r="AD107" s="1"/>
      <c r="AE107" s="1"/>
      <c r="AF107" s="1"/>
      <c r="AG107" s="1"/>
      <c r="AH107" s="1"/>
      <c r="AI107" s="1"/>
    </row>
    <row r="108" spans="1:35" x14ac:dyDescent="0.25">
      <c r="A108" s="1"/>
      <c r="B108" s="2"/>
      <c r="C108" s="19"/>
      <c r="D108" s="30"/>
      <c r="E108" s="31"/>
      <c r="F108" s="31"/>
      <c r="G108" s="26"/>
      <c r="H108" s="31"/>
      <c r="I108" s="31"/>
      <c r="J108" s="27"/>
      <c r="K108" s="3"/>
      <c r="L108" s="30"/>
      <c r="M108" s="31"/>
      <c r="N108" s="31"/>
      <c r="O108" s="26"/>
      <c r="P108" s="31"/>
      <c r="Q108" s="31"/>
      <c r="R108" s="27"/>
      <c r="S108" s="3"/>
      <c r="T108" s="30"/>
      <c r="U108" s="31"/>
      <c r="V108" s="31"/>
      <c r="W108" s="26"/>
      <c r="X108" s="31"/>
      <c r="Y108" s="31"/>
      <c r="Z108" s="27"/>
      <c r="AA108" s="3"/>
      <c r="AB108" s="42"/>
      <c r="AC108" s="1"/>
      <c r="AD108" s="1"/>
      <c r="AE108" s="1"/>
      <c r="AF108" s="1"/>
      <c r="AG108" s="1"/>
      <c r="AH108" s="1"/>
      <c r="AI108" s="1"/>
    </row>
    <row r="109" spans="1:35" ht="15.75" thickBot="1" x14ac:dyDescent="0.3">
      <c r="A109" s="1"/>
      <c r="B109" s="41" t="s">
        <v>38</v>
      </c>
      <c r="C109" s="19"/>
      <c r="D109" s="48">
        <f>SUM(D34,D58,D82,D106)</f>
        <v>27778.850300000002</v>
      </c>
      <c r="E109" s="49">
        <f>SUM(E34,E58,E82,E106)</f>
        <v>38200.895340000003</v>
      </c>
      <c r="F109" s="49">
        <f>D109-E109</f>
        <v>-10422.045040000001</v>
      </c>
      <c r="G109" s="50">
        <f>IF(ISERROR(F109/E109),"N/A",IF(ABS(F109/E109)&gt;5,"N/A",F109/E109))</f>
        <v>-0.27282200972622545</v>
      </c>
      <c r="H109" s="49">
        <f>SUM(H34,H58,H82,H106)</f>
        <v>30093.113164184004</v>
      </c>
      <c r="I109" s="49">
        <f>D109-H109</f>
        <v>-2314.262864184002</v>
      </c>
      <c r="J109" s="51">
        <f>IF(ISERROR(I109/H109),"N/A",IF(ABS(I109/H109)&gt;5,"N/A",I109/H109))</f>
        <v>-7.6903404827466437E-2</v>
      </c>
      <c r="K109" s="3"/>
      <c r="L109" s="48">
        <f>SUM(L34,L58,L82,L106)</f>
        <v>66807.691499999986</v>
      </c>
      <c r="M109" s="49">
        <f>SUM(M34,M58,M82,M106)</f>
        <v>99609.583499999993</v>
      </c>
      <c r="N109" s="49">
        <f>L109-M109</f>
        <v>-32801.892000000007</v>
      </c>
      <c r="O109" s="50">
        <f>IF(ISERROR(N109/M109),"N/A",IF(ABS(N109/M109)&gt;5,"N/A",N109/M109))</f>
        <v>-0.32930457941328517</v>
      </c>
      <c r="P109" s="49">
        <f>SUM(P34,P58,P82,P106)</f>
        <v>70561.036591511001</v>
      </c>
      <c r="Q109" s="49">
        <f>L109-P109</f>
        <v>-3753.3450915110152</v>
      </c>
      <c r="R109" s="51">
        <f>IF(ISERROR(Q109/P109),"N/A",IF(ABS(Q109/P109)&gt;5,"N/A",Q109/P109))</f>
        <v>-5.3192884810348284E-2</v>
      </c>
      <c r="S109" s="3"/>
      <c r="T109" s="48">
        <f>SUM(T34,T58,T82,T106)</f>
        <v>165117.26126</v>
      </c>
      <c r="U109" s="49">
        <f>SUM(U34,U58,U82,U106)</f>
        <v>185792.39500999998</v>
      </c>
      <c r="V109" s="49">
        <f>T109-U109</f>
        <v>-20675.133749999979</v>
      </c>
      <c r="W109" s="50">
        <f>IF(ISERROR(V109/U109),"N/A",IF(ABS(V109/U109)&gt;5,"N/A",V109/U109))</f>
        <v>-0.1112808398260175</v>
      </c>
      <c r="X109" s="49">
        <f>SUM(X34,X58,X82,X106)</f>
        <v>168870.60635151097</v>
      </c>
      <c r="Y109" s="49">
        <f>T109-X109</f>
        <v>-3753.3450915109715</v>
      </c>
      <c r="Z109" s="51">
        <f>IF(ISERROR(Y109/X109),"N/A",IF(ABS(Y109/X109)&gt;5,"N/A",Y109/X109))</f>
        <v>-2.2226159854594425E-2</v>
      </c>
      <c r="AA109" s="3"/>
      <c r="AB109" s="52">
        <f>SUM(AB34,AB58,AB82,AB106)</f>
        <v>440946.15962077404</v>
      </c>
      <c r="AC109" s="1"/>
      <c r="AD109" s="1"/>
      <c r="AE109" s="1"/>
      <c r="AF109" s="1"/>
      <c r="AG109" s="1"/>
      <c r="AH109" s="1"/>
      <c r="AI109" s="1"/>
    </row>
    <row r="110" spans="1:35" ht="15.75" thickTop="1" x14ac:dyDescent="0.25">
      <c r="A110" s="1"/>
      <c r="B110" s="2"/>
      <c r="C110" s="19"/>
      <c r="D110" s="30"/>
      <c r="E110" s="31"/>
      <c r="F110" s="31"/>
      <c r="G110" s="26"/>
      <c r="H110" s="31"/>
      <c r="I110" s="31"/>
      <c r="J110" s="27"/>
      <c r="K110" s="3"/>
      <c r="L110" s="30"/>
      <c r="M110" s="31"/>
      <c r="N110" s="31"/>
      <c r="O110" s="26"/>
      <c r="P110" s="31"/>
      <c r="Q110" s="31"/>
      <c r="R110" s="27"/>
      <c r="S110" s="3"/>
      <c r="T110" s="30"/>
      <c r="U110" s="31"/>
      <c r="V110" s="31"/>
      <c r="W110" s="26"/>
      <c r="X110" s="31"/>
      <c r="Y110" s="31"/>
      <c r="Z110" s="27"/>
      <c r="AA110" s="3"/>
      <c r="AB110" s="42"/>
      <c r="AC110" s="1"/>
      <c r="AD110" s="1"/>
      <c r="AE110" s="1"/>
      <c r="AF110" s="1"/>
      <c r="AG110" s="1"/>
      <c r="AH110" s="1"/>
      <c r="AI110" s="1"/>
    </row>
    <row r="111" spans="1:35" x14ac:dyDescent="0.25">
      <c r="A111" s="1"/>
      <c r="B111" s="2"/>
      <c r="C111" s="19"/>
      <c r="D111" s="30"/>
      <c r="E111" s="31"/>
      <c r="F111" s="31"/>
      <c r="G111" s="26"/>
      <c r="H111" s="31"/>
      <c r="I111" s="31"/>
      <c r="J111" s="27"/>
      <c r="K111" s="3"/>
      <c r="L111" s="30"/>
      <c r="M111" s="31"/>
      <c r="N111" s="31"/>
      <c r="O111" s="26"/>
      <c r="P111" s="31"/>
      <c r="Q111" s="31"/>
      <c r="R111" s="27"/>
      <c r="S111" s="3"/>
      <c r="T111" s="30"/>
      <c r="U111" s="31"/>
      <c r="V111" s="31"/>
      <c r="W111" s="26"/>
      <c r="X111" s="31"/>
      <c r="Y111" s="31"/>
      <c r="Z111" s="27"/>
      <c r="AA111" s="3"/>
      <c r="AB111" s="42"/>
      <c r="AC111" s="1"/>
      <c r="AD111" s="1"/>
      <c r="AE111" s="1"/>
      <c r="AF111" s="1"/>
      <c r="AG111" s="1"/>
      <c r="AH111" s="1"/>
      <c r="AI111" s="1"/>
    </row>
    <row r="112" spans="1:35" ht="14.25" x14ac:dyDescent="0.2">
      <c r="A112" s="1"/>
      <c r="B112" s="19" t="s">
        <v>16</v>
      </c>
      <c r="C112" s="19"/>
      <c r="D112" s="24">
        <f>D13+D37+D61+D85</f>
        <v>12014.69052</v>
      </c>
      <c r="E112" s="25">
        <f>E13+E37+E61+E85</f>
        <v>20158.6162</v>
      </c>
      <c r="F112" s="25">
        <f t="shared" ref="F112:F127" si="48">D112-E112</f>
        <v>-8143.9256800000003</v>
      </c>
      <c r="G112" s="26">
        <f t="shared" ref="G112:G127" si="49">IF(ISERROR(F112/E112),"N/A",IF(ABS(F112/E112)&gt;5,"N/A",F112/E112))</f>
        <v>-0.40399229784433321</v>
      </c>
      <c r="H112" s="25">
        <f>H13+H37+H61+H85</f>
        <v>13788.531569862998</v>
      </c>
      <c r="I112" s="25">
        <f t="shared" ref="I112:I127" si="50">D112-H112</f>
        <v>-1773.8410498629983</v>
      </c>
      <c r="J112" s="27">
        <f t="shared" ref="J112:J127" si="51">IF(ISERROR(I112/H112),"N/A",IF(ABS(I112/H112)&gt;5,"N/A",I112/H112))</f>
        <v>-0.12864611730954778</v>
      </c>
      <c r="K112" s="3"/>
      <c r="L112" s="24">
        <f>L13+L37+L61+L85</f>
        <v>33687.834459999998</v>
      </c>
      <c r="M112" s="25">
        <f>M13+M37+M61+M85</f>
        <v>55861.220009999997</v>
      </c>
      <c r="N112" s="25">
        <f t="shared" ref="N112:N127" si="52">L112-M112</f>
        <v>-22173.385549999999</v>
      </c>
      <c r="O112" s="26">
        <f t="shared" ref="O112:O127" si="53">IF(ISERROR(N112/M112),"N/A",IF(ABS(N112/M112)&gt;5,"N/A",N112/M112))</f>
        <v>-0.39693700828643969</v>
      </c>
      <c r="P112" s="25">
        <f>P13+P37+P61+P85</f>
        <v>34854.898052842</v>
      </c>
      <c r="Q112" s="25">
        <f t="shared" ref="Q112:Q127" si="54">L112-P112</f>
        <v>-1167.0635928420015</v>
      </c>
      <c r="R112" s="27">
        <f t="shared" ref="R112:R127" si="55">IF(ISERROR(Q112/P112),"N/A",IF(ABS(Q112/P112)&gt;5,"N/A",Q112/P112))</f>
        <v>-3.3483488922350799E-2</v>
      </c>
      <c r="S112" s="3"/>
      <c r="T112" s="24">
        <f>T13+T37+T61+T85</f>
        <v>85504.477190000005</v>
      </c>
      <c r="U112" s="25">
        <f>U13+U37+U61+U85</f>
        <v>100382.98873</v>
      </c>
      <c r="V112" s="25">
        <f t="shared" ref="V112:V127" si="56">T112-U112</f>
        <v>-14878.511539999992</v>
      </c>
      <c r="W112" s="26">
        <f t="shared" ref="W112:W127" si="57">IF(ISERROR(V112/U112),"N/A",IF(ABS(V112/U112)&gt;5,"N/A",V112/U112))</f>
        <v>-0.14821745923523663</v>
      </c>
      <c r="X112" s="25">
        <f>X13+X37+X61+X85</f>
        <v>86671.540782841999</v>
      </c>
      <c r="Y112" s="25">
        <f t="shared" ref="Y112:Y127" si="58">T112-X112</f>
        <v>-1167.0635928419943</v>
      </c>
      <c r="Z112" s="27">
        <f t="shared" ref="Z112:Z127" si="59">IF(ISERROR(Y112/X112),"N/A",IF(ABS(Y112/X112)&gt;5,"N/A",Y112/X112))</f>
        <v>-1.3465361089704234E-2</v>
      </c>
      <c r="AA112" s="3"/>
      <c r="AB112" s="28">
        <f>AB13+AB37+AB61+AB85</f>
        <v>238584.33773907501</v>
      </c>
      <c r="AC112" s="1"/>
      <c r="AD112" s="1"/>
      <c r="AE112" s="1"/>
      <c r="AF112" s="1"/>
      <c r="AG112" s="1"/>
      <c r="AH112" s="1"/>
      <c r="AI112" s="1"/>
    </row>
    <row r="113" spans="1:35" ht="14.25" x14ac:dyDescent="0.2">
      <c r="A113" s="1"/>
      <c r="B113" s="29" t="s">
        <v>17</v>
      </c>
      <c r="C113" s="19"/>
      <c r="D113" s="30">
        <f>D14+D38+D62+D86</f>
        <v>1611.1290300000001</v>
      </c>
      <c r="E113" s="31">
        <f>E14+E38+E62+E86</f>
        <v>2572.7995699999997</v>
      </c>
      <c r="F113" s="31">
        <f t="shared" si="48"/>
        <v>-961.67053999999962</v>
      </c>
      <c r="G113" s="26">
        <f t="shared" si="49"/>
        <v>-0.37378369897659758</v>
      </c>
      <c r="H113" s="31">
        <f>H14+H38+H62+H86</f>
        <v>2060.0645178460004</v>
      </c>
      <c r="I113" s="31">
        <f t="shared" si="50"/>
        <v>-448.93548784600034</v>
      </c>
      <c r="J113" s="27">
        <f t="shared" si="51"/>
        <v>-0.21792302326308036</v>
      </c>
      <c r="K113" s="3"/>
      <c r="L113" s="30">
        <f>L14+L38+L62+L86</f>
        <v>4083.0388400000002</v>
      </c>
      <c r="M113" s="31">
        <f>M14+M38+M62+M86</f>
        <v>6348.2460000000001</v>
      </c>
      <c r="N113" s="31">
        <f t="shared" si="52"/>
        <v>-2265.2071599999999</v>
      </c>
      <c r="O113" s="26">
        <f t="shared" si="53"/>
        <v>-0.35682409912911378</v>
      </c>
      <c r="P113" s="31">
        <f>P14+P38+P62+P86</f>
        <v>4989.9365495800002</v>
      </c>
      <c r="Q113" s="31">
        <f t="shared" si="54"/>
        <v>-906.89770958000008</v>
      </c>
      <c r="R113" s="27">
        <f t="shared" si="55"/>
        <v>-0.18174533895753306</v>
      </c>
      <c r="S113" s="3"/>
      <c r="T113" s="30">
        <f>T14+T38+T62+T86</f>
        <v>12880.06064</v>
      </c>
      <c r="U113" s="31">
        <f>U14+U38+U62+U86</f>
        <v>14079.343999999999</v>
      </c>
      <c r="V113" s="31">
        <f t="shared" si="56"/>
        <v>-1199.2833599999994</v>
      </c>
      <c r="W113" s="26">
        <f t="shared" si="57"/>
        <v>-8.5180343629646341E-2</v>
      </c>
      <c r="X113" s="31">
        <f>X14+X38+X62+X86</f>
        <v>13786.958349580002</v>
      </c>
      <c r="Y113" s="31">
        <f t="shared" si="58"/>
        <v>-906.8977095800019</v>
      </c>
      <c r="Z113" s="27">
        <f t="shared" si="59"/>
        <v>-6.5779389955698903E-2</v>
      </c>
      <c r="AA113" s="3"/>
      <c r="AB113" s="32">
        <f>AB14+AB38+AB62+AB86</f>
        <v>29204.930620985</v>
      </c>
      <c r="AC113" s="1"/>
      <c r="AD113" s="1"/>
      <c r="AE113" s="1"/>
      <c r="AF113" s="1"/>
      <c r="AG113" s="1"/>
      <c r="AH113" s="1"/>
      <c r="AI113" s="1"/>
    </row>
    <row r="114" spans="1:35" ht="14.25" x14ac:dyDescent="0.2">
      <c r="A114" s="1"/>
      <c r="B114" s="19" t="s">
        <v>18</v>
      </c>
      <c r="C114" s="19"/>
      <c r="D114" s="30">
        <f>SUM(D115:D116)</f>
        <v>461.55567000000002</v>
      </c>
      <c r="E114" s="31">
        <f>SUM(E115:E116)</f>
        <v>1443.5038300000001</v>
      </c>
      <c r="F114" s="31">
        <f t="shared" si="48"/>
        <v>-981.94816000000014</v>
      </c>
      <c r="G114" s="26">
        <f t="shared" si="49"/>
        <v>-0.68025324186358416</v>
      </c>
      <c r="H114" s="31">
        <f>SUM(H115:H116)</f>
        <v>131.26329217</v>
      </c>
      <c r="I114" s="31">
        <f t="shared" si="50"/>
        <v>330.29237783000002</v>
      </c>
      <c r="J114" s="27">
        <f t="shared" si="51"/>
        <v>2.5162585241442526</v>
      </c>
      <c r="K114" s="3"/>
      <c r="L114" s="30">
        <f>SUM(L115:L116)</f>
        <v>1169.9145899999999</v>
      </c>
      <c r="M114" s="31">
        <f>SUM(M115:M116)</f>
        <v>1439.42156</v>
      </c>
      <c r="N114" s="31">
        <f t="shared" si="52"/>
        <v>-269.50697000000014</v>
      </c>
      <c r="O114" s="26">
        <f t="shared" si="53"/>
        <v>-0.18723282844255865</v>
      </c>
      <c r="P114" s="31">
        <f>SUM(P115:P116)</f>
        <v>245.37826217</v>
      </c>
      <c r="Q114" s="31">
        <f t="shared" si="54"/>
        <v>924.53632782999989</v>
      </c>
      <c r="R114" s="27">
        <f t="shared" si="55"/>
        <v>3.7678004549134587</v>
      </c>
      <c r="S114" s="3"/>
      <c r="T114" s="30">
        <f>SUM(T115:T116)</f>
        <v>4133.5856899999999</v>
      </c>
      <c r="U114" s="31">
        <f>SUM(U115:U116)</f>
        <v>7936.0781100000004</v>
      </c>
      <c r="V114" s="31">
        <f t="shared" si="56"/>
        <v>-3802.4924200000005</v>
      </c>
      <c r="W114" s="26">
        <f t="shared" si="57"/>
        <v>-0.47913999425088827</v>
      </c>
      <c r="X114" s="31">
        <f>SUM(X115:X116)</f>
        <v>3209.0493621700002</v>
      </c>
      <c r="Y114" s="31">
        <f t="shared" si="58"/>
        <v>924.53632782999966</v>
      </c>
      <c r="Z114" s="27">
        <f t="shared" si="59"/>
        <v>0.28810286894584147</v>
      </c>
      <c r="AA114" s="3"/>
      <c r="AB114" s="32">
        <f>SUM(AB115:AB116)</f>
        <v>4291.4708123800001</v>
      </c>
      <c r="AC114" s="1"/>
      <c r="AD114" s="1"/>
      <c r="AE114" s="1"/>
      <c r="AF114" s="1"/>
      <c r="AG114" s="1"/>
      <c r="AH114" s="1"/>
      <c r="AI114" s="1"/>
    </row>
    <row r="115" spans="1:35" ht="14.25" hidden="1" outlineLevel="1" x14ac:dyDescent="0.2">
      <c r="A115" s="1"/>
      <c r="B115" s="33" t="s">
        <v>19</v>
      </c>
      <c r="C115" s="19"/>
      <c r="D115" s="30">
        <f>D16+D40+D64+D88</f>
        <v>0</v>
      </c>
      <c r="E115" s="31">
        <f>E16+E40+E64+E88</f>
        <v>0</v>
      </c>
      <c r="F115" s="31">
        <f t="shared" si="48"/>
        <v>0</v>
      </c>
      <c r="G115" s="26" t="str">
        <f t="shared" si="49"/>
        <v>N/A</v>
      </c>
      <c r="H115" s="31">
        <f>H16+H40+H64+H88</f>
        <v>0</v>
      </c>
      <c r="I115" s="31">
        <f t="shared" si="50"/>
        <v>0</v>
      </c>
      <c r="J115" s="27" t="str">
        <f t="shared" si="51"/>
        <v>N/A</v>
      </c>
      <c r="K115" s="3"/>
      <c r="L115" s="30">
        <f>L16+L40+L64+L88</f>
        <v>0</v>
      </c>
      <c r="M115" s="31">
        <f>M16+M40+M64+M88</f>
        <v>0</v>
      </c>
      <c r="N115" s="31">
        <f t="shared" si="52"/>
        <v>0</v>
      </c>
      <c r="O115" s="26" t="str">
        <f t="shared" si="53"/>
        <v>N/A</v>
      </c>
      <c r="P115" s="31">
        <f>P16+P40+P64+P88</f>
        <v>0</v>
      </c>
      <c r="Q115" s="31">
        <f t="shared" si="54"/>
        <v>0</v>
      </c>
      <c r="R115" s="27" t="str">
        <f t="shared" si="55"/>
        <v>N/A</v>
      </c>
      <c r="S115" s="3"/>
      <c r="T115" s="30">
        <f>T16+T40+T64+T88</f>
        <v>0</v>
      </c>
      <c r="U115" s="31">
        <f>U16+U40+U64+U88</f>
        <v>0</v>
      </c>
      <c r="V115" s="31">
        <f t="shared" si="56"/>
        <v>0</v>
      </c>
      <c r="W115" s="26" t="str">
        <f t="shared" si="57"/>
        <v>N/A</v>
      </c>
      <c r="X115" s="31">
        <f>X16+X40+X64+X88</f>
        <v>0</v>
      </c>
      <c r="Y115" s="31">
        <f t="shared" si="58"/>
        <v>0</v>
      </c>
      <c r="Z115" s="27" t="str">
        <f t="shared" si="59"/>
        <v>N/A</v>
      </c>
      <c r="AA115" s="3"/>
      <c r="AB115" s="32">
        <f>AB16+AB40+AB64+AB88</f>
        <v>0</v>
      </c>
      <c r="AC115" s="1"/>
      <c r="AD115" s="1"/>
      <c r="AE115" s="1"/>
      <c r="AF115" s="1"/>
      <c r="AG115" s="1"/>
      <c r="AH115" s="1"/>
      <c r="AI115" s="1"/>
    </row>
    <row r="116" spans="1:35" ht="14.25" hidden="1" outlineLevel="1" x14ac:dyDescent="0.2">
      <c r="A116" s="1"/>
      <c r="B116" s="33" t="s">
        <v>20</v>
      </c>
      <c r="C116" s="19"/>
      <c r="D116" s="30">
        <f>D17+D41+D65+D89</f>
        <v>461.55567000000002</v>
      </c>
      <c r="E116" s="31">
        <f>E17+E41+E65+E89</f>
        <v>1443.5038300000001</v>
      </c>
      <c r="F116" s="31">
        <f t="shared" si="48"/>
        <v>-981.94816000000014</v>
      </c>
      <c r="G116" s="26">
        <f t="shared" si="49"/>
        <v>-0.68025324186358416</v>
      </c>
      <c r="H116" s="31">
        <f>H17+H41+H65+H89</f>
        <v>131.26329217</v>
      </c>
      <c r="I116" s="31">
        <f t="shared" si="50"/>
        <v>330.29237783000002</v>
      </c>
      <c r="J116" s="27">
        <f t="shared" si="51"/>
        <v>2.5162585241442526</v>
      </c>
      <c r="K116" s="3"/>
      <c r="L116" s="30">
        <f>L17+L41+L65+L89</f>
        <v>1169.9145899999999</v>
      </c>
      <c r="M116" s="31">
        <f>M17+M41+M65+M89</f>
        <v>1439.42156</v>
      </c>
      <c r="N116" s="31">
        <f t="shared" si="52"/>
        <v>-269.50697000000014</v>
      </c>
      <c r="O116" s="26">
        <f t="shared" si="53"/>
        <v>-0.18723282844255865</v>
      </c>
      <c r="P116" s="31">
        <f>P17+P41+P65+P89</f>
        <v>245.37826217</v>
      </c>
      <c r="Q116" s="31">
        <f t="shared" si="54"/>
        <v>924.53632782999989</v>
      </c>
      <c r="R116" s="27">
        <f t="shared" si="55"/>
        <v>3.7678004549134587</v>
      </c>
      <c r="S116" s="3"/>
      <c r="T116" s="30">
        <f>T17+T41+T65+T89</f>
        <v>4133.5856899999999</v>
      </c>
      <c r="U116" s="31">
        <f>U17+U41+U65+U89</f>
        <v>7936.0781100000004</v>
      </c>
      <c r="V116" s="31">
        <f t="shared" si="56"/>
        <v>-3802.4924200000005</v>
      </c>
      <c r="W116" s="26">
        <f t="shared" si="57"/>
        <v>-0.47913999425088827</v>
      </c>
      <c r="X116" s="31">
        <f>X17+X41+X65+X89</f>
        <v>3209.0493621700002</v>
      </c>
      <c r="Y116" s="31">
        <f t="shared" si="58"/>
        <v>924.53632782999966</v>
      </c>
      <c r="Z116" s="27">
        <f t="shared" si="59"/>
        <v>0.28810286894584147</v>
      </c>
      <c r="AA116" s="3"/>
      <c r="AB116" s="32">
        <f>AB17+AB41+AB65+AB89</f>
        <v>4291.4708123800001</v>
      </c>
      <c r="AC116" s="1"/>
      <c r="AD116" s="1"/>
      <c r="AE116" s="1"/>
      <c r="AF116" s="1"/>
      <c r="AG116" s="1"/>
      <c r="AH116" s="1"/>
      <c r="AI116" s="1"/>
    </row>
    <row r="117" spans="1:35" ht="14.25" collapsed="1" x14ac:dyDescent="0.2">
      <c r="A117" s="1"/>
      <c r="B117" s="19" t="s">
        <v>21</v>
      </c>
      <c r="C117" s="19"/>
      <c r="D117" s="30">
        <f>SUM(D118:D119)</f>
        <v>6115.7744400000011</v>
      </c>
      <c r="E117" s="31">
        <f>SUM(E118:E119)</f>
        <v>2367.3232200000002</v>
      </c>
      <c r="F117" s="31">
        <f t="shared" si="48"/>
        <v>3748.4512200000008</v>
      </c>
      <c r="G117" s="26">
        <f t="shared" si="49"/>
        <v>1.5834133625403297</v>
      </c>
      <c r="H117" s="31">
        <f>SUM(H118:H119)</f>
        <v>4845.142418084999</v>
      </c>
      <c r="I117" s="31">
        <f t="shared" si="50"/>
        <v>1270.632021915002</v>
      </c>
      <c r="J117" s="27">
        <f t="shared" si="51"/>
        <v>0.26224864251094782</v>
      </c>
      <c r="K117" s="3"/>
      <c r="L117" s="30">
        <f>SUM(L118:L119)</f>
        <v>8507.0817299999999</v>
      </c>
      <c r="M117" s="31">
        <f>SUM(M118:M119)</f>
        <v>6007.2365000000009</v>
      </c>
      <c r="N117" s="31">
        <f t="shared" si="52"/>
        <v>2499.845229999999</v>
      </c>
      <c r="O117" s="26">
        <f t="shared" si="53"/>
        <v>0.41613897338651451</v>
      </c>
      <c r="P117" s="31">
        <f>SUM(P118:P119)</f>
        <v>7562.2673203600016</v>
      </c>
      <c r="Q117" s="31">
        <f t="shared" si="54"/>
        <v>944.8144096399983</v>
      </c>
      <c r="R117" s="27">
        <f t="shared" si="55"/>
        <v>0.12493798084818568</v>
      </c>
      <c r="S117" s="3"/>
      <c r="T117" s="30">
        <f>SUM(T118:T119)</f>
        <v>19491.02564</v>
      </c>
      <c r="U117" s="31">
        <f>SUM(U118:U119)</f>
        <v>10557.721020000001</v>
      </c>
      <c r="V117" s="31">
        <f t="shared" si="56"/>
        <v>8933.304619999999</v>
      </c>
      <c r="W117" s="26">
        <f t="shared" si="57"/>
        <v>0.84613948437141018</v>
      </c>
      <c r="X117" s="31">
        <f>SUM(X118:X119)</f>
        <v>18546.211230360001</v>
      </c>
      <c r="Y117" s="31">
        <f t="shared" si="58"/>
        <v>944.81440963999921</v>
      </c>
      <c r="Z117" s="27">
        <f t="shared" si="59"/>
        <v>5.0943796439315084E-2</v>
      </c>
      <c r="AA117" s="3"/>
      <c r="AB117" s="32">
        <f>SUM(AB118:AB119)</f>
        <v>36692.313257766</v>
      </c>
      <c r="AC117" s="1"/>
      <c r="AD117" s="1"/>
      <c r="AE117" s="1"/>
      <c r="AF117" s="1"/>
      <c r="AG117" s="1"/>
      <c r="AH117" s="1"/>
      <c r="AI117" s="1"/>
    </row>
    <row r="118" spans="1:35" ht="14.25" hidden="1" outlineLevel="1" x14ac:dyDescent="0.2">
      <c r="A118" s="1"/>
      <c r="B118" s="33" t="s">
        <v>22</v>
      </c>
      <c r="C118" s="19"/>
      <c r="D118" s="30">
        <f t="shared" ref="D118:E120" si="60">D19+D43+D67+D91</f>
        <v>306.19645000000003</v>
      </c>
      <c r="E118" s="31">
        <f t="shared" si="60"/>
        <v>-135.63404000000003</v>
      </c>
      <c r="F118" s="31">
        <f t="shared" si="48"/>
        <v>441.83049000000005</v>
      </c>
      <c r="G118" s="26">
        <f t="shared" si="49"/>
        <v>-3.2575192038812673</v>
      </c>
      <c r="H118" s="31">
        <f>H19+H43+H67+H91</f>
        <v>4845.142418084999</v>
      </c>
      <c r="I118" s="31">
        <f t="shared" si="50"/>
        <v>-4538.9459680849986</v>
      </c>
      <c r="J118" s="27">
        <f t="shared" si="51"/>
        <v>-0.93680341596212113</v>
      </c>
      <c r="K118" s="3"/>
      <c r="L118" s="30">
        <f t="shared" ref="L118:M120" si="61">L19+L43+L67+L91</f>
        <v>646.29357000000005</v>
      </c>
      <c r="M118" s="31">
        <f t="shared" si="61"/>
        <v>369.62790000000001</v>
      </c>
      <c r="N118" s="31">
        <f t="shared" si="52"/>
        <v>276.66567000000003</v>
      </c>
      <c r="O118" s="26">
        <f t="shared" si="53"/>
        <v>0.7484978000848963</v>
      </c>
      <c r="P118" s="31">
        <f>P19+P43+P67+P91</f>
        <v>7435.5571903600012</v>
      </c>
      <c r="Q118" s="31">
        <f t="shared" si="54"/>
        <v>-6789.2636203600014</v>
      </c>
      <c r="R118" s="27">
        <f t="shared" si="55"/>
        <v>-0.91308068064651537</v>
      </c>
      <c r="S118" s="3"/>
      <c r="T118" s="30">
        <f t="shared" ref="T118:U120" si="62">T19+T43+T67+T91</f>
        <v>1531.6571200000003</v>
      </c>
      <c r="U118" s="31">
        <f t="shared" si="62"/>
        <v>1332.1669400000001</v>
      </c>
      <c r="V118" s="31">
        <f t="shared" si="56"/>
        <v>199.49018000000024</v>
      </c>
      <c r="W118" s="26">
        <f t="shared" si="57"/>
        <v>0.14974863435659214</v>
      </c>
      <c r="X118" s="31">
        <f>X19+X43+X67+X91</f>
        <v>8320.9207403600012</v>
      </c>
      <c r="Y118" s="31">
        <f t="shared" si="58"/>
        <v>-6789.2636203600014</v>
      </c>
      <c r="Z118" s="27">
        <f t="shared" si="59"/>
        <v>-0.81592696676332799</v>
      </c>
      <c r="AA118" s="3"/>
      <c r="AB118" s="32">
        <f>AB19+AB43+AB67+AB91</f>
        <v>26467.022767765997</v>
      </c>
      <c r="AC118" s="1"/>
      <c r="AD118" s="1"/>
      <c r="AE118" s="1"/>
      <c r="AF118" s="1"/>
      <c r="AG118" s="1"/>
      <c r="AH118" s="1"/>
      <c r="AI118" s="1"/>
    </row>
    <row r="119" spans="1:35" ht="14.25" hidden="1" outlineLevel="1" x14ac:dyDescent="0.2">
      <c r="A119" s="1"/>
      <c r="B119" s="33" t="s">
        <v>23</v>
      </c>
      <c r="C119" s="19"/>
      <c r="D119" s="30">
        <f t="shared" si="60"/>
        <v>5809.5779900000007</v>
      </c>
      <c r="E119" s="31">
        <f t="shared" si="60"/>
        <v>2502.9572600000001</v>
      </c>
      <c r="F119" s="31">
        <f t="shared" si="48"/>
        <v>3306.6207300000005</v>
      </c>
      <c r="G119" s="26">
        <f t="shared" si="49"/>
        <v>1.3210855745894761</v>
      </c>
      <c r="H119" s="31">
        <f>H20+H44+H68+H92</f>
        <v>0</v>
      </c>
      <c r="I119" s="31">
        <f t="shared" si="50"/>
        <v>5809.5779900000007</v>
      </c>
      <c r="J119" s="27" t="str">
        <f t="shared" si="51"/>
        <v>N/A</v>
      </c>
      <c r="K119" s="3"/>
      <c r="L119" s="30">
        <f t="shared" si="61"/>
        <v>7860.7881600000001</v>
      </c>
      <c r="M119" s="31">
        <f t="shared" si="61"/>
        <v>5637.6086000000005</v>
      </c>
      <c r="N119" s="31">
        <f t="shared" si="52"/>
        <v>2223.1795599999996</v>
      </c>
      <c r="O119" s="26">
        <f t="shared" si="53"/>
        <v>0.39434797938970068</v>
      </c>
      <c r="P119" s="31">
        <f>P20+P44+P68+P92</f>
        <v>126.71012999999999</v>
      </c>
      <c r="Q119" s="31">
        <f t="shared" si="54"/>
        <v>7734.0780299999997</v>
      </c>
      <c r="R119" s="27" t="str">
        <f t="shared" si="55"/>
        <v>N/A</v>
      </c>
      <c r="S119" s="3"/>
      <c r="T119" s="30">
        <f t="shared" si="62"/>
        <v>17959.36852</v>
      </c>
      <c r="U119" s="31">
        <f t="shared" si="62"/>
        <v>9225.5540799999999</v>
      </c>
      <c r="V119" s="31">
        <f t="shared" si="56"/>
        <v>8733.8144400000001</v>
      </c>
      <c r="W119" s="26">
        <f t="shared" si="57"/>
        <v>0.94669809143864458</v>
      </c>
      <c r="X119" s="31">
        <f>X20+X44+X68+X92</f>
        <v>10225.290489999999</v>
      </c>
      <c r="Y119" s="31">
        <f t="shared" si="58"/>
        <v>7734.0780300000006</v>
      </c>
      <c r="Z119" s="27">
        <f t="shared" si="59"/>
        <v>0.7563675611527787</v>
      </c>
      <c r="AA119" s="3"/>
      <c r="AB119" s="32">
        <f>AB20+AB44+AB68+AB92</f>
        <v>10225.290489999999</v>
      </c>
      <c r="AC119" s="1"/>
      <c r="AD119" s="1"/>
      <c r="AE119" s="1"/>
      <c r="AF119" s="1"/>
      <c r="AG119" s="1"/>
      <c r="AH119" s="1"/>
      <c r="AI119" s="1"/>
    </row>
    <row r="120" spans="1:35" ht="14.25" collapsed="1" x14ac:dyDescent="0.2">
      <c r="A120" s="1"/>
      <c r="B120" s="19" t="s">
        <v>24</v>
      </c>
      <c r="C120" s="19"/>
      <c r="D120" s="30">
        <f t="shared" si="60"/>
        <v>0</v>
      </c>
      <c r="E120" s="31">
        <f t="shared" si="60"/>
        <v>0</v>
      </c>
      <c r="F120" s="31">
        <f t="shared" si="48"/>
        <v>0</v>
      </c>
      <c r="G120" s="26" t="str">
        <f t="shared" si="49"/>
        <v>N/A</v>
      </c>
      <c r="H120" s="31">
        <f>H21+H45+H69+H93</f>
        <v>0</v>
      </c>
      <c r="I120" s="31">
        <f t="shared" si="50"/>
        <v>0</v>
      </c>
      <c r="J120" s="27" t="str">
        <f t="shared" si="51"/>
        <v>N/A</v>
      </c>
      <c r="K120" s="3"/>
      <c r="L120" s="30">
        <f t="shared" si="61"/>
        <v>0</v>
      </c>
      <c r="M120" s="31">
        <f t="shared" si="61"/>
        <v>0</v>
      </c>
      <c r="N120" s="31">
        <f t="shared" si="52"/>
        <v>0</v>
      </c>
      <c r="O120" s="26" t="str">
        <f t="shared" si="53"/>
        <v>N/A</v>
      </c>
      <c r="P120" s="31">
        <f>P21+P45+P69+P93</f>
        <v>0</v>
      </c>
      <c r="Q120" s="31">
        <f t="shared" si="54"/>
        <v>0</v>
      </c>
      <c r="R120" s="27" t="str">
        <f t="shared" si="55"/>
        <v>N/A</v>
      </c>
      <c r="S120" s="3"/>
      <c r="T120" s="30">
        <f t="shared" si="62"/>
        <v>0</v>
      </c>
      <c r="U120" s="31">
        <f t="shared" si="62"/>
        <v>0</v>
      </c>
      <c r="V120" s="31">
        <f t="shared" si="56"/>
        <v>0</v>
      </c>
      <c r="W120" s="26" t="str">
        <f t="shared" si="57"/>
        <v>N/A</v>
      </c>
      <c r="X120" s="31">
        <f>X21+X45+X69+X93</f>
        <v>0</v>
      </c>
      <c r="Y120" s="31">
        <f t="shared" si="58"/>
        <v>0</v>
      </c>
      <c r="Z120" s="27" t="str">
        <f t="shared" si="59"/>
        <v>N/A</v>
      </c>
      <c r="AA120" s="3"/>
      <c r="AB120" s="32">
        <f>AB21+AB45+AB69+AB93</f>
        <v>0</v>
      </c>
      <c r="AC120" s="1"/>
      <c r="AD120" s="1"/>
      <c r="AE120" s="1"/>
      <c r="AF120" s="1"/>
      <c r="AG120" s="1"/>
      <c r="AH120" s="1"/>
      <c r="AI120" s="1"/>
    </row>
    <row r="121" spans="1:35" ht="14.25" x14ac:dyDescent="0.2">
      <c r="A121" s="1"/>
      <c r="B121" s="19" t="s">
        <v>25</v>
      </c>
      <c r="C121" s="19"/>
      <c r="D121" s="30">
        <f>SUM(D122:D125)</f>
        <v>2874.9747799999996</v>
      </c>
      <c r="E121" s="31">
        <f>SUM(E122:E125)</f>
        <v>5298.2103699999998</v>
      </c>
      <c r="F121" s="31">
        <f t="shared" si="48"/>
        <v>-2423.2355900000002</v>
      </c>
      <c r="G121" s="26">
        <f t="shared" si="49"/>
        <v>-0.45736870014091197</v>
      </c>
      <c r="H121" s="31">
        <f>SUM(H122:H125)</f>
        <v>4113.5179163700004</v>
      </c>
      <c r="I121" s="31">
        <f t="shared" si="50"/>
        <v>-1238.5431363700009</v>
      </c>
      <c r="J121" s="27">
        <f t="shared" si="51"/>
        <v>-0.30109097895043591</v>
      </c>
      <c r="K121" s="3"/>
      <c r="L121" s="30">
        <f>SUM(L122:L125)</f>
        <v>8254.4030899999998</v>
      </c>
      <c r="M121" s="31">
        <f>SUM(M122:M125)</f>
        <v>12464.40676</v>
      </c>
      <c r="N121" s="31">
        <f t="shared" si="52"/>
        <v>-4210.0036700000001</v>
      </c>
      <c r="O121" s="26">
        <f t="shared" si="53"/>
        <v>-0.33776205727740549</v>
      </c>
      <c r="P121" s="31">
        <f>SUM(P122:P125)</f>
        <v>10667.022648439</v>
      </c>
      <c r="Q121" s="31">
        <f t="shared" si="54"/>
        <v>-2412.6195584390007</v>
      </c>
      <c r="R121" s="27">
        <f t="shared" si="55"/>
        <v>-0.2261755353816616</v>
      </c>
      <c r="S121" s="3"/>
      <c r="T121" s="30">
        <f>SUM(T122:T125)</f>
        <v>17606.81133</v>
      </c>
      <c r="U121" s="31">
        <f>SUM(U122:U125)</f>
        <v>24289.024629999996</v>
      </c>
      <c r="V121" s="31">
        <f t="shared" si="56"/>
        <v>-6682.2132999999958</v>
      </c>
      <c r="W121" s="26">
        <f t="shared" si="57"/>
        <v>-0.27511245930174666</v>
      </c>
      <c r="X121" s="31">
        <f>SUM(X122:X125)</f>
        <v>20019.430888438997</v>
      </c>
      <c r="Y121" s="31">
        <f t="shared" si="58"/>
        <v>-2412.619558438997</v>
      </c>
      <c r="Z121" s="27">
        <f t="shared" si="59"/>
        <v>-0.12051389332112625</v>
      </c>
      <c r="AA121" s="3"/>
      <c r="AB121" s="32">
        <f>SUM(AB122:AB125)</f>
        <v>55588.215888138002</v>
      </c>
      <c r="AC121" s="1"/>
      <c r="AD121" s="1"/>
      <c r="AE121" s="1"/>
      <c r="AF121" s="1"/>
      <c r="AG121" s="1"/>
      <c r="AH121" s="1"/>
      <c r="AI121" s="1"/>
    </row>
    <row r="122" spans="1:35" ht="14.25" hidden="1" outlineLevel="1" x14ac:dyDescent="0.2">
      <c r="A122" s="1"/>
      <c r="B122" s="33" t="s">
        <v>26</v>
      </c>
      <c r="C122" s="19"/>
      <c r="D122" s="30">
        <f t="shared" ref="D122:E124" si="63">D23+D47+D71+D95</f>
        <v>0</v>
      </c>
      <c r="E122" s="31">
        <f t="shared" si="63"/>
        <v>0</v>
      </c>
      <c r="F122" s="31">
        <f t="shared" si="48"/>
        <v>0</v>
      </c>
      <c r="G122" s="26" t="str">
        <f t="shared" si="49"/>
        <v>N/A</v>
      </c>
      <c r="H122" s="31">
        <f>H23+H47+H71+H95</f>
        <v>0</v>
      </c>
      <c r="I122" s="31">
        <f t="shared" si="50"/>
        <v>0</v>
      </c>
      <c r="J122" s="27" t="str">
        <f t="shared" si="51"/>
        <v>N/A</v>
      </c>
      <c r="K122" s="3"/>
      <c r="L122" s="30">
        <f t="shared" ref="L122:M124" si="64">L23+L47+L71+L95</f>
        <v>0</v>
      </c>
      <c r="M122" s="31">
        <f t="shared" si="64"/>
        <v>0</v>
      </c>
      <c r="N122" s="31">
        <f t="shared" si="52"/>
        <v>0</v>
      </c>
      <c r="O122" s="26" t="str">
        <f t="shared" si="53"/>
        <v>N/A</v>
      </c>
      <c r="P122" s="31">
        <f>P23+P47+P71+P95</f>
        <v>0</v>
      </c>
      <c r="Q122" s="31">
        <f t="shared" si="54"/>
        <v>0</v>
      </c>
      <c r="R122" s="27" t="str">
        <f t="shared" si="55"/>
        <v>N/A</v>
      </c>
      <c r="S122" s="3"/>
      <c r="T122" s="30">
        <f t="shared" ref="T122:U124" si="65">T23+T47+T71+T95</f>
        <v>0</v>
      </c>
      <c r="U122" s="31">
        <f t="shared" si="65"/>
        <v>0</v>
      </c>
      <c r="V122" s="31">
        <f t="shared" si="56"/>
        <v>0</v>
      </c>
      <c r="W122" s="26" t="str">
        <f t="shared" si="57"/>
        <v>N/A</v>
      </c>
      <c r="X122" s="31">
        <f>X23+X47+X71+X95</f>
        <v>0</v>
      </c>
      <c r="Y122" s="31">
        <f t="shared" si="58"/>
        <v>0</v>
      </c>
      <c r="Z122" s="27" t="str">
        <f t="shared" si="59"/>
        <v>N/A</v>
      </c>
      <c r="AA122" s="3"/>
      <c r="AB122" s="32">
        <f>AB23+AB47+AB71+AB95</f>
        <v>0</v>
      </c>
      <c r="AC122" s="1"/>
      <c r="AD122" s="1"/>
      <c r="AE122" s="1"/>
      <c r="AF122" s="1"/>
      <c r="AG122" s="1"/>
      <c r="AH122" s="1"/>
      <c r="AI122" s="1"/>
    </row>
    <row r="123" spans="1:35" ht="14.25" hidden="1" outlineLevel="1" x14ac:dyDescent="0.2">
      <c r="A123" s="1"/>
      <c r="B123" s="33" t="s">
        <v>27</v>
      </c>
      <c r="C123" s="19"/>
      <c r="D123" s="30">
        <f t="shared" si="63"/>
        <v>-6.0833000000000004</v>
      </c>
      <c r="E123" s="31">
        <f t="shared" si="63"/>
        <v>83.966059999999999</v>
      </c>
      <c r="F123" s="31">
        <f t="shared" si="48"/>
        <v>-90.049359999999993</v>
      </c>
      <c r="G123" s="26">
        <f t="shared" si="49"/>
        <v>-1.0724495111477184</v>
      </c>
      <c r="H123" s="31">
        <f>H24+H48+H72+H96</f>
        <v>0</v>
      </c>
      <c r="I123" s="31">
        <f t="shared" si="50"/>
        <v>-6.0833000000000004</v>
      </c>
      <c r="J123" s="27" t="str">
        <f t="shared" si="51"/>
        <v>N/A</v>
      </c>
      <c r="K123" s="3"/>
      <c r="L123" s="30">
        <f t="shared" si="64"/>
        <v>34.697669999999995</v>
      </c>
      <c r="M123" s="31">
        <f t="shared" si="64"/>
        <v>141.82604000000001</v>
      </c>
      <c r="N123" s="31">
        <f t="shared" si="52"/>
        <v>-107.12837000000002</v>
      </c>
      <c r="O123" s="26">
        <f t="shared" si="53"/>
        <v>-0.75535049839930679</v>
      </c>
      <c r="P123" s="31">
        <f>P24+P48+P72+P96</f>
        <v>5.0473300000000005</v>
      </c>
      <c r="Q123" s="31">
        <f t="shared" si="54"/>
        <v>29.650339999999993</v>
      </c>
      <c r="R123" s="27" t="str">
        <f t="shared" si="55"/>
        <v>N/A</v>
      </c>
      <c r="S123" s="3"/>
      <c r="T123" s="30">
        <f t="shared" si="65"/>
        <v>74.133169999999993</v>
      </c>
      <c r="U123" s="31">
        <f t="shared" si="65"/>
        <v>209.97254999999998</v>
      </c>
      <c r="V123" s="31">
        <f t="shared" si="56"/>
        <v>-135.83938000000001</v>
      </c>
      <c r="W123" s="26">
        <f t="shared" si="57"/>
        <v>-0.64693875461340078</v>
      </c>
      <c r="X123" s="31">
        <f>X24+X48+X72+X96</f>
        <v>44.482829999999993</v>
      </c>
      <c r="Y123" s="31">
        <f t="shared" si="58"/>
        <v>29.65034</v>
      </c>
      <c r="Z123" s="27">
        <f t="shared" si="59"/>
        <v>0.66655696141634879</v>
      </c>
      <c r="AA123" s="3"/>
      <c r="AB123" s="32">
        <f>AB24+AB48+AB72+AB96</f>
        <v>44.482829999999993</v>
      </c>
      <c r="AC123" s="1"/>
      <c r="AD123" s="1"/>
      <c r="AE123" s="1"/>
      <c r="AF123" s="1"/>
      <c r="AG123" s="1"/>
      <c r="AH123" s="1"/>
      <c r="AI123" s="1"/>
    </row>
    <row r="124" spans="1:35" ht="14.25" hidden="1" outlineLevel="1" x14ac:dyDescent="0.2">
      <c r="A124" s="1"/>
      <c r="B124" s="33" t="s">
        <v>28</v>
      </c>
      <c r="C124" s="19"/>
      <c r="D124" s="30">
        <f t="shared" si="63"/>
        <v>607.00238999999999</v>
      </c>
      <c r="E124" s="31">
        <f t="shared" si="63"/>
        <v>585.11020000000008</v>
      </c>
      <c r="F124" s="31">
        <f t="shared" si="48"/>
        <v>21.892189999999914</v>
      </c>
      <c r="G124" s="26">
        <f t="shared" si="49"/>
        <v>3.7415498823982068E-2</v>
      </c>
      <c r="H124" s="31">
        <f>H25+H49+H73+H97</f>
        <v>448.93923568999992</v>
      </c>
      <c r="I124" s="31">
        <f t="shared" si="50"/>
        <v>158.06315431000007</v>
      </c>
      <c r="J124" s="27">
        <f t="shared" si="51"/>
        <v>0.35208139931691185</v>
      </c>
      <c r="K124" s="3"/>
      <c r="L124" s="30">
        <f t="shared" si="64"/>
        <v>1400.9608800000001</v>
      </c>
      <c r="M124" s="31">
        <f t="shared" si="64"/>
        <v>1181.7115900000001</v>
      </c>
      <c r="N124" s="31">
        <f t="shared" si="52"/>
        <v>219.24928999999997</v>
      </c>
      <c r="O124" s="26">
        <f t="shared" si="53"/>
        <v>0.18553536400535764</v>
      </c>
      <c r="P124" s="31">
        <f>P25+P49+P73+P97</f>
        <v>1122.7898675599999</v>
      </c>
      <c r="Q124" s="31">
        <f t="shared" si="54"/>
        <v>278.17101244000014</v>
      </c>
      <c r="R124" s="27">
        <f t="shared" si="55"/>
        <v>0.2477498421360978</v>
      </c>
      <c r="S124" s="3"/>
      <c r="T124" s="30">
        <f t="shared" si="65"/>
        <v>3117.5159899999999</v>
      </c>
      <c r="U124" s="31">
        <f t="shared" si="65"/>
        <v>2628.5689700000003</v>
      </c>
      <c r="V124" s="31">
        <f t="shared" si="56"/>
        <v>488.94701999999961</v>
      </c>
      <c r="W124" s="26">
        <f t="shared" si="57"/>
        <v>0.18601262724333217</v>
      </c>
      <c r="X124" s="31">
        <f>X25+X49+X73+X97</f>
        <v>2839.3449775600002</v>
      </c>
      <c r="Y124" s="31">
        <f t="shared" si="58"/>
        <v>278.17101243999969</v>
      </c>
      <c r="Z124" s="27">
        <f t="shared" si="59"/>
        <v>9.7970135590584984E-2</v>
      </c>
      <c r="AA124" s="3"/>
      <c r="AB124" s="32">
        <f>AB25+AB49+AB73+AB97</f>
        <v>7332.6958083300005</v>
      </c>
      <c r="AC124" s="1"/>
      <c r="AD124" s="1"/>
      <c r="AE124" s="1"/>
      <c r="AF124" s="1"/>
      <c r="AG124" s="1"/>
      <c r="AH124" s="1"/>
      <c r="AI124" s="1"/>
    </row>
    <row r="125" spans="1:35" ht="14.25" hidden="1" outlineLevel="1" x14ac:dyDescent="0.2">
      <c r="A125" s="1"/>
      <c r="B125" s="33" t="s">
        <v>29</v>
      </c>
      <c r="C125" s="19"/>
      <c r="D125" s="30">
        <f>SUM(D126:D127)</f>
        <v>2274.0556899999997</v>
      </c>
      <c r="E125" s="31">
        <f>SUM(E126:E127)</f>
        <v>4629.13411</v>
      </c>
      <c r="F125" s="31">
        <f t="shared" si="48"/>
        <v>-2355.0784200000003</v>
      </c>
      <c r="G125" s="26">
        <f t="shared" si="49"/>
        <v>-0.50875139152103765</v>
      </c>
      <c r="H125" s="31">
        <f>SUM(H126:H127)</f>
        <v>3664.5786806800006</v>
      </c>
      <c r="I125" s="31">
        <f t="shared" si="50"/>
        <v>-1390.5229906800009</v>
      </c>
      <c r="J125" s="27">
        <f t="shared" si="51"/>
        <v>-0.37944962077386069</v>
      </c>
      <c r="K125" s="3"/>
      <c r="L125" s="30">
        <f>SUM(L126:L127)</f>
        <v>6818.7445399999997</v>
      </c>
      <c r="M125" s="31">
        <f>SUM(M126:M127)</f>
        <v>11140.869129999999</v>
      </c>
      <c r="N125" s="31">
        <f t="shared" si="52"/>
        <v>-4322.1245899999994</v>
      </c>
      <c r="O125" s="26">
        <f t="shared" si="53"/>
        <v>-0.38795219112317136</v>
      </c>
      <c r="P125" s="31">
        <f>SUM(P126:P127)</f>
        <v>9539.1854508790002</v>
      </c>
      <c r="Q125" s="31">
        <f t="shared" si="54"/>
        <v>-2720.4409108790005</v>
      </c>
      <c r="R125" s="27">
        <f t="shared" si="55"/>
        <v>-0.28518587094124709</v>
      </c>
      <c r="S125" s="3"/>
      <c r="T125" s="30">
        <f>SUM(T126:T127)</f>
        <v>14415.16217</v>
      </c>
      <c r="U125" s="31">
        <f>SUM(U126:U127)</f>
        <v>21450.483109999997</v>
      </c>
      <c r="V125" s="31">
        <f t="shared" si="56"/>
        <v>-7035.3209399999978</v>
      </c>
      <c r="W125" s="26">
        <f t="shared" si="57"/>
        <v>-0.32797960325286113</v>
      </c>
      <c r="X125" s="31">
        <f>SUM(X126:X127)</f>
        <v>17135.603080878998</v>
      </c>
      <c r="Y125" s="31">
        <f t="shared" si="58"/>
        <v>-2720.4409108789987</v>
      </c>
      <c r="Z125" s="27">
        <f t="shared" si="59"/>
        <v>-0.15875956615233697</v>
      </c>
      <c r="AA125" s="3"/>
      <c r="AB125" s="32">
        <f>SUM(AB126:AB127)</f>
        <v>48211.037249808003</v>
      </c>
      <c r="AC125" s="1"/>
      <c r="AD125" s="1"/>
      <c r="AE125" s="1"/>
      <c r="AF125" s="1"/>
      <c r="AG125" s="1"/>
      <c r="AH125" s="1"/>
      <c r="AI125" s="1"/>
    </row>
    <row r="126" spans="1:35" ht="14.25" hidden="1" outlineLevel="2" x14ac:dyDescent="0.2">
      <c r="A126" s="1"/>
      <c r="B126" s="34" t="s">
        <v>30</v>
      </c>
      <c r="C126" s="19"/>
      <c r="D126" s="30">
        <f>D27+D51+D75+D99</f>
        <v>2274.0556899999997</v>
      </c>
      <c r="E126" s="31">
        <f>E27+E51+E75+E99</f>
        <v>4629.13411</v>
      </c>
      <c r="F126" s="31">
        <f t="shared" si="48"/>
        <v>-2355.0784200000003</v>
      </c>
      <c r="G126" s="26">
        <f t="shared" si="49"/>
        <v>-0.50875139152103765</v>
      </c>
      <c r="H126" s="31">
        <f>H27+H51+H75+H99</f>
        <v>3664.5786806800006</v>
      </c>
      <c r="I126" s="31">
        <f t="shared" si="50"/>
        <v>-1390.5229906800009</v>
      </c>
      <c r="J126" s="27">
        <f t="shared" si="51"/>
        <v>-0.37944962077386069</v>
      </c>
      <c r="K126" s="3"/>
      <c r="L126" s="30">
        <f>L27+L51+L75+L99</f>
        <v>6818.7445399999997</v>
      </c>
      <c r="M126" s="31">
        <f>M27+M51+M75+M99</f>
        <v>11140.869129999999</v>
      </c>
      <c r="N126" s="31">
        <f t="shared" si="52"/>
        <v>-4322.1245899999994</v>
      </c>
      <c r="O126" s="26">
        <f t="shared" si="53"/>
        <v>-0.38795219112317136</v>
      </c>
      <c r="P126" s="31">
        <f>P27+P51+P75+P99</f>
        <v>9539.1854508790002</v>
      </c>
      <c r="Q126" s="31">
        <f t="shared" si="54"/>
        <v>-2720.4409108790005</v>
      </c>
      <c r="R126" s="27">
        <f t="shared" si="55"/>
        <v>-0.28518587094124709</v>
      </c>
      <c r="S126" s="3"/>
      <c r="T126" s="30">
        <f>T27+T51+T75+T99</f>
        <v>14415.16217</v>
      </c>
      <c r="U126" s="31">
        <f>U27+U51+U75+U99</f>
        <v>21450.483109999997</v>
      </c>
      <c r="V126" s="31">
        <f t="shared" si="56"/>
        <v>-7035.3209399999978</v>
      </c>
      <c r="W126" s="26">
        <f t="shared" si="57"/>
        <v>-0.32797960325286113</v>
      </c>
      <c r="X126" s="31">
        <f>X27+X51+X75+X99</f>
        <v>17135.603080878998</v>
      </c>
      <c r="Y126" s="31">
        <f t="shared" si="58"/>
        <v>-2720.4409108789987</v>
      </c>
      <c r="Z126" s="27">
        <f t="shared" si="59"/>
        <v>-0.15875956615233697</v>
      </c>
      <c r="AA126" s="3"/>
      <c r="AB126" s="32">
        <f>AB27+AB51+AB75+AB99</f>
        <v>48211.037249808003</v>
      </c>
      <c r="AC126" s="1"/>
      <c r="AD126" s="1"/>
      <c r="AE126" s="1"/>
      <c r="AF126" s="1"/>
      <c r="AG126" s="1"/>
      <c r="AH126" s="1"/>
      <c r="AI126" s="1"/>
    </row>
    <row r="127" spans="1:35" s="35" customFormat="1" ht="14.25" hidden="1" outlineLevel="2" x14ac:dyDescent="0.2">
      <c r="B127" s="34" t="s">
        <v>31</v>
      </c>
      <c r="C127" s="19"/>
      <c r="D127" s="30">
        <f>D28+D52+D76+D100</f>
        <v>0</v>
      </c>
      <c r="E127" s="31">
        <f>E28+E52+E76+E100</f>
        <v>0</v>
      </c>
      <c r="F127" s="31">
        <f t="shared" si="48"/>
        <v>0</v>
      </c>
      <c r="G127" s="26" t="str">
        <f t="shared" si="49"/>
        <v>N/A</v>
      </c>
      <c r="H127" s="31">
        <f>H28+H52+H76+H100</f>
        <v>0</v>
      </c>
      <c r="I127" s="31">
        <f t="shared" si="50"/>
        <v>0</v>
      </c>
      <c r="J127" s="27" t="str">
        <f t="shared" si="51"/>
        <v>N/A</v>
      </c>
      <c r="K127" s="19"/>
      <c r="L127" s="30">
        <f>L28+L52+L76+L100</f>
        <v>0</v>
      </c>
      <c r="M127" s="31">
        <f>M28+M52+M76+M100</f>
        <v>0</v>
      </c>
      <c r="N127" s="31">
        <f t="shared" si="52"/>
        <v>0</v>
      </c>
      <c r="O127" s="26" t="str">
        <f t="shared" si="53"/>
        <v>N/A</v>
      </c>
      <c r="P127" s="31">
        <f>P28+P52+P76+P100</f>
        <v>0</v>
      </c>
      <c r="Q127" s="31">
        <f t="shared" si="54"/>
        <v>0</v>
      </c>
      <c r="R127" s="27" t="str">
        <f t="shared" si="55"/>
        <v>N/A</v>
      </c>
      <c r="S127" s="19"/>
      <c r="T127" s="30">
        <f>T28+T52+T76+T100</f>
        <v>0</v>
      </c>
      <c r="U127" s="31">
        <f>U28+U52+U76+U100</f>
        <v>0</v>
      </c>
      <c r="V127" s="31">
        <f t="shared" si="56"/>
        <v>0</v>
      </c>
      <c r="W127" s="26" t="str">
        <f t="shared" si="57"/>
        <v>N/A</v>
      </c>
      <c r="X127" s="31">
        <f>X28+X52+X76+X100</f>
        <v>0</v>
      </c>
      <c r="Y127" s="31">
        <f t="shared" si="58"/>
        <v>0</v>
      </c>
      <c r="Z127" s="27" t="str">
        <f t="shared" si="59"/>
        <v>N/A</v>
      </c>
      <c r="AA127" s="19"/>
      <c r="AB127" s="32">
        <f>AB28+AB52+AB76+AB100</f>
        <v>0</v>
      </c>
    </row>
    <row r="128" spans="1:35" s="35" customFormat="1" ht="5.0999999999999996" hidden="1" customHeight="1" outlineLevel="1" x14ac:dyDescent="0.2">
      <c r="B128" s="34"/>
      <c r="C128" s="19"/>
      <c r="D128" s="36"/>
      <c r="E128" s="37"/>
      <c r="F128" s="37"/>
      <c r="G128" s="38"/>
      <c r="H128" s="37"/>
      <c r="I128" s="37"/>
      <c r="J128" s="39"/>
      <c r="K128" s="19"/>
      <c r="L128" s="36"/>
      <c r="M128" s="37"/>
      <c r="N128" s="37"/>
      <c r="O128" s="38"/>
      <c r="P128" s="37"/>
      <c r="Q128" s="37"/>
      <c r="R128" s="39"/>
      <c r="S128" s="19"/>
      <c r="T128" s="36"/>
      <c r="U128" s="37"/>
      <c r="V128" s="37"/>
      <c r="W128" s="38"/>
      <c r="X128" s="37"/>
      <c r="Y128" s="37"/>
      <c r="Z128" s="39"/>
      <c r="AA128" s="19"/>
      <c r="AB128" s="40"/>
    </row>
    <row r="129" spans="1:35" ht="14.25" collapsed="1" x14ac:dyDescent="0.2">
      <c r="A129" s="1"/>
      <c r="B129" s="19" t="s">
        <v>32</v>
      </c>
      <c r="C129" s="19"/>
      <c r="D129" s="30">
        <f>SUM(D112:D114,D117,D120:D121)</f>
        <v>23078.124440000003</v>
      </c>
      <c r="E129" s="31">
        <f>SUM(E112:E114,E117,E120:E121)</f>
        <v>31840.45319</v>
      </c>
      <c r="F129" s="31">
        <f>D129-E129</f>
        <v>-8762.3287499999969</v>
      </c>
      <c r="G129" s="26">
        <f>IF(ISERROR(F129/E129),"N/A",IF(ABS(F129/E129)&gt;5,"N/A",F129/E129))</f>
        <v>-0.27519485032807089</v>
      </c>
      <c r="H129" s="31">
        <f>SUM(H112:H114,H117,H120:H121)</f>
        <v>24938.519714333997</v>
      </c>
      <c r="I129" s="31">
        <f>D129-H129</f>
        <v>-1860.3952743339942</v>
      </c>
      <c r="J129" s="27">
        <f>IF(ISERROR(I129/H129),"N/A",IF(ABS(I129/H129)&gt;5,"N/A",I129/H129))</f>
        <v>-7.4599266341565912E-2</v>
      </c>
      <c r="K129" s="3"/>
      <c r="L129" s="30">
        <f>SUM(L112:L114,L117,L120:L121)</f>
        <v>55702.272709999997</v>
      </c>
      <c r="M129" s="31">
        <f>SUM(M112:M114,M117,M120:M121)</f>
        <v>82120.530830000003</v>
      </c>
      <c r="N129" s="31">
        <f>L129-M129</f>
        <v>-26418.258120000006</v>
      </c>
      <c r="O129" s="26">
        <f>IF(ISERROR(N129/M129),"N/A",IF(ABS(N129/M129)&gt;5,"N/A",N129/M129))</f>
        <v>-0.32170101499574055</v>
      </c>
      <c r="P129" s="31">
        <f>SUM(P112:P114,P117,P120:P121)</f>
        <v>58319.502833391001</v>
      </c>
      <c r="Q129" s="31">
        <f>L129-P129</f>
        <v>-2617.2301233910039</v>
      </c>
      <c r="R129" s="27">
        <f>IF(ISERROR(Q129/P129),"N/A",IF(ABS(Q129/P129)&gt;5,"N/A",Q129/P129))</f>
        <v>-4.4877442300356875E-2</v>
      </c>
      <c r="S129" s="3"/>
      <c r="T129" s="30">
        <f>SUM(T112:T114,T117,T120:T121)</f>
        <v>139615.96049</v>
      </c>
      <c r="U129" s="31">
        <f>SUM(U112:U114,U117,U120:U121)</f>
        <v>157245.15648999999</v>
      </c>
      <c r="V129" s="31">
        <f>T129-U129</f>
        <v>-17629.195999999996</v>
      </c>
      <c r="W129" s="26">
        <f>IF(ISERROR(V129/U129),"N/A",IF(ABS(V129/U129)&gt;5,"N/A",V129/U129))</f>
        <v>-0.11211280775520183</v>
      </c>
      <c r="X129" s="31">
        <f>SUM(X112:X114,X117,X120:X121)</f>
        <v>142233.19061339099</v>
      </c>
      <c r="Y129" s="31">
        <f>T129-X129</f>
        <v>-2617.2301233909966</v>
      </c>
      <c r="Z129" s="27">
        <f>IF(ISERROR(Y129/X129),"N/A",IF(ABS(Y129/X129)&gt;5,"N/A",Y129/X129))</f>
        <v>-1.8400980193891463E-2</v>
      </c>
      <c r="AA129" s="3"/>
      <c r="AB129" s="32">
        <f>SUM(AB112:AB114,AB117,AB120:AB121)</f>
        <v>364361.26831834402</v>
      </c>
      <c r="AC129" s="1"/>
      <c r="AD129" s="1"/>
      <c r="AE129" s="1"/>
      <c r="AF129" s="1"/>
      <c r="AG129" s="1"/>
      <c r="AH129" s="1"/>
      <c r="AI129" s="1"/>
    </row>
    <row r="130" spans="1:35" ht="14.25" x14ac:dyDescent="0.2">
      <c r="A130" s="1"/>
      <c r="B130" s="34"/>
      <c r="C130" s="19"/>
      <c r="D130" s="30"/>
      <c r="E130" s="31"/>
      <c r="F130" s="31"/>
      <c r="G130" s="26"/>
      <c r="H130" s="31"/>
      <c r="I130" s="31"/>
      <c r="J130" s="27"/>
      <c r="K130" s="3"/>
      <c r="L130" s="30"/>
      <c r="M130" s="31"/>
      <c r="N130" s="31"/>
      <c r="O130" s="26"/>
      <c r="P130" s="31"/>
      <c r="Q130" s="31"/>
      <c r="R130" s="27"/>
      <c r="S130" s="3"/>
      <c r="T130" s="30"/>
      <c r="U130" s="31"/>
      <c r="V130" s="31"/>
      <c r="W130" s="26"/>
      <c r="X130" s="31"/>
      <c r="Y130" s="31"/>
      <c r="Z130" s="27"/>
      <c r="AA130" s="3"/>
      <c r="AB130" s="32"/>
      <c r="AC130" s="1"/>
      <c r="AD130" s="1"/>
      <c r="AE130" s="1"/>
      <c r="AF130" s="1"/>
      <c r="AG130" s="1"/>
      <c r="AH130" s="1"/>
      <c r="AI130" s="1"/>
    </row>
    <row r="131" spans="1:35" ht="14.25" x14ac:dyDescent="0.2">
      <c r="A131" s="1"/>
      <c r="B131" s="29" t="s">
        <v>33</v>
      </c>
      <c r="C131" s="19"/>
      <c r="D131" s="30">
        <f>D32+D56+D80+D104</f>
        <v>4700.7258599999996</v>
      </c>
      <c r="E131" s="31">
        <f>E32+E56+E80+E104</f>
        <v>6360.4421499999999</v>
      </c>
      <c r="F131" s="31">
        <f>D131-E131</f>
        <v>-1659.7162900000003</v>
      </c>
      <c r="G131" s="26">
        <f>IF(ISERROR(F131/E131),"N/A",IF(ABS(F131/E131)&gt;5,"N/A",F131/E131))</f>
        <v>-0.26094353990783492</v>
      </c>
      <c r="H131" s="31">
        <f>H32+H56+H80+H104</f>
        <v>5154.5934498500001</v>
      </c>
      <c r="I131" s="31">
        <f>D131-H131</f>
        <v>-453.86758985000051</v>
      </c>
      <c r="J131" s="27">
        <f>IF(ISERROR(I131/H131),"N/A",IF(ABS(I131/H131)&gt;5,"N/A",I131/H131))</f>
        <v>-8.8051093508297568E-2</v>
      </c>
      <c r="K131" s="3"/>
      <c r="L131" s="30">
        <f>L32+L56+L80+L104</f>
        <v>11105.41879</v>
      </c>
      <c r="M131" s="31">
        <f>M32+M56+M80+M104</f>
        <v>17489.052670000001</v>
      </c>
      <c r="N131" s="31">
        <f>L131-M131</f>
        <v>-6383.6338800000012</v>
      </c>
      <c r="O131" s="26">
        <f>IF(ISERROR(N131/M131),"N/A",IF(ABS(N131/M131)&gt;5,"N/A",N131/M131))</f>
        <v>-0.36500741352047178</v>
      </c>
      <c r="P131" s="31">
        <f>P32+P56+P80+P104</f>
        <v>12241.53375812</v>
      </c>
      <c r="Q131" s="31">
        <f>L131-P131</f>
        <v>-1136.1149681200004</v>
      </c>
      <c r="R131" s="27">
        <f>IF(ISERROR(Q131/P131),"N/A",IF(ABS(Q131/P131)&gt;5,"N/A",Q131/P131))</f>
        <v>-9.2808220813539621E-2</v>
      </c>
      <c r="S131" s="3"/>
      <c r="T131" s="30">
        <f>T32+T56+T80+T104</f>
        <v>25501.300769999998</v>
      </c>
      <c r="U131" s="31">
        <f>U32+U56+U80+U104</f>
        <v>28547.238519999995</v>
      </c>
      <c r="V131" s="31">
        <f>T131-U131</f>
        <v>-3045.9377499999973</v>
      </c>
      <c r="W131" s="26">
        <f>IF(ISERROR(V131/U131),"N/A",IF(ABS(V131/U131)&gt;5,"N/A",V131/U131))</f>
        <v>-0.10669815743705069</v>
      </c>
      <c r="X131" s="31">
        <f>X32+X56+X80+X104</f>
        <v>26637.415738120002</v>
      </c>
      <c r="Y131" s="31">
        <f>T131-X131</f>
        <v>-1136.1149681200041</v>
      </c>
      <c r="Z131" s="27">
        <f>IF(ISERROR(Y131/X131),"N/A",IF(ABS(Y131/X131)&gt;5,"N/A",Y131/X131))</f>
        <v>-4.2651095710239798E-2</v>
      </c>
      <c r="AA131" s="3"/>
      <c r="AB131" s="32">
        <f>AB32+AB56+AB80+AB104</f>
        <v>76584.891302429984</v>
      </c>
      <c r="AC131" s="1"/>
      <c r="AD131" s="1"/>
      <c r="AE131" s="1"/>
      <c r="AF131" s="1"/>
      <c r="AG131" s="1"/>
      <c r="AH131" s="1"/>
      <c r="AI131" s="1"/>
    </row>
    <row r="132" spans="1:35" ht="14.25" x14ac:dyDescent="0.2">
      <c r="A132" s="1"/>
      <c r="B132" s="34"/>
      <c r="C132" s="19"/>
      <c r="D132" s="30"/>
      <c r="E132" s="31"/>
      <c r="F132" s="31"/>
      <c r="G132" s="26"/>
      <c r="H132" s="31"/>
      <c r="I132" s="31"/>
      <c r="J132" s="27"/>
      <c r="K132" s="3"/>
      <c r="L132" s="30"/>
      <c r="M132" s="31"/>
      <c r="N132" s="31"/>
      <c r="O132" s="26"/>
      <c r="P132" s="31"/>
      <c r="Q132" s="31"/>
      <c r="R132" s="27"/>
      <c r="S132" s="3"/>
      <c r="T132" s="30"/>
      <c r="U132" s="31"/>
      <c r="V132" s="31"/>
      <c r="W132" s="26"/>
      <c r="X132" s="31"/>
      <c r="Y132" s="31"/>
      <c r="Z132" s="27"/>
      <c r="AA132" s="3"/>
      <c r="AB132" s="32"/>
      <c r="AC132" s="1"/>
      <c r="AD132" s="1"/>
      <c r="AE132" s="1"/>
      <c r="AF132" s="1"/>
      <c r="AG132" s="1"/>
      <c r="AH132" s="1"/>
      <c r="AI132" s="1"/>
    </row>
    <row r="133" spans="1:35" ht="15.75" thickBot="1" x14ac:dyDescent="0.3">
      <c r="A133" s="1"/>
      <c r="B133" s="41" t="s">
        <v>38</v>
      </c>
      <c r="C133" s="19"/>
      <c r="D133" s="48">
        <f>SUM(D129:D132)</f>
        <v>27778.850300000002</v>
      </c>
      <c r="E133" s="49">
        <f>SUM(E129:E132)</f>
        <v>38200.895340000003</v>
      </c>
      <c r="F133" s="49">
        <f>D133-E133</f>
        <v>-10422.045040000001</v>
      </c>
      <c r="G133" s="50">
        <f>IF(ISERROR(F133/E133),"N/A",IF(ABS(F133/E133)&gt;5,"N/A",F133/E133))</f>
        <v>-0.27282200972622545</v>
      </c>
      <c r="H133" s="49">
        <f>SUM(H129:H132)</f>
        <v>30093.113164183997</v>
      </c>
      <c r="I133" s="49">
        <f>D133-H133</f>
        <v>-2314.2628641839947</v>
      </c>
      <c r="J133" s="51">
        <f>IF(ISERROR(I133/H133),"N/A",IF(ABS(I133/H133)&gt;5,"N/A",I133/H133))</f>
        <v>-7.6903404827466215E-2</v>
      </c>
      <c r="K133" s="3"/>
      <c r="L133" s="48">
        <f>SUM(L129:L132)</f>
        <v>66807.691500000001</v>
      </c>
      <c r="M133" s="49">
        <f>SUM(M129:M132)</f>
        <v>99609.583500000008</v>
      </c>
      <c r="N133" s="49">
        <f>L133-M133</f>
        <v>-32801.892000000007</v>
      </c>
      <c r="O133" s="50">
        <f>IF(ISERROR(N133/M133),"N/A",IF(ABS(N133/M133)&gt;5,"N/A",N133/M133))</f>
        <v>-0.32930457941328511</v>
      </c>
      <c r="P133" s="49">
        <f>SUM(P129:P132)</f>
        <v>70561.036591511001</v>
      </c>
      <c r="Q133" s="49">
        <f>L133-P133</f>
        <v>-3753.3450915110006</v>
      </c>
      <c r="R133" s="51">
        <f>IF(ISERROR(Q133/P133),"N/A",IF(ABS(Q133/P133)&gt;5,"N/A",Q133/P133))</f>
        <v>-5.3192884810348083E-2</v>
      </c>
      <c r="S133" s="3"/>
      <c r="T133" s="48">
        <f>SUM(T129:T132)</f>
        <v>165117.26126</v>
      </c>
      <c r="U133" s="49">
        <f>SUM(U129:U132)</f>
        <v>185792.39500999998</v>
      </c>
      <c r="V133" s="49">
        <f>T133-U133</f>
        <v>-20675.133749999979</v>
      </c>
      <c r="W133" s="50">
        <f>IF(ISERROR(V133/U133),"N/A",IF(ABS(V133/U133)&gt;5,"N/A",V133/U133))</f>
        <v>-0.1112808398260175</v>
      </c>
      <c r="X133" s="49">
        <f>SUM(X129:X132)</f>
        <v>168870.606351511</v>
      </c>
      <c r="Y133" s="49">
        <f>T133-X133</f>
        <v>-3753.3450915110006</v>
      </c>
      <c r="Z133" s="51">
        <f>IF(ISERROR(Y133/X133),"N/A",IF(ABS(Y133/X133)&gt;5,"N/A",Y133/X133))</f>
        <v>-2.2226159854594595E-2</v>
      </c>
      <c r="AA133" s="3"/>
      <c r="AB133" s="52">
        <f>SUM(AB129:AB132)</f>
        <v>440946.15962077398</v>
      </c>
      <c r="AC133" s="1"/>
      <c r="AD133" s="1"/>
      <c r="AE133" s="1"/>
      <c r="AF133" s="1"/>
      <c r="AG133" s="1"/>
      <c r="AH133" s="1"/>
      <c r="AI133" s="1"/>
    </row>
    <row r="134" spans="1:35" s="35" customFormat="1" ht="15.75" thickTop="1" x14ac:dyDescent="0.25">
      <c r="B134" s="41"/>
      <c r="C134" s="19"/>
      <c r="D134" s="31"/>
      <c r="E134" s="31"/>
      <c r="F134" s="31"/>
      <c r="G134" s="26"/>
      <c r="H134" s="31"/>
      <c r="I134" s="31"/>
      <c r="J134" s="26"/>
      <c r="K134" s="19"/>
      <c r="L134" s="31"/>
      <c r="M134" s="31"/>
      <c r="N134" s="31"/>
      <c r="O134" s="26"/>
      <c r="P134" s="31"/>
      <c r="Q134" s="31"/>
      <c r="R134" s="26"/>
      <c r="S134" s="19"/>
      <c r="T134" s="31"/>
      <c r="U134" s="31"/>
      <c r="V134" s="31"/>
      <c r="W134" s="26"/>
      <c r="X134" s="31"/>
      <c r="Y134" s="31"/>
      <c r="Z134" s="26"/>
      <c r="AA134" s="19"/>
      <c r="AB134" s="31"/>
    </row>
    <row r="135" spans="1:35" s="35" customFormat="1" x14ac:dyDescent="0.25">
      <c r="B135" s="41"/>
      <c r="C135" s="19"/>
      <c r="D135" s="31"/>
      <c r="E135" s="31"/>
      <c r="F135" s="31"/>
      <c r="G135" s="26"/>
      <c r="H135" s="31"/>
      <c r="I135" s="31"/>
      <c r="J135" s="26"/>
      <c r="K135" s="19"/>
      <c r="L135" s="31"/>
      <c r="M135" s="31"/>
      <c r="N135" s="31"/>
      <c r="O135" s="26"/>
      <c r="P135" s="31"/>
      <c r="Q135" s="31"/>
      <c r="R135" s="26"/>
      <c r="S135" s="19"/>
      <c r="T135" s="31"/>
      <c r="U135" s="31"/>
      <c r="V135" s="31"/>
      <c r="W135" s="26"/>
      <c r="X135" s="31"/>
      <c r="Y135" s="31"/>
      <c r="Z135" s="26"/>
      <c r="AA135" s="19"/>
      <c r="AB135" s="31"/>
    </row>
    <row r="136" spans="1:35" s="35" customFormat="1" x14ac:dyDescent="0.25">
      <c r="B136" s="41"/>
      <c r="C136" s="19"/>
      <c r="D136" s="31"/>
      <c r="E136" s="31"/>
      <c r="F136" s="31"/>
      <c r="G136" s="26"/>
      <c r="H136" s="31"/>
      <c r="I136" s="31"/>
      <c r="J136" s="26"/>
      <c r="K136" s="19"/>
      <c r="L136" s="31"/>
      <c r="M136" s="31"/>
      <c r="N136" s="31"/>
      <c r="O136" s="26"/>
      <c r="P136" s="31"/>
      <c r="Q136" s="31"/>
      <c r="R136" s="26"/>
      <c r="S136" s="19"/>
      <c r="T136" s="31"/>
      <c r="U136" s="31"/>
      <c r="V136" s="31"/>
      <c r="W136" s="26"/>
      <c r="X136" s="31"/>
      <c r="Y136" s="31"/>
      <c r="Z136" s="26"/>
      <c r="AA136" s="19"/>
      <c r="AB136" s="31"/>
    </row>
    <row r="137" spans="1:35" s="35" customFormat="1" x14ac:dyDescent="0.25">
      <c r="B137" s="41"/>
      <c r="C137" s="19"/>
      <c r="D137" s="31"/>
      <c r="E137" s="31"/>
      <c r="F137" s="31"/>
      <c r="G137" s="26"/>
      <c r="H137" s="31"/>
      <c r="I137" s="31"/>
      <c r="J137" s="26"/>
      <c r="K137" s="19"/>
      <c r="L137" s="31"/>
      <c r="M137" s="31"/>
      <c r="N137" s="31"/>
      <c r="O137" s="26"/>
      <c r="P137" s="31"/>
      <c r="Q137" s="31"/>
      <c r="R137" s="26"/>
      <c r="S137" s="19"/>
      <c r="T137" s="31"/>
      <c r="U137" s="31"/>
      <c r="V137" s="31"/>
      <c r="W137" s="26"/>
      <c r="X137" s="31"/>
      <c r="Y137" s="31"/>
      <c r="Z137" s="26"/>
      <c r="AA137" s="19"/>
      <c r="AB137" s="31"/>
    </row>
    <row r="138" spans="1:35" s="35" customFormat="1" x14ac:dyDescent="0.25">
      <c r="B138" s="41"/>
      <c r="C138" s="19"/>
      <c r="D138" s="31"/>
      <c r="E138" s="31"/>
      <c r="F138" s="31"/>
      <c r="G138" s="26"/>
      <c r="H138" s="31"/>
      <c r="I138" s="31"/>
      <c r="J138" s="26"/>
      <c r="K138" s="19"/>
      <c r="L138" s="31"/>
      <c r="M138" s="31"/>
      <c r="N138" s="31"/>
      <c r="O138" s="26"/>
      <c r="P138" s="31"/>
      <c r="Q138" s="31"/>
      <c r="R138" s="26"/>
      <c r="S138" s="19"/>
      <c r="T138" s="31"/>
      <c r="U138" s="31"/>
      <c r="V138" s="31"/>
      <c r="W138" s="26"/>
      <c r="X138" s="31"/>
      <c r="Y138" s="31"/>
      <c r="Z138" s="26"/>
      <c r="AA138" s="19"/>
      <c r="AB138" s="31"/>
    </row>
    <row r="139" spans="1:35" s="35" customFormat="1" ht="14.25" x14ac:dyDescent="0.2">
      <c r="B139" s="19"/>
      <c r="C139" s="19"/>
      <c r="D139" s="31"/>
      <c r="E139" s="31"/>
      <c r="F139" s="31"/>
      <c r="G139" s="26"/>
      <c r="H139" s="31"/>
      <c r="I139" s="31"/>
      <c r="J139" s="26"/>
      <c r="K139" s="19"/>
      <c r="L139" s="31"/>
      <c r="M139" s="31"/>
      <c r="N139" s="31"/>
      <c r="O139" s="26"/>
      <c r="P139" s="31"/>
      <c r="Q139" s="31"/>
      <c r="R139" s="26"/>
      <c r="S139" s="19"/>
      <c r="T139" s="31"/>
      <c r="U139" s="31"/>
      <c r="V139" s="31"/>
      <c r="W139" s="26"/>
      <c r="X139" s="31"/>
      <c r="Y139" s="31"/>
      <c r="Z139" s="26"/>
      <c r="AA139" s="19"/>
      <c r="AB139" s="31"/>
    </row>
    <row r="140" spans="1:35" s="35" customFormat="1" ht="14.25" x14ac:dyDescent="0.2">
      <c r="B140" s="19"/>
      <c r="C140" s="19"/>
      <c r="D140" s="31"/>
      <c r="E140" s="31"/>
      <c r="F140" s="31"/>
      <c r="G140" s="26"/>
      <c r="H140" s="31"/>
      <c r="I140" s="31"/>
      <c r="J140" s="26"/>
      <c r="K140" s="19"/>
      <c r="L140" s="31"/>
      <c r="M140" s="31"/>
      <c r="N140" s="31"/>
      <c r="O140" s="26"/>
      <c r="P140" s="31"/>
      <c r="Q140" s="31"/>
      <c r="R140" s="26"/>
      <c r="S140" s="19"/>
      <c r="T140" s="31"/>
      <c r="U140" s="31"/>
      <c r="V140" s="31"/>
      <c r="W140" s="26"/>
      <c r="X140" s="31"/>
      <c r="Y140" s="31"/>
      <c r="Z140" s="26"/>
      <c r="AA140" s="19"/>
      <c r="AB140" s="31"/>
    </row>
    <row r="141" spans="1:35" s="35" customFormat="1" x14ac:dyDescent="0.25">
      <c r="A141" s="53"/>
      <c r="J141" s="54"/>
      <c r="K141" s="53"/>
      <c r="R141" s="54"/>
      <c r="S141" s="53"/>
      <c r="Z141" s="54"/>
      <c r="AA141" s="53"/>
      <c r="AC141" s="53"/>
      <c r="AD141" s="53"/>
      <c r="AE141" s="53"/>
      <c r="AF141" s="53"/>
      <c r="AG141" s="53"/>
      <c r="AH141" s="53"/>
      <c r="AI141" s="53"/>
    </row>
    <row r="142" spans="1:35" s="35" customFormat="1" x14ac:dyDescent="0.25">
      <c r="B142" s="55"/>
      <c r="D142" s="56"/>
      <c r="E142" s="56"/>
      <c r="F142" s="56"/>
      <c r="G142" s="56"/>
      <c r="H142" s="56"/>
      <c r="I142" s="57"/>
      <c r="J142" s="58"/>
      <c r="L142" s="56"/>
      <c r="M142" s="56"/>
      <c r="N142" s="56"/>
      <c r="O142" s="56"/>
      <c r="P142" s="56"/>
      <c r="Q142" s="57"/>
      <c r="R142" s="58"/>
      <c r="T142" s="56"/>
      <c r="U142" s="56"/>
      <c r="V142" s="56"/>
      <c r="W142" s="56"/>
      <c r="X142" s="56"/>
      <c r="Y142" s="57"/>
      <c r="Z142" s="58"/>
      <c r="AB142" s="56"/>
    </row>
    <row r="143" spans="1:35" s="35" customFormat="1" x14ac:dyDescent="0.25">
      <c r="B143" s="55"/>
      <c r="D143" s="56"/>
      <c r="E143" s="56"/>
      <c r="F143" s="56"/>
      <c r="G143" s="56"/>
      <c r="H143" s="56"/>
      <c r="I143" s="57"/>
      <c r="J143" s="58"/>
      <c r="L143" s="56"/>
      <c r="M143" s="56"/>
      <c r="N143" s="56"/>
      <c r="O143" s="56"/>
      <c r="P143" s="56"/>
      <c r="Q143" s="57"/>
      <c r="R143" s="58"/>
      <c r="T143" s="56"/>
      <c r="U143" s="56"/>
      <c r="V143" s="56"/>
      <c r="W143" s="56"/>
      <c r="X143" s="56"/>
      <c r="Y143" s="57"/>
      <c r="Z143" s="58"/>
      <c r="AB143" s="56"/>
    </row>
    <row r="144" spans="1:35" s="35" customFormat="1" x14ac:dyDescent="0.25">
      <c r="B144" s="55"/>
      <c r="D144" s="56"/>
      <c r="E144" s="56"/>
      <c r="F144" s="56"/>
      <c r="G144" s="56"/>
      <c r="H144" s="56"/>
      <c r="I144" s="57"/>
      <c r="J144" s="58"/>
      <c r="L144" s="56"/>
      <c r="M144" s="56"/>
      <c r="N144" s="56"/>
      <c r="O144" s="56"/>
      <c r="P144" s="56"/>
      <c r="Q144" s="57"/>
      <c r="R144" s="58"/>
      <c r="T144" s="56"/>
      <c r="U144" s="56"/>
      <c r="V144" s="56"/>
      <c r="W144" s="56"/>
      <c r="X144" s="56"/>
      <c r="Y144" s="57"/>
      <c r="Z144" s="58"/>
      <c r="AB144" s="56"/>
    </row>
    <row r="145" spans="2:28" s="35" customFormat="1" x14ac:dyDescent="0.25">
      <c r="B145" s="55"/>
      <c r="D145" s="56"/>
      <c r="E145" s="56"/>
      <c r="F145" s="56"/>
      <c r="G145" s="56"/>
      <c r="H145" s="56"/>
      <c r="I145" s="57"/>
      <c r="J145" s="58"/>
      <c r="L145" s="56"/>
      <c r="M145" s="56"/>
      <c r="N145" s="56"/>
      <c r="O145" s="56"/>
      <c r="P145" s="56"/>
      <c r="Q145" s="57"/>
      <c r="R145" s="58"/>
      <c r="T145" s="56"/>
      <c r="U145" s="56"/>
      <c r="V145" s="56"/>
      <c r="W145" s="56"/>
      <c r="X145" s="56"/>
      <c r="Y145" s="57"/>
      <c r="Z145" s="58"/>
      <c r="AB145" s="56"/>
    </row>
    <row r="146" spans="2:28" s="35" customFormat="1" ht="14.25" hidden="1" outlineLevel="1" x14ac:dyDescent="0.2">
      <c r="D146" s="56"/>
      <c r="E146" s="56"/>
      <c r="F146" s="56"/>
      <c r="G146" s="56"/>
      <c r="H146" s="56"/>
      <c r="I146" s="57"/>
      <c r="J146" s="58"/>
      <c r="L146" s="56"/>
      <c r="M146" s="56"/>
      <c r="N146" s="56"/>
      <c r="O146" s="56"/>
      <c r="P146" s="56"/>
      <c r="Q146" s="57"/>
      <c r="R146" s="58"/>
      <c r="T146" s="56"/>
      <c r="U146" s="56"/>
      <c r="V146" s="56"/>
      <c r="W146" s="56"/>
      <c r="X146" s="56"/>
      <c r="Y146" s="57"/>
      <c r="Z146" s="58"/>
      <c r="AB146" s="56"/>
    </row>
    <row r="147" spans="2:28" s="63" customFormat="1" ht="11.25" hidden="1" outlineLevel="1" x14ac:dyDescent="0.2">
      <c r="B147" s="59" t="s">
        <v>39</v>
      </c>
      <c r="C147" s="59"/>
      <c r="D147" s="60"/>
      <c r="E147" s="61"/>
      <c r="F147" s="61"/>
      <c r="G147" s="61"/>
      <c r="H147" s="61"/>
      <c r="I147" s="61"/>
      <c r="J147" s="62"/>
      <c r="L147" s="60"/>
      <c r="M147" s="61"/>
      <c r="N147" s="61"/>
      <c r="O147" s="61"/>
      <c r="P147" s="61"/>
      <c r="Q147" s="61"/>
      <c r="R147" s="62"/>
      <c r="T147" s="60"/>
      <c r="U147" s="60"/>
      <c r="V147" s="61"/>
      <c r="W147" s="61"/>
      <c r="X147" s="61"/>
      <c r="Y147" s="61"/>
      <c r="Z147" s="62"/>
      <c r="AB147" s="64"/>
    </row>
    <row r="148" spans="2:28" s="63" customFormat="1" ht="11.25" hidden="1" outlineLevel="1" x14ac:dyDescent="0.2">
      <c r="B148" s="59" t="s">
        <v>40</v>
      </c>
      <c r="C148" s="59"/>
      <c r="D148" s="65">
        <f>-46563984.89/1000*-1</f>
        <v>46563.98489</v>
      </c>
      <c r="E148" s="65">
        <f>-52983511.25/1000*-1</f>
        <v>52983.511250000003</v>
      </c>
      <c r="F148" s="66"/>
      <c r="G148" s="66"/>
      <c r="H148" s="66">
        <f>-47604657.102001/1000*-1</f>
        <v>47604.657102000994</v>
      </c>
      <c r="I148" s="67"/>
      <c r="J148" s="68"/>
      <c r="L148" s="65">
        <f>-126230756.47/1000*-1</f>
        <v>126230.75646999999</v>
      </c>
      <c r="M148" s="65">
        <f>-141400575.43/1000*-1</f>
        <v>141400.57543</v>
      </c>
      <c r="N148" s="66"/>
      <c r="O148" s="66"/>
      <c r="P148" s="66">
        <f>-123529877.989836/1000*-1</f>
        <v>123529.87798983601</v>
      </c>
      <c r="Q148" s="67"/>
      <c r="R148" s="68"/>
      <c r="T148" s="65">
        <f>-277785946.35/1000*-1</f>
        <v>277785.94635000004</v>
      </c>
      <c r="U148" s="65">
        <f>-267085132.21/1000*-1</f>
        <v>267085.13221000001</v>
      </c>
      <c r="V148" s="66"/>
      <c r="W148" s="66"/>
      <c r="X148" s="66">
        <f>-275085067.869836/1000*-1</f>
        <v>275085.067869836</v>
      </c>
      <c r="Y148" s="67"/>
      <c r="Z148" s="68"/>
      <c r="AB148" s="69">
        <f>-693618433.018816/1000*-1</f>
        <v>693618.43301881594</v>
      </c>
    </row>
    <row r="149" spans="2:28" s="63" customFormat="1" ht="11.25" hidden="1" outlineLevel="1" x14ac:dyDescent="0.2">
      <c r="B149" s="59" t="s">
        <v>31</v>
      </c>
      <c r="C149" s="59"/>
      <c r="D149" s="70">
        <f>0/1000*-1</f>
        <v>0</v>
      </c>
      <c r="E149" s="70">
        <f>0/1000*-1</f>
        <v>0</v>
      </c>
      <c r="F149" s="71"/>
      <c r="G149" s="71"/>
      <c r="H149" s="71">
        <f>0/1000*-1</f>
        <v>0</v>
      </c>
      <c r="I149" s="71"/>
      <c r="J149" s="72"/>
      <c r="L149" s="73">
        <f>0/1000*-1</f>
        <v>0</v>
      </c>
      <c r="M149" s="73">
        <f>0/1000*-1</f>
        <v>0</v>
      </c>
      <c r="N149" s="74"/>
      <c r="O149" s="74"/>
      <c r="P149" s="74">
        <f>0/1000*-1</f>
        <v>0</v>
      </c>
      <c r="Q149" s="75"/>
      <c r="R149" s="72"/>
      <c r="T149" s="73">
        <f>0/1000*-1</f>
        <v>0</v>
      </c>
      <c r="U149" s="73">
        <f>0/1000*-1</f>
        <v>0</v>
      </c>
      <c r="V149" s="74"/>
      <c r="W149" s="74"/>
      <c r="X149" s="74">
        <f>0/1000*-1</f>
        <v>0</v>
      </c>
      <c r="Y149" s="75"/>
      <c r="Z149" s="72"/>
      <c r="AB149" s="76">
        <f>0/1000*-1</f>
        <v>0</v>
      </c>
    </row>
    <row r="150" spans="2:28" s="59" customFormat="1" ht="11.25" hidden="1" outlineLevel="1" x14ac:dyDescent="0.2">
      <c r="D150" s="77"/>
      <c r="E150" s="77"/>
      <c r="F150" s="78"/>
      <c r="G150" s="78"/>
      <c r="H150" s="78"/>
      <c r="I150" s="79"/>
      <c r="J150" s="80"/>
      <c r="L150" s="77"/>
      <c r="M150" s="77"/>
      <c r="N150" s="78"/>
      <c r="O150" s="78"/>
      <c r="P150" s="78"/>
      <c r="Q150" s="79"/>
      <c r="R150" s="80"/>
      <c r="T150" s="77"/>
      <c r="U150" s="77"/>
      <c r="V150" s="78"/>
      <c r="W150" s="78"/>
      <c r="X150" s="78"/>
      <c r="Y150" s="79"/>
      <c r="Z150" s="80"/>
      <c r="AB150" s="81"/>
    </row>
    <row r="151" spans="2:28" s="63" customFormat="1" ht="11.25" hidden="1" outlineLevel="1" x14ac:dyDescent="0.2">
      <c r="B151" s="59" t="s">
        <v>41</v>
      </c>
      <c r="C151" s="59"/>
      <c r="D151" s="82">
        <f>SUM(D148:D150)</f>
        <v>46563.98489</v>
      </c>
      <c r="E151" s="82">
        <f>SUM(E148:E150)</f>
        <v>52983.511250000003</v>
      </c>
      <c r="F151" s="67"/>
      <c r="G151" s="67"/>
      <c r="H151" s="67">
        <f>SUM(H148:H150)</f>
        <v>47604.657102000994</v>
      </c>
      <c r="I151" s="67"/>
      <c r="J151" s="68"/>
      <c r="L151" s="82">
        <f>SUM(L148:L150)</f>
        <v>126230.75646999999</v>
      </c>
      <c r="M151" s="82">
        <f>SUM(M148:M150)</f>
        <v>141400.57543</v>
      </c>
      <c r="N151" s="67"/>
      <c r="O151" s="67"/>
      <c r="P151" s="67">
        <f>SUM(P148:P150)</f>
        <v>123529.87798983601</v>
      </c>
      <c r="Q151" s="67"/>
      <c r="R151" s="68"/>
      <c r="T151" s="82">
        <f>SUM(T148:T150)</f>
        <v>277785.94635000004</v>
      </c>
      <c r="U151" s="82">
        <f>SUM(U148:U150)</f>
        <v>267085.13221000001</v>
      </c>
      <c r="V151" s="67"/>
      <c r="W151" s="67"/>
      <c r="X151" s="67">
        <f>SUM(X148:X150)</f>
        <v>275085.067869836</v>
      </c>
      <c r="Y151" s="67"/>
      <c r="Z151" s="68"/>
      <c r="AB151" s="83">
        <f>SUM(AB148:AB150)</f>
        <v>693618.43301881594</v>
      </c>
    </row>
    <row r="152" spans="2:28" s="63" customFormat="1" ht="11.25" hidden="1" outlineLevel="1" x14ac:dyDescent="0.2">
      <c r="B152" s="59"/>
      <c r="C152" s="59"/>
      <c r="D152" s="82"/>
      <c r="E152" s="82"/>
      <c r="F152" s="67"/>
      <c r="G152" s="67"/>
      <c r="H152" s="67"/>
      <c r="I152" s="67"/>
      <c r="J152" s="68"/>
      <c r="L152" s="82"/>
      <c r="M152" s="82"/>
      <c r="N152" s="67"/>
      <c r="O152" s="67"/>
      <c r="P152" s="67"/>
      <c r="Q152" s="67"/>
      <c r="R152" s="68"/>
      <c r="T152" s="82"/>
      <c r="U152" s="82"/>
      <c r="V152" s="67"/>
      <c r="W152" s="67"/>
      <c r="X152" s="67"/>
      <c r="Y152" s="67"/>
      <c r="Z152" s="68"/>
      <c r="AB152" s="83"/>
    </row>
    <row r="153" spans="2:28" s="85" customFormat="1" ht="11.25" hidden="1" outlineLevel="1" x14ac:dyDescent="0.2">
      <c r="B153" s="66" t="s">
        <v>42</v>
      </c>
      <c r="C153" s="66"/>
      <c r="D153" s="77">
        <f>D151-D109</f>
        <v>18785.134589999998</v>
      </c>
      <c r="E153" s="77">
        <f>E151-E109</f>
        <v>14782.61591</v>
      </c>
      <c r="F153" s="78"/>
      <c r="G153" s="78"/>
      <c r="H153" s="78">
        <f>H151-H109</f>
        <v>17511.54393781699</v>
      </c>
      <c r="I153" s="78"/>
      <c r="J153" s="84"/>
      <c r="L153" s="77">
        <f>L151-L109</f>
        <v>59423.064970000007</v>
      </c>
      <c r="M153" s="77">
        <f>M151-M109</f>
        <v>41790.991930000004</v>
      </c>
      <c r="N153" s="78"/>
      <c r="O153" s="78"/>
      <c r="P153" s="78">
        <f>P151-P109</f>
        <v>52968.841398325007</v>
      </c>
      <c r="Q153" s="78"/>
      <c r="R153" s="84"/>
      <c r="T153" s="77">
        <f>T151-T109</f>
        <v>112668.68509000004</v>
      </c>
      <c r="U153" s="77">
        <f>U151-U109</f>
        <v>81292.737200000032</v>
      </c>
      <c r="V153" s="78"/>
      <c r="W153" s="78"/>
      <c r="X153" s="78">
        <f>X151-X109</f>
        <v>106214.46151832503</v>
      </c>
      <c r="Y153" s="78"/>
      <c r="Z153" s="84"/>
      <c r="AB153" s="81">
        <f>AB151-AB109</f>
        <v>252672.2733980419</v>
      </c>
    </row>
    <row r="154" spans="2:28" s="85" customFormat="1" ht="11.25" hidden="1" outlineLevel="1" x14ac:dyDescent="0.2">
      <c r="B154" s="66"/>
      <c r="C154" s="66"/>
      <c r="D154" s="66"/>
      <c r="E154" s="66"/>
      <c r="F154" s="66"/>
      <c r="G154" s="66"/>
      <c r="H154" s="66"/>
      <c r="I154" s="66"/>
      <c r="J154" s="86"/>
      <c r="L154" s="66"/>
      <c r="M154" s="66"/>
      <c r="N154" s="66"/>
      <c r="O154" s="66"/>
      <c r="P154" s="66"/>
      <c r="Q154" s="66"/>
      <c r="R154" s="86"/>
      <c r="T154" s="66"/>
      <c r="U154" s="66"/>
      <c r="V154" s="66"/>
      <c r="W154" s="66"/>
      <c r="X154" s="66"/>
      <c r="Y154" s="66"/>
      <c r="Z154" s="86"/>
      <c r="AB154" s="66"/>
    </row>
    <row r="155" spans="2:28" s="85" customFormat="1" ht="11.25" hidden="1" outlineLevel="1" x14ac:dyDescent="0.2">
      <c r="B155" s="66"/>
      <c r="C155" s="66"/>
      <c r="D155" s="66"/>
      <c r="E155" s="66"/>
      <c r="F155" s="66"/>
      <c r="G155" s="66"/>
      <c r="H155" s="66"/>
      <c r="I155" s="66"/>
      <c r="J155" s="86"/>
      <c r="L155" s="66"/>
      <c r="M155" s="66"/>
      <c r="N155" s="66"/>
      <c r="O155" s="66"/>
      <c r="P155" s="66"/>
      <c r="Q155" s="66"/>
      <c r="R155" s="86"/>
      <c r="T155" s="66"/>
      <c r="U155" s="66"/>
      <c r="V155" s="66"/>
      <c r="W155" s="66"/>
      <c r="X155" s="66"/>
      <c r="Y155" s="66"/>
      <c r="Z155" s="86"/>
      <c r="AB155" s="66"/>
    </row>
    <row r="156" spans="2:28" s="85" customFormat="1" ht="11.25" hidden="1" outlineLevel="1" x14ac:dyDescent="0.2">
      <c r="B156" s="66" t="s">
        <v>43</v>
      </c>
      <c r="C156" s="66"/>
      <c r="D156" s="66">
        <f>SUM(D58,D82,D106)</f>
        <v>4185.1717000000008</v>
      </c>
      <c r="E156" s="66">
        <f>SUM(E58,E82,E106)</f>
        <v>5436.7077200000003</v>
      </c>
      <c r="F156" s="66"/>
      <c r="G156" s="66"/>
      <c r="H156" s="66">
        <f>SUM(H58,H82,H106)</f>
        <v>3819.152344184</v>
      </c>
      <c r="I156" s="66"/>
      <c r="J156" s="86"/>
      <c r="L156" s="66">
        <f>SUM(L58,L82,L106)</f>
        <v>10944.465550000001</v>
      </c>
      <c r="M156" s="66">
        <f>SUM(M58,M82,M106)</f>
        <v>14627.27693</v>
      </c>
      <c r="N156" s="66"/>
      <c r="O156" s="66"/>
      <c r="P156" s="66">
        <f>SUM(P58,P82,P106)</f>
        <v>11327.572241510999</v>
      </c>
      <c r="Q156" s="66"/>
      <c r="R156" s="86"/>
      <c r="T156" s="66">
        <f>SUM(T58,T82,T106)</f>
        <v>23495.352909999998</v>
      </c>
      <c r="U156" s="66">
        <f>SUM(U58,U82,U106)</f>
        <v>25417.1875</v>
      </c>
      <c r="V156" s="66"/>
      <c r="W156" s="66"/>
      <c r="X156" s="66">
        <f>SUM(X58,X82,X106)</f>
        <v>23878.459601511</v>
      </c>
      <c r="Y156" s="66"/>
      <c r="Z156" s="86"/>
      <c r="AB156" s="66">
        <f>SUM(AB58,AB82,AB106)</f>
        <v>65732.30834077399</v>
      </c>
    </row>
    <row r="157" spans="2:28" s="85" customFormat="1" ht="11.25" hidden="1" outlineLevel="1" x14ac:dyDescent="0.2">
      <c r="B157" s="66"/>
      <c r="C157" s="66"/>
      <c r="D157" s="66"/>
      <c r="E157" s="66"/>
      <c r="F157" s="66"/>
      <c r="G157" s="66"/>
      <c r="H157" s="66"/>
      <c r="I157" s="66"/>
      <c r="J157" s="86"/>
      <c r="L157" s="66"/>
      <c r="M157" s="66"/>
      <c r="N157" s="66"/>
      <c r="O157" s="66"/>
      <c r="P157" s="66"/>
      <c r="Q157" s="66"/>
      <c r="R157" s="86"/>
      <c r="T157" s="66"/>
      <c r="U157" s="66"/>
      <c r="V157" s="66"/>
      <c r="W157" s="66"/>
      <c r="X157" s="66"/>
      <c r="Y157" s="66"/>
      <c r="Z157" s="86"/>
      <c r="AB157" s="66"/>
    </row>
    <row r="158" spans="2:28" s="85" customFormat="1" ht="11.25" hidden="1" outlineLevel="1" x14ac:dyDescent="0.2">
      <c r="B158" s="66"/>
      <c r="C158" s="66"/>
      <c r="D158" s="66"/>
      <c r="E158" s="66"/>
      <c r="F158" s="66"/>
      <c r="G158" s="66"/>
      <c r="H158" s="66"/>
      <c r="I158" s="66"/>
      <c r="J158" s="86"/>
      <c r="L158" s="66"/>
      <c r="M158" s="66"/>
      <c r="N158" s="66"/>
      <c r="O158" s="66"/>
      <c r="P158" s="66"/>
      <c r="Q158" s="66"/>
      <c r="R158" s="86"/>
      <c r="T158" s="66"/>
      <c r="U158" s="66"/>
      <c r="V158" s="66"/>
      <c r="W158" s="66"/>
      <c r="X158" s="66"/>
      <c r="Y158" s="66"/>
      <c r="Z158" s="86"/>
      <c r="AB158" s="66"/>
    </row>
    <row r="159" spans="2:28" s="85" customFormat="1" ht="11.25" hidden="1" outlineLevel="1" x14ac:dyDescent="0.2">
      <c r="B159" s="66"/>
      <c r="C159" s="66"/>
      <c r="D159" s="66"/>
      <c r="E159" s="66"/>
      <c r="F159" s="66"/>
      <c r="G159" s="66"/>
      <c r="H159" s="66"/>
      <c r="I159" s="66"/>
      <c r="J159" s="86"/>
      <c r="L159" s="66"/>
      <c r="M159" s="66"/>
      <c r="N159" s="66"/>
      <c r="O159" s="66"/>
      <c r="P159" s="66"/>
      <c r="Q159" s="66"/>
      <c r="R159" s="86"/>
      <c r="T159" s="66"/>
      <c r="U159" s="66"/>
      <c r="V159" s="66"/>
      <c r="W159" s="66"/>
      <c r="X159" s="66"/>
      <c r="Y159" s="66"/>
      <c r="Z159" s="86"/>
      <c r="AB159" s="66"/>
    </row>
    <row r="160" spans="2:28" hidden="1" outlineLevel="1" x14ac:dyDescent="0.25">
      <c r="B160" s="35"/>
      <c r="C160" s="35"/>
    </row>
    <row r="161" spans="1:35" hidden="1" outlineLevel="1" x14ac:dyDescent="0.25">
      <c r="A161" s="1"/>
      <c r="B161" s="19"/>
      <c r="C161" s="19"/>
      <c r="D161" s="43"/>
      <c r="E161" s="44"/>
      <c r="F161" s="44"/>
      <c r="G161" s="88"/>
      <c r="H161" s="44"/>
      <c r="I161" s="44"/>
      <c r="J161" s="46"/>
      <c r="K161" s="3"/>
      <c r="L161" s="43"/>
      <c r="M161" s="44"/>
      <c r="N161" s="44"/>
      <c r="O161" s="88"/>
      <c r="P161" s="44"/>
      <c r="Q161" s="44"/>
      <c r="R161" s="46"/>
      <c r="S161" s="3"/>
      <c r="T161" s="43"/>
      <c r="U161" s="44"/>
      <c r="V161" s="44"/>
      <c r="W161" s="88"/>
      <c r="X161" s="44"/>
      <c r="Y161" s="44"/>
      <c r="Z161" s="46"/>
      <c r="AA161" s="3"/>
      <c r="AB161" s="47"/>
      <c r="AC161" s="1"/>
      <c r="AD161" s="1"/>
      <c r="AE161" s="1"/>
      <c r="AF161" s="1"/>
      <c r="AG161" s="1"/>
      <c r="AH161" s="1"/>
      <c r="AI161" s="1"/>
    </row>
    <row r="162" spans="1:35" hidden="1" outlineLevel="1" x14ac:dyDescent="0.25">
      <c r="B162" s="35"/>
      <c r="C162" s="35"/>
    </row>
    <row r="163" spans="1:35" hidden="1" outlineLevel="1" x14ac:dyDescent="0.25">
      <c r="B163" s="35"/>
      <c r="C163" s="35"/>
    </row>
    <row r="164" spans="1:35" collapsed="1" x14ac:dyDescent="0.25">
      <c r="B164" s="35"/>
      <c r="C164" s="35"/>
    </row>
    <row r="165" spans="1:35" x14ac:dyDescent="0.25">
      <c r="B165" s="35"/>
      <c r="C165" s="35"/>
    </row>
    <row r="166" spans="1:35" x14ac:dyDescent="0.25">
      <c r="B166" s="35"/>
      <c r="C166" s="35"/>
    </row>
    <row r="167" spans="1:35" x14ac:dyDescent="0.25">
      <c r="B167" s="35"/>
      <c r="C167" s="35"/>
    </row>
  </sheetData>
  <pageMargins left="0.2" right="0.2" top="0.25" bottom="0.25" header="0.3" footer="0"/>
  <pageSetup scale="53" orientation="landscape" r:id="rId1"/>
  <headerFooter>
    <oddFooter>&amp;C&amp;P of &amp;N</oddFooter>
  </headerFooter>
  <rowBreaks count="1" manualBreakCount="1">
    <brk id="133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92D050"/>
  </sheetPr>
  <dimension ref="A1:AI404"/>
  <sheetViews>
    <sheetView zoomScale="80" zoomScaleNormal="80" workbookViewId="0">
      <selection activeCell="K4" sqref="K4"/>
    </sheetView>
  </sheetViews>
  <sheetFormatPr defaultColWidth="9.140625" defaultRowHeight="15" outlineLevelRow="1" outlineLevelCol="1" x14ac:dyDescent="0.25"/>
  <cols>
    <col min="1" max="1" width="0.28515625" customWidth="1"/>
    <col min="2" max="2" width="32.85546875" style="1" customWidth="1"/>
    <col min="3" max="3" width="0.28515625" style="1" customWidth="1"/>
    <col min="4" max="6" width="12.7109375" style="1" hidden="1" customWidth="1" outlineLevel="1"/>
    <col min="7" max="7" width="12.7109375" style="1" customWidth="1" collapsed="1"/>
    <col min="8" max="8" width="12.7109375" style="35" hidden="1" customWidth="1" outlineLevel="1"/>
    <col min="9" max="10" width="12.7109375" style="1" hidden="1" customWidth="1" outlineLevel="1"/>
    <col min="11" max="11" width="12.7109375" style="1" customWidth="1" collapsed="1"/>
    <col min="12" max="12" width="10.7109375" style="1" customWidth="1"/>
    <col min="13" max="13" width="10.7109375" style="87" customWidth="1"/>
    <col min="14" max="14" width="12.7109375" style="1" customWidth="1"/>
    <col min="15" max="17" width="12.7109375" style="1" hidden="1" customWidth="1" outlineLevel="1"/>
    <col min="18" max="18" width="12.7109375" style="1" customWidth="1" collapsed="1"/>
    <col min="19" max="19" width="10.7109375" style="1" customWidth="1"/>
    <col min="20" max="20" width="10.7109375" style="87" customWidth="1"/>
    <col min="21" max="21" width="12.7109375" style="1" customWidth="1"/>
    <col min="22" max="24" width="12.7109375" style="1" hidden="1" customWidth="1" outlineLevel="1"/>
    <col min="25" max="25" width="12.7109375" style="1" customWidth="1" collapsed="1"/>
    <col min="26" max="26" width="11.42578125" style="1" bestFit="1" customWidth="1"/>
    <col min="27" max="27" width="10.7109375" style="87" customWidth="1"/>
    <col min="28" max="28" width="14.7109375" style="1" customWidth="1"/>
    <col min="29" max="35" width="8.7109375" customWidth="1"/>
    <col min="36" max="16384" width="9.140625" style="1"/>
  </cols>
  <sheetData>
    <row r="1" spans="1:35" x14ac:dyDescent="0.25">
      <c r="A1" s="1"/>
      <c r="B1" s="2"/>
      <c r="C1" s="2"/>
      <c r="D1" s="2"/>
      <c r="E1" s="2"/>
      <c r="F1" s="2"/>
      <c r="G1" s="3"/>
      <c r="H1" s="19"/>
      <c r="I1" s="3"/>
      <c r="J1" s="3"/>
      <c r="K1" s="3"/>
      <c r="L1" s="3"/>
      <c r="M1" s="4"/>
      <c r="N1" s="3"/>
      <c r="O1" s="3"/>
      <c r="P1" s="3"/>
      <c r="Q1" s="3"/>
      <c r="R1" s="3"/>
      <c r="S1" s="3"/>
      <c r="T1" s="4"/>
      <c r="U1" s="3"/>
      <c r="V1" s="3"/>
      <c r="W1" s="3"/>
      <c r="X1" s="3"/>
      <c r="Y1" s="3"/>
      <c r="Z1" s="3"/>
      <c r="AA1" s="4"/>
      <c r="AB1" s="3"/>
      <c r="AC1" s="1"/>
      <c r="AD1" s="1"/>
      <c r="AE1" s="1"/>
      <c r="AF1" s="1"/>
      <c r="AG1" s="1"/>
      <c r="AH1" s="1"/>
      <c r="AI1" s="1"/>
    </row>
    <row r="2" spans="1:35" x14ac:dyDescent="0.25">
      <c r="A2" s="1"/>
      <c r="B2" s="2" t="s">
        <v>0</v>
      </c>
      <c r="C2" s="2"/>
      <c r="D2" s="2"/>
      <c r="E2" s="2"/>
      <c r="F2" s="2"/>
      <c r="G2" s="3"/>
      <c r="H2" s="19"/>
      <c r="I2" s="3"/>
      <c r="J2" s="3"/>
      <c r="K2" s="3"/>
      <c r="L2" s="3"/>
      <c r="M2" s="5"/>
      <c r="N2" s="3"/>
      <c r="O2" s="3"/>
      <c r="P2" s="3"/>
      <c r="Q2" s="3"/>
      <c r="R2" s="3"/>
      <c r="S2" s="3"/>
      <c r="T2" s="5"/>
      <c r="U2" s="3"/>
      <c r="V2" s="3"/>
      <c r="W2" s="3"/>
      <c r="X2" s="3"/>
      <c r="Y2" s="3"/>
      <c r="Z2" s="3"/>
      <c r="AA2" s="5"/>
      <c r="AB2" s="3"/>
      <c r="AC2" s="1"/>
      <c r="AD2" s="1"/>
      <c r="AE2" s="1"/>
      <c r="AF2" s="1"/>
      <c r="AG2" s="1"/>
      <c r="AH2" s="1"/>
      <c r="AI2" s="1"/>
    </row>
    <row r="3" spans="1:35" x14ac:dyDescent="0.25">
      <c r="A3" s="1"/>
      <c r="B3" s="2" t="s">
        <v>1</v>
      </c>
      <c r="C3" s="2"/>
      <c r="D3" s="2"/>
      <c r="E3" s="2"/>
      <c r="F3" s="2"/>
      <c r="G3" s="3"/>
      <c r="H3" s="19"/>
      <c r="I3" s="3"/>
      <c r="J3" s="3"/>
      <c r="K3" s="3"/>
      <c r="L3" s="3"/>
      <c r="M3" s="5"/>
      <c r="N3" s="3"/>
      <c r="O3" s="3"/>
      <c r="P3" s="3"/>
      <c r="Q3" s="3"/>
      <c r="R3" s="3"/>
      <c r="S3" s="3"/>
      <c r="T3" s="5"/>
      <c r="U3" s="3"/>
      <c r="V3" s="3"/>
      <c r="W3" s="3"/>
      <c r="X3" s="3"/>
      <c r="Y3" s="3"/>
      <c r="Z3" s="3"/>
      <c r="AA3" s="5"/>
      <c r="AB3" s="3"/>
      <c r="AC3" s="1"/>
      <c r="AD3" s="1"/>
      <c r="AE3" s="1"/>
      <c r="AF3" s="1"/>
      <c r="AG3" s="1"/>
      <c r="AH3" s="1"/>
      <c r="AI3" s="1"/>
    </row>
    <row r="4" spans="1:35" x14ac:dyDescent="0.25">
      <c r="A4" s="1"/>
      <c r="B4" s="2" t="e">
        <f ca="1">"PERIOD "&amp;INDIRECT("'Input Data'!C2")&amp;", "&amp;INDIRECT("'Input Data'!C4")</f>
        <v>#REF!</v>
      </c>
      <c r="C4" s="2"/>
      <c r="D4" s="2"/>
      <c r="E4" s="2"/>
      <c r="F4" s="2"/>
      <c r="G4" s="3"/>
      <c r="H4" s="19"/>
      <c r="I4" s="3"/>
      <c r="J4" s="3"/>
      <c r="K4" s="3"/>
      <c r="L4" s="3"/>
      <c r="M4" s="5"/>
      <c r="N4" s="3"/>
      <c r="O4" s="3"/>
      <c r="P4" s="3"/>
      <c r="Q4" s="3"/>
      <c r="R4" s="3"/>
      <c r="S4" s="3"/>
      <c r="T4" s="5"/>
      <c r="U4" s="3"/>
      <c r="V4" s="3"/>
      <c r="W4" s="3"/>
      <c r="X4" s="3"/>
      <c r="Y4" s="3"/>
      <c r="Z4" s="3"/>
      <c r="AA4" s="5"/>
      <c r="AB4" s="3"/>
      <c r="AC4" s="1"/>
      <c r="AD4" s="1"/>
      <c r="AE4" s="1"/>
      <c r="AF4" s="1"/>
      <c r="AG4" s="1"/>
      <c r="AH4" s="1"/>
      <c r="AI4" s="1"/>
    </row>
    <row r="5" spans="1:35" x14ac:dyDescent="0.25">
      <c r="A5" s="1"/>
      <c r="B5" s="2" t="s">
        <v>44</v>
      </c>
      <c r="C5" s="2"/>
      <c r="D5" s="2"/>
      <c r="E5" s="2"/>
      <c r="F5" s="2"/>
      <c r="G5" s="6"/>
      <c r="H5" s="89"/>
      <c r="I5" s="6"/>
      <c r="J5" s="6"/>
      <c r="K5" s="3"/>
      <c r="L5" s="3"/>
      <c r="M5" s="5"/>
      <c r="N5" s="6"/>
      <c r="O5" s="6"/>
      <c r="P5" s="6"/>
      <c r="Q5" s="6"/>
      <c r="R5" s="3"/>
      <c r="S5" s="3"/>
      <c r="T5" s="5"/>
      <c r="U5" s="6"/>
      <c r="V5" s="6"/>
      <c r="W5" s="6"/>
      <c r="X5" s="6"/>
      <c r="Y5" s="3"/>
      <c r="Z5" s="3"/>
      <c r="AA5" s="5"/>
      <c r="AB5" s="6"/>
      <c r="AC5" s="1"/>
      <c r="AD5" s="1"/>
      <c r="AE5" s="1"/>
      <c r="AF5" s="1"/>
      <c r="AG5" s="1"/>
      <c r="AH5" s="1"/>
      <c r="AI5" s="1"/>
    </row>
    <row r="6" spans="1:35" hidden="1" x14ac:dyDescent="0.25">
      <c r="A6" s="1"/>
      <c r="B6" s="2"/>
      <c r="C6" s="2"/>
      <c r="D6" s="2"/>
      <c r="E6" s="2"/>
      <c r="F6" s="2"/>
      <c r="G6" s="6"/>
      <c r="H6" s="89"/>
      <c r="I6" s="6"/>
      <c r="J6" s="6"/>
      <c r="K6" s="3"/>
      <c r="L6" s="3"/>
      <c r="M6" s="5"/>
      <c r="N6" s="6"/>
      <c r="O6" s="6"/>
      <c r="P6" s="6"/>
      <c r="Q6" s="6"/>
      <c r="R6" s="3"/>
      <c r="S6" s="3"/>
      <c r="T6" s="5"/>
      <c r="U6" s="6"/>
      <c r="V6" s="6"/>
      <c r="W6" s="6"/>
      <c r="X6" s="6"/>
      <c r="Y6" s="3"/>
      <c r="Z6" s="3"/>
      <c r="AA6" s="5"/>
      <c r="AB6" s="6"/>
      <c r="AC6" s="1"/>
      <c r="AD6" s="1"/>
      <c r="AE6" s="1"/>
      <c r="AF6" s="1"/>
      <c r="AG6" s="1"/>
      <c r="AH6" s="1"/>
      <c r="AI6" s="1"/>
    </row>
    <row r="7" spans="1:35" hidden="1" x14ac:dyDescent="0.25">
      <c r="A7" s="1"/>
      <c r="B7" s="3"/>
      <c r="C7" s="3"/>
      <c r="D7" s="3"/>
      <c r="E7" s="3"/>
      <c r="F7" s="3"/>
      <c r="G7" s="3"/>
      <c r="H7" s="19"/>
      <c r="I7" s="3"/>
      <c r="J7" s="3"/>
      <c r="K7" s="3"/>
      <c r="L7" s="3"/>
      <c r="M7" s="5"/>
      <c r="N7" s="3"/>
      <c r="O7" s="3"/>
      <c r="P7" s="3"/>
      <c r="Q7" s="3"/>
      <c r="R7" s="3"/>
      <c r="S7" s="3"/>
      <c r="T7" s="5"/>
      <c r="U7" s="3"/>
      <c r="V7" s="3"/>
      <c r="W7" s="3"/>
      <c r="X7" s="3"/>
      <c r="Y7" s="3"/>
      <c r="Z7" s="3"/>
      <c r="AA7" s="5"/>
      <c r="AB7" s="3"/>
      <c r="AC7" s="1"/>
      <c r="AD7" s="1"/>
      <c r="AE7" s="1"/>
      <c r="AF7" s="1"/>
      <c r="AG7" s="1"/>
      <c r="AH7" s="1"/>
      <c r="AI7" s="1"/>
    </row>
    <row r="8" spans="1:35" x14ac:dyDescent="0.25">
      <c r="A8" s="1"/>
      <c r="B8" s="2"/>
      <c r="C8" s="2"/>
      <c r="D8" s="2"/>
      <c r="E8" s="2"/>
      <c r="F8" s="2"/>
      <c r="G8" s="3"/>
      <c r="H8" s="19"/>
      <c r="I8" s="3"/>
      <c r="J8" s="3"/>
      <c r="K8" s="3"/>
      <c r="L8" s="3"/>
      <c r="M8" s="5"/>
      <c r="N8" s="3"/>
      <c r="O8" s="3"/>
      <c r="P8" s="3"/>
      <c r="Q8" s="3"/>
      <c r="R8" s="3"/>
      <c r="S8" s="3"/>
      <c r="T8" s="5"/>
      <c r="U8" s="3"/>
      <c r="V8" s="3"/>
      <c r="W8" s="3"/>
      <c r="X8" s="3"/>
      <c r="Y8" s="3"/>
      <c r="Z8" s="3"/>
      <c r="AA8" s="5"/>
      <c r="AB8" s="3"/>
      <c r="AC8" s="1"/>
      <c r="AD8" s="1"/>
      <c r="AE8" s="1"/>
      <c r="AF8" s="1"/>
      <c r="AG8" s="1"/>
      <c r="AH8" s="1"/>
      <c r="AI8" s="1"/>
    </row>
    <row r="9" spans="1:35" x14ac:dyDescent="0.25">
      <c r="A9" s="1"/>
      <c r="B9" s="90" t="s">
        <v>45</v>
      </c>
      <c r="C9" s="91"/>
      <c r="D9" s="91"/>
      <c r="E9" s="91"/>
      <c r="F9" s="91"/>
      <c r="G9" s="9" t="e">
        <f ca="1">"Period "&amp;INDIRECT("'Input Data'!$C$2")</f>
        <v>#REF!</v>
      </c>
      <c r="H9" s="10"/>
      <c r="I9" s="10"/>
      <c r="J9" s="10"/>
      <c r="K9" s="10"/>
      <c r="L9" s="10"/>
      <c r="M9" s="11"/>
      <c r="N9" s="9" t="e">
        <f ca="1">"QTD - "&amp;INDIRECT("'Input Data'!$C$3")</f>
        <v>#REF!</v>
      </c>
      <c r="O9" s="10"/>
      <c r="P9" s="10"/>
      <c r="Q9" s="10"/>
      <c r="R9" s="10"/>
      <c r="S9" s="10"/>
      <c r="T9" s="11"/>
      <c r="U9" s="9" t="s">
        <v>4</v>
      </c>
      <c r="V9" s="10"/>
      <c r="W9" s="10"/>
      <c r="X9" s="10"/>
      <c r="Y9" s="10"/>
      <c r="Z9" s="10"/>
      <c r="AA9" s="11"/>
      <c r="AB9" s="92" t="s">
        <v>5</v>
      </c>
      <c r="AC9" s="1"/>
      <c r="AD9" s="1"/>
      <c r="AE9" s="1"/>
      <c r="AF9" s="1"/>
      <c r="AG9" s="1"/>
      <c r="AH9" s="1"/>
      <c r="AI9" s="1"/>
    </row>
    <row r="10" spans="1:35" x14ac:dyDescent="0.25">
      <c r="A10" s="1"/>
      <c r="B10" s="90"/>
      <c r="C10" s="91"/>
      <c r="D10" s="91"/>
      <c r="E10" s="91"/>
      <c r="F10" s="91"/>
      <c r="G10" s="13"/>
      <c r="H10" s="14" t="s">
        <v>6</v>
      </c>
      <c r="I10" s="14" t="s">
        <v>7</v>
      </c>
      <c r="J10" s="14" t="s">
        <v>8</v>
      </c>
      <c r="K10" s="8"/>
      <c r="L10" s="14" t="s">
        <v>9</v>
      </c>
      <c r="M10" s="15" t="s">
        <v>10</v>
      </c>
      <c r="N10" s="13"/>
      <c r="O10" s="14" t="s">
        <v>6</v>
      </c>
      <c r="P10" s="14" t="s">
        <v>7</v>
      </c>
      <c r="Q10" s="14" t="s">
        <v>8</v>
      </c>
      <c r="R10" s="8"/>
      <c r="S10" s="14" t="s">
        <v>9</v>
      </c>
      <c r="T10" s="15" t="s">
        <v>10</v>
      </c>
      <c r="U10" s="13"/>
      <c r="V10" s="14" t="s">
        <v>6</v>
      </c>
      <c r="W10" s="14" t="s">
        <v>7</v>
      </c>
      <c r="X10" s="14" t="s">
        <v>8</v>
      </c>
      <c r="Y10" s="8"/>
      <c r="Z10" s="14" t="s">
        <v>9</v>
      </c>
      <c r="AA10" s="15" t="s">
        <v>10</v>
      </c>
      <c r="AB10" s="93"/>
      <c r="AC10" s="1"/>
      <c r="AD10" s="1"/>
      <c r="AE10" s="1"/>
      <c r="AF10" s="1"/>
      <c r="AG10" s="1"/>
      <c r="AH10" s="1"/>
      <c r="AI10" s="1"/>
    </row>
    <row r="11" spans="1:35" x14ac:dyDescent="0.25">
      <c r="A11" s="1"/>
      <c r="B11" s="91" t="s">
        <v>11</v>
      </c>
      <c r="C11" s="91"/>
      <c r="D11" s="91"/>
      <c r="E11" s="91" t="s">
        <v>46</v>
      </c>
      <c r="F11" s="91" t="s">
        <v>47</v>
      </c>
      <c r="G11" s="17" t="s">
        <v>12</v>
      </c>
      <c r="H11" s="14" t="s">
        <v>12</v>
      </c>
      <c r="I11" s="14" t="s">
        <v>13</v>
      </c>
      <c r="J11" s="14" t="s">
        <v>13</v>
      </c>
      <c r="K11" s="14" t="s">
        <v>48</v>
      </c>
      <c r="L11" s="14" t="s">
        <v>15</v>
      </c>
      <c r="M11" s="15" t="s">
        <v>15</v>
      </c>
      <c r="N11" s="17" t="s">
        <v>12</v>
      </c>
      <c r="O11" s="14" t="s">
        <v>12</v>
      </c>
      <c r="P11" s="14" t="s">
        <v>13</v>
      </c>
      <c r="Q11" s="14" t="s">
        <v>13</v>
      </c>
      <c r="R11" s="14" t="s">
        <v>48</v>
      </c>
      <c r="S11" s="14" t="s">
        <v>15</v>
      </c>
      <c r="T11" s="15" t="s">
        <v>15</v>
      </c>
      <c r="U11" s="17" t="s">
        <v>12</v>
      </c>
      <c r="V11" s="14" t="s">
        <v>12</v>
      </c>
      <c r="W11" s="14" t="s">
        <v>13</v>
      </c>
      <c r="X11" s="14" t="s">
        <v>13</v>
      </c>
      <c r="Y11" s="14" t="s">
        <v>48</v>
      </c>
      <c r="Z11" s="14" t="s">
        <v>15</v>
      </c>
      <c r="AA11" s="15" t="s">
        <v>15</v>
      </c>
      <c r="AB11" s="94" t="s">
        <v>48</v>
      </c>
      <c r="AC11" s="1"/>
      <c r="AD11" s="1"/>
      <c r="AE11" s="1"/>
      <c r="AF11" s="1"/>
      <c r="AG11" s="1"/>
      <c r="AH11" s="1"/>
      <c r="AI11" s="1"/>
    </row>
    <row r="12" spans="1:35" x14ac:dyDescent="0.25">
      <c r="A12" s="1"/>
      <c r="B12" s="3"/>
      <c r="C12" s="3"/>
      <c r="D12" s="3"/>
      <c r="E12" s="3"/>
      <c r="F12" s="3"/>
      <c r="G12" s="95"/>
      <c r="H12" s="45"/>
      <c r="I12" s="45"/>
      <c r="J12" s="45"/>
      <c r="K12" s="45"/>
      <c r="L12" s="45"/>
      <c r="M12" s="46"/>
      <c r="N12" s="95"/>
      <c r="O12" s="45"/>
      <c r="P12" s="45"/>
      <c r="Q12" s="45"/>
      <c r="R12" s="45"/>
      <c r="S12" s="45"/>
      <c r="T12" s="46"/>
      <c r="U12" s="95"/>
      <c r="V12" s="45"/>
      <c r="W12" s="45"/>
      <c r="X12" s="45"/>
      <c r="Y12" s="45"/>
      <c r="Z12" s="45"/>
      <c r="AA12" s="46"/>
      <c r="AB12" s="96"/>
      <c r="AC12" s="1"/>
      <c r="AD12" s="1"/>
      <c r="AE12" s="1"/>
      <c r="AF12" s="1"/>
      <c r="AG12" s="1"/>
      <c r="AH12" s="1"/>
      <c r="AI12" s="1"/>
    </row>
    <row r="13" spans="1:35" ht="14.25" x14ac:dyDescent="0.2">
      <c r="A13" s="1"/>
      <c r="B13" s="3" t="s">
        <v>49</v>
      </c>
      <c r="C13" s="3"/>
      <c r="D13" s="3"/>
      <c r="E13" s="3"/>
      <c r="F13" s="3"/>
      <c r="G13" s="97">
        <f>SUM(G14:G23)</f>
        <v>736.23942999999997</v>
      </c>
      <c r="H13" s="98">
        <f>SUM(H14:H23)</f>
        <v>699.53334000000007</v>
      </c>
      <c r="I13" s="99">
        <f t="shared" ref="I13:I22" si="0">G13-H13</f>
        <v>36.706089999999904</v>
      </c>
      <c r="J13" s="26">
        <f t="shared" ref="J13:J22" si="1">IF(ISERROR(I13/H13),"N/A",IF(ABS(I13/H13)&gt;5,"N/A",I13/H13))</f>
        <v>5.2472252430455855E-2</v>
      </c>
      <c r="K13" s="98">
        <f>SUM(K14:K23)</f>
        <v>442.33889381699998</v>
      </c>
      <c r="L13" s="99">
        <f t="shared" ref="L13:L22" si="2">K13-G13</f>
        <v>-293.90053618299999</v>
      </c>
      <c r="M13" s="27">
        <f t="shared" ref="M13:M22" si="3">IF(ISERROR(L13/K13),"N/A",IF(ABS(L13/K13)&gt;5,"N/A",L13/K13))</f>
        <v>-0.66442390730531053</v>
      </c>
      <c r="N13" s="97">
        <f>SUM(N14:N23)</f>
        <v>1937.6547100000003</v>
      </c>
      <c r="O13" s="98">
        <f>SUM(O14:O23)</f>
        <v>2348.1925099999999</v>
      </c>
      <c r="P13" s="99">
        <f t="shared" ref="P13:P22" si="4">N13-O13</f>
        <v>-410.53779999999961</v>
      </c>
      <c r="Q13" s="26">
        <f t="shared" ref="Q13:Q22" si="5">IF(ISERROR(P13/O13),"N/A",IF(ABS(P13/O13)&gt;5,"N/A",P13/O13))</f>
        <v>-0.17483140681681147</v>
      </c>
      <c r="R13" s="98">
        <f>SUM(R14:R23)</f>
        <v>1547.8932348320002</v>
      </c>
      <c r="S13" s="99">
        <f t="shared" ref="S13:S22" si="6">R13-N13</f>
        <v>-389.76147516800006</v>
      </c>
      <c r="T13" s="27">
        <f t="shared" ref="T13:T22" si="7">IF(ISERROR(S13/R13),"N/A",IF(ABS(S13/R13)&gt;5,"N/A",S13/R13))</f>
        <v>-0.25180126535684655</v>
      </c>
      <c r="U13" s="97">
        <f>SUM(U14:U23)</f>
        <v>4665.0132899999999</v>
      </c>
      <c r="V13" s="100">
        <f>SUM(V14:V23)</f>
        <v>4667.0673899999983</v>
      </c>
      <c r="W13" s="99">
        <f t="shared" ref="W13:W22" si="8">U13-V13</f>
        <v>-2.0540999999984706</v>
      </c>
      <c r="X13" s="26">
        <f t="shared" ref="X13:X22" si="9">IF(ISERROR(W13/V13),"N/A",IF(ABS(W13/V13)&gt;5,"N/A",W13/V13))</f>
        <v>-4.4012649236643473E-4</v>
      </c>
      <c r="Y13" s="98">
        <f>SUM(Y14:Y23)</f>
        <v>4275.2518148320005</v>
      </c>
      <c r="Z13" s="99">
        <f t="shared" ref="Z13:Z22" si="10">Y13-U13</f>
        <v>-389.76147516799938</v>
      </c>
      <c r="AA13" s="27">
        <f t="shared" ref="AA13:AA22" si="11">IF(ISERROR(Z13/Y13),"N/A",IF(ABS(Z13/Y13)&gt;5,"N/A",Z13/Y13))</f>
        <v>-9.1166904792791811E-2</v>
      </c>
      <c r="AB13" s="101">
        <f>SUM(AB14:AB23)</f>
        <v>8239.1648358620005</v>
      </c>
      <c r="AC13" s="1"/>
      <c r="AD13" s="1"/>
      <c r="AE13" s="1"/>
      <c r="AF13" s="1"/>
      <c r="AG13" s="1"/>
      <c r="AH13" s="1"/>
      <c r="AI13" s="1"/>
    </row>
    <row r="14" spans="1:35" ht="14.25" hidden="1" outlineLevel="1" x14ac:dyDescent="0.2">
      <c r="A14" s="1"/>
      <c r="B14" s="3"/>
      <c r="C14" s="3"/>
      <c r="D14" s="3" t="s">
        <v>50</v>
      </c>
      <c r="E14" s="3" t="s">
        <v>51</v>
      </c>
      <c r="F14" s="3">
        <v>930</v>
      </c>
      <c r="G14" s="24">
        <f>570463.21/1000*1</f>
        <v>570.46321</v>
      </c>
      <c r="H14" s="25">
        <f>531310.16/1000*1</f>
        <v>531.31016</v>
      </c>
      <c r="I14" s="99">
        <f t="shared" si="0"/>
        <v>39.153050000000007</v>
      </c>
      <c r="J14" s="26">
        <f t="shared" si="1"/>
        <v>7.3691513823112301E-2</v>
      </c>
      <c r="K14" s="25">
        <f>266676.746429/1000*1</f>
        <v>266.67674642899999</v>
      </c>
      <c r="L14" s="99">
        <f t="shared" si="2"/>
        <v>-303.78646357100001</v>
      </c>
      <c r="M14" s="27">
        <f t="shared" si="3"/>
        <v>-1.1391561793029454</v>
      </c>
      <c r="N14" s="24">
        <f>1478359.69/1000*1</f>
        <v>1478.35969</v>
      </c>
      <c r="O14" s="25">
        <f>1835476.44/1000*1</f>
        <v>1835.4764399999999</v>
      </c>
      <c r="P14" s="99">
        <f t="shared" si="4"/>
        <v>-357.11674999999991</v>
      </c>
      <c r="Q14" s="26">
        <f t="shared" si="5"/>
        <v>-0.19456351616259368</v>
      </c>
      <c r="R14" s="25">
        <f>1061314.378608/1000*1</f>
        <v>1061.314378608</v>
      </c>
      <c r="S14" s="99">
        <f t="shared" si="6"/>
        <v>-417.04531139200003</v>
      </c>
      <c r="T14" s="27">
        <f t="shared" si="7"/>
        <v>-0.39295172080772978</v>
      </c>
      <c r="U14" s="24">
        <f>3550018.43/1000*1</f>
        <v>3550.0184300000001</v>
      </c>
      <c r="V14" s="25">
        <f>3625068.31/1000*1</f>
        <v>3625.0683100000001</v>
      </c>
      <c r="W14" s="99">
        <f t="shared" si="8"/>
        <v>-75.04988000000003</v>
      </c>
      <c r="X14" s="26">
        <f t="shared" si="9"/>
        <v>-2.0703025041754326E-2</v>
      </c>
      <c r="Y14" s="25">
        <f>3132973.118608/1000*1</f>
        <v>3132.9731186080003</v>
      </c>
      <c r="Z14" s="99">
        <f t="shared" si="10"/>
        <v>-417.0453113919998</v>
      </c>
      <c r="AA14" s="27">
        <f t="shared" si="11"/>
        <v>-0.13311487063677574</v>
      </c>
      <c r="AB14" s="28">
        <f>5480296.537006/1000*1</f>
        <v>5480.2965370060001</v>
      </c>
      <c r="AC14" s="1"/>
      <c r="AD14" s="1"/>
      <c r="AE14" s="1"/>
      <c r="AF14" s="1"/>
      <c r="AG14" s="1"/>
      <c r="AH14" s="1"/>
      <c r="AI14" s="1"/>
    </row>
    <row r="15" spans="1:35" ht="14.25" hidden="1" outlineLevel="1" x14ac:dyDescent="0.2">
      <c r="A15" s="1"/>
      <c r="B15" s="3"/>
      <c r="C15" s="3"/>
      <c r="D15" s="3" t="s">
        <v>50</v>
      </c>
      <c r="E15" s="3" t="s">
        <v>51</v>
      </c>
      <c r="F15" s="3">
        <v>931</v>
      </c>
      <c r="G15" s="24">
        <f>149377.57/1000*1</f>
        <v>149.37757000000002</v>
      </c>
      <c r="H15" s="25">
        <f>139448.93/1000*1</f>
        <v>139.44892999999999</v>
      </c>
      <c r="I15" s="99">
        <f t="shared" si="0"/>
        <v>9.9286400000000299</v>
      </c>
      <c r="J15" s="26">
        <f t="shared" si="1"/>
        <v>7.1199112105055459E-2</v>
      </c>
      <c r="K15" s="25">
        <f>175662.147388/1000*1</f>
        <v>175.66214738800002</v>
      </c>
      <c r="L15" s="99">
        <f t="shared" si="2"/>
        <v>26.284577388000002</v>
      </c>
      <c r="M15" s="27">
        <f t="shared" si="3"/>
        <v>0.14963142474822994</v>
      </c>
      <c r="N15" s="24">
        <f>447977.07/1000*1</f>
        <v>447.97707000000003</v>
      </c>
      <c r="O15" s="25">
        <f>440486.9/1000*1</f>
        <v>440.48690000000005</v>
      </c>
      <c r="P15" s="99">
        <f t="shared" si="4"/>
        <v>7.4901699999999778</v>
      </c>
      <c r="Q15" s="26">
        <f t="shared" si="5"/>
        <v>1.7004296836069306E-2</v>
      </c>
      <c r="R15" s="25">
        <f>493286.856224/1000*1</f>
        <v>493.28685622399996</v>
      </c>
      <c r="S15" s="99">
        <f t="shared" si="6"/>
        <v>45.309786223999936</v>
      </c>
      <c r="T15" s="27">
        <f t="shared" si="7"/>
        <v>9.1852814751311573E-2</v>
      </c>
      <c r="U15" s="24">
        <f>1027591/1000*1</f>
        <v>1027.5909999999999</v>
      </c>
      <c r="V15" s="25">
        <f>910311.02/1000*1</f>
        <v>910.31101999999998</v>
      </c>
      <c r="W15" s="99">
        <f t="shared" si="8"/>
        <v>117.27997999999991</v>
      </c>
      <c r="X15" s="26">
        <f t="shared" si="9"/>
        <v>0.12883506562405442</v>
      </c>
      <c r="Y15" s="25">
        <f>1072900.786224/1000*1</f>
        <v>1072.9007862239998</v>
      </c>
      <c r="Z15" s="99">
        <f t="shared" si="10"/>
        <v>45.309786223999936</v>
      </c>
      <c r="AA15" s="27">
        <f t="shared" si="11"/>
        <v>4.2231105434701557E-2</v>
      </c>
      <c r="AB15" s="28">
        <f>2689490.388856/1000*1</f>
        <v>2689.4903888559998</v>
      </c>
      <c r="AC15" s="1"/>
      <c r="AD15" s="1"/>
      <c r="AE15" s="1"/>
      <c r="AF15" s="1"/>
      <c r="AG15" s="1"/>
      <c r="AH15" s="1"/>
      <c r="AI15" s="1"/>
    </row>
    <row r="16" spans="1:35" ht="14.25" hidden="1" outlineLevel="1" x14ac:dyDescent="0.2">
      <c r="A16" s="1"/>
      <c r="B16" s="3"/>
      <c r="C16" s="3"/>
      <c r="D16" s="3" t="s">
        <v>50</v>
      </c>
      <c r="E16" s="3" t="s">
        <v>52</v>
      </c>
      <c r="F16" s="3">
        <v>930</v>
      </c>
      <c r="G16" s="24">
        <f t="shared" ref="G16:H18" si="12">0/1000*1</f>
        <v>0</v>
      </c>
      <c r="H16" s="25">
        <f t="shared" si="12"/>
        <v>0</v>
      </c>
      <c r="I16" s="99">
        <f t="shared" si="0"/>
        <v>0</v>
      </c>
      <c r="J16" s="26" t="str">
        <f t="shared" si="1"/>
        <v>N/A</v>
      </c>
      <c r="K16" s="25">
        <f t="shared" ref="K16:K22" si="13">0/1000*1</f>
        <v>0</v>
      </c>
      <c r="L16" s="99">
        <f t="shared" si="2"/>
        <v>0</v>
      </c>
      <c r="M16" s="27" t="str">
        <f t="shared" si="3"/>
        <v>N/A</v>
      </c>
      <c r="N16" s="24">
        <f>0/1000*1</f>
        <v>0</v>
      </c>
      <c r="O16" s="25">
        <f>3535.9/1000*1</f>
        <v>3.5359000000000003</v>
      </c>
      <c r="P16" s="99">
        <f t="shared" si="4"/>
        <v>-3.5359000000000003</v>
      </c>
      <c r="Q16" s="26">
        <f t="shared" si="5"/>
        <v>-1</v>
      </c>
      <c r="R16" s="25">
        <f>0/1000*1</f>
        <v>0</v>
      </c>
      <c r="S16" s="99">
        <f t="shared" si="6"/>
        <v>0</v>
      </c>
      <c r="T16" s="27" t="str">
        <f t="shared" si="7"/>
        <v>N/A</v>
      </c>
      <c r="U16" s="24">
        <f>5124/1000*1</f>
        <v>5.1239999999999997</v>
      </c>
      <c r="V16" s="25">
        <f>18665.95/1000*1</f>
        <v>18.665950000000002</v>
      </c>
      <c r="W16" s="99">
        <f t="shared" si="8"/>
        <v>-13.541950000000003</v>
      </c>
      <c r="X16" s="26">
        <f t="shared" si="9"/>
        <v>-0.72548946075608267</v>
      </c>
      <c r="Y16" s="25">
        <f>5124/1000*1</f>
        <v>5.1239999999999997</v>
      </c>
      <c r="Z16" s="99">
        <f t="shared" si="10"/>
        <v>0</v>
      </c>
      <c r="AA16" s="27">
        <f t="shared" si="11"/>
        <v>0</v>
      </c>
      <c r="AB16" s="28">
        <f>5124/1000*1</f>
        <v>5.1239999999999997</v>
      </c>
      <c r="AC16" s="1"/>
      <c r="AD16" s="1"/>
      <c r="AE16" s="1"/>
      <c r="AF16" s="1"/>
      <c r="AG16" s="1"/>
      <c r="AH16" s="1"/>
      <c r="AI16" s="1"/>
    </row>
    <row r="17" spans="1:35" ht="14.25" hidden="1" outlineLevel="1" x14ac:dyDescent="0.2">
      <c r="A17" s="1"/>
      <c r="B17" s="3"/>
      <c r="C17" s="3"/>
      <c r="D17" s="3" t="s">
        <v>50</v>
      </c>
      <c r="E17" s="3" t="s">
        <v>53</v>
      </c>
      <c r="F17" s="3">
        <v>930</v>
      </c>
      <c r="G17" s="24">
        <f t="shared" si="12"/>
        <v>0</v>
      </c>
      <c r="H17" s="25">
        <f t="shared" si="12"/>
        <v>0</v>
      </c>
      <c r="I17" s="99">
        <f t="shared" si="0"/>
        <v>0</v>
      </c>
      <c r="J17" s="26" t="str">
        <f t="shared" si="1"/>
        <v>N/A</v>
      </c>
      <c r="K17" s="25">
        <f t="shared" si="13"/>
        <v>0</v>
      </c>
      <c r="L17" s="99">
        <f t="shared" si="2"/>
        <v>0</v>
      </c>
      <c r="M17" s="27" t="str">
        <f t="shared" si="3"/>
        <v>N/A</v>
      </c>
      <c r="N17" s="24">
        <f>0/1000*1</f>
        <v>0</v>
      </c>
      <c r="O17" s="25">
        <f>0/1000*1</f>
        <v>0</v>
      </c>
      <c r="P17" s="99">
        <f t="shared" si="4"/>
        <v>0</v>
      </c>
      <c r="Q17" s="26" t="str">
        <f t="shared" si="5"/>
        <v>N/A</v>
      </c>
      <c r="R17" s="25">
        <f>0/1000*1</f>
        <v>0</v>
      </c>
      <c r="S17" s="99">
        <f t="shared" si="6"/>
        <v>0</v>
      </c>
      <c r="T17" s="27" t="str">
        <f t="shared" si="7"/>
        <v>N/A</v>
      </c>
      <c r="U17" s="24">
        <f>0/1000*1</f>
        <v>0</v>
      </c>
      <c r="V17" s="25">
        <f>356/1000*1</f>
        <v>0.35599999999999998</v>
      </c>
      <c r="W17" s="99">
        <f t="shared" si="8"/>
        <v>-0.35599999999999998</v>
      </c>
      <c r="X17" s="26">
        <f t="shared" si="9"/>
        <v>-1</v>
      </c>
      <c r="Y17" s="25">
        <f>0/1000*1</f>
        <v>0</v>
      </c>
      <c r="Z17" s="99">
        <f t="shared" si="10"/>
        <v>0</v>
      </c>
      <c r="AA17" s="27" t="str">
        <f t="shared" si="11"/>
        <v>N/A</v>
      </c>
      <c r="AB17" s="28">
        <f>0/1000*1</f>
        <v>0</v>
      </c>
      <c r="AC17" s="1"/>
      <c r="AD17" s="1"/>
      <c r="AE17" s="1"/>
      <c r="AF17" s="1"/>
      <c r="AG17" s="1"/>
      <c r="AH17" s="1"/>
      <c r="AI17" s="1"/>
    </row>
    <row r="18" spans="1:35" ht="14.25" hidden="1" outlineLevel="1" x14ac:dyDescent="0.2">
      <c r="A18" s="1"/>
      <c r="B18" s="3"/>
      <c r="C18" s="3"/>
      <c r="D18" s="3" t="s">
        <v>50</v>
      </c>
      <c r="E18" s="3" t="s">
        <v>54</v>
      </c>
      <c r="F18" s="3">
        <v>930</v>
      </c>
      <c r="G18" s="24">
        <f t="shared" si="12"/>
        <v>0</v>
      </c>
      <c r="H18" s="25">
        <f t="shared" si="12"/>
        <v>0</v>
      </c>
      <c r="I18" s="99">
        <f t="shared" si="0"/>
        <v>0</v>
      </c>
      <c r="J18" s="26" t="str">
        <f t="shared" si="1"/>
        <v>N/A</v>
      </c>
      <c r="K18" s="25">
        <f t="shared" si="13"/>
        <v>0</v>
      </c>
      <c r="L18" s="99">
        <f t="shared" si="2"/>
        <v>0</v>
      </c>
      <c r="M18" s="27" t="str">
        <f t="shared" si="3"/>
        <v>N/A</v>
      </c>
      <c r="N18" s="24">
        <f>0/1000*1</f>
        <v>0</v>
      </c>
      <c r="O18" s="25">
        <f>0/1000*1</f>
        <v>0</v>
      </c>
      <c r="P18" s="99">
        <f t="shared" si="4"/>
        <v>0</v>
      </c>
      <c r="Q18" s="26" t="str">
        <f t="shared" si="5"/>
        <v>N/A</v>
      </c>
      <c r="R18" s="25">
        <f>0/1000*1</f>
        <v>0</v>
      </c>
      <c r="S18" s="99">
        <f t="shared" si="6"/>
        <v>0</v>
      </c>
      <c r="T18" s="27" t="str">
        <f t="shared" si="7"/>
        <v>N/A</v>
      </c>
      <c r="U18" s="24">
        <f>0/1000*1</f>
        <v>0</v>
      </c>
      <c r="V18" s="25">
        <f>89/1000*1</f>
        <v>8.8999999999999996E-2</v>
      </c>
      <c r="W18" s="99">
        <f t="shared" si="8"/>
        <v>-8.8999999999999996E-2</v>
      </c>
      <c r="X18" s="26">
        <f t="shared" si="9"/>
        <v>-1</v>
      </c>
      <c r="Y18" s="25">
        <f>0/1000*1</f>
        <v>0</v>
      </c>
      <c r="Z18" s="99">
        <f t="shared" si="10"/>
        <v>0</v>
      </c>
      <c r="AA18" s="27" t="str">
        <f t="shared" si="11"/>
        <v>N/A</v>
      </c>
      <c r="AB18" s="28">
        <f>0/1000*1</f>
        <v>0</v>
      </c>
      <c r="AC18" s="1"/>
      <c r="AD18" s="1"/>
      <c r="AE18" s="1"/>
      <c r="AF18" s="1"/>
      <c r="AG18" s="1"/>
      <c r="AH18" s="1"/>
      <c r="AI18" s="1"/>
    </row>
    <row r="19" spans="1:35" ht="14.25" hidden="1" outlineLevel="1" x14ac:dyDescent="0.2">
      <c r="A19" s="1"/>
      <c r="B19" s="3"/>
      <c r="C19" s="3"/>
      <c r="D19" s="3" t="s">
        <v>50</v>
      </c>
      <c r="E19" s="3" t="s">
        <v>55</v>
      </c>
      <c r="F19" s="3">
        <v>930</v>
      </c>
      <c r="G19" s="24">
        <f>1091.65/1000*1</f>
        <v>1.09165</v>
      </c>
      <c r="H19" s="25">
        <f>8257.1/1000*1</f>
        <v>8.2571000000000012</v>
      </c>
      <c r="I19" s="99">
        <f t="shared" si="0"/>
        <v>-7.1654500000000017</v>
      </c>
      <c r="J19" s="26">
        <f t="shared" si="1"/>
        <v>-0.86779256639740354</v>
      </c>
      <c r="K19" s="25">
        <f t="shared" si="13"/>
        <v>0</v>
      </c>
      <c r="L19" s="99">
        <f t="shared" si="2"/>
        <v>-1.09165</v>
      </c>
      <c r="M19" s="27" t="str">
        <f t="shared" si="3"/>
        <v>N/A</v>
      </c>
      <c r="N19" s="24">
        <f>-30806.05/1000*1</f>
        <v>-30.806049999999999</v>
      </c>
      <c r="O19" s="25">
        <f>8040/1000*1</f>
        <v>8.0399999999999991</v>
      </c>
      <c r="P19" s="99">
        <f t="shared" si="4"/>
        <v>-38.846049999999998</v>
      </c>
      <c r="Q19" s="26">
        <f t="shared" si="5"/>
        <v>-4.8315982587064683</v>
      </c>
      <c r="R19" s="25">
        <f>-33500/1000*1</f>
        <v>-33.5</v>
      </c>
      <c r="S19" s="99">
        <f t="shared" si="6"/>
        <v>-2.693950000000001</v>
      </c>
      <c r="T19" s="27">
        <f t="shared" si="7"/>
        <v>8.0416417910447791E-2</v>
      </c>
      <c r="U19" s="24">
        <f>7059.83/1000*1</f>
        <v>7.0598299999999998</v>
      </c>
      <c r="V19" s="25">
        <f>16437.3/1000*1</f>
        <v>16.4373</v>
      </c>
      <c r="W19" s="99">
        <f t="shared" si="8"/>
        <v>-9.3774700000000006</v>
      </c>
      <c r="X19" s="26">
        <f t="shared" si="9"/>
        <v>-0.57049941292061346</v>
      </c>
      <c r="Y19" s="25">
        <f>4365.88/1000*1</f>
        <v>4.3658799999999998</v>
      </c>
      <c r="Z19" s="99">
        <f t="shared" si="10"/>
        <v>-2.6939500000000001</v>
      </c>
      <c r="AA19" s="27">
        <f t="shared" si="11"/>
        <v>-0.61704627703922243</v>
      </c>
      <c r="AB19" s="28">
        <f>4365.88/1000*1</f>
        <v>4.3658799999999998</v>
      </c>
      <c r="AC19" s="1"/>
      <c r="AD19" s="1"/>
      <c r="AE19" s="1"/>
      <c r="AF19" s="1"/>
      <c r="AG19" s="1"/>
      <c r="AH19" s="1"/>
      <c r="AI19" s="1"/>
    </row>
    <row r="20" spans="1:35" ht="14.25" hidden="1" outlineLevel="1" x14ac:dyDescent="0.2">
      <c r="A20" s="1"/>
      <c r="B20" s="3"/>
      <c r="C20" s="3"/>
      <c r="D20" s="3" t="s">
        <v>50</v>
      </c>
      <c r="E20" s="3" t="s">
        <v>55</v>
      </c>
      <c r="F20" s="3">
        <v>931</v>
      </c>
      <c r="G20" s="24">
        <f>15307/1000*1</f>
        <v>15.307</v>
      </c>
      <c r="H20" s="25">
        <f>20517.15/1000*1</f>
        <v>20.517150000000001</v>
      </c>
      <c r="I20" s="99">
        <f t="shared" si="0"/>
        <v>-5.2101500000000005</v>
      </c>
      <c r="J20" s="26">
        <f t="shared" si="1"/>
        <v>-0.25394121503230227</v>
      </c>
      <c r="K20" s="25">
        <f t="shared" si="13"/>
        <v>0</v>
      </c>
      <c r="L20" s="99">
        <f t="shared" si="2"/>
        <v>-15.307</v>
      </c>
      <c r="M20" s="27" t="str">
        <f t="shared" si="3"/>
        <v>N/A</v>
      </c>
      <c r="N20" s="24">
        <f>41290/1000*1</f>
        <v>41.29</v>
      </c>
      <c r="O20" s="25">
        <f>60543.27/1000*1</f>
        <v>60.54327</v>
      </c>
      <c r="P20" s="99">
        <f t="shared" si="4"/>
        <v>-19.253270000000001</v>
      </c>
      <c r="Q20" s="26">
        <f t="shared" si="5"/>
        <v>-0.31800842603975638</v>
      </c>
      <c r="R20" s="25">
        <f>25958/1000*1</f>
        <v>25.957999999999998</v>
      </c>
      <c r="S20" s="99">
        <f t="shared" si="6"/>
        <v>-15.332000000000001</v>
      </c>
      <c r="T20" s="27">
        <f t="shared" si="7"/>
        <v>-0.59064642884659846</v>
      </c>
      <c r="U20" s="24">
        <f>72850.03/1000*1</f>
        <v>72.850030000000004</v>
      </c>
      <c r="V20" s="25">
        <f>96029.81/1000*1</f>
        <v>96.029809999999998</v>
      </c>
      <c r="W20" s="99">
        <f t="shared" si="8"/>
        <v>-23.179779999999994</v>
      </c>
      <c r="X20" s="26">
        <f t="shared" si="9"/>
        <v>-0.2413810878101289</v>
      </c>
      <c r="Y20" s="25">
        <f>57518.03/1000*1</f>
        <v>57.518029999999996</v>
      </c>
      <c r="Z20" s="99">
        <f t="shared" si="10"/>
        <v>-15.332000000000008</v>
      </c>
      <c r="AA20" s="27">
        <f t="shared" si="11"/>
        <v>-0.26655989434965016</v>
      </c>
      <c r="AB20" s="28">
        <f>57518.03/1000*1</f>
        <v>57.518029999999996</v>
      </c>
      <c r="AC20" s="1"/>
      <c r="AD20" s="1"/>
      <c r="AE20" s="1"/>
      <c r="AF20" s="1"/>
      <c r="AG20" s="1"/>
      <c r="AH20" s="1"/>
      <c r="AI20" s="1"/>
    </row>
    <row r="21" spans="1:35" ht="14.25" hidden="1" outlineLevel="1" x14ac:dyDescent="0.2">
      <c r="A21" s="1"/>
      <c r="B21" s="3"/>
      <c r="C21" s="3"/>
      <c r="D21" s="3" t="s">
        <v>50</v>
      </c>
      <c r="E21" s="3" t="s">
        <v>56</v>
      </c>
      <c r="F21" s="3">
        <v>930</v>
      </c>
      <c r="G21" s="24">
        <f>0/1000*1</f>
        <v>0</v>
      </c>
      <c r="H21" s="25">
        <f>0/1000*1</f>
        <v>0</v>
      </c>
      <c r="I21" s="99">
        <f t="shared" si="0"/>
        <v>0</v>
      </c>
      <c r="J21" s="26" t="str">
        <f t="shared" si="1"/>
        <v>N/A</v>
      </c>
      <c r="K21" s="25">
        <f t="shared" si="13"/>
        <v>0</v>
      </c>
      <c r="L21" s="99">
        <f t="shared" si="2"/>
        <v>0</v>
      </c>
      <c r="M21" s="27" t="str">
        <f t="shared" si="3"/>
        <v>N/A</v>
      </c>
      <c r="N21" s="24">
        <f>0/1000*1</f>
        <v>0</v>
      </c>
      <c r="O21" s="25">
        <f>0/1000*1</f>
        <v>0</v>
      </c>
      <c r="P21" s="99">
        <f t="shared" si="4"/>
        <v>0</v>
      </c>
      <c r="Q21" s="26" t="str">
        <f t="shared" si="5"/>
        <v>N/A</v>
      </c>
      <c r="R21" s="25">
        <f>0/1000*1</f>
        <v>0</v>
      </c>
      <c r="S21" s="99">
        <f t="shared" si="6"/>
        <v>0</v>
      </c>
      <c r="T21" s="27" t="str">
        <f t="shared" si="7"/>
        <v>N/A</v>
      </c>
      <c r="U21" s="24">
        <f>0/1000*1</f>
        <v>0</v>
      </c>
      <c r="V21" s="25">
        <f>0/1000*1</f>
        <v>0</v>
      </c>
      <c r="W21" s="99">
        <f t="shared" si="8"/>
        <v>0</v>
      </c>
      <c r="X21" s="26" t="str">
        <f t="shared" si="9"/>
        <v>N/A</v>
      </c>
      <c r="Y21" s="25">
        <f>0/1000*1</f>
        <v>0</v>
      </c>
      <c r="Z21" s="99">
        <f t="shared" si="10"/>
        <v>0</v>
      </c>
      <c r="AA21" s="27" t="str">
        <f t="shared" si="11"/>
        <v>N/A</v>
      </c>
      <c r="AB21" s="28">
        <f>0/1000*1</f>
        <v>0</v>
      </c>
      <c r="AC21" s="1"/>
      <c r="AD21" s="1"/>
      <c r="AE21" s="1"/>
      <c r="AF21" s="1"/>
      <c r="AG21" s="1"/>
      <c r="AH21" s="1"/>
      <c r="AI21" s="1"/>
    </row>
    <row r="22" spans="1:35" ht="14.25" hidden="1" outlineLevel="1" x14ac:dyDescent="0.2">
      <c r="A22" s="1"/>
      <c r="B22" s="3"/>
      <c r="C22" s="3"/>
      <c r="D22" s="3" t="s">
        <v>50</v>
      </c>
      <c r="E22" s="3" t="s">
        <v>57</v>
      </c>
      <c r="F22" s="3">
        <v>930</v>
      </c>
      <c r="G22" s="24">
        <f>0/1000*1</f>
        <v>0</v>
      </c>
      <c r="H22" s="25">
        <f>0/1000*1</f>
        <v>0</v>
      </c>
      <c r="I22" s="99">
        <f t="shared" si="0"/>
        <v>0</v>
      </c>
      <c r="J22" s="26" t="str">
        <f t="shared" si="1"/>
        <v>N/A</v>
      </c>
      <c r="K22" s="25">
        <f t="shared" si="13"/>
        <v>0</v>
      </c>
      <c r="L22" s="99">
        <f t="shared" si="2"/>
        <v>0</v>
      </c>
      <c r="M22" s="27" t="str">
        <f t="shared" si="3"/>
        <v>N/A</v>
      </c>
      <c r="N22" s="24">
        <f>834/1000*1</f>
        <v>0.83399999999999996</v>
      </c>
      <c r="O22" s="25">
        <f>110/1000*1</f>
        <v>0.11</v>
      </c>
      <c r="P22" s="99">
        <f t="shared" si="4"/>
        <v>0.72399999999999998</v>
      </c>
      <c r="Q22" s="26" t="str">
        <f t="shared" si="5"/>
        <v>N/A</v>
      </c>
      <c r="R22" s="25">
        <f>834/1000*1</f>
        <v>0.83399999999999996</v>
      </c>
      <c r="S22" s="99">
        <f t="shared" si="6"/>
        <v>0</v>
      </c>
      <c r="T22" s="27">
        <f t="shared" si="7"/>
        <v>0</v>
      </c>
      <c r="U22" s="24">
        <f>2370/1000*1</f>
        <v>2.37</v>
      </c>
      <c r="V22" s="25">
        <f>110/1000*1</f>
        <v>0.11</v>
      </c>
      <c r="W22" s="99">
        <f t="shared" si="8"/>
        <v>2.2600000000000002</v>
      </c>
      <c r="X22" s="26" t="str">
        <f t="shared" si="9"/>
        <v>N/A</v>
      </c>
      <c r="Y22" s="25">
        <f>2370/1000*1</f>
        <v>2.37</v>
      </c>
      <c r="Z22" s="99">
        <f t="shared" si="10"/>
        <v>0</v>
      </c>
      <c r="AA22" s="27">
        <f t="shared" si="11"/>
        <v>0</v>
      </c>
      <c r="AB22" s="28">
        <f>2370/1000*1</f>
        <v>2.37</v>
      </c>
      <c r="AC22" s="1"/>
      <c r="AD22" s="1"/>
      <c r="AE22" s="1"/>
      <c r="AF22" s="1"/>
      <c r="AG22" s="1"/>
      <c r="AH22" s="1"/>
      <c r="AI22" s="1"/>
    </row>
    <row r="23" spans="1:35" ht="14.25" hidden="1" outlineLevel="1" x14ac:dyDescent="0.2">
      <c r="A23" s="1"/>
      <c r="B23" s="3"/>
      <c r="C23" s="3"/>
      <c r="D23" s="3"/>
      <c r="E23" s="3"/>
      <c r="F23" s="3"/>
      <c r="G23" s="24"/>
      <c r="H23" s="25"/>
      <c r="I23" s="99"/>
      <c r="J23" s="26"/>
      <c r="K23" s="25"/>
      <c r="L23" s="99"/>
      <c r="M23" s="27"/>
      <c r="N23" s="24"/>
      <c r="O23" s="25"/>
      <c r="P23" s="99"/>
      <c r="Q23" s="26"/>
      <c r="R23" s="25"/>
      <c r="S23" s="99"/>
      <c r="T23" s="27"/>
      <c r="U23" s="24"/>
      <c r="V23" s="25"/>
      <c r="W23" s="99"/>
      <c r="X23" s="26"/>
      <c r="Y23" s="25"/>
      <c r="Z23" s="99"/>
      <c r="AA23" s="27"/>
      <c r="AB23" s="28"/>
      <c r="AC23" s="1"/>
      <c r="AD23" s="1"/>
      <c r="AE23" s="1"/>
      <c r="AF23" s="1"/>
      <c r="AG23" s="1"/>
      <c r="AH23" s="1"/>
      <c r="AI23" s="1"/>
    </row>
    <row r="24" spans="1:35" ht="14.25" hidden="1" outlineLevel="1" x14ac:dyDescent="0.2">
      <c r="A24" s="1"/>
      <c r="B24" s="3"/>
      <c r="C24" s="3"/>
      <c r="D24" s="3"/>
      <c r="E24" s="3"/>
      <c r="F24" s="3"/>
      <c r="G24" s="24"/>
      <c r="H24" s="25"/>
      <c r="I24" s="99"/>
      <c r="J24" s="26"/>
      <c r="K24" s="25"/>
      <c r="L24" s="99"/>
      <c r="M24" s="27"/>
      <c r="N24" s="24"/>
      <c r="O24" s="25"/>
      <c r="P24" s="99"/>
      <c r="Q24" s="26"/>
      <c r="R24" s="25"/>
      <c r="S24" s="99"/>
      <c r="T24" s="27"/>
      <c r="U24" s="24"/>
      <c r="V24" s="25"/>
      <c r="W24" s="99"/>
      <c r="X24" s="26"/>
      <c r="Y24" s="25"/>
      <c r="Z24" s="99"/>
      <c r="AA24" s="27"/>
      <c r="AB24" s="28"/>
      <c r="AC24" s="1"/>
      <c r="AD24" s="1"/>
      <c r="AE24" s="1"/>
      <c r="AF24" s="1"/>
      <c r="AG24" s="1"/>
      <c r="AH24" s="1"/>
      <c r="AI24" s="1"/>
    </row>
    <row r="25" spans="1:35" ht="14.25" collapsed="1" x14ac:dyDescent="0.2">
      <c r="A25" s="1"/>
      <c r="B25" s="3" t="s">
        <v>58</v>
      </c>
      <c r="C25" s="3"/>
      <c r="D25" s="3"/>
      <c r="E25" s="3"/>
      <c r="F25" s="3"/>
      <c r="G25" s="102">
        <f>SUM(G26:G49)</f>
        <v>2096.4807500000002</v>
      </c>
      <c r="H25" s="103">
        <f>SUM(H26:H49)</f>
        <v>2370.8642200000004</v>
      </c>
      <c r="I25" s="89">
        <f t="shared" ref="I25:I48" si="14">G25-H25</f>
        <v>-274.38347000000022</v>
      </c>
      <c r="J25" s="26">
        <f t="shared" ref="J25:J48" si="15">IF(ISERROR(I25/H25),"N/A",IF(ABS(I25/H25)&gt;5,"N/A",I25/H25))</f>
        <v>-0.11573141459783816</v>
      </c>
      <c r="K25" s="103">
        <f>SUM(K26:K49)</f>
        <v>1860.369085412</v>
      </c>
      <c r="L25" s="89">
        <f t="shared" ref="L25:L48" si="16">K25-G25</f>
        <v>-236.11166458800017</v>
      </c>
      <c r="M25" s="27">
        <f t="shared" ref="M25:M48" si="17">IF(ISERROR(L25/K25),"N/A",IF(ABS(L25/K25)&gt;5,"N/A",L25/K25))</f>
        <v>-0.12691657071677825</v>
      </c>
      <c r="N25" s="102">
        <f>SUM(N26:N49)</f>
        <v>6695.6872199999989</v>
      </c>
      <c r="O25" s="103">
        <f>SUM(O26:O49)</f>
        <v>7577.1021900000014</v>
      </c>
      <c r="P25" s="89">
        <f t="shared" ref="P25:P48" si="18">N25-O25</f>
        <v>-881.41497000000254</v>
      </c>
      <c r="Q25" s="26">
        <f t="shared" ref="Q25:Q48" si="19">IF(ISERROR(P25/O25),"N/A",IF(ABS(P25/O25)&gt;5,"N/A",P25/O25))</f>
        <v>-0.11632612942230919</v>
      </c>
      <c r="R25" s="103">
        <f>SUM(R26:R49)</f>
        <v>6332.0164313810001</v>
      </c>
      <c r="S25" s="89">
        <f t="shared" ref="S25:S48" si="20">R25-N25</f>
        <v>-363.67078861899881</v>
      </c>
      <c r="T25" s="27">
        <f t="shared" ref="T25:T48" si="21">IF(ISERROR(S25/R25),"N/A",IF(ABS(S25/R25)&gt;5,"N/A",S25/R25))</f>
        <v>-5.7433645752508408E-2</v>
      </c>
      <c r="U25" s="102">
        <f>SUM(U26:U49)</f>
        <v>16065.457249999998</v>
      </c>
      <c r="V25" s="103">
        <f>SUM(V26:V49)</f>
        <v>15838.155129999999</v>
      </c>
      <c r="W25" s="89">
        <f t="shared" ref="W25:W48" si="22">U25-V25</f>
        <v>227.30211999999847</v>
      </c>
      <c r="X25" s="26">
        <f t="shared" ref="X25:X48" si="23">IF(ISERROR(W25/V25),"N/A",IF(ABS(W25/V25)&gt;5,"N/A",W25/V25))</f>
        <v>1.4351552825079475E-2</v>
      </c>
      <c r="Y25" s="103">
        <f>SUM(Y26:Y49)</f>
        <v>15701.786461381002</v>
      </c>
      <c r="Z25" s="89">
        <f t="shared" ref="Z25:Z48" si="24">Y25-U25</f>
        <v>-363.67078861899608</v>
      </c>
      <c r="AA25" s="27">
        <f t="shared" ref="AA25:AA48" si="25">IF(ISERROR(Z25/Y25),"N/A",IF(ABS(Z25/Y25)&gt;5,"N/A",Z25/Y25))</f>
        <v>-2.3161109056823243E-2</v>
      </c>
      <c r="AB25" s="104">
        <f>SUM(AB26:AB49)</f>
        <v>32809.517938292993</v>
      </c>
      <c r="AC25" s="1"/>
      <c r="AD25" s="1"/>
      <c r="AE25" s="1"/>
      <c r="AF25" s="1"/>
      <c r="AG25" s="1"/>
      <c r="AH25" s="1"/>
      <c r="AI25" s="1"/>
    </row>
    <row r="26" spans="1:35" ht="14.25" hidden="1" outlineLevel="1" x14ac:dyDescent="0.2">
      <c r="A26" s="1"/>
      <c r="B26" s="3"/>
      <c r="C26" s="3"/>
      <c r="D26" s="3" t="s">
        <v>59</v>
      </c>
      <c r="E26" s="3" t="s">
        <v>51</v>
      </c>
      <c r="F26" s="3">
        <v>810</v>
      </c>
      <c r="G26" s="105">
        <f>13860.09/1000*1</f>
        <v>13.86009</v>
      </c>
      <c r="H26" s="106">
        <f>69694.08/1000*1</f>
        <v>69.69408</v>
      </c>
      <c r="I26" s="89">
        <f t="shared" si="14"/>
        <v>-55.83399</v>
      </c>
      <c r="J26" s="26">
        <f t="shared" si="15"/>
        <v>-0.80112959379046256</v>
      </c>
      <c r="K26" s="106">
        <f>25155.823667/1000*1</f>
        <v>25.155823667</v>
      </c>
      <c r="L26" s="89">
        <f t="shared" si="16"/>
        <v>11.295733667</v>
      </c>
      <c r="M26" s="27">
        <f t="shared" si="17"/>
        <v>0.44903056312236794</v>
      </c>
      <c r="N26" s="105">
        <f>48880.1/1000*1</f>
        <v>48.880099999999999</v>
      </c>
      <c r="O26" s="106">
        <f>291132.64/1000*1</f>
        <v>291.13264000000004</v>
      </c>
      <c r="P26" s="89">
        <f t="shared" si="18"/>
        <v>-242.25254000000004</v>
      </c>
      <c r="Q26" s="26">
        <f t="shared" si="19"/>
        <v>-0.83210367618003944</v>
      </c>
      <c r="R26" s="106">
        <f>69907.420134/1000*1</f>
        <v>69.907420134000006</v>
      </c>
      <c r="S26" s="89">
        <f t="shared" si="20"/>
        <v>21.027320134000007</v>
      </c>
      <c r="T26" s="27">
        <f t="shared" si="21"/>
        <v>0.30078810080095075</v>
      </c>
      <c r="U26" s="105">
        <f>122704.69/1000*1</f>
        <v>122.70469</v>
      </c>
      <c r="V26" s="106">
        <f>587007.17/1000*1</f>
        <v>587.00717000000009</v>
      </c>
      <c r="W26" s="89">
        <f t="shared" si="22"/>
        <v>-464.30248000000006</v>
      </c>
      <c r="X26" s="26">
        <f t="shared" si="23"/>
        <v>-0.79096560268590921</v>
      </c>
      <c r="Y26" s="106">
        <f>143732.010134/1000*1</f>
        <v>143.73201013400001</v>
      </c>
      <c r="Z26" s="89">
        <f t="shared" si="24"/>
        <v>21.027320134000007</v>
      </c>
      <c r="AA26" s="27">
        <f t="shared" si="25"/>
        <v>0.14629531803247192</v>
      </c>
      <c r="AB26" s="107">
        <f>409901.250661/1000*1</f>
        <v>409.90125066100001</v>
      </c>
      <c r="AC26" s="1"/>
      <c r="AD26" s="1"/>
      <c r="AE26" s="1"/>
      <c r="AF26" s="1"/>
      <c r="AG26" s="1"/>
      <c r="AH26" s="1"/>
      <c r="AI26" s="1"/>
    </row>
    <row r="27" spans="1:35" ht="14.25" hidden="1" outlineLevel="1" x14ac:dyDescent="0.2">
      <c r="A27" s="1"/>
      <c r="B27" s="3"/>
      <c r="C27" s="3"/>
      <c r="D27" s="3" t="s">
        <v>59</v>
      </c>
      <c r="E27" s="3" t="s">
        <v>51</v>
      </c>
      <c r="F27" s="3">
        <v>811</v>
      </c>
      <c r="G27" s="105">
        <f>120333.6/1000*1</f>
        <v>120.3336</v>
      </c>
      <c r="H27" s="106">
        <f>-51513.07/1000*1</f>
        <v>-51.513069999999999</v>
      </c>
      <c r="I27" s="89">
        <f t="shared" si="14"/>
        <v>171.84667000000002</v>
      </c>
      <c r="J27" s="26">
        <f t="shared" si="15"/>
        <v>-3.3359819168222749</v>
      </c>
      <c r="K27" s="106">
        <f>128573.192949/1000*1</f>
        <v>128.573192949</v>
      </c>
      <c r="L27" s="89">
        <f t="shared" si="16"/>
        <v>8.2395929489999986</v>
      </c>
      <c r="M27" s="27">
        <f t="shared" si="17"/>
        <v>6.4084843504417954E-2</v>
      </c>
      <c r="N27" s="105">
        <f>290098.28/1000*1</f>
        <v>290.09828000000005</v>
      </c>
      <c r="O27" s="106">
        <f>193963.21/1000*1</f>
        <v>193.96321</v>
      </c>
      <c r="P27" s="89">
        <f t="shared" si="18"/>
        <v>96.135070000000042</v>
      </c>
      <c r="Q27" s="26">
        <f t="shared" si="19"/>
        <v>0.49563558986263445</v>
      </c>
      <c r="R27" s="106">
        <f>316539.823498/1000*1</f>
        <v>316.53982349799998</v>
      </c>
      <c r="S27" s="89">
        <f t="shared" si="20"/>
        <v>26.44154349799993</v>
      </c>
      <c r="T27" s="27">
        <f t="shared" si="21"/>
        <v>8.35330708338725E-2</v>
      </c>
      <c r="U27" s="105">
        <f>826416.9/1000*1</f>
        <v>826.41690000000006</v>
      </c>
      <c r="V27" s="106">
        <f>581922.62/1000*1</f>
        <v>581.92262000000005</v>
      </c>
      <c r="W27" s="89">
        <f t="shared" si="22"/>
        <v>244.49428</v>
      </c>
      <c r="X27" s="26">
        <f t="shared" si="23"/>
        <v>0.42014912566897639</v>
      </c>
      <c r="Y27" s="106">
        <f>852858.443498/1000*1</f>
        <v>852.85844349800004</v>
      </c>
      <c r="Z27" s="89">
        <f t="shared" si="24"/>
        <v>26.441543497999987</v>
      </c>
      <c r="AA27" s="27">
        <f t="shared" si="25"/>
        <v>3.1003437557058075E-2</v>
      </c>
      <c r="AB27" s="107">
        <f>1768235.366717/1000*1</f>
        <v>1768.235366717</v>
      </c>
      <c r="AC27" s="1"/>
      <c r="AD27" s="1"/>
      <c r="AE27" s="1"/>
      <c r="AF27" s="1"/>
      <c r="AG27" s="1"/>
      <c r="AH27" s="1"/>
      <c r="AI27" s="1"/>
    </row>
    <row r="28" spans="1:35" ht="14.25" hidden="1" outlineLevel="1" x14ac:dyDescent="0.2">
      <c r="A28" s="1"/>
      <c r="B28" s="3"/>
      <c r="C28" s="3"/>
      <c r="D28" s="3" t="s">
        <v>59</v>
      </c>
      <c r="E28" s="3" t="s">
        <v>51</v>
      </c>
      <c r="F28" s="3">
        <v>815</v>
      </c>
      <c r="G28" s="105">
        <f>139981.69/1000*1</f>
        <v>139.98169000000001</v>
      </c>
      <c r="H28" s="106">
        <f>99562.64/1000*1</f>
        <v>99.562640000000002</v>
      </c>
      <c r="I28" s="89">
        <f t="shared" si="14"/>
        <v>40.419050000000013</v>
      </c>
      <c r="J28" s="26">
        <f t="shared" si="15"/>
        <v>0.40596603304211309</v>
      </c>
      <c r="K28" s="106">
        <f>223622.799433/1000*1</f>
        <v>223.62279943300001</v>
      </c>
      <c r="L28" s="89">
        <f t="shared" si="16"/>
        <v>83.641109432999997</v>
      </c>
      <c r="M28" s="27">
        <f t="shared" si="17"/>
        <v>0.37402764675638472</v>
      </c>
      <c r="N28" s="105">
        <f>601664.46/1000*1</f>
        <v>601.66445999999996</v>
      </c>
      <c r="O28" s="106">
        <f>277311.2/1000*1</f>
        <v>277.31119999999999</v>
      </c>
      <c r="P28" s="89">
        <f t="shared" si="18"/>
        <v>324.35325999999998</v>
      </c>
      <c r="Q28" s="26">
        <f t="shared" si="19"/>
        <v>1.1696363507856877</v>
      </c>
      <c r="R28" s="106">
        <f>671178.271661/1000*1</f>
        <v>671.17827166099994</v>
      </c>
      <c r="S28" s="89">
        <f t="shared" si="20"/>
        <v>69.513811660999977</v>
      </c>
      <c r="T28" s="27">
        <f t="shared" si="21"/>
        <v>0.10356981832706014</v>
      </c>
      <c r="U28" s="105">
        <f>1670723.88/1000*1</f>
        <v>1670.7238799999998</v>
      </c>
      <c r="V28" s="106">
        <f>569410.05/1000*1</f>
        <v>569.41005000000007</v>
      </c>
      <c r="W28" s="89">
        <f t="shared" si="22"/>
        <v>1101.3138299999996</v>
      </c>
      <c r="X28" s="26">
        <f t="shared" si="23"/>
        <v>1.9341313522653831</v>
      </c>
      <c r="Y28" s="106">
        <f>1740237.691661/1000*1</f>
        <v>1740.2376916610001</v>
      </c>
      <c r="Z28" s="89">
        <f t="shared" si="24"/>
        <v>69.513811661000318</v>
      </c>
      <c r="AA28" s="27">
        <f t="shared" si="25"/>
        <v>3.9945009807626712E-2</v>
      </c>
      <c r="AB28" s="107">
        <f>3719994.47592/1000*1</f>
        <v>3719.9944759200002</v>
      </c>
      <c r="AC28" s="1"/>
      <c r="AD28" s="1"/>
      <c r="AE28" s="1"/>
      <c r="AF28" s="1"/>
      <c r="AG28" s="1"/>
      <c r="AH28" s="1"/>
      <c r="AI28" s="1"/>
    </row>
    <row r="29" spans="1:35" ht="14.25" hidden="1" outlineLevel="1" x14ac:dyDescent="0.2">
      <c r="A29" s="1"/>
      <c r="B29" s="3"/>
      <c r="C29" s="3"/>
      <c r="D29" s="3" t="s">
        <v>59</v>
      </c>
      <c r="E29" s="3" t="s">
        <v>51</v>
      </c>
      <c r="F29" s="3">
        <v>830</v>
      </c>
      <c r="G29" s="105">
        <f>382252.37/1000*1</f>
        <v>382.25236999999998</v>
      </c>
      <c r="H29" s="106">
        <f>335500.12/1000*1</f>
        <v>335.50011999999998</v>
      </c>
      <c r="I29" s="89">
        <f t="shared" si="14"/>
        <v>46.752250000000004</v>
      </c>
      <c r="J29" s="26">
        <f t="shared" si="15"/>
        <v>0.13935091886107226</v>
      </c>
      <c r="K29" s="106">
        <f>276841.585796/1000*1</f>
        <v>276.841585796</v>
      </c>
      <c r="L29" s="89">
        <f t="shared" si="16"/>
        <v>-105.41078420399998</v>
      </c>
      <c r="M29" s="27">
        <f t="shared" si="17"/>
        <v>-0.38076210227200274</v>
      </c>
      <c r="N29" s="105">
        <f>1017090.95/1000*1</f>
        <v>1017.0909499999999</v>
      </c>
      <c r="O29" s="106">
        <f>901282.62/1000*1</f>
        <v>901.28261999999995</v>
      </c>
      <c r="P29" s="89">
        <f t="shared" si="18"/>
        <v>115.80832999999996</v>
      </c>
      <c r="Q29" s="26">
        <f t="shared" si="19"/>
        <v>0.1284928028457932</v>
      </c>
      <c r="R29" s="106">
        <f>900326.360747/1000*1</f>
        <v>900.32636074699997</v>
      </c>
      <c r="S29" s="89">
        <f t="shared" si="20"/>
        <v>-116.76458925299994</v>
      </c>
      <c r="T29" s="27">
        <f t="shared" si="21"/>
        <v>-0.12969140341078148</v>
      </c>
      <c r="U29" s="105">
        <f>2023622.39/1000*1</f>
        <v>2023.62239</v>
      </c>
      <c r="V29" s="106">
        <f>1746845.43/1000*1</f>
        <v>1746.8454299999999</v>
      </c>
      <c r="W29" s="89">
        <f t="shared" si="22"/>
        <v>276.77696000000014</v>
      </c>
      <c r="X29" s="26">
        <f t="shared" si="23"/>
        <v>0.15844387559808321</v>
      </c>
      <c r="Y29" s="106">
        <f>1906857.800747/1000*1</f>
        <v>1906.8578007469998</v>
      </c>
      <c r="Z29" s="89">
        <f t="shared" si="24"/>
        <v>-116.76458925300017</v>
      </c>
      <c r="AA29" s="27">
        <f t="shared" si="25"/>
        <v>-6.1234030774218379E-2</v>
      </c>
      <c r="AB29" s="107">
        <f>4207383.174585/1000*1</f>
        <v>4207.3831745849993</v>
      </c>
      <c r="AC29" s="1"/>
      <c r="AD29" s="1"/>
      <c r="AE29" s="1"/>
      <c r="AF29" s="1"/>
      <c r="AG29" s="1"/>
      <c r="AH29" s="1"/>
      <c r="AI29" s="1"/>
    </row>
    <row r="30" spans="1:35" ht="14.25" hidden="1" outlineLevel="1" x14ac:dyDescent="0.2">
      <c r="A30" s="1"/>
      <c r="B30" s="3"/>
      <c r="C30" s="3"/>
      <c r="D30" s="3" t="s">
        <v>59</v>
      </c>
      <c r="E30" s="3" t="s">
        <v>51</v>
      </c>
      <c r="F30" s="3">
        <v>831</v>
      </c>
      <c r="G30" s="105">
        <f>69999.81/1000*1</f>
        <v>69.999809999999997</v>
      </c>
      <c r="H30" s="106">
        <f>101004.42/1000*1</f>
        <v>101.00442</v>
      </c>
      <c r="I30" s="89">
        <f t="shared" si="14"/>
        <v>-31.00461</v>
      </c>
      <c r="J30" s="26">
        <f t="shared" si="15"/>
        <v>-0.30696290320760222</v>
      </c>
      <c r="K30" s="106">
        <f>61068.30621/1000*1</f>
        <v>61.068306210000003</v>
      </c>
      <c r="L30" s="89">
        <f t="shared" si="16"/>
        <v>-8.9315037899999936</v>
      </c>
      <c r="M30" s="27">
        <f t="shared" si="17"/>
        <v>-0.14625432313918427</v>
      </c>
      <c r="N30" s="105">
        <f>261708.61/1000*1</f>
        <v>261.70860999999996</v>
      </c>
      <c r="O30" s="106">
        <f>311276.43/1000*1</f>
        <v>311.27643</v>
      </c>
      <c r="P30" s="89">
        <f t="shared" si="18"/>
        <v>-49.56782000000004</v>
      </c>
      <c r="Q30" s="26">
        <f t="shared" si="19"/>
        <v>-0.15924051814652346</v>
      </c>
      <c r="R30" s="106">
        <f>220723.195644/1000*1</f>
        <v>220.72319564399999</v>
      </c>
      <c r="S30" s="89">
        <f t="shared" si="20"/>
        <v>-40.985414355999978</v>
      </c>
      <c r="T30" s="27">
        <f t="shared" si="21"/>
        <v>-0.18568693805115313</v>
      </c>
      <c r="U30" s="105">
        <f>771407.01/1000*1</f>
        <v>771.40701000000001</v>
      </c>
      <c r="V30" s="106">
        <f>596952.66/1000*1</f>
        <v>596.95266000000004</v>
      </c>
      <c r="W30" s="89">
        <f t="shared" si="22"/>
        <v>174.45434999999998</v>
      </c>
      <c r="X30" s="26">
        <f t="shared" si="23"/>
        <v>0.29224151543273125</v>
      </c>
      <c r="Y30" s="106">
        <f>730421.595644/1000*1</f>
        <v>730.42159564400004</v>
      </c>
      <c r="Z30" s="89">
        <f t="shared" si="24"/>
        <v>-40.985414355999978</v>
      </c>
      <c r="AA30" s="27">
        <f t="shared" si="25"/>
        <v>-5.6111996962334952E-2</v>
      </c>
      <c r="AB30" s="107">
        <f>1282583.384554/1000*1</f>
        <v>1282.5833845540001</v>
      </c>
      <c r="AC30" s="1"/>
      <c r="AD30" s="1"/>
      <c r="AE30" s="1"/>
      <c r="AF30" s="1"/>
      <c r="AG30" s="1"/>
      <c r="AH30" s="1"/>
      <c r="AI30" s="1"/>
    </row>
    <row r="31" spans="1:35" ht="14.25" hidden="1" outlineLevel="1" x14ac:dyDescent="0.2">
      <c r="A31" s="1"/>
      <c r="B31" s="3"/>
      <c r="C31" s="3"/>
      <c r="D31" s="3" t="s">
        <v>59</v>
      </c>
      <c r="E31" s="3" t="s">
        <v>51</v>
      </c>
      <c r="F31" s="3">
        <v>832</v>
      </c>
      <c r="G31" s="105">
        <f>0/1000*1</f>
        <v>0</v>
      </c>
      <c r="H31" s="106">
        <f>0/1000*1</f>
        <v>0</v>
      </c>
      <c r="I31" s="89">
        <f t="shared" si="14"/>
        <v>0</v>
      </c>
      <c r="J31" s="26" t="str">
        <f t="shared" si="15"/>
        <v>N/A</v>
      </c>
      <c r="K31" s="106">
        <f>0/1000*1</f>
        <v>0</v>
      </c>
      <c r="L31" s="89">
        <f t="shared" si="16"/>
        <v>0</v>
      </c>
      <c r="M31" s="27" t="str">
        <f t="shared" si="17"/>
        <v>N/A</v>
      </c>
      <c r="N31" s="105">
        <f>0/1000*1</f>
        <v>0</v>
      </c>
      <c r="O31" s="106">
        <f>26143.48/1000*1</f>
        <v>26.14348</v>
      </c>
      <c r="P31" s="89">
        <f t="shared" si="18"/>
        <v>-26.14348</v>
      </c>
      <c r="Q31" s="26">
        <f t="shared" si="19"/>
        <v>-1</v>
      </c>
      <c r="R31" s="106">
        <f>0/1000*1</f>
        <v>0</v>
      </c>
      <c r="S31" s="89">
        <f t="shared" si="20"/>
        <v>0</v>
      </c>
      <c r="T31" s="27" t="str">
        <f t="shared" si="21"/>
        <v>N/A</v>
      </c>
      <c r="U31" s="105">
        <f>0/1000*1</f>
        <v>0</v>
      </c>
      <c r="V31" s="106">
        <f>62934.96/1000*1</f>
        <v>62.934959999999997</v>
      </c>
      <c r="W31" s="89">
        <f t="shared" si="22"/>
        <v>-62.934959999999997</v>
      </c>
      <c r="X31" s="26">
        <f t="shared" si="23"/>
        <v>-1</v>
      </c>
      <c r="Y31" s="106">
        <f>0/1000*1</f>
        <v>0</v>
      </c>
      <c r="Z31" s="89">
        <f t="shared" si="24"/>
        <v>0</v>
      </c>
      <c r="AA31" s="27" t="str">
        <f t="shared" si="25"/>
        <v>N/A</v>
      </c>
      <c r="AB31" s="107">
        <f>0/1000*1</f>
        <v>0</v>
      </c>
      <c r="AC31" s="1"/>
      <c r="AD31" s="1"/>
      <c r="AE31" s="1"/>
      <c r="AF31" s="1"/>
      <c r="AG31" s="1"/>
      <c r="AH31" s="1"/>
      <c r="AI31" s="1"/>
    </row>
    <row r="32" spans="1:35" ht="14.25" hidden="1" outlineLevel="1" x14ac:dyDescent="0.2">
      <c r="A32" s="1"/>
      <c r="B32" s="3"/>
      <c r="C32" s="3"/>
      <c r="D32" s="3" t="s">
        <v>59</v>
      </c>
      <c r="E32" s="3" t="s">
        <v>51</v>
      </c>
      <c r="F32" s="3">
        <v>840</v>
      </c>
      <c r="G32" s="105">
        <f>271305.05/1000*1</f>
        <v>271.30504999999999</v>
      </c>
      <c r="H32" s="106">
        <f>390475.69/1000*1</f>
        <v>390.47568999999999</v>
      </c>
      <c r="I32" s="89">
        <f t="shared" si="14"/>
        <v>-119.17063999999999</v>
      </c>
      <c r="J32" s="26">
        <f t="shared" si="15"/>
        <v>-0.30519349360775827</v>
      </c>
      <c r="K32" s="106">
        <f>268887.368808/1000*1</f>
        <v>268.88736880800002</v>
      </c>
      <c r="L32" s="89">
        <f t="shared" si="16"/>
        <v>-2.417681191999975</v>
      </c>
      <c r="M32" s="27">
        <f t="shared" si="17"/>
        <v>-8.991427164160801E-3</v>
      </c>
      <c r="N32" s="105">
        <f>889498.39/1000*1</f>
        <v>889.49838999999997</v>
      </c>
      <c r="O32" s="106">
        <f>1442841.7/1000*1</f>
        <v>1442.8416999999999</v>
      </c>
      <c r="P32" s="89">
        <f t="shared" si="18"/>
        <v>-553.34330999999997</v>
      </c>
      <c r="Q32" s="26">
        <f t="shared" si="19"/>
        <v>-0.38350936904582117</v>
      </c>
      <c r="R32" s="106">
        <f>974146.554859/1000*1</f>
        <v>974.14655485900005</v>
      </c>
      <c r="S32" s="89">
        <f t="shared" si="20"/>
        <v>84.648164859000076</v>
      </c>
      <c r="T32" s="27">
        <f t="shared" si="21"/>
        <v>8.6894692011975777E-2</v>
      </c>
      <c r="U32" s="105">
        <f>2060143.7/1000*1</f>
        <v>2060.1437000000001</v>
      </c>
      <c r="V32" s="106">
        <f>2725364.54/1000*1</f>
        <v>2725.36454</v>
      </c>
      <c r="W32" s="89">
        <f t="shared" si="22"/>
        <v>-665.22083999999995</v>
      </c>
      <c r="X32" s="26">
        <f t="shared" si="23"/>
        <v>-0.24408508668715559</v>
      </c>
      <c r="Y32" s="106">
        <f>2144791.864859/1000*1</f>
        <v>2144.7918648589998</v>
      </c>
      <c r="Z32" s="89">
        <f t="shared" si="24"/>
        <v>84.648164858999735</v>
      </c>
      <c r="AA32" s="27">
        <f t="shared" si="25"/>
        <v>3.9466843494655166E-2</v>
      </c>
      <c r="AB32" s="107">
        <f>4478104.280113/1000*1</f>
        <v>4478.1042801130006</v>
      </c>
      <c r="AC32" s="1"/>
      <c r="AD32" s="1"/>
      <c r="AE32" s="1"/>
      <c r="AF32" s="1"/>
      <c r="AG32" s="1"/>
      <c r="AH32" s="1"/>
      <c r="AI32" s="1"/>
    </row>
    <row r="33" spans="1:35" ht="14.25" hidden="1" outlineLevel="1" x14ac:dyDescent="0.2">
      <c r="A33" s="1"/>
      <c r="B33" s="3"/>
      <c r="C33" s="3"/>
      <c r="D33" s="3" t="s">
        <v>59</v>
      </c>
      <c r="E33" s="3" t="s">
        <v>51</v>
      </c>
      <c r="F33" s="3">
        <v>841</v>
      </c>
      <c r="G33" s="105">
        <f>173475.71/1000*1</f>
        <v>173.47570999999999</v>
      </c>
      <c r="H33" s="106">
        <f>197286.05/1000*1</f>
        <v>197.28604999999999</v>
      </c>
      <c r="I33" s="89">
        <f t="shared" si="14"/>
        <v>-23.810339999999997</v>
      </c>
      <c r="J33" s="26">
        <f t="shared" si="15"/>
        <v>-0.12068942532936311</v>
      </c>
      <c r="K33" s="106">
        <f>190076.312464/1000*1</f>
        <v>190.07631246399998</v>
      </c>
      <c r="L33" s="89">
        <f t="shared" si="16"/>
        <v>16.600602463999991</v>
      </c>
      <c r="M33" s="27">
        <f t="shared" si="17"/>
        <v>8.7336513681283173E-2</v>
      </c>
      <c r="N33" s="105">
        <f>643046.94/1000*1</f>
        <v>643.04693999999995</v>
      </c>
      <c r="O33" s="106">
        <f>648764.2/1000*1</f>
        <v>648.76419999999996</v>
      </c>
      <c r="P33" s="89">
        <f t="shared" si="18"/>
        <v>-5.7172600000000102</v>
      </c>
      <c r="Q33" s="26">
        <f t="shared" si="19"/>
        <v>-8.8125392862306688E-3</v>
      </c>
      <c r="R33" s="106">
        <f>638322.888162/1000*1</f>
        <v>638.32288816200003</v>
      </c>
      <c r="S33" s="89">
        <f t="shared" si="20"/>
        <v>-4.724051837999923</v>
      </c>
      <c r="T33" s="27">
        <f t="shared" si="21"/>
        <v>-7.4007245010475099E-3</v>
      </c>
      <c r="U33" s="105">
        <f>1543699.08/1000*1</f>
        <v>1543.6990800000001</v>
      </c>
      <c r="V33" s="106">
        <f>1314532.98/1000*1</f>
        <v>1314.53298</v>
      </c>
      <c r="W33" s="89">
        <f t="shared" si="22"/>
        <v>229.16610000000014</v>
      </c>
      <c r="X33" s="26">
        <f t="shared" si="23"/>
        <v>0.174332712443624</v>
      </c>
      <c r="Y33" s="106">
        <f>1538975.028162/1000*1</f>
        <v>1538.9750281619999</v>
      </c>
      <c r="Z33" s="89">
        <f t="shared" si="24"/>
        <v>-4.7240518380001504</v>
      </c>
      <c r="AA33" s="27">
        <f t="shared" si="25"/>
        <v>-3.0696091564540147E-3</v>
      </c>
      <c r="AB33" s="107">
        <f>3164155.281358/1000*1</f>
        <v>3164.1552813579997</v>
      </c>
      <c r="AC33" s="1"/>
      <c r="AD33" s="1"/>
      <c r="AE33" s="1"/>
      <c r="AF33" s="1"/>
      <c r="AG33" s="1"/>
      <c r="AH33" s="1"/>
      <c r="AI33" s="1"/>
    </row>
    <row r="34" spans="1:35" ht="14.25" hidden="1" outlineLevel="1" x14ac:dyDescent="0.2">
      <c r="A34" s="1"/>
      <c r="B34" s="3"/>
      <c r="C34" s="3"/>
      <c r="D34" s="3" t="s">
        <v>59</v>
      </c>
      <c r="E34" s="3" t="s">
        <v>51</v>
      </c>
      <c r="F34" s="3">
        <v>842</v>
      </c>
      <c r="G34" s="105">
        <f>265914.99/1000*1</f>
        <v>265.91498999999999</v>
      </c>
      <c r="H34" s="106">
        <f>235586.34/1000*1</f>
        <v>235.58634000000001</v>
      </c>
      <c r="I34" s="89">
        <f t="shared" si="14"/>
        <v>30.328649999999982</v>
      </c>
      <c r="J34" s="26">
        <f t="shared" si="15"/>
        <v>0.12873687837758327</v>
      </c>
      <c r="K34" s="106">
        <f>113043.099062/1000*1</f>
        <v>113.043099062</v>
      </c>
      <c r="L34" s="89">
        <f t="shared" si="16"/>
        <v>-152.87189093799998</v>
      </c>
      <c r="M34" s="27">
        <f t="shared" si="17"/>
        <v>-1.3523328023248491</v>
      </c>
      <c r="N34" s="105">
        <f>674330.41/1000*1</f>
        <v>674.33041000000003</v>
      </c>
      <c r="O34" s="106">
        <f>675381.85/1000*1</f>
        <v>675.38184999999999</v>
      </c>
      <c r="P34" s="89">
        <f t="shared" si="18"/>
        <v>-1.0514399999999569</v>
      </c>
      <c r="Q34" s="26">
        <f t="shared" si="19"/>
        <v>-1.5568081967259808E-3</v>
      </c>
      <c r="R34" s="106">
        <f>444380.765648/1000*1</f>
        <v>444.38076564800002</v>
      </c>
      <c r="S34" s="89">
        <f t="shared" si="20"/>
        <v>-229.94964435200001</v>
      </c>
      <c r="T34" s="27">
        <f t="shared" si="21"/>
        <v>-0.51746084017989702</v>
      </c>
      <c r="U34" s="105">
        <f>1311592/1000*1</f>
        <v>1311.5920000000001</v>
      </c>
      <c r="V34" s="106">
        <f>1404333.54/1000*1</f>
        <v>1404.3335400000001</v>
      </c>
      <c r="W34" s="89">
        <f t="shared" si="22"/>
        <v>-92.741539999999986</v>
      </c>
      <c r="X34" s="26">
        <f t="shared" si="23"/>
        <v>-6.6039539296341224E-2</v>
      </c>
      <c r="Y34" s="106">
        <f>1081642.355648/1000*1</f>
        <v>1081.6423556479999</v>
      </c>
      <c r="Z34" s="89">
        <f t="shared" si="24"/>
        <v>-229.94964435200018</v>
      </c>
      <c r="AA34" s="27">
        <f t="shared" si="25"/>
        <v>-0.2125930471853979</v>
      </c>
      <c r="AB34" s="107">
        <f>2050186.935665/1000*1</f>
        <v>2050.186935665</v>
      </c>
      <c r="AC34" s="1"/>
      <c r="AD34" s="1"/>
      <c r="AE34" s="1"/>
      <c r="AF34" s="1"/>
      <c r="AG34" s="1"/>
      <c r="AH34" s="1"/>
      <c r="AI34" s="1"/>
    </row>
    <row r="35" spans="1:35" ht="14.25" hidden="1" outlineLevel="1" x14ac:dyDescent="0.2">
      <c r="A35" s="1"/>
      <c r="B35" s="3"/>
      <c r="C35" s="3"/>
      <c r="D35" s="3" t="s">
        <v>59</v>
      </c>
      <c r="E35" s="3" t="s">
        <v>51</v>
      </c>
      <c r="F35" s="3">
        <v>843</v>
      </c>
      <c r="G35" s="105">
        <f>-383715.35/1000*1</f>
        <v>-383.71535</v>
      </c>
      <c r="H35" s="106">
        <f>-902821.98/1000*1</f>
        <v>-902.82197999999994</v>
      </c>
      <c r="I35" s="89">
        <f t="shared" si="14"/>
        <v>519.10663</v>
      </c>
      <c r="J35" s="26">
        <f t="shared" si="15"/>
        <v>-0.57498226837587629</v>
      </c>
      <c r="K35" s="106">
        <f>23667.699812/1000*1</f>
        <v>23.667699811999999</v>
      </c>
      <c r="L35" s="89">
        <f t="shared" si="16"/>
        <v>407.38304981200002</v>
      </c>
      <c r="M35" s="27" t="str">
        <f t="shared" si="17"/>
        <v>N/A</v>
      </c>
      <c r="N35" s="105">
        <f>-202713.8/1000*1</f>
        <v>-202.71379999999999</v>
      </c>
      <c r="O35" s="106">
        <f>-796403.39/1000*1</f>
        <v>-796.40339000000006</v>
      </c>
      <c r="P35" s="89">
        <f t="shared" si="18"/>
        <v>593.68959000000007</v>
      </c>
      <c r="Q35" s="26">
        <f t="shared" si="19"/>
        <v>-0.74546341396161064</v>
      </c>
      <c r="R35" s="106">
        <f>160386.9758/1000*1</f>
        <v>160.38697579999999</v>
      </c>
      <c r="S35" s="89">
        <f t="shared" si="20"/>
        <v>363.10077579999995</v>
      </c>
      <c r="T35" s="27">
        <f t="shared" si="21"/>
        <v>2.2639043724646375</v>
      </c>
      <c r="U35" s="105">
        <f>346419.26/1000*1</f>
        <v>346.41926000000001</v>
      </c>
      <c r="V35" s="106">
        <f>573496.19/1000*1</f>
        <v>573.49618999999996</v>
      </c>
      <c r="W35" s="89">
        <f t="shared" si="22"/>
        <v>-227.07692999999995</v>
      </c>
      <c r="X35" s="26">
        <f t="shared" si="23"/>
        <v>-0.39595194172083337</v>
      </c>
      <c r="Y35" s="106">
        <f>709520.0358/1000*1</f>
        <v>709.52003579999996</v>
      </c>
      <c r="Z35" s="89">
        <f t="shared" si="24"/>
        <v>363.10077579999995</v>
      </c>
      <c r="AA35" s="27">
        <f t="shared" si="25"/>
        <v>0.51175549312091739</v>
      </c>
      <c r="AB35" s="107">
        <f>2767919.275728/1000*1</f>
        <v>2767.9192757279998</v>
      </c>
      <c r="AC35" s="1"/>
      <c r="AD35" s="1"/>
      <c r="AE35" s="1"/>
      <c r="AF35" s="1"/>
      <c r="AG35" s="1"/>
      <c r="AH35" s="1"/>
      <c r="AI35" s="1"/>
    </row>
    <row r="36" spans="1:35" ht="14.25" hidden="1" outlineLevel="1" x14ac:dyDescent="0.2">
      <c r="A36" s="1"/>
      <c r="B36" s="3"/>
      <c r="C36" s="3"/>
      <c r="D36" s="3" t="s">
        <v>59</v>
      </c>
      <c r="E36" s="3" t="s">
        <v>51</v>
      </c>
      <c r="F36" s="3">
        <v>844</v>
      </c>
      <c r="G36" s="105">
        <f>268298.7/1000*1</f>
        <v>268.2987</v>
      </c>
      <c r="H36" s="106">
        <f>470309.16/1000*1</f>
        <v>470.30915999999996</v>
      </c>
      <c r="I36" s="89">
        <f t="shared" si="14"/>
        <v>-202.01045999999997</v>
      </c>
      <c r="J36" s="26">
        <f t="shared" si="15"/>
        <v>-0.42952695201598878</v>
      </c>
      <c r="K36" s="106">
        <f>286405.584952/1000*1</f>
        <v>286.40558495200003</v>
      </c>
      <c r="L36" s="89">
        <f t="shared" si="16"/>
        <v>18.10688495200003</v>
      </c>
      <c r="M36" s="27">
        <f t="shared" si="17"/>
        <v>6.3221130813613996E-2</v>
      </c>
      <c r="N36" s="105">
        <f>936912.89/1000*1</f>
        <v>936.91289000000006</v>
      </c>
      <c r="O36" s="106">
        <f>1333737.31/1000*1</f>
        <v>1333.73731</v>
      </c>
      <c r="P36" s="89">
        <f t="shared" si="18"/>
        <v>-396.82441999999992</v>
      </c>
      <c r="Q36" s="26">
        <f t="shared" si="19"/>
        <v>-0.29752816917148395</v>
      </c>
      <c r="R36" s="106">
        <f>979452.8716/1000*1</f>
        <v>979.45287159999998</v>
      </c>
      <c r="S36" s="89">
        <f t="shared" si="20"/>
        <v>42.539981599999919</v>
      </c>
      <c r="T36" s="27">
        <f t="shared" si="21"/>
        <v>4.3432392546369374E-2</v>
      </c>
      <c r="U36" s="105">
        <f>1897066.05/1000*1</f>
        <v>1897.0660500000001</v>
      </c>
      <c r="V36" s="106">
        <f>2228980.26/1000*1</f>
        <v>2228.9802599999998</v>
      </c>
      <c r="W36" s="89">
        <f t="shared" si="22"/>
        <v>-331.91420999999968</v>
      </c>
      <c r="X36" s="26">
        <f t="shared" si="23"/>
        <v>-0.14890854618874</v>
      </c>
      <c r="Y36" s="106">
        <f>1939606.0316/1000*1</f>
        <v>1939.6060316000001</v>
      </c>
      <c r="Z36" s="89">
        <f t="shared" si="24"/>
        <v>42.539981599999919</v>
      </c>
      <c r="AA36" s="27">
        <f t="shared" si="25"/>
        <v>2.193227949745458E-2</v>
      </c>
      <c r="AB36" s="107">
        <f>3965678.080768/1000*1</f>
        <v>3965.6780807679997</v>
      </c>
      <c r="AC36" s="1"/>
      <c r="AD36" s="1"/>
      <c r="AE36" s="1"/>
      <c r="AF36" s="1"/>
      <c r="AG36" s="1"/>
      <c r="AH36" s="1"/>
      <c r="AI36" s="1"/>
    </row>
    <row r="37" spans="1:35" ht="14.25" hidden="1" outlineLevel="1" x14ac:dyDescent="0.2">
      <c r="A37" s="1"/>
      <c r="B37" s="3"/>
      <c r="C37" s="3"/>
      <c r="D37" s="3" t="s">
        <v>59</v>
      </c>
      <c r="E37" s="3" t="s">
        <v>51</v>
      </c>
      <c r="F37" s="3">
        <v>845</v>
      </c>
      <c r="G37" s="105">
        <f>78259.62/1000*1</f>
        <v>78.259619999999998</v>
      </c>
      <c r="H37" s="106">
        <f>186434.81/1000*1</f>
        <v>186.43481</v>
      </c>
      <c r="I37" s="89">
        <f t="shared" si="14"/>
        <v>-108.17519</v>
      </c>
      <c r="J37" s="26">
        <f t="shared" si="15"/>
        <v>-0.58023064469559094</v>
      </c>
      <c r="K37" s="106">
        <f>86134.940609/1000*1</f>
        <v>86.134940608999997</v>
      </c>
      <c r="L37" s="89">
        <f t="shared" si="16"/>
        <v>7.8753206089999992</v>
      </c>
      <c r="M37" s="27">
        <f t="shared" si="17"/>
        <v>9.1430034702747895E-2</v>
      </c>
      <c r="N37" s="105">
        <f>296538.22/1000*1</f>
        <v>296.53821999999997</v>
      </c>
      <c r="O37" s="106">
        <f>429392.05/1000*1</f>
        <v>429.39204999999998</v>
      </c>
      <c r="P37" s="89">
        <f t="shared" si="18"/>
        <v>-132.85383000000002</v>
      </c>
      <c r="Q37" s="26">
        <f t="shared" si="19"/>
        <v>-0.309399836350021</v>
      </c>
      <c r="R37" s="106">
        <f>315623.054866/1000*1</f>
        <v>315.62305486600002</v>
      </c>
      <c r="S37" s="89">
        <f t="shared" si="20"/>
        <v>19.084834866000051</v>
      </c>
      <c r="T37" s="27">
        <f t="shared" si="21"/>
        <v>6.046717618300302E-2</v>
      </c>
      <c r="U37" s="105">
        <f>794164.83/1000*1</f>
        <v>794.16482999999994</v>
      </c>
      <c r="V37" s="106">
        <f>853601.02/1000*1</f>
        <v>853.60102000000006</v>
      </c>
      <c r="W37" s="89">
        <f t="shared" si="22"/>
        <v>-59.436190000000124</v>
      </c>
      <c r="X37" s="26">
        <f t="shared" si="23"/>
        <v>-6.9629942569656392E-2</v>
      </c>
      <c r="Y37" s="106">
        <f>813249.664866/1000*1</f>
        <v>813.24966486599999</v>
      </c>
      <c r="Z37" s="89">
        <f t="shared" si="24"/>
        <v>19.084834866000051</v>
      </c>
      <c r="AA37" s="27">
        <f t="shared" si="25"/>
        <v>2.3467375014712955E-2</v>
      </c>
      <c r="AB37" s="107">
        <f>1594072.9345/1000*1</f>
        <v>1594.0729345</v>
      </c>
      <c r="AC37" s="1"/>
      <c r="AD37" s="1"/>
      <c r="AE37" s="1"/>
      <c r="AF37" s="1"/>
      <c r="AG37" s="1"/>
      <c r="AH37" s="1"/>
      <c r="AI37" s="1"/>
    </row>
    <row r="38" spans="1:35" ht="14.25" hidden="1" outlineLevel="1" x14ac:dyDescent="0.2">
      <c r="A38" s="1"/>
      <c r="B38" s="3"/>
      <c r="C38" s="3"/>
      <c r="D38" s="3" t="s">
        <v>59</v>
      </c>
      <c r="E38" s="3" t="s">
        <v>51</v>
      </c>
      <c r="F38" s="3">
        <v>899</v>
      </c>
      <c r="G38" s="105">
        <f>129944.1/1000*1</f>
        <v>129.94409999999999</v>
      </c>
      <c r="H38" s="106">
        <f>138713.75/1000*1</f>
        <v>138.71375</v>
      </c>
      <c r="I38" s="89">
        <f t="shared" si="14"/>
        <v>-8.7696500000000128</v>
      </c>
      <c r="J38" s="26">
        <f t="shared" si="15"/>
        <v>-6.322120193564093E-2</v>
      </c>
      <c r="K38" s="106">
        <f>74523.935799/1000*1</f>
        <v>74.523935799</v>
      </c>
      <c r="L38" s="89">
        <f t="shared" si="16"/>
        <v>-55.420164200999992</v>
      </c>
      <c r="M38" s="27">
        <f t="shared" si="17"/>
        <v>-0.74365589534179766</v>
      </c>
      <c r="N38" s="105">
        <f>452803.66/1000*1</f>
        <v>452.80365999999998</v>
      </c>
      <c r="O38" s="106">
        <f>454109.11/1000*1</f>
        <v>454.10910999999999</v>
      </c>
      <c r="P38" s="89">
        <f t="shared" si="18"/>
        <v>-1.3054500000000075</v>
      </c>
      <c r="Q38" s="26">
        <f t="shared" si="19"/>
        <v>-2.874749638913889E-3</v>
      </c>
      <c r="R38" s="106">
        <f>307518.543237/1000*1</f>
        <v>307.51854323700002</v>
      </c>
      <c r="S38" s="89">
        <f t="shared" si="20"/>
        <v>-145.28511676299996</v>
      </c>
      <c r="T38" s="27">
        <f t="shared" si="21"/>
        <v>-0.47244343457698701</v>
      </c>
      <c r="U38" s="105">
        <f>963528.12/1000*1</f>
        <v>963.52811999999994</v>
      </c>
      <c r="V38" s="106">
        <f>742102.8/1000*1</f>
        <v>742.1028</v>
      </c>
      <c r="W38" s="89">
        <f t="shared" si="22"/>
        <v>221.42531999999994</v>
      </c>
      <c r="X38" s="26">
        <f t="shared" si="23"/>
        <v>0.29837553503369069</v>
      </c>
      <c r="Y38" s="106">
        <f>818243.003237/1000*1</f>
        <v>818.24300323699993</v>
      </c>
      <c r="Z38" s="89">
        <f t="shared" si="24"/>
        <v>-145.28511676300002</v>
      </c>
      <c r="AA38" s="27">
        <f t="shared" si="25"/>
        <v>-0.17755742021410104</v>
      </c>
      <c r="AB38" s="107">
        <f>1453262.427877/1000*1</f>
        <v>1453.2624278770002</v>
      </c>
      <c r="AC38" s="1"/>
      <c r="AD38" s="1"/>
      <c r="AE38" s="1"/>
      <c r="AF38" s="1"/>
      <c r="AG38" s="1"/>
      <c r="AH38" s="1"/>
      <c r="AI38" s="1"/>
    </row>
    <row r="39" spans="1:35" ht="14.25" hidden="1" outlineLevel="1" x14ac:dyDescent="0.2">
      <c r="A39" s="1"/>
      <c r="B39" s="3"/>
      <c r="C39" s="3"/>
      <c r="D39" s="3" t="s">
        <v>59</v>
      </c>
      <c r="E39" s="3" t="s">
        <v>52</v>
      </c>
      <c r="F39" s="3">
        <v>830</v>
      </c>
      <c r="G39" s="105">
        <f>47227.44/1000*1</f>
        <v>47.227440000000001</v>
      </c>
      <c r="H39" s="106">
        <f>49383.43/1000*1</f>
        <v>49.383429999999997</v>
      </c>
      <c r="I39" s="89">
        <f t="shared" si="14"/>
        <v>-2.1559899999999956</v>
      </c>
      <c r="J39" s="26">
        <f t="shared" si="15"/>
        <v>-4.3658166312060459E-2</v>
      </c>
      <c r="K39" s="106">
        <f>46520.69867/1000*1</f>
        <v>46.520698669999994</v>
      </c>
      <c r="L39" s="89">
        <f t="shared" si="16"/>
        <v>-0.70674133000000694</v>
      </c>
      <c r="M39" s="27">
        <f t="shared" si="17"/>
        <v>-1.5191975834528176E-2</v>
      </c>
      <c r="N39" s="105">
        <f>151200.28/1000*1</f>
        <v>151.20027999999999</v>
      </c>
      <c r="O39" s="106">
        <f>148807.43/1000*1</f>
        <v>148.80742999999998</v>
      </c>
      <c r="P39" s="89">
        <f t="shared" si="18"/>
        <v>2.3928500000000099</v>
      </c>
      <c r="Q39" s="26">
        <f t="shared" si="19"/>
        <v>1.6080178254540181E-2</v>
      </c>
      <c r="R39" s="106">
        <f>152627.44734/1000*1</f>
        <v>152.62744734</v>
      </c>
      <c r="S39" s="89">
        <f t="shared" si="20"/>
        <v>1.4271673400000111</v>
      </c>
      <c r="T39" s="27">
        <f t="shared" si="21"/>
        <v>9.3506598247744179E-3</v>
      </c>
      <c r="U39" s="105">
        <f>315517.23/1000*1</f>
        <v>315.51722999999998</v>
      </c>
      <c r="V39" s="106">
        <f>305223.64/1000*1</f>
        <v>305.22363999999999</v>
      </c>
      <c r="W39" s="89">
        <f t="shared" si="22"/>
        <v>10.293589999999995</v>
      </c>
      <c r="X39" s="26">
        <f t="shared" si="23"/>
        <v>3.3724746877404371E-2</v>
      </c>
      <c r="Y39" s="106">
        <f>316944.39734/1000*1</f>
        <v>316.94439734000002</v>
      </c>
      <c r="Z39" s="89">
        <f t="shared" si="24"/>
        <v>1.4271673400000395</v>
      </c>
      <c r="AA39" s="27">
        <f t="shared" si="25"/>
        <v>4.5028949934996171E-3</v>
      </c>
      <c r="AB39" s="107">
        <f>678809.12607/1000*1</f>
        <v>678.80912607000005</v>
      </c>
      <c r="AC39" s="1"/>
      <c r="AD39" s="1"/>
      <c r="AE39" s="1"/>
      <c r="AF39" s="1"/>
      <c r="AG39" s="1"/>
      <c r="AH39" s="1"/>
      <c r="AI39" s="1"/>
    </row>
    <row r="40" spans="1:35" ht="14.25" hidden="1" outlineLevel="1" x14ac:dyDescent="0.2">
      <c r="A40" s="1"/>
      <c r="B40" s="3"/>
      <c r="C40" s="3"/>
      <c r="D40" s="3" t="s">
        <v>59</v>
      </c>
      <c r="E40" s="3" t="s">
        <v>52</v>
      </c>
      <c r="F40" s="3">
        <v>840</v>
      </c>
      <c r="G40" s="105">
        <f>30714.22/1000*1</f>
        <v>30.714220000000001</v>
      </c>
      <c r="H40" s="106">
        <f>0/1000*1</f>
        <v>0</v>
      </c>
      <c r="I40" s="89">
        <f t="shared" si="14"/>
        <v>30.714220000000001</v>
      </c>
      <c r="J40" s="26" t="str">
        <f t="shared" si="15"/>
        <v>N/A</v>
      </c>
      <c r="K40" s="106">
        <f>55847.737181/1000*1</f>
        <v>55.847737180999999</v>
      </c>
      <c r="L40" s="89">
        <f t="shared" si="16"/>
        <v>25.133517180999998</v>
      </c>
      <c r="M40" s="27">
        <f t="shared" si="17"/>
        <v>0.45003644641041413</v>
      </c>
      <c r="N40" s="105">
        <f>101351.31/1000*1</f>
        <v>101.35131</v>
      </c>
      <c r="O40" s="106">
        <f>0/1000*1</f>
        <v>0</v>
      </c>
      <c r="P40" s="89">
        <f t="shared" si="18"/>
        <v>101.35131</v>
      </c>
      <c r="Q40" s="26" t="str">
        <f t="shared" si="19"/>
        <v>N/A</v>
      </c>
      <c r="R40" s="106">
        <f>157275.478185/1000*1</f>
        <v>157.27547818500003</v>
      </c>
      <c r="S40" s="89">
        <f t="shared" si="20"/>
        <v>55.924168185000028</v>
      </c>
      <c r="T40" s="27">
        <f t="shared" si="21"/>
        <v>0.35558097696080465</v>
      </c>
      <c r="U40" s="105">
        <f>241315.27/1000*1</f>
        <v>241.31527</v>
      </c>
      <c r="V40" s="106">
        <f>-356.81/1000*1</f>
        <v>-0.35681000000000002</v>
      </c>
      <c r="W40" s="89">
        <f t="shared" si="22"/>
        <v>241.67207999999999</v>
      </c>
      <c r="X40" s="26" t="str">
        <f t="shared" si="23"/>
        <v>N/A</v>
      </c>
      <c r="Y40" s="106">
        <f>297239.438185/1000*1</f>
        <v>297.23943818499998</v>
      </c>
      <c r="Z40" s="89">
        <f t="shared" si="24"/>
        <v>55.924168184999985</v>
      </c>
      <c r="AA40" s="27">
        <f t="shared" si="25"/>
        <v>0.18814518196671173</v>
      </c>
      <c r="AB40" s="107">
        <f>601764.843777/1000*1</f>
        <v>601.76484377700001</v>
      </c>
      <c r="AC40" s="1"/>
      <c r="AD40" s="1"/>
      <c r="AE40" s="1"/>
      <c r="AF40" s="1"/>
      <c r="AG40" s="1"/>
      <c r="AH40" s="1"/>
      <c r="AI40" s="1"/>
    </row>
    <row r="41" spans="1:35" ht="14.25" hidden="1" outlineLevel="1" x14ac:dyDescent="0.2">
      <c r="A41" s="1"/>
      <c r="B41" s="3"/>
      <c r="C41" s="3"/>
      <c r="D41" s="3" t="s">
        <v>59</v>
      </c>
      <c r="E41" s="3" t="s">
        <v>52</v>
      </c>
      <c r="F41" s="3">
        <v>842</v>
      </c>
      <c r="G41" s="105">
        <f>19901.12/1000*1</f>
        <v>19.901119999999999</v>
      </c>
      <c r="H41" s="106">
        <f>83790.35/1000*1</f>
        <v>83.790350000000004</v>
      </c>
      <c r="I41" s="89">
        <f t="shared" si="14"/>
        <v>-63.889230000000005</v>
      </c>
      <c r="J41" s="26">
        <f t="shared" si="15"/>
        <v>-0.76248911718354206</v>
      </c>
      <c r="K41" s="106">
        <f t="shared" ref="K41:K48" si="26">0/1000*1</f>
        <v>0</v>
      </c>
      <c r="L41" s="89">
        <f t="shared" si="16"/>
        <v>-19.901119999999999</v>
      </c>
      <c r="M41" s="27" t="str">
        <f t="shared" si="17"/>
        <v>N/A</v>
      </c>
      <c r="N41" s="105">
        <f>64548.93/1000*1</f>
        <v>64.548929999999999</v>
      </c>
      <c r="O41" s="106">
        <f>271718.92/1000*1</f>
        <v>271.71891999999997</v>
      </c>
      <c r="P41" s="89">
        <f t="shared" si="18"/>
        <v>-207.16998999999998</v>
      </c>
      <c r="Q41" s="26">
        <f t="shared" si="19"/>
        <v>-0.76244226938632031</v>
      </c>
      <c r="R41" s="106">
        <f>23606.78/1000*1</f>
        <v>23.606780000000001</v>
      </c>
      <c r="S41" s="89">
        <f t="shared" si="20"/>
        <v>-40.942149999999998</v>
      </c>
      <c r="T41" s="27">
        <f t="shared" si="21"/>
        <v>-1.7343386095011686</v>
      </c>
      <c r="U41" s="105">
        <f>110060.73/1000*1</f>
        <v>110.06072999999999</v>
      </c>
      <c r="V41" s="106">
        <f>533160.65/1000*1</f>
        <v>533.16065000000003</v>
      </c>
      <c r="W41" s="89">
        <f t="shared" si="22"/>
        <v>-423.09992000000005</v>
      </c>
      <c r="X41" s="26">
        <f t="shared" si="23"/>
        <v>-0.79356929285760314</v>
      </c>
      <c r="Y41" s="106">
        <f>69118.58/1000*1</f>
        <v>69.118580000000009</v>
      </c>
      <c r="Z41" s="89">
        <f t="shared" si="24"/>
        <v>-40.942149999999984</v>
      </c>
      <c r="AA41" s="27">
        <f t="shared" si="25"/>
        <v>-0.59234651522065385</v>
      </c>
      <c r="AB41" s="107">
        <f>69118.58/1000*1</f>
        <v>69.118580000000009</v>
      </c>
      <c r="AC41" s="1"/>
      <c r="AD41" s="1"/>
      <c r="AE41" s="1"/>
      <c r="AF41" s="1"/>
      <c r="AG41" s="1"/>
      <c r="AH41" s="1"/>
      <c r="AI41" s="1"/>
    </row>
    <row r="42" spans="1:35" ht="14.25" hidden="1" outlineLevel="1" x14ac:dyDescent="0.2">
      <c r="A42" s="1"/>
      <c r="B42" s="3"/>
      <c r="C42" s="3"/>
      <c r="D42" s="3" t="s">
        <v>59</v>
      </c>
      <c r="E42" s="3" t="s">
        <v>54</v>
      </c>
      <c r="F42" s="3">
        <v>811</v>
      </c>
      <c r="G42" s="105">
        <f>0/1000*1</f>
        <v>0</v>
      </c>
      <c r="H42" s="106">
        <f>0/1000*1</f>
        <v>0</v>
      </c>
      <c r="I42" s="89">
        <f t="shared" si="14"/>
        <v>0</v>
      </c>
      <c r="J42" s="26" t="str">
        <f t="shared" si="15"/>
        <v>N/A</v>
      </c>
      <c r="K42" s="106">
        <f t="shared" si="26"/>
        <v>0</v>
      </c>
      <c r="L42" s="89">
        <f t="shared" si="16"/>
        <v>0</v>
      </c>
      <c r="M42" s="27" t="str">
        <f t="shared" si="17"/>
        <v>N/A</v>
      </c>
      <c r="N42" s="105">
        <f>0/1000*1</f>
        <v>0</v>
      </c>
      <c r="O42" s="106">
        <f>0/1000*1</f>
        <v>0</v>
      </c>
      <c r="P42" s="89">
        <f t="shared" si="18"/>
        <v>0</v>
      </c>
      <c r="Q42" s="26" t="str">
        <f t="shared" si="19"/>
        <v>N/A</v>
      </c>
      <c r="R42" s="106">
        <f t="shared" ref="R42:R48" si="27">0/1000*1</f>
        <v>0</v>
      </c>
      <c r="S42" s="89">
        <f t="shared" si="20"/>
        <v>0</v>
      </c>
      <c r="T42" s="27" t="str">
        <f t="shared" si="21"/>
        <v>N/A</v>
      </c>
      <c r="U42" s="105">
        <f>0/1000*1</f>
        <v>0</v>
      </c>
      <c r="V42" s="106">
        <f>0/1000*1</f>
        <v>0</v>
      </c>
      <c r="W42" s="89">
        <f t="shared" si="22"/>
        <v>0</v>
      </c>
      <c r="X42" s="26" t="str">
        <f t="shared" si="23"/>
        <v>N/A</v>
      </c>
      <c r="Y42" s="106">
        <f>0/1000*1</f>
        <v>0</v>
      </c>
      <c r="Z42" s="89">
        <f t="shared" si="24"/>
        <v>0</v>
      </c>
      <c r="AA42" s="27" t="str">
        <f t="shared" si="25"/>
        <v>N/A</v>
      </c>
      <c r="AB42" s="107">
        <f>0/1000*1</f>
        <v>0</v>
      </c>
      <c r="AC42" s="1"/>
      <c r="AD42" s="1"/>
      <c r="AE42" s="1"/>
      <c r="AF42" s="1"/>
      <c r="AG42" s="1"/>
      <c r="AH42" s="1"/>
      <c r="AI42" s="1"/>
    </row>
    <row r="43" spans="1:35" ht="14.25" hidden="1" outlineLevel="1" x14ac:dyDescent="0.2">
      <c r="A43" s="1"/>
      <c r="B43" s="3"/>
      <c r="C43" s="3"/>
      <c r="D43" s="3" t="s">
        <v>59</v>
      </c>
      <c r="E43" s="3" t="s">
        <v>55</v>
      </c>
      <c r="F43" s="3">
        <v>811</v>
      </c>
      <c r="G43" s="105">
        <f>0/1000*1</f>
        <v>0</v>
      </c>
      <c r="H43" s="106">
        <f>0/1000*1</f>
        <v>0</v>
      </c>
      <c r="I43" s="89">
        <f t="shared" si="14"/>
        <v>0</v>
      </c>
      <c r="J43" s="26" t="str">
        <f t="shared" si="15"/>
        <v>N/A</v>
      </c>
      <c r="K43" s="106">
        <f t="shared" si="26"/>
        <v>0</v>
      </c>
      <c r="L43" s="89">
        <f t="shared" si="16"/>
        <v>0</v>
      </c>
      <c r="M43" s="27" t="str">
        <f t="shared" si="17"/>
        <v>N/A</v>
      </c>
      <c r="N43" s="105">
        <f>0/1000*1</f>
        <v>0</v>
      </c>
      <c r="O43" s="106">
        <f>0/1000*1</f>
        <v>0</v>
      </c>
      <c r="P43" s="89">
        <f t="shared" si="18"/>
        <v>0</v>
      </c>
      <c r="Q43" s="26" t="str">
        <f t="shared" si="19"/>
        <v>N/A</v>
      </c>
      <c r="R43" s="106">
        <f t="shared" si="27"/>
        <v>0</v>
      </c>
      <c r="S43" s="89">
        <f t="shared" si="20"/>
        <v>0</v>
      </c>
      <c r="T43" s="27" t="str">
        <f t="shared" si="21"/>
        <v>N/A</v>
      </c>
      <c r="U43" s="105">
        <f>10/1000*1</f>
        <v>0.01</v>
      </c>
      <c r="V43" s="106">
        <f>0/1000*1</f>
        <v>0</v>
      </c>
      <c r="W43" s="89">
        <f t="shared" si="22"/>
        <v>0.01</v>
      </c>
      <c r="X43" s="26" t="str">
        <f t="shared" si="23"/>
        <v>N/A</v>
      </c>
      <c r="Y43" s="106">
        <f>10/1000*1</f>
        <v>0.01</v>
      </c>
      <c r="Z43" s="89">
        <f t="shared" si="24"/>
        <v>0</v>
      </c>
      <c r="AA43" s="27">
        <f t="shared" si="25"/>
        <v>0</v>
      </c>
      <c r="AB43" s="107">
        <f>10/1000*1</f>
        <v>0.01</v>
      </c>
      <c r="AC43" s="1"/>
      <c r="AD43" s="1"/>
      <c r="AE43" s="1"/>
      <c r="AF43" s="1"/>
      <c r="AG43" s="1"/>
      <c r="AH43" s="1"/>
      <c r="AI43" s="1"/>
    </row>
    <row r="44" spans="1:35" ht="14.25" hidden="1" outlineLevel="1" x14ac:dyDescent="0.2">
      <c r="A44" s="1"/>
      <c r="B44" s="3"/>
      <c r="C44" s="3"/>
      <c r="D44" s="3" t="s">
        <v>59</v>
      </c>
      <c r="E44" s="3" t="s">
        <v>55</v>
      </c>
      <c r="F44" s="3">
        <v>843</v>
      </c>
      <c r="G44" s="105">
        <f>466772.72/1000*1</f>
        <v>466.77271999999999</v>
      </c>
      <c r="H44" s="106">
        <f>954845.51/1000*1</f>
        <v>954.84550999999999</v>
      </c>
      <c r="I44" s="89">
        <f t="shared" si="14"/>
        <v>-488.07279</v>
      </c>
      <c r="J44" s="26">
        <f t="shared" si="15"/>
        <v>-0.51115367343561158</v>
      </c>
      <c r="K44" s="106">
        <f t="shared" si="26"/>
        <v>0</v>
      </c>
      <c r="L44" s="89">
        <f t="shared" si="16"/>
        <v>-466.77271999999999</v>
      </c>
      <c r="M44" s="27" t="str">
        <f t="shared" si="17"/>
        <v>N/A</v>
      </c>
      <c r="N44" s="105">
        <f>466772.72/1000*1</f>
        <v>466.77271999999999</v>
      </c>
      <c r="O44" s="106">
        <f>954845.51/1000*1</f>
        <v>954.84550999999999</v>
      </c>
      <c r="P44" s="89">
        <f t="shared" si="18"/>
        <v>-488.07279</v>
      </c>
      <c r="Q44" s="26">
        <f t="shared" si="19"/>
        <v>-0.51115367343561158</v>
      </c>
      <c r="R44" s="106">
        <f t="shared" si="27"/>
        <v>0</v>
      </c>
      <c r="S44" s="89">
        <f t="shared" si="20"/>
        <v>-466.77271999999999</v>
      </c>
      <c r="T44" s="27" t="str">
        <f t="shared" si="21"/>
        <v>N/A</v>
      </c>
      <c r="U44" s="105">
        <f>1062610.32/1000*1</f>
        <v>1062.61032</v>
      </c>
      <c r="V44" s="106">
        <f>984845.51/1000*1</f>
        <v>984.84550999999999</v>
      </c>
      <c r="W44" s="89">
        <f t="shared" si="22"/>
        <v>77.764810000000011</v>
      </c>
      <c r="X44" s="26">
        <f t="shared" si="23"/>
        <v>7.8961430204418565E-2</v>
      </c>
      <c r="Y44" s="106">
        <f>595837.6/1000*1</f>
        <v>595.83759999999995</v>
      </c>
      <c r="Z44" s="89">
        <f t="shared" si="24"/>
        <v>-466.77272000000005</v>
      </c>
      <c r="AA44" s="27">
        <f t="shared" si="25"/>
        <v>-0.78338916510136336</v>
      </c>
      <c r="AB44" s="107">
        <f>595837.6/1000*1</f>
        <v>595.83759999999995</v>
      </c>
      <c r="AC44" s="1"/>
      <c r="AD44" s="1"/>
      <c r="AE44" s="1"/>
      <c r="AF44" s="1"/>
      <c r="AG44" s="1"/>
      <c r="AH44" s="1"/>
      <c r="AI44" s="1"/>
    </row>
    <row r="45" spans="1:35" ht="14.25" hidden="1" outlineLevel="1" x14ac:dyDescent="0.2">
      <c r="A45" s="1"/>
      <c r="B45" s="3"/>
      <c r="C45" s="3"/>
      <c r="D45" s="3" t="s">
        <v>59</v>
      </c>
      <c r="E45" s="3" t="s">
        <v>55</v>
      </c>
      <c r="F45" s="3">
        <v>899</v>
      </c>
      <c r="G45" s="105">
        <f>1954.87/1000*1</f>
        <v>1.9548699999999999</v>
      </c>
      <c r="H45" s="106">
        <f>12612.92/1000*1</f>
        <v>12.612920000000001</v>
      </c>
      <c r="I45" s="89">
        <f t="shared" si="14"/>
        <v>-10.658050000000001</v>
      </c>
      <c r="J45" s="26">
        <f t="shared" si="15"/>
        <v>-0.84501051302949681</v>
      </c>
      <c r="K45" s="106">
        <f t="shared" si="26"/>
        <v>0</v>
      </c>
      <c r="L45" s="89">
        <f t="shared" si="16"/>
        <v>-1.9548699999999999</v>
      </c>
      <c r="M45" s="27" t="str">
        <f t="shared" si="17"/>
        <v>N/A</v>
      </c>
      <c r="N45" s="105">
        <f>1954.87/1000*1</f>
        <v>1.9548699999999999</v>
      </c>
      <c r="O45" s="106">
        <f>12612.92/1000*1</f>
        <v>12.612920000000001</v>
      </c>
      <c r="P45" s="89">
        <f t="shared" si="18"/>
        <v>-10.658050000000001</v>
      </c>
      <c r="Q45" s="26">
        <f t="shared" si="19"/>
        <v>-0.84501051302949681</v>
      </c>
      <c r="R45" s="106">
        <f t="shared" si="27"/>
        <v>0</v>
      </c>
      <c r="S45" s="89">
        <f t="shared" si="20"/>
        <v>-1.9548699999999999</v>
      </c>
      <c r="T45" s="27" t="str">
        <f t="shared" si="21"/>
        <v>N/A</v>
      </c>
      <c r="U45" s="105">
        <f>4455.79/1000*1</f>
        <v>4.4557900000000004</v>
      </c>
      <c r="V45" s="106">
        <f>12612.92/1000*1</f>
        <v>12.612920000000001</v>
      </c>
      <c r="W45" s="89">
        <f t="shared" si="22"/>
        <v>-8.1571300000000004</v>
      </c>
      <c r="X45" s="26">
        <f t="shared" si="23"/>
        <v>-0.64672811688332277</v>
      </c>
      <c r="Y45" s="106">
        <f>2500.92/1000*1</f>
        <v>2.5009200000000003</v>
      </c>
      <c r="Z45" s="89">
        <f t="shared" si="24"/>
        <v>-1.9548700000000001</v>
      </c>
      <c r="AA45" s="27">
        <f t="shared" si="25"/>
        <v>-0.78166034899157111</v>
      </c>
      <c r="AB45" s="107">
        <f>2500.92/1000*1</f>
        <v>2.5009200000000003</v>
      </c>
      <c r="AC45" s="1"/>
      <c r="AD45" s="1"/>
      <c r="AE45" s="1"/>
      <c r="AF45" s="1"/>
      <c r="AG45" s="1"/>
      <c r="AH45" s="1"/>
      <c r="AI45" s="1"/>
    </row>
    <row r="46" spans="1:35" ht="14.25" hidden="1" outlineLevel="1" x14ac:dyDescent="0.2">
      <c r="A46" s="1"/>
      <c r="B46" s="3"/>
      <c r="C46" s="3"/>
      <c r="D46" s="3" t="s">
        <v>59</v>
      </c>
      <c r="E46" s="3" t="s">
        <v>56</v>
      </c>
      <c r="F46" s="3">
        <v>840</v>
      </c>
      <c r="G46" s="105">
        <f t="shared" ref="G46:H48" si="28">0/1000*1</f>
        <v>0</v>
      </c>
      <c r="H46" s="106">
        <f t="shared" si="28"/>
        <v>0</v>
      </c>
      <c r="I46" s="89">
        <f t="shared" si="14"/>
        <v>0</v>
      </c>
      <c r="J46" s="26" t="str">
        <f t="shared" si="15"/>
        <v>N/A</v>
      </c>
      <c r="K46" s="106">
        <f t="shared" si="26"/>
        <v>0</v>
      </c>
      <c r="L46" s="89">
        <f t="shared" si="16"/>
        <v>0</v>
      </c>
      <c r="M46" s="27" t="str">
        <f t="shared" si="17"/>
        <v>N/A</v>
      </c>
      <c r="N46" s="105">
        <f>0/1000*1</f>
        <v>0</v>
      </c>
      <c r="O46" s="106">
        <f>0/1000*1</f>
        <v>0</v>
      </c>
      <c r="P46" s="89">
        <f t="shared" si="18"/>
        <v>0</v>
      </c>
      <c r="Q46" s="26" t="str">
        <f t="shared" si="19"/>
        <v>N/A</v>
      </c>
      <c r="R46" s="106">
        <f t="shared" si="27"/>
        <v>0</v>
      </c>
      <c r="S46" s="89">
        <f t="shared" si="20"/>
        <v>0</v>
      </c>
      <c r="T46" s="27" t="str">
        <f t="shared" si="21"/>
        <v>N/A</v>
      </c>
      <c r="U46" s="105">
        <f>0/1000*1</f>
        <v>0</v>
      </c>
      <c r="V46" s="106">
        <f>0/1000*1</f>
        <v>0</v>
      </c>
      <c r="W46" s="89">
        <f t="shared" si="22"/>
        <v>0</v>
      </c>
      <c r="X46" s="26" t="str">
        <f t="shared" si="23"/>
        <v>N/A</v>
      </c>
      <c r="Y46" s="106">
        <f>0/1000*1</f>
        <v>0</v>
      </c>
      <c r="Z46" s="89">
        <f t="shared" si="24"/>
        <v>0</v>
      </c>
      <c r="AA46" s="27" t="str">
        <f t="shared" si="25"/>
        <v>N/A</v>
      </c>
      <c r="AB46" s="107">
        <f>0/1000*1</f>
        <v>0</v>
      </c>
      <c r="AC46" s="1"/>
      <c r="AD46" s="1"/>
      <c r="AE46" s="1"/>
      <c r="AF46" s="1"/>
      <c r="AG46" s="1"/>
      <c r="AH46" s="1"/>
      <c r="AI46" s="1"/>
    </row>
    <row r="47" spans="1:35" ht="14.25" hidden="1" outlineLevel="1" x14ac:dyDescent="0.2">
      <c r="A47" s="1"/>
      <c r="B47" s="3"/>
      <c r="C47" s="3"/>
      <c r="D47" s="3" t="s">
        <v>59</v>
      </c>
      <c r="E47" s="3" t="s">
        <v>56</v>
      </c>
      <c r="F47" s="3">
        <v>841</v>
      </c>
      <c r="G47" s="105">
        <f t="shared" si="28"/>
        <v>0</v>
      </c>
      <c r="H47" s="106">
        <f t="shared" si="28"/>
        <v>0</v>
      </c>
      <c r="I47" s="89">
        <f t="shared" si="14"/>
        <v>0</v>
      </c>
      <c r="J47" s="26" t="str">
        <f t="shared" si="15"/>
        <v>N/A</v>
      </c>
      <c r="K47" s="106">
        <f t="shared" si="26"/>
        <v>0</v>
      </c>
      <c r="L47" s="89">
        <f t="shared" si="16"/>
        <v>0</v>
      </c>
      <c r="M47" s="27" t="str">
        <f t="shared" si="17"/>
        <v>N/A</v>
      </c>
      <c r="N47" s="105">
        <f>0/1000*1</f>
        <v>0</v>
      </c>
      <c r="O47" s="106">
        <f>0/1000*1</f>
        <v>0</v>
      </c>
      <c r="P47" s="89">
        <f t="shared" si="18"/>
        <v>0</v>
      </c>
      <c r="Q47" s="26" t="str">
        <f t="shared" si="19"/>
        <v>N/A</v>
      </c>
      <c r="R47" s="106">
        <f t="shared" si="27"/>
        <v>0</v>
      </c>
      <c r="S47" s="89">
        <f t="shared" si="20"/>
        <v>0</v>
      </c>
      <c r="T47" s="27" t="str">
        <f t="shared" si="21"/>
        <v>N/A</v>
      </c>
      <c r="U47" s="105">
        <f>0/1000*1</f>
        <v>0</v>
      </c>
      <c r="V47" s="106">
        <f>0/1000*1</f>
        <v>0</v>
      </c>
      <c r="W47" s="89">
        <f t="shared" si="22"/>
        <v>0</v>
      </c>
      <c r="X47" s="26" t="str">
        <f t="shared" si="23"/>
        <v>N/A</v>
      </c>
      <c r="Y47" s="106">
        <f>0/1000*1</f>
        <v>0</v>
      </c>
      <c r="Z47" s="89">
        <f t="shared" si="24"/>
        <v>0</v>
      </c>
      <c r="AA47" s="27" t="str">
        <f t="shared" si="25"/>
        <v>N/A</v>
      </c>
      <c r="AB47" s="107">
        <f>0/1000*1</f>
        <v>0</v>
      </c>
      <c r="AC47" s="1"/>
      <c r="AD47" s="1"/>
      <c r="AE47" s="1"/>
      <c r="AF47" s="1"/>
      <c r="AG47" s="1"/>
      <c r="AH47" s="1"/>
      <c r="AI47" s="1"/>
    </row>
    <row r="48" spans="1:35" ht="14.25" hidden="1" outlineLevel="1" x14ac:dyDescent="0.2">
      <c r="A48" s="1"/>
      <c r="B48" s="3"/>
      <c r="C48" s="3"/>
      <c r="D48" s="3" t="s">
        <v>59</v>
      </c>
      <c r="E48" s="3" t="s">
        <v>57</v>
      </c>
      <c r="F48" s="3">
        <v>811</v>
      </c>
      <c r="G48" s="105">
        <f t="shared" si="28"/>
        <v>0</v>
      </c>
      <c r="H48" s="106">
        <f t="shared" si="28"/>
        <v>0</v>
      </c>
      <c r="I48" s="89">
        <f t="shared" si="14"/>
        <v>0</v>
      </c>
      <c r="J48" s="26" t="str">
        <f t="shared" si="15"/>
        <v>N/A</v>
      </c>
      <c r="K48" s="106">
        <f t="shared" si="26"/>
        <v>0</v>
      </c>
      <c r="L48" s="89">
        <f t="shared" si="16"/>
        <v>0</v>
      </c>
      <c r="M48" s="27" t="str">
        <f t="shared" si="17"/>
        <v>N/A</v>
      </c>
      <c r="N48" s="105">
        <f>0/1000*1</f>
        <v>0</v>
      </c>
      <c r="O48" s="106">
        <f>185/1000*1</f>
        <v>0.185</v>
      </c>
      <c r="P48" s="89">
        <f t="shared" si="18"/>
        <v>-0.185</v>
      </c>
      <c r="Q48" s="26">
        <f t="shared" si="19"/>
        <v>-1</v>
      </c>
      <c r="R48" s="106">
        <f t="shared" si="27"/>
        <v>0</v>
      </c>
      <c r="S48" s="89">
        <f t="shared" si="20"/>
        <v>0</v>
      </c>
      <c r="T48" s="27" t="str">
        <f t="shared" si="21"/>
        <v>N/A</v>
      </c>
      <c r="U48" s="105">
        <f>0/1000*1</f>
        <v>0</v>
      </c>
      <c r="V48" s="106">
        <f>15185/1000*1</f>
        <v>15.185</v>
      </c>
      <c r="W48" s="89">
        <f t="shared" si="22"/>
        <v>-15.185</v>
      </c>
      <c r="X48" s="26">
        <f t="shared" si="23"/>
        <v>-1</v>
      </c>
      <c r="Y48" s="106">
        <f>0/1000*1</f>
        <v>0</v>
      </c>
      <c r="Z48" s="89">
        <f t="shared" si="24"/>
        <v>0</v>
      </c>
      <c r="AA48" s="27" t="str">
        <f t="shared" si="25"/>
        <v>N/A</v>
      </c>
      <c r="AB48" s="107">
        <f>0/1000*1</f>
        <v>0</v>
      </c>
      <c r="AC48" s="1"/>
      <c r="AD48" s="1"/>
      <c r="AE48" s="1"/>
      <c r="AF48" s="1"/>
      <c r="AG48" s="1"/>
      <c r="AH48" s="1"/>
      <c r="AI48" s="1"/>
    </row>
    <row r="49" spans="1:35" ht="14.25" hidden="1" outlineLevel="1" x14ac:dyDescent="0.2">
      <c r="A49" s="1"/>
      <c r="B49" s="3"/>
      <c r="C49" s="3"/>
      <c r="D49" s="3"/>
      <c r="E49" s="3"/>
      <c r="F49" s="3"/>
      <c r="G49" s="105"/>
      <c r="H49" s="106"/>
      <c r="I49" s="89"/>
      <c r="J49" s="26"/>
      <c r="K49" s="106"/>
      <c r="L49" s="89"/>
      <c r="M49" s="27"/>
      <c r="N49" s="105"/>
      <c r="O49" s="106"/>
      <c r="P49" s="89"/>
      <c r="Q49" s="26"/>
      <c r="R49" s="106"/>
      <c r="S49" s="89"/>
      <c r="T49" s="27"/>
      <c r="U49" s="105"/>
      <c r="V49" s="106"/>
      <c r="W49" s="89"/>
      <c r="X49" s="26"/>
      <c r="Y49" s="106"/>
      <c r="Z49" s="89"/>
      <c r="AA49" s="27"/>
      <c r="AB49" s="107"/>
      <c r="AC49" s="1"/>
      <c r="AD49" s="1"/>
      <c r="AE49" s="1"/>
      <c r="AF49" s="1"/>
      <c r="AG49" s="1"/>
      <c r="AH49" s="1"/>
      <c r="AI49" s="1"/>
    </row>
    <row r="50" spans="1:35" ht="14.25" hidden="1" outlineLevel="1" x14ac:dyDescent="0.2">
      <c r="A50" s="1"/>
      <c r="B50" s="3"/>
      <c r="C50" s="3"/>
      <c r="D50" s="3"/>
      <c r="E50" s="3"/>
      <c r="F50" s="3"/>
      <c r="G50" s="105"/>
      <c r="H50" s="106"/>
      <c r="I50" s="89"/>
      <c r="J50" s="26"/>
      <c r="K50" s="106"/>
      <c r="L50" s="89"/>
      <c r="M50" s="27"/>
      <c r="N50" s="105"/>
      <c r="O50" s="106"/>
      <c r="P50" s="89"/>
      <c r="Q50" s="26"/>
      <c r="R50" s="106"/>
      <c r="S50" s="89"/>
      <c r="T50" s="27"/>
      <c r="U50" s="105"/>
      <c r="V50" s="106"/>
      <c r="W50" s="89"/>
      <c r="X50" s="26"/>
      <c r="Y50" s="106"/>
      <c r="Z50" s="89"/>
      <c r="AA50" s="27"/>
      <c r="AB50" s="107"/>
      <c r="AC50" s="1"/>
      <c r="AD50" s="1"/>
      <c r="AE50" s="1"/>
      <c r="AF50" s="1"/>
      <c r="AG50" s="1"/>
      <c r="AH50" s="1"/>
      <c r="AI50" s="1"/>
    </row>
    <row r="51" spans="1:35" ht="14.25" collapsed="1" x14ac:dyDescent="0.2">
      <c r="A51" s="1"/>
      <c r="B51" s="3" t="s">
        <v>60</v>
      </c>
      <c r="C51" s="3"/>
      <c r="D51" s="3"/>
      <c r="E51" s="3"/>
      <c r="F51" s="3"/>
      <c r="G51" s="102">
        <f>SUM(G52:G53)</f>
        <v>1.15333</v>
      </c>
      <c r="H51" s="103">
        <f>SUM(H52:H53)</f>
        <v>1.3060799999999999</v>
      </c>
      <c r="I51" s="89">
        <f>G51-H51</f>
        <v>-0.15274999999999994</v>
      </c>
      <c r="J51" s="26">
        <f>IF(ISERROR(I51/H51),"N/A",IF(ABS(I51/H51)&gt;5,"N/A",I51/H51))</f>
        <v>-0.11695301972314097</v>
      </c>
      <c r="K51" s="103">
        <f>SUM(K52:K53)</f>
        <v>0</v>
      </c>
      <c r="L51" s="89">
        <f>K51-G51</f>
        <v>-1.15333</v>
      </c>
      <c r="M51" s="27" t="str">
        <f>IF(ISERROR(L51/K51),"N/A",IF(ABS(L51/K51)&gt;5,"N/A",L51/K51))</f>
        <v>N/A</v>
      </c>
      <c r="N51" s="102">
        <f>SUM(N52:N53)</f>
        <v>3.4684299999999997</v>
      </c>
      <c r="O51" s="103">
        <f>SUM(O52:O53)</f>
        <v>-21.88505</v>
      </c>
      <c r="P51" s="89">
        <f>N51-O51</f>
        <v>25.353479999999998</v>
      </c>
      <c r="Q51" s="26">
        <f>IF(ISERROR(P51/O51),"N/A",IF(ABS(P51/O51)&gt;5,"N/A",P51/O51))</f>
        <v>-1.1584839879278319</v>
      </c>
      <c r="R51" s="103">
        <f>SUM(R52:R53)</f>
        <v>1.15333</v>
      </c>
      <c r="S51" s="89">
        <f>R51-N51</f>
        <v>-2.3150999999999997</v>
      </c>
      <c r="T51" s="27">
        <f>IF(ISERROR(S51/R51),"N/A",IF(ABS(S51/R51)&gt;5,"N/A",S51/R51))</f>
        <v>-2.0073179402252608</v>
      </c>
      <c r="U51" s="102">
        <f>SUM(U52:U53)</f>
        <v>7.0970200000000006</v>
      </c>
      <c r="V51" s="103">
        <f>SUM(V52:V53)</f>
        <v>21.510860000000001</v>
      </c>
      <c r="W51" s="89">
        <f>U51-V51</f>
        <v>-14.41384</v>
      </c>
      <c r="X51" s="26">
        <f>IF(ISERROR(W51/V51),"N/A",IF(ABS(W51/V51)&gt;5,"N/A",W51/V51))</f>
        <v>-0.67007269816269543</v>
      </c>
      <c r="Y51" s="103">
        <f>SUM(Y52:Y53)</f>
        <v>4.7819200000000004</v>
      </c>
      <c r="Z51" s="89">
        <f>Y51-U51</f>
        <v>-2.3151000000000002</v>
      </c>
      <c r="AA51" s="27">
        <f>IF(ISERROR(Z51/Y51),"N/A",IF(ABS(Z51/Y51)&gt;5,"N/A",Z51/Y51))</f>
        <v>-0.48413607923177299</v>
      </c>
      <c r="AB51" s="104">
        <f>SUM(AB52:AB53)</f>
        <v>4.7819200000000004</v>
      </c>
      <c r="AC51" s="1"/>
      <c r="AD51" s="1"/>
      <c r="AE51" s="1"/>
      <c r="AF51" s="1"/>
      <c r="AG51" s="1"/>
      <c r="AH51" s="1"/>
      <c r="AI51" s="1"/>
    </row>
    <row r="52" spans="1:35" ht="14.25" hidden="1" outlineLevel="1" x14ac:dyDescent="0.2">
      <c r="A52" s="1"/>
      <c r="B52" s="3"/>
      <c r="C52" s="3"/>
      <c r="D52" s="3" t="s">
        <v>61</v>
      </c>
      <c r="E52" s="3" t="s">
        <v>51</v>
      </c>
      <c r="F52" s="3">
        <v>850</v>
      </c>
      <c r="G52" s="105">
        <f>1153.33/1000*1</f>
        <v>1.15333</v>
      </c>
      <c r="H52" s="106">
        <f>1306.08/1000*1</f>
        <v>1.3060799999999999</v>
      </c>
      <c r="I52" s="89">
        <f>G52-H52</f>
        <v>-0.15274999999999994</v>
      </c>
      <c r="J52" s="26">
        <f>IF(ISERROR(I52/H52),"N/A",IF(ABS(I52/H52)&gt;5,"N/A",I52/H52))</f>
        <v>-0.11695301972314097</v>
      </c>
      <c r="K52" s="106">
        <f>0/1000*1</f>
        <v>0</v>
      </c>
      <c r="L52" s="89">
        <f>K52-G52</f>
        <v>-1.15333</v>
      </c>
      <c r="M52" s="27" t="str">
        <f>IF(ISERROR(L52/K52),"N/A",IF(ABS(L52/K52)&gt;5,"N/A",L52/K52))</f>
        <v>N/A</v>
      </c>
      <c r="N52" s="105">
        <f>3468.43/1000*1</f>
        <v>3.4684299999999997</v>
      </c>
      <c r="O52" s="106">
        <f>-21885.05/1000*1</f>
        <v>-21.88505</v>
      </c>
      <c r="P52" s="89">
        <f>N52-O52</f>
        <v>25.353479999999998</v>
      </c>
      <c r="Q52" s="26">
        <f>IF(ISERROR(P52/O52),"N/A",IF(ABS(P52/O52)&gt;5,"N/A",P52/O52))</f>
        <v>-1.1584839879278319</v>
      </c>
      <c r="R52" s="106">
        <f>1153.33/1000*1</f>
        <v>1.15333</v>
      </c>
      <c r="S52" s="89">
        <f>R52-N52</f>
        <v>-2.3150999999999997</v>
      </c>
      <c r="T52" s="27">
        <f>IF(ISERROR(S52/R52),"N/A",IF(ABS(S52/R52)&gt;5,"N/A",S52/R52))</f>
        <v>-2.0073179402252608</v>
      </c>
      <c r="U52" s="105">
        <f>7097.02/1000*1</f>
        <v>7.0970200000000006</v>
      </c>
      <c r="V52" s="106">
        <f>21510.86/1000*1</f>
        <v>21.510860000000001</v>
      </c>
      <c r="W52" s="89">
        <f>U52-V52</f>
        <v>-14.41384</v>
      </c>
      <c r="X52" s="26">
        <f>IF(ISERROR(W52/V52),"N/A",IF(ABS(W52/V52)&gt;5,"N/A",W52/V52))</f>
        <v>-0.67007269816269543</v>
      </c>
      <c r="Y52" s="106">
        <f>4781.92/1000*1</f>
        <v>4.7819200000000004</v>
      </c>
      <c r="Z52" s="89">
        <f>Y52-U52</f>
        <v>-2.3151000000000002</v>
      </c>
      <c r="AA52" s="27">
        <f>IF(ISERROR(Z52/Y52),"N/A",IF(ABS(Z52/Y52)&gt;5,"N/A",Z52/Y52))</f>
        <v>-0.48413607923177299</v>
      </c>
      <c r="AB52" s="107">
        <f>4781.92/1000*1</f>
        <v>4.7819200000000004</v>
      </c>
      <c r="AC52" s="1"/>
      <c r="AD52" s="1"/>
      <c r="AE52" s="1"/>
      <c r="AF52" s="1"/>
      <c r="AG52" s="1"/>
      <c r="AH52" s="1"/>
      <c r="AI52" s="1"/>
    </row>
    <row r="53" spans="1:35" ht="14.25" hidden="1" outlineLevel="1" x14ac:dyDescent="0.2">
      <c r="A53" s="1"/>
      <c r="B53" s="3"/>
      <c r="C53" s="3"/>
      <c r="D53" s="3"/>
      <c r="E53" s="3"/>
      <c r="F53" s="3"/>
      <c r="G53" s="105"/>
      <c r="H53" s="106"/>
      <c r="I53" s="89"/>
      <c r="J53" s="26"/>
      <c r="K53" s="106"/>
      <c r="L53" s="89"/>
      <c r="M53" s="27"/>
      <c r="N53" s="105"/>
      <c r="O53" s="106"/>
      <c r="P53" s="89"/>
      <c r="Q53" s="26"/>
      <c r="R53" s="106"/>
      <c r="S53" s="89"/>
      <c r="T53" s="27"/>
      <c r="U53" s="105"/>
      <c r="V53" s="106"/>
      <c r="W53" s="89"/>
      <c r="X53" s="26"/>
      <c r="Y53" s="106"/>
      <c r="Z53" s="89"/>
      <c r="AA53" s="27"/>
      <c r="AB53" s="107"/>
      <c r="AC53" s="1"/>
      <c r="AD53" s="1"/>
      <c r="AE53" s="1"/>
      <c r="AF53" s="1"/>
      <c r="AG53" s="1"/>
      <c r="AH53" s="1"/>
      <c r="AI53" s="1"/>
    </row>
    <row r="54" spans="1:35" ht="14.25" hidden="1" outlineLevel="1" x14ac:dyDescent="0.2">
      <c r="A54" s="1"/>
      <c r="B54" s="3"/>
      <c r="C54" s="3"/>
      <c r="D54" s="3"/>
      <c r="E54" s="3"/>
      <c r="F54" s="3"/>
      <c r="G54" s="105"/>
      <c r="H54" s="106"/>
      <c r="I54" s="89"/>
      <c r="J54" s="26"/>
      <c r="K54" s="106"/>
      <c r="L54" s="89"/>
      <c r="M54" s="27"/>
      <c r="N54" s="105"/>
      <c r="O54" s="106"/>
      <c r="P54" s="89"/>
      <c r="Q54" s="26"/>
      <c r="R54" s="106"/>
      <c r="S54" s="89"/>
      <c r="T54" s="27"/>
      <c r="U54" s="105"/>
      <c r="V54" s="106"/>
      <c r="W54" s="89"/>
      <c r="X54" s="26"/>
      <c r="Y54" s="106"/>
      <c r="Z54" s="89"/>
      <c r="AA54" s="27"/>
      <c r="AB54" s="107"/>
      <c r="AC54" s="1"/>
      <c r="AD54" s="1"/>
      <c r="AE54" s="1"/>
      <c r="AF54" s="1"/>
      <c r="AG54" s="1"/>
      <c r="AH54" s="1"/>
      <c r="AI54" s="1"/>
    </row>
    <row r="55" spans="1:35" ht="14.25" collapsed="1" x14ac:dyDescent="0.2">
      <c r="A55" s="1"/>
      <c r="B55" s="3" t="s">
        <v>62</v>
      </c>
      <c r="C55" s="3"/>
      <c r="D55" s="3"/>
      <c r="E55" s="3"/>
      <c r="F55" s="3"/>
      <c r="G55" s="102">
        <f>SUM(G56:G60)</f>
        <v>846.31024000000002</v>
      </c>
      <c r="H55" s="103">
        <f>SUM(H56:H60)</f>
        <v>1006.23986</v>
      </c>
      <c r="I55" s="89">
        <f>G55-H55</f>
        <v>-159.92962</v>
      </c>
      <c r="J55" s="26">
        <f>IF(ISERROR(I55/H55),"N/A",IF(ABS(I55/H55)&gt;5,"N/A",I55/H55))</f>
        <v>-0.15893786994285836</v>
      </c>
      <c r="K55" s="103">
        <f>SUM(K56:K60)</f>
        <v>755.71014914400007</v>
      </c>
      <c r="L55" s="89">
        <f>K55-G55</f>
        <v>-90.600090855999952</v>
      </c>
      <c r="M55" s="27">
        <f>IF(ISERROR(L55/K55),"N/A",IF(ABS(L55/K55)&gt;5,"N/A",L55/K55))</f>
        <v>-0.11988735490534766</v>
      </c>
      <c r="N55" s="102">
        <f>SUM(N56:N60)</f>
        <v>2567.5111499999998</v>
      </c>
      <c r="O55" s="103">
        <f>SUM(O56:O60)</f>
        <v>3332.4767999999999</v>
      </c>
      <c r="P55" s="89">
        <f>N55-O55</f>
        <v>-764.9656500000001</v>
      </c>
      <c r="Q55" s="26">
        <f>IF(ISERROR(P55/O55),"N/A",IF(ABS(P55/O55)&gt;5,"N/A",P55/O55))</f>
        <v>-0.22954867982876884</v>
      </c>
      <c r="R55" s="103">
        <f>SUM(R56:R60)</f>
        <v>2450.480928724</v>
      </c>
      <c r="S55" s="89">
        <f>R55-N55</f>
        <v>-117.03022127599979</v>
      </c>
      <c r="T55" s="27">
        <f>IF(ISERROR(S55/R55),"N/A",IF(ABS(S55/R55)&gt;5,"N/A",S55/R55))</f>
        <v>-4.7758062470185832E-2</v>
      </c>
      <c r="U55" s="102">
        <f>SUM(U56:U60)</f>
        <v>5557.7234800000006</v>
      </c>
      <c r="V55" s="103">
        <f>SUM(V56:V60)</f>
        <v>6634.6971599999997</v>
      </c>
      <c r="W55" s="89">
        <f>U55-V55</f>
        <v>-1076.9736799999991</v>
      </c>
      <c r="X55" s="26">
        <f>IF(ISERROR(W55/V55),"N/A",IF(ABS(W55/V55)&gt;5,"N/A",W55/V55))</f>
        <v>-0.1623244669693408</v>
      </c>
      <c r="Y55" s="103">
        <f>SUM(Y56:Y60)</f>
        <v>5440.6932587239999</v>
      </c>
      <c r="Z55" s="89">
        <f>Y55-U55</f>
        <v>-117.0302212760007</v>
      </c>
      <c r="AA55" s="27">
        <f>IF(ISERROR(Z55/Y55),"N/A",IF(ABS(Z55/Y55)&gt;5,"N/A",Z55/Y55))</f>
        <v>-2.1510167125916538E-2</v>
      </c>
      <c r="AB55" s="104">
        <f>SUM(AB56:AB60)</f>
        <v>11520.931836864</v>
      </c>
      <c r="AC55" s="1"/>
      <c r="AD55" s="1"/>
      <c r="AE55" s="1"/>
      <c r="AF55" s="1"/>
      <c r="AG55" s="1"/>
      <c r="AH55" s="1"/>
      <c r="AI55" s="1"/>
    </row>
    <row r="56" spans="1:35" ht="14.25" hidden="1" outlineLevel="1" x14ac:dyDescent="0.2">
      <c r="A56" s="1"/>
      <c r="B56" s="3"/>
      <c r="C56" s="3"/>
      <c r="D56" s="3" t="s">
        <v>62</v>
      </c>
      <c r="E56" s="3" t="s">
        <v>51</v>
      </c>
      <c r="F56" s="3">
        <v>860</v>
      </c>
      <c r="G56" s="105">
        <f>337727.56/1000*1</f>
        <v>337.72755999999998</v>
      </c>
      <c r="H56" s="106">
        <f>429003.09/1000*1</f>
        <v>429.00309000000004</v>
      </c>
      <c r="I56" s="89">
        <f>G56-H56</f>
        <v>-91.27553000000006</v>
      </c>
      <c r="J56" s="26">
        <f>IF(ISERROR(I56/H56),"N/A",IF(ABS(I56/H56)&gt;5,"N/A",I56/H56))</f>
        <v>-0.21276194071236187</v>
      </c>
      <c r="K56" s="106">
        <f>312691.795546/1000*1</f>
        <v>312.69179554599998</v>
      </c>
      <c r="L56" s="89">
        <f>K56-G56</f>
        <v>-25.035764454000002</v>
      </c>
      <c r="M56" s="27">
        <f>IF(ISERROR(L56/K56),"N/A",IF(ABS(L56/K56)&gt;5,"N/A",L56/K56))</f>
        <v>-8.0065306511430359E-2</v>
      </c>
      <c r="N56" s="105">
        <f>1111549.39/1000*1</f>
        <v>1111.5493899999999</v>
      </c>
      <c r="O56" s="106">
        <f>1357137.59/1000*1</f>
        <v>1357.13759</v>
      </c>
      <c r="P56" s="89">
        <f>N56-O56</f>
        <v>-245.58820000000014</v>
      </c>
      <c r="Q56" s="26">
        <f>IF(ISERROR(P56/O56),"N/A",IF(ABS(P56/O56)&gt;5,"N/A",P56/O56))</f>
        <v>-0.18096042863273734</v>
      </c>
      <c r="R56" s="106">
        <f>1108879.809928/1000*1</f>
        <v>1108.879809928</v>
      </c>
      <c r="S56" s="89">
        <f>R56-N56</f>
        <v>-2.669580071999917</v>
      </c>
      <c r="T56" s="27">
        <f>IF(ISERROR(S56/R56),"N/A",IF(ABS(S56/R56)&gt;5,"N/A",S56/R56))</f>
        <v>-2.4074566495833789E-3</v>
      </c>
      <c r="U56" s="105">
        <f>2640669.5/1000*1</f>
        <v>2640.6695</v>
      </c>
      <c r="V56" s="106">
        <f>2657926.7/1000*1</f>
        <v>2657.9267</v>
      </c>
      <c r="W56" s="89">
        <f>U56-V56</f>
        <v>-17.257200000000012</v>
      </c>
      <c r="X56" s="26">
        <f>IF(ISERROR(W56/V56),"N/A",IF(ABS(W56/V56)&gt;5,"N/A",W56/V56))</f>
        <v>-6.4927298408944132E-3</v>
      </c>
      <c r="Y56" s="106">
        <f>2637999.919928/1000*1</f>
        <v>2637.9999199280001</v>
      </c>
      <c r="Z56" s="89">
        <f>Y56-U56</f>
        <v>-2.669580071999917</v>
      </c>
      <c r="AA56" s="27">
        <f>IF(ISERROR(Z56/Y56),"N/A",IF(ABS(Z56/Y56)&gt;5,"N/A",Z56/Y56))</f>
        <v>-1.011971248305716E-3</v>
      </c>
      <c r="AB56" s="107">
        <f>5598521.805656/1000*1</f>
        <v>5598.5218056559997</v>
      </c>
      <c r="AC56" s="1"/>
      <c r="AD56" s="1"/>
      <c r="AE56" s="1"/>
      <c r="AF56" s="1"/>
      <c r="AG56" s="1"/>
      <c r="AH56" s="1"/>
      <c r="AI56" s="1"/>
    </row>
    <row r="57" spans="1:35" ht="14.25" hidden="1" outlineLevel="1" x14ac:dyDescent="0.2">
      <c r="A57" s="1"/>
      <c r="B57" s="3"/>
      <c r="C57" s="3"/>
      <c r="D57" s="3" t="s">
        <v>62</v>
      </c>
      <c r="E57" s="3" t="s">
        <v>51</v>
      </c>
      <c r="F57" s="3">
        <v>861</v>
      </c>
      <c r="G57" s="105">
        <f>508582.68/1000*1</f>
        <v>508.58267999999998</v>
      </c>
      <c r="H57" s="106">
        <f>577236.77/1000*1</f>
        <v>577.23676999999998</v>
      </c>
      <c r="I57" s="89">
        <f>G57-H57</f>
        <v>-68.654089999999997</v>
      </c>
      <c r="J57" s="26">
        <f>IF(ISERROR(I57/H57),"N/A",IF(ABS(I57/H57)&gt;5,"N/A",I57/H57))</f>
        <v>-0.11893575317455955</v>
      </c>
      <c r="K57" s="106">
        <f>443018.353598/1000*1</f>
        <v>443.01835359800003</v>
      </c>
      <c r="L57" s="89">
        <f>K57-G57</f>
        <v>-65.564326401999949</v>
      </c>
      <c r="M57" s="27">
        <f>IF(ISERROR(L57/K57),"N/A",IF(ABS(L57/K57)&gt;5,"N/A",L57/K57))</f>
        <v>-0.14799460534651748</v>
      </c>
      <c r="N57" s="105">
        <f>1455961.76/1000*1</f>
        <v>1455.9617599999999</v>
      </c>
      <c r="O57" s="106">
        <f>1877054.18/1000*1</f>
        <v>1877.0541799999999</v>
      </c>
      <c r="P57" s="89">
        <f>N57-O57</f>
        <v>-421.09241999999995</v>
      </c>
      <c r="Q57" s="26">
        <f>IF(ISERROR(P57/O57),"N/A",IF(ABS(P57/O57)&gt;5,"N/A",P57/O57))</f>
        <v>-0.2243368489235617</v>
      </c>
      <c r="R57" s="106">
        <f>1341601.118796/1000*1</f>
        <v>1341.601118796</v>
      </c>
      <c r="S57" s="89">
        <f>R57-N57</f>
        <v>-114.36064120399988</v>
      </c>
      <c r="T57" s="27">
        <f>IF(ISERROR(S57/R57),"N/A",IF(ABS(S57/R57)&gt;5,"N/A",S57/R57))</f>
        <v>-8.5241909537635996E-2</v>
      </c>
      <c r="U57" s="105">
        <f>2917053.98/1000*1</f>
        <v>2917.0539800000001</v>
      </c>
      <c r="V57" s="106">
        <f>3586880.84/1000*1</f>
        <v>3586.8808399999998</v>
      </c>
      <c r="W57" s="89">
        <f>U57-V57</f>
        <v>-669.82685999999967</v>
      </c>
      <c r="X57" s="26">
        <f>IF(ISERROR(W57/V57),"N/A",IF(ABS(W57/V57)&gt;5,"N/A",W57/V57))</f>
        <v>-0.18674354958499254</v>
      </c>
      <c r="Y57" s="106">
        <f>2802693.338796/1000*1</f>
        <v>2802.6933387959998</v>
      </c>
      <c r="Z57" s="89">
        <f>Y57-U57</f>
        <v>-114.36064120400033</v>
      </c>
      <c r="AA57" s="27">
        <f>IF(ISERROR(Z57/Y57),"N/A",IF(ABS(Z57/Y57)&gt;5,"N/A",Z57/Y57))</f>
        <v>-4.0803836659892359E-2</v>
      </c>
      <c r="AB57" s="107">
        <f>5922410.031208/1000*1</f>
        <v>5922.410031208</v>
      </c>
      <c r="AC57" s="1"/>
      <c r="AD57" s="1"/>
      <c r="AE57" s="1"/>
      <c r="AF57" s="1"/>
      <c r="AG57" s="1"/>
      <c r="AH57" s="1"/>
      <c r="AI57" s="1"/>
    </row>
    <row r="58" spans="1:35" ht="14.25" hidden="1" outlineLevel="1" x14ac:dyDescent="0.2">
      <c r="A58" s="1"/>
      <c r="B58" s="3"/>
      <c r="C58" s="3"/>
      <c r="D58" s="3" t="s">
        <v>62</v>
      </c>
      <c r="E58" s="3" t="s">
        <v>52</v>
      </c>
      <c r="F58" s="3">
        <v>860</v>
      </c>
      <c r="G58" s="105">
        <f>0/1000*1</f>
        <v>0</v>
      </c>
      <c r="H58" s="106">
        <f>0/1000*1</f>
        <v>0</v>
      </c>
      <c r="I58" s="89">
        <f>G58-H58</f>
        <v>0</v>
      </c>
      <c r="J58" s="26" t="str">
        <f>IF(ISERROR(I58/H58),"N/A",IF(ABS(I58/H58)&gt;5,"N/A",I58/H58))</f>
        <v>N/A</v>
      </c>
      <c r="K58" s="106">
        <f>0/1000*1</f>
        <v>0</v>
      </c>
      <c r="L58" s="89">
        <f>K58-G58</f>
        <v>0</v>
      </c>
      <c r="M58" s="27" t="str">
        <f>IF(ISERROR(L58/K58),"N/A",IF(ABS(L58/K58)&gt;5,"N/A",L58/K58))</f>
        <v>N/A</v>
      </c>
      <c r="N58" s="105">
        <f>0/1000*1</f>
        <v>0</v>
      </c>
      <c r="O58" s="106">
        <f>1083.5/1000*1</f>
        <v>1.0834999999999999</v>
      </c>
      <c r="P58" s="89">
        <f>N58-O58</f>
        <v>-1.0834999999999999</v>
      </c>
      <c r="Q58" s="26">
        <f>IF(ISERROR(P58/O58),"N/A",IF(ABS(P58/O58)&gt;5,"N/A",P58/O58))</f>
        <v>-1</v>
      </c>
      <c r="R58" s="106">
        <f>0/1000*1</f>
        <v>0</v>
      </c>
      <c r="S58" s="89">
        <f>R58-N58</f>
        <v>0</v>
      </c>
      <c r="T58" s="27" t="str">
        <f>IF(ISERROR(S58/R58),"N/A",IF(ABS(S58/R58)&gt;5,"N/A",S58/R58))</f>
        <v>N/A</v>
      </c>
      <c r="U58" s="105">
        <f>0/1000*1</f>
        <v>0</v>
      </c>
      <c r="V58" s="106">
        <f>1083.5/1000*1</f>
        <v>1.0834999999999999</v>
      </c>
      <c r="W58" s="89">
        <f>U58-V58</f>
        <v>-1.0834999999999999</v>
      </c>
      <c r="X58" s="26">
        <f>IF(ISERROR(W58/V58),"N/A",IF(ABS(W58/V58)&gt;5,"N/A",W58/V58))</f>
        <v>-1</v>
      </c>
      <c r="Y58" s="106">
        <f>0/1000*1</f>
        <v>0</v>
      </c>
      <c r="Z58" s="89">
        <f>Y58-U58</f>
        <v>0</v>
      </c>
      <c r="AA58" s="27" t="str">
        <f>IF(ISERROR(Z58/Y58),"N/A",IF(ABS(Z58/Y58)&gt;5,"N/A",Z58/Y58))</f>
        <v>N/A</v>
      </c>
      <c r="AB58" s="107">
        <f>0/1000*1</f>
        <v>0</v>
      </c>
      <c r="AC58" s="1"/>
      <c r="AD58" s="1"/>
      <c r="AE58" s="1"/>
      <c r="AF58" s="1"/>
      <c r="AG58" s="1"/>
      <c r="AH58" s="1"/>
      <c r="AI58" s="1"/>
    </row>
    <row r="59" spans="1:35" ht="14.25" hidden="1" outlineLevel="1" x14ac:dyDescent="0.2">
      <c r="A59" s="1"/>
      <c r="B59" s="3"/>
      <c r="C59" s="3"/>
      <c r="D59" s="3" t="s">
        <v>62</v>
      </c>
      <c r="E59" s="3" t="s">
        <v>52</v>
      </c>
      <c r="F59" s="3">
        <v>861</v>
      </c>
      <c r="G59" s="105">
        <f>0/1000*1</f>
        <v>0</v>
      </c>
      <c r="H59" s="106">
        <f>0/1000*1</f>
        <v>0</v>
      </c>
      <c r="I59" s="89">
        <f>G59-H59</f>
        <v>0</v>
      </c>
      <c r="J59" s="26" t="str">
        <f>IF(ISERROR(I59/H59),"N/A",IF(ABS(I59/H59)&gt;5,"N/A",I59/H59))</f>
        <v>N/A</v>
      </c>
      <c r="K59" s="106">
        <f>0/1000*1</f>
        <v>0</v>
      </c>
      <c r="L59" s="89">
        <f>K59-G59</f>
        <v>0</v>
      </c>
      <c r="M59" s="27" t="str">
        <f>IF(ISERROR(L59/K59),"N/A",IF(ABS(L59/K59)&gt;5,"N/A",L59/K59))</f>
        <v>N/A</v>
      </c>
      <c r="N59" s="105">
        <f>0/1000*1</f>
        <v>0</v>
      </c>
      <c r="O59" s="106">
        <f>97201.53/1000*1</f>
        <v>97.201530000000005</v>
      </c>
      <c r="P59" s="89">
        <f>N59-O59</f>
        <v>-97.201530000000005</v>
      </c>
      <c r="Q59" s="26">
        <f>IF(ISERROR(P59/O59),"N/A",IF(ABS(P59/O59)&gt;5,"N/A",P59/O59))</f>
        <v>-1</v>
      </c>
      <c r="R59" s="106">
        <f>0/1000*1</f>
        <v>0</v>
      </c>
      <c r="S59" s="89">
        <f>R59-N59</f>
        <v>0</v>
      </c>
      <c r="T59" s="27" t="str">
        <f>IF(ISERROR(S59/R59),"N/A",IF(ABS(S59/R59)&gt;5,"N/A",S59/R59))</f>
        <v>N/A</v>
      </c>
      <c r="U59" s="105">
        <f>0/1000*1</f>
        <v>0</v>
      </c>
      <c r="V59" s="106">
        <f>388806.12/1000*1</f>
        <v>388.80612000000002</v>
      </c>
      <c r="W59" s="89">
        <f>U59-V59</f>
        <v>-388.80612000000002</v>
      </c>
      <c r="X59" s="26">
        <f>IF(ISERROR(W59/V59),"N/A",IF(ABS(W59/V59)&gt;5,"N/A",W59/V59))</f>
        <v>-1</v>
      </c>
      <c r="Y59" s="106">
        <f>0/1000*1</f>
        <v>0</v>
      </c>
      <c r="Z59" s="89">
        <f>Y59-U59</f>
        <v>0</v>
      </c>
      <c r="AA59" s="27" t="str">
        <f>IF(ISERROR(Z59/Y59),"N/A",IF(ABS(Z59/Y59)&gt;5,"N/A",Z59/Y59))</f>
        <v>N/A</v>
      </c>
      <c r="AB59" s="107">
        <f>0/1000*1</f>
        <v>0</v>
      </c>
      <c r="AC59" s="1"/>
      <c r="AD59" s="1"/>
      <c r="AE59" s="1"/>
      <c r="AF59" s="1"/>
      <c r="AG59" s="1"/>
      <c r="AH59" s="1"/>
      <c r="AI59" s="1"/>
    </row>
    <row r="60" spans="1:35" ht="14.25" hidden="1" outlineLevel="1" x14ac:dyDescent="0.2">
      <c r="A60" s="1"/>
      <c r="B60" s="3"/>
      <c r="C60" s="3"/>
      <c r="D60" s="3"/>
      <c r="E60" s="3"/>
      <c r="F60" s="3"/>
      <c r="G60" s="105"/>
      <c r="H60" s="106"/>
      <c r="I60" s="89"/>
      <c r="J60" s="26"/>
      <c r="K60" s="106"/>
      <c r="L60" s="89"/>
      <c r="M60" s="27"/>
      <c r="N60" s="105"/>
      <c r="O60" s="106"/>
      <c r="P60" s="89"/>
      <c r="Q60" s="26"/>
      <c r="R60" s="106"/>
      <c r="S60" s="89"/>
      <c r="T60" s="27"/>
      <c r="U60" s="105"/>
      <c r="V60" s="106"/>
      <c r="W60" s="89"/>
      <c r="X60" s="26"/>
      <c r="Y60" s="106"/>
      <c r="Z60" s="89"/>
      <c r="AA60" s="27"/>
      <c r="AB60" s="107"/>
      <c r="AC60" s="1"/>
      <c r="AD60" s="1"/>
      <c r="AE60" s="1"/>
      <c r="AF60" s="1"/>
      <c r="AG60" s="1"/>
      <c r="AH60" s="1"/>
      <c r="AI60" s="1"/>
    </row>
    <row r="61" spans="1:35" ht="14.25" hidden="1" outlineLevel="1" x14ac:dyDescent="0.2">
      <c r="A61" s="1"/>
      <c r="B61" s="3"/>
      <c r="C61" s="3"/>
      <c r="D61" s="3"/>
      <c r="E61" s="3"/>
      <c r="F61" s="3"/>
      <c r="G61" s="105"/>
      <c r="H61" s="106"/>
      <c r="I61" s="89"/>
      <c r="J61" s="26"/>
      <c r="K61" s="106"/>
      <c r="L61" s="89"/>
      <c r="M61" s="27"/>
      <c r="N61" s="105"/>
      <c r="O61" s="106"/>
      <c r="P61" s="89"/>
      <c r="Q61" s="26"/>
      <c r="R61" s="106"/>
      <c r="S61" s="89"/>
      <c r="T61" s="27"/>
      <c r="U61" s="105"/>
      <c r="V61" s="106"/>
      <c r="W61" s="89"/>
      <c r="X61" s="26"/>
      <c r="Y61" s="106"/>
      <c r="Z61" s="89"/>
      <c r="AA61" s="27"/>
      <c r="AB61" s="107"/>
      <c r="AC61" s="1"/>
      <c r="AD61" s="1"/>
      <c r="AE61" s="1"/>
      <c r="AF61" s="1"/>
      <c r="AG61" s="1"/>
      <c r="AH61" s="1"/>
      <c r="AI61" s="1"/>
    </row>
    <row r="62" spans="1:35" ht="14.25" collapsed="1" x14ac:dyDescent="0.2">
      <c r="A62" s="1"/>
      <c r="B62" s="3" t="s">
        <v>63</v>
      </c>
      <c r="C62" s="3"/>
      <c r="D62" s="3"/>
      <c r="E62" s="3"/>
      <c r="F62" s="3"/>
      <c r="G62" s="102">
        <f>SUM(G63:G66)</f>
        <v>49.825940000000003</v>
      </c>
      <c r="H62" s="103">
        <f>SUM(H63:H66)</f>
        <v>47.620770000000007</v>
      </c>
      <c r="I62" s="89">
        <f>G62-H62</f>
        <v>2.2051699999999954</v>
      </c>
      <c r="J62" s="26">
        <f>IF(ISERROR(I62/H62),"N/A",IF(ABS(I62/H62)&gt;5,"N/A",I62/H62))</f>
        <v>4.6306895079604865E-2</v>
      </c>
      <c r="K62" s="103">
        <f>SUM(K63:K66)</f>
        <v>92.011118199999999</v>
      </c>
      <c r="L62" s="89">
        <f>K62-G62</f>
        <v>42.185178199999996</v>
      </c>
      <c r="M62" s="27">
        <f>IF(ISERROR(L62/K62),"N/A",IF(ABS(L62/K62)&gt;5,"N/A",L62/K62))</f>
        <v>0.45847913844829241</v>
      </c>
      <c r="N62" s="102">
        <f>SUM(N63:N66)</f>
        <v>324.08538000000004</v>
      </c>
      <c r="O62" s="103">
        <f>SUM(O63:O66)</f>
        <v>112.59281999999999</v>
      </c>
      <c r="P62" s="89">
        <f>N62-O62</f>
        <v>211.49256000000005</v>
      </c>
      <c r="Q62" s="26">
        <f>IF(ISERROR(P62/O62),"N/A",IF(ABS(P62/O62)&gt;5,"N/A",P62/O62))</f>
        <v>1.8783840745795342</v>
      </c>
      <c r="R62" s="103">
        <f>SUM(R63:R66)</f>
        <v>327.35015598400003</v>
      </c>
      <c r="S62" s="89">
        <f>R62-N62</f>
        <v>3.2647759839999821</v>
      </c>
      <c r="T62" s="27">
        <f>IF(ISERROR(S62/R62),"N/A",IF(ABS(S62/R62)&gt;5,"N/A",S62/R62))</f>
        <v>9.973344824554033E-3</v>
      </c>
      <c r="U62" s="102">
        <f>SUM(U63:U66)</f>
        <v>838.23051999999996</v>
      </c>
      <c r="V62" s="103">
        <f>SUM(V63:V66)</f>
        <v>236.60022000000001</v>
      </c>
      <c r="W62" s="89">
        <f>U62-V62</f>
        <v>601.63029999999992</v>
      </c>
      <c r="X62" s="26">
        <f>IF(ISERROR(W62/V62),"N/A",IF(ABS(W62/V62)&gt;5,"N/A",W62/V62))</f>
        <v>2.5428137809846496</v>
      </c>
      <c r="Y62" s="103">
        <f>SUM(Y63:Y66)</f>
        <v>841.49529598399999</v>
      </c>
      <c r="Z62" s="89">
        <f>Y62-U62</f>
        <v>3.264775984000039</v>
      </c>
      <c r="AA62" s="27">
        <f>IF(ISERROR(Z62/Y62),"N/A",IF(ABS(Z62/Y62)&gt;5,"N/A",Z62/Y62))</f>
        <v>3.8797317104219613E-3</v>
      </c>
      <c r="AB62" s="104">
        <f>SUM(AB63:AB66)</f>
        <v>1709.0655405690002</v>
      </c>
      <c r="AC62" s="1"/>
      <c r="AD62" s="1"/>
      <c r="AE62" s="1"/>
      <c r="AF62" s="1"/>
      <c r="AG62" s="1"/>
      <c r="AH62" s="1"/>
      <c r="AI62" s="1"/>
    </row>
    <row r="63" spans="1:35" ht="14.25" hidden="1" outlineLevel="1" x14ac:dyDescent="0.2">
      <c r="A63" s="1"/>
      <c r="B63" s="3"/>
      <c r="C63" s="3"/>
      <c r="D63" s="3" t="s">
        <v>64</v>
      </c>
      <c r="E63" s="3" t="s">
        <v>51</v>
      </c>
      <c r="F63" s="3">
        <v>640</v>
      </c>
      <c r="G63" s="105">
        <f>11.03/1000*1</f>
        <v>1.103E-2</v>
      </c>
      <c r="H63" s="106">
        <f>2939.03/1000*1</f>
        <v>2.9390300000000003</v>
      </c>
      <c r="I63" s="89">
        <f>G63-H63</f>
        <v>-2.9280000000000004</v>
      </c>
      <c r="J63" s="26">
        <f>IF(ISERROR(I63/H63),"N/A",IF(ABS(I63/H63)&gt;5,"N/A",I63/H63))</f>
        <v>-0.99624706110519456</v>
      </c>
      <c r="K63" s="106">
        <f>0/1000*1</f>
        <v>0</v>
      </c>
      <c r="L63" s="89">
        <f>K63-G63</f>
        <v>-1.103E-2</v>
      </c>
      <c r="M63" s="27" t="str">
        <f>IF(ISERROR(L63/K63),"N/A",IF(ABS(L63/K63)&gt;5,"N/A",L63/K63))</f>
        <v>N/A</v>
      </c>
      <c r="N63" s="105">
        <f>33.09/1000*1</f>
        <v>3.3090000000000001E-2</v>
      </c>
      <c r="O63" s="106">
        <f>2973.25/1000*1</f>
        <v>2.9732500000000002</v>
      </c>
      <c r="P63" s="89">
        <f>N63-O63</f>
        <v>-2.9401600000000001</v>
      </c>
      <c r="Q63" s="26">
        <f>IF(ISERROR(P63/O63),"N/A",IF(ABS(P63/O63)&gt;5,"N/A",P63/O63))</f>
        <v>-0.98887076431514331</v>
      </c>
      <c r="R63" s="106">
        <f>11.03/1000*1</f>
        <v>1.103E-2</v>
      </c>
      <c r="S63" s="89">
        <f>R63-N63</f>
        <v>-2.2060000000000003E-2</v>
      </c>
      <c r="T63" s="27">
        <f>IF(ISERROR(S63/R63),"N/A",IF(ABS(S63/R63)&gt;5,"N/A",S63/R63))</f>
        <v>-2.0000000000000004</v>
      </c>
      <c r="U63" s="105">
        <f>66.18/1000*1</f>
        <v>6.6180000000000003E-2</v>
      </c>
      <c r="V63" s="106">
        <f>2997.25/1000*1</f>
        <v>2.9972500000000002</v>
      </c>
      <c r="W63" s="89">
        <f>U63-V63</f>
        <v>-2.9310700000000001</v>
      </c>
      <c r="X63" s="26">
        <f>IF(ISERROR(W63/V63),"N/A",IF(ABS(W63/V63)&gt;5,"N/A",W63/V63))</f>
        <v>-0.97791975977979806</v>
      </c>
      <c r="Y63" s="106">
        <f>44.12/1000*1</f>
        <v>4.4119999999999999E-2</v>
      </c>
      <c r="Z63" s="89">
        <f>Y63-U63</f>
        <v>-2.2060000000000003E-2</v>
      </c>
      <c r="AA63" s="27">
        <f>IF(ISERROR(Z63/Y63),"N/A",IF(ABS(Z63/Y63)&gt;5,"N/A",Z63/Y63))</f>
        <v>-0.50000000000000011</v>
      </c>
      <c r="AB63" s="107">
        <f>44.12/1000*1</f>
        <v>4.4119999999999999E-2</v>
      </c>
      <c r="AC63" s="1"/>
      <c r="AD63" s="1"/>
      <c r="AE63" s="1"/>
      <c r="AF63" s="1"/>
      <c r="AG63" s="1"/>
      <c r="AH63" s="1"/>
      <c r="AI63" s="1"/>
    </row>
    <row r="64" spans="1:35" ht="14.25" hidden="1" outlineLevel="1" x14ac:dyDescent="0.2">
      <c r="A64" s="1"/>
      <c r="B64" s="3"/>
      <c r="C64" s="3"/>
      <c r="D64" s="3" t="s">
        <v>64</v>
      </c>
      <c r="E64" s="3" t="s">
        <v>51</v>
      </c>
      <c r="F64" s="3">
        <v>641</v>
      </c>
      <c r="G64" s="105">
        <f>47310.07/1000*1</f>
        <v>47.310070000000003</v>
      </c>
      <c r="H64" s="106">
        <f>40462.15/1000*1</f>
        <v>40.462150000000001</v>
      </c>
      <c r="I64" s="89">
        <f>G64-H64</f>
        <v>6.847920000000002</v>
      </c>
      <c r="J64" s="26">
        <f>IF(ISERROR(I64/H64),"N/A",IF(ABS(I64/H64)&gt;5,"N/A",I64/H64))</f>
        <v>0.16924261315822323</v>
      </c>
      <c r="K64" s="106">
        <f>92011.1182/1000*1</f>
        <v>92.011118199999999</v>
      </c>
      <c r="L64" s="89">
        <f>K64-G64</f>
        <v>44.701048199999995</v>
      </c>
      <c r="M64" s="27">
        <f>IF(ISERROR(L64/K64),"N/A",IF(ABS(L64/K64)&gt;5,"N/A",L64/K64))</f>
        <v>0.48582224707709287</v>
      </c>
      <c r="N64" s="105">
        <f>315006.59/1000*1</f>
        <v>315.00659000000002</v>
      </c>
      <c r="O64" s="106">
        <f>97916.03/1000*1</f>
        <v>97.916029999999992</v>
      </c>
      <c r="P64" s="89">
        <f>N64-O64</f>
        <v>217.09056000000004</v>
      </c>
      <c r="Q64" s="26">
        <f>IF(ISERROR(P64/O64),"N/A",IF(ABS(P64/O64)&gt;5,"N/A",P64/O64))</f>
        <v>2.2171094967800475</v>
      </c>
      <c r="R64" s="106">
        <f>323685.085984/1000*1</f>
        <v>323.68508598400001</v>
      </c>
      <c r="S64" s="89">
        <f>R64-N64</f>
        <v>8.6784959839999942</v>
      </c>
      <c r="T64" s="27">
        <f>IF(ISERROR(S64/R64),"N/A",IF(ABS(S64/R64)&gt;5,"N/A",S64/R64))</f>
        <v>2.6811541092841635E-2</v>
      </c>
      <c r="U64" s="105">
        <f>818157.69/1000*1</f>
        <v>818.15768999999989</v>
      </c>
      <c r="V64" s="106">
        <f>211183.84/1000*1</f>
        <v>211.18384</v>
      </c>
      <c r="W64" s="89">
        <f>U64-V64</f>
        <v>606.97384999999986</v>
      </c>
      <c r="X64" s="26">
        <f>IF(ISERROR(W64/V64),"N/A",IF(ABS(W64/V64)&gt;5,"N/A",W64/V64))</f>
        <v>2.8741491299713076</v>
      </c>
      <c r="Y64" s="106">
        <f>826836.185984/1000*1</f>
        <v>826.83618598399994</v>
      </c>
      <c r="Z64" s="89">
        <f>Y64-U64</f>
        <v>8.6784959840000511</v>
      </c>
      <c r="AA64" s="27">
        <f>IF(ISERROR(Z64/Y64),"N/A",IF(ABS(Z64/Y64)&gt;5,"N/A",Z64/Y64))</f>
        <v>1.0496028271515427E-2</v>
      </c>
      <c r="AB64" s="107">
        <f>1694406.430569/1000*1</f>
        <v>1694.4064305690001</v>
      </c>
      <c r="AC64" s="1"/>
      <c r="AD64" s="1"/>
      <c r="AE64" s="1"/>
      <c r="AF64" s="1"/>
      <c r="AG64" s="1"/>
      <c r="AH64" s="1"/>
      <c r="AI64" s="1"/>
    </row>
    <row r="65" spans="1:35" ht="14.25" hidden="1" outlineLevel="1" x14ac:dyDescent="0.2">
      <c r="A65" s="1"/>
      <c r="B65" s="3"/>
      <c r="C65" s="3"/>
      <c r="D65" s="3" t="s">
        <v>64</v>
      </c>
      <c r="E65" s="3" t="s">
        <v>51</v>
      </c>
      <c r="F65" s="3">
        <v>642</v>
      </c>
      <c r="G65" s="105">
        <f>2504.84/1000*1</f>
        <v>2.5048400000000002</v>
      </c>
      <c r="H65" s="106">
        <f>4219.59/1000*1</f>
        <v>4.2195900000000002</v>
      </c>
      <c r="I65" s="89">
        <f>G65-H65</f>
        <v>-1.71475</v>
      </c>
      <c r="J65" s="26">
        <f>IF(ISERROR(I65/H65),"N/A",IF(ABS(I65/H65)&gt;5,"N/A",I65/H65))</f>
        <v>-0.40637834481549151</v>
      </c>
      <c r="K65" s="106">
        <f>0/1000*1</f>
        <v>0</v>
      </c>
      <c r="L65" s="89">
        <f>K65-G65</f>
        <v>-2.5048400000000002</v>
      </c>
      <c r="M65" s="27" t="str">
        <f>IF(ISERROR(L65/K65),"N/A",IF(ABS(L65/K65)&gt;5,"N/A",L65/K65))</f>
        <v>N/A</v>
      </c>
      <c r="N65" s="105">
        <f>9045.7/1000*1</f>
        <v>9.0457000000000001</v>
      </c>
      <c r="O65" s="106">
        <f>11703.54/1000*1</f>
        <v>11.70354</v>
      </c>
      <c r="P65" s="89">
        <f>N65-O65</f>
        <v>-2.6578400000000002</v>
      </c>
      <c r="Q65" s="26">
        <f>IF(ISERROR(P65/O65),"N/A",IF(ABS(P65/O65)&gt;5,"N/A",P65/O65))</f>
        <v>-0.22709710053539359</v>
      </c>
      <c r="R65" s="106">
        <f>3654.04/1000*1</f>
        <v>3.6540400000000002</v>
      </c>
      <c r="S65" s="89">
        <f>R65-N65</f>
        <v>-5.3916599999999999</v>
      </c>
      <c r="T65" s="27">
        <f>IF(ISERROR(S65/R65),"N/A",IF(ABS(S65/R65)&gt;5,"N/A",S65/R65))</f>
        <v>-1.475533929568368</v>
      </c>
      <c r="U65" s="105">
        <f>20006.65/1000*1</f>
        <v>20.00665</v>
      </c>
      <c r="V65" s="106">
        <f>22419.13/1000*1</f>
        <v>22.419130000000003</v>
      </c>
      <c r="W65" s="89">
        <f>U65-V65</f>
        <v>-2.4124800000000022</v>
      </c>
      <c r="X65" s="26">
        <f>IF(ISERROR(W65/V65),"N/A",IF(ABS(W65/V65)&gt;5,"N/A",W65/V65))</f>
        <v>-0.1076081007603775</v>
      </c>
      <c r="Y65" s="106">
        <f>14614.99/1000*1</f>
        <v>14.614990000000001</v>
      </c>
      <c r="Z65" s="89">
        <f>Y65-U65</f>
        <v>-5.3916599999999999</v>
      </c>
      <c r="AA65" s="27">
        <f>IF(ISERROR(Z65/Y65),"N/A",IF(ABS(Z65/Y65)&gt;5,"N/A",Z65/Y65))</f>
        <v>-0.36891301328293757</v>
      </c>
      <c r="AB65" s="107">
        <f>14614.99/1000*1</f>
        <v>14.614990000000001</v>
      </c>
      <c r="AC65" s="1"/>
      <c r="AD65" s="1"/>
      <c r="AE65" s="1"/>
      <c r="AF65" s="1"/>
      <c r="AG65" s="1"/>
      <c r="AH65" s="1"/>
      <c r="AI65" s="1"/>
    </row>
    <row r="66" spans="1:35" ht="14.25" hidden="1" outlineLevel="1" x14ac:dyDescent="0.2">
      <c r="A66" s="1"/>
      <c r="B66" s="3"/>
      <c r="C66" s="3"/>
      <c r="D66" s="3"/>
      <c r="E66" s="3"/>
      <c r="F66" s="3"/>
      <c r="G66" s="105"/>
      <c r="H66" s="106"/>
      <c r="I66" s="89"/>
      <c r="J66" s="26"/>
      <c r="K66" s="106"/>
      <c r="L66" s="89"/>
      <c r="M66" s="27"/>
      <c r="N66" s="105"/>
      <c r="O66" s="106"/>
      <c r="P66" s="89"/>
      <c r="Q66" s="26"/>
      <c r="R66" s="106"/>
      <c r="S66" s="89"/>
      <c r="T66" s="27"/>
      <c r="U66" s="105"/>
      <c r="V66" s="106"/>
      <c r="W66" s="89"/>
      <c r="X66" s="26"/>
      <c r="Y66" s="106"/>
      <c r="Z66" s="89"/>
      <c r="AA66" s="27"/>
      <c r="AB66" s="107"/>
      <c r="AC66" s="1"/>
      <c r="AD66" s="1"/>
      <c r="AE66" s="1"/>
      <c r="AF66" s="1"/>
      <c r="AG66" s="1"/>
      <c r="AH66" s="1"/>
      <c r="AI66" s="1"/>
    </row>
    <row r="67" spans="1:35" ht="14.25" hidden="1" outlineLevel="1" x14ac:dyDescent="0.2">
      <c r="A67" s="1"/>
      <c r="B67" s="3"/>
      <c r="C67" s="3"/>
      <c r="D67" s="3"/>
      <c r="E67" s="3"/>
      <c r="F67" s="3"/>
      <c r="G67" s="105"/>
      <c r="H67" s="106"/>
      <c r="I67" s="89"/>
      <c r="J67" s="26"/>
      <c r="K67" s="106"/>
      <c r="L67" s="89"/>
      <c r="M67" s="27"/>
      <c r="N67" s="105"/>
      <c r="O67" s="106"/>
      <c r="P67" s="89"/>
      <c r="Q67" s="26"/>
      <c r="R67" s="106"/>
      <c r="S67" s="89"/>
      <c r="T67" s="27"/>
      <c r="U67" s="105"/>
      <c r="V67" s="106"/>
      <c r="W67" s="89"/>
      <c r="X67" s="26"/>
      <c r="Y67" s="106"/>
      <c r="Z67" s="89"/>
      <c r="AA67" s="27"/>
      <c r="AB67" s="107"/>
      <c r="AC67" s="1"/>
      <c r="AD67" s="1"/>
      <c r="AE67" s="1"/>
      <c r="AF67" s="1"/>
      <c r="AG67" s="1"/>
      <c r="AH67" s="1"/>
      <c r="AI67" s="1"/>
    </row>
    <row r="68" spans="1:35" ht="14.25" collapsed="1" x14ac:dyDescent="0.2">
      <c r="A68" s="1"/>
      <c r="B68" s="3" t="s">
        <v>65</v>
      </c>
      <c r="C68" s="3"/>
      <c r="D68" s="3"/>
      <c r="E68" s="3"/>
      <c r="F68" s="3"/>
      <c r="G68" s="102">
        <f>SUM(G69:G72)</f>
        <v>1.4000000000000001E-4</v>
      </c>
      <c r="H68" s="103">
        <f>SUM(H69:H72)</f>
        <v>4.7849300000000001</v>
      </c>
      <c r="I68" s="89">
        <f>G68-H68</f>
        <v>-4.7847900000000001</v>
      </c>
      <c r="J68" s="26">
        <f>IF(ISERROR(I68/H68),"N/A",IF(ABS(I68/H68)&gt;5,"N/A",I68/H68))</f>
        <v>-0.99997074147375198</v>
      </c>
      <c r="K68" s="103">
        <f>SUM(K69:K72)</f>
        <v>0</v>
      </c>
      <c r="L68" s="89">
        <f>K68-G68</f>
        <v>-1.4000000000000001E-4</v>
      </c>
      <c r="M68" s="27" t="str">
        <f>IF(ISERROR(L68/K68),"N/A",IF(ABS(L68/K68)&gt;5,"N/A",L68/K68))</f>
        <v>N/A</v>
      </c>
      <c r="N68" s="102">
        <f>SUM(N69:N72)</f>
        <v>5.5689999999999996E-2</v>
      </c>
      <c r="O68" s="103">
        <f>SUM(O69:O72)</f>
        <v>14.65802</v>
      </c>
      <c r="P68" s="89">
        <f>N68-O68</f>
        <v>-14.60233</v>
      </c>
      <c r="Q68" s="26">
        <f>IF(ISERROR(P68/O68),"N/A",IF(ABS(P68/O68)&gt;5,"N/A",P68/O68))</f>
        <v>-0.9962007146940719</v>
      </c>
      <c r="R68" s="103">
        <f>SUM(R69:R72)</f>
        <v>0</v>
      </c>
      <c r="S68" s="89">
        <f>R68-N68</f>
        <v>-5.5689999999999996E-2</v>
      </c>
      <c r="T68" s="27" t="str">
        <f>IF(ISERROR(S68/R68),"N/A",IF(ABS(S68/R68)&gt;5,"N/A",S68/R68))</f>
        <v>N/A</v>
      </c>
      <c r="U68" s="102">
        <f>SUM(U69:U72)</f>
        <v>8.3569999999999992E-2</v>
      </c>
      <c r="V68" s="103">
        <f>SUM(V69:V72)</f>
        <v>486.65656999999999</v>
      </c>
      <c r="W68" s="89">
        <f>U68-V68</f>
        <v>-486.57299999999998</v>
      </c>
      <c r="X68" s="26">
        <f>IF(ISERROR(W68/V68),"N/A",IF(ABS(W68/V68)&gt;5,"N/A",W68/V68))</f>
        <v>-0.99982827725925905</v>
      </c>
      <c r="Y68" s="103">
        <f>SUM(Y69:Y72)</f>
        <v>2.7879999999999999E-2</v>
      </c>
      <c r="Z68" s="89">
        <f>Y68-U68</f>
        <v>-5.568999999999999E-2</v>
      </c>
      <c r="AA68" s="27">
        <f>IF(ISERROR(Z68/Y68),"N/A",IF(ABS(Z68/Y68)&gt;5,"N/A",Z68/Y68))</f>
        <v>-1.997489239598278</v>
      </c>
      <c r="AB68" s="104">
        <f>SUM(AB69:AB72)</f>
        <v>2.7879999999999999E-2</v>
      </c>
      <c r="AC68" s="1"/>
      <c r="AD68" s="1"/>
      <c r="AE68" s="1"/>
      <c r="AF68" s="1"/>
      <c r="AG68" s="1"/>
      <c r="AH68" s="1"/>
      <c r="AI68" s="1"/>
    </row>
    <row r="69" spans="1:35" ht="14.25" hidden="1" outlineLevel="1" x14ac:dyDescent="0.2">
      <c r="A69" s="1"/>
      <c r="B69" s="3"/>
      <c r="C69" s="3"/>
      <c r="D69" s="3" t="s">
        <v>65</v>
      </c>
      <c r="E69" s="3" t="s">
        <v>51</v>
      </c>
      <c r="F69" s="3">
        <v>925</v>
      </c>
      <c r="G69" s="105">
        <f>0/1000*1</f>
        <v>0</v>
      </c>
      <c r="H69" s="106">
        <f>0/1000*1</f>
        <v>0</v>
      </c>
      <c r="I69" s="89">
        <f>G69-H69</f>
        <v>0</v>
      </c>
      <c r="J69" s="26" t="str">
        <f>IF(ISERROR(I69/H69),"N/A",IF(ABS(I69/H69)&gt;5,"N/A",I69/H69))</f>
        <v>N/A</v>
      </c>
      <c r="K69" s="106">
        <f>0/1000*1</f>
        <v>0</v>
      </c>
      <c r="L69" s="89">
        <f>K69-G69</f>
        <v>0</v>
      </c>
      <c r="M69" s="27" t="str">
        <f>IF(ISERROR(L69/K69),"N/A",IF(ABS(L69/K69)&gt;5,"N/A",L69/K69))</f>
        <v>N/A</v>
      </c>
      <c r="N69" s="105">
        <f>0/1000*1</f>
        <v>0</v>
      </c>
      <c r="O69" s="106">
        <f>0/1000*1</f>
        <v>0</v>
      </c>
      <c r="P69" s="89">
        <f>N69-O69</f>
        <v>0</v>
      </c>
      <c r="Q69" s="26" t="str">
        <f>IF(ISERROR(P69/O69),"N/A",IF(ABS(P69/O69)&gt;5,"N/A",P69/O69))</f>
        <v>N/A</v>
      </c>
      <c r="R69" s="106">
        <f>0/1000*1</f>
        <v>0</v>
      </c>
      <c r="S69" s="89">
        <f>R69-N69</f>
        <v>0</v>
      </c>
      <c r="T69" s="27" t="str">
        <f>IF(ISERROR(S69/R69),"N/A",IF(ABS(S69/R69)&gt;5,"N/A",S69/R69))</f>
        <v>N/A</v>
      </c>
      <c r="U69" s="105">
        <f>0/1000*1</f>
        <v>0</v>
      </c>
      <c r="V69" s="106">
        <f>0/1000*1</f>
        <v>0</v>
      </c>
      <c r="W69" s="89">
        <f>U69-V69</f>
        <v>0</v>
      </c>
      <c r="X69" s="26" t="str">
        <f>IF(ISERROR(W69/V69),"N/A",IF(ABS(W69/V69)&gt;5,"N/A",W69/V69))</f>
        <v>N/A</v>
      </c>
      <c r="Y69" s="106">
        <f>0/1000*1</f>
        <v>0</v>
      </c>
      <c r="Z69" s="89">
        <f>Y69-U69</f>
        <v>0</v>
      </c>
      <c r="AA69" s="27" t="str">
        <f>IF(ISERROR(Z69/Y69),"N/A",IF(ABS(Z69/Y69)&gt;5,"N/A",Z69/Y69))</f>
        <v>N/A</v>
      </c>
      <c r="AB69" s="107">
        <f>0/1000*1</f>
        <v>0</v>
      </c>
      <c r="AC69" s="1"/>
      <c r="AD69" s="1"/>
      <c r="AE69" s="1"/>
      <c r="AF69" s="1"/>
      <c r="AG69" s="1"/>
      <c r="AH69" s="1"/>
      <c r="AI69" s="1"/>
    </row>
    <row r="70" spans="1:35" ht="14.25" hidden="1" outlineLevel="1" x14ac:dyDescent="0.2">
      <c r="A70" s="1"/>
      <c r="B70" s="3"/>
      <c r="C70" s="3"/>
      <c r="D70" s="3" t="s">
        <v>65</v>
      </c>
      <c r="E70" s="3" t="s">
        <v>56</v>
      </c>
      <c r="F70" s="3">
        <v>925</v>
      </c>
      <c r="G70" s="105">
        <f>0.14/1000*1</f>
        <v>1.4000000000000001E-4</v>
      </c>
      <c r="H70" s="106">
        <f>4784.93/1000*1</f>
        <v>4.7849300000000001</v>
      </c>
      <c r="I70" s="89">
        <f>G70-H70</f>
        <v>-4.7847900000000001</v>
      </c>
      <c r="J70" s="26">
        <f>IF(ISERROR(I70/H70),"N/A",IF(ABS(I70/H70)&gt;5,"N/A",I70/H70))</f>
        <v>-0.99997074147375198</v>
      </c>
      <c r="K70" s="106">
        <f>0/1000*1</f>
        <v>0</v>
      </c>
      <c r="L70" s="89">
        <f>K70-G70</f>
        <v>-1.4000000000000001E-4</v>
      </c>
      <c r="M70" s="27" t="str">
        <f>IF(ISERROR(L70/K70),"N/A",IF(ABS(L70/K70)&gt;5,"N/A",L70/K70))</f>
        <v>N/A</v>
      </c>
      <c r="N70" s="105">
        <f>55.69/1000*1</f>
        <v>5.5689999999999996E-2</v>
      </c>
      <c r="O70" s="106">
        <f>14658.02/1000*1</f>
        <v>14.65802</v>
      </c>
      <c r="P70" s="89">
        <f>N70-O70</f>
        <v>-14.60233</v>
      </c>
      <c r="Q70" s="26">
        <f>IF(ISERROR(P70/O70),"N/A",IF(ABS(P70/O70)&gt;5,"N/A",P70/O70))</f>
        <v>-0.9962007146940719</v>
      </c>
      <c r="R70" s="106">
        <f>0/1000*1</f>
        <v>0</v>
      </c>
      <c r="S70" s="89">
        <f>R70-N70</f>
        <v>-5.5689999999999996E-2</v>
      </c>
      <c r="T70" s="27" t="str">
        <f>IF(ISERROR(S70/R70),"N/A",IF(ABS(S70/R70)&gt;5,"N/A",S70/R70))</f>
        <v>N/A</v>
      </c>
      <c r="U70" s="105">
        <f>83.57/1000*1</f>
        <v>8.3569999999999992E-2</v>
      </c>
      <c r="V70" s="106">
        <f>480913.9/1000*1</f>
        <v>480.91390000000001</v>
      </c>
      <c r="W70" s="89">
        <f>U70-V70</f>
        <v>-480.83033</v>
      </c>
      <c r="X70" s="26">
        <f>IF(ISERROR(W70/V70),"N/A",IF(ABS(W70/V70)&gt;5,"N/A",W70/V70))</f>
        <v>-0.99982622669047405</v>
      </c>
      <c r="Y70" s="106">
        <f>27.88/1000*1</f>
        <v>2.7879999999999999E-2</v>
      </c>
      <c r="Z70" s="89">
        <f>Y70-U70</f>
        <v>-5.568999999999999E-2</v>
      </c>
      <c r="AA70" s="27">
        <f>IF(ISERROR(Z70/Y70),"N/A",IF(ABS(Z70/Y70)&gt;5,"N/A",Z70/Y70))</f>
        <v>-1.997489239598278</v>
      </c>
      <c r="AB70" s="107">
        <f>27.88/1000*1</f>
        <v>2.7879999999999999E-2</v>
      </c>
      <c r="AC70" s="1"/>
      <c r="AD70" s="1"/>
      <c r="AE70" s="1"/>
      <c r="AF70" s="1"/>
      <c r="AG70" s="1"/>
      <c r="AH70" s="1"/>
      <c r="AI70" s="1"/>
    </row>
    <row r="71" spans="1:35" ht="14.25" hidden="1" outlineLevel="1" x14ac:dyDescent="0.2">
      <c r="A71" s="1"/>
      <c r="B71" s="3"/>
      <c r="C71" s="3"/>
      <c r="D71" s="3" t="s">
        <v>65</v>
      </c>
      <c r="E71" s="3" t="s">
        <v>56</v>
      </c>
      <c r="F71" s="3">
        <v>995</v>
      </c>
      <c r="G71" s="105">
        <f>0/1000*1</f>
        <v>0</v>
      </c>
      <c r="H71" s="106">
        <f>0/1000*1</f>
        <v>0</v>
      </c>
      <c r="I71" s="89">
        <f>G71-H71</f>
        <v>0</v>
      </c>
      <c r="J71" s="26" t="str">
        <f>IF(ISERROR(I71/H71),"N/A",IF(ABS(I71/H71)&gt;5,"N/A",I71/H71))</f>
        <v>N/A</v>
      </c>
      <c r="K71" s="106">
        <f>0/1000*1</f>
        <v>0</v>
      </c>
      <c r="L71" s="89">
        <f>K71-G71</f>
        <v>0</v>
      </c>
      <c r="M71" s="27" t="str">
        <f>IF(ISERROR(L71/K71),"N/A",IF(ABS(L71/K71)&gt;5,"N/A",L71/K71))</f>
        <v>N/A</v>
      </c>
      <c r="N71" s="105">
        <f>0/1000*1</f>
        <v>0</v>
      </c>
      <c r="O71" s="106">
        <f>0/1000*1</f>
        <v>0</v>
      </c>
      <c r="P71" s="89">
        <f>N71-O71</f>
        <v>0</v>
      </c>
      <c r="Q71" s="26" t="str">
        <f>IF(ISERROR(P71/O71),"N/A",IF(ABS(P71/O71)&gt;5,"N/A",P71/O71))</f>
        <v>N/A</v>
      </c>
      <c r="R71" s="106">
        <f>0/1000*1</f>
        <v>0</v>
      </c>
      <c r="S71" s="89">
        <f>R71-N71</f>
        <v>0</v>
      </c>
      <c r="T71" s="27" t="str">
        <f>IF(ISERROR(S71/R71),"N/A",IF(ABS(S71/R71)&gt;5,"N/A",S71/R71))</f>
        <v>N/A</v>
      </c>
      <c r="U71" s="105">
        <f>0/1000*1</f>
        <v>0</v>
      </c>
      <c r="V71" s="106">
        <f>5742.67/1000*1</f>
        <v>5.7426700000000004</v>
      </c>
      <c r="W71" s="89">
        <f>U71-V71</f>
        <v>-5.7426700000000004</v>
      </c>
      <c r="X71" s="26">
        <f>IF(ISERROR(W71/V71),"N/A",IF(ABS(W71/V71)&gt;5,"N/A",W71/V71))</f>
        <v>-1</v>
      </c>
      <c r="Y71" s="106">
        <f>0/1000*1</f>
        <v>0</v>
      </c>
      <c r="Z71" s="89">
        <f>Y71-U71</f>
        <v>0</v>
      </c>
      <c r="AA71" s="27" t="str">
        <f>IF(ISERROR(Z71/Y71),"N/A",IF(ABS(Z71/Y71)&gt;5,"N/A",Z71/Y71))</f>
        <v>N/A</v>
      </c>
      <c r="AB71" s="107">
        <f>0/1000*1</f>
        <v>0</v>
      </c>
      <c r="AC71" s="1"/>
      <c r="AD71" s="1"/>
      <c r="AE71" s="1"/>
      <c r="AF71" s="1"/>
      <c r="AG71" s="1"/>
      <c r="AH71" s="1"/>
      <c r="AI71" s="1"/>
    </row>
    <row r="72" spans="1:35" ht="14.25" hidden="1" outlineLevel="1" x14ac:dyDescent="0.2">
      <c r="A72" s="1"/>
      <c r="B72" s="3"/>
      <c r="C72" s="3"/>
      <c r="D72" s="3"/>
      <c r="E72" s="3"/>
      <c r="F72" s="3"/>
      <c r="G72" s="105"/>
      <c r="H72" s="106"/>
      <c r="I72" s="89"/>
      <c r="J72" s="26"/>
      <c r="K72" s="106"/>
      <c r="L72" s="89"/>
      <c r="M72" s="27"/>
      <c r="N72" s="105"/>
      <c r="O72" s="106"/>
      <c r="P72" s="89"/>
      <c r="Q72" s="26"/>
      <c r="R72" s="106"/>
      <c r="S72" s="89"/>
      <c r="T72" s="27"/>
      <c r="U72" s="105"/>
      <c r="V72" s="106"/>
      <c r="W72" s="89"/>
      <c r="X72" s="26"/>
      <c r="Y72" s="106"/>
      <c r="Z72" s="89"/>
      <c r="AA72" s="27"/>
      <c r="AB72" s="107"/>
      <c r="AC72" s="1"/>
      <c r="AD72" s="1"/>
      <c r="AE72" s="1"/>
      <c r="AF72" s="1"/>
      <c r="AG72" s="1"/>
      <c r="AH72" s="1"/>
      <c r="AI72" s="1"/>
    </row>
    <row r="73" spans="1:35" ht="14.25" hidden="1" outlineLevel="1" x14ac:dyDescent="0.2">
      <c r="A73" s="1"/>
      <c r="B73" s="3"/>
      <c r="C73" s="3"/>
      <c r="D73" s="3"/>
      <c r="E73" s="3"/>
      <c r="F73" s="3"/>
      <c r="G73" s="105"/>
      <c r="H73" s="106"/>
      <c r="I73" s="89"/>
      <c r="J73" s="26"/>
      <c r="K73" s="106"/>
      <c r="L73" s="89"/>
      <c r="M73" s="27"/>
      <c r="N73" s="105"/>
      <c r="O73" s="106"/>
      <c r="P73" s="89"/>
      <c r="Q73" s="26"/>
      <c r="R73" s="106"/>
      <c r="S73" s="89"/>
      <c r="T73" s="27"/>
      <c r="U73" s="105"/>
      <c r="V73" s="106"/>
      <c r="W73" s="89"/>
      <c r="X73" s="26"/>
      <c r="Y73" s="106"/>
      <c r="Z73" s="89"/>
      <c r="AA73" s="27"/>
      <c r="AB73" s="107"/>
      <c r="AC73" s="1"/>
      <c r="AD73" s="1"/>
      <c r="AE73" s="1"/>
      <c r="AF73" s="1"/>
      <c r="AG73" s="1"/>
      <c r="AH73" s="1"/>
      <c r="AI73" s="1"/>
    </row>
    <row r="74" spans="1:35" ht="14.25" collapsed="1" x14ac:dyDescent="0.2">
      <c r="A74" s="1"/>
      <c r="B74" s="3" t="s">
        <v>66</v>
      </c>
      <c r="C74" s="3"/>
      <c r="D74" s="3"/>
      <c r="E74" s="3"/>
      <c r="F74" s="3"/>
      <c r="G74" s="102">
        <f>SUM(G75:G90)</f>
        <v>284.00509000000005</v>
      </c>
      <c r="H74" s="103">
        <f>SUM(H75:H90)</f>
        <v>316.86344000000003</v>
      </c>
      <c r="I74" s="89">
        <f t="shared" ref="I74:I89" si="29">G74-H74</f>
        <v>-32.858349999999973</v>
      </c>
      <c r="J74" s="26">
        <f t="shared" ref="J74:J89" si="30">IF(ISERROR(I74/H74),"N/A",IF(ABS(I74/H74)&gt;5,"N/A",I74/H74))</f>
        <v>-0.10369877320021512</v>
      </c>
      <c r="K74" s="103">
        <f>SUM(K75:K90)</f>
        <v>311.95299906400004</v>
      </c>
      <c r="L74" s="89">
        <f t="shared" ref="L74:L89" si="31">K74-G74</f>
        <v>27.947909063999987</v>
      </c>
      <c r="M74" s="27">
        <f t="shared" ref="M74:M89" si="32">IF(ISERROR(L74/K74),"N/A",IF(ABS(L74/K74)&gt;5,"N/A",L74/K74))</f>
        <v>8.9590127832899005E-2</v>
      </c>
      <c r="N74" s="102">
        <f>SUM(N75:N90)</f>
        <v>904.15618999999992</v>
      </c>
      <c r="O74" s="103">
        <f>SUM(O75:O90)</f>
        <v>740.72999000000004</v>
      </c>
      <c r="P74" s="89">
        <f t="shared" ref="P74:P89" si="33">N74-O74</f>
        <v>163.42619999999988</v>
      </c>
      <c r="Q74" s="26">
        <f t="shared" ref="Q74:Q89" si="34">IF(ISERROR(P74/O74),"N/A",IF(ABS(P74/O74)&gt;5,"N/A",P74/O74))</f>
        <v>0.22062857209278089</v>
      </c>
      <c r="R74" s="103">
        <f>SUM(R75:R90)</f>
        <v>939.60971977599991</v>
      </c>
      <c r="S74" s="89">
        <f t="shared" ref="S74:S89" si="35">R74-N74</f>
        <v>35.453529775999982</v>
      </c>
      <c r="T74" s="27">
        <f t="shared" ref="T74:T89" si="36">IF(ISERROR(S74/R74),"N/A",IF(ABS(S74/R74)&gt;5,"N/A",S74/R74))</f>
        <v>3.7732187130260844E-2</v>
      </c>
      <c r="U74" s="102">
        <f>SUM(U75:U90)</f>
        <v>1984.4394600000001</v>
      </c>
      <c r="V74" s="103">
        <f>SUM(V75:V90)</f>
        <v>1472.8676400000004</v>
      </c>
      <c r="W74" s="89">
        <f t="shared" ref="W74:W89" si="37">U74-V74</f>
        <v>511.57181999999966</v>
      </c>
      <c r="X74" s="26">
        <f t="shared" ref="X74:X89" si="38">IF(ISERROR(W74/V74),"N/A",IF(ABS(W74/V74)&gt;5,"N/A",W74/V74))</f>
        <v>0.34733047702779291</v>
      </c>
      <c r="Y74" s="103">
        <f>SUM(Y75:Y90)</f>
        <v>2019.8929897760001</v>
      </c>
      <c r="Z74" s="89">
        <f t="shared" ref="Z74:Z89" si="39">Y74-U74</f>
        <v>35.453529776000096</v>
      </c>
      <c r="AA74" s="27">
        <f t="shared" ref="AA74:AA89" si="40">IF(ISERROR(Z74/Y74),"N/A",IF(ABS(Z74/Y74)&gt;5,"N/A",Z74/Y74))</f>
        <v>1.7552182197499374E-2</v>
      </c>
      <c r="AB74" s="104">
        <f>SUM(AB75:AB90)</f>
        <v>4305.5161525599997</v>
      </c>
      <c r="AC74" s="1"/>
      <c r="AD74" s="1"/>
      <c r="AE74" s="1"/>
      <c r="AF74" s="1"/>
      <c r="AG74" s="1"/>
      <c r="AH74" s="1"/>
      <c r="AI74" s="1"/>
    </row>
    <row r="75" spans="1:35" ht="14.25" hidden="1" outlineLevel="1" x14ac:dyDescent="0.2">
      <c r="A75" s="1"/>
      <c r="B75" s="3"/>
      <c r="C75" s="3"/>
      <c r="D75" s="3" t="s">
        <v>67</v>
      </c>
      <c r="E75" s="3" t="s">
        <v>51</v>
      </c>
      <c r="F75" s="3">
        <v>846</v>
      </c>
      <c r="G75" s="105">
        <f>0/1000*1</f>
        <v>0</v>
      </c>
      <c r="H75" s="106">
        <f>1054.91/1000*1</f>
        <v>1.05491</v>
      </c>
      <c r="I75" s="89">
        <f t="shared" si="29"/>
        <v>-1.05491</v>
      </c>
      <c r="J75" s="26">
        <f t="shared" si="30"/>
        <v>-1</v>
      </c>
      <c r="K75" s="106">
        <f>0/1000*1</f>
        <v>0</v>
      </c>
      <c r="L75" s="89">
        <f t="shared" si="31"/>
        <v>0</v>
      </c>
      <c r="M75" s="27" t="str">
        <f t="shared" si="32"/>
        <v>N/A</v>
      </c>
      <c r="N75" s="105">
        <f>-21665.42/1000*1</f>
        <v>-21.665419999999997</v>
      </c>
      <c r="O75" s="106">
        <f>2338.96/1000*1</f>
        <v>2.3389600000000002</v>
      </c>
      <c r="P75" s="89">
        <f t="shared" si="33"/>
        <v>-24.004379999999998</v>
      </c>
      <c r="Q75" s="26" t="str">
        <f t="shared" si="34"/>
        <v>N/A</v>
      </c>
      <c r="R75" s="106">
        <f>-21696.89/1000*1</f>
        <v>-21.69689</v>
      </c>
      <c r="S75" s="89">
        <f t="shared" si="35"/>
        <v>-3.1470000000002329E-2</v>
      </c>
      <c r="T75" s="27">
        <f t="shared" si="36"/>
        <v>1.4504382886211954E-3</v>
      </c>
      <c r="U75" s="105">
        <f>-21546.39/1000*1</f>
        <v>-21.546389999999999</v>
      </c>
      <c r="V75" s="106">
        <f>2575.02/1000*1</f>
        <v>2.5750199999999999</v>
      </c>
      <c r="W75" s="89">
        <f t="shared" si="37"/>
        <v>-24.121409999999997</v>
      </c>
      <c r="X75" s="26" t="str">
        <f t="shared" si="38"/>
        <v>N/A</v>
      </c>
      <c r="Y75" s="106">
        <f>-21577.86/1000*1</f>
        <v>-21.577860000000001</v>
      </c>
      <c r="Z75" s="89">
        <f t="shared" si="39"/>
        <v>-3.1470000000002329E-2</v>
      </c>
      <c r="AA75" s="27">
        <f t="shared" si="40"/>
        <v>1.4584393447729445E-3</v>
      </c>
      <c r="AB75" s="107">
        <f>-21577.86/1000*1</f>
        <v>-21.577860000000001</v>
      </c>
      <c r="AC75" s="1"/>
      <c r="AD75" s="1"/>
      <c r="AE75" s="1"/>
      <c r="AF75" s="1"/>
      <c r="AG75" s="1"/>
      <c r="AH75" s="1"/>
      <c r="AI75" s="1"/>
    </row>
    <row r="76" spans="1:35" ht="14.25" hidden="1" outlineLevel="1" x14ac:dyDescent="0.2">
      <c r="A76" s="1"/>
      <c r="B76" s="3"/>
      <c r="C76" s="3"/>
      <c r="D76" s="3" t="s">
        <v>67</v>
      </c>
      <c r="E76" s="3" t="s">
        <v>51</v>
      </c>
      <c r="F76" s="3">
        <v>865</v>
      </c>
      <c r="G76" s="105">
        <f>36264.23/1000*1</f>
        <v>36.264230000000005</v>
      </c>
      <c r="H76" s="106">
        <f>44176.03/1000*1</f>
        <v>44.176029999999997</v>
      </c>
      <c r="I76" s="89">
        <f t="shared" si="29"/>
        <v>-7.9117999999999924</v>
      </c>
      <c r="J76" s="26">
        <f t="shared" si="30"/>
        <v>-0.17909712574896369</v>
      </c>
      <c r="K76" s="106">
        <f>59173.81/1000*1</f>
        <v>59.173809999999996</v>
      </c>
      <c r="L76" s="89">
        <f t="shared" si="31"/>
        <v>22.909579999999991</v>
      </c>
      <c r="M76" s="27">
        <f t="shared" si="32"/>
        <v>0.38715742657097779</v>
      </c>
      <c r="N76" s="105">
        <f>122571.43/1000*1</f>
        <v>122.57142999999999</v>
      </c>
      <c r="O76" s="106">
        <f>30938.93/1000*1</f>
        <v>30.938929999999999</v>
      </c>
      <c r="P76" s="89">
        <f t="shared" si="33"/>
        <v>91.632499999999993</v>
      </c>
      <c r="Q76" s="26">
        <f t="shared" si="34"/>
        <v>2.9617216885005395</v>
      </c>
      <c r="R76" s="106">
        <f>142182.02/1000*1</f>
        <v>142.18201999999999</v>
      </c>
      <c r="S76" s="89">
        <f t="shared" si="35"/>
        <v>19.610590000000002</v>
      </c>
      <c r="T76" s="27">
        <f t="shared" si="36"/>
        <v>0.13792594872403699</v>
      </c>
      <c r="U76" s="105">
        <f>260591.28/1000*1</f>
        <v>260.59127999999998</v>
      </c>
      <c r="V76" s="106">
        <f>274600.12/1000*1</f>
        <v>274.60012</v>
      </c>
      <c r="W76" s="89">
        <f t="shared" si="37"/>
        <v>-14.008840000000021</v>
      </c>
      <c r="X76" s="26">
        <f t="shared" si="38"/>
        <v>-5.1015418347231681E-2</v>
      </c>
      <c r="Y76" s="106">
        <f>280201.87/1000*1</f>
        <v>280.20186999999999</v>
      </c>
      <c r="Z76" s="89">
        <f t="shared" si="39"/>
        <v>19.610590000000002</v>
      </c>
      <c r="AA76" s="27">
        <f t="shared" si="40"/>
        <v>6.9987363039368741E-2</v>
      </c>
      <c r="AB76" s="107">
        <f>625751.36/1000*1</f>
        <v>625.75135999999998</v>
      </c>
      <c r="AC76" s="1"/>
      <c r="AD76" s="1"/>
      <c r="AE76" s="1"/>
      <c r="AF76" s="1"/>
      <c r="AG76" s="1"/>
      <c r="AH76" s="1"/>
      <c r="AI76" s="1"/>
    </row>
    <row r="77" spans="1:35" ht="14.25" hidden="1" outlineLevel="1" x14ac:dyDescent="0.2">
      <c r="A77" s="1"/>
      <c r="B77" s="3"/>
      <c r="C77" s="3"/>
      <c r="D77" s="3" t="s">
        <v>67</v>
      </c>
      <c r="E77" s="3" t="s">
        <v>51</v>
      </c>
      <c r="F77" s="3">
        <v>921</v>
      </c>
      <c r="G77" s="105">
        <f>27159.06/1000*1</f>
        <v>27.15906</v>
      </c>
      <c r="H77" s="106">
        <f>475.02/1000*1</f>
        <v>0.47502</v>
      </c>
      <c r="I77" s="89">
        <f t="shared" si="29"/>
        <v>26.68404</v>
      </c>
      <c r="J77" s="26" t="str">
        <f t="shared" si="30"/>
        <v>N/A</v>
      </c>
      <c r="K77" s="106">
        <f>28997.66736/1000*1</f>
        <v>28.997667360000001</v>
      </c>
      <c r="L77" s="89">
        <f t="shared" si="31"/>
        <v>1.838607360000001</v>
      </c>
      <c r="M77" s="27">
        <f t="shared" si="32"/>
        <v>6.3405353857400787E-2</v>
      </c>
      <c r="N77" s="105">
        <f>104383.9/1000*1</f>
        <v>104.3839</v>
      </c>
      <c r="O77" s="106">
        <f>2388.96/1000*1</f>
        <v>2.38896</v>
      </c>
      <c r="P77" s="89">
        <f t="shared" si="33"/>
        <v>101.99494</v>
      </c>
      <c r="Q77" s="26" t="str">
        <f t="shared" si="34"/>
        <v>N/A</v>
      </c>
      <c r="R77" s="106">
        <f>107631.38472/1000*1</f>
        <v>107.63138472</v>
      </c>
      <c r="S77" s="89">
        <f t="shared" si="35"/>
        <v>3.2474847200000028</v>
      </c>
      <c r="T77" s="27">
        <f t="shared" si="36"/>
        <v>3.0172284119991975E-2</v>
      </c>
      <c r="U77" s="105">
        <f>288843.23/1000*1</f>
        <v>288.84323000000001</v>
      </c>
      <c r="V77" s="106">
        <f>8968.94/1000*1</f>
        <v>8.9689399999999999</v>
      </c>
      <c r="W77" s="89">
        <f t="shared" si="37"/>
        <v>279.87429000000003</v>
      </c>
      <c r="X77" s="26" t="str">
        <f t="shared" si="38"/>
        <v>N/A</v>
      </c>
      <c r="Y77" s="106">
        <f>292090.71472/1000*1</f>
        <v>292.09071471999999</v>
      </c>
      <c r="Z77" s="89">
        <f t="shared" si="39"/>
        <v>3.2474847199999886</v>
      </c>
      <c r="AA77" s="27">
        <f t="shared" si="40"/>
        <v>1.1118068998232443E-2</v>
      </c>
      <c r="AB77" s="107">
        <f>563516.18288/1000*1</f>
        <v>563.51618287999997</v>
      </c>
      <c r="AC77" s="1"/>
      <c r="AD77" s="1"/>
      <c r="AE77" s="1"/>
      <c r="AF77" s="1"/>
      <c r="AG77" s="1"/>
      <c r="AH77" s="1"/>
      <c r="AI77" s="1"/>
    </row>
    <row r="78" spans="1:35" ht="14.25" hidden="1" outlineLevel="1" x14ac:dyDescent="0.2">
      <c r="A78" s="1"/>
      <c r="B78" s="3"/>
      <c r="C78" s="3"/>
      <c r="D78" s="3" t="s">
        <v>67</v>
      </c>
      <c r="E78" s="3" t="s">
        <v>51</v>
      </c>
      <c r="F78" s="3">
        <v>935</v>
      </c>
      <c r="G78" s="105">
        <f>156.47/1000*1</f>
        <v>0.15647</v>
      </c>
      <c r="H78" s="106">
        <f>46.64/1000*1</f>
        <v>4.6640000000000001E-2</v>
      </c>
      <c r="I78" s="89">
        <f t="shared" si="29"/>
        <v>0.10983</v>
      </c>
      <c r="J78" s="26">
        <f t="shared" si="30"/>
        <v>2.354845626072041</v>
      </c>
      <c r="K78" s="106">
        <f>0/1000*1</f>
        <v>0</v>
      </c>
      <c r="L78" s="89">
        <f t="shared" si="31"/>
        <v>-0.15647</v>
      </c>
      <c r="M78" s="27" t="str">
        <f t="shared" si="32"/>
        <v>N/A</v>
      </c>
      <c r="N78" s="105">
        <f>202.82/1000*1</f>
        <v>0.20282</v>
      </c>
      <c r="O78" s="106">
        <f>852.51/1000*1</f>
        <v>0.85250999999999999</v>
      </c>
      <c r="P78" s="89">
        <f t="shared" si="33"/>
        <v>-0.64968999999999999</v>
      </c>
      <c r="Q78" s="26">
        <f t="shared" si="34"/>
        <v>-0.76209076726372715</v>
      </c>
      <c r="R78" s="106">
        <f>16.16/1000*1</f>
        <v>1.6160000000000001E-2</v>
      </c>
      <c r="S78" s="89">
        <f t="shared" si="35"/>
        <v>-0.18665999999999999</v>
      </c>
      <c r="T78" s="27" t="str">
        <f t="shared" si="36"/>
        <v>N/A</v>
      </c>
      <c r="U78" s="105">
        <f>269.33/1000*1</f>
        <v>0.26932999999999996</v>
      </c>
      <c r="V78" s="106">
        <f>1629.37/1000*1</f>
        <v>1.62937</v>
      </c>
      <c r="W78" s="89">
        <f t="shared" si="37"/>
        <v>-1.3600400000000001</v>
      </c>
      <c r="X78" s="26">
        <f t="shared" si="38"/>
        <v>-0.83470298336166748</v>
      </c>
      <c r="Y78" s="106">
        <f>82.67/1000*1</f>
        <v>8.2670000000000007E-2</v>
      </c>
      <c r="Z78" s="89">
        <f t="shared" si="39"/>
        <v>-0.18665999999999994</v>
      </c>
      <c r="AA78" s="27">
        <f t="shared" si="40"/>
        <v>-2.2578928269021401</v>
      </c>
      <c r="AB78" s="107">
        <f>82.67/1000*1</f>
        <v>8.2670000000000007E-2</v>
      </c>
      <c r="AC78" s="1"/>
      <c r="AD78" s="1"/>
      <c r="AE78" s="1"/>
      <c r="AF78" s="1"/>
      <c r="AG78" s="1"/>
      <c r="AH78" s="1"/>
      <c r="AI78" s="1"/>
    </row>
    <row r="79" spans="1:35" ht="14.25" hidden="1" outlineLevel="1" x14ac:dyDescent="0.2">
      <c r="A79" s="1"/>
      <c r="B79" s="3"/>
      <c r="C79" s="3"/>
      <c r="D79" s="3" t="s">
        <v>67</v>
      </c>
      <c r="E79" s="3" t="s">
        <v>68</v>
      </c>
      <c r="F79" s="3">
        <v>846</v>
      </c>
      <c r="G79" s="105">
        <f>0/1000*1</f>
        <v>0</v>
      </c>
      <c r="H79" s="106">
        <f>128.55/1000*1</f>
        <v>0.12855</v>
      </c>
      <c r="I79" s="89">
        <f t="shared" si="29"/>
        <v>-0.12855</v>
      </c>
      <c r="J79" s="26">
        <f t="shared" si="30"/>
        <v>-1</v>
      </c>
      <c r="K79" s="106">
        <f>0/1000*1</f>
        <v>0</v>
      </c>
      <c r="L79" s="89">
        <f t="shared" si="31"/>
        <v>0</v>
      </c>
      <c r="M79" s="27" t="str">
        <f t="shared" si="32"/>
        <v>N/A</v>
      </c>
      <c r="N79" s="105">
        <f>141.35/1000*1</f>
        <v>0.14135</v>
      </c>
      <c r="O79" s="106">
        <f>391.54/1000*1</f>
        <v>0.39154</v>
      </c>
      <c r="P79" s="89">
        <f t="shared" si="33"/>
        <v>-0.25019000000000002</v>
      </c>
      <c r="Q79" s="26">
        <f t="shared" si="34"/>
        <v>-0.638989630689074</v>
      </c>
      <c r="R79" s="106">
        <f>141.35/1000*1</f>
        <v>0.14135</v>
      </c>
      <c r="S79" s="89">
        <f t="shared" si="35"/>
        <v>0</v>
      </c>
      <c r="T79" s="27">
        <f t="shared" si="36"/>
        <v>0</v>
      </c>
      <c r="U79" s="105">
        <f>575.05/1000*1</f>
        <v>0.57504999999999995</v>
      </c>
      <c r="V79" s="106">
        <f>782.48/1000*1</f>
        <v>0.78248000000000006</v>
      </c>
      <c r="W79" s="89">
        <f t="shared" si="37"/>
        <v>-0.20743000000000011</v>
      </c>
      <c r="X79" s="26">
        <f t="shared" si="38"/>
        <v>-0.26509303752172592</v>
      </c>
      <c r="Y79" s="106">
        <f>575.05/1000*1</f>
        <v>0.57504999999999995</v>
      </c>
      <c r="Z79" s="89">
        <f t="shared" si="39"/>
        <v>0</v>
      </c>
      <c r="AA79" s="27">
        <f t="shared" si="40"/>
        <v>0</v>
      </c>
      <c r="AB79" s="107">
        <f>575.05/1000*1</f>
        <v>0.57504999999999995</v>
      </c>
      <c r="AC79" s="1"/>
      <c r="AD79" s="1"/>
      <c r="AE79" s="1"/>
      <c r="AF79" s="1"/>
      <c r="AG79" s="1"/>
      <c r="AH79" s="1"/>
      <c r="AI79" s="1"/>
    </row>
    <row r="80" spans="1:35" ht="14.25" hidden="1" outlineLevel="1" x14ac:dyDescent="0.2">
      <c r="A80" s="1"/>
      <c r="B80" s="3"/>
      <c r="C80" s="3"/>
      <c r="D80" s="3" t="s">
        <v>67</v>
      </c>
      <c r="E80" s="3" t="s">
        <v>69</v>
      </c>
      <c r="F80" s="3">
        <v>846</v>
      </c>
      <c r="G80" s="105">
        <f>0/1000*1</f>
        <v>0</v>
      </c>
      <c r="H80" s="106">
        <f>0/1000*1</f>
        <v>0</v>
      </c>
      <c r="I80" s="89">
        <f t="shared" si="29"/>
        <v>0</v>
      </c>
      <c r="J80" s="26" t="str">
        <f t="shared" si="30"/>
        <v>N/A</v>
      </c>
      <c r="K80" s="106">
        <f>0/1000*1</f>
        <v>0</v>
      </c>
      <c r="L80" s="89">
        <f t="shared" si="31"/>
        <v>0</v>
      </c>
      <c r="M80" s="27" t="str">
        <f t="shared" si="32"/>
        <v>N/A</v>
      </c>
      <c r="N80" s="105">
        <f>0/1000*1</f>
        <v>0</v>
      </c>
      <c r="O80" s="106">
        <f>0/1000*1</f>
        <v>0</v>
      </c>
      <c r="P80" s="89">
        <f t="shared" si="33"/>
        <v>0</v>
      </c>
      <c r="Q80" s="26" t="str">
        <f t="shared" si="34"/>
        <v>N/A</v>
      </c>
      <c r="R80" s="106">
        <f>0/1000*1</f>
        <v>0</v>
      </c>
      <c r="S80" s="89">
        <f t="shared" si="35"/>
        <v>0</v>
      </c>
      <c r="T80" s="27" t="str">
        <f t="shared" si="36"/>
        <v>N/A</v>
      </c>
      <c r="U80" s="105">
        <f>0/1000*1</f>
        <v>0</v>
      </c>
      <c r="V80" s="106">
        <f>1082.38/1000*1</f>
        <v>1.0823800000000001</v>
      </c>
      <c r="W80" s="89">
        <f t="shared" si="37"/>
        <v>-1.0823800000000001</v>
      </c>
      <c r="X80" s="26">
        <f t="shared" si="38"/>
        <v>-1</v>
      </c>
      <c r="Y80" s="106">
        <f>0/1000*1</f>
        <v>0</v>
      </c>
      <c r="Z80" s="89">
        <f t="shared" si="39"/>
        <v>0</v>
      </c>
      <c r="AA80" s="27" t="str">
        <f t="shared" si="40"/>
        <v>N/A</v>
      </c>
      <c r="AB80" s="107">
        <f>0/1000*1</f>
        <v>0</v>
      </c>
      <c r="AC80" s="1"/>
      <c r="AD80" s="1"/>
      <c r="AE80" s="1"/>
      <c r="AF80" s="1"/>
      <c r="AG80" s="1"/>
      <c r="AH80" s="1"/>
      <c r="AI80" s="1"/>
    </row>
    <row r="81" spans="1:35" ht="14.25" hidden="1" outlineLevel="1" x14ac:dyDescent="0.2">
      <c r="A81" s="1"/>
      <c r="B81" s="3"/>
      <c r="C81" s="3"/>
      <c r="D81" s="3" t="s">
        <v>67</v>
      </c>
      <c r="E81" s="3" t="s">
        <v>52</v>
      </c>
      <c r="F81" s="3">
        <v>846</v>
      </c>
      <c r="G81" s="105">
        <f>14482.23/1000*1</f>
        <v>14.482229999999999</v>
      </c>
      <c r="H81" s="106">
        <f>20109.74/1000*1</f>
        <v>20.109740000000002</v>
      </c>
      <c r="I81" s="89">
        <f t="shared" si="29"/>
        <v>-5.6275100000000027</v>
      </c>
      <c r="J81" s="26">
        <f t="shared" si="30"/>
        <v>-0.27984001782220963</v>
      </c>
      <c r="K81" s="106">
        <f>14076/1000*1</f>
        <v>14.076000000000001</v>
      </c>
      <c r="L81" s="89">
        <f t="shared" si="31"/>
        <v>-0.40622999999999898</v>
      </c>
      <c r="M81" s="27">
        <f t="shared" si="32"/>
        <v>-2.8859761295822604E-2</v>
      </c>
      <c r="N81" s="105">
        <f>44991.05/1000*1</f>
        <v>44.991050000000001</v>
      </c>
      <c r="O81" s="106">
        <f>69712.73/1000*1</f>
        <v>69.712729999999993</v>
      </c>
      <c r="P81" s="89">
        <f t="shared" si="33"/>
        <v>-24.721679999999992</v>
      </c>
      <c r="Q81" s="26">
        <f t="shared" si="34"/>
        <v>-0.35462217589240869</v>
      </c>
      <c r="R81" s="106">
        <f>44178.59/1000*1</f>
        <v>44.17859</v>
      </c>
      <c r="S81" s="89">
        <f t="shared" si="35"/>
        <v>-0.81246000000000151</v>
      </c>
      <c r="T81" s="27">
        <f t="shared" si="36"/>
        <v>-1.8390356052558524E-2</v>
      </c>
      <c r="U81" s="105">
        <f>77618.05/1000*1</f>
        <v>77.618049999999997</v>
      </c>
      <c r="V81" s="106">
        <f>136810.07/1000*1</f>
        <v>136.81007</v>
      </c>
      <c r="W81" s="89">
        <f t="shared" si="37"/>
        <v>-59.192019999999999</v>
      </c>
      <c r="X81" s="26">
        <f t="shared" si="38"/>
        <v>-0.43265835621602999</v>
      </c>
      <c r="Y81" s="106">
        <f>76805.59/1000*1</f>
        <v>76.805589999999995</v>
      </c>
      <c r="Z81" s="89">
        <f t="shared" si="39"/>
        <v>-0.81246000000000151</v>
      </c>
      <c r="AA81" s="27">
        <f t="shared" si="40"/>
        <v>-1.0578136304922619E-2</v>
      </c>
      <c r="AB81" s="107">
        <f>175337.59/1000*1</f>
        <v>175.33759000000001</v>
      </c>
      <c r="AC81" s="1"/>
      <c r="AD81" s="1"/>
      <c r="AE81" s="1"/>
      <c r="AF81" s="1"/>
      <c r="AG81" s="1"/>
      <c r="AH81" s="1"/>
      <c r="AI81" s="1"/>
    </row>
    <row r="82" spans="1:35" ht="14.25" hidden="1" outlineLevel="1" x14ac:dyDescent="0.2">
      <c r="A82" s="1"/>
      <c r="B82" s="3"/>
      <c r="C82" s="3"/>
      <c r="D82" s="3" t="s">
        <v>67</v>
      </c>
      <c r="E82" s="3" t="s">
        <v>52</v>
      </c>
      <c r="F82" s="3">
        <v>865</v>
      </c>
      <c r="G82" s="105">
        <f>97291.46/1000*1</f>
        <v>97.291460000000001</v>
      </c>
      <c r="H82" s="106">
        <f>98974.1/1000*1</f>
        <v>98.974100000000007</v>
      </c>
      <c r="I82" s="89">
        <f t="shared" si="29"/>
        <v>-1.6826400000000064</v>
      </c>
      <c r="J82" s="26">
        <f t="shared" si="30"/>
        <v>-1.7000811323366481E-2</v>
      </c>
      <c r="K82" s="106">
        <f>97291.53/1000*1</f>
        <v>97.291529999999995</v>
      </c>
      <c r="L82" s="89">
        <f t="shared" si="31"/>
        <v>6.9999999993797246E-5</v>
      </c>
      <c r="M82" s="27">
        <f t="shared" si="32"/>
        <v>7.1948709197807098E-7</v>
      </c>
      <c r="N82" s="105">
        <f>300243.73/1000*1</f>
        <v>300.24372999999997</v>
      </c>
      <c r="O82" s="106">
        <f>205109.67/1000*1</f>
        <v>205.10967000000002</v>
      </c>
      <c r="P82" s="89">
        <f t="shared" si="33"/>
        <v>95.134059999999948</v>
      </c>
      <c r="Q82" s="26">
        <f t="shared" si="34"/>
        <v>0.46382045273633338</v>
      </c>
      <c r="R82" s="106">
        <f>297919.4/1000*1</f>
        <v>297.9194</v>
      </c>
      <c r="S82" s="89">
        <f t="shared" si="35"/>
        <v>-2.3243299999999749</v>
      </c>
      <c r="T82" s="27">
        <f t="shared" si="36"/>
        <v>-7.8018752723051097E-3</v>
      </c>
      <c r="U82" s="105">
        <f>600711.82/1000*1</f>
        <v>600.71181999999999</v>
      </c>
      <c r="V82" s="106">
        <f>206656.81/1000*1</f>
        <v>206.65681000000001</v>
      </c>
      <c r="W82" s="89">
        <f t="shared" si="37"/>
        <v>394.05500999999998</v>
      </c>
      <c r="X82" s="26">
        <f t="shared" si="38"/>
        <v>1.906808732797143</v>
      </c>
      <c r="Y82" s="106">
        <f>598387.49/1000*1</f>
        <v>598.38748999999996</v>
      </c>
      <c r="Z82" s="89">
        <f t="shared" si="39"/>
        <v>-2.3243300000000318</v>
      </c>
      <c r="AA82" s="27">
        <f t="shared" si="40"/>
        <v>-3.8843225148307028E-3</v>
      </c>
      <c r="AB82" s="107">
        <f>1279428.2/1000*1</f>
        <v>1279.4282000000001</v>
      </c>
      <c r="AC82" s="1"/>
      <c r="AD82" s="1"/>
      <c r="AE82" s="1"/>
      <c r="AF82" s="1"/>
      <c r="AG82" s="1"/>
      <c r="AH82" s="1"/>
      <c r="AI82" s="1"/>
    </row>
    <row r="83" spans="1:35" ht="14.25" hidden="1" outlineLevel="1" x14ac:dyDescent="0.2">
      <c r="A83" s="1"/>
      <c r="B83" s="3"/>
      <c r="C83" s="3"/>
      <c r="D83" s="3" t="s">
        <v>67</v>
      </c>
      <c r="E83" s="3" t="s">
        <v>52</v>
      </c>
      <c r="F83" s="3">
        <v>921</v>
      </c>
      <c r="G83" s="105">
        <f>45676.93/1000*1</f>
        <v>45.676929999999999</v>
      </c>
      <c r="H83" s="106">
        <f>51296.55/1000*1</f>
        <v>51.296550000000003</v>
      </c>
      <c r="I83" s="89">
        <f t="shared" si="29"/>
        <v>-5.6196200000000047</v>
      </c>
      <c r="J83" s="26">
        <f t="shared" si="30"/>
        <v>-0.10955161701907837</v>
      </c>
      <c r="K83" s="106">
        <f>59503.184068/1000*1</f>
        <v>59.503184068000003</v>
      </c>
      <c r="L83" s="89">
        <f t="shared" si="31"/>
        <v>13.826254068000004</v>
      </c>
      <c r="M83" s="27">
        <f t="shared" si="32"/>
        <v>0.23236158341038382</v>
      </c>
      <c r="N83" s="105">
        <f>124609.8/1000*1</f>
        <v>124.60980000000001</v>
      </c>
      <c r="O83" s="106">
        <f>191611.38/1000*1</f>
        <v>191.61138</v>
      </c>
      <c r="P83" s="89">
        <f t="shared" si="33"/>
        <v>-67.00157999999999</v>
      </c>
      <c r="Q83" s="26">
        <f t="shared" si="34"/>
        <v>-0.34967432518882746</v>
      </c>
      <c r="R83" s="106">
        <f>163284.02196/1000*1</f>
        <v>163.28402196000002</v>
      </c>
      <c r="S83" s="89">
        <f t="shared" si="35"/>
        <v>38.674221960000011</v>
      </c>
      <c r="T83" s="27">
        <f t="shared" si="36"/>
        <v>0.2368524580407145</v>
      </c>
      <c r="U83" s="105">
        <f>335931.17/1000*1</f>
        <v>335.93117000000001</v>
      </c>
      <c r="V83" s="106">
        <f>422334.18/1000*1</f>
        <v>422.33418</v>
      </c>
      <c r="W83" s="89">
        <f t="shared" si="37"/>
        <v>-86.403009999999995</v>
      </c>
      <c r="X83" s="26">
        <f t="shared" si="38"/>
        <v>-0.20458445963336425</v>
      </c>
      <c r="Y83" s="106">
        <f>374605.39196/1000*1</f>
        <v>374.60539195999996</v>
      </c>
      <c r="Z83" s="89">
        <f t="shared" si="39"/>
        <v>38.674221959999954</v>
      </c>
      <c r="AA83" s="27">
        <f t="shared" si="40"/>
        <v>0.10323989667540491</v>
      </c>
      <c r="AB83" s="107">
        <f>782127.9413/1000*1</f>
        <v>782.12794129999997</v>
      </c>
      <c r="AC83" s="1"/>
      <c r="AD83" s="1"/>
      <c r="AE83" s="1"/>
      <c r="AF83" s="1"/>
      <c r="AG83" s="1"/>
      <c r="AH83" s="1"/>
      <c r="AI83" s="1"/>
    </row>
    <row r="84" spans="1:35" ht="14.25" hidden="1" outlineLevel="1" x14ac:dyDescent="0.2">
      <c r="A84" s="1"/>
      <c r="B84" s="3"/>
      <c r="C84" s="3"/>
      <c r="D84" s="3" t="s">
        <v>67</v>
      </c>
      <c r="E84" s="3" t="s">
        <v>52</v>
      </c>
      <c r="F84" s="3">
        <v>935</v>
      </c>
      <c r="G84" s="105">
        <f>46983.39/1000*1</f>
        <v>46.98339</v>
      </c>
      <c r="H84" s="106">
        <f>100572.25/1000*1</f>
        <v>100.57225</v>
      </c>
      <c r="I84" s="89">
        <f t="shared" si="29"/>
        <v>-53.588859999999997</v>
      </c>
      <c r="J84" s="26">
        <f t="shared" si="30"/>
        <v>-0.53283942638252602</v>
      </c>
      <c r="K84" s="106">
        <f>52910.807636/1000*1</f>
        <v>52.910807636000001</v>
      </c>
      <c r="L84" s="89">
        <f t="shared" si="31"/>
        <v>5.9274176360000013</v>
      </c>
      <c r="M84" s="27">
        <f t="shared" si="32"/>
        <v>0.11202659533715081</v>
      </c>
      <c r="N84" s="105">
        <f>162870.6/1000*1</f>
        <v>162.8706</v>
      </c>
      <c r="O84" s="106">
        <f>225424.21/1000*1</f>
        <v>225.42420999999999</v>
      </c>
      <c r="P84" s="89">
        <f t="shared" si="33"/>
        <v>-62.553609999999992</v>
      </c>
      <c r="Q84" s="26">
        <f t="shared" si="34"/>
        <v>-0.27749286556222152</v>
      </c>
      <c r="R84" s="106">
        <f>176302.823096/1000*1</f>
        <v>176.302823096</v>
      </c>
      <c r="S84" s="89">
        <f t="shared" si="35"/>
        <v>13.432223096000001</v>
      </c>
      <c r="T84" s="27">
        <f t="shared" si="36"/>
        <v>7.6188360799451973E-2</v>
      </c>
      <c r="U84" s="105">
        <f>360442.85/1000*1</f>
        <v>360.44284999999996</v>
      </c>
      <c r="V84" s="106">
        <f>394463.5/1000*1</f>
        <v>394.46350000000001</v>
      </c>
      <c r="W84" s="89">
        <f t="shared" si="37"/>
        <v>-34.020650000000046</v>
      </c>
      <c r="X84" s="26">
        <f t="shared" si="38"/>
        <v>-8.624536870965259E-2</v>
      </c>
      <c r="Y84" s="106">
        <f>373875.073096/1000*1</f>
        <v>373.87507309599999</v>
      </c>
      <c r="Z84" s="89">
        <f t="shared" si="39"/>
        <v>13.43222309600003</v>
      </c>
      <c r="AA84" s="27">
        <f t="shared" si="40"/>
        <v>3.5927035693420067E-2</v>
      </c>
      <c r="AB84" s="107">
        <f>855428.01838/1000*1</f>
        <v>855.42801838000003</v>
      </c>
      <c r="AC84" s="1"/>
      <c r="AD84" s="1"/>
      <c r="AE84" s="1"/>
      <c r="AF84" s="1"/>
      <c r="AG84" s="1"/>
      <c r="AH84" s="1"/>
      <c r="AI84" s="1"/>
    </row>
    <row r="85" spans="1:35" ht="14.25" hidden="1" outlineLevel="1" x14ac:dyDescent="0.2">
      <c r="A85" s="1"/>
      <c r="B85" s="3"/>
      <c r="C85" s="3"/>
      <c r="D85" s="3" t="s">
        <v>67</v>
      </c>
      <c r="E85" s="3" t="s">
        <v>53</v>
      </c>
      <c r="F85" s="3">
        <v>921</v>
      </c>
      <c r="G85" s="105">
        <f>0/1000*1</f>
        <v>0</v>
      </c>
      <c r="H85" s="106">
        <f>29.65/1000*1</f>
        <v>2.9649999999999999E-2</v>
      </c>
      <c r="I85" s="89">
        <f t="shared" si="29"/>
        <v>-2.9649999999999999E-2</v>
      </c>
      <c r="J85" s="26">
        <f t="shared" si="30"/>
        <v>-1</v>
      </c>
      <c r="K85" s="106">
        <f>0/1000*1</f>
        <v>0</v>
      </c>
      <c r="L85" s="89">
        <f t="shared" si="31"/>
        <v>0</v>
      </c>
      <c r="M85" s="27" t="str">
        <f t="shared" si="32"/>
        <v>N/A</v>
      </c>
      <c r="N85" s="105">
        <f>0/1000*1</f>
        <v>0</v>
      </c>
      <c r="O85" s="106">
        <f>4448.6/1000*1</f>
        <v>4.4486000000000008</v>
      </c>
      <c r="P85" s="89">
        <f t="shared" si="33"/>
        <v>-4.4486000000000008</v>
      </c>
      <c r="Q85" s="26">
        <f t="shared" si="34"/>
        <v>-1</v>
      </c>
      <c r="R85" s="106">
        <f>0/1000*1</f>
        <v>0</v>
      </c>
      <c r="S85" s="89">
        <f t="shared" si="35"/>
        <v>0</v>
      </c>
      <c r="T85" s="27" t="str">
        <f t="shared" si="36"/>
        <v>N/A</v>
      </c>
      <c r="U85" s="105">
        <f>0/1000*1</f>
        <v>0</v>
      </c>
      <c r="V85" s="106">
        <f>13443.77/1000*1</f>
        <v>13.443770000000001</v>
      </c>
      <c r="W85" s="89">
        <f t="shared" si="37"/>
        <v>-13.443770000000001</v>
      </c>
      <c r="X85" s="26">
        <f t="shared" si="38"/>
        <v>-1</v>
      </c>
      <c r="Y85" s="106">
        <f>0/1000*1</f>
        <v>0</v>
      </c>
      <c r="Z85" s="89">
        <f t="shared" si="39"/>
        <v>0</v>
      </c>
      <c r="AA85" s="27" t="str">
        <f t="shared" si="40"/>
        <v>N/A</v>
      </c>
      <c r="AB85" s="107">
        <f>0/1000*1</f>
        <v>0</v>
      </c>
      <c r="AC85" s="1"/>
      <c r="AD85" s="1"/>
      <c r="AE85" s="1"/>
      <c r="AF85" s="1"/>
      <c r="AG85" s="1"/>
      <c r="AH85" s="1"/>
      <c r="AI85" s="1"/>
    </row>
    <row r="86" spans="1:35" ht="14.25" hidden="1" outlineLevel="1" x14ac:dyDescent="0.2">
      <c r="A86" s="1"/>
      <c r="B86" s="3"/>
      <c r="C86" s="3"/>
      <c r="D86" s="3" t="s">
        <v>67</v>
      </c>
      <c r="E86" s="3" t="s">
        <v>54</v>
      </c>
      <c r="F86" s="3">
        <v>846</v>
      </c>
      <c r="G86" s="105">
        <f>0/1000*1</f>
        <v>0</v>
      </c>
      <c r="H86" s="106">
        <f>0/1000*1</f>
        <v>0</v>
      </c>
      <c r="I86" s="89">
        <f t="shared" si="29"/>
        <v>0</v>
      </c>
      <c r="J86" s="26" t="str">
        <f t="shared" si="30"/>
        <v>N/A</v>
      </c>
      <c r="K86" s="106">
        <f>0/1000*1</f>
        <v>0</v>
      </c>
      <c r="L86" s="89">
        <f t="shared" si="31"/>
        <v>0</v>
      </c>
      <c r="M86" s="27" t="str">
        <f t="shared" si="32"/>
        <v>N/A</v>
      </c>
      <c r="N86" s="105">
        <f>25/1000*1</f>
        <v>2.5000000000000001E-2</v>
      </c>
      <c r="O86" s="106">
        <f>0/1000*1</f>
        <v>0</v>
      </c>
      <c r="P86" s="89">
        <f t="shared" si="33"/>
        <v>2.5000000000000001E-2</v>
      </c>
      <c r="Q86" s="26" t="str">
        <f t="shared" si="34"/>
        <v>N/A</v>
      </c>
      <c r="R86" s="106">
        <f>25/1000*1</f>
        <v>2.5000000000000001E-2</v>
      </c>
      <c r="S86" s="89">
        <f t="shared" si="35"/>
        <v>0</v>
      </c>
      <c r="T86" s="27">
        <f t="shared" si="36"/>
        <v>0</v>
      </c>
      <c r="U86" s="105">
        <f>25/1000*1</f>
        <v>2.5000000000000001E-2</v>
      </c>
      <c r="V86" s="106">
        <f>0/1000*1</f>
        <v>0</v>
      </c>
      <c r="W86" s="89">
        <f t="shared" si="37"/>
        <v>2.5000000000000001E-2</v>
      </c>
      <c r="X86" s="26" t="str">
        <f t="shared" si="38"/>
        <v>N/A</v>
      </c>
      <c r="Y86" s="106">
        <f>25/1000*1</f>
        <v>2.5000000000000001E-2</v>
      </c>
      <c r="Z86" s="89">
        <f t="shared" si="39"/>
        <v>0</v>
      </c>
      <c r="AA86" s="27">
        <f t="shared" si="40"/>
        <v>0</v>
      </c>
      <c r="AB86" s="107">
        <f>25/1000*1</f>
        <v>2.5000000000000001E-2</v>
      </c>
      <c r="AC86" s="1"/>
      <c r="AD86" s="1"/>
      <c r="AE86" s="1"/>
      <c r="AF86" s="1"/>
      <c r="AG86" s="1"/>
      <c r="AH86" s="1"/>
      <c r="AI86" s="1"/>
    </row>
    <row r="87" spans="1:35" ht="14.25" hidden="1" outlineLevel="1" x14ac:dyDescent="0.2">
      <c r="A87" s="1"/>
      <c r="B87" s="3"/>
      <c r="C87" s="3"/>
      <c r="D87" s="3" t="s">
        <v>67</v>
      </c>
      <c r="E87" s="3" t="s">
        <v>54</v>
      </c>
      <c r="F87" s="3">
        <v>865</v>
      </c>
      <c r="G87" s="105">
        <f>0/1000*1</f>
        <v>0</v>
      </c>
      <c r="H87" s="106">
        <f>0/1000*1</f>
        <v>0</v>
      </c>
      <c r="I87" s="89">
        <f t="shared" si="29"/>
        <v>0</v>
      </c>
      <c r="J87" s="26" t="str">
        <f t="shared" si="30"/>
        <v>N/A</v>
      </c>
      <c r="K87" s="106">
        <f>0/1000*1</f>
        <v>0</v>
      </c>
      <c r="L87" s="89">
        <f t="shared" si="31"/>
        <v>0</v>
      </c>
      <c r="M87" s="27" t="str">
        <f t="shared" si="32"/>
        <v>N/A</v>
      </c>
      <c r="N87" s="105">
        <f>64.75/1000*1</f>
        <v>6.4750000000000002E-2</v>
      </c>
      <c r="O87" s="106">
        <f>0/1000*1</f>
        <v>0</v>
      </c>
      <c r="P87" s="89">
        <f t="shared" si="33"/>
        <v>6.4750000000000002E-2</v>
      </c>
      <c r="Q87" s="26" t="str">
        <f t="shared" si="34"/>
        <v>N/A</v>
      </c>
      <c r="R87" s="106">
        <f>0/1000*1</f>
        <v>0</v>
      </c>
      <c r="S87" s="89">
        <f t="shared" si="35"/>
        <v>-6.4750000000000002E-2</v>
      </c>
      <c r="T87" s="27" t="str">
        <f t="shared" si="36"/>
        <v>N/A</v>
      </c>
      <c r="U87" s="105">
        <f>64.75/1000*1</f>
        <v>6.4750000000000002E-2</v>
      </c>
      <c r="V87" s="106">
        <f>0/1000*1</f>
        <v>0</v>
      </c>
      <c r="W87" s="89">
        <f t="shared" si="37"/>
        <v>6.4750000000000002E-2</v>
      </c>
      <c r="X87" s="26" t="str">
        <f t="shared" si="38"/>
        <v>N/A</v>
      </c>
      <c r="Y87" s="106">
        <f>0/1000*1</f>
        <v>0</v>
      </c>
      <c r="Z87" s="89">
        <f t="shared" si="39"/>
        <v>-6.4750000000000002E-2</v>
      </c>
      <c r="AA87" s="27" t="str">
        <f t="shared" si="40"/>
        <v>N/A</v>
      </c>
      <c r="AB87" s="107">
        <f>0/1000*1</f>
        <v>0</v>
      </c>
      <c r="AC87" s="1"/>
      <c r="AD87" s="1"/>
      <c r="AE87" s="1"/>
      <c r="AF87" s="1"/>
      <c r="AG87" s="1"/>
      <c r="AH87" s="1"/>
      <c r="AI87" s="1"/>
    </row>
    <row r="88" spans="1:35" ht="14.25" hidden="1" outlineLevel="1" x14ac:dyDescent="0.2">
      <c r="A88" s="1"/>
      <c r="B88" s="3"/>
      <c r="C88" s="3"/>
      <c r="D88" s="3" t="s">
        <v>67</v>
      </c>
      <c r="E88" s="3" t="s">
        <v>54</v>
      </c>
      <c r="F88" s="3">
        <v>921</v>
      </c>
      <c r="G88" s="105">
        <f>10100/1000*1</f>
        <v>10.1</v>
      </c>
      <c r="H88" s="106">
        <f>0/1000*1</f>
        <v>0</v>
      </c>
      <c r="I88" s="89">
        <f t="shared" si="29"/>
        <v>10.1</v>
      </c>
      <c r="J88" s="26" t="str">
        <f t="shared" si="30"/>
        <v>N/A</v>
      </c>
      <c r="K88" s="106">
        <f>0/1000*1</f>
        <v>0</v>
      </c>
      <c r="L88" s="89">
        <f t="shared" si="31"/>
        <v>-10.1</v>
      </c>
      <c r="M88" s="27" t="str">
        <f t="shared" si="32"/>
        <v>N/A</v>
      </c>
      <c r="N88" s="105">
        <f>50300/1000*1</f>
        <v>50.3</v>
      </c>
      <c r="O88" s="106">
        <f>115/1000*1</f>
        <v>0.115</v>
      </c>
      <c r="P88" s="89">
        <f t="shared" si="33"/>
        <v>50.184999999999995</v>
      </c>
      <c r="Q88" s="26" t="str">
        <f t="shared" si="34"/>
        <v>N/A</v>
      </c>
      <c r="R88" s="106">
        <f>20100/1000*1</f>
        <v>20.100000000000001</v>
      </c>
      <c r="S88" s="89">
        <f t="shared" si="35"/>
        <v>-30.199999999999996</v>
      </c>
      <c r="T88" s="27">
        <f t="shared" si="36"/>
        <v>-1.5024875621890543</v>
      </c>
      <c r="U88" s="105">
        <f>65496.14/1000*1</f>
        <v>65.496139999999997</v>
      </c>
      <c r="V88" s="106">
        <f>1246/1000*1</f>
        <v>1.246</v>
      </c>
      <c r="W88" s="89">
        <f t="shared" si="37"/>
        <v>64.250140000000002</v>
      </c>
      <c r="X88" s="26" t="str">
        <f t="shared" si="38"/>
        <v>N/A</v>
      </c>
      <c r="Y88" s="106">
        <f>35296.14/1000*1</f>
        <v>35.296140000000001</v>
      </c>
      <c r="Z88" s="89">
        <f t="shared" si="39"/>
        <v>-30.199999999999996</v>
      </c>
      <c r="AA88" s="27">
        <f t="shared" si="40"/>
        <v>-0.85561763977590732</v>
      </c>
      <c r="AB88" s="107">
        <f>35296.14/1000*1</f>
        <v>35.296140000000001</v>
      </c>
      <c r="AC88" s="1"/>
      <c r="AD88" s="1"/>
      <c r="AE88" s="1"/>
      <c r="AF88" s="1"/>
      <c r="AG88" s="1"/>
      <c r="AH88" s="1"/>
      <c r="AI88" s="1"/>
    </row>
    <row r="89" spans="1:35" ht="14.25" hidden="1" outlineLevel="1" x14ac:dyDescent="0.2">
      <c r="A89" s="1"/>
      <c r="B89" s="3"/>
      <c r="C89" s="3"/>
      <c r="D89" s="3" t="s">
        <v>67</v>
      </c>
      <c r="E89" s="3" t="s">
        <v>54</v>
      </c>
      <c r="F89" s="3">
        <v>935</v>
      </c>
      <c r="G89" s="105">
        <f>5891.32/1000*1</f>
        <v>5.8913199999999994</v>
      </c>
      <c r="H89" s="106">
        <f>0/1000*1</f>
        <v>0</v>
      </c>
      <c r="I89" s="89">
        <f t="shared" si="29"/>
        <v>5.8913199999999994</v>
      </c>
      <c r="J89" s="26" t="str">
        <f t="shared" si="30"/>
        <v>N/A</v>
      </c>
      <c r="K89" s="106">
        <f>0/1000*1</f>
        <v>0</v>
      </c>
      <c r="L89" s="89">
        <f t="shared" si="31"/>
        <v>-5.8913199999999994</v>
      </c>
      <c r="M89" s="27" t="str">
        <f t="shared" si="32"/>
        <v>N/A</v>
      </c>
      <c r="N89" s="105">
        <f>15417.18/1000*1</f>
        <v>15.41718</v>
      </c>
      <c r="O89" s="106">
        <f>7397.5/1000*1</f>
        <v>7.3975</v>
      </c>
      <c r="P89" s="89">
        <f t="shared" si="33"/>
        <v>8.019680000000001</v>
      </c>
      <c r="Q89" s="26">
        <f t="shared" si="34"/>
        <v>1.0841067928354176</v>
      </c>
      <c r="R89" s="106">
        <f>9525.86/1000*1</f>
        <v>9.5258599999999998</v>
      </c>
      <c r="S89" s="89">
        <f t="shared" si="35"/>
        <v>-5.8913200000000003</v>
      </c>
      <c r="T89" s="27">
        <f t="shared" si="36"/>
        <v>-0.61845544654235951</v>
      </c>
      <c r="U89" s="105">
        <f>15417.18/1000*1</f>
        <v>15.41718</v>
      </c>
      <c r="V89" s="106">
        <f>8275/1000*1</f>
        <v>8.2750000000000004</v>
      </c>
      <c r="W89" s="89">
        <f t="shared" si="37"/>
        <v>7.1421799999999998</v>
      </c>
      <c r="X89" s="26">
        <f t="shared" si="38"/>
        <v>0.86310332326283978</v>
      </c>
      <c r="Y89" s="106">
        <f>9525.86/1000*1</f>
        <v>9.5258599999999998</v>
      </c>
      <c r="Z89" s="89">
        <f t="shared" si="39"/>
        <v>-5.8913200000000003</v>
      </c>
      <c r="AA89" s="27">
        <f t="shared" si="40"/>
        <v>-0.61845544654235951</v>
      </c>
      <c r="AB89" s="107">
        <f>9525.86/1000*1</f>
        <v>9.5258599999999998</v>
      </c>
      <c r="AC89" s="1"/>
      <c r="AD89" s="1"/>
      <c r="AE89" s="1"/>
      <c r="AF89" s="1"/>
      <c r="AG89" s="1"/>
      <c r="AH89" s="1"/>
      <c r="AI89" s="1"/>
    </row>
    <row r="90" spans="1:35" ht="14.25" hidden="1" outlineLevel="1" x14ac:dyDescent="0.2">
      <c r="A90" s="1"/>
      <c r="B90" s="3"/>
      <c r="C90" s="3"/>
      <c r="D90" s="3"/>
      <c r="E90" s="3"/>
      <c r="F90" s="3"/>
      <c r="G90" s="105"/>
      <c r="H90" s="106"/>
      <c r="I90" s="89"/>
      <c r="J90" s="26"/>
      <c r="K90" s="106"/>
      <c r="L90" s="89"/>
      <c r="M90" s="27"/>
      <c r="N90" s="105"/>
      <c r="O90" s="106"/>
      <c r="P90" s="89"/>
      <c r="Q90" s="26"/>
      <c r="R90" s="106"/>
      <c r="S90" s="89"/>
      <c r="T90" s="27"/>
      <c r="U90" s="105"/>
      <c r="V90" s="106"/>
      <c r="W90" s="89"/>
      <c r="X90" s="26"/>
      <c r="Y90" s="106"/>
      <c r="Z90" s="89"/>
      <c r="AA90" s="27"/>
      <c r="AB90" s="107"/>
      <c r="AC90" s="1"/>
      <c r="AD90" s="1"/>
      <c r="AE90" s="1"/>
      <c r="AF90" s="1"/>
      <c r="AG90" s="1"/>
      <c r="AH90" s="1"/>
      <c r="AI90" s="1"/>
    </row>
    <row r="91" spans="1:35" ht="14.25" hidden="1" outlineLevel="1" x14ac:dyDescent="0.2">
      <c r="A91" s="1"/>
      <c r="B91" s="3"/>
      <c r="C91" s="3"/>
      <c r="D91" s="3"/>
      <c r="E91" s="3"/>
      <c r="F91" s="3"/>
      <c r="G91" s="105"/>
      <c r="H91" s="106"/>
      <c r="I91" s="89"/>
      <c r="J91" s="26"/>
      <c r="K91" s="106"/>
      <c r="L91" s="89"/>
      <c r="M91" s="27"/>
      <c r="N91" s="105"/>
      <c r="O91" s="106"/>
      <c r="P91" s="89"/>
      <c r="Q91" s="26"/>
      <c r="R91" s="106"/>
      <c r="S91" s="89"/>
      <c r="T91" s="27"/>
      <c r="U91" s="105"/>
      <c r="V91" s="106"/>
      <c r="W91" s="89"/>
      <c r="X91" s="26"/>
      <c r="Y91" s="106"/>
      <c r="Z91" s="89"/>
      <c r="AA91" s="27"/>
      <c r="AB91" s="107"/>
      <c r="AC91" s="1"/>
      <c r="AD91" s="1"/>
      <c r="AE91" s="1"/>
      <c r="AF91" s="1"/>
      <c r="AG91" s="1"/>
      <c r="AH91" s="1"/>
      <c r="AI91" s="1"/>
    </row>
    <row r="92" spans="1:35" ht="14.25" hidden="1" outlineLevel="1" x14ac:dyDescent="0.2">
      <c r="A92" s="1"/>
      <c r="B92" s="3"/>
      <c r="C92" s="3"/>
      <c r="D92" s="3"/>
      <c r="E92" s="3"/>
      <c r="F92" s="3"/>
      <c r="G92" s="105"/>
      <c r="H92" s="106"/>
      <c r="I92" s="89"/>
      <c r="J92" s="26"/>
      <c r="K92" s="106"/>
      <c r="L92" s="89"/>
      <c r="M92" s="27"/>
      <c r="N92" s="105"/>
      <c r="O92" s="106"/>
      <c r="P92" s="89"/>
      <c r="Q92" s="26"/>
      <c r="R92" s="106"/>
      <c r="S92" s="89"/>
      <c r="T92" s="27"/>
      <c r="U92" s="105"/>
      <c r="V92" s="106"/>
      <c r="W92" s="89"/>
      <c r="X92" s="26"/>
      <c r="Y92" s="106"/>
      <c r="Z92" s="89"/>
      <c r="AA92" s="27"/>
      <c r="AB92" s="107"/>
      <c r="AC92" s="1"/>
      <c r="AD92" s="1"/>
      <c r="AE92" s="1"/>
      <c r="AF92" s="1"/>
      <c r="AG92" s="1"/>
      <c r="AH92" s="1"/>
      <c r="AI92" s="1"/>
    </row>
    <row r="93" spans="1:35" ht="14.25" hidden="1" outlineLevel="1" x14ac:dyDescent="0.2">
      <c r="A93" s="1"/>
      <c r="B93" s="3"/>
      <c r="C93" s="3"/>
      <c r="D93" s="3"/>
      <c r="E93" s="3"/>
      <c r="F93" s="3"/>
      <c r="G93" s="105"/>
      <c r="H93" s="106"/>
      <c r="I93" s="89"/>
      <c r="J93" s="26"/>
      <c r="K93" s="106"/>
      <c r="L93" s="89"/>
      <c r="M93" s="27"/>
      <c r="N93" s="105"/>
      <c r="O93" s="106"/>
      <c r="P93" s="89"/>
      <c r="Q93" s="26"/>
      <c r="R93" s="106"/>
      <c r="S93" s="89"/>
      <c r="T93" s="27"/>
      <c r="U93" s="105"/>
      <c r="V93" s="106"/>
      <c r="W93" s="89"/>
      <c r="X93" s="26"/>
      <c r="Y93" s="106"/>
      <c r="Z93" s="89"/>
      <c r="AA93" s="27"/>
      <c r="AB93" s="107"/>
      <c r="AC93" s="1"/>
      <c r="AD93" s="1"/>
      <c r="AE93" s="1"/>
      <c r="AF93" s="1"/>
      <c r="AG93" s="1"/>
      <c r="AH93" s="1"/>
      <c r="AI93" s="1"/>
    </row>
    <row r="94" spans="1:35" ht="14.25" hidden="1" outlineLevel="1" x14ac:dyDescent="0.2">
      <c r="A94" s="1"/>
      <c r="B94" s="3"/>
      <c r="C94" s="3"/>
      <c r="D94" s="3"/>
      <c r="E94" s="3"/>
      <c r="F94" s="3"/>
      <c r="G94" s="105"/>
      <c r="H94" s="106"/>
      <c r="I94" s="89"/>
      <c r="J94" s="26"/>
      <c r="K94" s="106"/>
      <c r="L94" s="89"/>
      <c r="M94" s="27"/>
      <c r="N94" s="105"/>
      <c r="O94" s="106"/>
      <c r="P94" s="89"/>
      <c r="Q94" s="26"/>
      <c r="R94" s="106"/>
      <c r="S94" s="89"/>
      <c r="T94" s="27"/>
      <c r="U94" s="105"/>
      <c r="V94" s="106"/>
      <c r="W94" s="89"/>
      <c r="X94" s="26"/>
      <c r="Y94" s="106"/>
      <c r="Z94" s="89"/>
      <c r="AA94" s="27"/>
      <c r="AB94" s="107"/>
      <c r="AC94" s="1"/>
      <c r="AD94" s="1"/>
      <c r="AE94" s="1"/>
      <c r="AF94" s="1"/>
      <c r="AG94" s="1"/>
      <c r="AH94" s="1"/>
      <c r="AI94" s="1"/>
    </row>
    <row r="95" spans="1:35" ht="14.25" hidden="1" outlineLevel="1" x14ac:dyDescent="0.2">
      <c r="A95" s="1"/>
      <c r="B95" s="3"/>
      <c r="C95" s="3"/>
      <c r="D95" s="3"/>
      <c r="E95" s="3"/>
      <c r="F95" s="3"/>
      <c r="G95" s="105"/>
      <c r="H95" s="106"/>
      <c r="I95" s="89"/>
      <c r="J95" s="26"/>
      <c r="K95" s="106"/>
      <c r="L95" s="89"/>
      <c r="M95" s="27"/>
      <c r="N95" s="105"/>
      <c r="O95" s="106"/>
      <c r="P95" s="89"/>
      <c r="Q95" s="26"/>
      <c r="R95" s="106"/>
      <c r="S95" s="89"/>
      <c r="T95" s="27"/>
      <c r="U95" s="105"/>
      <c r="V95" s="106"/>
      <c r="W95" s="89"/>
      <c r="X95" s="26"/>
      <c r="Y95" s="106"/>
      <c r="Z95" s="89"/>
      <c r="AA95" s="27"/>
      <c r="AB95" s="107"/>
      <c r="AC95" s="1"/>
      <c r="AD95" s="1"/>
      <c r="AE95" s="1"/>
      <c r="AF95" s="1"/>
      <c r="AG95" s="1"/>
      <c r="AH95" s="1"/>
      <c r="AI95" s="1"/>
    </row>
    <row r="96" spans="1:35" ht="14.25" hidden="1" outlineLevel="1" x14ac:dyDescent="0.2">
      <c r="A96" s="1"/>
      <c r="B96" s="3"/>
      <c r="C96" s="3"/>
      <c r="D96" s="3"/>
      <c r="E96" s="3"/>
      <c r="F96" s="3"/>
      <c r="G96" s="105"/>
      <c r="H96" s="106"/>
      <c r="I96" s="89"/>
      <c r="J96" s="26"/>
      <c r="K96" s="106"/>
      <c r="L96" s="89"/>
      <c r="M96" s="27"/>
      <c r="N96" s="105"/>
      <c r="O96" s="106"/>
      <c r="P96" s="89"/>
      <c r="Q96" s="26"/>
      <c r="R96" s="106"/>
      <c r="S96" s="89"/>
      <c r="T96" s="27"/>
      <c r="U96" s="105"/>
      <c r="V96" s="106"/>
      <c r="W96" s="89"/>
      <c r="X96" s="26"/>
      <c r="Y96" s="106"/>
      <c r="Z96" s="89"/>
      <c r="AA96" s="27"/>
      <c r="AB96" s="107"/>
      <c r="AC96" s="1"/>
      <c r="AD96" s="1"/>
      <c r="AE96" s="1"/>
      <c r="AF96" s="1"/>
      <c r="AG96" s="1"/>
      <c r="AH96" s="1"/>
      <c r="AI96" s="1"/>
    </row>
    <row r="97" spans="1:35" ht="14.25" hidden="1" outlineLevel="1" x14ac:dyDescent="0.2">
      <c r="A97" s="1"/>
      <c r="B97" s="3"/>
      <c r="C97" s="3"/>
      <c r="D97" s="3"/>
      <c r="E97" s="3"/>
      <c r="F97" s="3"/>
      <c r="G97" s="105"/>
      <c r="H97" s="106"/>
      <c r="I97" s="89"/>
      <c r="J97" s="26"/>
      <c r="K97" s="106"/>
      <c r="L97" s="89"/>
      <c r="M97" s="27"/>
      <c r="N97" s="105"/>
      <c r="O97" s="106"/>
      <c r="P97" s="89"/>
      <c r="Q97" s="26"/>
      <c r="R97" s="106"/>
      <c r="S97" s="89"/>
      <c r="T97" s="27"/>
      <c r="U97" s="105"/>
      <c r="V97" s="106"/>
      <c r="W97" s="89"/>
      <c r="X97" s="26"/>
      <c r="Y97" s="106"/>
      <c r="Z97" s="89"/>
      <c r="AA97" s="27"/>
      <c r="AB97" s="107"/>
      <c r="AC97" s="1"/>
      <c r="AD97" s="1"/>
      <c r="AE97" s="1"/>
      <c r="AF97" s="1"/>
      <c r="AG97" s="1"/>
      <c r="AH97" s="1"/>
      <c r="AI97" s="1"/>
    </row>
    <row r="98" spans="1:35" ht="14.25" hidden="1" outlineLevel="1" x14ac:dyDescent="0.2">
      <c r="A98" s="1"/>
      <c r="B98" s="3"/>
      <c r="C98" s="3"/>
      <c r="D98" s="3"/>
      <c r="E98" s="3"/>
      <c r="F98" s="3"/>
      <c r="G98" s="105"/>
      <c r="H98" s="106"/>
      <c r="I98" s="89"/>
      <c r="J98" s="26"/>
      <c r="K98" s="106"/>
      <c r="L98" s="89"/>
      <c r="M98" s="27"/>
      <c r="N98" s="105"/>
      <c r="O98" s="106"/>
      <c r="P98" s="89"/>
      <c r="Q98" s="26"/>
      <c r="R98" s="106"/>
      <c r="S98" s="89"/>
      <c r="T98" s="27"/>
      <c r="U98" s="105"/>
      <c r="V98" s="106"/>
      <c r="W98" s="89"/>
      <c r="X98" s="26"/>
      <c r="Y98" s="106"/>
      <c r="Z98" s="89"/>
      <c r="AA98" s="27"/>
      <c r="AB98" s="107"/>
      <c r="AC98" s="1"/>
      <c r="AD98" s="1"/>
      <c r="AE98" s="1"/>
      <c r="AF98" s="1"/>
      <c r="AG98" s="1"/>
      <c r="AH98" s="1"/>
      <c r="AI98" s="1"/>
    </row>
    <row r="99" spans="1:35" ht="14.25" hidden="1" outlineLevel="1" x14ac:dyDescent="0.2">
      <c r="A99" s="1"/>
      <c r="B99" s="3"/>
      <c r="C99" s="3"/>
      <c r="D99" s="3"/>
      <c r="E99" s="3"/>
      <c r="F99" s="3"/>
      <c r="G99" s="105"/>
      <c r="H99" s="106"/>
      <c r="I99" s="89"/>
      <c r="J99" s="26"/>
      <c r="K99" s="106"/>
      <c r="L99" s="89"/>
      <c r="M99" s="27"/>
      <c r="N99" s="105"/>
      <c r="O99" s="106"/>
      <c r="P99" s="89"/>
      <c r="Q99" s="26"/>
      <c r="R99" s="106"/>
      <c r="S99" s="89"/>
      <c r="T99" s="27"/>
      <c r="U99" s="105"/>
      <c r="V99" s="106"/>
      <c r="W99" s="89"/>
      <c r="X99" s="26"/>
      <c r="Y99" s="106"/>
      <c r="Z99" s="89"/>
      <c r="AA99" s="27"/>
      <c r="AB99" s="107"/>
      <c r="AC99" s="1"/>
      <c r="AD99" s="1"/>
      <c r="AE99" s="1"/>
      <c r="AF99" s="1"/>
      <c r="AG99" s="1"/>
      <c r="AH99" s="1"/>
      <c r="AI99" s="1"/>
    </row>
    <row r="100" spans="1:35" ht="14.25" collapsed="1" x14ac:dyDescent="0.2">
      <c r="A100" s="1"/>
      <c r="B100" s="3" t="s">
        <v>70</v>
      </c>
      <c r="C100" s="3"/>
      <c r="D100" s="3"/>
      <c r="E100" s="3"/>
      <c r="F100" s="3"/>
      <c r="G100" s="102">
        <f>SUM(G101:G104)</f>
        <v>83.521749999999997</v>
      </c>
      <c r="H100" s="103">
        <f>SUM(H101:H104)</f>
        <v>156.71229</v>
      </c>
      <c r="I100" s="89">
        <f>G100-H100</f>
        <v>-73.190539999999999</v>
      </c>
      <c r="J100" s="26">
        <f>IF(ISERROR(I100/H100),"N/A",IF(ABS(I100/H100)&gt;5,"N/A",I100/H100))</f>
        <v>-0.46703765224795069</v>
      </c>
      <c r="K100" s="103">
        <f>SUM(K101:K104)</f>
        <v>84.397151803999989</v>
      </c>
      <c r="L100" s="89">
        <f>K100-G100</f>
        <v>0.87540180399999201</v>
      </c>
      <c r="M100" s="27">
        <f>IF(ISERROR(L100/K100),"N/A",IF(ABS(L100/K100)&gt;5,"N/A",L100/K100))</f>
        <v>1.0372409320553664E-2</v>
      </c>
      <c r="N100" s="102">
        <f>SUM(N101:N104)</f>
        <v>498.33213000000001</v>
      </c>
      <c r="O100" s="103">
        <f>SUM(O101:O104)</f>
        <v>454.17059</v>
      </c>
      <c r="P100" s="89">
        <f>N100-O100</f>
        <v>44.161540000000002</v>
      </c>
      <c r="Q100" s="26">
        <f>IF(ISERROR(P100/O100),"N/A",IF(ABS(P100/O100)&gt;5,"N/A",P100/O100))</f>
        <v>9.723557837595781E-2</v>
      </c>
      <c r="R100" s="103">
        <f>SUM(R101:R104)</f>
        <v>428.67190292800001</v>
      </c>
      <c r="S100" s="89">
        <f>R100-N100</f>
        <v>-69.660227071999998</v>
      </c>
      <c r="T100" s="27">
        <f>IF(ISERROR(S100/R100),"N/A",IF(ABS(S100/R100)&gt;5,"N/A",S100/R100))</f>
        <v>-0.16250243273746862</v>
      </c>
      <c r="U100" s="102">
        <f>SUM(U101:U104)</f>
        <v>1254.51558</v>
      </c>
      <c r="V100" s="108">
        <f>SUM(V101:V104)</f>
        <v>898.59788000000003</v>
      </c>
      <c r="W100" s="89">
        <f>U100-V100</f>
        <v>355.91769999999997</v>
      </c>
      <c r="X100" s="26">
        <f>IF(ISERROR(W100/V100),"N/A",IF(ABS(W100/V100)&gt;5,"N/A",W100/V100))</f>
        <v>0.39608117036732821</v>
      </c>
      <c r="Y100" s="103">
        <f>SUM(Y101:Y104)</f>
        <v>1184.855352928</v>
      </c>
      <c r="Z100" s="89">
        <f>Y100-U100</f>
        <v>-69.660227071999998</v>
      </c>
      <c r="AA100" s="27">
        <f>IF(ISERROR(Z100/Y100),"N/A",IF(ABS(Z100/Y100)&gt;5,"N/A",Z100/Y100))</f>
        <v>-5.8792178218089235E-2</v>
      </c>
      <c r="AB100" s="104">
        <f>SUM(AB101:AB104)</f>
        <v>2120.826404079</v>
      </c>
      <c r="AC100" s="1"/>
      <c r="AD100" s="1"/>
      <c r="AE100" s="1"/>
      <c r="AF100" s="1"/>
      <c r="AG100" s="1"/>
      <c r="AH100" s="1"/>
      <c r="AI100" s="1"/>
    </row>
    <row r="101" spans="1:35" ht="14.25" hidden="1" outlineLevel="1" x14ac:dyDescent="0.2">
      <c r="A101" s="1"/>
      <c r="B101" s="3"/>
      <c r="C101" s="3"/>
      <c r="D101" s="3" t="s">
        <v>67</v>
      </c>
      <c r="E101" s="3" t="s">
        <v>51</v>
      </c>
      <c r="F101" s="3">
        <v>920</v>
      </c>
      <c r="G101" s="105">
        <f>83566.92/1000*1</f>
        <v>83.566919999999996</v>
      </c>
      <c r="H101" s="106">
        <f>156712.29/1000*1</f>
        <v>156.71229</v>
      </c>
      <c r="I101" s="89">
        <f>G101-H101</f>
        <v>-73.14537</v>
      </c>
      <c r="J101" s="26">
        <f>IF(ISERROR(I101/H101),"N/A",IF(ABS(I101/H101)&gt;5,"N/A",I101/H101))</f>
        <v>-0.46674941703678763</v>
      </c>
      <c r="K101" s="106">
        <f>84397.151804/1000*1</f>
        <v>84.397151803999989</v>
      </c>
      <c r="L101" s="89">
        <f>K101-G101</f>
        <v>0.83023180399999319</v>
      </c>
      <c r="M101" s="27">
        <f>IF(ISERROR(L101/K101),"N/A",IF(ABS(L101/K101)&gt;5,"N/A",L101/K101))</f>
        <v>9.83720168576405E-3</v>
      </c>
      <c r="N101" s="105">
        <f>498398.48/1000*1</f>
        <v>498.39848000000001</v>
      </c>
      <c r="O101" s="106">
        <f>454170.59/1000*1</f>
        <v>454.17059</v>
      </c>
      <c r="P101" s="89">
        <f>N101-O101</f>
        <v>44.227890000000002</v>
      </c>
      <c r="Q101" s="26">
        <f>IF(ISERROR(P101/O101),"N/A",IF(ABS(P101/O101)&gt;5,"N/A",P101/O101))</f>
        <v>9.7381668857069767E-2</v>
      </c>
      <c r="R101" s="106">
        <f>428671.902928/1000*1</f>
        <v>428.67190292800001</v>
      </c>
      <c r="S101" s="89">
        <f>R101-N101</f>
        <v>-69.726577071999998</v>
      </c>
      <c r="T101" s="27">
        <f>IF(ISERROR(S101/R101),"N/A",IF(ABS(S101/R101)&gt;5,"N/A",S101/R101))</f>
        <v>-0.16265721311739742</v>
      </c>
      <c r="U101" s="105">
        <f>1254498.66/1000*1</f>
        <v>1254.49866</v>
      </c>
      <c r="V101" s="106">
        <f>898597.88/1000*1</f>
        <v>898.59788000000003</v>
      </c>
      <c r="W101" s="89">
        <f>U101-V101</f>
        <v>355.90077999999994</v>
      </c>
      <c r="X101" s="26">
        <f>IF(ISERROR(W101/V101),"N/A",IF(ABS(W101/V101)&gt;5,"N/A",W101/V101))</f>
        <v>0.39606234103289883</v>
      </c>
      <c r="Y101" s="106">
        <f>1184772.082928/1000*1</f>
        <v>1184.7720829279999</v>
      </c>
      <c r="Z101" s="89">
        <f>Y101-U101</f>
        <v>-69.726577072000055</v>
      </c>
      <c r="AA101" s="27">
        <f>IF(ISERROR(Z101/Y101),"N/A",IF(ABS(Z101/Y101)&gt;5,"N/A",Z101/Y101))</f>
        <v>-5.8852312674080309E-2</v>
      </c>
      <c r="AB101" s="107">
        <f>2120743.134079/1000*1</f>
        <v>2120.7431340789999</v>
      </c>
      <c r="AC101" s="1"/>
      <c r="AD101" s="1"/>
      <c r="AE101" s="1"/>
      <c r="AF101" s="1"/>
      <c r="AG101" s="1"/>
      <c r="AH101" s="1"/>
      <c r="AI101" s="1"/>
    </row>
    <row r="102" spans="1:35" ht="14.25" hidden="1" outlineLevel="1" x14ac:dyDescent="0.2">
      <c r="A102" s="1"/>
      <c r="B102" s="3"/>
      <c r="C102" s="3"/>
      <c r="D102" s="3" t="s">
        <v>67</v>
      </c>
      <c r="E102" s="3" t="s">
        <v>54</v>
      </c>
      <c r="F102" s="3">
        <v>920</v>
      </c>
      <c r="G102" s="105">
        <f>-45.17/1000*1</f>
        <v>-4.5170000000000002E-2</v>
      </c>
      <c r="H102" s="106">
        <f>0/1000*1</f>
        <v>0</v>
      </c>
      <c r="I102" s="89">
        <f>G102-H102</f>
        <v>-4.5170000000000002E-2</v>
      </c>
      <c r="J102" s="26" t="str">
        <f>IF(ISERROR(I102/H102),"N/A",IF(ABS(I102/H102)&gt;5,"N/A",I102/H102))</f>
        <v>N/A</v>
      </c>
      <c r="K102" s="106">
        <f>0/1000*1</f>
        <v>0</v>
      </c>
      <c r="L102" s="89">
        <f>K102-G102</f>
        <v>4.5170000000000002E-2</v>
      </c>
      <c r="M102" s="27" t="str">
        <f>IF(ISERROR(L102/K102),"N/A",IF(ABS(L102/K102)&gt;5,"N/A",L102/K102))</f>
        <v>N/A</v>
      </c>
      <c r="N102" s="105">
        <f>-66.35/1000*1</f>
        <v>-6.6349999999999992E-2</v>
      </c>
      <c r="O102" s="106">
        <f>0/1000*1</f>
        <v>0</v>
      </c>
      <c r="P102" s="89">
        <f>N102-O102</f>
        <v>-6.6349999999999992E-2</v>
      </c>
      <c r="Q102" s="26" t="str">
        <f>IF(ISERROR(P102/O102),"N/A",IF(ABS(P102/O102)&gt;5,"N/A",P102/O102))</f>
        <v>N/A</v>
      </c>
      <c r="R102" s="106">
        <f>0/1000*1</f>
        <v>0</v>
      </c>
      <c r="S102" s="89">
        <f>R102-N102</f>
        <v>6.6349999999999992E-2</v>
      </c>
      <c r="T102" s="27" t="str">
        <f>IF(ISERROR(S102/R102),"N/A",IF(ABS(S102/R102)&gt;5,"N/A",S102/R102))</f>
        <v>N/A</v>
      </c>
      <c r="U102" s="105">
        <f>16.92/1000*1</f>
        <v>1.6920000000000001E-2</v>
      </c>
      <c r="V102" s="106">
        <f>0/1000*1</f>
        <v>0</v>
      </c>
      <c r="W102" s="89">
        <f>U102-V102</f>
        <v>1.6920000000000001E-2</v>
      </c>
      <c r="X102" s="26" t="str">
        <f>IF(ISERROR(W102/V102),"N/A",IF(ABS(W102/V102)&gt;5,"N/A",W102/V102))</f>
        <v>N/A</v>
      </c>
      <c r="Y102" s="106">
        <f>83.27/1000*1</f>
        <v>8.3269999999999997E-2</v>
      </c>
      <c r="Z102" s="89">
        <f>Y102-U102</f>
        <v>6.6349999999999992E-2</v>
      </c>
      <c r="AA102" s="27">
        <f>IF(ISERROR(Z102/Y102),"N/A",IF(ABS(Z102/Y102)&gt;5,"N/A",Z102/Y102))</f>
        <v>0.79680557223489845</v>
      </c>
      <c r="AB102" s="107">
        <f>83.27/1000*1</f>
        <v>8.3269999999999997E-2</v>
      </c>
      <c r="AC102" s="1"/>
      <c r="AD102" s="1"/>
      <c r="AE102" s="1"/>
      <c r="AF102" s="1"/>
      <c r="AG102" s="1"/>
      <c r="AH102" s="1"/>
      <c r="AI102" s="1"/>
    </row>
    <row r="103" spans="1:35" ht="14.25" hidden="1" outlineLevel="1" x14ac:dyDescent="0.2">
      <c r="A103" s="1"/>
      <c r="B103" s="3"/>
      <c r="C103" s="3"/>
      <c r="D103" s="3" t="s">
        <v>67</v>
      </c>
      <c r="E103" s="3" t="s">
        <v>56</v>
      </c>
      <c r="F103" s="3">
        <v>920</v>
      </c>
      <c r="G103" s="105">
        <f>0/1000*1</f>
        <v>0</v>
      </c>
      <c r="H103" s="106">
        <f>0/1000*1</f>
        <v>0</v>
      </c>
      <c r="I103" s="89">
        <f>G103-H103</f>
        <v>0</v>
      </c>
      <c r="J103" s="26" t="str">
        <f>IF(ISERROR(I103/H103),"N/A",IF(ABS(I103/H103)&gt;5,"N/A",I103/H103))</f>
        <v>N/A</v>
      </c>
      <c r="K103" s="106">
        <f>0/1000*1</f>
        <v>0</v>
      </c>
      <c r="L103" s="89">
        <f>K103-G103</f>
        <v>0</v>
      </c>
      <c r="M103" s="27" t="str">
        <f>IF(ISERROR(L103/K103),"N/A",IF(ABS(L103/K103)&gt;5,"N/A",L103/K103))</f>
        <v>N/A</v>
      </c>
      <c r="N103" s="105">
        <f>0/1000*1</f>
        <v>0</v>
      </c>
      <c r="O103" s="106">
        <f>0/1000*1</f>
        <v>0</v>
      </c>
      <c r="P103" s="89">
        <f>N103-O103</f>
        <v>0</v>
      </c>
      <c r="Q103" s="26" t="str">
        <f>IF(ISERROR(P103/O103),"N/A",IF(ABS(P103/O103)&gt;5,"N/A",P103/O103))</f>
        <v>N/A</v>
      </c>
      <c r="R103" s="106">
        <f>0/1000*1</f>
        <v>0</v>
      </c>
      <c r="S103" s="89">
        <f>R103-N103</f>
        <v>0</v>
      </c>
      <c r="T103" s="27" t="str">
        <f>IF(ISERROR(S103/R103),"N/A",IF(ABS(S103/R103)&gt;5,"N/A",S103/R103))</f>
        <v>N/A</v>
      </c>
      <c r="U103" s="105">
        <f>0/1000*1</f>
        <v>0</v>
      </c>
      <c r="V103" s="106">
        <f>0/1000*1</f>
        <v>0</v>
      </c>
      <c r="W103" s="89">
        <f>U103-V103</f>
        <v>0</v>
      </c>
      <c r="X103" s="26" t="str">
        <f>IF(ISERROR(W103/V103),"N/A",IF(ABS(W103/V103)&gt;5,"N/A",W103/V103))</f>
        <v>N/A</v>
      </c>
      <c r="Y103" s="106">
        <f>0/1000*1</f>
        <v>0</v>
      </c>
      <c r="Z103" s="89">
        <f>Y103-U103</f>
        <v>0</v>
      </c>
      <c r="AA103" s="27" t="str">
        <f>IF(ISERROR(Z103/Y103),"N/A",IF(ABS(Z103/Y103)&gt;5,"N/A",Z103/Y103))</f>
        <v>N/A</v>
      </c>
      <c r="AB103" s="107">
        <f>0/1000*1</f>
        <v>0</v>
      </c>
      <c r="AC103" s="1"/>
      <c r="AD103" s="1"/>
      <c r="AE103" s="1"/>
      <c r="AF103" s="1"/>
      <c r="AG103" s="1"/>
      <c r="AH103" s="1"/>
      <c r="AI103" s="1"/>
    </row>
    <row r="104" spans="1:35" ht="14.25" hidden="1" outlineLevel="1" x14ac:dyDescent="0.2">
      <c r="A104" s="1"/>
      <c r="B104" s="3"/>
      <c r="C104" s="3"/>
      <c r="D104" s="3"/>
      <c r="E104" s="3"/>
      <c r="F104" s="3"/>
      <c r="G104" s="105"/>
      <c r="H104" s="106"/>
      <c r="I104" s="89"/>
      <c r="J104" s="26"/>
      <c r="K104" s="106"/>
      <c r="L104" s="89"/>
      <c r="M104" s="27"/>
      <c r="N104" s="105"/>
      <c r="O104" s="106"/>
      <c r="P104" s="89"/>
      <c r="Q104" s="26"/>
      <c r="R104" s="106"/>
      <c r="S104" s="89"/>
      <c r="T104" s="27"/>
      <c r="U104" s="105"/>
      <c r="V104" s="106"/>
      <c r="W104" s="89"/>
      <c r="X104" s="26"/>
      <c r="Y104" s="106"/>
      <c r="Z104" s="89"/>
      <c r="AA104" s="27"/>
      <c r="AB104" s="107"/>
      <c r="AC104" s="1"/>
      <c r="AD104" s="1"/>
      <c r="AE104" s="1"/>
      <c r="AF104" s="1"/>
      <c r="AG104" s="1"/>
      <c r="AH104" s="1"/>
      <c r="AI104" s="1"/>
    </row>
    <row r="105" spans="1:35" ht="14.25" hidden="1" outlineLevel="1" x14ac:dyDescent="0.2">
      <c r="A105" s="1"/>
      <c r="B105" s="3"/>
      <c r="C105" s="3"/>
      <c r="D105" s="3"/>
      <c r="E105" s="3"/>
      <c r="F105" s="3"/>
      <c r="G105" s="105"/>
      <c r="H105" s="106"/>
      <c r="I105" s="89"/>
      <c r="J105" s="26"/>
      <c r="K105" s="106"/>
      <c r="L105" s="89"/>
      <c r="M105" s="27"/>
      <c r="N105" s="105"/>
      <c r="O105" s="106"/>
      <c r="P105" s="89"/>
      <c r="Q105" s="26"/>
      <c r="R105" s="106"/>
      <c r="S105" s="89"/>
      <c r="T105" s="27"/>
      <c r="U105" s="105"/>
      <c r="V105" s="106"/>
      <c r="W105" s="89"/>
      <c r="X105" s="26"/>
      <c r="Y105" s="106"/>
      <c r="Z105" s="89"/>
      <c r="AA105" s="27"/>
      <c r="AB105" s="107"/>
      <c r="AC105" s="1"/>
      <c r="AD105" s="1"/>
      <c r="AE105" s="1"/>
      <c r="AF105" s="1"/>
      <c r="AG105" s="1"/>
      <c r="AH105" s="1"/>
      <c r="AI105" s="1"/>
    </row>
    <row r="106" spans="1:35" ht="14.25" collapsed="1" x14ac:dyDescent="0.2">
      <c r="A106" s="1"/>
      <c r="B106" s="3" t="s">
        <v>71</v>
      </c>
      <c r="C106" s="3"/>
      <c r="D106" s="3"/>
      <c r="E106" s="3"/>
      <c r="F106" s="3"/>
      <c r="G106" s="102">
        <f>SUM(G107:G116)</f>
        <v>386.41120999999998</v>
      </c>
      <c r="H106" s="103">
        <f>SUM(H107:H116)</f>
        <v>551.85935999999992</v>
      </c>
      <c r="I106" s="89">
        <f t="shared" ref="I106:I115" si="41">G106-H106</f>
        <v>-165.44814999999994</v>
      </c>
      <c r="J106" s="26">
        <f t="shared" ref="J106:J115" si="42">IF(ISERROR(I106/H106),"N/A",IF(ABS(I106/H106)&gt;5,"N/A",I106/H106))</f>
        <v>-0.29980129357595742</v>
      </c>
      <c r="K106" s="103">
        <f>SUM(K107:K116)</f>
        <v>410.70123999999998</v>
      </c>
      <c r="L106" s="89">
        <f t="shared" ref="L106:L115" si="43">K106-G106</f>
        <v>24.290030000000002</v>
      </c>
      <c r="M106" s="27">
        <f t="shared" ref="M106:M115" si="44">IF(ISERROR(L106/K106),"N/A",IF(ABS(L106/K106)&gt;5,"N/A",L106/K106))</f>
        <v>5.9142821190410824E-2</v>
      </c>
      <c r="N106" s="102">
        <f>SUM(N107:N116)</f>
        <v>1276.1469200000001</v>
      </c>
      <c r="O106" s="103">
        <f>SUM(O107:O116)</f>
        <v>1184.15968</v>
      </c>
      <c r="P106" s="89">
        <f t="shared" ref="P106:P115" si="45">N106-O106</f>
        <v>91.987240000000156</v>
      </c>
      <c r="Q106" s="26">
        <f t="shared" ref="Q106:Q115" si="46">IF(ISERROR(P106/O106),"N/A",IF(ABS(P106/O106)&gt;5,"N/A",P106/O106))</f>
        <v>7.7681449177529976E-2</v>
      </c>
      <c r="R106" s="103">
        <f>SUM(R107:R116)</f>
        <v>1128.0486100000001</v>
      </c>
      <c r="S106" s="89">
        <f t="shared" ref="S106:S115" si="47">R106-N106</f>
        <v>-148.09831000000008</v>
      </c>
      <c r="T106" s="27">
        <f t="shared" ref="T106:T115" si="48">IF(ISERROR(S106/R106),"N/A",IF(ABS(S106/R106)&gt;5,"N/A",S106/R106))</f>
        <v>-0.13128717032859077</v>
      </c>
      <c r="U106" s="102">
        <f>SUM(U107:U116)</f>
        <v>2421.0821199999996</v>
      </c>
      <c r="V106" s="103">
        <f>SUM(V107:V116)</f>
        <v>1780.1509999999998</v>
      </c>
      <c r="W106" s="89">
        <f t="shared" ref="W106:W115" si="49">U106-V106</f>
        <v>640.93111999999974</v>
      </c>
      <c r="X106" s="26">
        <f t="shared" ref="X106:X115" si="50">IF(ISERROR(W106/V106),"N/A",IF(ABS(W106/V106)&gt;5,"N/A",W106/V106))</f>
        <v>0.3600431199375782</v>
      </c>
      <c r="Y106" s="103">
        <f>SUM(Y107:Y116)</f>
        <v>2272.9838099999997</v>
      </c>
      <c r="Z106" s="89">
        <f t="shared" ref="Z106:Z115" si="51">Y106-U106</f>
        <v>-148.09830999999986</v>
      </c>
      <c r="AA106" s="27">
        <f t="shared" ref="AA106:AA115" si="52">IF(ISERROR(Z106/Y106),"N/A",IF(ABS(Z106/Y106)&gt;5,"N/A",Z106/Y106))</f>
        <v>-6.5155901836361899E-2</v>
      </c>
      <c r="AB106" s="104">
        <f>SUM(AB107:AB116)</f>
        <v>2427.0503899999994</v>
      </c>
      <c r="AC106" s="1"/>
      <c r="AD106" s="1"/>
      <c r="AE106" s="1"/>
      <c r="AF106" s="1"/>
      <c r="AG106" s="1"/>
      <c r="AH106" s="1"/>
      <c r="AI106" s="1"/>
    </row>
    <row r="107" spans="1:35" ht="14.25" hidden="1" outlineLevel="1" x14ac:dyDescent="0.2">
      <c r="A107" s="1"/>
      <c r="B107" s="3"/>
      <c r="C107" s="3"/>
      <c r="D107" s="3" t="s">
        <v>67</v>
      </c>
      <c r="E107" s="3" t="s">
        <v>51</v>
      </c>
      <c r="F107" s="3"/>
      <c r="G107" s="105">
        <f>0/1000*1</f>
        <v>0</v>
      </c>
      <c r="H107" s="106">
        <f>0.01/1000*1</f>
        <v>1.0000000000000001E-5</v>
      </c>
      <c r="I107" s="89">
        <f t="shared" si="41"/>
        <v>-1.0000000000000001E-5</v>
      </c>
      <c r="J107" s="26">
        <f t="shared" si="42"/>
        <v>-1</v>
      </c>
      <c r="K107" s="106">
        <f>0/1000*1</f>
        <v>0</v>
      </c>
      <c r="L107" s="89">
        <f t="shared" si="43"/>
        <v>0</v>
      </c>
      <c r="M107" s="27" t="str">
        <f t="shared" si="44"/>
        <v>N/A</v>
      </c>
      <c r="N107" s="105">
        <f>0/1000*1</f>
        <v>0</v>
      </c>
      <c r="O107" s="106">
        <f>0.01/1000*1</f>
        <v>1.0000000000000001E-5</v>
      </c>
      <c r="P107" s="89">
        <f t="shared" si="45"/>
        <v>-1.0000000000000001E-5</v>
      </c>
      <c r="Q107" s="26">
        <f t="shared" si="46"/>
        <v>-1</v>
      </c>
      <c r="R107" s="106">
        <f>0/1000*1</f>
        <v>0</v>
      </c>
      <c r="S107" s="89">
        <f t="shared" si="47"/>
        <v>0</v>
      </c>
      <c r="T107" s="27" t="str">
        <f t="shared" si="48"/>
        <v>N/A</v>
      </c>
      <c r="U107" s="105">
        <f>0/1000*1</f>
        <v>0</v>
      </c>
      <c r="V107" s="106">
        <f>0.01/1000*1</f>
        <v>1.0000000000000001E-5</v>
      </c>
      <c r="W107" s="89">
        <f t="shared" si="49"/>
        <v>-1.0000000000000001E-5</v>
      </c>
      <c r="X107" s="26">
        <f t="shared" si="50"/>
        <v>-1</v>
      </c>
      <c r="Y107" s="106">
        <f>0/1000*1</f>
        <v>0</v>
      </c>
      <c r="Z107" s="89">
        <f t="shared" si="51"/>
        <v>0</v>
      </c>
      <c r="AA107" s="27" t="str">
        <f t="shared" si="52"/>
        <v>N/A</v>
      </c>
      <c r="AB107" s="107">
        <f>0/1000*1</f>
        <v>0</v>
      </c>
      <c r="AC107" s="1"/>
      <c r="AD107" s="1"/>
      <c r="AE107" s="1"/>
      <c r="AF107" s="1"/>
      <c r="AG107" s="1"/>
      <c r="AH107" s="1"/>
      <c r="AI107" s="1"/>
    </row>
    <row r="108" spans="1:35" ht="14.25" hidden="1" outlineLevel="1" x14ac:dyDescent="0.2">
      <c r="A108" s="1"/>
      <c r="B108" s="3"/>
      <c r="C108" s="3"/>
      <c r="D108" s="3" t="s">
        <v>67</v>
      </c>
      <c r="E108" s="3" t="s">
        <v>51</v>
      </c>
      <c r="F108" s="3">
        <v>100</v>
      </c>
      <c r="G108" s="105">
        <f>21378.01/1000*1</f>
        <v>21.37801</v>
      </c>
      <c r="H108" s="106">
        <f>30429.37/1000*1</f>
        <v>30.429369999999999</v>
      </c>
      <c r="I108" s="89">
        <f t="shared" si="41"/>
        <v>-9.051359999999999</v>
      </c>
      <c r="J108" s="26">
        <f t="shared" si="42"/>
        <v>-0.29745472877026369</v>
      </c>
      <c r="K108" s="106">
        <f>0/1000*1</f>
        <v>0</v>
      </c>
      <c r="L108" s="89">
        <f t="shared" si="43"/>
        <v>-21.37801</v>
      </c>
      <c r="M108" s="27" t="str">
        <f t="shared" si="44"/>
        <v>N/A</v>
      </c>
      <c r="N108" s="105">
        <f>49374.58/1000*1</f>
        <v>49.374580000000002</v>
      </c>
      <c r="O108" s="106">
        <f>81225.32/1000*1</f>
        <v>81.225320000000011</v>
      </c>
      <c r="P108" s="89">
        <f t="shared" si="45"/>
        <v>-31.850740000000009</v>
      </c>
      <c r="Q108" s="26">
        <f t="shared" si="46"/>
        <v>-0.3921282181467553</v>
      </c>
      <c r="R108" s="106">
        <f>11471.83/1000*1</f>
        <v>11.471830000000001</v>
      </c>
      <c r="S108" s="89">
        <f t="shared" si="47"/>
        <v>-37.902749999999997</v>
      </c>
      <c r="T108" s="27">
        <f t="shared" si="48"/>
        <v>-3.3039846301767022</v>
      </c>
      <c r="U108" s="105">
        <f>113014.65/1000*1</f>
        <v>113.01464999999999</v>
      </c>
      <c r="V108" s="106">
        <f>139467.87/1000*1</f>
        <v>139.46787</v>
      </c>
      <c r="W108" s="89">
        <f t="shared" si="49"/>
        <v>-26.453220000000016</v>
      </c>
      <c r="X108" s="26">
        <f t="shared" si="50"/>
        <v>-0.18967250306468447</v>
      </c>
      <c r="Y108" s="106">
        <f>75111.9/1000*1</f>
        <v>75.111899999999991</v>
      </c>
      <c r="Z108" s="89">
        <f t="shared" si="51"/>
        <v>-37.902749999999997</v>
      </c>
      <c r="AA108" s="27">
        <f t="shared" si="52"/>
        <v>-0.50461711126998521</v>
      </c>
      <c r="AB108" s="107">
        <f>75111.9/1000*1</f>
        <v>75.111899999999991</v>
      </c>
      <c r="AC108" s="1"/>
      <c r="AD108" s="1"/>
      <c r="AE108" s="1"/>
      <c r="AF108" s="1"/>
      <c r="AG108" s="1"/>
      <c r="AH108" s="1"/>
      <c r="AI108" s="1"/>
    </row>
    <row r="109" spans="1:35" ht="14.25" hidden="1" outlineLevel="1" x14ac:dyDescent="0.2">
      <c r="A109" s="1"/>
      <c r="B109" s="3"/>
      <c r="C109" s="3"/>
      <c r="D109" s="3" t="s">
        <v>67</v>
      </c>
      <c r="E109" s="3" t="s">
        <v>51</v>
      </c>
      <c r="F109" s="3">
        <v>910</v>
      </c>
      <c r="G109" s="105">
        <f>0/1000*1</f>
        <v>0</v>
      </c>
      <c r="H109" s="106">
        <f>0/1000*1</f>
        <v>0</v>
      </c>
      <c r="I109" s="89">
        <f t="shared" si="41"/>
        <v>0</v>
      </c>
      <c r="J109" s="26" t="str">
        <f t="shared" si="42"/>
        <v>N/A</v>
      </c>
      <c r="K109" s="106">
        <f>0/1000*1</f>
        <v>0</v>
      </c>
      <c r="L109" s="89">
        <f t="shared" si="43"/>
        <v>0</v>
      </c>
      <c r="M109" s="27" t="str">
        <f t="shared" si="44"/>
        <v>N/A</v>
      </c>
      <c r="N109" s="105">
        <f>0/1000*1</f>
        <v>0</v>
      </c>
      <c r="O109" s="106">
        <f>0/1000*1</f>
        <v>0</v>
      </c>
      <c r="P109" s="89">
        <f t="shared" si="45"/>
        <v>0</v>
      </c>
      <c r="Q109" s="26" t="str">
        <f t="shared" si="46"/>
        <v>N/A</v>
      </c>
      <c r="R109" s="106">
        <f>0/1000*1</f>
        <v>0</v>
      </c>
      <c r="S109" s="89">
        <f t="shared" si="47"/>
        <v>0</v>
      </c>
      <c r="T109" s="27" t="str">
        <f t="shared" si="48"/>
        <v>N/A</v>
      </c>
      <c r="U109" s="105">
        <f>0/1000*1</f>
        <v>0</v>
      </c>
      <c r="V109" s="106">
        <f>0/1000*1</f>
        <v>0</v>
      </c>
      <c r="W109" s="89">
        <f t="shared" si="49"/>
        <v>0</v>
      </c>
      <c r="X109" s="26" t="str">
        <f t="shared" si="50"/>
        <v>N/A</v>
      </c>
      <c r="Y109" s="106">
        <f>0/1000*1</f>
        <v>0</v>
      </c>
      <c r="Z109" s="89">
        <f t="shared" si="51"/>
        <v>0</v>
      </c>
      <c r="AA109" s="27" t="str">
        <f t="shared" si="52"/>
        <v>N/A</v>
      </c>
      <c r="AB109" s="107">
        <f>0/1000*1</f>
        <v>0</v>
      </c>
      <c r="AC109" s="1"/>
      <c r="AD109" s="1"/>
      <c r="AE109" s="1"/>
      <c r="AF109" s="1"/>
      <c r="AG109" s="1"/>
      <c r="AH109" s="1"/>
      <c r="AI109" s="1"/>
    </row>
    <row r="110" spans="1:35" ht="14.25" hidden="1" outlineLevel="1" x14ac:dyDescent="0.2">
      <c r="A110" s="1"/>
      <c r="B110" s="3"/>
      <c r="C110" s="3"/>
      <c r="D110" s="3" t="s">
        <v>67</v>
      </c>
      <c r="E110" s="3" t="s">
        <v>51</v>
      </c>
      <c r="F110" s="3">
        <v>998</v>
      </c>
      <c r="G110" s="105">
        <f>390951.95/1000*1</f>
        <v>390.95195000000001</v>
      </c>
      <c r="H110" s="106">
        <f>396429.98/1000*1</f>
        <v>396.42998</v>
      </c>
      <c r="I110" s="89">
        <f t="shared" si="41"/>
        <v>-5.4780299999999897</v>
      </c>
      <c r="J110" s="26">
        <f t="shared" si="42"/>
        <v>-1.381840495514489E-2</v>
      </c>
      <c r="K110" s="106">
        <f>410701.24/1000*1</f>
        <v>410.70123999999998</v>
      </c>
      <c r="L110" s="89">
        <f t="shared" si="43"/>
        <v>19.749289999999974</v>
      </c>
      <c r="M110" s="27">
        <f t="shared" si="44"/>
        <v>4.8086755228691234E-2</v>
      </c>
      <c r="N110" s="105">
        <f>1153961.09/1000*1</f>
        <v>1153.96109</v>
      </c>
      <c r="O110" s="106">
        <f>977934.35/1000*1</f>
        <v>977.93434999999999</v>
      </c>
      <c r="P110" s="89">
        <f t="shared" si="45"/>
        <v>176.02674000000002</v>
      </c>
      <c r="Q110" s="26">
        <f t="shared" si="46"/>
        <v>0.17999852444082778</v>
      </c>
      <c r="R110" s="106">
        <f>1041769.78/1000*1</f>
        <v>1041.7697800000001</v>
      </c>
      <c r="S110" s="89">
        <f t="shared" si="47"/>
        <v>-112.19130999999993</v>
      </c>
      <c r="T110" s="27">
        <f t="shared" si="48"/>
        <v>-0.10769299719943874</v>
      </c>
      <c r="U110" s="105">
        <f>2212384.59/1000*1</f>
        <v>2212.3845899999997</v>
      </c>
      <c r="V110" s="106">
        <f>1531117.12/1000*1</f>
        <v>1531.1171200000001</v>
      </c>
      <c r="W110" s="89">
        <f t="shared" si="49"/>
        <v>681.26746999999955</v>
      </c>
      <c r="X110" s="26">
        <f t="shared" si="50"/>
        <v>0.44494798020415283</v>
      </c>
      <c r="Y110" s="106">
        <f>2100193.28/1000*1</f>
        <v>2100.19328</v>
      </c>
      <c r="Z110" s="89">
        <f t="shared" si="51"/>
        <v>-112.1913099999997</v>
      </c>
      <c r="AA110" s="27">
        <f t="shared" si="52"/>
        <v>-5.3419516702767331E-2</v>
      </c>
      <c r="AB110" s="107">
        <f>2254259.86/1000*1</f>
        <v>2254.2598599999997</v>
      </c>
      <c r="AC110" s="1"/>
      <c r="AD110" s="1"/>
      <c r="AE110" s="1"/>
      <c r="AF110" s="1"/>
      <c r="AG110" s="1"/>
      <c r="AH110" s="1"/>
      <c r="AI110" s="1"/>
    </row>
    <row r="111" spans="1:35" ht="14.25" hidden="1" outlineLevel="1" x14ac:dyDescent="0.2">
      <c r="A111" s="1"/>
      <c r="B111" s="3"/>
      <c r="C111" s="3"/>
      <c r="D111" s="3" t="s">
        <v>67</v>
      </c>
      <c r="E111" s="3" t="s">
        <v>69</v>
      </c>
      <c r="F111" s="3">
        <v>998</v>
      </c>
      <c r="G111" s="105">
        <f>150/1000*1</f>
        <v>0.15</v>
      </c>
      <c r="H111" s="106">
        <f>0/1000*1</f>
        <v>0</v>
      </c>
      <c r="I111" s="89">
        <f t="shared" si="41"/>
        <v>0.15</v>
      </c>
      <c r="J111" s="26" t="str">
        <f t="shared" si="42"/>
        <v>N/A</v>
      </c>
      <c r="K111" s="106">
        <f>0/1000*1</f>
        <v>0</v>
      </c>
      <c r="L111" s="89">
        <f t="shared" si="43"/>
        <v>-0.15</v>
      </c>
      <c r="M111" s="27" t="str">
        <f t="shared" si="44"/>
        <v>N/A</v>
      </c>
      <c r="N111" s="105">
        <f>150/1000*1</f>
        <v>0.15</v>
      </c>
      <c r="O111" s="106">
        <f>0/1000*1</f>
        <v>0</v>
      </c>
      <c r="P111" s="89">
        <f t="shared" si="45"/>
        <v>0.15</v>
      </c>
      <c r="Q111" s="26" t="str">
        <f t="shared" si="46"/>
        <v>N/A</v>
      </c>
      <c r="R111" s="106">
        <f>0/1000*1</f>
        <v>0</v>
      </c>
      <c r="S111" s="89">
        <f t="shared" si="47"/>
        <v>-0.15</v>
      </c>
      <c r="T111" s="27" t="str">
        <f t="shared" si="48"/>
        <v>N/A</v>
      </c>
      <c r="U111" s="105">
        <f>3676.81/1000*1</f>
        <v>3.6768100000000001</v>
      </c>
      <c r="V111" s="106">
        <f>9225/1000*1</f>
        <v>9.2249999999999996</v>
      </c>
      <c r="W111" s="89">
        <f t="shared" si="49"/>
        <v>-5.54819</v>
      </c>
      <c r="X111" s="26">
        <f t="shared" si="50"/>
        <v>-0.60142981029810305</v>
      </c>
      <c r="Y111" s="106">
        <f>3526.81/1000*1</f>
        <v>3.5268099999999998</v>
      </c>
      <c r="Z111" s="89">
        <f t="shared" si="51"/>
        <v>-0.15000000000000036</v>
      </c>
      <c r="AA111" s="27">
        <f t="shared" si="52"/>
        <v>-4.2531352695495468E-2</v>
      </c>
      <c r="AB111" s="107">
        <f>3526.81/1000*1</f>
        <v>3.5268099999999998</v>
      </c>
      <c r="AC111" s="1"/>
      <c r="AD111" s="1"/>
      <c r="AE111" s="1"/>
      <c r="AF111" s="1"/>
      <c r="AG111" s="1"/>
      <c r="AH111" s="1"/>
      <c r="AI111" s="1"/>
    </row>
    <row r="112" spans="1:35" ht="14.25" hidden="1" outlineLevel="1" x14ac:dyDescent="0.2">
      <c r="A112" s="1"/>
      <c r="B112" s="3"/>
      <c r="C112" s="3"/>
      <c r="D112" s="3" t="s">
        <v>67</v>
      </c>
      <c r="E112" s="3" t="s">
        <v>54</v>
      </c>
      <c r="F112" s="3">
        <v>998</v>
      </c>
      <c r="G112" s="105">
        <f>0/1000*1</f>
        <v>0</v>
      </c>
      <c r="H112" s="106">
        <f>0/1000*1</f>
        <v>0</v>
      </c>
      <c r="I112" s="89">
        <f t="shared" si="41"/>
        <v>0</v>
      </c>
      <c r="J112" s="26" t="str">
        <f t="shared" si="42"/>
        <v>N/A</v>
      </c>
      <c r="K112" s="106">
        <f>0/1000*1</f>
        <v>0</v>
      </c>
      <c r="L112" s="89">
        <f t="shared" si="43"/>
        <v>0</v>
      </c>
      <c r="M112" s="27" t="str">
        <f t="shared" si="44"/>
        <v>N/A</v>
      </c>
      <c r="N112" s="105">
        <f>0/1000*1</f>
        <v>0</v>
      </c>
      <c r="O112" s="106">
        <f>0/1000*1</f>
        <v>0</v>
      </c>
      <c r="P112" s="89">
        <f t="shared" si="45"/>
        <v>0</v>
      </c>
      <c r="Q112" s="26" t="str">
        <f t="shared" si="46"/>
        <v>N/A</v>
      </c>
      <c r="R112" s="106">
        <f>0/1000*1</f>
        <v>0</v>
      </c>
      <c r="S112" s="89">
        <f t="shared" si="47"/>
        <v>0</v>
      </c>
      <c r="T112" s="27" t="str">
        <f t="shared" si="48"/>
        <v>N/A</v>
      </c>
      <c r="U112" s="105">
        <f>0/1000*1</f>
        <v>0</v>
      </c>
      <c r="V112" s="106">
        <f>0/1000*1</f>
        <v>0</v>
      </c>
      <c r="W112" s="89">
        <f t="shared" si="49"/>
        <v>0</v>
      </c>
      <c r="X112" s="26" t="str">
        <f t="shared" si="50"/>
        <v>N/A</v>
      </c>
      <c r="Y112" s="106">
        <f>0/1000*1</f>
        <v>0</v>
      </c>
      <c r="Z112" s="89">
        <f t="shared" si="51"/>
        <v>0</v>
      </c>
      <c r="AA112" s="27" t="str">
        <f t="shared" si="52"/>
        <v>N/A</v>
      </c>
      <c r="AB112" s="107">
        <f>0/1000*1</f>
        <v>0</v>
      </c>
      <c r="AC112" s="1"/>
      <c r="AD112" s="1"/>
      <c r="AE112" s="1"/>
      <c r="AF112" s="1"/>
      <c r="AG112" s="1"/>
      <c r="AH112" s="1"/>
      <c r="AI112" s="1"/>
    </row>
    <row r="113" spans="1:35" ht="14.25" hidden="1" outlineLevel="1" x14ac:dyDescent="0.2">
      <c r="A113" s="1"/>
      <c r="B113" s="3"/>
      <c r="C113" s="3"/>
      <c r="D113" s="3" t="s">
        <v>67</v>
      </c>
      <c r="E113" s="3" t="s">
        <v>72</v>
      </c>
      <c r="F113" s="3">
        <v>998</v>
      </c>
      <c r="G113" s="105">
        <f>0/1000*1</f>
        <v>0</v>
      </c>
      <c r="H113" s="106">
        <f>0/1000*1</f>
        <v>0</v>
      </c>
      <c r="I113" s="89">
        <f t="shared" si="41"/>
        <v>0</v>
      </c>
      <c r="J113" s="26" t="str">
        <f t="shared" si="42"/>
        <v>N/A</v>
      </c>
      <c r="K113" s="106">
        <f>0/1000*1</f>
        <v>0</v>
      </c>
      <c r="L113" s="89">
        <f t="shared" si="43"/>
        <v>0</v>
      </c>
      <c r="M113" s="27" t="str">
        <f t="shared" si="44"/>
        <v>N/A</v>
      </c>
      <c r="N113" s="105">
        <f>0/1000*1</f>
        <v>0</v>
      </c>
      <c r="O113" s="106">
        <f>0/1000*1</f>
        <v>0</v>
      </c>
      <c r="P113" s="89">
        <f t="shared" si="45"/>
        <v>0</v>
      </c>
      <c r="Q113" s="26" t="str">
        <f t="shared" si="46"/>
        <v>N/A</v>
      </c>
      <c r="R113" s="106">
        <f>0/1000*1</f>
        <v>0</v>
      </c>
      <c r="S113" s="89">
        <f t="shared" si="47"/>
        <v>0</v>
      </c>
      <c r="T113" s="27" t="str">
        <f t="shared" si="48"/>
        <v>N/A</v>
      </c>
      <c r="U113" s="105">
        <f>225/1000*1</f>
        <v>0.22500000000000001</v>
      </c>
      <c r="V113" s="106">
        <f>225/1000*1</f>
        <v>0.22500000000000001</v>
      </c>
      <c r="W113" s="89">
        <f t="shared" si="49"/>
        <v>0</v>
      </c>
      <c r="X113" s="26">
        <f t="shared" si="50"/>
        <v>0</v>
      </c>
      <c r="Y113" s="106">
        <f>225/1000*1</f>
        <v>0.22500000000000001</v>
      </c>
      <c r="Z113" s="89">
        <f t="shared" si="51"/>
        <v>0</v>
      </c>
      <c r="AA113" s="27">
        <f t="shared" si="52"/>
        <v>0</v>
      </c>
      <c r="AB113" s="107">
        <f>225/1000*1</f>
        <v>0.22500000000000001</v>
      </c>
      <c r="AC113" s="1"/>
      <c r="AD113" s="1"/>
      <c r="AE113" s="1"/>
      <c r="AF113" s="1"/>
      <c r="AG113" s="1"/>
      <c r="AH113" s="1"/>
      <c r="AI113" s="1"/>
    </row>
    <row r="114" spans="1:35" ht="14.25" hidden="1" outlineLevel="1" x14ac:dyDescent="0.2">
      <c r="A114" s="1"/>
      <c r="B114" s="3"/>
      <c r="C114" s="3"/>
      <c r="D114" s="3" t="s">
        <v>67</v>
      </c>
      <c r="E114" s="3" t="s">
        <v>55</v>
      </c>
      <c r="F114" s="3">
        <v>998</v>
      </c>
      <c r="G114" s="105">
        <f>8.25/1000*1</f>
        <v>8.2500000000000004E-3</v>
      </c>
      <c r="H114" s="106">
        <f>0/1000*1</f>
        <v>0</v>
      </c>
      <c r="I114" s="89">
        <f t="shared" si="41"/>
        <v>8.2500000000000004E-3</v>
      </c>
      <c r="J114" s="26" t="str">
        <f t="shared" si="42"/>
        <v>N/A</v>
      </c>
      <c r="K114" s="106">
        <f>0/1000*1</f>
        <v>0</v>
      </c>
      <c r="L114" s="89">
        <f t="shared" si="43"/>
        <v>-8.2500000000000004E-3</v>
      </c>
      <c r="M114" s="27" t="str">
        <f t="shared" si="44"/>
        <v>N/A</v>
      </c>
      <c r="N114" s="105">
        <f>8.25/1000*1</f>
        <v>8.2500000000000004E-3</v>
      </c>
      <c r="O114" s="106">
        <f>0/1000*1</f>
        <v>0</v>
      </c>
      <c r="P114" s="89">
        <f t="shared" si="45"/>
        <v>8.2500000000000004E-3</v>
      </c>
      <c r="Q114" s="26" t="str">
        <f t="shared" si="46"/>
        <v>N/A</v>
      </c>
      <c r="R114" s="106">
        <f>0/1000*1</f>
        <v>0</v>
      </c>
      <c r="S114" s="89">
        <f t="shared" si="47"/>
        <v>-8.2500000000000004E-3</v>
      </c>
      <c r="T114" s="27" t="str">
        <f t="shared" si="48"/>
        <v>N/A</v>
      </c>
      <c r="U114" s="105">
        <f>39279.07/1000*1</f>
        <v>39.279069999999997</v>
      </c>
      <c r="V114" s="106">
        <f>0/1000*1</f>
        <v>0</v>
      </c>
      <c r="W114" s="89">
        <f t="shared" si="49"/>
        <v>39.279069999999997</v>
      </c>
      <c r="X114" s="26" t="str">
        <f t="shared" si="50"/>
        <v>N/A</v>
      </c>
      <c r="Y114" s="106">
        <f>39270.82/1000*1</f>
        <v>39.270820000000001</v>
      </c>
      <c r="Z114" s="89">
        <f t="shared" si="51"/>
        <v>-8.2499999999967599E-3</v>
      </c>
      <c r="AA114" s="27">
        <f t="shared" si="52"/>
        <v>-2.1007964692351113E-4</v>
      </c>
      <c r="AB114" s="107">
        <f>39270.82/1000*1</f>
        <v>39.270820000000001</v>
      </c>
      <c r="AC114" s="1"/>
      <c r="AD114" s="1"/>
      <c r="AE114" s="1"/>
      <c r="AF114" s="1"/>
      <c r="AG114" s="1"/>
      <c r="AH114" s="1"/>
      <c r="AI114" s="1"/>
    </row>
    <row r="115" spans="1:35" ht="14.25" hidden="1" outlineLevel="1" x14ac:dyDescent="0.2">
      <c r="A115" s="1"/>
      <c r="B115" s="3"/>
      <c r="C115" s="3"/>
      <c r="D115" s="3" t="s">
        <v>67</v>
      </c>
      <c r="E115" s="3" t="s">
        <v>57</v>
      </c>
      <c r="F115" s="3">
        <v>998</v>
      </c>
      <c r="G115" s="105">
        <f>-26077/1000*1</f>
        <v>-26.077000000000002</v>
      </c>
      <c r="H115" s="106">
        <f>125000/1000*1</f>
        <v>125</v>
      </c>
      <c r="I115" s="89">
        <f t="shared" si="41"/>
        <v>-151.077</v>
      </c>
      <c r="J115" s="26">
        <f t="shared" si="42"/>
        <v>-1.2086159999999999</v>
      </c>
      <c r="K115" s="106">
        <f>0/1000*1</f>
        <v>0</v>
      </c>
      <c r="L115" s="89">
        <f t="shared" si="43"/>
        <v>26.077000000000002</v>
      </c>
      <c r="M115" s="27" t="str">
        <f t="shared" si="44"/>
        <v>N/A</v>
      </c>
      <c r="N115" s="105">
        <f>72653/1000*1</f>
        <v>72.653000000000006</v>
      </c>
      <c r="O115" s="106">
        <f>125000/1000*1</f>
        <v>125</v>
      </c>
      <c r="P115" s="89">
        <f t="shared" si="45"/>
        <v>-52.346999999999994</v>
      </c>
      <c r="Q115" s="26">
        <f t="shared" si="46"/>
        <v>-0.41877599999999993</v>
      </c>
      <c r="R115" s="106">
        <f>74807/1000*1</f>
        <v>74.807000000000002</v>
      </c>
      <c r="S115" s="89">
        <f t="shared" si="47"/>
        <v>2.1539999999999964</v>
      </c>
      <c r="T115" s="27">
        <f t="shared" si="48"/>
        <v>2.879409680912209E-2</v>
      </c>
      <c r="U115" s="105">
        <f>52502/1000*1</f>
        <v>52.502000000000002</v>
      </c>
      <c r="V115" s="106">
        <f>100116/1000*1</f>
        <v>100.116</v>
      </c>
      <c r="W115" s="89">
        <f t="shared" si="49"/>
        <v>-47.613999999999997</v>
      </c>
      <c r="X115" s="26">
        <f t="shared" si="50"/>
        <v>-0.47558831755164005</v>
      </c>
      <c r="Y115" s="106">
        <f>54656/1000*1</f>
        <v>54.655999999999999</v>
      </c>
      <c r="Z115" s="89">
        <f t="shared" si="51"/>
        <v>2.1539999999999964</v>
      </c>
      <c r="AA115" s="27">
        <f t="shared" si="52"/>
        <v>3.9410128805620545E-2</v>
      </c>
      <c r="AB115" s="107">
        <f>54656/1000*1</f>
        <v>54.655999999999999</v>
      </c>
      <c r="AC115" s="1"/>
      <c r="AD115" s="1"/>
      <c r="AE115" s="1"/>
      <c r="AF115" s="1"/>
      <c r="AG115" s="1"/>
      <c r="AH115" s="1"/>
      <c r="AI115" s="1"/>
    </row>
    <row r="116" spans="1:35" ht="14.25" hidden="1" outlineLevel="1" x14ac:dyDescent="0.2">
      <c r="A116" s="1"/>
      <c r="B116" s="3"/>
      <c r="C116" s="3"/>
      <c r="D116" s="3"/>
      <c r="E116" s="3"/>
      <c r="F116" s="3"/>
      <c r="G116" s="105"/>
      <c r="H116" s="106"/>
      <c r="I116" s="89"/>
      <c r="J116" s="26"/>
      <c r="K116" s="106"/>
      <c r="L116" s="89"/>
      <c r="M116" s="27"/>
      <c r="N116" s="105"/>
      <c r="O116" s="106"/>
      <c r="P116" s="89"/>
      <c r="Q116" s="26"/>
      <c r="R116" s="106"/>
      <c r="S116" s="89"/>
      <c r="T116" s="27"/>
      <c r="U116" s="105"/>
      <c r="V116" s="106"/>
      <c r="W116" s="89"/>
      <c r="X116" s="26"/>
      <c r="Y116" s="106"/>
      <c r="Z116" s="89"/>
      <c r="AA116" s="27"/>
      <c r="AB116" s="107"/>
      <c r="AC116" s="1"/>
      <c r="AD116" s="1"/>
      <c r="AE116" s="1"/>
      <c r="AF116" s="1"/>
      <c r="AG116" s="1"/>
      <c r="AH116" s="1"/>
      <c r="AI116" s="1"/>
    </row>
    <row r="117" spans="1:35" ht="14.25" hidden="1" outlineLevel="1" x14ac:dyDescent="0.2">
      <c r="A117" s="1"/>
      <c r="B117" s="3"/>
      <c r="C117" s="3"/>
      <c r="D117" s="3"/>
      <c r="E117" s="3"/>
      <c r="F117" s="3"/>
      <c r="G117" s="105"/>
      <c r="H117" s="106"/>
      <c r="I117" s="89"/>
      <c r="J117" s="26"/>
      <c r="K117" s="106"/>
      <c r="L117" s="89"/>
      <c r="M117" s="27"/>
      <c r="N117" s="105"/>
      <c r="O117" s="106"/>
      <c r="P117" s="89"/>
      <c r="Q117" s="26"/>
      <c r="R117" s="106"/>
      <c r="S117" s="89"/>
      <c r="T117" s="27"/>
      <c r="U117" s="105"/>
      <c r="V117" s="106"/>
      <c r="W117" s="89"/>
      <c r="X117" s="26"/>
      <c r="Y117" s="106"/>
      <c r="Z117" s="89"/>
      <c r="AA117" s="27"/>
      <c r="AB117" s="107"/>
      <c r="AC117" s="1"/>
      <c r="AD117" s="1"/>
      <c r="AE117" s="1"/>
      <c r="AF117" s="1"/>
      <c r="AG117" s="1"/>
      <c r="AH117" s="1"/>
      <c r="AI117" s="1"/>
    </row>
    <row r="118" spans="1:35" ht="14.25" collapsed="1" x14ac:dyDescent="0.2">
      <c r="A118" s="1"/>
      <c r="B118" s="3" t="s">
        <v>73</v>
      </c>
      <c r="C118" s="3"/>
      <c r="D118" s="3"/>
      <c r="E118" s="3"/>
      <c r="F118" s="3"/>
      <c r="G118" s="102">
        <f>SUM(G119:G145)</f>
        <v>-555.26060999999982</v>
      </c>
      <c r="H118" s="103">
        <f>SUM(H119:H145)</f>
        <v>1965.9774499999999</v>
      </c>
      <c r="I118" s="89">
        <f t="shared" ref="I118:I144" si="53">G118-H118</f>
        <v>-2521.2380599999997</v>
      </c>
      <c r="J118" s="26">
        <f t="shared" ref="J118:J144" si="54">IF(ISERROR(I118/H118),"N/A",IF(ABS(I118/H118)&gt;5,"N/A",I118/H118))</f>
        <v>-1.2824348824550351</v>
      </c>
      <c r="K118" s="103">
        <f>SUM(K119:K145)</f>
        <v>2179.4389999999999</v>
      </c>
      <c r="L118" s="89">
        <f t="shared" ref="L118:L144" si="55">K118-G118</f>
        <v>2734.6996099999997</v>
      </c>
      <c r="M118" s="27">
        <f t="shared" ref="M118:M144" si="56">IF(ISERROR(L118/K118),"N/A",IF(ABS(L118/K118)&gt;5,"N/A",L118/K118))</f>
        <v>1.2547722647892416</v>
      </c>
      <c r="N118" s="102">
        <f>SUM(N119:N145)</f>
        <v>-555.26060999999982</v>
      </c>
      <c r="O118" s="103">
        <f>SUM(O119:O145)</f>
        <v>1965.9774499999999</v>
      </c>
      <c r="P118" s="89">
        <f t="shared" ref="P118:P144" si="57">N118-O118</f>
        <v>-2521.2380599999997</v>
      </c>
      <c r="Q118" s="26">
        <f t="shared" ref="Q118:Q144" si="58">IF(ISERROR(P118/O118),"N/A",IF(ABS(P118/O118)&gt;5,"N/A",P118/O118))</f>
        <v>-1.2824348824550351</v>
      </c>
      <c r="R118" s="103">
        <f>SUM(R119:R145)</f>
        <v>2179.4389999999999</v>
      </c>
      <c r="S118" s="89">
        <f t="shared" ref="S118:S144" si="59">R118-N118</f>
        <v>2734.6996099999997</v>
      </c>
      <c r="T118" s="27">
        <f t="shared" ref="T118:T144" si="60">IF(ISERROR(S118/R118),"N/A",IF(ABS(S118/R118)&gt;5,"N/A",S118/R118))</f>
        <v>1.2547722647892416</v>
      </c>
      <c r="U118" s="102">
        <f>SUM(U119:U145)</f>
        <v>4633.3575200000005</v>
      </c>
      <c r="V118" s="108">
        <f>SUM(V119:V145)</f>
        <v>2019.9587199999999</v>
      </c>
      <c r="W118" s="89">
        <f t="shared" ref="W118:W144" si="61">U118-V118</f>
        <v>2613.3988000000008</v>
      </c>
      <c r="X118" s="26">
        <f t="shared" ref="X118:X144" si="62">IF(ISERROR(W118/V118),"N/A",IF(ABS(W118/V118)&gt;5,"N/A",W118/V118))</f>
        <v>1.2937882215731622</v>
      </c>
      <c r="Y118" s="103">
        <f>SUM(Y119:Y145)</f>
        <v>7368.0571300000001</v>
      </c>
      <c r="Z118" s="89">
        <f t="shared" ref="Z118:Z144" si="63">Y118-U118</f>
        <v>2734.6996099999997</v>
      </c>
      <c r="AA118" s="27">
        <f t="shared" ref="AA118:AA144" si="64">IF(ISERROR(Z118/Y118),"N/A",IF(ABS(Z118/Y118)&gt;5,"N/A",Z118/Y118))</f>
        <v>0.37115613543023651</v>
      </c>
      <c r="AB118" s="104">
        <f>SUM(AB119:AB145)</f>
        <v>12964.754130000001</v>
      </c>
      <c r="AC118" s="1"/>
      <c r="AD118" s="1"/>
      <c r="AE118" s="1"/>
      <c r="AF118" s="1"/>
      <c r="AG118" s="1"/>
      <c r="AH118" s="1"/>
      <c r="AI118" s="1"/>
    </row>
    <row r="119" spans="1:35" ht="14.25" hidden="1" outlineLevel="1" x14ac:dyDescent="0.2">
      <c r="A119" s="1"/>
      <c r="B119" s="3"/>
      <c r="C119" s="3"/>
      <c r="D119" s="3" t="s">
        <v>67</v>
      </c>
      <c r="E119" s="3" t="s">
        <v>51</v>
      </c>
      <c r="F119" s="3">
        <v>641</v>
      </c>
      <c r="G119" s="105">
        <f>106172.67/1000*1</f>
        <v>106.17267</v>
      </c>
      <c r="H119" s="106">
        <f>-265566.15/1000*1</f>
        <v>-265.56615000000005</v>
      </c>
      <c r="I119" s="89">
        <f t="shared" si="53"/>
        <v>371.73882000000003</v>
      </c>
      <c r="J119" s="26">
        <f t="shared" si="54"/>
        <v>-1.3997974515953933</v>
      </c>
      <c r="K119" s="106">
        <f>145956/1000*1</f>
        <v>145.95599999999999</v>
      </c>
      <c r="L119" s="89">
        <f t="shared" si="55"/>
        <v>39.783329999999992</v>
      </c>
      <c r="M119" s="27">
        <f t="shared" si="56"/>
        <v>0.27257070624023677</v>
      </c>
      <c r="N119" s="105">
        <f>106172.67/1000*1</f>
        <v>106.17267</v>
      </c>
      <c r="O119" s="106">
        <f>-265566.15/1000*1</f>
        <v>-265.56615000000005</v>
      </c>
      <c r="P119" s="89">
        <f t="shared" si="57"/>
        <v>371.73882000000003</v>
      </c>
      <c r="Q119" s="26">
        <f t="shared" si="58"/>
        <v>-1.3997974515953933</v>
      </c>
      <c r="R119" s="106">
        <f>145956/1000*1</f>
        <v>145.95599999999999</v>
      </c>
      <c r="S119" s="89">
        <f t="shared" si="59"/>
        <v>39.783329999999992</v>
      </c>
      <c r="T119" s="27">
        <f t="shared" si="60"/>
        <v>0.27257070624023677</v>
      </c>
      <c r="U119" s="105">
        <f>280644.8/1000*1</f>
        <v>280.64479999999998</v>
      </c>
      <c r="V119" s="106">
        <f>-2145708.63/1000*1</f>
        <v>-2145.7086300000001</v>
      </c>
      <c r="W119" s="89">
        <f t="shared" si="61"/>
        <v>2426.3534300000001</v>
      </c>
      <c r="X119" s="26">
        <f t="shared" si="62"/>
        <v>-1.1307935271714875</v>
      </c>
      <c r="Y119" s="106">
        <f>320428.13/1000*1</f>
        <v>320.42813000000001</v>
      </c>
      <c r="Z119" s="89">
        <f t="shared" si="63"/>
        <v>39.783330000000035</v>
      </c>
      <c r="AA119" s="27">
        <f t="shared" si="64"/>
        <v>0.1241567960965226</v>
      </c>
      <c r="AB119" s="107">
        <f>709646.13/1000*1</f>
        <v>709.64612999999997</v>
      </c>
      <c r="AC119" s="1"/>
      <c r="AD119" s="1"/>
      <c r="AE119" s="1"/>
      <c r="AF119" s="1"/>
      <c r="AG119" s="1"/>
      <c r="AH119" s="1"/>
      <c r="AI119" s="1"/>
    </row>
    <row r="120" spans="1:35" ht="14.25" hidden="1" outlineLevel="1" x14ac:dyDescent="0.2">
      <c r="A120" s="1"/>
      <c r="B120" s="3"/>
      <c r="C120" s="3"/>
      <c r="D120" s="3" t="s">
        <v>67</v>
      </c>
      <c r="E120" s="3" t="s">
        <v>51</v>
      </c>
      <c r="F120" s="3">
        <v>810</v>
      </c>
      <c r="G120" s="105">
        <f>-2408.54/1000*1</f>
        <v>-2.4085399999999999</v>
      </c>
      <c r="H120" s="106">
        <f>82168.01/1000*1</f>
        <v>82.168009999999995</v>
      </c>
      <c r="I120" s="89">
        <f t="shared" si="53"/>
        <v>-84.576549999999997</v>
      </c>
      <c r="J120" s="26">
        <f t="shared" si="54"/>
        <v>-1.0293123808158431</v>
      </c>
      <c r="K120" s="106">
        <f>50332/1000*1</f>
        <v>50.332000000000001</v>
      </c>
      <c r="L120" s="89">
        <f t="shared" si="55"/>
        <v>52.740540000000003</v>
      </c>
      <c r="M120" s="27">
        <f t="shared" si="56"/>
        <v>1.0478530557100851</v>
      </c>
      <c r="N120" s="105">
        <f>-2408.54/1000*1</f>
        <v>-2.4085399999999999</v>
      </c>
      <c r="O120" s="106">
        <f>82168.01/1000*1</f>
        <v>82.168009999999995</v>
      </c>
      <c r="P120" s="89">
        <f t="shared" si="57"/>
        <v>-84.576549999999997</v>
      </c>
      <c r="Q120" s="26">
        <f t="shared" si="58"/>
        <v>-1.0293123808158431</v>
      </c>
      <c r="R120" s="106">
        <f>50332/1000*1</f>
        <v>50.332000000000001</v>
      </c>
      <c r="S120" s="89">
        <f t="shared" si="59"/>
        <v>52.740540000000003</v>
      </c>
      <c r="T120" s="27">
        <f t="shared" si="60"/>
        <v>1.0478530557100851</v>
      </c>
      <c r="U120" s="105">
        <f>-2408.54/1000*1</f>
        <v>-2.4085399999999999</v>
      </c>
      <c r="V120" s="106">
        <f>176935.47/1000*1</f>
        <v>176.93547000000001</v>
      </c>
      <c r="W120" s="89">
        <f t="shared" si="61"/>
        <v>-179.34401</v>
      </c>
      <c r="X120" s="26">
        <f t="shared" si="62"/>
        <v>-1.0136125334281474</v>
      </c>
      <c r="Y120" s="106">
        <f>50332/1000*1</f>
        <v>50.332000000000001</v>
      </c>
      <c r="Z120" s="89">
        <f t="shared" si="63"/>
        <v>52.740540000000003</v>
      </c>
      <c r="AA120" s="27">
        <f t="shared" si="64"/>
        <v>1.0478530557100851</v>
      </c>
      <c r="AB120" s="107">
        <f>184550/1000*1</f>
        <v>184.55</v>
      </c>
      <c r="AC120" s="1"/>
      <c r="AD120" s="1"/>
      <c r="AE120" s="1"/>
      <c r="AF120" s="1"/>
      <c r="AG120" s="1"/>
      <c r="AH120" s="1"/>
      <c r="AI120" s="1"/>
    </row>
    <row r="121" spans="1:35" ht="14.25" hidden="1" outlineLevel="1" x14ac:dyDescent="0.2">
      <c r="A121" s="1"/>
      <c r="B121" s="3"/>
      <c r="C121" s="3"/>
      <c r="D121" s="3" t="s">
        <v>67</v>
      </c>
      <c r="E121" s="3" t="s">
        <v>51</v>
      </c>
      <c r="F121" s="3">
        <v>811</v>
      </c>
      <c r="G121" s="105">
        <f>-3907.21/1000*1</f>
        <v>-3.9072100000000001</v>
      </c>
      <c r="H121" s="106">
        <f>2255.87/1000*1</f>
        <v>2.2558699999999998</v>
      </c>
      <c r="I121" s="89">
        <f t="shared" si="53"/>
        <v>-6.1630799999999999</v>
      </c>
      <c r="J121" s="26">
        <f t="shared" si="54"/>
        <v>-2.7320191323081562</v>
      </c>
      <c r="K121" s="106">
        <f>2241/1000*1</f>
        <v>2.2410000000000001</v>
      </c>
      <c r="L121" s="89">
        <f t="shared" si="55"/>
        <v>6.1482100000000006</v>
      </c>
      <c r="M121" s="27">
        <f t="shared" si="56"/>
        <v>2.7435118250780901</v>
      </c>
      <c r="N121" s="105">
        <f>-3907.21/1000*1</f>
        <v>-3.9072100000000001</v>
      </c>
      <c r="O121" s="106">
        <f>2255.87/1000*1</f>
        <v>2.2558699999999998</v>
      </c>
      <c r="P121" s="89">
        <f t="shared" si="57"/>
        <v>-6.1630799999999999</v>
      </c>
      <c r="Q121" s="26">
        <f t="shared" si="58"/>
        <v>-2.7320191323081562</v>
      </c>
      <c r="R121" s="106">
        <f>2241/1000*1</f>
        <v>2.2410000000000001</v>
      </c>
      <c r="S121" s="89">
        <f t="shared" si="59"/>
        <v>6.1482100000000006</v>
      </c>
      <c r="T121" s="27">
        <f t="shared" si="60"/>
        <v>2.7435118250780901</v>
      </c>
      <c r="U121" s="105">
        <f>-2215.08/1000*1</f>
        <v>-2.2150799999999999</v>
      </c>
      <c r="V121" s="106">
        <f>4511.76/1000*1</f>
        <v>4.5117600000000007</v>
      </c>
      <c r="W121" s="89">
        <f t="shared" si="61"/>
        <v>-6.726840000000001</v>
      </c>
      <c r="X121" s="26">
        <f t="shared" si="62"/>
        <v>-1.4909569657960531</v>
      </c>
      <c r="Y121" s="106">
        <f>3933.13/1000*1</f>
        <v>3.9331300000000002</v>
      </c>
      <c r="Z121" s="89">
        <f t="shared" si="63"/>
        <v>6.1482100000000006</v>
      </c>
      <c r="AA121" s="27">
        <f t="shared" si="64"/>
        <v>1.5631850460066157</v>
      </c>
      <c r="AB121" s="107">
        <f>9376.13/1000*1</f>
        <v>9.3761299999999999</v>
      </c>
      <c r="AC121" s="1"/>
      <c r="AD121" s="1"/>
      <c r="AE121" s="1"/>
      <c r="AF121" s="1"/>
      <c r="AG121" s="1"/>
      <c r="AH121" s="1"/>
      <c r="AI121" s="1"/>
    </row>
    <row r="122" spans="1:35" ht="14.25" hidden="1" outlineLevel="1" x14ac:dyDescent="0.2">
      <c r="A122" s="1"/>
      <c r="B122" s="3"/>
      <c r="C122" s="3"/>
      <c r="D122" s="3" t="s">
        <v>67</v>
      </c>
      <c r="E122" s="3" t="s">
        <v>51</v>
      </c>
      <c r="F122" s="3">
        <v>815</v>
      </c>
      <c r="G122" s="105">
        <f>-388.41/1000*1</f>
        <v>-0.38841000000000003</v>
      </c>
      <c r="H122" s="106">
        <f>28630.01/1000*1</f>
        <v>28.630009999999999</v>
      </c>
      <c r="I122" s="89">
        <f t="shared" si="53"/>
        <v>-29.018419999999999</v>
      </c>
      <c r="J122" s="26">
        <f t="shared" si="54"/>
        <v>-1.0135665338573057</v>
      </c>
      <c r="K122" s="106">
        <f>11628/1000*1</f>
        <v>11.628</v>
      </c>
      <c r="L122" s="89">
        <f t="shared" si="55"/>
        <v>12.01641</v>
      </c>
      <c r="M122" s="27">
        <f t="shared" si="56"/>
        <v>1.0334029927760577</v>
      </c>
      <c r="N122" s="105">
        <f>-388.41/1000*1</f>
        <v>-0.38841000000000003</v>
      </c>
      <c r="O122" s="106">
        <f>28630.01/1000*1</f>
        <v>28.630009999999999</v>
      </c>
      <c r="P122" s="89">
        <f t="shared" si="57"/>
        <v>-29.018419999999999</v>
      </c>
      <c r="Q122" s="26">
        <f t="shared" si="58"/>
        <v>-1.0135665338573057</v>
      </c>
      <c r="R122" s="106">
        <f>11628/1000*1</f>
        <v>11.628</v>
      </c>
      <c r="S122" s="89">
        <f t="shared" si="59"/>
        <v>12.01641</v>
      </c>
      <c r="T122" s="27">
        <f t="shared" si="60"/>
        <v>1.0334029927760577</v>
      </c>
      <c r="U122" s="105">
        <f>4822.52/1000*1</f>
        <v>4.8225200000000008</v>
      </c>
      <c r="V122" s="106">
        <f>57260.02/1000*1</f>
        <v>57.260019999999997</v>
      </c>
      <c r="W122" s="89">
        <f t="shared" si="61"/>
        <v>-52.4375</v>
      </c>
      <c r="X122" s="26">
        <f t="shared" si="62"/>
        <v>-0.9157785833815637</v>
      </c>
      <c r="Y122" s="106">
        <f>16838.93/1000*1</f>
        <v>16.838930000000001</v>
      </c>
      <c r="Z122" s="89">
        <f t="shared" si="63"/>
        <v>12.01641</v>
      </c>
      <c r="AA122" s="27">
        <f t="shared" si="64"/>
        <v>0.71360888132440714</v>
      </c>
      <c r="AB122" s="107">
        <f>47313.93/1000*1</f>
        <v>47.313929999999999</v>
      </c>
      <c r="AC122" s="1"/>
      <c r="AD122" s="1"/>
      <c r="AE122" s="1"/>
      <c r="AF122" s="1"/>
      <c r="AG122" s="1"/>
      <c r="AH122" s="1"/>
      <c r="AI122" s="1"/>
    </row>
    <row r="123" spans="1:35" ht="14.25" hidden="1" outlineLevel="1" x14ac:dyDescent="0.2">
      <c r="A123" s="1"/>
      <c r="B123" s="3"/>
      <c r="C123" s="3"/>
      <c r="D123" s="3" t="s">
        <v>67</v>
      </c>
      <c r="E123" s="3" t="s">
        <v>51</v>
      </c>
      <c r="F123" s="3">
        <v>830</v>
      </c>
      <c r="G123" s="105">
        <f>-74211.65/1000*1</f>
        <v>-74.211649999999992</v>
      </c>
      <c r="H123" s="106">
        <f>119708.83/1000*1</f>
        <v>119.70883000000001</v>
      </c>
      <c r="I123" s="89">
        <f t="shared" si="53"/>
        <v>-193.92048</v>
      </c>
      <c r="J123" s="26">
        <f t="shared" si="54"/>
        <v>-1.619934636400673</v>
      </c>
      <c r="K123" s="106">
        <f>120930/1000*1</f>
        <v>120.93</v>
      </c>
      <c r="L123" s="89">
        <f t="shared" si="55"/>
        <v>195.14165</v>
      </c>
      <c r="M123" s="27">
        <f t="shared" si="56"/>
        <v>1.6136744397585379</v>
      </c>
      <c r="N123" s="105">
        <f>-74211.65/1000*1</f>
        <v>-74.211649999999992</v>
      </c>
      <c r="O123" s="106">
        <f>119708.83/1000*1</f>
        <v>119.70883000000001</v>
      </c>
      <c r="P123" s="89">
        <f t="shared" si="57"/>
        <v>-193.92048</v>
      </c>
      <c r="Q123" s="26">
        <f t="shared" si="58"/>
        <v>-1.619934636400673</v>
      </c>
      <c r="R123" s="106">
        <f>120930/1000*1</f>
        <v>120.93</v>
      </c>
      <c r="S123" s="89">
        <f t="shared" si="59"/>
        <v>195.14165</v>
      </c>
      <c r="T123" s="27">
        <f t="shared" si="60"/>
        <v>1.6136744397585379</v>
      </c>
      <c r="U123" s="105">
        <f>64842.12/1000*1</f>
        <v>64.842120000000008</v>
      </c>
      <c r="V123" s="106">
        <f>253889.18/1000*1</f>
        <v>253.88917999999998</v>
      </c>
      <c r="W123" s="89">
        <f t="shared" si="61"/>
        <v>-189.04705999999999</v>
      </c>
      <c r="X123" s="26">
        <f t="shared" si="62"/>
        <v>-0.74460463419512402</v>
      </c>
      <c r="Y123" s="106">
        <f>259983.77/1000*1</f>
        <v>259.98376999999999</v>
      </c>
      <c r="Z123" s="89">
        <f t="shared" si="63"/>
        <v>195.14164999999997</v>
      </c>
      <c r="AA123" s="27">
        <f t="shared" si="64"/>
        <v>0.75059166193335825</v>
      </c>
      <c r="AB123" s="107">
        <f>566167.77/1000*1</f>
        <v>566.16777000000002</v>
      </c>
      <c r="AC123" s="1"/>
      <c r="AD123" s="1"/>
      <c r="AE123" s="1"/>
      <c r="AF123" s="1"/>
      <c r="AG123" s="1"/>
      <c r="AH123" s="1"/>
      <c r="AI123" s="1"/>
    </row>
    <row r="124" spans="1:35" ht="14.25" hidden="1" outlineLevel="1" x14ac:dyDescent="0.2">
      <c r="A124" s="1"/>
      <c r="B124" s="3"/>
      <c r="C124" s="3"/>
      <c r="D124" s="3" t="s">
        <v>67</v>
      </c>
      <c r="E124" s="3" t="s">
        <v>51</v>
      </c>
      <c r="F124" s="3">
        <v>831</v>
      </c>
      <c r="G124" s="105">
        <f>-135677.55/1000*1</f>
        <v>-135.67755</v>
      </c>
      <c r="H124" s="106">
        <f>85725.36/1000*1</f>
        <v>85.725359999999995</v>
      </c>
      <c r="I124" s="89">
        <f t="shared" si="53"/>
        <v>-221.40290999999999</v>
      </c>
      <c r="J124" s="26">
        <f t="shared" si="54"/>
        <v>-2.5827002651257458</v>
      </c>
      <c r="K124" s="106">
        <f>133877/1000*1</f>
        <v>133.87700000000001</v>
      </c>
      <c r="L124" s="89">
        <f t="shared" si="55"/>
        <v>269.55455000000001</v>
      </c>
      <c r="M124" s="27">
        <f t="shared" si="56"/>
        <v>2.013449285538218</v>
      </c>
      <c r="N124" s="105">
        <f>-135677.55/1000*1</f>
        <v>-135.67755</v>
      </c>
      <c r="O124" s="106">
        <f>85725.36/1000*1</f>
        <v>85.725359999999995</v>
      </c>
      <c r="P124" s="89">
        <f t="shared" si="57"/>
        <v>-221.40290999999999</v>
      </c>
      <c r="Q124" s="26">
        <f t="shared" si="58"/>
        <v>-2.5827002651257458</v>
      </c>
      <c r="R124" s="106">
        <f>133877/1000*1</f>
        <v>133.87700000000001</v>
      </c>
      <c r="S124" s="89">
        <f t="shared" si="59"/>
        <v>269.55455000000001</v>
      </c>
      <c r="T124" s="27">
        <f t="shared" si="60"/>
        <v>2.013449285538218</v>
      </c>
      <c r="U124" s="105">
        <f>-70324.15/1000*1</f>
        <v>-70.324149999999989</v>
      </c>
      <c r="V124" s="106">
        <f>123876/1000*1</f>
        <v>123.876</v>
      </c>
      <c r="W124" s="89">
        <f t="shared" si="61"/>
        <v>-194.20015000000001</v>
      </c>
      <c r="X124" s="26">
        <f t="shared" si="62"/>
        <v>-1.5676979398753592</v>
      </c>
      <c r="Y124" s="106">
        <f>199230.4/1000*1</f>
        <v>199.2304</v>
      </c>
      <c r="Z124" s="89">
        <f t="shared" si="63"/>
        <v>269.55455000000001</v>
      </c>
      <c r="AA124" s="27">
        <f t="shared" si="64"/>
        <v>1.3529790132429589</v>
      </c>
      <c r="AB124" s="107">
        <f>526741.4/1000*1</f>
        <v>526.7414</v>
      </c>
      <c r="AC124" s="1"/>
      <c r="AD124" s="1"/>
      <c r="AE124" s="1"/>
      <c r="AF124" s="1"/>
      <c r="AG124" s="1"/>
      <c r="AH124" s="1"/>
      <c r="AI124" s="1"/>
    </row>
    <row r="125" spans="1:35" ht="14.25" hidden="1" outlineLevel="1" x14ac:dyDescent="0.2">
      <c r="A125" s="1"/>
      <c r="B125" s="3"/>
      <c r="C125" s="3"/>
      <c r="D125" s="3" t="s">
        <v>67</v>
      </c>
      <c r="E125" s="3" t="s">
        <v>51</v>
      </c>
      <c r="F125" s="3">
        <v>840</v>
      </c>
      <c r="G125" s="105">
        <f>-19254.35/1000*1</f>
        <v>-19.254349999999999</v>
      </c>
      <c r="H125" s="106">
        <f>9171.31/1000*1</f>
        <v>9.1713100000000001</v>
      </c>
      <c r="I125" s="89">
        <f t="shared" si="53"/>
        <v>-28.425660000000001</v>
      </c>
      <c r="J125" s="26">
        <f t="shared" si="54"/>
        <v>-3.0994110983054766</v>
      </c>
      <c r="K125" s="106">
        <f>8465/1000*1</f>
        <v>8.4649999999999999</v>
      </c>
      <c r="L125" s="89">
        <f t="shared" si="55"/>
        <v>27.719349999999999</v>
      </c>
      <c r="M125" s="27">
        <f t="shared" si="56"/>
        <v>3.2745835794447724</v>
      </c>
      <c r="N125" s="105">
        <f>-19254.35/1000*1</f>
        <v>-19.254349999999999</v>
      </c>
      <c r="O125" s="106">
        <f>9171.31/1000*1</f>
        <v>9.1713100000000001</v>
      </c>
      <c r="P125" s="89">
        <f t="shared" si="57"/>
        <v>-28.425660000000001</v>
      </c>
      <c r="Q125" s="26">
        <f t="shared" si="58"/>
        <v>-3.0994110983054766</v>
      </c>
      <c r="R125" s="106">
        <f>8465/1000*1</f>
        <v>8.4649999999999999</v>
      </c>
      <c r="S125" s="89">
        <f t="shared" si="59"/>
        <v>27.719349999999999</v>
      </c>
      <c r="T125" s="27">
        <f t="shared" si="60"/>
        <v>3.2745835794447724</v>
      </c>
      <c r="U125" s="105">
        <f>-10532.4/1000*1</f>
        <v>-10.532399999999999</v>
      </c>
      <c r="V125" s="106">
        <f>18342.65/1000*1</f>
        <v>18.342650000000003</v>
      </c>
      <c r="W125" s="89">
        <f t="shared" si="61"/>
        <v>-28.875050000000002</v>
      </c>
      <c r="X125" s="26">
        <f t="shared" si="62"/>
        <v>-1.574202746059048</v>
      </c>
      <c r="Y125" s="106">
        <f>17186.95/1000*1</f>
        <v>17.18695</v>
      </c>
      <c r="Z125" s="89">
        <f t="shared" si="63"/>
        <v>27.719349999999999</v>
      </c>
      <c r="AA125" s="27">
        <f t="shared" si="64"/>
        <v>1.6128137918595213</v>
      </c>
      <c r="AB125" s="107">
        <f>38515.95/1000*1</f>
        <v>38.515949999999997</v>
      </c>
      <c r="AC125" s="1"/>
      <c r="AD125" s="1"/>
      <c r="AE125" s="1"/>
      <c r="AF125" s="1"/>
      <c r="AG125" s="1"/>
      <c r="AH125" s="1"/>
      <c r="AI125" s="1"/>
    </row>
    <row r="126" spans="1:35" ht="14.25" hidden="1" outlineLevel="1" x14ac:dyDescent="0.2">
      <c r="A126" s="1"/>
      <c r="B126" s="3"/>
      <c r="C126" s="3"/>
      <c r="D126" s="3" t="s">
        <v>67</v>
      </c>
      <c r="E126" s="3" t="s">
        <v>51</v>
      </c>
      <c r="F126" s="3">
        <v>841</v>
      </c>
      <c r="G126" s="105">
        <f>-37638.7/1000*1</f>
        <v>-37.6387</v>
      </c>
      <c r="H126" s="106">
        <f>-59428.44/1000*1</f>
        <v>-59.428440000000002</v>
      </c>
      <c r="I126" s="89">
        <f t="shared" si="53"/>
        <v>21.789740000000002</v>
      </c>
      <c r="J126" s="26">
        <f t="shared" si="54"/>
        <v>-0.36665508971798688</v>
      </c>
      <c r="K126" s="106">
        <f>39209/1000*1</f>
        <v>39.209000000000003</v>
      </c>
      <c r="L126" s="89">
        <f t="shared" si="55"/>
        <v>76.847700000000003</v>
      </c>
      <c r="M126" s="27">
        <f t="shared" si="56"/>
        <v>1.9599505215639266</v>
      </c>
      <c r="N126" s="105">
        <f>-37638.7/1000*1</f>
        <v>-37.6387</v>
      </c>
      <c r="O126" s="106">
        <f>-59428.44/1000*1</f>
        <v>-59.428440000000002</v>
      </c>
      <c r="P126" s="89">
        <f t="shared" si="57"/>
        <v>21.789740000000002</v>
      </c>
      <c r="Q126" s="26">
        <f t="shared" si="58"/>
        <v>-0.36665508971798688</v>
      </c>
      <c r="R126" s="106">
        <f>39209/1000*1</f>
        <v>39.209000000000003</v>
      </c>
      <c r="S126" s="89">
        <f t="shared" si="59"/>
        <v>76.847700000000003</v>
      </c>
      <c r="T126" s="27">
        <f t="shared" si="60"/>
        <v>1.9599505215639266</v>
      </c>
      <c r="U126" s="105">
        <f>-12482.82/1000*1</f>
        <v>-12.48282</v>
      </c>
      <c r="V126" s="106">
        <f>-108898.31/1000*1</f>
        <v>-108.89831</v>
      </c>
      <c r="W126" s="89">
        <f t="shared" si="61"/>
        <v>96.415489999999991</v>
      </c>
      <c r="X126" s="26">
        <f t="shared" si="62"/>
        <v>-0.88537177482368634</v>
      </c>
      <c r="Y126" s="106">
        <f>64364.88/1000*1</f>
        <v>64.364879999999999</v>
      </c>
      <c r="Z126" s="89">
        <f t="shared" si="63"/>
        <v>76.847700000000003</v>
      </c>
      <c r="AA126" s="27">
        <f t="shared" si="64"/>
        <v>1.1939383713602822</v>
      </c>
      <c r="AB126" s="107">
        <f>163426.88/1000*1</f>
        <v>163.42688000000001</v>
      </c>
      <c r="AC126" s="1"/>
      <c r="AD126" s="1"/>
      <c r="AE126" s="1"/>
      <c r="AF126" s="1"/>
      <c r="AG126" s="1"/>
      <c r="AH126" s="1"/>
      <c r="AI126" s="1"/>
    </row>
    <row r="127" spans="1:35" ht="14.25" hidden="1" outlineLevel="1" x14ac:dyDescent="0.2">
      <c r="A127" s="1"/>
      <c r="B127" s="3"/>
      <c r="C127" s="3"/>
      <c r="D127" s="3" t="s">
        <v>67</v>
      </c>
      <c r="E127" s="3" t="s">
        <v>51</v>
      </c>
      <c r="F127" s="3">
        <v>842</v>
      </c>
      <c r="G127" s="105">
        <f>-3904.21/1000*1</f>
        <v>-3.90421</v>
      </c>
      <c r="H127" s="106">
        <f>5747.36/1000*1</f>
        <v>5.7473599999999996</v>
      </c>
      <c r="I127" s="89">
        <f t="shared" si="53"/>
        <v>-9.6515699999999995</v>
      </c>
      <c r="J127" s="26">
        <f t="shared" si="54"/>
        <v>-1.6793049330475209</v>
      </c>
      <c r="K127" s="106">
        <f>5132/1000*1</f>
        <v>5.1319999999999997</v>
      </c>
      <c r="L127" s="89">
        <f t="shared" si="55"/>
        <v>9.0362100000000005</v>
      </c>
      <c r="M127" s="27">
        <f t="shared" si="56"/>
        <v>1.7607579890880751</v>
      </c>
      <c r="N127" s="105">
        <f>-3904.21/1000*1</f>
        <v>-3.90421</v>
      </c>
      <c r="O127" s="106">
        <f>5747.36/1000*1</f>
        <v>5.7473599999999996</v>
      </c>
      <c r="P127" s="89">
        <f t="shared" si="57"/>
        <v>-9.6515699999999995</v>
      </c>
      <c r="Q127" s="26">
        <f t="shared" si="58"/>
        <v>-1.6793049330475209</v>
      </c>
      <c r="R127" s="106">
        <f>5132/1000*1</f>
        <v>5.1319999999999997</v>
      </c>
      <c r="S127" s="89">
        <f t="shared" si="59"/>
        <v>9.0362100000000005</v>
      </c>
      <c r="T127" s="27">
        <f t="shared" si="60"/>
        <v>1.7607579890880751</v>
      </c>
      <c r="U127" s="105">
        <f>1170/1000*1</f>
        <v>1.17</v>
      </c>
      <c r="V127" s="106">
        <f>11494.74/1000*1</f>
        <v>11.49474</v>
      </c>
      <c r="W127" s="89">
        <f t="shared" si="61"/>
        <v>-10.32474</v>
      </c>
      <c r="X127" s="26">
        <f t="shared" si="62"/>
        <v>-0.89821431367738636</v>
      </c>
      <c r="Y127" s="106">
        <f>10206.21/1000*1</f>
        <v>10.206209999999999</v>
      </c>
      <c r="Z127" s="89">
        <f t="shared" si="63"/>
        <v>9.0362099999999987</v>
      </c>
      <c r="AA127" s="27">
        <f t="shared" si="64"/>
        <v>0.88536391079548626</v>
      </c>
      <c r="AB127" s="107">
        <f>23361.21/1000*1</f>
        <v>23.36121</v>
      </c>
      <c r="AC127" s="1"/>
      <c r="AD127" s="1"/>
      <c r="AE127" s="1"/>
      <c r="AF127" s="1"/>
      <c r="AG127" s="1"/>
      <c r="AH127" s="1"/>
      <c r="AI127" s="1"/>
    </row>
    <row r="128" spans="1:35" ht="14.25" hidden="1" outlineLevel="1" x14ac:dyDescent="0.2">
      <c r="A128" s="1"/>
      <c r="B128" s="3"/>
      <c r="C128" s="3"/>
      <c r="D128" s="3" t="s">
        <v>67</v>
      </c>
      <c r="E128" s="3" t="s">
        <v>51</v>
      </c>
      <c r="F128" s="3">
        <v>843</v>
      </c>
      <c r="G128" s="105">
        <f>5112.23/1000*1</f>
        <v>5.1122299999999994</v>
      </c>
      <c r="H128" s="106">
        <f>-20133.3/1000*1</f>
        <v>-20.133299999999998</v>
      </c>
      <c r="I128" s="89">
        <f t="shared" si="53"/>
        <v>25.245529999999999</v>
      </c>
      <c r="J128" s="26">
        <f t="shared" si="54"/>
        <v>-1.2539191290051805</v>
      </c>
      <c r="K128" s="106">
        <f>4056/1000*1</f>
        <v>4.056</v>
      </c>
      <c r="L128" s="89">
        <f t="shared" si="55"/>
        <v>-1.0562299999999993</v>
      </c>
      <c r="M128" s="27">
        <f t="shared" si="56"/>
        <v>-0.26041173570019704</v>
      </c>
      <c r="N128" s="105">
        <f>5112.23/1000*1</f>
        <v>5.1122299999999994</v>
      </c>
      <c r="O128" s="106">
        <f>-20133.3/1000*1</f>
        <v>-20.133299999999998</v>
      </c>
      <c r="P128" s="89">
        <f t="shared" si="57"/>
        <v>25.245529999999999</v>
      </c>
      <c r="Q128" s="26">
        <f t="shared" si="58"/>
        <v>-1.2539191290051805</v>
      </c>
      <c r="R128" s="106">
        <f>4056/1000*1</f>
        <v>4.056</v>
      </c>
      <c r="S128" s="89">
        <f t="shared" si="59"/>
        <v>-1.0562299999999993</v>
      </c>
      <c r="T128" s="27">
        <f t="shared" si="60"/>
        <v>-0.26041173570019704</v>
      </c>
      <c r="U128" s="105">
        <f>10224.46/1000*1</f>
        <v>10.224459999999999</v>
      </c>
      <c r="V128" s="106">
        <f>-40266.6/1000*1</f>
        <v>-40.266599999999997</v>
      </c>
      <c r="W128" s="89">
        <f t="shared" si="61"/>
        <v>50.491059999999997</v>
      </c>
      <c r="X128" s="26">
        <f t="shared" si="62"/>
        <v>-1.2539191290051805</v>
      </c>
      <c r="Y128" s="106">
        <f>9168.23/1000*1</f>
        <v>9.1682299999999994</v>
      </c>
      <c r="Z128" s="89">
        <f t="shared" si="63"/>
        <v>-1.0562299999999993</v>
      </c>
      <c r="AA128" s="27">
        <f t="shared" si="64"/>
        <v>-0.11520544314442367</v>
      </c>
      <c r="AB128" s="107">
        <f>19984.23/1000*1</f>
        <v>19.98423</v>
      </c>
      <c r="AC128" s="1"/>
      <c r="AD128" s="1"/>
      <c r="AE128" s="1"/>
      <c r="AF128" s="1"/>
      <c r="AG128" s="1"/>
      <c r="AH128" s="1"/>
      <c r="AI128" s="1"/>
    </row>
    <row r="129" spans="1:35" ht="14.25" hidden="1" outlineLevel="1" x14ac:dyDescent="0.2">
      <c r="A129" s="1"/>
      <c r="B129" s="3"/>
      <c r="C129" s="3"/>
      <c r="D129" s="3" t="s">
        <v>67</v>
      </c>
      <c r="E129" s="3" t="s">
        <v>51</v>
      </c>
      <c r="F129" s="3">
        <v>844</v>
      </c>
      <c r="G129" s="105">
        <f>15346.97/1000*1</f>
        <v>15.346969999999999</v>
      </c>
      <c r="H129" s="106">
        <f>89887.36/1000*1</f>
        <v>89.887360000000001</v>
      </c>
      <c r="I129" s="89">
        <f t="shared" si="53"/>
        <v>-74.540390000000002</v>
      </c>
      <c r="J129" s="26">
        <f t="shared" si="54"/>
        <v>-0.82926442605500927</v>
      </c>
      <c r="K129" s="106">
        <f>76720/1000*1</f>
        <v>76.72</v>
      </c>
      <c r="L129" s="89">
        <f t="shared" si="55"/>
        <v>61.37303</v>
      </c>
      <c r="M129" s="27">
        <f t="shared" si="56"/>
        <v>0.79996128779979148</v>
      </c>
      <c r="N129" s="105">
        <f>15346.97/1000*1</f>
        <v>15.346969999999999</v>
      </c>
      <c r="O129" s="106">
        <f>89887.36/1000*1</f>
        <v>89.887360000000001</v>
      </c>
      <c r="P129" s="89">
        <f t="shared" si="57"/>
        <v>-74.540390000000002</v>
      </c>
      <c r="Q129" s="26">
        <f t="shared" si="58"/>
        <v>-0.82926442605500927</v>
      </c>
      <c r="R129" s="106">
        <f>76720/1000*1</f>
        <v>76.72</v>
      </c>
      <c r="S129" s="89">
        <f t="shared" si="59"/>
        <v>61.37303</v>
      </c>
      <c r="T129" s="27">
        <f t="shared" si="60"/>
        <v>0.79996128779979148</v>
      </c>
      <c r="U129" s="105">
        <f>97693.94/1000*1</f>
        <v>97.693939999999998</v>
      </c>
      <c r="V129" s="106">
        <f>179774.78/1000*1</f>
        <v>179.77477999999999</v>
      </c>
      <c r="W129" s="89">
        <f t="shared" si="61"/>
        <v>-82.080839999999995</v>
      </c>
      <c r="X129" s="26">
        <f t="shared" si="62"/>
        <v>-0.45657594463472573</v>
      </c>
      <c r="Y129" s="106">
        <f>159066.97/1000*1</f>
        <v>159.06697</v>
      </c>
      <c r="Z129" s="89">
        <f t="shared" si="63"/>
        <v>61.37303</v>
      </c>
      <c r="AA129" s="27">
        <f t="shared" si="64"/>
        <v>0.38583138913125709</v>
      </c>
      <c r="AB129" s="107">
        <f>357621.97/1000*1</f>
        <v>357.62196999999998</v>
      </c>
      <c r="AC129" s="1"/>
      <c r="AD129" s="1"/>
      <c r="AE129" s="1"/>
      <c r="AF129" s="1"/>
      <c r="AG129" s="1"/>
      <c r="AH129" s="1"/>
      <c r="AI129" s="1"/>
    </row>
    <row r="130" spans="1:35" ht="14.25" hidden="1" outlineLevel="1" x14ac:dyDescent="0.2">
      <c r="A130" s="1"/>
      <c r="B130" s="3"/>
      <c r="C130" s="3"/>
      <c r="D130" s="3" t="s">
        <v>67</v>
      </c>
      <c r="E130" s="3" t="s">
        <v>51</v>
      </c>
      <c r="F130" s="3">
        <v>845</v>
      </c>
      <c r="G130" s="105">
        <f>14668.98/1000*1</f>
        <v>14.668979999999999</v>
      </c>
      <c r="H130" s="106">
        <f>29613.55/1000*1</f>
        <v>29.61355</v>
      </c>
      <c r="I130" s="89">
        <f t="shared" si="53"/>
        <v>-14.944570000000001</v>
      </c>
      <c r="J130" s="26">
        <f t="shared" si="54"/>
        <v>-0.50465310643269723</v>
      </c>
      <c r="K130" s="106">
        <f>25456/1000*1</f>
        <v>25.456</v>
      </c>
      <c r="L130" s="89">
        <f t="shared" si="55"/>
        <v>10.78702</v>
      </c>
      <c r="M130" s="27">
        <f t="shared" si="56"/>
        <v>0.42375157133878066</v>
      </c>
      <c r="N130" s="105">
        <f>14668.98/1000*1</f>
        <v>14.668979999999999</v>
      </c>
      <c r="O130" s="106">
        <f>29613.55/1000*1</f>
        <v>29.61355</v>
      </c>
      <c r="P130" s="89">
        <f t="shared" si="57"/>
        <v>-14.944570000000001</v>
      </c>
      <c r="Q130" s="26">
        <f t="shared" si="58"/>
        <v>-0.50465310643269723</v>
      </c>
      <c r="R130" s="106">
        <f>25456/1000*1</f>
        <v>25.456</v>
      </c>
      <c r="S130" s="89">
        <f t="shared" si="59"/>
        <v>10.78702</v>
      </c>
      <c r="T130" s="27">
        <f t="shared" si="60"/>
        <v>0.42375157133878066</v>
      </c>
      <c r="U130" s="105">
        <f>43334.2/1000*1</f>
        <v>43.334199999999996</v>
      </c>
      <c r="V130" s="106">
        <f>64004.9/1000*1</f>
        <v>64.004900000000006</v>
      </c>
      <c r="W130" s="89">
        <f t="shared" si="61"/>
        <v>-20.670700000000011</v>
      </c>
      <c r="X130" s="26">
        <f t="shared" si="62"/>
        <v>-0.32295496126077861</v>
      </c>
      <c r="Y130" s="106">
        <f>54121.22/1000*1</f>
        <v>54.121220000000001</v>
      </c>
      <c r="Z130" s="89">
        <f t="shared" si="63"/>
        <v>10.787020000000005</v>
      </c>
      <c r="AA130" s="27">
        <f t="shared" si="64"/>
        <v>0.199312210626442</v>
      </c>
      <c r="AB130" s="107">
        <f>120669.22/1000*1</f>
        <v>120.66922</v>
      </c>
      <c r="AC130" s="1"/>
      <c r="AD130" s="1"/>
      <c r="AE130" s="1"/>
      <c r="AF130" s="1"/>
      <c r="AG130" s="1"/>
      <c r="AH130" s="1"/>
      <c r="AI130" s="1"/>
    </row>
    <row r="131" spans="1:35" ht="14.25" hidden="1" outlineLevel="1" x14ac:dyDescent="0.2">
      <c r="A131" s="1"/>
      <c r="B131" s="3"/>
      <c r="C131" s="3"/>
      <c r="D131" s="3" t="s">
        <v>67</v>
      </c>
      <c r="E131" s="3" t="s">
        <v>51</v>
      </c>
      <c r="F131" s="3">
        <v>860</v>
      </c>
      <c r="G131" s="105">
        <f>-30715.38/1000*1</f>
        <v>-30.71538</v>
      </c>
      <c r="H131" s="106">
        <f>84579.08/1000*1</f>
        <v>84.579080000000005</v>
      </c>
      <c r="I131" s="89">
        <f t="shared" si="53"/>
        <v>-115.29446</v>
      </c>
      <c r="J131" s="26">
        <f t="shared" si="54"/>
        <v>-1.3631557590836882</v>
      </c>
      <c r="K131" s="106">
        <f>127151/1000*1</f>
        <v>127.151</v>
      </c>
      <c r="L131" s="89">
        <f t="shared" si="55"/>
        <v>157.86637999999999</v>
      </c>
      <c r="M131" s="27">
        <f t="shared" si="56"/>
        <v>1.2415661693576927</v>
      </c>
      <c r="N131" s="105">
        <f>-30715.38/1000*1</f>
        <v>-30.71538</v>
      </c>
      <c r="O131" s="106">
        <f>84579.08/1000*1</f>
        <v>84.579080000000005</v>
      </c>
      <c r="P131" s="89">
        <f t="shared" si="57"/>
        <v>-115.29446</v>
      </c>
      <c r="Q131" s="26">
        <f t="shared" si="58"/>
        <v>-1.3631557590836882</v>
      </c>
      <c r="R131" s="106">
        <f>127151/1000*1</f>
        <v>127.151</v>
      </c>
      <c r="S131" s="89">
        <f t="shared" si="59"/>
        <v>157.86637999999999</v>
      </c>
      <c r="T131" s="27">
        <f t="shared" si="60"/>
        <v>1.2415661693576927</v>
      </c>
      <c r="U131" s="105">
        <f>66379.86/1000*1</f>
        <v>66.379859999999994</v>
      </c>
      <c r="V131" s="106">
        <f>219829.8/1000*1</f>
        <v>219.82979999999998</v>
      </c>
      <c r="W131" s="89">
        <f t="shared" si="61"/>
        <v>-153.44993999999997</v>
      </c>
      <c r="X131" s="26">
        <f t="shared" si="62"/>
        <v>-0.69803975621139625</v>
      </c>
      <c r="Y131" s="106">
        <f>224246.24/1000*1</f>
        <v>224.24624</v>
      </c>
      <c r="Z131" s="89">
        <f t="shared" si="63"/>
        <v>157.86637999999999</v>
      </c>
      <c r="AA131" s="27">
        <f t="shared" si="64"/>
        <v>0.70398674243099901</v>
      </c>
      <c r="AB131" s="107">
        <f>551029.24/1000*1</f>
        <v>551.02923999999996</v>
      </c>
      <c r="AC131" s="1"/>
      <c r="AD131" s="1"/>
      <c r="AE131" s="1"/>
      <c r="AF131" s="1"/>
      <c r="AG131" s="1"/>
      <c r="AH131" s="1"/>
      <c r="AI131" s="1"/>
    </row>
    <row r="132" spans="1:35" ht="14.25" hidden="1" outlineLevel="1" x14ac:dyDescent="0.2">
      <c r="A132" s="1"/>
      <c r="B132" s="3"/>
      <c r="C132" s="3"/>
      <c r="D132" s="3" t="s">
        <v>67</v>
      </c>
      <c r="E132" s="3" t="s">
        <v>51</v>
      </c>
      <c r="F132" s="3">
        <v>861</v>
      </c>
      <c r="G132" s="105">
        <f>1526.8/1000*1</f>
        <v>1.5267999999999999</v>
      </c>
      <c r="H132" s="106">
        <f>1498/1000*1</f>
        <v>1.498</v>
      </c>
      <c r="I132" s="89">
        <f t="shared" si="53"/>
        <v>2.8799999999999937E-2</v>
      </c>
      <c r="J132" s="26">
        <f t="shared" si="54"/>
        <v>1.9225634178905163E-2</v>
      </c>
      <c r="K132" s="106">
        <f>1241/1000*1</f>
        <v>1.2410000000000001</v>
      </c>
      <c r="L132" s="89">
        <f t="shared" si="55"/>
        <v>-0.28579999999999983</v>
      </c>
      <c r="M132" s="27">
        <f t="shared" si="56"/>
        <v>-0.23029814665592249</v>
      </c>
      <c r="N132" s="105">
        <f>1526.8/1000*1</f>
        <v>1.5267999999999999</v>
      </c>
      <c r="O132" s="106">
        <f>1498/1000*1</f>
        <v>1.498</v>
      </c>
      <c r="P132" s="89">
        <f t="shared" si="57"/>
        <v>2.8799999999999937E-2</v>
      </c>
      <c r="Q132" s="26">
        <f t="shared" si="58"/>
        <v>1.9225634178905163E-2</v>
      </c>
      <c r="R132" s="106">
        <f>1241/1000*1</f>
        <v>1.2410000000000001</v>
      </c>
      <c r="S132" s="89">
        <f t="shared" si="59"/>
        <v>-0.28579999999999983</v>
      </c>
      <c r="T132" s="27">
        <f t="shared" si="60"/>
        <v>-0.23029814665592249</v>
      </c>
      <c r="U132" s="105">
        <f>3053.6/1000*1</f>
        <v>3.0535999999999999</v>
      </c>
      <c r="V132" s="106">
        <f>2996/1000*1</f>
        <v>2.996</v>
      </c>
      <c r="W132" s="89">
        <f t="shared" si="61"/>
        <v>5.7599999999999874E-2</v>
      </c>
      <c r="X132" s="26">
        <f t="shared" si="62"/>
        <v>1.9225634178905163E-2</v>
      </c>
      <c r="Y132" s="106">
        <f>2767.8/1000*1</f>
        <v>2.7678000000000003</v>
      </c>
      <c r="Z132" s="89">
        <f t="shared" si="63"/>
        <v>-0.28579999999999961</v>
      </c>
      <c r="AA132" s="27">
        <f t="shared" si="64"/>
        <v>-0.10325890599031706</v>
      </c>
      <c r="AB132" s="107">
        <f>6075.8/1000*1</f>
        <v>6.0758000000000001</v>
      </c>
      <c r="AC132" s="1"/>
      <c r="AD132" s="1"/>
      <c r="AE132" s="1"/>
      <c r="AF132" s="1"/>
      <c r="AG132" s="1"/>
      <c r="AH132" s="1"/>
      <c r="AI132" s="1"/>
    </row>
    <row r="133" spans="1:35" ht="14.25" hidden="1" outlineLevel="1" x14ac:dyDescent="0.2">
      <c r="A133" s="1"/>
      <c r="B133" s="3"/>
      <c r="C133" s="3"/>
      <c r="D133" s="3" t="s">
        <v>67</v>
      </c>
      <c r="E133" s="3" t="s">
        <v>51</v>
      </c>
      <c r="F133" s="3">
        <v>899</v>
      </c>
      <c r="G133" s="105">
        <f>-112080.9/1000*1</f>
        <v>-112.0809</v>
      </c>
      <c r="H133" s="106">
        <f>-270500.7/1000*1</f>
        <v>-270.50069999999999</v>
      </c>
      <c r="I133" s="89">
        <f t="shared" si="53"/>
        <v>158.41980000000001</v>
      </c>
      <c r="J133" s="26">
        <f t="shared" si="54"/>
        <v>-0.58565393730958926</v>
      </c>
      <c r="K133" s="106">
        <f>326915/1000*1</f>
        <v>326.91500000000002</v>
      </c>
      <c r="L133" s="89">
        <f t="shared" si="55"/>
        <v>438.99590000000001</v>
      </c>
      <c r="M133" s="27">
        <f t="shared" si="56"/>
        <v>1.3428441643852378</v>
      </c>
      <c r="N133" s="105">
        <f>-112080.9/1000*1</f>
        <v>-112.0809</v>
      </c>
      <c r="O133" s="106">
        <f>-270500.7/1000*1</f>
        <v>-270.50069999999999</v>
      </c>
      <c r="P133" s="89">
        <f t="shared" si="57"/>
        <v>158.41980000000001</v>
      </c>
      <c r="Q133" s="26">
        <f t="shared" si="58"/>
        <v>-0.58565393730958926</v>
      </c>
      <c r="R133" s="106">
        <f>326915/1000*1</f>
        <v>326.91500000000002</v>
      </c>
      <c r="S133" s="89">
        <f t="shared" si="59"/>
        <v>438.99590000000001</v>
      </c>
      <c r="T133" s="27">
        <f t="shared" si="60"/>
        <v>1.3428441643852378</v>
      </c>
      <c r="U133" s="105">
        <f>33918.2/1000*1</f>
        <v>33.918199999999999</v>
      </c>
      <c r="V133" s="106">
        <f>-264570.44/1000*1</f>
        <v>-264.57044000000002</v>
      </c>
      <c r="W133" s="89">
        <f t="shared" si="61"/>
        <v>298.48864000000003</v>
      </c>
      <c r="X133" s="26">
        <f t="shared" si="62"/>
        <v>-1.1282010189800493</v>
      </c>
      <c r="Y133" s="106">
        <f>472914.1/1000*1</f>
        <v>472.91409999999996</v>
      </c>
      <c r="Z133" s="89">
        <f t="shared" si="63"/>
        <v>438.99589999999995</v>
      </c>
      <c r="AA133" s="27">
        <f t="shared" si="64"/>
        <v>0.92827830677918033</v>
      </c>
      <c r="AB133" s="107">
        <f>1320559.1/1000*1</f>
        <v>1320.5591000000002</v>
      </c>
      <c r="AC133" s="1"/>
      <c r="AD133" s="1"/>
      <c r="AE133" s="1"/>
      <c r="AF133" s="1"/>
      <c r="AG133" s="1"/>
      <c r="AH133" s="1"/>
      <c r="AI133" s="1"/>
    </row>
    <row r="134" spans="1:35" ht="14.25" hidden="1" outlineLevel="1" x14ac:dyDescent="0.2">
      <c r="A134" s="1"/>
      <c r="B134" s="3"/>
      <c r="C134" s="3"/>
      <c r="D134" s="3" t="s">
        <v>67</v>
      </c>
      <c r="E134" s="3" t="s">
        <v>51</v>
      </c>
      <c r="F134" s="3">
        <v>920</v>
      </c>
      <c r="G134" s="105">
        <f>-251228.62/1000*1</f>
        <v>-251.22862000000001</v>
      </c>
      <c r="H134" s="106">
        <f>1470219.23/1000*1</f>
        <v>1470.2192299999999</v>
      </c>
      <c r="I134" s="89">
        <f t="shared" si="53"/>
        <v>-1721.44785</v>
      </c>
      <c r="J134" s="26">
        <f t="shared" si="54"/>
        <v>-1.170878339007986</v>
      </c>
      <c r="K134" s="106">
        <f>732993/1000*1</f>
        <v>732.99300000000005</v>
      </c>
      <c r="L134" s="89">
        <f t="shared" si="55"/>
        <v>984.22162000000003</v>
      </c>
      <c r="M134" s="27">
        <f t="shared" si="56"/>
        <v>1.3427435459820216</v>
      </c>
      <c r="N134" s="105">
        <f>-251228.62/1000*1</f>
        <v>-251.22862000000001</v>
      </c>
      <c r="O134" s="106">
        <f>1470219.23/1000*1</f>
        <v>1470.2192299999999</v>
      </c>
      <c r="P134" s="89">
        <f t="shared" si="57"/>
        <v>-1721.44785</v>
      </c>
      <c r="Q134" s="26">
        <f t="shared" si="58"/>
        <v>-1.170878339007986</v>
      </c>
      <c r="R134" s="106">
        <f>732993/1000*1</f>
        <v>732.99300000000005</v>
      </c>
      <c r="S134" s="89">
        <f t="shared" si="59"/>
        <v>984.22162000000003</v>
      </c>
      <c r="T134" s="27">
        <f t="shared" si="60"/>
        <v>1.3427435459820216</v>
      </c>
      <c r="U134" s="105">
        <f>665554/1000*1</f>
        <v>665.55399999999997</v>
      </c>
      <c r="V134" s="106">
        <f>2277097.77/1000*1</f>
        <v>2277.0977699999999</v>
      </c>
      <c r="W134" s="89">
        <f t="shared" si="61"/>
        <v>-1611.5437699999998</v>
      </c>
      <c r="X134" s="26">
        <f t="shared" si="62"/>
        <v>-0.70771830319784634</v>
      </c>
      <c r="Y134" s="106">
        <f>1649775.62/1000*1</f>
        <v>1649.7756200000001</v>
      </c>
      <c r="Z134" s="89">
        <f t="shared" si="63"/>
        <v>984.22162000000014</v>
      </c>
      <c r="AA134" s="27">
        <f t="shared" si="64"/>
        <v>0.59657907903863927</v>
      </c>
      <c r="AB134" s="107">
        <f>3511821.62/1000*1</f>
        <v>3511.8216200000002</v>
      </c>
      <c r="AC134" s="1"/>
      <c r="AD134" s="1"/>
      <c r="AE134" s="1"/>
      <c r="AF134" s="1"/>
      <c r="AG134" s="1"/>
      <c r="AH134" s="1"/>
      <c r="AI134" s="1"/>
    </row>
    <row r="135" spans="1:35" ht="14.25" hidden="1" outlineLevel="1" x14ac:dyDescent="0.2">
      <c r="A135" s="1"/>
      <c r="B135" s="3"/>
      <c r="C135" s="3"/>
      <c r="D135" s="3" t="s">
        <v>67</v>
      </c>
      <c r="E135" s="3" t="s">
        <v>51</v>
      </c>
      <c r="F135" s="3">
        <v>921</v>
      </c>
      <c r="G135" s="105">
        <f>0/1000*1</f>
        <v>0</v>
      </c>
      <c r="H135" s="106">
        <f>0/1000*1</f>
        <v>0</v>
      </c>
      <c r="I135" s="89">
        <f t="shared" si="53"/>
        <v>0</v>
      </c>
      <c r="J135" s="26" t="str">
        <f t="shared" si="54"/>
        <v>N/A</v>
      </c>
      <c r="K135" s="106">
        <f>0/1000*1</f>
        <v>0</v>
      </c>
      <c r="L135" s="89">
        <f t="shared" si="55"/>
        <v>0</v>
      </c>
      <c r="M135" s="27" t="str">
        <f t="shared" si="56"/>
        <v>N/A</v>
      </c>
      <c r="N135" s="105">
        <f>0/1000*1</f>
        <v>0</v>
      </c>
      <c r="O135" s="106">
        <f>0/1000*1</f>
        <v>0</v>
      </c>
      <c r="P135" s="89">
        <f t="shared" si="57"/>
        <v>0</v>
      </c>
      <c r="Q135" s="26" t="str">
        <f t="shared" si="58"/>
        <v>N/A</v>
      </c>
      <c r="R135" s="106">
        <f>0/1000*1</f>
        <v>0</v>
      </c>
      <c r="S135" s="89">
        <f t="shared" si="59"/>
        <v>0</v>
      </c>
      <c r="T135" s="27" t="str">
        <f t="shared" si="60"/>
        <v>N/A</v>
      </c>
      <c r="U135" s="105">
        <f>65709.83/1000*1</f>
        <v>65.709829999999997</v>
      </c>
      <c r="V135" s="106">
        <f>0/1000*1</f>
        <v>0</v>
      </c>
      <c r="W135" s="89">
        <f t="shared" si="61"/>
        <v>65.709829999999997</v>
      </c>
      <c r="X135" s="26" t="str">
        <f t="shared" si="62"/>
        <v>N/A</v>
      </c>
      <c r="Y135" s="106">
        <f>65709.83/1000*1</f>
        <v>65.709829999999997</v>
      </c>
      <c r="Z135" s="89">
        <f t="shared" si="63"/>
        <v>0</v>
      </c>
      <c r="AA135" s="27">
        <f t="shared" si="64"/>
        <v>0</v>
      </c>
      <c r="AB135" s="107">
        <f>65709.83/1000*1</f>
        <v>65.709829999999997</v>
      </c>
      <c r="AC135" s="1"/>
      <c r="AD135" s="1"/>
      <c r="AE135" s="1"/>
      <c r="AF135" s="1"/>
      <c r="AG135" s="1"/>
      <c r="AH135" s="1"/>
      <c r="AI135" s="1"/>
    </row>
    <row r="136" spans="1:35" ht="14.25" hidden="1" outlineLevel="1" x14ac:dyDescent="0.2">
      <c r="A136" s="1"/>
      <c r="B136" s="3"/>
      <c r="C136" s="3"/>
      <c r="D136" s="3" t="s">
        <v>67</v>
      </c>
      <c r="E136" s="3" t="s">
        <v>51</v>
      </c>
      <c r="F136" s="3">
        <v>925</v>
      </c>
      <c r="G136" s="105">
        <f>0/1000*1</f>
        <v>0</v>
      </c>
      <c r="H136" s="106">
        <f>0/1000*1</f>
        <v>0</v>
      </c>
      <c r="I136" s="89">
        <f t="shared" si="53"/>
        <v>0</v>
      </c>
      <c r="J136" s="26" t="str">
        <f t="shared" si="54"/>
        <v>N/A</v>
      </c>
      <c r="K136" s="106">
        <f>0/1000*1</f>
        <v>0</v>
      </c>
      <c r="L136" s="89">
        <f t="shared" si="55"/>
        <v>0</v>
      </c>
      <c r="M136" s="27" t="str">
        <f t="shared" si="56"/>
        <v>N/A</v>
      </c>
      <c r="N136" s="105">
        <f>0/1000*1</f>
        <v>0</v>
      </c>
      <c r="O136" s="106">
        <f>0/1000*1</f>
        <v>0</v>
      </c>
      <c r="P136" s="89">
        <f t="shared" si="57"/>
        <v>0</v>
      </c>
      <c r="Q136" s="26" t="str">
        <f t="shared" si="58"/>
        <v>N/A</v>
      </c>
      <c r="R136" s="106">
        <f>0/1000*1</f>
        <v>0</v>
      </c>
      <c r="S136" s="89">
        <f t="shared" si="59"/>
        <v>0</v>
      </c>
      <c r="T136" s="27" t="str">
        <f t="shared" si="60"/>
        <v>N/A</v>
      </c>
      <c r="U136" s="105">
        <f>0/1000*1</f>
        <v>0</v>
      </c>
      <c r="V136" s="106">
        <f>0/1000*1</f>
        <v>0</v>
      </c>
      <c r="W136" s="89">
        <f t="shared" si="61"/>
        <v>0</v>
      </c>
      <c r="X136" s="26" t="str">
        <f t="shared" si="62"/>
        <v>N/A</v>
      </c>
      <c r="Y136" s="106">
        <f>0/1000*1</f>
        <v>0</v>
      </c>
      <c r="Z136" s="89">
        <f t="shared" si="63"/>
        <v>0</v>
      </c>
      <c r="AA136" s="27" t="str">
        <f t="shared" si="64"/>
        <v>N/A</v>
      </c>
      <c r="AB136" s="107">
        <f>0/1000*1</f>
        <v>0</v>
      </c>
      <c r="AC136" s="1"/>
      <c r="AD136" s="1"/>
      <c r="AE136" s="1"/>
      <c r="AF136" s="1"/>
      <c r="AG136" s="1"/>
      <c r="AH136" s="1"/>
      <c r="AI136" s="1"/>
    </row>
    <row r="137" spans="1:35" ht="14.25" hidden="1" outlineLevel="1" x14ac:dyDescent="0.2">
      <c r="A137" s="1"/>
      <c r="B137" s="3"/>
      <c r="C137" s="3"/>
      <c r="D137" s="3" t="s">
        <v>67</v>
      </c>
      <c r="E137" s="3" t="s">
        <v>51</v>
      </c>
      <c r="F137" s="3">
        <v>930</v>
      </c>
      <c r="G137" s="105">
        <f>-24705.25/1000*1</f>
        <v>-24.705249999999999</v>
      </c>
      <c r="H137" s="106">
        <f>293561.25/1000*1</f>
        <v>293.56124999999997</v>
      </c>
      <c r="I137" s="89">
        <f t="shared" si="53"/>
        <v>-318.26649999999995</v>
      </c>
      <c r="J137" s="26">
        <f t="shared" si="54"/>
        <v>-1.0841570541071071</v>
      </c>
      <c r="K137" s="106">
        <f>230712/1000*1</f>
        <v>230.71199999999999</v>
      </c>
      <c r="L137" s="89">
        <f t="shared" si="55"/>
        <v>255.41725</v>
      </c>
      <c r="M137" s="27">
        <f t="shared" si="56"/>
        <v>1.1070826398280107</v>
      </c>
      <c r="N137" s="105">
        <f>-24705.25/1000*1</f>
        <v>-24.705249999999999</v>
      </c>
      <c r="O137" s="106">
        <f>293561.25/1000*1</f>
        <v>293.56124999999997</v>
      </c>
      <c r="P137" s="89">
        <f t="shared" si="57"/>
        <v>-318.26649999999995</v>
      </c>
      <c r="Q137" s="26">
        <f t="shared" si="58"/>
        <v>-1.0841570541071071</v>
      </c>
      <c r="R137" s="106">
        <f>230712/1000*1</f>
        <v>230.71199999999999</v>
      </c>
      <c r="S137" s="89">
        <f t="shared" si="59"/>
        <v>255.41725</v>
      </c>
      <c r="T137" s="27">
        <f t="shared" si="60"/>
        <v>1.1070826398280107</v>
      </c>
      <c r="U137" s="105">
        <f>174085.48/1000*1</f>
        <v>174.08548000000002</v>
      </c>
      <c r="V137" s="106">
        <f>599749.14/1000*1</f>
        <v>599.74914000000001</v>
      </c>
      <c r="W137" s="89">
        <f t="shared" si="61"/>
        <v>-425.66365999999999</v>
      </c>
      <c r="X137" s="26">
        <f t="shared" si="62"/>
        <v>-0.70973617402769429</v>
      </c>
      <c r="Y137" s="106">
        <f>429502.73/1000*1</f>
        <v>429.50272999999999</v>
      </c>
      <c r="Z137" s="89">
        <f t="shared" si="63"/>
        <v>255.41724999999997</v>
      </c>
      <c r="AA137" s="27">
        <f t="shared" si="64"/>
        <v>0.59468131902211652</v>
      </c>
      <c r="AB137" s="107">
        <f>1023392.73/1000*1</f>
        <v>1023.39273</v>
      </c>
      <c r="AC137" s="1"/>
      <c r="AD137" s="1"/>
      <c r="AE137" s="1"/>
      <c r="AF137" s="1"/>
      <c r="AG137" s="1"/>
      <c r="AH137" s="1"/>
      <c r="AI137" s="1"/>
    </row>
    <row r="138" spans="1:35" ht="14.25" hidden="1" outlineLevel="1" x14ac:dyDescent="0.2">
      <c r="A138" s="1"/>
      <c r="B138" s="3"/>
      <c r="C138" s="3"/>
      <c r="D138" s="3" t="s">
        <v>67</v>
      </c>
      <c r="E138" s="3" t="s">
        <v>51</v>
      </c>
      <c r="F138" s="3">
        <v>931</v>
      </c>
      <c r="G138" s="105">
        <f>4336.31/1000*1</f>
        <v>4.3363100000000001</v>
      </c>
      <c r="H138" s="106">
        <f>49011.63/1000*1</f>
        <v>49.011629999999997</v>
      </c>
      <c r="I138" s="89">
        <f t="shared" si="53"/>
        <v>-44.675319999999999</v>
      </c>
      <c r="J138" s="26">
        <f t="shared" si="54"/>
        <v>-0.91152487685065775</v>
      </c>
      <c r="K138" s="106">
        <f>35542/1000*1</f>
        <v>35.542000000000002</v>
      </c>
      <c r="L138" s="89">
        <f t="shared" si="55"/>
        <v>31.205690000000001</v>
      </c>
      <c r="M138" s="27">
        <f t="shared" si="56"/>
        <v>0.87799476675482524</v>
      </c>
      <c r="N138" s="105">
        <f>4336.31/1000*1</f>
        <v>4.3363100000000001</v>
      </c>
      <c r="O138" s="106">
        <f>49011.63/1000*1</f>
        <v>49.011629999999997</v>
      </c>
      <c r="P138" s="89">
        <f t="shared" si="57"/>
        <v>-44.675319999999999</v>
      </c>
      <c r="Q138" s="26">
        <f t="shared" si="58"/>
        <v>-0.91152487685065775</v>
      </c>
      <c r="R138" s="106">
        <f>35542/1000*1</f>
        <v>35.542000000000002</v>
      </c>
      <c r="S138" s="89">
        <f t="shared" si="59"/>
        <v>31.205690000000001</v>
      </c>
      <c r="T138" s="27">
        <f t="shared" si="60"/>
        <v>0.87799476675482524</v>
      </c>
      <c r="U138" s="105">
        <f>17071.8/1000*1</f>
        <v>17.0718</v>
      </c>
      <c r="V138" s="106">
        <f>108668.56/1000*1</f>
        <v>108.66856</v>
      </c>
      <c r="W138" s="89">
        <f t="shared" si="61"/>
        <v>-91.596760000000003</v>
      </c>
      <c r="X138" s="26">
        <f t="shared" si="62"/>
        <v>-0.84290028320978949</v>
      </c>
      <c r="Y138" s="106">
        <f>48277.49/1000*1</f>
        <v>48.27749</v>
      </c>
      <c r="Z138" s="89">
        <f t="shared" si="63"/>
        <v>31.205690000000001</v>
      </c>
      <c r="AA138" s="27">
        <f t="shared" si="64"/>
        <v>0.64638178165434867</v>
      </c>
      <c r="AB138" s="107">
        <f>142253.49/1000*1</f>
        <v>142.25349</v>
      </c>
      <c r="AC138" s="1"/>
      <c r="AD138" s="1"/>
      <c r="AE138" s="1"/>
      <c r="AF138" s="1"/>
      <c r="AG138" s="1"/>
      <c r="AH138" s="1"/>
      <c r="AI138" s="1"/>
    </row>
    <row r="139" spans="1:35" ht="14.25" hidden="1" outlineLevel="1" x14ac:dyDescent="0.2">
      <c r="A139" s="1"/>
      <c r="B139" s="3"/>
      <c r="C139" s="3"/>
      <c r="D139" s="3" t="s">
        <v>67</v>
      </c>
      <c r="E139" s="3" t="s">
        <v>51</v>
      </c>
      <c r="F139" s="3">
        <v>932</v>
      </c>
      <c r="G139" s="105">
        <f>-5434.32/1000*1</f>
        <v>-5.4343199999999996</v>
      </c>
      <c r="H139" s="106">
        <f>2865.73/1000*1</f>
        <v>2.8657300000000001</v>
      </c>
      <c r="I139" s="89">
        <f t="shared" si="53"/>
        <v>-8.3000499999999988</v>
      </c>
      <c r="J139" s="26">
        <f t="shared" si="54"/>
        <v>-2.8963126323833714</v>
      </c>
      <c r="K139" s="106">
        <f>9095/1000*1</f>
        <v>9.0950000000000006</v>
      </c>
      <c r="L139" s="89">
        <f t="shared" si="55"/>
        <v>14.52932</v>
      </c>
      <c r="M139" s="27">
        <f t="shared" si="56"/>
        <v>1.5975063221550301</v>
      </c>
      <c r="N139" s="105">
        <f>-5434.32/1000*1</f>
        <v>-5.4343199999999996</v>
      </c>
      <c r="O139" s="106">
        <f>2865.73/1000*1</f>
        <v>2.8657300000000001</v>
      </c>
      <c r="P139" s="89">
        <f t="shared" si="57"/>
        <v>-8.3000499999999988</v>
      </c>
      <c r="Q139" s="26">
        <f t="shared" si="58"/>
        <v>-2.8963126323833714</v>
      </c>
      <c r="R139" s="106">
        <f>9095/1000*1</f>
        <v>9.0950000000000006</v>
      </c>
      <c r="S139" s="89">
        <f t="shared" si="59"/>
        <v>14.52932</v>
      </c>
      <c r="T139" s="27">
        <f t="shared" si="60"/>
        <v>1.5975063221550301</v>
      </c>
      <c r="U139" s="105">
        <f>5232.42/1000*1</f>
        <v>5.2324200000000003</v>
      </c>
      <c r="V139" s="106">
        <f>5731.46/1000*1</f>
        <v>5.7314600000000002</v>
      </c>
      <c r="W139" s="89">
        <f t="shared" si="61"/>
        <v>-0.49903999999999993</v>
      </c>
      <c r="X139" s="26">
        <f t="shared" si="62"/>
        <v>-8.7070310182745747E-2</v>
      </c>
      <c r="Y139" s="106">
        <f>19761.74/1000*1</f>
        <v>19.761740000000003</v>
      </c>
      <c r="Z139" s="89">
        <f t="shared" si="63"/>
        <v>14.529320000000002</v>
      </c>
      <c r="AA139" s="27">
        <f t="shared" si="64"/>
        <v>0.73522473223511697</v>
      </c>
      <c r="AB139" s="107">
        <f>42416.74/1000*1</f>
        <v>42.416739999999997</v>
      </c>
      <c r="AC139" s="1"/>
      <c r="AD139" s="1"/>
      <c r="AE139" s="1"/>
      <c r="AF139" s="1"/>
      <c r="AG139" s="1"/>
      <c r="AH139" s="1"/>
      <c r="AI139" s="1"/>
    </row>
    <row r="140" spans="1:35" ht="14.25" hidden="1" outlineLevel="1" x14ac:dyDescent="0.2">
      <c r="A140" s="1"/>
      <c r="B140" s="3"/>
      <c r="C140" s="3"/>
      <c r="D140" s="3" t="s">
        <v>67</v>
      </c>
      <c r="E140" s="3" t="s">
        <v>51</v>
      </c>
      <c r="F140" s="3">
        <v>998</v>
      </c>
      <c r="G140" s="105">
        <f>0/1000*1</f>
        <v>0</v>
      </c>
      <c r="H140" s="106">
        <f>0/1000*1</f>
        <v>0</v>
      </c>
      <c r="I140" s="89">
        <f t="shared" si="53"/>
        <v>0</v>
      </c>
      <c r="J140" s="26" t="str">
        <f t="shared" si="54"/>
        <v>N/A</v>
      </c>
      <c r="K140" s="106">
        <f>0/1000*1</f>
        <v>0</v>
      </c>
      <c r="L140" s="89">
        <f t="shared" si="55"/>
        <v>0</v>
      </c>
      <c r="M140" s="27" t="str">
        <f t="shared" si="56"/>
        <v>N/A</v>
      </c>
      <c r="N140" s="105">
        <f>0/1000*1</f>
        <v>0</v>
      </c>
      <c r="O140" s="106">
        <f>0/1000*1</f>
        <v>0</v>
      </c>
      <c r="P140" s="89">
        <f t="shared" si="57"/>
        <v>0</v>
      </c>
      <c r="Q140" s="26" t="str">
        <f t="shared" si="58"/>
        <v>N/A</v>
      </c>
      <c r="R140" s="106">
        <f>0/1000*1</f>
        <v>0</v>
      </c>
      <c r="S140" s="89">
        <f t="shared" si="59"/>
        <v>0</v>
      </c>
      <c r="T140" s="27" t="str">
        <f t="shared" si="60"/>
        <v>N/A</v>
      </c>
      <c r="U140" s="105">
        <f>3189990.04/1000*1</f>
        <v>3189.9900400000001</v>
      </c>
      <c r="V140" s="106">
        <f>0/1000*1</f>
        <v>0</v>
      </c>
      <c r="W140" s="89">
        <f t="shared" si="61"/>
        <v>3189.9900400000001</v>
      </c>
      <c r="X140" s="26" t="str">
        <f t="shared" si="62"/>
        <v>N/A</v>
      </c>
      <c r="Y140" s="106">
        <f>3189990.04/1000*1</f>
        <v>3189.9900400000001</v>
      </c>
      <c r="Z140" s="89">
        <f t="shared" si="63"/>
        <v>0</v>
      </c>
      <c r="AA140" s="27">
        <f t="shared" si="64"/>
        <v>0</v>
      </c>
      <c r="AB140" s="107">
        <f>3189990.04/1000*1</f>
        <v>3189.9900400000001</v>
      </c>
      <c r="AC140" s="1"/>
      <c r="AD140" s="1"/>
      <c r="AE140" s="1"/>
      <c r="AF140" s="1"/>
      <c r="AG140" s="1"/>
      <c r="AH140" s="1"/>
      <c r="AI140" s="1"/>
    </row>
    <row r="141" spans="1:35" ht="14.25" hidden="1" outlineLevel="1" x14ac:dyDescent="0.2">
      <c r="A141" s="1"/>
      <c r="B141" s="3"/>
      <c r="C141" s="3"/>
      <c r="D141" s="3" t="s">
        <v>67</v>
      </c>
      <c r="E141" s="3" t="s">
        <v>52</v>
      </c>
      <c r="F141" s="3">
        <v>846</v>
      </c>
      <c r="G141" s="105">
        <f>0/1000*1</f>
        <v>0</v>
      </c>
      <c r="H141" s="106">
        <f>0/1000*1</f>
        <v>0</v>
      </c>
      <c r="I141" s="89">
        <f t="shared" si="53"/>
        <v>0</v>
      </c>
      <c r="J141" s="26" t="str">
        <f t="shared" si="54"/>
        <v>N/A</v>
      </c>
      <c r="K141" s="106">
        <f>1230/1000*1</f>
        <v>1.23</v>
      </c>
      <c r="L141" s="89">
        <f t="shared" si="55"/>
        <v>1.23</v>
      </c>
      <c r="M141" s="27">
        <f t="shared" si="56"/>
        <v>1</v>
      </c>
      <c r="N141" s="105">
        <f>0/1000*1</f>
        <v>0</v>
      </c>
      <c r="O141" s="106">
        <f>0/1000*1</f>
        <v>0</v>
      </c>
      <c r="P141" s="89">
        <f t="shared" si="57"/>
        <v>0</v>
      </c>
      <c r="Q141" s="26" t="str">
        <f t="shared" si="58"/>
        <v>N/A</v>
      </c>
      <c r="R141" s="106">
        <f>1230/1000*1</f>
        <v>1.23</v>
      </c>
      <c r="S141" s="89">
        <f t="shared" si="59"/>
        <v>1.23</v>
      </c>
      <c r="T141" s="27">
        <f t="shared" si="60"/>
        <v>1</v>
      </c>
      <c r="U141" s="105">
        <f>0/1000*1</f>
        <v>0</v>
      </c>
      <c r="V141" s="106">
        <f>0/1000*1</f>
        <v>0</v>
      </c>
      <c r="W141" s="89">
        <f t="shared" si="61"/>
        <v>0</v>
      </c>
      <c r="X141" s="26" t="str">
        <f t="shared" si="62"/>
        <v>N/A</v>
      </c>
      <c r="Y141" s="106">
        <f>1230/1000*1</f>
        <v>1.23</v>
      </c>
      <c r="Z141" s="89">
        <f t="shared" si="63"/>
        <v>1.23</v>
      </c>
      <c r="AA141" s="27">
        <f t="shared" si="64"/>
        <v>1</v>
      </c>
      <c r="AB141" s="107">
        <f>4510/1000*1</f>
        <v>4.51</v>
      </c>
      <c r="AC141" s="1"/>
      <c r="AD141" s="1"/>
      <c r="AE141" s="1"/>
      <c r="AF141" s="1"/>
      <c r="AG141" s="1"/>
      <c r="AH141" s="1"/>
      <c r="AI141" s="1"/>
    </row>
    <row r="142" spans="1:35" ht="14.25" hidden="1" outlineLevel="1" x14ac:dyDescent="0.2">
      <c r="A142" s="1"/>
      <c r="B142" s="3"/>
      <c r="C142" s="3"/>
      <c r="D142" s="3" t="s">
        <v>67</v>
      </c>
      <c r="E142" s="3" t="s">
        <v>52</v>
      </c>
      <c r="F142" s="3">
        <v>921</v>
      </c>
      <c r="G142" s="105">
        <f>0/1000*1</f>
        <v>0</v>
      </c>
      <c r="H142" s="106">
        <f>217666.67/1000*1</f>
        <v>217.66667000000001</v>
      </c>
      <c r="I142" s="89">
        <f t="shared" si="53"/>
        <v>-217.66667000000001</v>
      </c>
      <c r="J142" s="26">
        <f t="shared" si="54"/>
        <v>-1</v>
      </c>
      <c r="K142" s="106">
        <f>80006/1000*1</f>
        <v>80.006</v>
      </c>
      <c r="L142" s="89">
        <f t="shared" si="55"/>
        <v>80.006</v>
      </c>
      <c r="M142" s="27">
        <f t="shared" si="56"/>
        <v>1</v>
      </c>
      <c r="N142" s="105">
        <f>0/1000*1</f>
        <v>0</v>
      </c>
      <c r="O142" s="106">
        <f>217666.67/1000*1</f>
        <v>217.66667000000001</v>
      </c>
      <c r="P142" s="89">
        <f t="shared" si="57"/>
        <v>-217.66667000000001</v>
      </c>
      <c r="Q142" s="26">
        <f t="shared" si="58"/>
        <v>-1</v>
      </c>
      <c r="R142" s="106">
        <f>80006/1000*1</f>
        <v>80.006</v>
      </c>
      <c r="S142" s="89">
        <f t="shared" si="59"/>
        <v>80.006</v>
      </c>
      <c r="T142" s="27">
        <f t="shared" si="60"/>
        <v>1</v>
      </c>
      <c r="U142" s="105">
        <f>0/1000*1</f>
        <v>0</v>
      </c>
      <c r="V142" s="106">
        <f>458042.32/1000*1</f>
        <v>458.04232000000002</v>
      </c>
      <c r="W142" s="89">
        <f t="shared" si="61"/>
        <v>-458.04232000000002</v>
      </c>
      <c r="X142" s="26">
        <f t="shared" si="62"/>
        <v>-1</v>
      </c>
      <c r="Y142" s="106">
        <f>80006/1000*1</f>
        <v>80.006</v>
      </c>
      <c r="Z142" s="89">
        <f t="shared" si="63"/>
        <v>80.006</v>
      </c>
      <c r="AA142" s="27">
        <f t="shared" si="64"/>
        <v>1</v>
      </c>
      <c r="AB142" s="107">
        <f>293352/1000*1</f>
        <v>293.35199999999998</v>
      </c>
      <c r="AC142" s="1"/>
      <c r="AD142" s="1"/>
      <c r="AE142" s="1"/>
      <c r="AF142" s="1"/>
      <c r="AG142" s="1"/>
      <c r="AH142" s="1"/>
      <c r="AI142" s="1"/>
    </row>
    <row r="143" spans="1:35" ht="14.25" hidden="1" outlineLevel="1" x14ac:dyDescent="0.2">
      <c r="A143" s="1"/>
      <c r="B143" s="3"/>
      <c r="C143" s="3"/>
      <c r="D143" s="3" t="s">
        <v>67</v>
      </c>
      <c r="E143" s="3" t="s">
        <v>52</v>
      </c>
      <c r="F143" s="3">
        <v>935</v>
      </c>
      <c r="G143" s="105">
        <f>-869.48/1000*1</f>
        <v>-0.86948000000000003</v>
      </c>
      <c r="H143" s="106">
        <f>9296.79/1000*1</f>
        <v>9.2967900000000014</v>
      </c>
      <c r="I143" s="89">
        <f t="shared" si="53"/>
        <v>-10.166270000000001</v>
      </c>
      <c r="J143" s="26">
        <f t="shared" si="54"/>
        <v>-1.0935247542431312</v>
      </c>
      <c r="K143" s="106">
        <f>8319/1000*1</f>
        <v>8.3190000000000008</v>
      </c>
      <c r="L143" s="89">
        <f t="shared" si="55"/>
        <v>9.1884800000000002</v>
      </c>
      <c r="M143" s="27">
        <f t="shared" si="56"/>
        <v>1.104517369876187</v>
      </c>
      <c r="N143" s="105">
        <f>-869.48/1000*1</f>
        <v>-0.86948000000000003</v>
      </c>
      <c r="O143" s="106">
        <f>9296.79/1000*1</f>
        <v>9.2967900000000014</v>
      </c>
      <c r="P143" s="89">
        <f t="shared" si="57"/>
        <v>-10.166270000000001</v>
      </c>
      <c r="Q143" s="26">
        <f t="shared" si="58"/>
        <v>-1.0935247542431312</v>
      </c>
      <c r="R143" s="106">
        <f>8319/1000*1</f>
        <v>8.3190000000000008</v>
      </c>
      <c r="S143" s="89">
        <f t="shared" si="59"/>
        <v>9.1884800000000002</v>
      </c>
      <c r="T143" s="27">
        <f t="shared" si="60"/>
        <v>1.104517369876187</v>
      </c>
      <c r="U143" s="105">
        <f>7593.24/1000*1</f>
        <v>7.5932399999999998</v>
      </c>
      <c r="V143" s="106">
        <f>18593.59/1000*1</f>
        <v>18.593589999999999</v>
      </c>
      <c r="W143" s="89">
        <f t="shared" si="61"/>
        <v>-11.000349999999999</v>
      </c>
      <c r="X143" s="26">
        <f t="shared" si="62"/>
        <v>-0.59162055310459138</v>
      </c>
      <c r="Y143" s="106">
        <f>16781.72/1000*1</f>
        <v>16.78172</v>
      </c>
      <c r="Z143" s="89">
        <f t="shared" si="63"/>
        <v>9.1884800000000002</v>
      </c>
      <c r="AA143" s="27">
        <f t="shared" si="64"/>
        <v>0.54752909713664633</v>
      </c>
      <c r="AB143" s="107">
        <f>38079.72/1000*1</f>
        <v>38.079720000000002</v>
      </c>
      <c r="AC143" s="1"/>
      <c r="AD143" s="1"/>
      <c r="AE143" s="1"/>
      <c r="AF143" s="1"/>
      <c r="AG143" s="1"/>
      <c r="AH143" s="1"/>
      <c r="AI143" s="1"/>
    </row>
    <row r="144" spans="1:35" ht="14.25" hidden="1" outlineLevel="1" x14ac:dyDescent="0.2">
      <c r="A144" s="1"/>
      <c r="B144" s="3"/>
      <c r="C144" s="3"/>
      <c r="D144" s="3" t="s">
        <v>67</v>
      </c>
      <c r="E144" s="3" t="s">
        <v>56</v>
      </c>
      <c r="F144" s="3">
        <v>925</v>
      </c>
      <c r="G144" s="105">
        <f>0/1000*1</f>
        <v>0</v>
      </c>
      <c r="H144" s="106">
        <f>0/1000*1</f>
        <v>0</v>
      </c>
      <c r="I144" s="89">
        <f t="shared" si="53"/>
        <v>0</v>
      </c>
      <c r="J144" s="26" t="str">
        <f t="shared" si="54"/>
        <v>N/A</v>
      </c>
      <c r="K144" s="106">
        <f>2233/1000*1</f>
        <v>2.2330000000000001</v>
      </c>
      <c r="L144" s="89">
        <f t="shared" si="55"/>
        <v>2.2330000000000001</v>
      </c>
      <c r="M144" s="27">
        <f t="shared" si="56"/>
        <v>1</v>
      </c>
      <c r="N144" s="105">
        <f>0/1000*1</f>
        <v>0</v>
      </c>
      <c r="O144" s="106">
        <f>0/1000*1</f>
        <v>0</v>
      </c>
      <c r="P144" s="89">
        <f t="shared" si="57"/>
        <v>0</v>
      </c>
      <c r="Q144" s="26" t="str">
        <f t="shared" si="58"/>
        <v>N/A</v>
      </c>
      <c r="R144" s="106">
        <f>2233/1000*1</f>
        <v>2.2330000000000001</v>
      </c>
      <c r="S144" s="89">
        <f t="shared" si="59"/>
        <v>2.2330000000000001</v>
      </c>
      <c r="T144" s="27">
        <f t="shared" si="60"/>
        <v>1</v>
      </c>
      <c r="U144" s="105">
        <f>0/1000*1</f>
        <v>0</v>
      </c>
      <c r="V144" s="106">
        <f>-1395.44/1000*1</f>
        <v>-1.39544</v>
      </c>
      <c r="W144" s="89">
        <f t="shared" si="61"/>
        <v>1.39544</v>
      </c>
      <c r="X144" s="26">
        <f t="shared" si="62"/>
        <v>-1</v>
      </c>
      <c r="Y144" s="106">
        <f>2233/1000*1</f>
        <v>2.2330000000000001</v>
      </c>
      <c r="Z144" s="89">
        <f t="shared" si="63"/>
        <v>2.2330000000000001</v>
      </c>
      <c r="AA144" s="27">
        <f t="shared" si="64"/>
        <v>1</v>
      </c>
      <c r="AB144" s="107">
        <f>8189/1000*1</f>
        <v>8.1890000000000001</v>
      </c>
      <c r="AC144" s="1"/>
      <c r="AD144" s="1"/>
      <c r="AE144" s="1"/>
      <c r="AF144" s="1"/>
      <c r="AG144" s="1"/>
      <c r="AH144" s="1"/>
      <c r="AI144" s="1"/>
    </row>
    <row r="145" spans="1:35" ht="14.25" hidden="1" outlineLevel="1" x14ac:dyDescent="0.2">
      <c r="A145" s="1"/>
      <c r="B145" s="3"/>
      <c r="C145" s="3"/>
      <c r="D145" s="3"/>
      <c r="E145" s="3"/>
      <c r="F145" s="3"/>
      <c r="G145" s="105"/>
      <c r="H145" s="106"/>
      <c r="I145" s="89"/>
      <c r="J145" s="26"/>
      <c r="K145" s="106"/>
      <c r="L145" s="89"/>
      <c r="M145" s="27"/>
      <c r="N145" s="105"/>
      <c r="O145" s="106"/>
      <c r="P145" s="89"/>
      <c r="Q145" s="26"/>
      <c r="R145" s="106"/>
      <c r="S145" s="89"/>
      <c r="T145" s="27"/>
      <c r="U145" s="105"/>
      <c r="V145" s="106"/>
      <c r="W145" s="89"/>
      <c r="X145" s="26"/>
      <c r="Y145" s="106"/>
      <c r="Z145" s="89"/>
      <c r="AA145" s="27"/>
      <c r="AB145" s="107"/>
      <c r="AC145" s="1"/>
      <c r="AD145" s="1"/>
      <c r="AE145" s="1"/>
      <c r="AF145" s="1"/>
      <c r="AG145" s="1"/>
      <c r="AH145" s="1"/>
      <c r="AI145" s="1"/>
    </row>
    <row r="146" spans="1:35" ht="14.25" hidden="1" outlineLevel="1" x14ac:dyDescent="0.2">
      <c r="A146" s="1"/>
      <c r="B146" s="3"/>
      <c r="C146" s="3"/>
      <c r="D146" s="3"/>
      <c r="E146" s="3"/>
      <c r="F146" s="3"/>
      <c r="G146" s="105"/>
      <c r="H146" s="106"/>
      <c r="I146" s="89"/>
      <c r="J146" s="26"/>
      <c r="K146" s="106"/>
      <c r="L146" s="89"/>
      <c r="M146" s="27"/>
      <c r="N146" s="105"/>
      <c r="O146" s="106"/>
      <c r="P146" s="89"/>
      <c r="Q146" s="26"/>
      <c r="R146" s="106"/>
      <c r="S146" s="89"/>
      <c r="T146" s="27"/>
      <c r="U146" s="105"/>
      <c r="V146" s="106"/>
      <c r="W146" s="89"/>
      <c r="X146" s="26"/>
      <c r="Y146" s="106"/>
      <c r="Z146" s="89"/>
      <c r="AA146" s="27"/>
      <c r="AB146" s="107"/>
      <c r="AC146" s="1"/>
      <c r="AD146" s="1"/>
      <c r="AE146" s="1"/>
      <c r="AF146" s="1"/>
      <c r="AG146" s="1"/>
      <c r="AH146" s="1"/>
      <c r="AI146" s="1"/>
    </row>
    <row r="147" spans="1:35" ht="14.25" hidden="1" outlineLevel="1" x14ac:dyDescent="0.2">
      <c r="A147" s="1"/>
      <c r="B147" s="3"/>
      <c r="C147" s="3"/>
      <c r="D147" s="3"/>
      <c r="E147" s="3"/>
      <c r="F147" s="3"/>
      <c r="G147" s="105"/>
      <c r="H147" s="106"/>
      <c r="I147" s="89"/>
      <c r="J147" s="26"/>
      <c r="K147" s="106"/>
      <c r="L147" s="89"/>
      <c r="M147" s="27"/>
      <c r="N147" s="105"/>
      <c r="O147" s="106"/>
      <c r="P147" s="89"/>
      <c r="Q147" s="26"/>
      <c r="R147" s="106"/>
      <c r="S147" s="89"/>
      <c r="T147" s="27"/>
      <c r="U147" s="105"/>
      <c r="V147" s="106"/>
      <c r="W147" s="89"/>
      <c r="X147" s="26"/>
      <c r="Y147" s="106"/>
      <c r="Z147" s="89"/>
      <c r="AA147" s="27"/>
      <c r="AB147" s="107"/>
      <c r="AC147" s="1"/>
      <c r="AD147" s="1"/>
      <c r="AE147" s="1"/>
      <c r="AF147" s="1"/>
      <c r="AG147" s="1"/>
      <c r="AH147" s="1"/>
      <c r="AI147" s="1"/>
    </row>
    <row r="148" spans="1:35" ht="14.25" collapsed="1" x14ac:dyDescent="0.2">
      <c r="A148" s="1"/>
      <c r="B148" s="3" t="s">
        <v>74</v>
      </c>
      <c r="C148" s="3"/>
      <c r="D148" s="3"/>
      <c r="E148" s="3"/>
      <c r="F148" s="3"/>
      <c r="G148" s="105">
        <f>563153.7/1000*1</f>
        <v>563.15369999999996</v>
      </c>
      <c r="H148" s="106">
        <f>416123.47/1000*1</f>
        <v>416.12347</v>
      </c>
      <c r="I148" s="89">
        <f>G148-H148</f>
        <v>147.03022999999996</v>
      </c>
      <c r="J148" s="26">
        <f>IF(ISERROR(I148/H148),"N/A",IF(ABS(I148/H148)&gt;5,"N/A",I148/H148))</f>
        <v>0.35333318257679619</v>
      </c>
      <c r="K148" s="106">
        <f>115000/1000*1</f>
        <v>115</v>
      </c>
      <c r="L148" s="89">
        <f>K148-G148</f>
        <v>-448.15369999999996</v>
      </c>
      <c r="M148" s="27">
        <f>IF(ISERROR(L148/K148),"N/A",IF(ABS(L148/K148)&gt;5,"N/A",L148/K148))</f>
        <v>-3.8969886956521735</v>
      </c>
      <c r="N148" s="105">
        <f>563033.67/1000*1</f>
        <v>563.03367000000003</v>
      </c>
      <c r="O148" s="106">
        <f>416123.47/1000*1</f>
        <v>416.12347</v>
      </c>
      <c r="P148" s="89">
        <f>N148-O148</f>
        <v>146.91020000000003</v>
      </c>
      <c r="Q148" s="26">
        <f>IF(ISERROR(P148/O148),"N/A",IF(ABS(P148/O148)&gt;5,"N/A",P148/O148))</f>
        <v>0.353044734535161</v>
      </c>
      <c r="R148" s="106">
        <f>114879.97/1000*1</f>
        <v>114.87997</v>
      </c>
      <c r="S148" s="89">
        <f>R148-N148</f>
        <v>-448.15370000000001</v>
      </c>
      <c r="T148" s="27">
        <f>IF(ISERROR(S148/R148),"N/A",IF(ABS(S148/R148)&gt;5,"N/A",S148/R148))</f>
        <v>-3.9010603850262147</v>
      </c>
      <c r="U148" s="105">
        <f>707634.43/1000*1</f>
        <v>707.63443000000007</v>
      </c>
      <c r="V148" s="106">
        <f>972000.18/1000*1</f>
        <v>972.00018</v>
      </c>
      <c r="W148" s="89">
        <f>U148-V148</f>
        <v>-264.36574999999993</v>
      </c>
      <c r="X148" s="26">
        <f>IF(ISERROR(W148/V148),"N/A",IF(ABS(W148/V148)&gt;5,"N/A",W148/V148))</f>
        <v>-0.27198117391295129</v>
      </c>
      <c r="Y148" s="106">
        <f>259480.73/1000*1</f>
        <v>259.48072999999999</v>
      </c>
      <c r="Z148" s="89">
        <f>Y148-U148</f>
        <v>-448.15370000000007</v>
      </c>
      <c r="AA148" s="27">
        <f>IF(ISERROR(Z148/Y148),"N/A",IF(ABS(Z148/Y148)&gt;5,"N/A",Z148/Y148))</f>
        <v>-1.7271174626339307</v>
      </c>
      <c r="AB148" s="107">
        <f>469480.73/1000*1</f>
        <v>469.48072999999999</v>
      </c>
      <c r="AC148" s="1"/>
      <c r="AD148" s="1"/>
      <c r="AE148" s="1"/>
      <c r="AF148" s="1"/>
      <c r="AG148" s="1"/>
      <c r="AH148" s="1"/>
      <c r="AI148" s="1"/>
    </row>
    <row r="149" spans="1:35" ht="5.0999999999999996" customHeight="1" x14ac:dyDescent="0.2">
      <c r="A149" s="1"/>
      <c r="B149" s="3"/>
      <c r="C149" s="3"/>
      <c r="D149" s="3"/>
      <c r="E149" s="3"/>
      <c r="F149" s="3"/>
      <c r="G149" s="109"/>
      <c r="H149" s="110"/>
      <c r="I149" s="111"/>
      <c r="J149" s="38"/>
      <c r="K149" s="110"/>
      <c r="L149" s="111"/>
      <c r="M149" s="39"/>
      <c r="N149" s="109"/>
      <c r="O149" s="110"/>
      <c r="P149" s="111"/>
      <c r="Q149" s="38"/>
      <c r="R149" s="110"/>
      <c r="S149" s="111"/>
      <c r="T149" s="39"/>
      <c r="U149" s="109"/>
      <c r="V149" s="110"/>
      <c r="W149" s="111"/>
      <c r="X149" s="38"/>
      <c r="Y149" s="110"/>
      <c r="Z149" s="111"/>
      <c r="AA149" s="39"/>
      <c r="AB149" s="112"/>
      <c r="AC149" s="1"/>
      <c r="AD149" s="1"/>
      <c r="AE149" s="1"/>
      <c r="AF149" s="1"/>
      <c r="AG149" s="1"/>
      <c r="AH149" s="1"/>
      <c r="AI149" s="1"/>
    </row>
    <row r="150" spans="1:35" x14ac:dyDescent="0.25">
      <c r="A150" s="1"/>
      <c r="B150" s="2" t="s">
        <v>34</v>
      </c>
      <c r="C150" s="3"/>
      <c r="D150" s="3"/>
      <c r="E150" s="3"/>
      <c r="F150" s="3"/>
      <c r="G150" s="105">
        <f>SUM(G13,G25,G51,G55,G62,G68,G74,G100,G106,G118,G148)</f>
        <v>4491.8409700000011</v>
      </c>
      <c r="H150" s="106">
        <f>SUM(H13,H25,H51,H55,H62,H68,H74,H100,H106,H118,H148)</f>
        <v>7537.8852100000022</v>
      </c>
      <c r="I150" s="89">
        <f>G150-H150</f>
        <v>-3046.0442400000011</v>
      </c>
      <c r="J150" s="26">
        <f>IF(ISERROR(I150/H150),"N/A",IF(ABS(I150/H150)&gt;5,"N/A",I150/H150))</f>
        <v>-0.40409798705332106</v>
      </c>
      <c r="K150" s="106">
        <f>SUM(K13,K25,K51,K55,K62,K68,K74,K100,K106,K118,K148)</f>
        <v>6251.9196374410003</v>
      </c>
      <c r="L150" s="89">
        <f>K150-G150</f>
        <v>1760.0786674409992</v>
      </c>
      <c r="M150" s="27">
        <f>IF(ISERROR(L150/K150),"N/A",IF(ABS(L150/K150)&gt;5,"N/A",L150/K150))</f>
        <v>0.28152611829819113</v>
      </c>
      <c r="N150" s="105">
        <f>SUM(N13,N25,N51,N55,N62,N68,N74,N100,N106,N118,N148)</f>
        <v>14214.87088</v>
      </c>
      <c r="O150" s="106">
        <f>SUM(O13,O25,O51,O55,O62,O68,O74,O100,O106,O118,O148)</f>
        <v>18124.298470000002</v>
      </c>
      <c r="P150" s="89">
        <f>N150-O150</f>
        <v>-3909.4275900000011</v>
      </c>
      <c r="Q150" s="26">
        <f>IF(ISERROR(P150/O150),"N/A",IF(ABS(P150/O150)&gt;5,"N/A",P150/O150))</f>
        <v>-0.21570090541551321</v>
      </c>
      <c r="R150" s="106">
        <f>SUM(R13,R25,R51,R55,R62,R68,R74,R100,R106,R118,R148)</f>
        <v>15449.543283625</v>
      </c>
      <c r="S150" s="89">
        <f>R150-N150</f>
        <v>1234.6724036249998</v>
      </c>
      <c r="T150" s="27">
        <f>IF(ISERROR(S150/R150),"N/A",IF(ABS(S150/R150)&gt;5,"N/A",S150/R150))</f>
        <v>7.9916433836178927E-2</v>
      </c>
      <c r="U150" s="105">
        <f>SUM(U13,U25,U51,U55,U62,U68,U74,U100,U106,U118,U148)</f>
        <v>38134.634239999999</v>
      </c>
      <c r="V150" s="106">
        <f>SUM(V13,V25,V51,V55,V62,V68,V74,V100,V106,V118,V148)</f>
        <v>35028.262750000002</v>
      </c>
      <c r="W150" s="89">
        <f>U150-V150</f>
        <v>3106.3714899999977</v>
      </c>
      <c r="X150" s="26">
        <f>IF(ISERROR(W150/V150),"N/A",IF(ABS(W150/V150)&gt;5,"N/A",W150/V150))</f>
        <v>8.8681859907539878E-2</v>
      </c>
      <c r="Y150" s="106">
        <f>SUM(Y13,Y25,Y51,Y55,Y62,Y68,Y74,Y100,Y106,Y118,Y148)</f>
        <v>39369.306643625008</v>
      </c>
      <c r="Z150" s="89">
        <f>Y150-U150</f>
        <v>1234.6724036250089</v>
      </c>
      <c r="AA150" s="27">
        <f>IF(ISERROR(Z150/Y150),"N/A",IF(ABS(Z150/Y150)&gt;5,"N/A",Z150/Y150))</f>
        <v>3.1361294086314238E-2</v>
      </c>
      <c r="AB150" s="107">
        <f>SUM(AB13,AB25,AB51,AB55,AB62,AB68,AB74,AB100,AB106,AB118,AB148)</f>
        <v>76571.117758226988</v>
      </c>
      <c r="AC150" s="1"/>
      <c r="AD150" s="1"/>
      <c r="AE150" s="1"/>
      <c r="AF150" s="1"/>
      <c r="AG150" s="1"/>
      <c r="AH150" s="1"/>
      <c r="AI150" s="1"/>
    </row>
    <row r="151" spans="1:35" ht="5.0999999999999996" customHeight="1" x14ac:dyDescent="0.2">
      <c r="A151" s="1"/>
      <c r="B151" s="3"/>
      <c r="C151" s="3"/>
      <c r="D151" s="3"/>
      <c r="E151" s="3"/>
      <c r="F151" s="3"/>
      <c r="G151" s="105"/>
      <c r="H151" s="106"/>
      <c r="I151" s="89"/>
      <c r="J151" s="26"/>
      <c r="K151" s="106"/>
      <c r="L151" s="89"/>
      <c r="M151" s="27"/>
      <c r="N151" s="105"/>
      <c r="O151" s="106"/>
      <c r="P151" s="89"/>
      <c r="Q151" s="26"/>
      <c r="R151" s="106"/>
      <c r="S151" s="89"/>
      <c r="T151" s="27"/>
      <c r="U151" s="105"/>
      <c r="V151" s="106"/>
      <c r="W151" s="89"/>
      <c r="X151" s="26"/>
      <c r="Y151" s="106"/>
      <c r="Z151" s="89"/>
      <c r="AA151" s="27"/>
      <c r="AB151" s="107"/>
      <c r="AC151" s="1"/>
      <c r="AD151" s="1"/>
      <c r="AE151" s="1"/>
      <c r="AF151" s="1"/>
      <c r="AG151" s="1"/>
      <c r="AH151" s="1"/>
      <c r="AI151" s="1"/>
    </row>
    <row r="152" spans="1:35" x14ac:dyDescent="0.25">
      <c r="A152" s="1"/>
      <c r="B152" s="3"/>
      <c r="C152" s="3"/>
      <c r="D152" s="3"/>
      <c r="E152" s="3"/>
      <c r="F152" s="3"/>
      <c r="G152" s="95"/>
      <c r="H152" s="45"/>
      <c r="I152" s="45"/>
      <c r="J152" s="45"/>
      <c r="K152" s="45"/>
      <c r="L152" s="45"/>
      <c r="M152" s="46"/>
      <c r="N152" s="95"/>
      <c r="O152" s="45"/>
      <c r="P152" s="45"/>
      <c r="Q152" s="45"/>
      <c r="R152" s="45"/>
      <c r="S152" s="45"/>
      <c r="T152" s="46"/>
      <c r="U152" s="95"/>
      <c r="V152" s="45"/>
      <c r="W152" s="45"/>
      <c r="X152" s="45"/>
      <c r="Y152" s="45"/>
      <c r="Z152" s="45"/>
      <c r="AA152" s="46"/>
      <c r="AB152" s="96"/>
      <c r="AC152" s="1"/>
      <c r="AD152" s="1"/>
      <c r="AE152" s="1"/>
      <c r="AF152" s="1"/>
      <c r="AG152" s="1"/>
      <c r="AH152" s="1"/>
      <c r="AI152" s="1"/>
    </row>
    <row r="153" spans="1:35" ht="14.25" x14ac:dyDescent="0.2">
      <c r="A153" s="1"/>
      <c r="B153" s="3" t="s">
        <v>49</v>
      </c>
      <c r="C153" s="3"/>
      <c r="D153" s="3"/>
      <c r="E153" s="3"/>
      <c r="F153" s="3"/>
      <c r="G153" s="102">
        <f>SUM(G154:G157)</f>
        <v>2.6001900000000004</v>
      </c>
      <c r="H153" s="103">
        <f>SUM(H154:H157)</f>
        <v>109.58387</v>
      </c>
      <c r="I153" s="89">
        <f>G153-H153</f>
        <v>-106.98368000000001</v>
      </c>
      <c r="J153" s="26">
        <f>IF(ISERROR(I153/H153),"N/A",IF(ABS(I153/H153)&gt;5,"N/A",I153/H153))</f>
        <v>-0.97627214662157857</v>
      </c>
      <c r="K153" s="103">
        <f>SUM(K154:K157)</f>
        <v>50.413531556000002</v>
      </c>
      <c r="L153" s="89">
        <f>K153-G153</f>
        <v>47.813341556000005</v>
      </c>
      <c r="M153" s="27">
        <f>IF(ISERROR(L153/K153),"N/A",IF(ABS(L153/K153)&gt;5,"N/A",L153/K153))</f>
        <v>0.94842277619230719</v>
      </c>
      <c r="N153" s="102">
        <f>SUM(N154:N157)</f>
        <v>119.20317999999999</v>
      </c>
      <c r="O153" s="103">
        <f>SUM(O154:O157)</f>
        <v>164.61149999999998</v>
      </c>
      <c r="P153" s="89">
        <f>N153-O153</f>
        <v>-45.408319999999989</v>
      </c>
      <c r="Q153" s="26">
        <f>IF(ISERROR(P153/O153),"N/A",IF(ABS(P153/O153)&gt;5,"N/A",P153/O153))</f>
        <v>-0.27585144415791119</v>
      </c>
      <c r="R153" s="103">
        <f>SUM(R154:R157)</f>
        <v>150.58028311199999</v>
      </c>
      <c r="S153" s="89">
        <f>R153-N153</f>
        <v>31.377103112</v>
      </c>
      <c r="T153" s="27">
        <f>IF(ISERROR(S153/R153),"N/A",IF(ABS(S153/R153)&gt;5,"N/A",S153/R153))</f>
        <v>0.20837457908524484</v>
      </c>
      <c r="U153" s="102">
        <f>SUM(U154:U157)</f>
        <v>266.71593999999999</v>
      </c>
      <c r="V153" s="103">
        <f>SUM(V154:V157)</f>
        <v>429.34642000000002</v>
      </c>
      <c r="W153" s="89">
        <f>U153-V153</f>
        <v>-162.63048000000003</v>
      </c>
      <c r="X153" s="26">
        <f>IF(ISERROR(W153/V153),"N/A",IF(ABS(W153/V153)&gt;5,"N/A",W153/V153))</f>
        <v>-0.37878615594372494</v>
      </c>
      <c r="Y153" s="103">
        <f>SUM(Y154:Y157)</f>
        <v>298.09304311199998</v>
      </c>
      <c r="Z153" s="89">
        <f>Y153-U153</f>
        <v>31.377103111999986</v>
      </c>
      <c r="AA153" s="27">
        <f>IF(ISERROR(Z153/Y153),"N/A",IF(ABS(Z153/Y153)&gt;5,"N/A",Z153/Y153))</f>
        <v>0.10525942767544204</v>
      </c>
      <c r="AB153" s="104">
        <f>SUM(AB154:AB157)</f>
        <v>707.46568614399996</v>
      </c>
      <c r="AC153" s="1"/>
      <c r="AD153" s="1"/>
      <c r="AE153" s="1"/>
      <c r="AF153" s="1"/>
      <c r="AG153" s="1"/>
      <c r="AH153" s="1"/>
      <c r="AI153" s="1"/>
    </row>
    <row r="154" spans="1:35" ht="14.25" hidden="1" outlineLevel="1" x14ac:dyDescent="0.2">
      <c r="A154" s="1"/>
      <c r="B154" s="3"/>
      <c r="C154" s="3"/>
      <c r="D154" s="3" t="s">
        <v>50</v>
      </c>
      <c r="E154" s="3" t="s">
        <v>75</v>
      </c>
      <c r="F154" s="3">
        <v>930</v>
      </c>
      <c r="G154" s="24">
        <f>4814.18/1000*1</f>
        <v>4.8141800000000003</v>
      </c>
      <c r="H154" s="25">
        <f>83751.13/1000*1</f>
        <v>83.751130000000003</v>
      </c>
      <c r="I154" s="99">
        <f>G154-H154</f>
        <v>-78.936949999999996</v>
      </c>
      <c r="J154" s="26">
        <f>IF(ISERROR(I154/H154),"N/A",IF(ABS(I154/H154)&gt;5,"N/A",I154/H154))</f>
        <v>-0.94251802930897755</v>
      </c>
      <c r="K154" s="25">
        <f>50413.531556/1000*1</f>
        <v>50.413531556000002</v>
      </c>
      <c r="L154" s="99">
        <f>K154-G154</f>
        <v>45.599351556000002</v>
      </c>
      <c r="M154" s="27">
        <f>IF(ISERROR(L154/K154),"N/A",IF(ABS(L154/K154)&gt;5,"N/A",L154/K154))</f>
        <v>0.90450619404331267</v>
      </c>
      <c r="N154" s="24">
        <f>111150.04/1000*1</f>
        <v>111.15003999999999</v>
      </c>
      <c r="O154" s="25">
        <f>150274.59/1000*1</f>
        <v>150.27458999999999</v>
      </c>
      <c r="P154" s="99">
        <f>N154-O154</f>
        <v>-39.124549999999999</v>
      </c>
      <c r="Q154" s="26">
        <f>IF(ISERROR(P154/O154),"N/A",IF(ABS(P154/O154)&gt;5,"N/A",P154/O154))</f>
        <v>-0.26035372979556959</v>
      </c>
      <c r="R154" s="25">
        <f>134425.373112/1000*1</f>
        <v>134.42537311199999</v>
      </c>
      <c r="S154" s="99">
        <f>R154-N154</f>
        <v>23.275333111999998</v>
      </c>
      <c r="T154" s="27">
        <f>IF(ISERROR(S154/R154),"N/A",IF(ABS(S154/R154)&gt;5,"N/A",S154/R154))</f>
        <v>0.17314687378704577</v>
      </c>
      <c r="U154" s="24">
        <f>252387.01/1000*1</f>
        <v>252.38701</v>
      </c>
      <c r="V154" s="25">
        <f>414214.89/1000*1</f>
        <v>414.21489000000003</v>
      </c>
      <c r="W154" s="99">
        <f>U154-V154</f>
        <v>-161.82788000000002</v>
      </c>
      <c r="X154" s="26">
        <f>IF(ISERROR(W154/V154),"N/A",IF(ABS(W154/V154)&gt;5,"N/A",W154/V154))</f>
        <v>-0.39068581044974027</v>
      </c>
      <c r="Y154" s="25">
        <f>275662.343112/1000*1</f>
        <v>275.66234311199997</v>
      </c>
      <c r="Z154" s="99">
        <f>Y154-U154</f>
        <v>23.27533311199997</v>
      </c>
      <c r="AA154" s="27">
        <f>IF(ISERROR(Z154/Y154),"N/A",IF(ABS(Z154/Y154)&gt;5,"N/A",Z154/Y154))</f>
        <v>8.4434213426617138E-2</v>
      </c>
      <c r="AB154" s="28">
        <f>685034.986144/1000*1</f>
        <v>685.03498614399996</v>
      </c>
      <c r="AC154" s="1"/>
      <c r="AD154" s="1"/>
      <c r="AE154" s="1"/>
      <c r="AF154" s="1"/>
      <c r="AG154" s="1"/>
      <c r="AH154" s="1"/>
      <c r="AI154" s="1"/>
    </row>
    <row r="155" spans="1:35" ht="14.25" hidden="1" outlineLevel="1" x14ac:dyDescent="0.2">
      <c r="A155" s="1"/>
      <c r="B155" s="3"/>
      <c r="C155" s="3"/>
      <c r="D155" s="3" t="s">
        <v>50</v>
      </c>
      <c r="E155" s="3" t="s">
        <v>75</v>
      </c>
      <c r="F155" s="3">
        <v>931</v>
      </c>
      <c r="G155" s="24">
        <f>0/1000*1</f>
        <v>0</v>
      </c>
      <c r="H155" s="25">
        <f>0/1000*1</f>
        <v>0</v>
      </c>
      <c r="I155" s="99">
        <f>G155-H155</f>
        <v>0</v>
      </c>
      <c r="J155" s="26" t="str">
        <f>IF(ISERROR(I155/H155),"N/A",IF(ABS(I155/H155)&gt;5,"N/A",I155/H155))</f>
        <v>N/A</v>
      </c>
      <c r="K155" s="25">
        <f>0/1000*1</f>
        <v>0</v>
      </c>
      <c r="L155" s="99">
        <f>K155-G155</f>
        <v>0</v>
      </c>
      <c r="M155" s="27" t="str">
        <f>IF(ISERROR(L155/K155),"N/A",IF(ABS(L155/K155)&gt;5,"N/A",L155/K155))</f>
        <v>N/A</v>
      </c>
      <c r="N155" s="24">
        <f>0/1000*1</f>
        <v>0</v>
      </c>
      <c r="O155" s="25">
        <f>0/1000*1</f>
        <v>0</v>
      </c>
      <c r="P155" s="99">
        <f>N155-O155</f>
        <v>0</v>
      </c>
      <c r="Q155" s="26" t="str">
        <f>IF(ISERROR(P155/O155),"N/A",IF(ABS(P155/O155)&gt;5,"N/A",P155/O155))</f>
        <v>N/A</v>
      </c>
      <c r="R155" s="25">
        <f>0/1000*1</f>
        <v>0</v>
      </c>
      <c r="S155" s="99">
        <f>R155-N155</f>
        <v>0</v>
      </c>
      <c r="T155" s="27" t="str">
        <f>IF(ISERROR(S155/R155),"N/A",IF(ABS(S155/R155)&gt;5,"N/A",S155/R155))</f>
        <v>N/A</v>
      </c>
      <c r="U155" s="24">
        <f>0/1000*1</f>
        <v>0</v>
      </c>
      <c r="V155" s="25">
        <f>4.33/1000*1</f>
        <v>4.3299999999999996E-3</v>
      </c>
      <c r="W155" s="99">
        <f>U155-V155</f>
        <v>-4.3299999999999996E-3</v>
      </c>
      <c r="X155" s="26">
        <f>IF(ISERROR(W155/V155),"N/A",IF(ABS(W155/V155)&gt;5,"N/A",W155/V155))</f>
        <v>-1</v>
      </c>
      <c r="Y155" s="25">
        <f>0/1000*1</f>
        <v>0</v>
      </c>
      <c r="Z155" s="99">
        <f>Y155-U155</f>
        <v>0</v>
      </c>
      <c r="AA155" s="27" t="str">
        <f>IF(ISERROR(Z155/Y155),"N/A",IF(ABS(Z155/Y155)&gt;5,"N/A",Z155/Y155))</f>
        <v>N/A</v>
      </c>
      <c r="AB155" s="28">
        <f>0/1000*1</f>
        <v>0</v>
      </c>
      <c r="AC155" s="1"/>
      <c r="AD155" s="1"/>
      <c r="AE155" s="1"/>
      <c r="AF155" s="1"/>
      <c r="AG155" s="1"/>
      <c r="AH155" s="1"/>
      <c r="AI155" s="1"/>
    </row>
    <row r="156" spans="1:35" ht="14.25" hidden="1" outlineLevel="1" x14ac:dyDescent="0.2">
      <c r="A156" s="1"/>
      <c r="B156" s="3"/>
      <c r="C156" s="3"/>
      <c r="D156" s="3" t="s">
        <v>50</v>
      </c>
      <c r="E156" s="3" t="s">
        <v>76</v>
      </c>
      <c r="F156" s="3">
        <v>930</v>
      </c>
      <c r="G156" s="24">
        <f>-2213.99/1000*1</f>
        <v>-2.2139899999999999</v>
      </c>
      <c r="H156" s="25">
        <f>25832.74/1000*1</f>
        <v>25.832740000000001</v>
      </c>
      <c r="I156" s="99">
        <f>G156-H156</f>
        <v>-28.04673</v>
      </c>
      <c r="J156" s="26">
        <f>IF(ISERROR(I156/H156),"N/A",IF(ABS(I156/H156)&gt;5,"N/A",I156/H156))</f>
        <v>-1.0857048071555708</v>
      </c>
      <c r="K156" s="25">
        <f>0/1000*1</f>
        <v>0</v>
      </c>
      <c r="L156" s="99">
        <f>K156-G156</f>
        <v>2.2139899999999999</v>
      </c>
      <c r="M156" s="27" t="str">
        <f>IF(ISERROR(L156/K156),"N/A",IF(ABS(L156/K156)&gt;5,"N/A",L156/K156))</f>
        <v>N/A</v>
      </c>
      <c r="N156" s="24">
        <f>8053.14/1000*1</f>
        <v>8.0531400000000009</v>
      </c>
      <c r="O156" s="25">
        <f>14336.91/1000*1</f>
        <v>14.33691</v>
      </c>
      <c r="P156" s="99">
        <f>N156-O156</f>
        <v>-6.2837699999999987</v>
      </c>
      <c r="Q156" s="26">
        <f>IF(ISERROR(P156/O156),"N/A",IF(ABS(P156/O156)&gt;5,"N/A",P156/O156))</f>
        <v>-0.43829318869965694</v>
      </c>
      <c r="R156" s="25">
        <f>16154.91/1000*1</f>
        <v>16.154910000000001</v>
      </c>
      <c r="S156" s="99">
        <f>R156-N156</f>
        <v>8.1017700000000001</v>
      </c>
      <c r="T156" s="27">
        <f>IF(ISERROR(S156/R156),"N/A",IF(ABS(S156/R156)&gt;5,"N/A",S156/R156))</f>
        <v>0.5015051151631299</v>
      </c>
      <c r="U156" s="24">
        <f>14328.93/1000*1</f>
        <v>14.32893</v>
      </c>
      <c r="V156" s="25">
        <f>15127.2/1000*1</f>
        <v>15.1272</v>
      </c>
      <c r="W156" s="99">
        <f>U156-V156</f>
        <v>-0.79827000000000048</v>
      </c>
      <c r="X156" s="26">
        <f>IF(ISERROR(W156/V156),"N/A",IF(ABS(W156/V156)&gt;5,"N/A",W156/V156))</f>
        <v>-5.2770506108202477E-2</v>
      </c>
      <c r="Y156" s="25">
        <f>22430.7/1000*1</f>
        <v>22.430700000000002</v>
      </c>
      <c r="Z156" s="99">
        <f>Y156-U156</f>
        <v>8.1017700000000019</v>
      </c>
      <c r="AA156" s="27">
        <f>IF(ISERROR(Z156/Y156),"N/A",IF(ABS(Z156/Y156)&gt;5,"N/A",Z156/Y156))</f>
        <v>0.36119113536358655</v>
      </c>
      <c r="AB156" s="28">
        <f>22430.7/1000*1</f>
        <v>22.430700000000002</v>
      </c>
      <c r="AC156" s="1"/>
      <c r="AD156" s="1"/>
      <c r="AE156" s="1"/>
      <c r="AF156" s="1"/>
      <c r="AG156" s="1"/>
      <c r="AH156" s="1"/>
      <c r="AI156" s="1"/>
    </row>
    <row r="157" spans="1:35" ht="14.25" hidden="1" outlineLevel="1" x14ac:dyDescent="0.2">
      <c r="A157" s="1"/>
      <c r="B157" s="3"/>
      <c r="C157" s="3"/>
      <c r="D157" s="3"/>
      <c r="E157" s="3"/>
      <c r="F157" s="3"/>
      <c r="G157" s="24"/>
      <c r="H157" s="25"/>
      <c r="I157" s="99"/>
      <c r="J157" s="26"/>
      <c r="K157" s="25"/>
      <c r="L157" s="99"/>
      <c r="M157" s="27"/>
      <c r="N157" s="24"/>
      <c r="O157" s="25"/>
      <c r="P157" s="99"/>
      <c r="Q157" s="26"/>
      <c r="R157" s="25"/>
      <c r="S157" s="99"/>
      <c r="T157" s="27"/>
      <c r="U157" s="24"/>
      <c r="V157" s="25"/>
      <c r="W157" s="99"/>
      <c r="X157" s="26"/>
      <c r="Y157" s="25"/>
      <c r="Z157" s="99"/>
      <c r="AA157" s="27"/>
      <c r="AB157" s="28"/>
      <c r="AC157" s="1"/>
      <c r="AD157" s="1"/>
      <c r="AE157" s="1"/>
      <c r="AF157" s="1"/>
      <c r="AG157" s="1"/>
      <c r="AH157" s="1"/>
      <c r="AI157" s="1"/>
    </row>
    <row r="158" spans="1:35" ht="14.25" hidden="1" outlineLevel="1" x14ac:dyDescent="0.2">
      <c r="A158" s="1"/>
      <c r="B158" s="3"/>
      <c r="C158" s="3"/>
      <c r="D158" s="3"/>
      <c r="E158" s="3"/>
      <c r="F158" s="3"/>
      <c r="G158" s="24"/>
      <c r="H158" s="25"/>
      <c r="I158" s="99"/>
      <c r="J158" s="26"/>
      <c r="K158" s="25"/>
      <c r="L158" s="99"/>
      <c r="M158" s="27"/>
      <c r="N158" s="24"/>
      <c r="O158" s="25"/>
      <c r="P158" s="99"/>
      <c r="Q158" s="26"/>
      <c r="R158" s="25"/>
      <c r="S158" s="99"/>
      <c r="T158" s="27"/>
      <c r="U158" s="24"/>
      <c r="V158" s="25"/>
      <c r="W158" s="99"/>
      <c r="X158" s="26"/>
      <c r="Y158" s="25"/>
      <c r="Z158" s="99"/>
      <c r="AA158" s="27"/>
      <c r="AB158" s="28"/>
      <c r="AC158" s="1"/>
      <c r="AD158" s="1"/>
      <c r="AE158" s="1"/>
      <c r="AF158" s="1"/>
      <c r="AG158" s="1"/>
      <c r="AH158" s="1"/>
      <c r="AI158" s="1"/>
    </row>
    <row r="159" spans="1:35" ht="14.25" collapsed="1" x14ac:dyDescent="0.2">
      <c r="A159" s="1"/>
      <c r="B159" s="3" t="s">
        <v>58</v>
      </c>
      <c r="C159" s="3"/>
      <c r="D159" s="3"/>
      <c r="E159" s="3"/>
      <c r="F159" s="3"/>
      <c r="G159" s="102">
        <f>SUM(G160:G175)</f>
        <v>41.582329999999999</v>
      </c>
      <c r="H159" s="103">
        <f>SUM(H160:H175)</f>
        <v>12.1159</v>
      </c>
      <c r="I159" s="89">
        <f t="shared" ref="I159:I174" si="65">G159-H159</f>
        <v>29.466429999999999</v>
      </c>
      <c r="J159" s="26">
        <f t="shared" ref="J159:J174" si="66">IF(ISERROR(I159/H159),"N/A",IF(ABS(I159/H159)&gt;5,"N/A",I159/H159))</f>
        <v>2.4320463192994328</v>
      </c>
      <c r="K159" s="103">
        <f>SUM(K160:K175)</f>
        <v>7.1486243690000002</v>
      </c>
      <c r="L159" s="89">
        <f t="shared" ref="L159:L174" si="67">K159-G159</f>
        <v>-34.433705630999995</v>
      </c>
      <c r="M159" s="27">
        <f t="shared" ref="M159:M174" si="68">IF(ISERROR(L159/K159),"N/A",IF(ABS(L159/K159)&gt;5,"N/A",L159/K159))</f>
        <v>-4.8168296239373989</v>
      </c>
      <c r="N159" s="102">
        <f>SUM(N160:N175)</f>
        <v>68.262029999999996</v>
      </c>
      <c r="O159" s="103">
        <f>SUM(O160:O175)</f>
        <v>41.303730000000002</v>
      </c>
      <c r="P159" s="89">
        <f t="shared" ref="P159:P174" si="69">N159-O159</f>
        <v>26.958299999999994</v>
      </c>
      <c r="Q159" s="26">
        <f t="shared" ref="Q159:Q174" si="70">IF(ISERROR(P159/O159),"N/A",IF(ABS(P159/O159)&gt;5,"N/A",P159/O159))</f>
        <v>0.65268439436341452</v>
      </c>
      <c r="R159" s="103">
        <f>SUM(R160:R175)</f>
        <v>34.523008738000001</v>
      </c>
      <c r="S159" s="89">
        <f t="shared" ref="S159:S174" si="71">R159-N159</f>
        <v>-33.739021261999994</v>
      </c>
      <c r="T159" s="27">
        <f t="shared" ref="T159:T174" si="72">IF(ISERROR(S159/R159),"N/A",IF(ABS(S159/R159)&gt;5,"N/A",S159/R159))</f>
        <v>-0.97729087050465968</v>
      </c>
      <c r="U159" s="102">
        <f>SUM(U160:U175)</f>
        <v>84.276989999999998</v>
      </c>
      <c r="V159" s="103">
        <f>SUM(V160:V175)</f>
        <v>59.631339999999994</v>
      </c>
      <c r="W159" s="89">
        <f t="shared" ref="W159:W174" si="73">U159-V159</f>
        <v>24.645650000000003</v>
      </c>
      <c r="X159" s="26">
        <f t="shared" ref="X159:X174" si="74">IF(ISERROR(W159/V159),"N/A",IF(ABS(W159/V159)&gt;5,"N/A",W159/V159))</f>
        <v>0.41330028806999819</v>
      </c>
      <c r="Y159" s="103">
        <f>SUM(Y160:Y175)</f>
        <v>50.537968738000004</v>
      </c>
      <c r="Z159" s="89">
        <f t="shared" ref="Z159:Z174" si="75">Y159-U159</f>
        <v>-33.739021261999994</v>
      </c>
      <c r="AA159" s="27">
        <f t="shared" ref="AA159:AA174" si="76">IF(ISERROR(Z159/Y159),"N/A",IF(ABS(Z159/Y159)&gt;5,"N/A",Z159/Y159))</f>
        <v>-0.66759749361733423</v>
      </c>
      <c r="AB159" s="104">
        <f>SUM(AB160:AB175)</f>
        <v>105.630693017</v>
      </c>
      <c r="AC159" s="1"/>
      <c r="AD159" s="1"/>
      <c r="AE159" s="1"/>
      <c r="AF159" s="1"/>
      <c r="AG159" s="1"/>
      <c r="AH159" s="1"/>
      <c r="AI159" s="1"/>
    </row>
    <row r="160" spans="1:35" ht="14.25" hidden="1" outlineLevel="1" x14ac:dyDescent="0.2">
      <c r="A160" s="1"/>
      <c r="B160" s="3"/>
      <c r="C160" s="3"/>
      <c r="D160" s="3" t="s">
        <v>59</v>
      </c>
      <c r="E160" s="3" t="s">
        <v>75</v>
      </c>
      <c r="F160" s="3">
        <v>810</v>
      </c>
      <c r="G160" s="105">
        <f t="shared" ref="G160:H164" si="77">0/1000*1</f>
        <v>0</v>
      </c>
      <c r="H160" s="106">
        <f t="shared" si="77"/>
        <v>0</v>
      </c>
      <c r="I160" s="89">
        <f t="shared" si="65"/>
        <v>0</v>
      </c>
      <c r="J160" s="26" t="str">
        <f t="shared" si="66"/>
        <v>N/A</v>
      </c>
      <c r="K160" s="106">
        <f t="shared" ref="K160:K173" si="78">0/1000*1</f>
        <v>0</v>
      </c>
      <c r="L160" s="89">
        <f t="shared" si="67"/>
        <v>0</v>
      </c>
      <c r="M160" s="27" t="str">
        <f t="shared" si="68"/>
        <v>N/A</v>
      </c>
      <c r="N160" s="105">
        <f t="shared" ref="N160:O162" si="79">0/1000*1</f>
        <v>0</v>
      </c>
      <c r="O160" s="106">
        <f t="shared" si="79"/>
        <v>0</v>
      </c>
      <c r="P160" s="89">
        <f t="shared" si="69"/>
        <v>0</v>
      </c>
      <c r="Q160" s="26" t="str">
        <f t="shared" si="70"/>
        <v>N/A</v>
      </c>
      <c r="R160" s="106">
        <f>0/1000*1</f>
        <v>0</v>
      </c>
      <c r="S160" s="89">
        <f t="shared" si="71"/>
        <v>0</v>
      </c>
      <c r="T160" s="27" t="str">
        <f t="shared" si="72"/>
        <v>N/A</v>
      </c>
      <c r="U160" s="105">
        <f>0/1000*1</f>
        <v>0</v>
      </c>
      <c r="V160" s="106">
        <f>0.98/1000*1</f>
        <v>9.7999999999999997E-4</v>
      </c>
      <c r="W160" s="89">
        <f t="shared" si="73"/>
        <v>-9.7999999999999997E-4</v>
      </c>
      <c r="X160" s="26">
        <f t="shared" si="74"/>
        <v>-1</v>
      </c>
      <c r="Y160" s="106">
        <f>0/1000*1</f>
        <v>0</v>
      </c>
      <c r="Z160" s="89">
        <f t="shared" si="75"/>
        <v>0</v>
      </c>
      <c r="AA160" s="27" t="str">
        <f t="shared" si="76"/>
        <v>N/A</v>
      </c>
      <c r="AB160" s="107">
        <f>0/1000*1</f>
        <v>0</v>
      </c>
      <c r="AC160" s="1"/>
      <c r="AD160" s="1"/>
      <c r="AE160" s="1"/>
      <c r="AF160" s="1"/>
      <c r="AG160" s="1"/>
      <c r="AH160" s="1"/>
      <c r="AI160" s="1"/>
    </row>
    <row r="161" spans="1:35" ht="14.25" hidden="1" outlineLevel="1" x14ac:dyDescent="0.2">
      <c r="A161" s="1"/>
      <c r="B161" s="3"/>
      <c r="C161" s="3"/>
      <c r="D161" s="3" t="s">
        <v>59</v>
      </c>
      <c r="E161" s="3" t="s">
        <v>75</v>
      </c>
      <c r="F161" s="3">
        <v>811</v>
      </c>
      <c r="G161" s="105">
        <f t="shared" si="77"/>
        <v>0</v>
      </c>
      <c r="H161" s="106">
        <f t="shared" si="77"/>
        <v>0</v>
      </c>
      <c r="I161" s="89">
        <f t="shared" si="65"/>
        <v>0</v>
      </c>
      <c r="J161" s="26" t="str">
        <f t="shared" si="66"/>
        <v>N/A</v>
      </c>
      <c r="K161" s="106">
        <f t="shared" si="78"/>
        <v>0</v>
      </c>
      <c r="L161" s="89">
        <f t="shared" si="67"/>
        <v>0</v>
      </c>
      <c r="M161" s="27" t="str">
        <f t="shared" si="68"/>
        <v>N/A</v>
      </c>
      <c r="N161" s="105">
        <f t="shared" si="79"/>
        <v>0</v>
      </c>
      <c r="O161" s="106">
        <f t="shared" si="79"/>
        <v>0</v>
      </c>
      <c r="P161" s="89">
        <f t="shared" si="69"/>
        <v>0</v>
      </c>
      <c r="Q161" s="26" t="str">
        <f t="shared" si="70"/>
        <v>N/A</v>
      </c>
      <c r="R161" s="106">
        <f>0/1000*1</f>
        <v>0</v>
      </c>
      <c r="S161" s="89">
        <f t="shared" si="71"/>
        <v>0</v>
      </c>
      <c r="T161" s="27" t="str">
        <f t="shared" si="72"/>
        <v>N/A</v>
      </c>
      <c r="U161" s="105">
        <f>0/1000*1</f>
        <v>0</v>
      </c>
      <c r="V161" s="106">
        <f>0.34/1000*1</f>
        <v>3.4000000000000002E-4</v>
      </c>
      <c r="W161" s="89">
        <f t="shared" si="73"/>
        <v>-3.4000000000000002E-4</v>
      </c>
      <c r="X161" s="26">
        <f t="shared" si="74"/>
        <v>-1</v>
      </c>
      <c r="Y161" s="106">
        <f>0/1000*1</f>
        <v>0</v>
      </c>
      <c r="Z161" s="89">
        <f t="shared" si="75"/>
        <v>0</v>
      </c>
      <c r="AA161" s="27" t="str">
        <f t="shared" si="76"/>
        <v>N/A</v>
      </c>
      <c r="AB161" s="107">
        <f>0/1000*1</f>
        <v>0</v>
      </c>
      <c r="AC161" s="1"/>
      <c r="AD161" s="1"/>
      <c r="AE161" s="1"/>
      <c r="AF161" s="1"/>
      <c r="AG161" s="1"/>
      <c r="AH161" s="1"/>
      <c r="AI161" s="1"/>
    </row>
    <row r="162" spans="1:35" ht="14.25" hidden="1" outlineLevel="1" x14ac:dyDescent="0.2">
      <c r="A162" s="1"/>
      <c r="B162" s="3"/>
      <c r="C162" s="3"/>
      <c r="D162" s="3" t="s">
        <v>59</v>
      </c>
      <c r="E162" s="3" t="s">
        <v>75</v>
      </c>
      <c r="F162" s="3">
        <v>815</v>
      </c>
      <c r="G162" s="105">
        <f t="shared" si="77"/>
        <v>0</v>
      </c>
      <c r="H162" s="106">
        <f t="shared" si="77"/>
        <v>0</v>
      </c>
      <c r="I162" s="89">
        <f t="shared" si="65"/>
        <v>0</v>
      </c>
      <c r="J162" s="26" t="str">
        <f t="shared" si="66"/>
        <v>N/A</v>
      </c>
      <c r="K162" s="106">
        <f t="shared" si="78"/>
        <v>0</v>
      </c>
      <c r="L162" s="89">
        <f t="shared" si="67"/>
        <v>0</v>
      </c>
      <c r="M162" s="27" t="str">
        <f t="shared" si="68"/>
        <v>N/A</v>
      </c>
      <c r="N162" s="105">
        <f t="shared" si="79"/>
        <v>0</v>
      </c>
      <c r="O162" s="106">
        <f t="shared" si="79"/>
        <v>0</v>
      </c>
      <c r="P162" s="89">
        <f t="shared" si="69"/>
        <v>0</v>
      </c>
      <c r="Q162" s="26" t="str">
        <f t="shared" si="70"/>
        <v>N/A</v>
      </c>
      <c r="R162" s="106">
        <f>0/1000*1</f>
        <v>0</v>
      </c>
      <c r="S162" s="89">
        <f t="shared" si="71"/>
        <v>0</v>
      </c>
      <c r="T162" s="27" t="str">
        <f t="shared" si="72"/>
        <v>N/A</v>
      </c>
      <c r="U162" s="105">
        <f>0/1000*1</f>
        <v>0</v>
      </c>
      <c r="V162" s="106">
        <f>2.84/1000*1</f>
        <v>2.8399999999999996E-3</v>
      </c>
      <c r="W162" s="89">
        <f t="shared" si="73"/>
        <v>-2.8399999999999996E-3</v>
      </c>
      <c r="X162" s="26">
        <f t="shared" si="74"/>
        <v>-1</v>
      </c>
      <c r="Y162" s="106">
        <f>0/1000*1</f>
        <v>0</v>
      </c>
      <c r="Z162" s="89">
        <f t="shared" si="75"/>
        <v>0</v>
      </c>
      <c r="AA162" s="27" t="str">
        <f t="shared" si="76"/>
        <v>N/A</v>
      </c>
      <c r="AB162" s="107">
        <f>0/1000*1</f>
        <v>0</v>
      </c>
      <c r="AC162" s="1"/>
      <c r="AD162" s="1"/>
      <c r="AE162" s="1"/>
      <c r="AF162" s="1"/>
      <c r="AG162" s="1"/>
      <c r="AH162" s="1"/>
      <c r="AI162" s="1"/>
    </row>
    <row r="163" spans="1:35" ht="14.25" hidden="1" outlineLevel="1" x14ac:dyDescent="0.2">
      <c r="A163" s="1"/>
      <c r="B163" s="3"/>
      <c r="C163" s="3"/>
      <c r="D163" s="3" t="s">
        <v>59</v>
      </c>
      <c r="E163" s="3" t="s">
        <v>75</v>
      </c>
      <c r="F163" s="3">
        <v>830</v>
      </c>
      <c r="G163" s="105">
        <f t="shared" si="77"/>
        <v>0</v>
      </c>
      <c r="H163" s="106">
        <f t="shared" si="77"/>
        <v>0</v>
      </c>
      <c r="I163" s="89">
        <f t="shared" si="65"/>
        <v>0</v>
      </c>
      <c r="J163" s="26" t="str">
        <f t="shared" si="66"/>
        <v>N/A</v>
      </c>
      <c r="K163" s="106">
        <f t="shared" si="78"/>
        <v>0</v>
      </c>
      <c r="L163" s="89">
        <f t="shared" si="67"/>
        <v>0</v>
      </c>
      <c r="M163" s="27" t="str">
        <f t="shared" si="68"/>
        <v>N/A</v>
      </c>
      <c r="N163" s="105">
        <f>10401.85/1000*1</f>
        <v>10.40185</v>
      </c>
      <c r="O163" s="106">
        <f>0/1000*1</f>
        <v>0</v>
      </c>
      <c r="P163" s="89">
        <f t="shared" si="69"/>
        <v>10.40185</v>
      </c>
      <c r="Q163" s="26" t="str">
        <f t="shared" si="70"/>
        <v>N/A</v>
      </c>
      <c r="R163" s="106">
        <f>10252.52/1000*1</f>
        <v>10.252520000000001</v>
      </c>
      <c r="S163" s="89">
        <f t="shared" si="71"/>
        <v>-0.14932999999999907</v>
      </c>
      <c r="T163" s="27">
        <f t="shared" si="72"/>
        <v>-1.4565199580200678E-2</v>
      </c>
      <c r="U163" s="105">
        <f>10512.7/1000*1</f>
        <v>10.512700000000001</v>
      </c>
      <c r="V163" s="106">
        <f>-9120.94/1000*1</f>
        <v>-9.1209400000000009</v>
      </c>
      <c r="W163" s="89">
        <f t="shared" si="73"/>
        <v>19.63364</v>
      </c>
      <c r="X163" s="26">
        <f t="shared" si="74"/>
        <v>-2.1525895357276768</v>
      </c>
      <c r="Y163" s="106">
        <f>10363.37/1000*1</f>
        <v>10.363370000000002</v>
      </c>
      <c r="Z163" s="89">
        <f t="shared" si="75"/>
        <v>-0.14932999999999907</v>
      </c>
      <c r="AA163" s="27">
        <f t="shared" si="76"/>
        <v>-1.4409405434718537E-2</v>
      </c>
      <c r="AB163" s="107">
        <f>10363.37/1000*1</f>
        <v>10.363370000000002</v>
      </c>
      <c r="AC163" s="1"/>
      <c r="AD163" s="1"/>
      <c r="AE163" s="1"/>
      <c r="AF163" s="1"/>
      <c r="AG163" s="1"/>
      <c r="AH163" s="1"/>
      <c r="AI163" s="1"/>
    </row>
    <row r="164" spans="1:35" ht="14.25" hidden="1" outlineLevel="1" x14ac:dyDescent="0.2">
      <c r="A164" s="1"/>
      <c r="B164" s="3"/>
      <c r="C164" s="3"/>
      <c r="D164" s="3" t="s">
        <v>59</v>
      </c>
      <c r="E164" s="3" t="s">
        <v>75</v>
      </c>
      <c r="F164" s="3">
        <v>831</v>
      </c>
      <c r="G164" s="105">
        <f t="shared" si="77"/>
        <v>0</v>
      </c>
      <c r="H164" s="106">
        <f t="shared" si="77"/>
        <v>0</v>
      </c>
      <c r="I164" s="89">
        <f t="shared" si="65"/>
        <v>0</v>
      </c>
      <c r="J164" s="26" t="str">
        <f t="shared" si="66"/>
        <v>N/A</v>
      </c>
      <c r="K164" s="106">
        <f t="shared" si="78"/>
        <v>0</v>
      </c>
      <c r="L164" s="89">
        <f t="shared" si="67"/>
        <v>0</v>
      </c>
      <c r="M164" s="27" t="str">
        <f t="shared" si="68"/>
        <v>N/A</v>
      </c>
      <c r="N164" s="105">
        <f>0/1000*1</f>
        <v>0</v>
      </c>
      <c r="O164" s="106">
        <f>0/1000*1</f>
        <v>0</v>
      </c>
      <c r="P164" s="89">
        <f t="shared" si="69"/>
        <v>0</v>
      </c>
      <c r="Q164" s="26" t="str">
        <f t="shared" si="70"/>
        <v>N/A</v>
      </c>
      <c r="R164" s="106">
        <f>0/1000*1</f>
        <v>0</v>
      </c>
      <c r="S164" s="89">
        <f t="shared" si="71"/>
        <v>0</v>
      </c>
      <c r="T164" s="27" t="str">
        <f t="shared" si="72"/>
        <v>N/A</v>
      </c>
      <c r="U164" s="105">
        <f>0/1000*1</f>
        <v>0</v>
      </c>
      <c r="V164" s="106">
        <f>0.9/1000*1</f>
        <v>8.9999999999999998E-4</v>
      </c>
      <c r="W164" s="89">
        <f t="shared" si="73"/>
        <v>-8.9999999999999998E-4</v>
      </c>
      <c r="X164" s="26">
        <f t="shared" si="74"/>
        <v>-1</v>
      </c>
      <c r="Y164" s="106">
        <f>0/1000*1</f>
        <v>0</v>
      </c>
      <c r="Z164" s="89">
        <f t="shared" si="75"/>
        <v>0</v>
      </c>
      <c r="AA164" s="27" t="str">
        <f t="shared" si="76"/>
        <v>N/A</v>
      </c>
      <c r="AB164" s="107">
        <f>0/1000*1</f>
        <v>0</v>
      </c>
      <c r="AC164" s="1"/>
      <c r="AD164" s="1"/>
      <c r="AE164" s="1"/>
      <c r="AF164" s="1"/>
      <c r="AG164" s="1"/>
      <c r="AH164" s="1"/>
      <c r="AI164" s="1"/>
    </row>
    <row r="165" spans="1:35" ht="14.25" hidden="1" outlineLevel="1" x14ac:dyDescent="0.2">
      <c r="A165" s="1"/>
      <c r="B165" s="3"/>
      <c r="C165" s="3"/>
      <c r="D165" s="3" t="s">
        <v>59</v>
      </c>
      <c r="E165" s="3" t="s">
        <v>75</v>
      </c>
      <c r="F165" s="3">
        <v>840</v>
      </c>
      <c r="G165" s="105">
        <f>30.81/1000*1</f>
        <v>3.0809999999999997E-2</v>
      </c>
      <c r="H165" s="106">
        <f>30.85/1000*1</f>
        <v>3.0850000000000002E-2</v>
      </c>
      <c r="I165" s="89">
        <f t="shared" si="65"/>
        <v>-4.0000000000005309E-5</v>
      </c>
      <c r="J165" s="26">
        <f t="shared" si="66"/>
        <v>-1.2965964343599776E-3</v>
      </c>
      <c r="K165" s="106">
        <f t="shared" si="78"/>
        <v>0</v>
      </c>
      <c r="L165" s="89">
        <f t="shared" si="67"/>
        <v>-3.0809999999999997E-2</v>
      </c>
      <c r="M165" s="27" t="str">
        <f t="shared" si="68"/>
        <v>N/A</v>
      </c>
      <c r="N165" s="105">
        <f>45.67/1000*1</f>
        <v>4.5670000000000002E-2</v>
      </c>
      <c r="O165" s="106">
        <f>66.69/1000*1</f>
        <v>6.6689999999999999E-2</v>
      </c>
      <c r="P165" s="89">
        <f t="shared" si="69"/>
        <v>-2.1019999999999997E-2</v>
      </c>
      <c r="Q165" s="26">
        <f t="shared" si="70"/>
        <v>-0.31518968361073618</v>
      </c>
      <c r="R165" s="106">
        <f>14.86/1000*1</f>
        <v>1.486E-2</v>
      </c>
      <c r="S165" s="89">
        <f t="shared" si="71"/>
        <v>-3.0810000000000004E-2</v>
      </c>
      <c r="T165" s="27">
        <f t="shared" si="72"/>
        <v>-2.0733512786002692</v>
      </c>
      <c r="U165" s="105">
        <f>122.39/1000*1</f>
        <v>0.12239</v>
      </c>
      <c r="V165" s="106">
        <f>132.2/1000*1</f>
        <v>0.13219999999999998</v>
      </c>
      <c r="W165" s="89">
        <f t="shared" si="73"/>
        <v>-9.8099999999999854E-3</v>
      </c>
      <c r="X165" s="26">
        <f t="shared" si="74"/>
        <v>-7.4205748865355414E-2</v>
      </c>
      <c r="Y165" s="106">
        <f>91.58/1000*1</f>
        <v>9.1579999999999995E-2</v>
      </c>
      <c r="Z165" s="89">
        <f t="shared" si="75"/>
        <v>-3.0810000000000004E-2</v>
      </c>
      <c r="AA165" s="27">
        <f t="shared" si="76"/>
        <v>-0.33642716750382184</v>
      </c>
      <c r="AB165" s="107">
        <f>91.58/1000*1</f>
        <v>9.1579999999999995E-2</v>
      </c>
      <c r="AC165" s="1"/>
      <c r="AD165" s="1"/>
      <c r="AE165" s="1"/>
      <c r="AF165" s="1"/>
      <c r="AG165" s="1"/>
      <c r="AH165" s="1"/>
      <c r="AI165" s="1"/>
    </row>
    <row r="166" spans="1:35" ht="14.25" hidden="1" outlineLevel="1" x14ac:dyDescent="0.2">
      <c r="A166" s="1"/>
      <c r="B166" s="3"/>
      <c r="C166" s="3"/>
      <c r="D166" s="3" t="s">
        <v>59</v>
      </c>
      <c r="E166" s="3" t="s">
        <v>75</v>
      </c>
      <c r="F166" s="3">
        <v>841</v>
      </c>
      <c r="G166" s="105">
        <f t="shared" ref="G166:H168" si="80">0/1000*1</f>
        <v>0</v>
      </c>
      <c r="H166" s="106">
        <f t="shared" si="80"/>
        <v>0</v>
      </c>
      <c r="I166" s="89">
        <f t="shared" si="65"/>
        <v>0</v>
      </c>
      <c r="J166" s="26" t="str">
        <f t="shared" si="66"/>
        <v>N/A</v>
      </c>
      <c r="K166" s="106">
        <f t="shared" si="78"/>
        <v>0</v>
      </c>
      <c r="L166" s="89">
        <f t="shared" si="67"/>
        <v>0</v>
      </c>
      <c r="M166" s="27" t="str">
        <f t="shared" si="68"/>
        <v>N/A</v>
      </c>
      <c r="N166" s="105">
        <f t="shared" ref="N166:O168" si="81">0/1000*1</f>
        <v>0</v>
      </c>
      <c r="O166" s="106">
        <f t="shared" si="81"/>
        <v>0</v>
      </c>
      <c r="P166" s="89">
        <f t="shared" si="69"/>
        <v>0</v>
      </c>
      <c r="Q166" s="26" t="str">
        <f t="shared" si="70"/>
        <v>N/A</v>
      </c>
      <c r="R166" s="106">
        <f t="shared" ref="R166:R173" si="82">0/1000*1</f>
        <v>0</v>
      </c>
      <c r="S166" s="89">
        <f t="shared" si="71"/>
        <v>0</v>
      </c>
      <c r="T166" s="27" t="str">
        <f t="shared" si="72"/>
        <v>N/A</v>
      </c>
      <c r="U166" s="105">
        <f>0/1000*1</f>
        <v>0</v>
      </c>
      <c r="V166" s="106">
        <f>1.78/1000*1</f>
        <v>1.7800000000000001E-3</v>
      </c>
      <c r="W166" s="89">
        <f t="shared" si="73"/>
        <v>-1.7800000000000001E-3</v>
      </c>
      <c r="X166" s="26">
        <f t="shared" si="74"/>
        <v>-1</v>
      </c>
      <c r="Y166" s="106">
        <f t="shared" ref="Y166:Y173" si="83">0/1000*1</f>
        <v>0</v>
      </c>
      <c r="Z166" s="89">
        <f t="shared" si="75"/>
        <v>0</v>
      </c>
      <c r="AA166" s="27" t="str">
        <f t="shared" si="76"/>
        <v>N/A</v>
      </c>
      <c r="AB166" s="107">
        <f t="shared" ref="AB166:AB173" si="84">0/1000*1</f>
        <v>0</v>
      </c>
      <c r="AC166" s="1"/>
      <c r="AD166" s="1"/>
      <c r="AE166" s="1"/>
      <c r="AF166" s="1"/>
      <c r="AG166" s="1"/>
      <c r="AH166" s="1"/>
      <c r="AI166" s="1"/>
    </row>
    <row r="167" spans="1:35" ht="14.25" hidden="1" outlineLevel="1" x14ac:dyDescent="0.2">
      <c r="A167" s="1"/>
      <c r="B167" s="3"/>
      <c r="C167" s="3"/>
      <c r="D167" s="3" t="s">
        <v>59</v>
      </c>
      <c r="E167" s="3" t="s">
        <v>75</v>
      </c>
      <c r="F167" s="3">
        <v>842</v>
      </c>
      <c r="G167" s="105">
        <f t="shared" si="80"/>
        <v>0</v>
      </c>
      <c r="H167" s="106">
        <f t="shared" si="80"/>
        <v>0</v>
      </c>
      <c r="I167" s="89">
        <f t="shared" si="65"/>
        <v>0</v>
      </c>
      <c r="J167" s="26" t="str">
        <f t="shared" si="66"/>
        <v>N/A</v>
      </c>
      <c r="K167" s="106">
        <f t="shared" si="78"/>
        <v>0</v>
      </c>
      <c r="L167" s="89">
        <f t="shared" si="67"/>
        <v>0</v>
      </c>
      <c r="M167" s="27" t="str">
        <f t="shared" si="68"/>
        <v>N/A</v>
      </c>
      <c r="N167" s="105">
        <f t="shared" si="81"/>
        <v>0</v>
      </c>
      <c r="O167" s="106">
        <f t="shared" si="81"/>
        <v>0</v>
      </c>
      <c r="P167" s="89">
        <f t="shared" si="69"/>
        <v>0</v>
      </c>
      <c r="Q167" s="26" t="str">
        <f t="shared" si="70"/>
        <v>N/A</v>
      </c>
      <c r="R167" s="106">
        <f t="shared" si="82"/>
        <v>0</v>
      </c>
      <c r="S167" s="89">
        <f t="shared" si="71"/>
        <v>0</v>
      </c>
      <c r="T167" s="27" t="str">
        <f t="shared" si="72"/>
        <v>N/A</v>
      </c>
      <c r="U167" s="105">
        <f>0/1000*1</f>
        <v>0</v>
      </c>
      <c r="V167" s="106">
        <f>2.47/1000*1</f>
        <v>2.4700000000000004E-3</v>
      </c>
      <c r="W167" s="89">
        <f t="shared" si="73"/>
        <v>-2.4700000000000004E-3</v>
      </c>
      <c r="X167" s="26">
        <f t="shared" si="74"/>
        <v>-1</v>
      </c>
      <c r="Y167" s="106">
        <f t="shared" si="83"/>
        <v>0</v>
      </c>
      <c r="Z167" s="89">
        <f t="shared" si="75"/>
        <v>0</v>
      </c>
      <c r="AA167" s="27" t="str">
        <f t="shared" si="76"/>
        <v>N/A</v>
      </c>
      <c r="AB167" s="107">
        <f t="shared" si="84"/>
        <v>0</v>
      </c>
      <c r="AC167" s="1"/>
      <c r="AD167" s="1"/>
      <c r="AE167" s="1"/>
      <c r="AF167" s="1"/>
      <c r="AG167" s="1"/>
      <c r="AH167" s="1"/>
      <c r="AI167" s="1"/>
    </row>
    <row r="168" spans="1:35" ht="14.25" hidden="1" outlineLevel="1" x14ac:dyDescent="0.2">
      <c r="A168" s="1"/>
      <c r="B168" s="3"/>
      <c r="C168" s="3"/>
      <c r="D168" s="3" t="s">
        <v>59</v>
      </c>
      <c r="E168" s="3" t="s">
        <v>75</v>
      </c>
      <c r="F168" s="3">
        <v>843</v>
      </c>
      <c r="G168" s="105">
        <f t="shared" si="80"/>
        <v>0</v>
      </c>
      <c r="H168" s="106">
        <f t="shared" si="80"/>
        <v>0</v>
      </c>
      <c r="I168" s="89">
        <f t="shared" si="65"/>
        <v>0</v>
      </c>
      <c r="J168" s="26" t="str">
        <f t="shared" si="66"/>
        <v>N/A</v>
      </c>
      <c r="K168" s="106">
        <f t="shared" si="78"/>
        <v>0</v>
      </c>
      <c r="L168" s="89">
        <f t="shared" si="67"/>
        <v>0</v>
      </c>
      <c r="M168" s="27" t="str">
        <f t="shared" si="68"/>
        <v>N/A</v>
      </c>
      <c r="N168" s="105">
        <f t="shared" si="81"/>
        <v>0</v>
      </c>
      <c r="O168" s="106">
        <f t="shared" si="81"/>
        <v>0</v>
      </c>
      <c r="P168" s="89">
        <f t="shared" si="69"/>
        <v>0</v>
      </c>
      <c r="Q168" s="26" t="str">
        <f t="shared" si="70"/>
        <v>N/A</v>
      </c>
      <c r="R168" s="106">
        <f t="shared" si="82"/>
        <v>0</v>
      </c>
      <c r="S168" s="89">
        <f t="shared" si="71"/>
        <v>0</v>
      </c>
      <c r="T168" s="27" t="str">
        <f t="shared" si="72"/>
        <v>N/A</v>
      </c>
      <c r="U168" s="105">
        <f>0/1000*1</f>
        <v>0</v>
      </c>
      <c r="V168" s="106">
        <f>0.21/1000*1</f>
        <v>2.0999999999999998E-4</v>
      </c>
      <c r="W168" s="89">
        <f t="shared" si="73"/>
        <v>-2.0999999999999998E-4</v>
      </c>
      <c r="X168" s="26">
        <f t="shared" si="74"/>
        <v>-1</v>
      </c>
      <c r="Y168" s="106">
        <f t="shared" si="83"/>
        <v>0</v>
      </c>
      <c r="Z168" s="89">
        <f t="shared" si="75"/>
        <v>0</v>
      </c>
      <c r="AA168" s="27" t="str">
        <f t="shared" si="76"/>
        <v>N/A</v>
      </c>
      <c r="AB168" s="107">
        <f t="shared" si="84"/>
        <v>0</v>
      </c>
      <c r="AC168" s="1"/>
      <c r="AD168" s="1"/>
      <c r="AE168" s="1"/>
      <c r="AF168" s="1"/>
      <c r="AG168" s="1"/>
      <c r="AH168" s="1"/>
      <c r="AI168" s="1"/>
    </row>
    <row r="169" spans="1:35" ht="14.25" hidden="1" outlineLevel="1" x14ac:dyDescent="0.2">
      <c r="A169" s="1"/>
      <c r="B169" s="3"/>
      <c r="C169" s="3"/>
      <c r="D169" s="3" t="s">
        <v>59</v>
      </c>
      <c r="E169" s="3" t="s">
        <v>75</v>
      </c>
      <c r="F169" s="3">
        <v>844</v>
      </c>
      <c r="G169" s="105">
        <f>15701.08/1000*1</f>
        <v>15.701079999999999</v>
      </c>
      <c r="H169" s="106">
        <f>5725.43/1000*1</f>
        <v>5.7254300000000002</v>
      </c>
      <c r="I169" s="89">
        <f t="shared" si="65"/>
        <v>9.9756499999999981</v>
      </c>
      <c r="J169" s="26">
        <f t="shared" si="66"/>
        <v>1.7423407499524048</v>
      </c>
      <c r="K169" s="106">
        <f t="shared" si="78"/>
        <v>0</v>
      </c>
      <c r="L169" s="89">
        <f t="shared" si="67"/>
        <v>-15.701079999999999</v>
      </c>
      <c r="M169" s="27" t="str">
        <f t="shared" si="68"/>
        <v>N/A</v>
      </c>
      <c r="N169" s="105">
        <f>15701.08/1000*1</f>
        <v>15.701079999999999</v>
      </c>
      <c r="O169" s="106">
        <f>18678.87/1000*1</f>
        <v>18.67887</v>
      </c>
      <c r="P169" s="89">
        <f t="shared" si="69"/>
        <v>-2.9777900000000006</v>
      </c>
      <c r="Q169" s="26">
        <f t="shared" si="70"/>
        <v>-0.15942024330165586</v>
      </c>
      <c r="R169" s="106">
        <f t="shared" si="82"/>
        <v>0</v>
      </c>
      <c r="S169" s="89">
        <f t="shared" si="71"/>
        <v>-15.701079999999999</v>
      </c>
      <c r="T169" s="27" t="str">
        <f t="shared" si="72"/>
        <v>N/A</v>
      </c>
      <c r="U169" s="105">
        <f>15701.08/1000*1</f>
        <v>15.701079999999999</v>
      </c>
      <c r="V169" s="106">
        <f>33457.64/1000*1</f>
        <v>33.457639999999998</v>
      </c>
      <c r="W169" s="89">
        <f t="shared" si="73"/>
        <v>-17.75656</v>
      </c>
      <c r="X169" s="26">
        <f t="shared" si="74"/>
        <v>-0.53071764774801811</v>
      </c>
      <c r="Y169" s="106">
        <f t="shared" si="83"/>
        <v>0</v>
      </c>
      <c r="Z169" s="89">
        <f t="shared" si="75"/>
        <v>-15.701079999999999</v>
      </c>
      <c r="AA169" s="27" t="str">
        <f t="shared" si="76"/>
        <v>N/A</v>
      </c>
      <c r="AB169" s="107">
        <f t="shared" si="84"/>
        <v>0</v>
      </c>
      <c r="AC169" s="1"/>
      <c r="AD169" s="1"/>
      <c r="AE169" s="1"/>
      <c r="AF169" s="1"/>
      <c r="AG169" s="1"/>
      <c r="AH169" s="1"/>
      <c r="AI169" s="1"/>
    </row>
    <row r="170" spans="1:35" ht="14.25" hidden="1" outlineLevel="1" x14ac:dyDescent="0.2">
      <c r="A170" s="1"/>
      <c r="B170" s="3"/>
      <c r="C170" s="3"/>
      <c r="D170" s="3" t="s">
        <v>59</v>
      </c>
      <c r="E170" s="3" t="s">
        <v>75</v>
      </c>
      <c r="F170" s="3">
        <v>845</v>
      </c>
      <c r="G170" s="105">
        <f>0/1000*1</f>
        <v>0</v>
      </c>
      <c r="H170" s="106">
        <f>0/1000*1</f>
        <v>0</v>
      </c>
      <c r="I170" s="89">
        <f t="shared" si="65"/>
        <v>0</v>
      </c>
      <c r="J170" s="26" t="str">
        <f t="shared" si="66"/>
        <v>N/A</v>
      </c>
      <c r="K170" s="106">
        <f t="shared" si="78"/>
        <v>0</v>
      </c>
      <c r="L170" s="89">
        <f t="shared" si="67"/>
        <v>0</v>
      </c>
      <c r="M170" s="27" t="str">
        <f t="shared" si="68"/>
        <v>N/A</v>
      </c>
      <c r="N170" s="105">
        <f>0/1000*1</f>
        <v>0</v>
      </c>
      <c r="O170" s="106">
        <f>0/1000*1</f>
        <v>0</v>
      </c>
      <c r="P170" s="89">
        <f t="shared" si="69"/>
        <v>0</v>
      </c>
      <c r="Q170" s="26" t="str">
        <f t="shared" si="70"/>
        <v>N/A</v>
      </c>
      <c r="R170" s="106">
        <f t="shared" si="82"/>
        <v>0</v>
      </c>
      <c r="S170" s="89">
        <f t="shared" si="71"/>
        <v>0</v>
      </c>
      <c r="T170" s="27" t="str">
        <f t="shared" si="72"/>
        <v>N/A</v>
      </c>
      <c r="U170" s="105">
        <f>0/1000*1</f>
        <v>0</v>
      </c>
      <c r="V170" s="106">
        <f>2.83/1000*1</f>
        <v>2.8300000000000001E-3</v>
      </c>
      <c r="W170" s="89">
        <f t="shared" si="73"/>
        <v>-2.8300000000000001E-3</v>
      </c>
      <c r="X170" s="26">
        <f t="shared" si="74"/>
        <v>-1</v>
      </c>
      <c r="Y170" s="106">
        <f t="shared" si="83"/>
        <v>0</v>
      </c>
      <c r="Z170" s="89">
        <f t="shared" si="75"/>
        <v>0</v>
      </c>
      <c r="AA170" s="27" t="str">
        <f t="shared" si="76"/>
        <v>N/A</v>
      </c>
      <c r="AB170" s="107">
        <f t="shared" si="84"/>
        <v>0</v>
      </c>
      <c r="AC170" s="1"/>
      <c r="AD170" s="1"/>
      <c r="AE170" s="1"/>
      <c r="AF170" s="1"/>
      <c r="AG170" s="1"/>
      <c r="AH170" s="1"/>
      <c r="AI170" s="1"/>
    </row>
    <row r="171" spans="1:35" ht="14.25" hidden="1" outlineLevel="1" x14ac:dyDescent="0.2">
      <c r="A171" s="1"/>
      <c r="B171" s="3"/>
      <c r="C171" s="3"/>
      <c r="D171" s="3" t="s">
        <v>59</v>
      </c>
      <c r="E171" s="3" t="s">
        <v>76</v>
      </c>
      <c r="F171" s="3">
        <v>830</v>
      </c>
      <c r="G171" s="105">
        <f>11421.26/1000*1</f>
        <v>11.42126</v>
      </c>
      <c r="H171" s="106">
        <f>0/1000*1</f>
        <v>0</v>
      </c>
      <c r="I171" s="89">
        <f t="shared" si="65"/>
        <v>11.42126</v>
      </c>
      <c r="J171" s="26" t="str">
        <f t="shared" si="66"/>
        <v>N/A</v>
      </c>
      <c r="K171" s="106">
        <f t="shared" si="78"/>
        <v>0</v>
      </c>
      <c r="L171" s="89">
        <f t="shared" si="67"/>
        <v>-11.42126</v>
      </c>
      <c r="M171" s="27" t="str">
        <f t="shared" si="68"/>
        <v>N/A</v>
      </c>
      <c r="N171" s="105">
        <f>11421.26/1000*1</f>
        <v>11.42126</v>
      </c>
      <c r="O171" s="106">
        <f>0/1000*1</f>
        <v>0</v>
      </c>
      <c r="P171" s="89">
        <f t="shared" si="69"/>
        <v>11.42126</v>
      </c>
      <c r="Q171" s="26" t="str">
        <f t="shared" si="70"/>
        <v>N/A</v>
      </c>
      <c r="R171" s="106">
        <f t="shared" si="82"/>
        <v>0</v>
      </c>
      <c r="S171" s="89">
        <f t="shared" si="71"/>
        <v>-11.42126</v>
      </c>
      <c r="T171" s="27" t="str">
        <f t="shared" si="72"/>
        <v>N/A</v>
      </c>
      <c r="U171" s="105">
        <f>11421.26/1000*1</f>
        <v>11.42126</v>
      </c>
      <c r="V171" s="106">
        <f>0/1000*1</f>
        <v>0</v>
      </c>
      <c r="W171" s="89">
        <f t="shared" si="73"/>
        <v>11.42126</v>
      </c>
      <c r="X171" s="26" t="str">
        <f t="shared" si="74"/>
        <v>N/A</v>
      </c>
      <c r="Y171" s="106">
        <f t="shared" si="83"/>
        <v>0</v>
      </c>
      <c r="Z171" s="89">
        <f t="shared" si="75"/>
        <v>-11.42126</v>
      </c>
      <c r="AA171" s="27" t="str">
        <f t="shared" si="76"/>
        <v>N/A</v>
      </c>
      <c r="AB171" s="107">
        <f t="shared" si="84"/>
        <v>0</v>
      </c>
      <c r="AC171" s="1"/>
      <c r="AD171" s="1"/>
      <c r="AE171" s="1"/>
      <c r="AF171" s="1"/>
      <c r="AG171" s="1"/>
      <c r="AH171" s="1"/>
      <c r="AI171" s="1"/>
    </row>
    <row r="172" spans="1:35" ht="14.25" hidden="1" outlineLevel="1" x14ac:dyDescent="0.2">
      <c r="A172" s="1"/>
      <c r="B172" s="3"/>
      <c r="C172" s="3"/>
      <c r="D172" s="3" t="s">
        <v>59</v>
      </c>
      <c r="E172" s="3" t="s">
        <v>76</v>
      </c>
      <c r="F172" s="3">
        <v>840</v>
      </c>
      <c r="G172" s="105">
        <f>5845.18/1000*1</f>
        <v>5.84518</v>
      </c>
      <c r="H172" s="106">
        <f>0/1000*1</f>
        <v>0</v>
      </c>
      <c r="I172" s="89">
        <f t="shared" si="65"/>
        <v>5.84518</v>
      </c>
      <c r="J172" s="26" t="str">
        <f t="shared" si="66"/>
        <v>N/A</v>
      </c>
      <c r="K172" s="106">
        <f t="shared" si="78"/>
        <v>0</v>
      </c>
      <c r="L172" s="89">
        <f t="shared" si="67"/>
        <v>-5.84518</v>
      </c>
      <c r="M172" s="27" t="str">
        <f t="shared" si="68"/>
        <v>N/A</v>
      </c>
      <c r="N172" s="105">
        <f>5845.18/1000*1</f>
        <v>5.84518</v>
      </c>
      <c r="O172" s="106">
        <f>0/1000*1</f>
        <v>0</v>
      </c>
      <c r="P172" s="89">
        <f t="shared" si="69"/>
        <v>5.84518</v>
      </c>
      <c r="Q172" s="26" t="str">
        <f t="shared" si="70"/>
        <v>N/A</v>
      </c>
      <c r="R172" s="106">
        <f t="shared" si="82"/>
        <v>0</v>
      </c>
      <c r="S172" s="89">
        <f t="shared" si="71"/>
        <v>-5.84518</v>
      </c>
      <c r="T172" s="27" t="str">
        <f t="shared" si="72"/>
        <v>N/A</v>
      </c>
      <c r="U172" s="105">
        <f>5845.18/1000*1</f>
        <v>5.84518</v>
      </c>
      <c r="V172" s="106">
        <f>33.8/1000*1</f>
        <v>3.3799999999999997E-2</v>
      </c>
      <c r="W172" s="89">
        <f t="shared" si="73"/>
        <v>5.8113799999999998</v>
      </c>
      <c r="X172" s="26" t="str">
        <f t="shared" si="74"/>
        <v>N/A</v>
      </c>
      <c r="Y172" s="106">
        <f t="shared" si="83"/>
        <v>0</v>
      </c>
      <c r="Z172" s="89">
        <f t="shared" si="75"/>
        <v>-5.84518</v>
      </c>
      <c r="AA172" s="27" t="str">
        <f t="shared" si="76"/>
        <v>N/A</v>
      </c>
      <c r="AB172" s="107">
        <f t="shared" si="84"/>
        <v>0</v>
      </c>
      <c r="AC172" s="1"/>
      <c r="AD172" s="1"/>
      <c r="AE172" s="1"/>
      <c r="AF172" s="1"/>
      <c r="AG172" s="1"/>
      <c r="AH172" s="1"/>
      <c r="AI172" s="1"/>
    </row>
    <row r="173" spans="1:35" ht="14.25" hidden="1" outlineLevel="1" x14ac:dyDescent="0.2">
      <c r="A173" s="1"/>
      <c r="B173" s="3"/>
      <c r="C173" s="3"/>
      <c r="D173" s="3" t="s">
        <v>59</v>
      </c>
      <c r="E173" s="3" t="s">
        <v>77</v>
      </c>
      <c r="F173" s="3">
        <v>830</v>
      </c>
      <c r="G173" s="105">
        <f>0/1000*1</f>
        <v>0</v>
      </c>
      <c r="H173" s="106">
        <f>0/1000*1</f>
        <v>0</v>
      </c>
      <c r="I173" s="89">
        <f t="shared" si="65"/>
        <v>0</v>
      </c>
      <c r="J173" s="26" t="str">
        <f t="shared" si="66"/>
        <v>N/A</v>
      </c>
      <c r="K173" s="106">
        <f t="shared" si="78"/>
        <v>0</v>
      </c>
      <c r="L173" s="89">
        <f t="shared" si="67"/>
        <v>0</v>
      </c>
      <c r="M173" s="27" t="str">
        <f t="shared" si="68"/>
        <v>N/A</v>
      </c>
      <c r="N173" s="105">
        <f>0/1000*1</f>
        <v>0</v>
      </c>
      <c r="O173" s="106">
        <f>0/1000*1</f>
        <v>0</v>
      </c>
      <c r="P173" s="89">
        <f t="shared" si="69"/>
        <v>0</v>
      </c>
      <c r="Q173" s="26" t="str">
        <f t="shared" si="70"/>
        <v>N/A</v>
      </c>
      <c r="R173" s="106">
        <f t="shared" si="82"/>
        <v>0</v>
      </c>
      <c r="S173" s="89">
        <f t="shared" si="71"/>
        <v>0</v>
      </c>
      <c r="T173" s="27" t="str">
        <f t="shared" si="72"/>
        <v>N/A</v>
      </c>
      <c r="U173" s="105">
        <f>0/1000*1</f>
        <v>0</v>
      </c>
      <c r="V173" s="106">
        <f>0/1000*1</f>
        <v>0</v>
      </c>
      <c r="W173" s="89">
        <f t="shared" si="73"/>
        <v>0</v>
      </c>
      <c r="X173" s="26" t="str">
        <f t="shared" si="74"/>
        <v>N/A</v>
      </c>
      <c r="Y173" s="106">
        <f t="shared" si="83"/>
        <v>0</v>
      </c>
      <c r="Z173" s="89">
        <f t="shared" si="75"/>
        <v>0</v>
      </c>
      <c r="AA173" s="27" t="str">
        <f t="shared" si="76"/>
        <v>N/A</v>
      </c>
      <c r="AB173" s="107">
        <f t="shared" si="84"/>
        <v>0</v>
      </c>
      <c r="AC173" s="1"/>
      <c r="AD173" s="1"/>
      <c r="AE173" s="1"/>
      <c r="AF173" s="1"/>
      <c r="AG173" s="1"/>
      <c r="AH173" s="1"/>
      <c r="AI173" s="1"/>
    </row>
    <row r="174" spans="1:35" ht="14.25" hidden="1" outlineLevel="1" x14ac:dyDescent="0.2">
      <c r="A174" s="1"/>
      <c r="B174" s="3"/>
      <c r="C174" s="3"/>
      <c r="D174" s="3" t="s">
        <v>59</v>
      </c>
      <c r="E174" s="3" t="s">
        <v>77</v>
      </c>
      <c r="F174" s="3">
        <v>840</v>
      </c>
      <c r="G174" s="105">
        <f>8584/1000*1</f>
        <v>8.5839999999999996</v>
      </c>
      <c r="H174" s="106">
        <f>6359.62/1000*1</f>
        <v>6.3596199999999996</v>
      </c>
      <c r="I174" s="89">
        <f t="shared" si="65"/>
        <v>2.22438</v>
      </c>
      <c r="J174" s="26">
        <f t="shared" si="66"/>
        <v>0.34976618099823575</v>
      </c>
      <c r="K174" s="106">
        <f>7148.624369/1000*1</f>
        <v>7.1486243690000002</v>
      </c>
      <c r="L174" s="89">
        <f t="shared" si="67"/>
        <v>-1.4353756309999994</v>
      </c>
      <c r="M174" s="27">
        <f t="shared" si="68"/>
        <v>-0.20079046777510146</v>
      </c>
      <c r="N174" s="105">
        <f>24846.99/1000*1</f>
        <v>24.846990000000002</v>
      </c>
      <c r="O174" s="106">
        <f>22558.17/1000*1</f>
        <v>22.558169999999997</v>
      </c>
      <c r="P174" s="89">
        <f t="shared" si="69"/>
        <v>2.2888200000000047</v>
      </c>
      <c r="Q174" s="26">
        <f t="shared" si="70"/>
        <v>0.10146301761180118</v>
      </c>
      <c r="R174" s="106">
        <f>24255.628738/1000*1</f>
        <v>24.255628737999999</v>
      </c>
      <c r="S174" s="89">
        <f t="shared" si="71"/>
        <v>-0.59136126200000305</v>
      </c>
      <c r="T174" s="27">
        <f t="shared" si="72"/>
        <v>-2.4380372423558287E-2</v>
      </c>
      <c r="U174" s="105">
        <f>40674.38/1000*1</f>
        <v>40.674379999999999</v>
      </c>
      <c r="V174" s="106">
        <f>35116.29/1000*1</f>
        <v>35.116289999999999</v>
      </c>
      <c r="W174" s="89">
        <f t="shared" si="73"/>
        <v>5.55809</v>
      </c>
      <c r="X174" s="26">
        <f t="shared" si="74"/>
        <v>0.15827668583440904</v>
      </c>
      <c r="Y174" s="106">
        <f>40083.018738/1000*1</f>
        <v>40.083018738</v>
      </c>
      <c r="Z174" s="89">
        <f t="shared" si="75"/>
        <v>-0.5913612619999995</v>
      </c>
      <c r="AA174" s="27">
        <f t="shared" si="76"/>
        <v>-1.4753411310295596E-2</v>
      </c>
      <c r="AB174" s="107">
        <f>95175.743017/1000*1</f>
        <v>95.175743017000002</v>
      </c>
      <c r="AC174" s="1"/>
      <c r="AD174" s="1"/>
      <c r="AE174" s="1"/>
      <c r="AF174" s="1"/>
      <c r="AG174" s="1"/>
      <c r="AH174" s="1"/>
      <c r="AI174" s="1"/>
    </row>
    <row r="175" spans="1:35" ht="14.25" hidden="1" outlineLevel="1" x14ac:dyDescent="0.2">
      <c r="A175" s="1"/>
      <c r="B175" s="3"/>
      <c r="C175" s="3"/>
      <c r="D175" s="3"/>
      <c r="E175" s="3"/>
      <c r="F175" s="3"/>
      <c r="G175" s="105"/>
      <c r="H175" s="106"/>
      <c r="I175" s="89"/>
      <c r="J175" s="26"/>
      <c r="K175" s="106"/>
      <c r="L175" s="89"/>
      <c r="M175" s="27"/>
      <c r="N175" s="105"/>
      <c r="O175" s="106"/>
      <c r="P175" s="89"/>
      <c r="Q175" s="26"/>
      <c r="R175" s="106"/>
      <c r="S175" s="89"/>
      <c r="T175" s="27"/>
      <c r="U175" s="105"/>
      <c r="V175" s="106"/>
      <c r="W175" s="89"/>
      <c r="X175" s="26"/>
      <c r="Y175" s="106"/>
      <c r="Z175" s="89"/>
      <c r="AA175" s="27"/>
      <c r="AB175" s="107"/>
      <c r="AC175" s="1"/>
      <c r="AD175" s="1"/>
      <c r="AE175" s="1"/>
      <c r="AF175" s="1"/>
      <c r="AG175" s="1"/>
      <c r="AH175" s="1"/>
      <c r="AI175" s="1"/>
    </row>
    <row r="176" spans="1:35" ht="14.25" hidden="1" outlineLevel="1" x14ac:dyDescent="0.2">
      <c r="A176" s="1"/>
      <c r="B176" s="3"/>
      <c r="C176" s="3"/>
      <c r="D176" s="3"/>
      <c r="E176" s="3"/>
      <c r="F176" s="3"/>
      <c r="G176" s="105"/>
      <c r="H176" s="106"/>
      <c r="I176" s="89"/>
      <c r="J176" s="26"/>
      <c r="K176" s="106"/>
      <c r="L176" s="89"/>
      <c r="M176" s="27"/>
      <c r="N176" s="105"/>
      <c r="O176" s="106"/>
      <c r="P176" s="89"/>
      <c r="Q176" s="26"/>
      <c r="R176" s="106"/>
      <c r="S176" s="89"/>
      <c r="T176" s="27"/>
      <c r="U176" s="105"/>
      <c r="V176" s="106"/>
      <c r="W176" s="89"/>
      <c r="X176" s="26"/>
      <c r="Y176" s="106"/>
      <c r="Z176" s="89"/>
      <c r="AA176" s="27"/>
      <c r="AB176" s="107"/>
      <c r="AC176" s="1"/>
      <c r="AD176" s="1"/>
      <c r="AE176" s="1"/>
      <c r="AF176" s="1"/>
      <c r="AG176" s="1"/>
      <c r="AH176" s="1"/>
      <c r="AI176" s="1"/>
    </row>
    <row r="177" spans="1:35" ht="14.25" collapsed="1" x14ac:dyDescent="0.2">
      <c r="A177" s="1"/>
      <c r="B177" s="3" t="s">
        <v>60</v>
      </c>
      <c r="C177" s="3"/>
      <c r="D177" s="3"/>
      <c r="E177" s="3"/>
      <c r="F177" s="3"/>
      <c r="G177" s="102">
        <f>SUM(G178:G178)</f>
        <v>0</v>
      </c>
      <c r="H177" s="103">
        <f>SUM(H178:H178)</f>
        <v>0</v>
      </c>
      <c r="I177" s="89">
        <f>G177-H177</f>
        <v>0</v>
      </c>
      <c r="J177" s="26" t="str">
        <f>IF(ISERROR(I177/H177),"N/A",IF(ABS(I177/H177)&gt;5,"N/A",I177/H177))</f>
        <v>N/A</v>
      </c>
      <c r="K177" s="103">
        <f>SUM(K178:K178)</f>
        <v>0</v>
      </c>
      <c r="L177" s="89">
        <f>K177-G177</f>
        <v>0</v>
      </c>
      <c r="M177" s="27" t="str">
        <f>IF(ISERROR(L177/K177),"N/A",IF(ABS(L177/K177)&gt;5,"N/A",L177/K177))</f>
        <v>N/A</v>
      </c>
      <c r="N177" s="102">
        <f>SUM(N178:N178)</f>
        <v>0</v>
      </c>
      <c r="O177" s="103">
        <f>SUM(O178:O178)</f>
        <v>0</v>
      </c>
      <c r="P177" s="89">
        <f>N177-O177</f>
        <v>0</v>
      </c>
      <c r="Q177" s="26" t="str">
        <f>IF(ISERROR(P177/O177),"N/A",IF(ABS(P177/O177)&gt;5,"N/A",P177/O177))</f>
        <v>N/A</v>
      </c>
      <c r="R177" s="103">
        <f>SUM(R178:R178)</f>
        <v>0</v>
      </c>
      <c r="S177" s="89">
        <f>R177-N177</f>
        <v>0</v>
      </c>
      <c r="T177" s="27" t="str">
        <f>IF(ISERROR(S177/R177),"N/A",IF(ABS(S177/R177)&gt;5,"N/A",S177/R177))</f>
        <v>N/A</v>
      </c>
      <c r="U177" s="102">
        <f>SUM(U178:U178)</f>
        <v>0</v>
      </c>
      <c r="V177" s="103">
        <f>SUM(V178:V178)</f>
        <v>0</v>
      </c>
      <c r="W177" s="89">
        <f>U177-V177</f>
        <v>0</v>
      </c>
      <c r="X177" s="26" t="str">
        <f>IF(ISERROR(W177/V177),"N/A",IF(ABS(W177/V177)&gt;5,"N/A",W177/V177))</f>
        <v>N/A</v>
      </c>
      <c r="Y177" s="103">
        <f>SUM(Y178:Y178)</f>
        <v>0</v>
      </c>
      <c r="Z177" s="89">
        <f>Y177-U177</f>
        <v>0</v>
      </c>
      <c r="AA177" s="27" t="str">
        <f>IF(ISERROR(Z177/Y177),"N/A",IF(ABS(Z177/Y177)&gt;5,"N/A",Z177/Y177))</f>
        <v>N/A</v>
      </c>
      <c r="AB177" s="104">
        <f>SUM(AB178:AB178)</f>
        <v>0</v>
      </c>
      <c r="AC177" s="1"/>
      <c r="AD177" s="1"/>
      <c r="AE177" s="1"/>
      <c r="AF177" s="1"/>
      <c r="AG177" s="1"/>
      <c r="AH177" s="1"/>
      <c r="AI177" s="1"/>
    </row>
    <row r="178" spans="1:35" ht="14.25" hidden="1" outlineLevel="1" x14ac:dyDescent="0.2">
      <c r="A178" s="1"/>
      <c r="B178" s="3"/>
      <c r="C178" s="3"/>
      <c r="D178" s="3"/>
      <c r="E178" s="3"/>
      <c r="F178" s="3"/>
      <c r="G178" s="105"/>
      <c r="H178" s="106"/>
      <c r="I178" s="89"/>
      <c r="J178" s="26"/>
      <c r="K178" s="106"/>
      <c r="L178" s="89"/>
      <c r="M178" s="27"/>
      <c r="N178" s="105"/>
      <c r="O178" s="106"/>
      <c r="P178" s="89"/>
      <c r="Q178" s="26"/>
      <c r="R178" s="106"/>
      <c r="S178" s="89"/>
      <c r="T178" s="27"/>
      <c r="U178" s="105"/>
      <c r="V178" s="106"/>
      <c r="W178" s="89"/>
      <c r="X178" s="26"/>
      <c r="Y178" s="106"/>
      <c r="Z178" s="89"/>
      <c r="AA178" s="27"/>
      <c r="AB178" s="107"/>
      <c r="AC178" s="1"/>
      <c r="AD178" s="1"/>
      <c r="AE178" s="1"/>
      <c r="AF178" s="1"/>
      <c r="AG178" s="1"/>
      <c r="AH178" s="1"/>
      <c r="AI178" s="1"/>
    </row>
    <row r="179" spans="1:35" ht="14.25" hidden="1" outlineLevel="1" x14ac:dyDescent="0.2">
      <c r="A179" s="1"/>
      <c r="B179" s="3"/>
      <c r="C179" s="3"/>
      <c r="D179" s="3"/>
      <c r="E179" s="3"/>
      <c r="F179" s="3"/>
      <c r="G179" s="105"/>
      <c r="H179" s="106"/>
      <c r="I179" s="89"/>
      <c r="J179" s="26"/>
      <c r="K179" s="106"/>
      <c r="L179" s="89"/>
      <c r="M179" s="27"/>
      <c r="N179" s="105"/>
      <c r="O179" s="106"/>
      <c r="P179" s="89"/>
      <c r="Q179" s="26"/>
      <c r="R179" s="106"/>
      <c r="S179" s="89"/>
      <c r="T179" s="27"/>
      <c r="U179" s="105"/>
      <c r="V179" s="106"/>
      <c r="W179" s="89"/>
      <c r="X179" s="26"/>
      <c r="Y179" s="106"/>
      <c r="Z179" s="89"/>
      <c r="AA179" s="27"/>
      <c r="AB179" s="107"/>
      <c r="AC179" s="1"/>
      <c r="AD179" s="1"/>
      <c r="AE179" s="1"/>
      <c r="AF179" s="1"/>
      <c r="AG179" s="1"/>
      <c r="AH179" s="1"/>
      <c r="AI179" s="1"/>
    </row>
    <row r="180" spans="1:35" ht="14.25" collapsed="1" x14ac:dyDescent="0.2">
      <c r="A180" s="1"/>
      <c r="B180" s="3" t="s">
        <v>62</v>
      </c>
      <c r="C180" s="3"/>
      <c r="D180" s="3"/>
      <c r="E180" s="3"/>
      <c r="F180" s="3"/>
      <c r="G180" s="102">
        <f>SUM(G181:G183)</f>
        <v>1.3529</v>
      </c>
      <c r="H180" s="103">
        <f>SUM(H181:H183)</f>
        <v>0</v>
      </c>
      <c r="I180" s="89">
        <f>G180-H180</f>
        <v>1.3529</v>
      </c>
      <c r="J180" s="26" t="str">
        <f>IF(ISERROR(I180/H180),"N/A",IF(ABS(I180/H180)&gt;5,"N/A",I180/H180))</f>
        <v>N/A</v>
      </c>
      <c r="K180" s="103">
        <f>SUM(K181:K183)</f>
        <v>0</v>
      </c>
      <c r="L180" s="89">
        <f>K180-G180</f>
        <v>-1.3529</v>
      </c>
      <c r="M180" s="27" t="str">
        <f>IF(ISERROR(L180/K180),"N/A",IF(ABS(L180/K180)&gt;5,"N/A",L180/K180))</f>
        <v>N/A</v>
      </c>
      <c r="N180" s="102">
        <f>SUM(N181:N183)</f>
        <v>3.9882600000000004</v>
      </c>
      <c r="O180" s="103">
        <f>SUM(O181:O183)</f>
        <v>0</v>
      </c>
      <c r="P180" s="89">
        <f>N180-O180</f>
        <v>3.9882600000000004</v>
      </c>
      <c r="Q180" s="26" t="str">
        <f>IF(ISERROR(P180/O180),"N/A",IF(ABS(P180/O180)&gt;5,"N/A",P180/O180))</f>
        <v>N/A</v>
      </c>
      <c r="R180" s="103">
        <f>SUM(R181:R183)</f>
        <v>1.3154600000000001</v>
      </c>
      <c r="S180" s="89">
        <f>R180-N180</f>
        <v>-2.6728000000000005</v>
      </c>
      <c r="T180" s="27">
        <f>IF(ISERROR(S180/R180),"N/A",IF(ABS(S180/R180)&gt;5,"N/A",S180/R180))</f>
        <v>-2.0318367719276909</v>
      </c>
      <c r="U180" s="102">
        <f>SUM(U181:U183)</f>
        <v>8.1725499999999993</v>
      </c>
      <c r="V180" s="103">
        <f>SUM(V181:V183)</f>
        <v>6.6499999999999988E-3</v>
      </c>
      <c r="W180" s="89">
        <f>U180-V180</f>
        <v>8.1658999999999988</v>
      </c>
      <c r="X180" s="26" t="str">
        <f>IF(ISERROR(W180/V180),"N/A",IF(ABS(W180/V180)&gt;5,"N/A",W180/V180))</f>
        <v>N/A</v>
      </c>
      <c r="Y180" s="103">
        <f>SUM(Y181:Y183)</f>
        <v>5.4997499999999997</v>
      </c>
      <c r="Z180" s="89">
        <f>Y180-U180</f>
        <v>-2.6727999999999996</v>
      </c>
      <c r="AA180" s="27">
        <f>IF(ISERROR(Z180/Y180),"N/A",IF(ABS(Z180/Y180)&gt;5,"N/A",Z180/Y180))</f>
        <v>-0.48598572662393741</v>
      </c>
      <c r="AB180" s="104">
        <f>SUM(AB181:AB183)</f>
        <v>5.4997499999999997</v>
      </c>
      <c r="AC180" s="1"/>
      <c r="AD180" s="1"/>
      <c r="AE180" s="1"/>
      <c r="AF180" s="1"/>
      <c r="AG180" s="1"/>
      <c r="AH180" s="1"/>
      <c r="AI180" s="1"/>
    </row>
    <row r="181" spans="1:35" ht="14.25" hidden="1" outlineLevel="1" x14ac:dyDescent="0.2">
      <c r="A181" s="1"/>
      <c r="B181" s="3"/>
      <c r="C181" s="3"/>
      <c r="D181" s="3" t="s">
        <v>62</v>
      </c>
      <c r="E181" s="3" t="s">
        <v>75</v>
      </c>
      <c r="F181" s="3">
        <v>860</v>
      </c>
      <c r="G181" s="105">
        <f>1352.9/1000*1</f>
        <v>1.3529</v>
      </c>
      <c r="H181" s="106">
        <f>0/1000*1</f>
        <v>0</v>
      </c>
      <c r="I181" s="89">
        <f>G181-H181</f>
        <v>1.3529</v>
      </c>
      <c r="J181" s="26" t="str">
        <f>IF(ISERROR(I181/H181),"N/A",IF(ABS(I181/H181)&gt;5,"N/A",I181/H181))</f>
        <v>N/A</v>
      </c>
      <c r="K181" s="106">
        <f>0/1000*1</f>
        <v>0</v>
      </c>
      <c r="L181" s="89">
        <f>K181-G181</f>
        <v>-1.3529</v>
      </c>
      <c r="M181" s="27" t="str">
        <f>IF(ISERROR(L181/K181),"N/A",IF(ABS(L181/K181)&gt;5,"N/A",L181/K181))</f>
        <v>N/A</v>
      </c>
      <c r="N181" s="105">
        <f>3988.26/1000*1</f>
        <v>3.9882600000000004</v>
      </c>
      <c r="O181" s="106">
        <f>0/1000*1</f>
        <v>0</v>
      </c>
      <c r="P181" s="89">
        <f>N181-O181</f>
        <v>3.9882600000000004</v>
      </c>
      <c r="Q181" s="26" t="str">
        <f>IF(ISERROR(P181/O181),"N/A",IF(ABS(P181/O181)&gt;5,"N/A",P181/O181))</f>
        <v>N/A</v>
      </c>
      <c r="R181" s="106">
        <f>1315.46/1000*1</f>
        <v>1.3154600000000001</v>
      </c>
      <c r="S181" s="89">
        <f>R181-N181</f>
        <v>-2.6728000000000005</v>
      </c>
      <c r="T181" s="27">
        <f>IF(ISERROR(S181/R181),"N/A",IF(ABS(S181/R181)&gt;5,"N/A",S181/R181))</f>
        <v>-2.0318367719276909</v>
      </c>
      <c r="U181" s="105">
        <f>8172.55/1000*1</f>
        <v>8.1725499999999993</v>
      </c>
      <c r="V181" s="106">
        <f>5.81/1000*1</f>
        <v>5.8099999999999992E-3</v>
      </c>
      <c r="W181" s="89">
        <f>U181-V181</f>
        <v>8.166739999999999</v>
      </c>
      <c r="X181" s="26" t="str">
        <f>IF(ISERROR(W181/V181),"N/A",IF(ABS(W181/V181)&gt;5,"N/A",W181/V181))</f>
        <v>N/A</v>
      </c>
      <c r="Y181" s="106">
        <f>5499.75/1000*1</f>
        <v>5.4997499999999997</v>
      </c>
      <c r="Z181" s="89">
        <f>Y181-U181</f>
        <v>-2.6727999999999996</v>
      </c>
      <c r="AA181" s="27">
        <f>IF(ISERROR(Z181/Y181),"N/A",IF(ABS(Z181/Y181)&gt;5,"N/A",Z181/Y181))</f>
        <v>-0.48598572662393741</v>
      </c>
      <c r="AB181" s="107">
        <f>5499.75/1000*1</f>
        <v>5.4997499999999997</v>
      </c>
      <c r="AC181" s="1"/>
      <c r="AD181" s="1"/>
      <c r="AE181" s="1"/>
      <c r="AF181" s="1"/>
      <c r="AG181" s="1"/>
      <c r="AH181" s="1"/>
      <c r="AI181" s="1"/>
    </row>
    <row r="182" spans="1:35" ht="14.25" hidden="1" outlineLevel="1" x14ac:dyDescent="0.2">
      <c r="A182" s="1"/>
      <c r="B182" s="3"/>
      <c r="C182" s="3"/>
      <c r="D182" s="3" t="s">
        <v>62</v>
      </c>
      <c r="E182" s="3" t="s">
        <v>75</v>
      </c>
      <c r="F182" s="3">
        <v>861</v>
      </c>
      <c r="G182" s="105">
        <f>0/1000*1</f>
        <v>0</v>
      </c>
      <c r="H182" s="106">
        <f>0/1000*1</f>
        <v>0</v>
      </c>
      <c r="I182" s="89">
        <f>G182-H182</f>
        <v>0</v>
      </c>
      <c r="J182" s="26" t="str">
        <f>IF(ISERROR(I182/H182),"N/A",IF(ABS(I182/H182)&gt;5,"N/A",I182/H182))</f>
        <v>N/A</v>
      </c>
      <c r="K182" s="106">
        <f>0/1000*1</f>
        <v>0</v>
      </c>
      <c r="L182" s="89">
        <f>K182-G182</f>
        <v>0</v>
      </c>
      <c r="M182" s="27" t="str">
        <f>IF(ISERROR(L182/K182),"N/A",IF(ABS(L182/K182)&gt;5,"N/A",L182/K182))</f>
        <v>N/A</v>
      </c>
      <c r="N182" s="105">
        <f>0/1000*1</f>
        <v>0</v>
      </c>
      <c r="O182" s="106">
        <f>0/1000*1</f>
        <v>0</v>
      </c>
      <c r="P182" s="89">
        <f>N182-O182</f>
        <v>0</v>
      </c>
      <c r="Q182" s="26" t="str">
        <f>IF(ISERROR(P182/O182),"N/A",IF(ABS(P182/O182)&gt;5,"N/A",P182/O182))</f>
        <v>N/A</v>
      </c>
      <c r="R182" s="106">
        <f>0/1000*1</f>
        <v>0</v>
      </c>
      <c r="S182" s="89">
        <f>R182-N182</f>
        <v>0</v>
      </c>
      <c r="T182" s="27" t="str">
        <f>IF(ISERROR(S182/R182),"N/A",IF(ABS(S182/R182)&gt;5,"N/A",S182/R182))</f>
        <v>N/A</v>
      </c>
      <c r="U182" s="105">
        <f>0/1000*1</f>
        <v>0</v>
      </c>
      <c r="V182" s="106">
        <f>0.84/1000*1</f>
        <v>8.3999999999999993E-4</v>
      </c>
      <c r="W182" s="89">
        <f>U182-V182</f>
        <v>-8.3999999999999993E-4</v>
      </c>
      <c r="X182" s="26">
        <f>IF(ISERROR(W182/V182),"N/A",IF(ABS(W182/V182)&gt;5,"N/A",W182/V182))</f>
        <v>-1</v>
      </c>
      <c r="Y182" s="106">
        <f>0/1000*1</f>
        <v>0</v>
      </c>
      <c r="Z182" s="89">
        <f>Y182-U182</f>
        <v>0</v>
      </c>
      <c r="AA182" s="27" t="str">
        <f>IF(ISERROR(Z182/Y182),"N/A",IF(ABS(Z182/Y182)&gt;5,"N/A",Z182/Y182))</f>
        <v>N/A</v>
      </c>
      <c r="AB182" s="107">
        <f>0/1000*1</f>
        <v>0</v>
      </c>
      <c r="AC182" s="1"/>
      <c r="AD182" s="1"/>
      <c r="AE182" s="1"/>
      <c r="AF182" s="1"/>
      <c r="AG182" s="1"/>
      <c r="AH182" s="1"/>
      <c r="AI182" s="1"/>
    </row>
    <row r="183" spans="1:35" ht="14.25" hidden="1" outlineLevel="1" x14ac:dyDescent="0.2">
      <c r="A183" s="1"/>
      <c r="B183" s="3"/>
      <c r="C183" s="3"/>
      <c r="D183" s="3"/>
      <c r="E183" s="3"/>
      <c r="F183" s="3"/>
      <c r="G183" s="105"/>
      <c r="H183" s="106"/>
      <c r="I183" s="89"/>
      <c r="J183" s="26"/>
      <c r="K183" s="106"/>
      <c r="L183" s="89"/>
      <c r="M183" s="27"/>
      <c r="N183" s="105"/>
      <c r="O183" s="106"/>
      <c r="P183" s="89"/>
      <c r="Q183" s="26"/>
      <c r="R183" s="106"/>
      <c r="S183" s="89"/>
      <c r="T183" s="27"/>
      <c r="U183" s="105"/>
      <c r="V183" s="106"/>
      <c r="W183" s="89"/>
      <c r="X183" s="26"/>
      <c r="Y183" s="106"/>
      <c r="Z183" s="89"/>
      <c r="AA183" s="27"/>
      <c r="AB183" s="107"/>
      <c r="AC183" s="1"/>
      <c r="AD183" s="1"/>
      <c r="AE183" s="1"/>
      <c r="AF183" s="1"/>
      <c r="AG183" s="1"/>
      <c r="AH183" s="1"/>
      <c r="AI183" s="1"/>
    </row>
    <row r="184" spans="1:35" ht="14.25" hidden="1" outlineLevel="1" x14ac:dyDescent="0.2">
      <c r="A184" s="1"/>
      <c r="B184" s="3"/>
      <c r="C184" s="3"/>
      <c r="D184" s="3"/>
      <c r="E184" s="3"/>
      <c r="F184" s="3"/>
      <c r="G184" s="105"/>
      <c r="H184" s="106"/>
      <c r="I184" s="89"/>
      <c r="J184" s="26"/>
      <c r="K184" s="106"/>
      <c r="L184" s="89"/>
      <c r="M184" s="27"/>
      <c r="N184" s="105"/>
      <c r="O184" s="106"/>
      <c r="P184" s="89"/>
      <c r="Q184" s="26"/>
      <c r="R184" s="106"/>
      <c r="S184" s="89"/>
      <c r="T184" s="27"/>
      <c r="U184" s="105"/>
      <c r="V184" s="106"/>
      <c r="W184" s="89"/>
      <c r="X184" s="26"/>
      <c r="Y184" s="106"/>
      <c r="Z184" s="89"/>
      <c r="AA184" s="27"/>
      <c r="AB184" s="107"/>
      <c r="AC184" s="1"/>
      <c r="AD184" s="1"/>
      <c r="AE184" s="1"/>
      <c r="AF184" s="1"/>
      <c r="AG184" s="1"/>
      <c r="AH184" s="1"/>
      <c r="AI184" s="1"/>
    </row>
    <row r="185" spans="1:35" ht="14.25" collapsed="1" x14ac:dyDescent="0.2">
      <c r="A185" s="1"/>
      <c r="B185" s="3" t="s">
        <v>63</v>
      </c>
      <c r="C185" s="3"/>
      <c r="D185" s="3"/>
      <c r="E185" s="3"/>
      <c r="F185" s="3"/>
      <c r="G185" s="102">
        <f>SUM(G186:G187)</f>
        <v>0</v>
      </c>
      <c r="H185" s="103">
        <f>SUM(H186:H187)</f>
        <v>0</v>
      </c>
      <c r="I185" s="89">
        <f>G185-H185</f>
        <v>0</v>
      </c>
      <c r="J185" s="26" t="str">
        <f>IF(ISERROR(I185/H185),"N/A",IF(ABS(I185/H185)&gt;5,"N/A",I185/H185))</f>
        <v>N/A</v>
      </c>
      <c r="K185" s="103">
        <f>SUM(K186:K187)</f>
        <v>0</v>
      </c>
      <c r="L185" s="89">
        <f>K185-G185</f>
        <v>0</v>
      </c>
      <c r="M185" s="27" t="str">
        <f>IF(ISERROR(L185/K185),"N/A",IF(ABS(L185/K185)&gt;5,"N/A",L185/K185))</f>
        <v>N/A</v>
      </c>
      <c r="N185" s="102">
        <f>SUM(N186:N187)</f>
        <v>0</v>
      </c>
      <c r="O185" s="103">
        <f>SUM(O186:O187)</f>
        <v>0</v>
      </c>
      <c r="P185" s="89">
        <f>N185-O185</f>
        <v>0</v>
      </c>
      <c r="Q185" s="26" t="str">
        <f>IF(ISERROR(P185/O185),"N/A",IF(ABS(P185/O185)&gt;5,"N/A",P185/O185))</f>
        <v>N/A</v>
      </c>
      <c r="R185" s="103">
        <f>SUM(R186:R187)</f>
        <v>0</v>
      </c>
      <c r="S185" s="89">
        <f>R185-N185</f>
        <v>0</v>
      </c>
      <c r="T185" s="27" t="str">
        <f>IF(ISERROR(S185/R185),"N/A",IF(ABS(S185/R185)&gt;5,"N/A",S185/R185))</f>
        <v>N/A</v>
      </c>
      <c r="U185" s="102">
        <f>SUM(U186:U187)</f>
        <v>0</v>
      </c>
      <c r="V185" s="103">
        <f>SUM(V186:V187)</f>
        <v>0.22741</v>
      </c>
      <c r="W185" s="89">
        <f>U185-V185</f>
        <v>-0.22741</v>
      </c>
      <c r="X185" s="26">
        <f>IF(ISERROR(W185/V185),"N/A",IF(ABS(W185/V185)&gt;5,"N/A",W185/V185))</f>
        <v>-1</v>
      </c>
      <c r="Y185" s="103">
        <f>SUM(Y186:Y187)</f>
        <v>0</v>
      </c>
      <c r="Z185" s="89">
        <f>Y185-U185</f>
        <v>0</v>
      </c>
      <c r="AA185" s="27" t="str">
        <f>IF(ISERROR(Z185/Y185),"N/A",IF(ABS(Z185/Y185)&gt;5,"N/A",Z185/Y185))</f>
        <v>N/A</v>
      </c>
      <c r="AB185" s="104">
        <f>SUM(AB186:AB187)</f>
        <v>0</v>
      </c>
      <c r="AC185" s="1"/>
      <c r="AD185" s="1"/>
      <c r="AE185" s="1"/>
      <c r="AF185" s="1"/>
      <c r="AG185" s="1"/>
      <c r="AH185" s="1"/>
      <c r="AI185" s="1"/>
    </row>
    <row r="186" spans="1:35" ht="14.25" hidden="1" outlineLevel="1" x14ac:dyDescent="0.2">
      <c r="A186" s="1"/>
      <c r="B186" s="3"/>
      <c r="C186" s="3"/>
      <c r="D186" s="3" t="s">
        <v>64</v>
      </c>
      <c r="E186" s="3" t="s">
        <v>75</v>
      </c>
      <c r="F186" s="3">
        <v>641</v>
      </c>
      <c r="G186" s="105">
        <f>0/1000*1</f>
        <v>0</v>
      </c>
      <c r="H186" s="106">
        <f>0/1000*1</f>
        <v>0</v>
      </c>
      <c r="I186" s="89">
        <f>G186-H186</f>
        <v>0</v>
      </c>
      <c r="J186" s="26" t="str">
        <f>IF(ISERROR(I186/H186),"N/A",IF(ABS(I186/H186)&gt;5,"N/A",I186/H186))</f>
        <v>N/A</v>
      </c>
      <c r="K186" s="106">
        <f>0/1000*1</f>
        <v>0</v>
      </c>
      <c r="L186" s="89">
        <f>K186-G186</f>
        <v>0</v>
      </c>
      <c r="M186" s="27" t="str">
        <f>IF(ISERROR(L186/K186),"N/A",IF(ABS(L186/K186)&gt;5,"N/A",L186/K186))</f>
        <v>N/A</v>
      </c>
      <c r="N186" s="105">
        <f>0/1000*1</f>
        <v>0</v>
      </c>
      <c r="O186" s="106">
        <f>0/1000*1</f>
        <v>0</v>
      </c>
      <c r="P186" s="89">
        <f>N186-O186</f>
        <v>0</v>
      </c>
      <c r="Q186" s="26" t="str">
        <f>IF(ISERROR(P186/O186),"N/A",IF(ABS(P186/O186)&gt;5,"N/A",P186/O186))</f>
        <v>N/A</v>
      </c>
      <c r="R186" s="106">
        <f>0/1000*1</f>
        <v>0</v>
      </c>
      <c r="S186" s="89">
        <f>R186-N186</f>
        <v>0</v>
      </c>
      <c r="T186" s="27" t="str">
        <f>IF(ISERROR(S186/R186),"N/A",IF(ABS(S186/R186)&gt;5,"N/A",S186/R186))</f>
        <v>N/A</v>
      </c>
      <c r="U186" s="105">
        <f>0/1000*1</f>
        <v>0</v>
      </c>
      <c r="V186" s="106">
        <f>227.41/1000*1</f>
        <v>0.22741</v>
      </c>
      <c r="W186" s="89">
        <f>U186-V186</f>
        <v>-0.22741</v>
      </c>
      <c r="X186" s="26">
        <f>IF(ISERROR(W186/V186),"N/A",IF(ABS(W186/V186)&gt;5,"N/A",W186/V186))</f>
        <v>-1</v>
      </c>
      <c r="Y186" s="106">
        <f>0/1000*1</f>
        <v>0</v>
      </c>
      <c r="Z186" s="89">
        <f>Y186-U186</f>
        <v>0</v>
      </c>
      <c r="AA186" s="27" t="str">
        <f>IF(ISERROR(Z186/Y186),"N/A",IF(ABS(Z186/Y186)&gt;5,"N/A",Z186/Y186))</f>
        <v>N/A</v>
      </c>
      <c r="AB186" s="107">
        <f>0/1000*1</f>
        <v>0</v>
      </c>
      <c r="AC186" s="1"/>
      <c r="AD186" s="1"/>
      <c r="AE186" s="1"/>
      <c r="AF186" s="1"/>
      <c r="AG186" s="1"/>
      <c r="AH186" s="1"/>
      <c r="AI186" s="1"/>
    </row>
    <row r="187" spans="1:35" ht="14.25" hidden="1" outlineLevel="1" x14ac:dyDescent="0.2">
      <c r="A187" s="1"/>
      <c r="B187" s="3"/>
      <c r="C187" s="3"/>
      <c r="D187" s="3"/>
      <c r="E187" s="3"/>
      <c r="F187" s="3"/>
      <c r="G187" s="105"/>
      <c r="H187" s="106"/>
      <c r="I187" s="89"/>
      <c r="J187" s="26"/>
      <c r="K187" s="106"/>
      <c r="L187" s="89"/>
      <c r="M187" s="27"/>
      <c r="N187" s="105"/>
      <c r="O187" s="106"/>
      <c r="P187" s="89"/>
      <c r="Q187" s="26"/>
      <c r="R187" s="106"/>
      <c r="S187" s="89"/>
      <c r="T187" s="27"/>
      <c r="U187" s="105"/>
      <c r="V187" s="106"/>
      <c r="W187" s="89"/>
      <c r="X187" s="26"/>
      <c r="Y187" s="106"/>
      <c r="Z187" s="89"/>
      <c r="AA187" s="27"/>
      <c r="AB187" s="107"/>
      <c r="AC187" s="1"/>
      <c r="AD187" s="1"/>
      <c r="AE187" s="1"/>
      <c r="AF187" s="1"/>
      <c r="AG187" s="1"/>
      <c r="AH187" s="1"/>
      <c r="AI187" s="1"/>
    </row>
    <row r="188" spans="1:35" ht="14.25" hidden="1" outlineLevel="1" x14ac:dyDescent="0.2">
      <c r="A188" s="1"/>
      <c r="B188" s="3"/>
      <c r="C188" s="3"/>
      <c r="D188" s="3"/>
      <c r="E188" s="3"/>
      <c r="F188" s="3"/>
      <c r="G188" s="105"/>
      <c r="H188" s="106"/>
      <c r="I188" s="89"/>
      <c r="J188" s="26"/>
      <c r="K188" s="106"/>
      <c r="L188" s="89"/>
      <c r="M188" s="27"/>
      <c r="N188" s="105"/>
      <c r="O188" s="106"/>
      <c r="P188" s="89"/>
      <c r="Q188" s="26"/>
      <c r="R188" s="106"/>
      <c r="S188" s="89"/>
      <c r="T188" s="27"/>
      <c r="U188" s="105"/>
      <c r="V188" s="106"/>
      <c r="W188" s="89"/>
      <c r="X188" s="26"/>
      <c r="Y188" s="106"/>
      <c r="Z188" s="89"/>
      <c r="AA188" s="27"/>
      <c r="AB188" s="107"/>
      <c r="AC188" s="1"/>
      <c r="AD188" s="1"/>
      <c r="AE188" s="1"/>
      <c r="AF188" s="1"/>
      <c r="AG188" s="1"/>
      <c r="AH188" s="1"/>
      <c r="AI188" s="1"/>
    </row>
    <row r="189" spans="1:35" ht="14.25" collapsed="1" x14ac:dyDescent="0.2">
      <c r="A189" s="1"/>
      <c r="B189" s="3" t="s">
        <v>65</v>
      </c>
      <c r="C189" s="3"/>
      <c r="D189" s="3"/>
      <c r="E189" s="3"/>
      <c r="F189" s="3"/>
      <c r="G189" s="102">
        <f>SUM(G190:G190)</f>
        <v>0</v>
      </c>
      <c r="H189" s="103">
        <f>SUM(H190:H190)</f>
        <v>0</v>
      </c>
      <c r="I189" s="89">
        <f>G189-H189</f>
        <v>0</v>
      </c>
      <c r="J189" s="26" t="str">
        <f>IF(ISERROR(I189/H189),"N/A",IF(ABS(I189/H189)&gt;5,"N/A",I189/H189))</f>
        <v>N/A</v>
      </c>
      <c r="K189" s="103">
        <f>SUM(K190:K190)</f>
        <v>0</v>
      </c>
      <c r="L189" s="89">
        <f>K189-G189</f>
        <v>0</v>
      </c>
      <c r="M189" s="27" t="str">
        <f>IF(ISERROR(L189/K189),"N/A",IF(ABS(L189/K189)&gt;5,"N/A",L189/K189))</f>
        <v>N/A</v>
      </c>
      <c r="N189" s="102">
        <f>SUM(N190:N190)</f>
        <v>0</v>
      </c>
      <c r="O189" s="103">
        <f>SUM(O190:O190)</f>
        <v>0</v>
      </c>
      <c r="P189" s="89">
        <f>N189-O189</f>
        <v>0</v>
      </c>
      <c r="Q189" s="26" t="str">
        <f>IF(ISERROR(P189/O189),"N/A",IF(ABS(P189/O189)&gt;5,"N/A",P189/O189))</f>
        <v>N/A</v>
      </c>
      <c r="R189" s="103">
        <f>SUM(R190:R190)</f>
        <v>0</v>
      </c>
      <c r="S189" s="89">
        <f>R189-N189</f>
        <v>0</v>
      </c>
      <c r="T189" s="27" t="str">
        <f>IF(ISERROR(S189/R189),"N/A",IF(ABS(S189/R189)&gt;5,"N/A",S189/R189))</f>
        <v>N/A</v>
      </c>
      <c r="U189" s="102">
        <f>SUM(U190:U190)</f>
        <v>0</v>
      </c>
      <c r="V189" s="103">
        <f>SUM(V190:V190)</f>
        <v>0</v>
      </c>
      <c r="W189" s="89">
        <f>U189-V189</f>
        <v>0</v>
      </c>
      <c r="X189" s="26" t="str">
        <f>IF(ISERROR(W189/V189),"N/A",IF(ABS(W189/V189)&gt;5,"N/A",W189/V189))</f>
        <v>N/A</v>
      </c>
      <c r="Y189" s="103">
        <f>SUM(Y190:Y190)</f>
        <v>0</v>
      </c>
      <c r="Z189" s="89">
        <f>Y189-U189</f>
        <v>0</v>
      </c>
      <c r="AA189" s="27" t="str">
        <f>IF(ISERROR(Z189/Y189),"N/A",IF(ABS(Z189/Y189)&gt;5,"N/A",Z189/Y189))</f>
        <v>N/A</v>
      </c>
      <c r="AB189" s="104">
        <f>SUM(AB190:AB190)</f>
        <v>0</v>
      </c>
      <c r="AC189" s="1"/>
      <c r="AD189" s="1"/>
      <c r="AE189" s="1"/>
      <c r="AF189" s="1"/>
      <c r="AG189" s="1"/>
      <c r="AH189" s="1"/>
      <c r="AI189" s="1"/>
    </row>
    <row r="190" spans="1:35" ht="14.25" hidden="1" outlineLevel="1" x14ac:dyDescent="0.2">
      <c r="A190" s="1"/>
      <c r="B190" s="3"/>
      <c r="C190" s="3"/>
      <c r="D190" s="3"/>
      <c r="E190" s="3"/>
      <c r="F190" s="3"/>
      <c r="G190" s="105"/>
      <c r="H190" s="106"/>
      <c r="I190" s="89"/>
      <c r="J190" s="26"/>
      <c r="K190" s="106"/>
      <c r="L190" s="89"/>
      <c r="M190" s="27"/>
      <c r="N190" s="105"/>
      <c r="O190" s="106"/>
      <c r="P190" s="89"/>
      <c r="Q190" s="26"/>
      <c r="R190" s="106"/>
      <c r="S190" s="89"/>
      <c r="T190" s="27"/>
      <c r="U190" s="105"/>
      <c r="V190" s="106"/>
      <c r="W190" s="89"/>
      <c r="X190" s="26"/>
      <c r="Y190" s="106"/>
      <c r="Z190" s="89"/>
      <c r="AA190" s="27"/>
      <c r="AB190" s="107"/>
      <c r="AC190" s="1"/>
      <c r="AD190" s="1"/>
      <c r="AE190" s="1"/>
      <c r="AF190" s="1"/>
      <c r="AG190" s="1"/>
      <c r="AH190" s="1"/>
      <c r="AI190" s="1"/>
    </row>
    <row r="191" spans="1:35" ht="14.25" hidden="1" outlineLevel="1" x14ac:dyDescent="0.2">
      <c r="A191" s="1"/>
      <c r="B191" s="3"/>
      <c r="C191" s="3"/>
      <c r="D191" s="3"/>
      <c r="E191" s="3"/>
      <c r="F191" s="3"/>
      <c r="G191" s="105"/>
      <c r="H191" s="106"/>
      <c r="I191" s="89"/>
      <c r="J191" s="26"/>
      <c r="K191" s="106"/>
      <c r="L191" s="89"/>
      <c r="M191" s="27"/>
      <c r="N191" s="105"/>
      <c r="O191" s="106"/>
      <c r="P191" s="89"/>
      <c r="Q191" s="26"/>
      <c r="R191" s="106"/>
      <c r="S191" s="89"/>
      <c r="T191" s="27"/>
      <c r="U191" s="105"/>
      <c r="V191" s="106"/>
      <c r="W191" s="89"/>
      <c r="X191" s="26"/>
      <c r="Y191" s="106"/>
      <c r="Z191" s="89"/>
      <c r="AA191" s="27"/>
      <c r="AB191" s="107"/>
      <c r="AC191" s="1"/>
      <c r="AD191" s="1"/>
      <c r="AE191" s="1"/>
      <c r="AF191" s="1"/>
      <c r="AG191" s="1"/>
      <c r="AH191" s="1"/>
      <c r="AI191" s="1"/>
    </row>
    <row r="192" spans="1:35" ht="14.25" collapsed="1" x14ac:dyDescent="0.2">
      <c r="A192" s="1"/>
      <c r="B192" s="3" t="s">
        <v>66</v>
      </c>
      <c r="C192" s="3"/>
      <c r="D192" s="3"/>
      <c r="E192" s="3"/>
      <c r="F192" s="3"/>
      <c r="G192" s="102">
        <f>SUM(G193:G200)</f>
        <v>7.985100000000001</v>
      </c>
      <c r="H192" s="103">
        <f>SUM(H193:H200)</f>
        <v>18.995049999999999</v>
      </c>
      <c r="I192" s="89">
        <f t="shared" ref="I192:I199" si="85">G192-H192</f>
        <v>-11.009949999999998</v>
      </c>
      <c r="J192" s="26">
        <f t="shared" ref="J192:J199" si="86">IF(ISERROR(I192/H192),"N/A",IF(ABS(I192/H192)&gt;5,"N/A",I192/H192))</f>
        <v>-0.57962205943127276</v>
      </c>
      <c r="K192" s="103">
        <f>SUM(K193:K200)</f>
        <v>9</v>
      </c>
      <c r="L192" s="89">
        <f t="shared" ref="L192:L199" si="87">K192-G192</f>
        <v>1.014899999999999</v>
      </c>
      <c r="M192" s="27">
        <f t="shared" ref="M192:M199" si="88">IF(ISERROR(L192/K192),"N/A",IF(ABS(L192/K192)&gt;5,"N/A",L192/K192))</f>
        <v>0.11276666666666656</v>
      </c>
      <c r="N192" s="102">
        <f>SUM(N193:N200)</f>
        <v>25.436339999999998</v>
      </c>
      <c r="O192" s="103">
        <f>SUM(O193:O200)</f>
        <v>24.16338</v>
      </c>
      <c r="P192" s="89">
        <f t="shared" ref="P192:P199" si="89">N192-O192</f>
        <v>1.2729599999999976</v>
      </c>
      <c r="Q192" s="26">
        <f t="shared" ref="Q192:Q199" si="90">IF(ISERROR(P192/O192),"N/A",IF(ABS(P192/O192)&gt;5,"N/A",P192/O192))</f>
        <v>5.2681371563084209E-2</v>
      </c>
      <c r="R192" s="103">
        <f>SUM(R193:R200)</f>
        <v>23.970259999999996</v>
      </c>
      <c r="S192" s="89">
        <f t="shared" ref="S192:S199" si="91">R192-N192</f>
        <v>-1.4660800000000016</v>
      </c>
      <c r="T192" s="27">
        <f t="shared" ref="T192:T199" si="92">IF(ISERROR(S192/R192),"N/A",IF(ABS(S192/R192)&gt;5,"N/A",S192/R192))</f>
        <v>-6.116245714481202E-2</v>
      </c>
      <c r="U192" s="102">
        <f>SUM(U193:U200)</f>
        <v>37.772860000000001</v>
      </c>
      <c r="V192" s="103">
        <f>SUM(V193:V200)</f>
        <v>102.10248</v>
      </c>
      <c r="W192" s="89">
        <f t="shared" ref="W192:W199" si="93">U192-V192</f>
        <v>-64.329620000000006</v>
      </c>
      <c r="X192" s="26">
        <f t="shared" ref="X192:X199" si="94">IF(ISERROR(W192/V192),"N/A",IF(ABS(W192/V192)&gt;5,"N/A",W192/V192))</f>
        <v>-0.63004953454607571</v>
      </c>
      <c r="Y192" s="103">
        <f>SUM(Y193:Y200)</f>
        <v>36.306780000000003</v>
      </c>
      <c r="Z192" s="89">
        <f t="shared" ref="Z192:Z199" si="95">Y192-U192</f>
        <v>-1.4660799999999981</v>
      </c>
      <c r="AA192" s="27">
        <f t="shared" ref="AA192:AA199" si="96">IF(ISERROR(Z192/Y192),"N/A",IF(ABS(Z192/Y192)&gt;5,"N/A",Z192/Y192))</f>
        <v>-4.038033667540878E-2</v>
      </c>
      <c r="AB192" s="104">
        <f>SUM(AB193:AB200)</f>
        <v>100.14678000000001</v>
      </c>
      <c r="AC192" s="1"/>
      <c r="AD192" s="1"/>
      <c r="AE192" s="1"/>
      <c r="AF192" s="1"/>
      <c r="AG192" s="1"/>
      <c r="AH192" s="1"/>
      <c r="AI192" s="1"/>
    </row>
    <row r="193" spans="1:35" ht="14.25" hidden="1" outlineLevel="1" x14ac:dyDescent="0.2">
      <c r="A193" s="1"/>
      <c r="B193" s="3"/>
      <c r="C193" s="3"/>
      <c r="D193" s="3" t="s">
        <v>67</v>
      </c>
      <c r="E193" s="3" t="s">
        <v>78</v>
      </c>
      <c r="F193" s="3">
        <v>846</v>
      </c>
      <c r="G193" s="105">
        <f>2186.72/1000*1</f>
        <v>2.1867199999999998</v>
      </c>
      <c r="H193" s="106">
        <f>0/1000*1</f>
        <v>0</v>
      </c>
      <c r="I193" s="89">
        <f t="shared" si="85"/>
        <v>2.1867199999999998</v>
      </c>
      <c r="J193" s="26" t="str">
        <f t="shared" si="86"/>
        <v>N/A</v>
      </c>
      <c r="K193" s="106">
        <f>0/1000*1</f>
        <v>0</v>
      </c>
      <c r="L193" s="89">
        <f t="shared" si="87"/>
        <v>-2.1867199999999998</v>
      </c>
      <c r="M193" s="27" t="str">
        <f t="shared" si="88"/>
        <v>N/A</v>
      </c>
      <c r="N193" s="105">
        <f>2186.72/1000*1</f>
        <v>2.1867199999999998</v>
      </c>
      <c r="O193" s="106">
        <f>0/1000*1</f>
        <v>0</v>
      </c>
      <c r="P193" s="89">
        <f t="shared" si="89"/>
        <v>2.1867199999999998</v>
      </c>
      <c r="Q193" s="26" t="str">
        <f t="shared" si="90"/>
        <v>N/A</v>
      </c>
      <c r="R193" s="106">
        <f>0/1000*1</f>
        <v>0</v>
      </c>
      <c r="S193" s="89">
        <f t="shared" si="91"/>
        <v>-2.1867199999999998</v>
      </c>
      <c r="T193" s="27" t="str">
        <f t="shared" si="92"/>
        <v>N/A</v>
      </c>
      <c r="U193" s="105">
        <f>2186.72/1000*1</f>
        <v>2.1867199999999998</v>
      </c>
      <c r="V193" s="106">
        <f>0/1000*1</f>
        <v>0</v>
      </c>
      <c r="W193" s="89">
        <f t="shared" si="93"/>
        <v>2.1867199999999998</v>
      </c>
      <c r="X193" s="26" t="str">
        <f t="shared" si="94"/>
        <v>N/A</v>
      </c>
      <c r="Y193" s="106">
        <f>0/1000*1</f>
        <v>0</v>
      </c>
      <c r="Z193" s="89">
        <f t="shared" si="95"/>
        <v>-2.1867199999999998</v>
      </c>
      <c r="AA193" s="27" t="str">
        <f t="shared" si="96"/>
        <v>N/A</v>
      </c>
      <c r="AB193" s="107">
        <f>0/1000*1</f>
        <v>0</v>
      </c>
      <c r="AC193" s="1"/>
      <c r="AD193" s="1"/>
      <c r="AE193" s="1"/>
      <c r="AF193" s="1"/>
      <c r="AG193" s="1"/>
      <c r="AH193" s="1"/>
      <c r="AI193" s="1"/>
    </row>
    <row r="194" spans="1:35" ht="14.25" hidden="1" outlineLevel="1" x14ac:dyDescent="0.2">
      <c r="A194" s="1"/>
      <c r="B194" s="3"/>
      <c r="C194" s="3"/>
      <c r="D194" s="3" t="s">
        <v>67</v>
      </c>
      <c r="E194" s="3" t="s">
        <v>78</v>
      </c>
      <c r="F194" s="3">
        <v>865</v>
      </c>
      <c r="G194" s="105">
        <f>0/1000*1</f>
        <v>0</v>
      </c>
      <c r="H194" s="106">
        <f>0/1000*1</f>
        <v>0</v>
      </c>
      <c r="I194" s="89">
        <f t="shared" si="85"/>
        <v>0</v>
      </c>
      <c r="J194" s="26" t="str">
        <f t="shared" si="86"/>
        <v>N/A</v>
      </c>
      <c r="K194" s="106">
        <f>0/1000*1</f>
        <v>0</v>
      </c>
      <c r="L194" s="89">
        <f t="shared" si="87"/>
        <v>0</v>
      </c>
      <c r="M194" s="27" t="str">
        <f t="shared" si="88"/>
        <v>N/A</v>
      </c>
      <c r="N194" s="105">
        <f>0/1000*1</f>
        <v>0</v>
      </c>
      <c r="O194" s="106">
        <f>0/1000*1</f>
        <v>0</v>
      </c>
      <c r="P194" s="89">
        <f t="shared" si="89"/>
        <v>0</v>
      </c>
      <c r="Q194" s="26" t="str">
        <f t="shared" si="90"/>
        <v>N/A</v>
      </c>
      <c r="R194" s="106">
        <f>0/1000*1</f>
        <v>0</v>
      </c>
      <c r="S194" s="89">
        <f t="shared" si="91"/>
        <v>0</v>
      </c>
      <c r="T194" s="27" t="str">
        <f t="shared" si="92"/>
        <v>N/A</v>
      </c>
      <c r="U194" s="105">
        <f>0/1000*1</f>
        <v>0</v>
      </c>
      <c r="V194" s="106">
        <f>-1273.81/1000*1</f>
        <v>-1.2738099999999999</v>
      </c>
      <c r="W194" s="89">
        <f t="shared" si="93"/>
        <v>1.2738099999999999</v>
      </c>
      <c r="X194" s="26">
        <f t="shared" si="94"/>
        <v>-1</v>
      </c>
      <c r="Y194" s="106">
        <f>0/1000*1</f>
        <v>0</v>
      </c>
      <c r="Z194" s="89">
        <f t="shared" si="95"/>
        <v>0</v>
      </c>
      <c r="AA194" s="27" t="str">
        <f t="shared" si="96"/>
        <v>N/A</v>
      </c>
      <c r="AB194" s="107">
        <f>0/1000*1</f>
        <v>0</v>
      </c>
      <c r="AC194" s="1"/>
      <c r="AD194" s="1"/>
      <c r="AE194" s="1"/>
      <c r="AF194" s="1"/>
      <c r="AG194" s="1"/>
      <c r="AH194" s="1"/>
      <c r="AI194" s="1"/>
    </row>
    <row r="195" spans="1:35" ht="14.25" hidden="1" outlineLevel="1" x14ac:dyDescent="0.2">
      <c r="A195" s="1"/>
      <c r="B195" s="3"/>
      <c r="C195" s="3"/>
      <c r="D195" s="3" t="s">
        <v>67</v>
      </c>
      <c r="E195" s="3" t="s">
        <v>78</v>
      </c>
      <c r="F195" s="3">
        <v>921</v>
      </c>
      <c r="G195" s="105">
        <f>5977.72/1000*1</f>
        <v>5.9777200000000006</v>
      </c>
      <c r="H195" s="106">
        <f>6787.05/1000*1</f>
        <v>6.7870499999999998</v>
      </c>
      <c r="I195" s="89">
        <f t="shared" si="85"/>
        <v>-0.80932999999999922</v>
      </c>
      <c r="J195" s="26">
        <f t="shared" si="86"/>
        <v>-0.11924621153520296</v>
      </c>
      <c r="K195" s="106">
        <f>9000/1000*1</f>
        <v>9</v>
      </c>
      <c r="L195" s="89">
        <f t="shared" si="87"/>
        <v>3.0222799999999994</v>
      </c>
      <c r="M195" s="27">
        <f t="shared" si="88"/>
        <v>0.33580888888888882</v>
      </c>
      <c r="N195" s="105">
        <f>23485.17/1000*1</f>
        <v>23.485169999999997</v>
      </c>
      <c r="O195" s="106">
        <f>11831.56/1000*1</f>
        <v>11.83156</v>
      </c>
      <c r="P195" s="89">
        <f t="shared" si="89"/>
        <v>11.653609999999997</v>
      </c>
      <c r="Q195" s="26">
        <f t="shared" si="90"/>
        <v>0.9849597179070213</v>
      </c>
      <c r="R195" s="106">
        <f>23976.69/1000*1</f>
        <v>23.976689999999998</v>
      </c>
      <c r="S195" s="89">
        <f t="shared" si="91"/>
        <v>0.49152000000000129</v>
      </c>
      <c r="T195" s="27">
        <f t="shared" si="92"/>
        <v>2.0499910538110195E-2</v>
      </c>
      <c r="U195" s="105">
        <f>35706.55/1000*1</f>
        <v>35.70655</v>
      </c>
      <c r="V195" s="106">
        <f>34012.01/1000*1</f>
        <v>34.012010000000004</v>
      </c>
      <c r="W195" s="89">
        <f t="shared" si="93"/>
        <v>1.6945399999999964</v>
      </c>
      <c r="X195" s="26">
        <f t="shared" si="94"/>
        <v>4.9821812941957741E-2</v>
      </c>
      <c r="Y195" s="106">
        <f>36198.07/1000*1</f>
        <v>36.198070000000001</v>
      </c>
      <c r="Z195" s="89">
        <f t="shared" si="95"/>
        <v>0.49152000000000129</v>
      </c>
      <c r="AA195" s="27">
        <f t="shared" si="96"/>
        <v>1.3578624495725913E-2</v>
      </c>
      <c r="AB195" s="107">
        <f>100038.07/1000*1</f>
        <v>100.03807</v>
      </c>
      <c r="AC195" s="1"/>
      <c r="AD195" s="1"/>
      <c r="AE195" s="1"/>
      <c r="AF195" s="1"/>
      <c r="AG195" s="1"/>
      <c r="AH195" s="1"/>
      <c r="AI195" s="1"/>
    </row>
    <row r="196" spans="1:35" ht="14.25" hidden="1" outlineLevel="1" x14ac:dyDescent="0.2">
      <c r="A196" s="1"/>
      <c r="B196" s="3"/>
      <c r="C196" s="3"/>
      <c r="D196" s="3" t="s">
        <v>67</v>
      </c>
      <c r="E196" s="3" t="s">
        <v>75</v>
      </c>
      <c r="F196" s="3">
        <v>846</v>
      </c>
      <c r="G196" s="105">
        <f>-179.34/1000*1</f>
        <v>-0.17934</v>
      </c>
      <c r="H196" s="106">
        <f>0/1000*1</f>
        <v>0</v>
      </c>
      <c r="I196" s="89">
        <f t="shared" si="85"/>
        <v>-0.17934</v>
      </c>
      <c r="J196" s="26" t="str">
        <f t="shared" si="86"/>
        <v>N/A</v>
      </c>
      <c r="K196" s="106">
        <f>0/1000*1</f>
        <v>0</v>
      </c>
      <c r="L196" s="89">
        <f t="shared" si="87"/>
        <v>0.17934</v>
      </c>
      <c r="M196" s="27" t="str">
        <f t="shared" si="88"/>
        <v>N/A</v>
      </c>
      <c r="N196" s="105">
        <f>-235.55/1000*1</f>
        <v>-0.23555000000000001</v>
      </c>
      <c r="O196" s="106">
        <f>-0.67/1000*1</f>
        <v>-6.7000000000000002E-4</v>
      </c>
      <c r="P196" s="89">
        <f t="shared" si="89"/>
        <v>-0.23488000000000001</v>
      </c>
      <c r="Q196" s="26" t="str">
        <f t="shared" si="90"/>
        <v>N/A</v>
      </c>
      <c r="R196" s="106">
        <f>-6.43/1000*1</f>
        <v>-6.43E-3</v>
      </c>
      <c r="S196" s="89">
        <f t="shared" si="91"/>
        <v>0.22912000000000002</v>
      </c>
      <c r="T196" s="27" t="str">
        <f t="shared" si="92"/>
        <v>N/A</v>
      </c>
      <c r="U196" s="105">
        <f>-492.13/1000*1</f>
        <v>-0.49213000000000001</v>
      </c>
      <c r="V196" s="106">
        <f>-0.67/1000*1</f>
        <v>-6.7000000000000002E-4</v>
      </c>
      <c r="W196" s="89">
        <f t="shared" si="93"/>
        <v>-0.49146000000000001</v>
      </c>
      <c r="X196" s="26" t="str">
        <f t="shared" si="94"/>
        <v>N/A</v>
      </c>
      <c r="Y196" s="106">
        <f>-263.01/1000*1</f>
        <v>-0.26300999999999997</v>
      </c>
      <c r="Z196" s="89">
        <f t="shared" si="95"/>
        <v>0.22912000000000005</v>
      </c>
      <c r="AA196" s="27">
        <f t="shared" si="96"/>
        <v>-0.87114558381810603</v>
      </c>
      <c r="AB196" s="107">
        <f>-263.01/1000*1</f>
        <v>-0.26300999999999997</v>
      </c>
      <c r="AC196" s="1"/>
      <c r="AD196" s="1"/>
      <c r="AE196" s="1"/>
      <c r="AF196" s="1"/>
      <c r="AG196" s="1"/>
      <c r="AH196" s="1"/>
      <c r="AI196" s="1"/>
    </row>
    <row r="197" spans="1:35" ht="14.25" hidden="1" outlineLevel="1" x14ac:dyDescent="0.2">
      <c r="A197" s="1"/>
      <c r="B197" s="3"/>
      <c r="C197" s="3"/>
      <c r="D197" s="3" t="s">
        <v>67</v>
      </c>
      <c r="E197" s="3" t="s">
        <v>75</v>
      </c>
      <c r="F197" s="3">
        <v>865</v>
      </c>
      <c r="G197" s="105">
        <f>0/1000*1</f>
        <v>0</v>
      </c>
      <c r="H197" s="106">
        <f>12208/1000*1</f>
        <v>12.208</v>
      </c>
      <c r="I197" s="89">
        <f t="shared" si="85"/>
        <v>-12.208</v>
      </c>
      <c r="J197" s="26">
        <f t="shared" si="86"/>
        <v>-1</v>
      </c>
      <c r="K197" s="106">
        <f>0/1000*1</f>
        <v>0</v>
      </c>
      <c r="L197" s="89">
        <f t="shared" si="87"/>
        <v>0</v>
      </c>
      <c r="M197" s="27" t="str">
        <f t="shared" si="88"/>
        <v>N/A</v>
      </c>
      <c r="N197" s="105">
        <f>0/1000*1</f>
        <v>0</v>
      </c>
      <c r="O197" s="106">
        <f>12332.49/1000*1</f>
        <v>12.33249</v>
      </c>
      <c r="P197" s="89">
        <f t="shared" si="89"/>
        <v>-12.33249</v>
      </c>
      <c r="Q197" s="26">
        <f t="shared" si="90"/>
        <v>-1</v>
      </c>
      <c r="R197" s="106">
        <f>0/1000*1</f>
        <v>0</v>
      </c>
      <c r="S197" s="89">
        <f t="shared" si="91"/>
        <v>0</v>
      </c>
      <c r="T197" s="27" t="str">
        <f t="shared" si="92"/>
        <v>N/A</v>
      </c>
      <c r="U197" s="105">
        <f>0/1000*1</f>
        <v>0</v>
      </c>
      <c r="V197" s="106">
        <f>66838.81/1000*1</f>
        <v>66.838809999999995</v>
      </c>
      <c r="W197" s="89">
        <f t="shared" si="93"/>
        <v>-66.838809999999995</v>
      </c>
      <c r="X197" s="26">
        <f t="shared" si="94"/>
        <v>-1</v>
      </c>
      <c r="Y197" s="106">
        <f>0/1000*1</f>
        <v>0</v>
      </c>
      <c r="Z197" s="89">
        <f t="shared" si="95"/>
        <v>0</v>
      </c>
      <c r="AA197" s="27" t="str">
        <f t="shared" si="96"/>
        <v>N/A</v>
      </c>
      <c r="AB197" s="107">
        <f>0/1000*1</f>
        <v>0</v>
      </c>
      <c r="AC197" s="1"/>
      <c r="AD197" s="1"/>
      <c r="AE197" s="1"/>
      <c r="AF197" s="1"/>
      <c r="AG197" s="1"/>
      <c r="AH197" s="1"/>
      <c r="AI197" s="1"/>
    </row>
    <row r="198" spans="1:35" ht="14.25" hidden="1" outlineLevel="1" x14ac:dyDescent="0.2">
      <c r="A198" s="1"/>
      <c r="B198" s="3"/>
      <c r="C198" s="3"/>
      <c r="D198" s="3" t="s">
        <v>67</v>
      </c>
      <c r="E198" s="3" t="s">
        <v>75</v>
      </c>
      <c r="F198" s="3">
        <v>921</v>
      </c>
      <c r="G198" s="105">
        <f>0/1000*1</f>
        <v>0</v>
      </c>
      <c r="H198" s="106">
        <f>0/1000*1</f>
        <v>0</v>
      </c>
      <c r="I198" s="89">
        <f t="shared" si="85"/>
        <v>0</v>
      </c>
      <c r="J198" s="26" t="str">
        <f t="shared" si="86"/>
        <v>N/A</v>
      </c>
      <c r="K198" s="106">
        <f>0/1000*1</f>
        <v>0</v>
      </c>
      <c r="L198" s="89">
        <f t="shared" si="87"/>
        <v>0</v>
      </c>
      <c r="M198" s="27" t="str">
        <f t="shared" si="88"/>
        <v>N/A</v>
      </c>
      <c r="N198" s="105">
        <f>0/1000*1</f>
        <v>0</v>
      </c>
      <c r="O198" s="106">
        <f>0/1000*1</f>
        <v>0</v>
      </c>
      <c r="P198" s="89">
        <f t="shared" si="89"/>
        <v>0</v>
      </c>
      <c r="Q198" s="26" t="str">
        <f t="shared" si="90"/>
        <v>N/A</v>
      </c>
      <c r="R198" s="106">
        <f>0/1000*1</f>
        <v>0</v>
      </c>
      <c r="S198" s="89">
        <f t="shared" si="91"/>
        <v>0</v>
      </c>
      <c r="T198" s="27" t="str">
        <f t="shared" si="92"/>
        <v>N/A</v>
      </c>
      <c r="U198" s="105">
        <f>0/1000*1</f>
        <v>0</v>
      </c>
      <c r="V198" s="106">
        <f>-191.98/1000*1</f>
        <v>-0.19197999999999998</v>
      </c>
      <c r="W198" s="89">
        <f t="shared" si="93"/>
        <v>0.19197999999999998</v>
      </c>
      <c r="X198" s="26">
        <f t="shared" si="94"/>
        <v>-1</v>
      </c>
      <c r="Y198" s="106">
        <f>0/1000*1</f>
        <v>0</v>
      </c>
      <c r="Z198" s="89">
        <f t="shared" si="95"/>
        <v>0</v>
      </c>
      <c r="AA198" s="27" t="str">
        <f t="shared" si="96"/>
        <v>N/A</v>
      </c>
      <c r="AB198" s="107">
        <f>0/1000*1</f>
        <v>0</v>
      </c>
      <c r="AC198" s="1"/>
      <c r="AD198" s="1"/>
      <c r="AE198" s="1"/>
      <c r="AF198" s="1"/>
      <c r="AG198" s="1"/>
      <c r="AH198" s="1"/>
      <c r="AI198" s="1"/>
    </row>
    <row r="199" spans="1:35" ht="14.25" hidden="1" outlineLevel="1" x14ac:dyDescent="0.2">
      <c r="A199" s="1"/>
      <c r="B199" s="3"/>
      <c r="C199" s="3"/>
      <c r="D199" s="3" t="s">
        <v>67</v>
      </c>
      <c r="E199" s="3" t="s">
        <v>75</v>
      </c>
      <c r="F199" s="3">
        <v>935</v>
      </c>
      <c r="G199" s="105">
        <f>0/1000*1</f>
        <v>0</v>
      </c>
      <c r="H199" s="106">
        <f>0/1000*1</f>
        <v>0</v>
      </c>
      <c r="I199" s="89">
        <f t="shared" si="85"/>
        <v>0</v>
      </c>
      <c r="J199" s="26" t="str">
        <f t="shared" si="86"/>
        <v>N/A</v>
      </c>
      <c r="K199" s="106">
        <f>0/1000*1</f>
        <v>0</v>
      </c>
      <c r="L199" s="89">
        <f t="shared" si="87"/>
        <v>0</v>
      </c>
      <c r="M199" s="27" t="str">
        <f t="shared" si="88"/>
        <v>N/A</v>
      </c>
      <c r="N199" s="105">
        <f>0/1000*1</f>
        <v>0</v>
      </c>
      <c r="O199" s="106">
        <f>0/1000*1</f>
        <v>0</v>
      </c>
      <c r="P199" s="89">
        <f t="shared" si="89"/>
        <v>0</v>
      </c>
      <c r="Q199" s="26" t="str">
        <f t="shared" si="90"/>
        <v>N/A</v>
      </c>
      <c r="R199" s="106">
        <f>0/1000*1</f>
        <v>0</v>
      </c>
      <c r="S199" s="89">
        <f t="shared" si="91"/>
        <v>0</v>
      </c>
      <c r="T199" s="27" t="str">
        <f t="shared" si="92"/>
        <v>N/A</v>
      </c>
      <c r="U199" s="105">
        <f>371.72/1000*1</f>
        <v>0.37172000000000005</v>
      </c>
      <c r="V199" s="106">
        <f>2718.12/1000*1</f>
        <v>2.7181199999999999</v>
      </c>
      <c r="W199" s="89">
        <f t="shared" si="93"/>
        <v>-2.3464</v>
      </c>
      <c r="X199" s="26">
        <f t="shared" si="94"/>
        <v>-0.86324371256603838</v>
      </c>
      <c r="Y199" s="106">
        <f>371.72/1000*1</f>
        <v>0.37172000000000005</v>
      </c>
      <c r="Z199" s="89">
        <f t="shared" si="95"/>
        <v>0</v>
      </c>
      <c r="AA199" s="27">
        <f t="shared" si="96"/>
        <v>0</v>
      </c>
      <c r="AB199" s="107">
        <f>371.72/1000*1</f>
        <v>0.37172000000000005</v>
      </c>
      <c r="AC199" s="1"/>
      <c r="AD199" s="1"/>
      <c r="AE199" s="1"/>
      <c r="AF199" s="1"/>
      <c r="AG199" s="1"/>
      <c r="AH199" s="1"/>
      <c r="AI199" s="1"/>
    </row>
    <row r="200" spans="1:35" ht="14.25" hidden="1" outlineLevel="1" x14ac:dyDescent="0.2">
      <c r="A200" s="1"/>
      <c r="B200" s="3"/>
      <c r="C200" s="3"/>
      <c r="D200" s="3"/>
      <c r="E200" s="3"/>
      <c r="F200" s="3"/>
      <c r="G200" s="105"/>
      <c r="H200" s="106"/>
      <c r="I200" s="89"/>
      <c r="J200" s="26"/>
      <c r="K200" s="106"/>
      <c r="L200" s="89"/>
      <c r="M200" s="27"/>
      <c r="N200" s="105"/>
      <c r="O200" s="106"/>
      <c r="P200" s="89"/>
      <c r="Q200" s="26"/>
      <c r="R200" s="106"/>
      <c r="S200" s="89"/>
      <c r="T200" s="27"/>
      <c r="U200" s="105"/>
      <c r="V200" s="106"/>
      <c r="W200" s="89"/>
      <c r="X200" s="26"/>
      <c r="Y200" s="106"/>
      <c r="Z200" s="89"/>
      <c r="AA200" s="27"/>
      <c r="AB200" s="107"/>
      <c r="AC200" s="1"/>
      <c r="AD200" s="1"/>
      <c r="AE200" s="1"/>
      <c r="AF200" s="1"/>
      <c r="AG200" s="1"/>
      <c r="AH200" s="1"/>
      <c r="AI200" s="1"/>
    </row>
    <row r="201" spans="1:35" ht="14.25" hidden="1" outlineLevel="1" x14ac:dyDescent="0.2">
      <c r="A201" s="1"/>
      <c r="B201" s="3"/>
      <c r="C201" s="3"/>
      <c r="D201" s="3"/>
      <c r="E201" s="3"/>
      <c r="F201" s="3"/>
      <c r="G201" s="105"/>
      <c r="H201" s="106"/>
      <c r="I201" s="89"/>
      <c r="J201" s="26"/>
      <c r="K201" s="106"/>
      <c r="L201" s="89"/>
      <c r="M201" s="27"/>
      <c r="N201" s="105"/>
      <c r="O201" s="106"/>
      <c r="P201" s="89"/>
      <c r="Q201" s="26"/>
      <c r="R201" s="106"/>
      <c r="S201" s="89"/>
      <c r="T201" s="27"/>
      <c r="U201" s="105"/>
      <c r="V201" s="106"/>
      <c r="W201" s="89"/>
      <c r="X201" s="26"/>
      <c r="Y201" s="106"/>
      <c r="Z201" s="89"/>
      <c r="AA201" s="27"/>
      <c r="AB201" s="107"/>
      <c r="AC201" s="1"/>
      <c r="AD201" s="1"/>
      <c r="AE201" s="1"/>
      <c r="AF201" s="1"/>
      <c r="AG201" s="1"/>
      <c r="AH201" s="1"/>
      <c r="AI201" s="1"/>
    </row>
    <row r="202" spans="1:35" ht="14.25" collapsed="1" x14ac:dyDescent="0.2">
      <c r="A202" s="1"/>
      <c r="B202" s="3" t="s">
        <v>70</v>
      </c>
      <c r="C202" s="3"/>
      <c r="D202" s="3"/>
      <c r="E202" s="3"/>
      <c r="F202" s="3"/>
      <c r="G202" s="102">
        <f>SUM(G203:G204)</f>
        <v>0</v>
      </c>
      <c r="H202" s="103">
        <f>SUM(H203:H204)</f>
        <v>0</v>
      </c>
      <c r="I202" s="89">
        <f>G202-H202</f>
        <v>0</v>
      </c>
      <c r="J202" s="26" t="str">
        <f>IF(ISERROR(I202/H202),"N/A",IF(ABS(I202/H202)&gt;5,"N/A",I202/H202))</f>
        <v>N/A</v>
      </c>
      <c r="K202" s="103">
        <f>SUM(K203:K204)</f>
        <v>0</v>
      </c>
      <c r="L202" s="89">
        <f>K202-G202</f>
        <v>0</v>
      </c>
      <c r="M202" s="27" t="str">
        <f>IF(ISERROR(L202/K202),"N/A",IF(ABS(L202/K202)&gt;5,"N/A",L202/K202))</f>
        <v>N/A</v>
      </c>
      <c r="N202" s="102">
        <f>SUM(N203:N204)</f>
        <v>0</v>
      </c>
      <c r="O202" s="103">
        <f>SUM(O203:O204)</f>
        <v>0</v>
      </c>
      <c r="P202" s="89">
        <f>N202-O202</f>
        <v>0</v>
      </c>
      <c r="Q202" s="26" t="str">
        <f>IF(ISERROR(P202/O202),"N/A",IF(ABS(P202/O202)&gt;5,"N/A",P202/O202))</f>
        <v>N/A</v>
      </c>
      <c r="R202" s="103">
        <f>SUM(R203:R204)</f>
        <v>0</v>
      </c>
      <c r="S202" s="89">
        <f>R202-N202</f>
        <v>0</v>
      </c>
      <c r="T202" s="27" t="str">
        <f>IF(ISERROR(S202/R202),"N/A",IF(ABS(S202/R202)&gt;5,"N/A",S202/R202))</f>
        <v>N/A</v>
      </c>
      <c r="U202" s="102">
        <f>SUM(U203:U204)</f>
        <v>0</v>
      </c>
      <c r="V202" s="108">
        <f>SUM(V203:V204)</f>
        <v>9.1339699999999997</v>
      </c>
      <c r="W202" s="89">
        <f>U202-V202</f>
        <v>-9.1339699999999997</v>
      </c>
      <c r="X202" s="26">
        <f>IF(ISERROR(W202/V202),"N/A",IF(ABS(W202/V202)&gt;5,"N/A",W202/V202))</f>
        <v>-1</v>
      </c>
      <c r="Y202" s="103">
        <f>SUM(Y203:Y204)</f>
        <v>0</v>
      </c>
      <c r="Z202" s="89">
        <f>Y202-U202</f>
        <v>0</v>
      </c>
      <c r="AA202" s="27" t="str">
        <f>IF(ISERROR(Z202/Y202),"N/A",IF(ABS(Z202/Y202)&gt;5,"N/A",Z202/Y202))</f>
        <v>N/A</v>
      </c>
      <c r="AB202" s="104">
        <f>SUM(AB203:AB204)</f>
        <v>0</v>
      </c>
      <c r="AC202" s="1"/>
      <c r="AD202" s="1"/>
      <c r="AE202" s="1"/>
      <c r="AF202" s="1"/>
      <c r="AG202" s="1"/>
      <c r="AH202" s="1"/>
      <c r="AI202" s="1"/>
    </row>
    <row r="203" spans="1:35" ht="14.25" hidden="1" outlineLevel="1" x14ac:dyDescent="0.2">
      <c r="A203" s="1"/>
      <c r="B203" s="3"/>
      <c r="C203" s="3"/>
      <c r="D203" s="3" t="s">
        <v>67</v>
      </c>
      <c r="E203" s="3" t="s">
        <v>75</v>
      </c>
      <c r="F203" s="3">
        <v>920</v>
      </c>
      <c r="G203" s="105">
        <f>0/1000*1</f>
        <v>0</v>
      </c>
      <c r="H203" s="106">
        <f>0/1000*1</f>
        <v>0</v>
      </c>
      <c r="I203" s="89">
        <f>G203-H203</f>
        <v>0</v>
      </c>
      <c r="J203" s="26" t="str">
        <f>IF(ISERROR(I203/H203),"N/A",IF(ABS(I203/H203)&gt;5,"N/A",I203/H203))</f>
        <v>N/A</v>
      </c>
      <c r="K203" s="106">
        <f>0/1000*1</f>
        <v>0</v>
      </c>
      <c r="L203" s="89">
        <f>K203-G203</f>
        <v>0</v>
      </c>
      <c r="M203" s="27" t="str">
        <f>IF(ISERROR(L203/K203),"N/A",IF(ABS(L203/K203)&gt;5,"N/A",L203/K203))</f>
        <v>N/A</v>
      </c>
      <c r="N203" s="105">
        <f>0/1000*1</f>
        <v>0</v>
      </c>
      <c r="O203" s="106">
        <f>0/1000*1</f>
        <v>0</v>
      </c>
      <c r="P203" s="89">
        <f>N203-O203</f>
        <v>0</v>
      </c>
      <c r="Q203" s="26" t="str">
        <f>IF(ISERROR(P203/O203),"N/A",IF(ABS(P203/O203)&gt;5,"N/A",P203/O203))</f>
        <v>N/A</v>
      </c>
      <c r="R203" s="106">
        <f>0/1000*1</f>
        <v>0</v>
      </c>
      <c r="S203" s="89">
        <f>R203-N203</f>
        <v>0</v>
      </c>
      <c r="T203" s="27" t="str">
        <f>IF(ISERROR(S203/R203),"N/A",IF(ABS(S203/R203)&gt;5,"N/A",S203/R203))</f>
        <v>N/A</v>
      </c>
      <c r="U203" s="105">
        <f>0/1000*1</f>
        <v>0</v>
      </c>
      <c r="V203" s="106">
        <f>9133.97/1000*1</f>
        <v>9.1339699999999997</v>
      </c>
      <c r="W203" s="89">
        <f>U203-V203</f>
        <v>-9.1339699999999997</v>
      </c>
      <c r="X203" s="26">
        <f>IF(ISERROR(W203/V203),"N/A",IF(ABS(W203/V203)&gt;5,"N/A",W203/V203))</f>
        <v>-1</v>
      </c>
      <c r="Y203" s="106">
        <f>0/1000*1</f>
        <v>0</v>
      </c>
      <c r="Z203" s="89">
        <f>Y203-U203</f>
        <v>0</v>
      </c>
      <c r="AA203" s="27" t="str">
        <f>IF(ISERROR(Z203/Y203),"N/A",IF(ABS(Z203/Y203)&gt;5,"N/A",Z203/Y203))</f>
        <v>N/A</v>
      </c>
      <c r="AB203" s="107">
        <f>0/1000*1</f>
        <v>0</v>
      </c>
      <c r="AC203" s="1"/>
      <c r="AD203" s="1"/>
      <c r="AE203" s="1"/>
      <c r="AF203" s="1"/>
      <c r="AG203" s="1"/>
      <c r="AH203" s="1"/>
      <c r="AI203" s="1"/>
    </row>
    <row r="204" spans="1:35" ht="14.25" hidden="1" outlineLevel="1" x14ac:dyDescent="0.2">
      <c r="A204" s="1"/>
      <c r="B204" s="3"/>
      <c r="C204" s="3"/>
      <c r="D204" s="3"/>
      <c r="E204" s="3"/>
      <c r="F204" s="3"/>
      <c r="G204" s="105"/>
      <c r="H204" s="106"/>
      <c r="I204" s="89"/>
      <c r="J204" s="26"/>
      <c r="K204" s="106"/>
      <c r="L204" s="89"/>
      <c r="M204" s="27"/>
      <c r="N204" s="105"/>
      <c r="O204" s="106"/>
      <c r="P204" s="89"/>
      <c r="Q204" s="26"/>
      <c r="R204" s="106"/>
      <c r="S204" s="89"/>
      <c r="T204" s="27"/>
      <c r="U204" s="105"/>
      <c r="V204" s="106"/>
      <c r="W204" s="89"/>
      <c r="X204" s="26"/>
      <c r="Y204" s="106"/>
      <c r="Z204" s="89"/>
      <c r="AA204" s="27"/>
      <c r="AB204" s="107"/>
      <c r="AC204" s="1"/>
      <c r="AD204" s="1"/>
      <c r="AE204" s="1"/>
      <c r="AF204" s="1"/>
      <c r="AG204" s="1"/>
      <c r="AH204" s="1"/>
      <c r="AI204" s="1"/>
    </row>
    <row r="205" spans="1:35" ht="14.25" hidden="1" outlineLevel="1" x14ac:dyDescent="0.2">
      <c r="A205" s="1"/>
      <c r="B205" s="3"/>
      <c r="C205" s="3"/>
      <c r="D205" s="3"/>
      <c r="E205" s="3"/>
      <c r="F205" s="3"/>
      <c r="G205" s="105"/>
      <c r="H205" s="106"/>
      <c r="I205" s="89"/>
      <c r="J205" s="26"/>
      <c r="K205" s="106"/>
      <c r="L205" s="89"/>
      <c r="M205" s="27"/>
      <c r="N205" s="105"/>
      <c r="O205" s="106"/>
      <c r="P205" s="89"/>
      <c r="Q205" s="26"/>
      <c r="R205" s="106"/>
      <c r="S205" s="89"/>
      <c r="T205" s="27"/>
      <c r="U205" s="105"/>
      <c r="V205" s="106"/>
      <c r="W205" s="89"/>
      <c r="X205" s="26"/>
      <c r="Y205" s="106"/>
      <c r="Z205" s="89"/>
      <c r="AA205" s="27"/>
      <c r="AB205" s="107"/>
      <c r="AC205" s="1"/>
      <c r="AD205" s="1"/>
      <c r="AE205" s="1"/>
      <c r="AF205" s="1"/>
      <c r="AG205" s="1"/>
      <c r="AH205" s="1"/>
      <c r="AI205" s="1"/>
    </row>
    <row r="206" spans="1:35" ht="14.25" collapsed="1" x14ac:dyDescent="0.2">
      <c r="A206" s="1"/>
      <c r="B206" s="3" t="s">
        <v>71</v>
      </c>
      <c r="C206" s="3"/>
      <c r="D206" s="3"/>
      <c r="E206" s="3"/>
      <c r="F206" s="3"/>
      <c r="G206" s="102">
        <f>SUM(G207:G212)</f>
        <v>0.26858000000000004</v>
      </c>
      <c r="H206" s="103">
        <f>SUM(H207:H212)</f>
        <v>1.4504999999999999</v>
      </c>
      <c r="I206" s="89">
        <f t="shared" ref="I206:I211" si="97">G206-H206</f>
        <v>-1.1819199999999999</v>
      </c>
      <c r="J206" s="26">
        <f t="shared" ref="J206:J211" si="98">IF(ISERROR(I206/H206),"N/A",IF(ABS(I206/H206)&gt;5,"N/A",I206/H206))</f>
        <v>-0.81483626335746295</v>
      </c>
      <c r="K206" s="103">
        <f>SUM(K207:K212)</f>
        <v>0</v>
      </c>
      <c r="L206" s="89">
        <f t="shared" ref="L206:L211" si="99">K206-G206</f>
        <v>-0.26858000000000004</v>
      </c>
      <c r="M206" s="27" t="str">
        <f t="shared" ref="M206:M211" si="100">IF(ISERROR(L206/K206),"N/A",IF(ABS(L206/K206)&gt;5,"N/A",L206/K206))</f>
        <v>N/A</v>
      </c>
      <c r="N206" s="102">
        <f>SUM(N207:N212)</f>
        <v>0.26859</v>
      </c>
      <c r="O206" s="103">
        <f>SUM(O207:O212)</f>
        <v>1.54809</v>
      </c>
      <c r="P206" s="89">
        <f t="shared" ref="P206:P211" si="101">N206-O206</f>
        <v>-1.2795000000000001</v>
      </c>
      <c r="Q206" s="26">
        <f t="shared" ref="Q206:Q211" si="102">IF(ISERROR(P206/O206),"N/A",IF(ABS(P206/O206)&gt;5,"N/A",P206/O206))</f>
        <v>-0.82650233513555416</v>
      </c>
      <c r="R206" s="103">
        <f>SUM(R207:R212)</f>
        <v>2.0000000000000002E-5</v>
      </c>
      <c r="S206" s="89">
        <f t="shared" ref="S206:S211" si="103">R206-N206</f>
        <v>-0.26856999999999998</v>
      </c>
      <c r="T206" s="27" t="str">
        <f t="shared" ref="T206:T211" si="104">IF(ISERROR(S206/R206),"N/A",IF(ABS(S206/R206)&gt;5,"N/A",S206/R206))</f>
        <v>N/A</v>
      </c>
      <c r="U206" s="102">
        <f>SUM(U207:U212)</f>
        <v>72.983579999999989</v>
      </c>
      <c r="V206" s="103">
        <f>SUM(V207:V212)</f>
        <v>1.5414299999999999</v>
      </c>
      <c r="W206" s="89">
        <f t="shared" ref="W206:W211" si="105">U206-V206</f>
        <v>71.442149999999984</v>
      </c>
      <c r="X206" s="26" t="str">
        <f t="shared" ref="X206:X211" si="106">IF(ISERROR(W206/V206),"N/A",IF(ABS(W206/V206)&gt;5,"N/A",W206/V206))</f>
        <v>N/A</v>
      </c>
      <c r="Y206" s="103">
        <f>SUM(Y207:Y212)</f>
        <v>72.715009999999992</v>
      </c>
      <c r="Z206" s="89">
        <f t="shared" ref="Z206:Z211" si="107">Y206-U206</f>
        <v>-0.26856999999999687</v>
      </c>
      <c r="AA206" s="27">
        <f t="shared" ref="AA206:AA211" si="108">IF(ISERROR(Z206/Y206),"N/A",IF(ABS(Z206/Y206)&gt;5,"N/A",Z206/Y206))</f>
        <v>-3.6934602635686482E-3</v>
      </c>
      <c r="AB206" s="104">
        <f>SUM(AB207:AB212)</f>
        <v>72.715009999999992</v>
      </c>
      <c r="AC206" s="1"/>
      <c r="AD206" s="1"/>
      <c r="AE206" s="1"/>
      <c r="AF206" s="1"/>
      <c r="AG206" s="1"/>
      <c r="AH206" s="1"/>
      <c r="AI206" s="1"/>
    </row>
    <row r="207" spans="1:35" ht="14.25" hidden="1" outlineLevel="1" x14ac:dyDescent="0.2">
      <c r="A207" s="1"/>
      <c r="B207" s="3"/>
      <c r="C207" s="3"/>
      <c r="D207" s="3" t="s">
        <v>67</v>
      </c>
      <c r="E207" s="3" t="s">
        <v>78</v>
      </c>
      <c r="F207" s="3">
        <v>100</v>
      </c>
      <c r="G207" s="105">
        <f>0/1000*1</f>
        <v>0</v>
      </c>
      <c r="H207" s="106">
        <f>0/1000*1</f>
        <v>0</v>
      </c>
      <c r="I207" s="89">
        <f t="shared" si="97"/>
        <v>0</v>
      </c>
      <c r="J207" s="26" t="str">
        <f t="shared" si="98"/>
        <v>N/A</v>
      </c>
      <c r="K207" s="106">
        <f>0/1000*1</f>
        <v>0</v>
      </c>
      <c r="L207" s="89">
        <f t="shared" si="99"/>
        <v>0</v>
      </c>
      <c r="M207" s="27" t="str">
        <f t="shared" si="100"/>
        <v>N/A</v>
      </c>
      <c r="N207" s="105">
        <f>0/1000*1</f>
        <v>0</v>
      </c>
      <c r="O207" s="106">
        <f>0/1000*1</f>
        <v>0</v>
      </c>
      <c r="P207" s="89">
        <f t="shared" si="101"/>
        <v>0</v>
      </c>
      <c r="Q207" s="26" t="str">
        <f t="shared" si="102"/>
        <v>N/A</v>
      </c>
      <c r="R207" s="106">
        <f>0/1000*1</f>
        <v>0</v>
      </c>
      <c r="S207" s="89">
        <f t="shared" si="103"/>
        <v>0</v>
      </c>
      <c r="T207" s="27" t="str">
        <f t="shared" si="104"/>
        <v>N/A</v>
      </c>
      <c r="U207" s="105">
        <f>0/1000*1</f>
        <v>0</v>
      </c>
      <c r="V207" s="106">
        <f>0/1000*1</f>
        <v>0</v>
      </c>
      <c r="W207" s="89">
        <f t="shared" si="105"/>
        <v>0</v>
      </c>
      <c r="X207" s="26" t="str">
        <f t="shared" si="106"/>
        <v>N/A</v>
      </c>
      <c r="Y207" s="106">
        <f>0/1000*1</f>
        <v>0</v>
      </c>
      <c r="Z207" s="89">
        <f t="shared" si="107"/>
        <v>0</v>
      </c>
      <c r="AA207" s="27" t="str">
        <f t="shared" si="108"/>
        <v>N/A</v>
      </c>
      <c r="AB207" s="107">
        <f>0/1000*1</f>
        <v>0</v>
      </c>
      <c r="AC207" s="1"/>
      <c r="AD207" s="1"/>
      <c r="AE207" s="1"/>
      <c r="AF207" s="1"/>
      <c r="AG207" s="1"/>
      <c r="AH207" s="1"/>
      <c r="AI207" s="1"/>
    </row>
    <row r="208" spans="1:35" ht="14.25" hidden="1" outlineLevel="1" x14ac:dyDescent="0.2">
      <c r="A208" s="1"/>
      <c r="B208" s="3"/>
      <c r="C208" s="3"/>
      <c r="D208" s="3" t="s">
        <v>67</v>
      </c>
      <c r="E208" s="3" t="s">
        <v>75</v>
      </c>
      <c r="F208" s="3">
        <v>100</v>
      </c>
      <c r="G208" s="105">
        <f>268.61/1000*1</f>
        <v>0.26861000000000002</v>
      </c>
      <c r="H208" s="106">
        <f>0/1000*1</f>
        <v>0</v>
      </c>
      <c r="I208" s="89">
        <f t="shared" si="97"/>
        <v>0.26861000000000002</v>
      </c>
      <c r="J208" s="26" t="str">
        <f t="shared" si="98"/>
        <v>N/A</v>
      </c>
      <c r="K208" s="106">
        <f>0/1000*1</f>
        <v>0</v>
      </c>
      <c r="L208" s="89">
        <f t="shared" si="99"/>
        <v>-0.26861000000000002</v>
      </c>
      <c r="M208" s="27" t="str">
        <f t="shared" si="100"/>
        <v>N/A</v>
      </c>
      <c r="N208" s="105">
        <f>268.61/1000*1</f>
        <v>0.26861000000000002</v>
      </c>
      <c r="O208" s="106">
        <f>97.59/1000*1</f>
        <v>9.759000000000001E-2</v>
      </c>
      <c r="P208" s="89">
        <f t="shared" si="101"/>
        <v>0.17102000000000001</v>
      </c>
      <c r="Q208" s="26">
        <f t="shared" si="102"/>
        <v>1.7524336509888307</v>
      </c>
      <c r="R208" s="106">
        <f>0/1000*1</f>
        <v>0</v>
      </c>
      <c r="S208" s="89">
        <f t="shared" si="103"/>
        <v>-0.26861000000000002</v>
      </c>
      <c r="T208" s="27" t="str">
        <f t="shared" si="104"/>
        <v>N/A</v>
      </c>
      <c r="U208" s="105">
        <f>2835.59/1000*1</f>
        <v>2.8355900000000003</v>
      </c>
      <c r="V208" s="106">
        <f>90.37/1000*1</f>
        <v>9.0370000000000006E-2</v>
      </c>
      <c r="W208" s="89">
        <f t="shared" si="105"/>
        <v>2.7452200000000002</v>
      </c>
      <c r="X208" s="26" t="str">
        <f t="shared" si="106"/>
        <v>N/A</v>
      </c>
      <c r="Y208" s="106">
        <f>2566.98/1000*1</f>
        <v>2.56698</v>
      </c>
      <c r="Z208" s="89">
        <f t="shared" si="107"/>
        <v>-0.26861000000000024</v>
      </c>
      <c r="AA208" s="27">
        <f t="shared" si="108"/>
        <v>-0.10464047246180345</v>
      </c>
      <c r="AB208" s="107">
        <f>2566.98/1000*1</f>
        <v>2.56698</v>
      </c>
      <c r="AC208" s="1"/>
      <c r="AD208" s="1"/>
      <c r="AE208" s="1"/>
      <c r="AF208" s="1"/>
      <c r="AG208" s="1"/>
      <c r="AH208" s="1"/>
      <c r="AI208" s="1"/>
    </row>
    <row r="209" spans="1:35" ht="14.25" hidden="1" outlineLevel="1" x14ac:dyDescent="0.2">
      <c r="A209" s="1"/>
      <c r="B209" s="3"/>
      <c r="C209" s="3"/>
      <c r="D209" s="3" t="s">
        <v>67</v>
      </c>
      <c r="E209" s="3" t="s">
        <v>75</v>
      </c>
      <c r="F209" s="3">
        <v>998</v>
      </c>
      <c r="G209" s="105">
        <f>0/1000*1</f>
        <v>0</v>
      </c>
      <c r="H209" s="106">
        <f>0/1000*1</f>
        <v>0</v>
      </c>
      <c r="I209" s="89">
        <f t="shared" si="97"/>
        <v>0</v>
      </c>
      <c r="J209" s="26" t="str">
        <f t="shared" si="98"/>
        <v>N/A</v>
      </c>
      <c r="K209" s="106">
        <f>0/1000*1</f>
        <v>0</v>
      </c>
      <c r="L209" s="89">
        <f t="shared" si="99"/>
        <v>0</v>
      </c>
      <c r="M209" s="27" t="str">
        <f t="shared" si="100"/>
        <v>N/A</v>
      </c>
      <c r="N209" s="105">
        <f>0/1000*1</f>
        <v>0</v>
      </c>
      <c r="O209" s="106">
        <f>0/1000*1</f>
        <v>0</v>
      </c>
      <c r="P209" s="89">
        <f t="shared" si="101"/>
        <v>0</v>
      </c>
      <c r="Q209" s="26" t="str">
        <f t="shared" si="102"/>
        <v>N/A</v>
      </c>
      <c r="R209" s="106">
        <f>0/1000*1</f>
        <v>0</v>
      </c>
      <c r="S209" s="89">
        <f t="shared" si="103"/>
        <v>0</v>
      </c>
      <c r="T209" s="27" t="str">
        <f t="shared" si="104"/>
        <v>N/A</v>
      </c>
      <c r="U209" s="105">
        <f>0/1000*1</f>
        <v>0</v>
      </c>
      <c r="V209" s="106">
        <f>0.7/1000*1</f>
        <v>6.9999999999999999E-4</v>
      </c>
      <c r="W209" s="89">
        <f t="shared" si="105"/>
        <v>-6.9999999999999999E-4</v>
      </c>
      <c r="X209" s="26">
        <f t="shared" si="106"/>
        <v>-1</v>
      </c>
      <c r="Y209" s="106">
        <f>0/1000*1</f>
        <v>0</v>
      </c>
      <c r="Z209" s="89">
        <f t="shared" si="107"/>
        <v>0</v>
      </c>
      <c r="AA209" s="27" t="str">
        <f t="shared" si="108"/>
        <v>N/A</v>
      </c>
      <c r="AB209" s="107">
        <f>0/1000*1</f>
        <v>0</v>
      </c>
      <c r="AC209" s="1"/>
      <c r="AD209" s="1"/>
      <c r="AE209" s="1"/>
      <c r="AF209" s="1"/>
      <c r="AG209" s="1"/>
      <c r="AH209" s="1"/>
      <c r="AI209" s="1"/>
    </row>
    <row r="210" spans="1:35" ht="14.25" hidden="1" outlineLevel="1" x14ac:dyDescent="0.2">
      <c r="A210" s="1"/>
      <c r="B210" s="3"/>
      <c r="C210" s="3"/>
      <c r="D210" s="3" t="s">
        <v>67</v>
      </c>
      <c r="E210" s="3" t="s">
        <v>76</v>
      </c>
      <c r="F210" s="3">
        <v>100</v>
      </c>
      <c r="G210" s="105">
        <f>0/1000*1</f>
        <v>0</v>
      </c>
      <c r="H210" s="106">
        <f>0/1000*1</f>
        <v>0</v>
      </c>
      <c r="I210" s="89">
        <f t="shared" si="97"/>
        <v>0</v>
      </c>
      <c r="J210" s="26" t="str">
        <f t="shared" si="98"/>
        <v>N/A</v>
      </c>
      <c r="K210" s="106">
        <f>0/1000*1</f>
        <v>0</v>
      </c>
      <c r="L210" s="89">
        <f t="shared" si="99"/>
        <v>0</v>
      </c>
      <c r="M210" s="27" t="str">
        <f t="shared" si="100"/>
        <v>N/A</v>
      </c>
      <c r="N210" s="105">
        <f>0/1000*1</f>
        <v>0</v>
      </c>
      <c r="O210" s="106">
        <f>0/1000*1</f>
        <v>0</v>
      </c>
      <c r="P210" s="89">
        <f t="shared" si="101"/>
        <v>0</v>
      </c>
      <c r="Q210" s="26" t="str">
        <f t="shared" si="102"/>
        <v>N/A</v>
      </c>
      <c r="R210" s="106">
        <f>0/1000*1</f>
        <v>0</v>
      </c>
      <c r="S210" s="89">
        <f t="shared" si="103"/>
        <v>0</v>
      </c>
      <c r="T210" s="27" t="str">
        <f t="shared" si="104"/>
        <v>N/A</v>
      </c>
      <c r="U210" s="105">
        <f>11898.22/1000*1</f>
        <v>11.898219999999998</v>
      </c>
      <c r="V210" s="106">
        <f>0/1000*1</f>
        <v>0</v>
      </c>
      <c r="W210" s="89">
        <f t="shared" si="105"/>
        <v>11.898219999999998</v>
      </c>
      <c r="X210" s="26" t="str">
        <f t="shared" si="106"/>
        <v>N/A</v>
      </c>
      <c r="Y210" s="106">
        <f>11898.22/1000*1</f>
        <v>11.898219999999998</v>
      </c>
      <c r="Z210" s="89">
        <f t="shared" si="107"/>
        <v>0</v>
      </c>
      <c r="AA210" s="27">
        <f t="shared" si="108"/>
        <v>0</v>
      </c>
      <c r="AB210" s="107">
        <f>11898.22/1000*1</f>
        <v>11.898219999999998</v>
      </c>
      <c r="AC210" s="1"/>
      <c r="AD210" s="1"/>
      <c r="AE210" s="1"/>
      <c r="AF210" s="1"/>
      <c r="AG210" s="1"/>
      <c r="AH210" s="1"/>
      <c r="AI210" s="1"/>
    </row>
    <row r="211" spans="1:35" ht="14.25" hidden="1" outlineLevel="1" x14ac:dyDescent="0.2">
      <c r="A211" s="1"/>
      <c r="B211" s="3"/>
      <c r="C211" s="3"/>
      <c r="D211" s="3" t="s">
        <v>67</v>
      </c>
      <c r="E211" s="3" t="s">
        <v>77</v>
      </c>
      <c r="F211" s="3"/>
      <c r="G211" s="105">
        <f>-0.03/1000*1</f>
        <v>-2.9999999999999997E-5</v>
      </c>
      <c r="H211" s="106">
        <f>1450.5/1000*1</f>
        <v>1.4504999999999999</v>
      </c>
      <c r="I211" s="89">
        <f t="shared" si="97"/>
        <v>-1.4505299999999999</v>
      </c>
      <c r="J211" s="26">
        <f t="shared" si="98"/>
        <v>-1.0000206825232678</v>
      </c>
      <c r="K211" s="106">
        <f>0/1000*1</f>
        <v>0</v>
      </c>
      <c r="L211" s="89">
        <f t="shared" si="99"/>
        <v>2.9999999999999997E-5</v>
      </c>
      <c r="M211" s="27" t="str">
        <f t="shared" si="100"/>
        <v>N/A</v>
      </c>
      <c r="N211" s="105">
        <f>-0.02/1000*1</f>
        <v>-2.0000000000000002E-5</v>
      </c>
      <c r="O211" s="106">
        <f>1450.5/1000*1</f>
        <v>1.4504999999999999</v>
      </c>
      <c r="P211" s="89">
        <f t="shared" si="101"/>
        <v>-1.4505199999999998</v>
      </c>
      <c r="Q211" s="26">
        <f t="shared" si="102"/>
        <v>-1.0000137883488451</v>
      </c>
      <c r="R211" s="106">
        <f>0.02/1000*1</f>
        <v>2.0000000000000002E-5</v>
      </c>
      <c r="S211" s="89">
        <f t="shared" si="103"/>
        <v>4.0000000000000003E-5</v>
      </c>
      <c r="T211" s="27">
        <f t="shared" si="104"/>
        <v>2</v>
      </c>
      <c r="U211" s="105">
        <f>58249.77/1000*1</f>
        <v>58.249769999999998</v>
      </c>
      <c r="V211" s="106">
        <f>1450.36/1000*1</f>
        <v>1.4503599999999999</v>
      </c>
      <c r="W211" s="89">
        <f t="shared" si="105"/>
        <v>56.799409999999995</v>
      </c>
      <c r="X211" s="26" t="str">
        <f t="shared" si="106"/>
        <v>N/A</v>
      </c>
      <c r="Y211" s="106">
        <f>58249.81/1000*1</f>
        <v>58.249809999999997</v>
      </c>
      <c r="Z211" s="89">
        <f t="shared" si="107"/>
        <v>3.9999999998485691E-5</v>
      </c>
      <c r="AA211" s="27">
        <f t="shared" si="108"/>
        <v>6.8669751881569561E-7</v>
      </c>
      <c r="AB211" s="107">
        <f>58249.81/1000*1</f>
        <v>58.249809999999997</v>
      </c>
      <c r="AC211" s="1"/>
      <c r="AD211" s="1"/>
      <c r="AE211" s="1"/>
      <c r="AF211" s="1"/>
      <c r="AG211" s="1"/>
      <c r="AH211" s="1"/>
      <c r="AI211" s="1"/>
    </row>
    <row r="212" spans="1:35" ht="14.25" hidden="1" outlineLevel="1" x14ac:dyDescent="0.2">
      <c r="A212" s="1"/>
      <c r="B212" s="3"/>
      <c r="C212" s="3"/>
      <c r="D212" s="3"/>
      <c r="E212" s="3"/>
      <c r="F212" s="3"/>
      <c r="G212" s="105"/>
      <c r="H212" s="106"/>
      <c r="I212" s="89"/>
      <c r="J212" s="26"/>
      <c r="K212" s="106"/>
      <c r="L212" s="89"/>
      <c r="M212" s="27"/>
      <c r="N212" s="105"/>
      <c r="O212" s="106"/>
      <c r="P212" s="89"/>
      <c r="Q212" s="26"/>
      <c r="R212" s="106"/>
      <c r="S212" s="89"/>
      <c r="T212" s="27"/>
      <c r="U212" s="105"/>
      <c r="V212" s="106"/>
      <c r="W212" s="89"/>
      <c r="X212" s="26"/>
      <c r="Y212" s="106"/>
      <c r="Z212" s="89"/>
      <c r="AA212" s="27"/>
      <c r="AB212" s="107"/>
      <c r="AC212" s="1"/>
      <c r="AD212" s="1"/>
      <c r="AE212" s="1"/>
      <c r="AF212" s="1"/>
      <c r="AG212" s="1"/>
      <c r="AH212" s="1"/>
      <c r="AI212" s="1"/>
    </row>
    <row r="213" spans="1:35" ht="14.25" hidden="1" outlineLevel="1" x14ac:dyDescent="0.2">
      <c r="A213" s="1"/>
      <c r="B213" s="3"/>
      <c r="C213" s="3"/>
      <c r="D213" s="3"/>
      <c r="E213" s="3"/>
      <c r="F213" s="3"/>
      <c r="G213" s="105"/>
      <c r="H213" s="106"/>
      <c r="I213" s="89"/>
      <c r="J213" s="26"/>
      <c r="K213" s="106"/>
      <c r="L213" s="89"/>
      <c r="M213" s="27"/>
      <c r="N213" s="105"/>
      <c r="O213" s="106"/>
      <c r="P213" s="89"/>
      <c r="Q213" s="26"/>
      <c r="R213" s="106"/>
      <c r="S213" s="89"/>
      <c r="T213" s="27"/>
      <c r="U213" s="105"/>
      <c r="V213" s="106"/>
      <c r="W213" s="89"/>
      <c r="X213" s="26"/>
      <c r="Y213" s="106"/>
      <c r="Z213" s="89"/>
      <c r="AA213" s="27"/>
      <c r="AB213" s="107"/>
      <c r="AC213" s="1"/>
      <c r="AD213" s="1"/>
      <c r="AE213" s="1"/>
      <c r="AF213" s="1"/>
      <c r="AG213" s="1"/>
      <c r="AH213" s="1"/>
      <c r="AI213" s="1"/>
    </row>
    <row r="214" spans="1:35" ht="14.25" collapsed="1" x14ac:dyDescent="0.2">
      <c r="A214" s="1"/>
      <c r="B214" s="3" t="s">
        <v>73</v>
      </c>
      <c r="C214" s="3"/>
      <c r="D214" s="3"/>
      <c r="E214" s="3"/>
      <c r="F214" s="3"/>
      <c r="G214" s="102">
        <f>SUM(G215:G216)</f>
        <v>-3.2765200000000001</v>
      </c>
      <c r="H214" s="103">
        <f>SUM(H215:H216)</f>
        <v>11.21175</v>
      </c>
      <c r="I214" s="89">
        <f>G214-H214</f>
        <v>-14.48827</v>
      </c>
      <c r="J214" s="26">
        <f>IF(ISERROR(I214/H214),"N/A",IF(ABS(I214/H214)&gt;5,"N/A",I214/H214))</f>
        <v>-1.2922398376703013</v>
      </c>
      <c r="K214" s="103">
        <f>SUM(K215:K216)</f>
        <v>5.8579999999999997</v>
      </c>
      <c r="L214" s="89">
        <f>K214-G214</f>
        <v>9.1345200000000002</v>
      </c>
      <c r="M214" s="27">
        <f>IF(ISERROR(L214/K214),"N/A",IF(ABS(L214/K214)&gt;5,"N/A",L214/K214))</f>
        <v>1.559324001365654</v>
      </c>
      <c r="N214" s="102">
        <f>SUM(N215:N216)</f>
        <v>-3.2765200000000001</v>
      </c>
      <c r="O214" s="103">
        <f>SUM(O215:O216)</f>
        <v>11.21175</v>
      </c>
      <c r="P214" s="89">
        <f>N214-O214</f>
        <v>-14.48827</v>
      </c>
      <c r="Q214" s="26">
        <f>IF(ISERROR(P214/O214),"N/A",IF(ABS(P214/O214)&gt;5,"N/A",P214/O214))</f>
        <v>-1.2922398376703013</v>
      </c>
      <c r="R214" s="103">
        <f>SUM(R215:R216)</f>
        <v>5.8579999999999997</v>
      </c>
      <c r="S214" s="89">
        <f>R214-N214</f>
        <v>9.1345200000000002</v>
      </c>
      <c r="T214" s="27">
        <f>IF(ISERROR(S214/R214),"N/A",IF(ABS(S214/R214)&gt;5,"N/A",S214/R214))</f>
        <v>1.559324001365654</v>
      </c>
      <c r="U214" s="102">
        <f>SUM(U215:U216)</f>
        <v>2.8399999999999998E-2</v>
      </c>
      <c r="V214" s="108">
        <f>SUM(V215:V216)</f>
        <v>22.42145</v>
      </c>
      <c r="W214" s="89">
        <f>U214-V214</f>
        <v>-22.393049999999999</v>
      </c>
      <c r="X214" s="26">
        <f>IF(ISERROR(W214/V214),"N/A",IF(ABS(W214/V214)&gt;5,"N/A",W214/V214))</f>
        <v>-0.99873335578207467</v>
      </c>
      <c r="Y214" s="103">
        <f>SUM(Y215:Y216)</f>
        <v>9.1629199999999997</v>
      </c>
      <c r="Z214" s="89">
        <f>Y214-U214</f>
        <v>9.1345200000000002</v>
      </c>
      <c r="AA214" s="27">
        <f>IF(ISERROR(Z214/Y214),"N/A",IF(ABS(Z214/Y214)&gt;5,"N/A",Z214/Y214))</f>
        <v>0.99690055135262567</v>
      </c>
      <c r="AB214" s="104">
        <f>SUM(AB215:AB216)</f>
        <v>24.78492</v>
      </c>
      <c r="AC214" s="1"/>
      <c r="AD214" s="1"/>
      <c r="AE214" s="1"/>
      <c r="AF214" s="1"/>
      <c r="AG214" s="1"/>
      <c r="AH214" s="1"/>
      <c r="AI214" s="1"/>
    </row>
    <row r="215" spans="1:35" ht="14.25" hidden="1" outlineLevel="1" x14ac:dyDescent="0.2">
      <c r="A215" s="1"/>
      <c r="B215" s="3"/>
      <c r="C215" s="3"/>
      <c r="D215" s="3" t="s">
        <v>67</v>
      </c>
      <c r="E215" s="3" t="s">
        <v>75</v>
      </c>
      <c r="F215" s="3">
        <v>930</v>
      </c>
      <c r="G215" s="105">
        <f>-3276.52/1000*1</f>
        <v>-3.2765200000000001</v>
      </c>
      <c r="H215" s="106">
        <f>11211.75/1000*1</f>
        <v>11.21175</v>
      </c>
      <c r="I215" s="89">
        <f>G215-H215</f>
        <v>-14.48827</v>
      </c>
      <c r="J215" s="26">
        <f>IF(ISERROR(I215/H215),"N/A",IF(ABS(I215/H215)&gt;5,"N/A",I215/H215))</f>
        <v>-1.2922398376703013</v>
      </c>
      <c r="K215" s="106">
        <f>5858/1000*1</f>
        <v>5.8579999999999997</v>
      </c>
      <c r="L215" s="89">
        <f>K215-G215</f>
        <v>9.1345200000000002</v>
      </c>
      <c r="M215" s="27">
        <f>IF(ISERROR(L215/K215),"N/A",IF(ABS(L215/K215)&gt;5,"N/A",L215/K215))</f>
        <v>1.559324001365654</v>
      </c>
      <c r="N215" s="105">
        <f>-3276.52/1000*1</f>
        <v>-3.2765200000000001</v>
      </c>
      <c r="O215" s="106">
        <f>11211.75/1000*1</f>
        <v>11.21175</v>
      </c>
      <c r="P215" s="89">
        <f>N215-O215</f>
        <v>-14.48827</v>
      </c>
      <c r="Q215" s="26">
        <f>IF(ISERROR(P215/O215),"N/A",IF(ABS(P215/O215)&gt;5,"N/A",P215/O215))</f>
        <v>-1.2922398376703013</v>
      </c>
      <c r="R215" s="106">
        <f>5858/1000*1</f>
        <v>5.8579999999999997</v>
      </c>
      <c r="S215" s="89">
        <f>R215-N215</f>
        <v>9.1345200000000002</v>
      </c>
      <c r="T215" s="27">
        <f>IF(ISERROR(S215/R215),"N/A",IF(ABS(S215/R215)&gt;5,"N/A",S215/R215))</f>
        <v>1.559324001365654</v>
      </c>
      <c r="U215" s="105">
        <f>28.4/1000*1</f>
        <v>2.8399999999999998E-2</v>
      </c>
      <c r="V215" s="106">
        <f>22421.45/1000*1</f>
        <v>22.42145</v>
      </c>
      <c r="W215" s="89">
        <f>U215-V215</f>
        <v>-22.393049999999999</v>
      </c>
      <c r="X215" s="26">
        <f>IF(ISERROR(W215/V215),"N/A",IF(ABS(W215/V215)&gt;5,"N/A",W215/V215))</f>
        <v>-0.99873335578207467</v>
      </c>
      <c r="Y215" s="106">
        <f>9162.92/1000*1</f>
        <v>9.1629199999999997</v>
      </c>
      <c r="Z215" s="89">
        <f>Y215-U215</f>
        <v>9.1345200000000002</v>
      </c>
      <c r="AA215" s="27">
        <f>IF(ISERROR(Z215/Y215),"N/A",IF(ABS(Z215/Y215)&gt;5,"N/A",Z215/Y215))</f>
        <v>0.99690055135262567</v>
      </c>
      <c r="AB215" s="107">
        <f>24784.92/1000*1</f>
        <v>24.78492</v>
      </c>
      <c r="AC215" s="1"/>
      <c r="AD215" s="1"/>
      <c r="AE215" s="1"/>
      <c r="AF215" s="1"/>
      <c r="AG215" s="1"/>
      <c r="AH215" s="1"/>
      <c r="AI215" s="1"/>
    </row>
    <row r="216" spans="1:35" ht="14.25" hidden="1" outlineLevel="1" x14ac:dyDescent="0.2">
      <c r="A216" s="1"/>
      <c r="B216" s="3"/>
      <c r="C216" s="3"/>
      <c r="D216" s="3"/>
      <c r="E216" s="3"/>
      <c r="F216" s="3"/>
      <c r="G216" s="105"/>
      <c r="H216" s="106"/>
      <c r="I216" s="89"/>
      <c r="J216" s="26"/>
      <c r="K216" s="106"/>
      <c r="L216" s="89"/>
      <c r="M216" s="27"/>
      <c r="N216" s="105"/>
      <c r="O216" s="106"/>
      <c r="P216" s="89"/>
      <c r="Q216" s="26"/>
      <c r="R216" s="106"/>
      <c r="S216" s="89"/>
      <c r="T216" s="27"/>
      <c r="U216" s="105"/>
      <c r="V216" s="106"/>
      <c r="W216" s="89"/>
      <c r="X216" s="26"/>
      <c r="Y216" s="106"/>
      <c r="Z216" s="89"/>
      <c r="AA216" s="27"/>
      <c r="AB216" s="107"/>
      <c r="AC216" s="1"/>
      <c r="AD216" s="1"/>
      <c r="AE216" s="1"/>
      <c r="AF216" s="1"/>
      <c r="AG216" s="1"/>
      <c r="AH216" s="1"/>
      <c r="AI216" s="1"/>
    </row>
    <row r="217" spans="1:35" ht="14.25" hidden="1" outlineLevel="1" x14ac:dyDescent="0.2">
      <c r="A217" s="1"/>
      <c r="B217" s="3"/>
      <c r="C217" s="3"/>
      <c r="D217" s="3"/>
      <c r="E217" s="3"/>
      <c r="F217" s="3"/>
      <c r="G217" s="105"/>
      <c r="H217" s="106"/>
      <c r="I217" s="89"/>
      <c r="J217" s="26"/>
      <c r="K217" s="106"/>
      <c r="L217" s="89"/>
      <c r="M217" s="27"/>
      <c r="N217" s="105"/>
      <c r="O217" s="106"/>
      <c r="P217" s="89"/>
      <c r="Q217" s="26"/>
      <c r="R217" s="106"/>
      <c r="S217" s="89"/>
      <c r="T217" s="27"/>
      <c r="U217" s="105"/>
      <c r="V217" s="106"/>
      <c r="W217" s="89"/>
      <c r="X217" s="26"/>
      <c r="Y217" s="106"/>
      <c r="Z217" s="89"/>
      <c r="AA217" s="27"/>
      <c r="AB217" s="107"/>
      <c r="AC217" s="1"/>
      <c r="AD217" s="1"/>
      <c r="AE217" s="1"/>
      <c r="AF217" s="1"/>
      <c r="AG217" s="1"/>
      <c r="AH217" s="1"/>
      <c r="AI217" s="1"/>
    </row>
    <row r="218" spans="1:35" ht="14.25" hidden="1" outlineLevel="1" x14ac:dyDescent="0.2">
      <c r="A218" s="1"/>
      <c r="B218" s="3"/>
      <c r="C218" s="3"/>
      <c r="D218" s="3"/>
      <c r="E218" s="3"/>
      <c r="F218" s="3"/>
      <c r="G218" s="105"/>
      <c r="H218" s="106"/>
      <c r="I218" s="89"/>
      <c r="J218" s="26"/>
      <c r="K218" s="106"/>
      <c r="L218" s="89"/>
      <c r="M218" s="27"/>
      <c r="N218" s="105"/>
      <c r="O218" s="106"/>
      <c r="P218" s="89"/>
      <c r="Q218" s="26"/>
      <c r="R218" s="106"/>
      <c r="S218" s="89"/>
      <c r="T218" s="27"/>
      <c r="U218" s="105"/>
      <c r="V218" s="106"/>
      <c r="W218" s="89"/>
      <c r="X218" s="26"/>
      <c r="Y218" s="106"/>
      <c r="Z218" s="89"/>
      <c r="AA218" s="27"/>
      <c r="AB218" s="107"/>
      <c r="AC218" s="1"/>
      <c r="AD218" s="1"/>
      <c r="AE218" s="1"/>
      <c r="AF218" s="1"/>
      <c r="AG218" s="1"/>
      <c r="AH218" s="1"/>
      <c r="AI218" s="1"/>
    </row>
    <row r="219" spans="1:35" ht="14.25" collapsed="1" x14ac:dyDescent="0.2">
      <c r="A219" s="1"/>
      <c r="B219" s="3" t="s">
        <v>74</v>
      </c>
      <c r="C219" s="3"/>
      <c r="D219" s="3"/>
      <c r="E219" s="3"/>
      <c r="F219" s="3"/>
      <c r="G219" s="105">
        <f>52805.85/1000*1</f>
        <v>52.80585</v>
      </c>
      <c r="H219" s="106">
        <f>18365.2/1000*1</f>
        <v>18.365200000000002</v>
      </c>
      <c r="I219" s="89">
        <f>G219-H219</f>
        <v>34.440649999999998</v>
      </c>
      <c r="J219" s="26">
        <f>IF(ISERROR(I219/H219),"N/A",IF(ABS(I219/H219)&gt;5,"N/A",I219/H219))</f>
        <v>1.8753212597739199</v>
      </c>
      <c r="K219" s="106">
        <f>69534.61727/1000*1</f>
        <v>69.534617269999998</v>
      </c>
      <c r="L219" s="89">
        <f>K219-G219</f>
        <v>16.728767269999999</v>
      </c>
      <c r="M219" s="27">
        <f>IF(ISERROR(L219/K219),"N/A",IF(ABS(L219/K219)&gt;5,"N/A",L219/K219))</f>
        <v>0.24058185586961525</v>
      </c>
      <c r="N219" s="105">
        <f>52805.85/1000*1</f>
        <v>52.80585</v>
      </c>
      <c r="O219" s="106">
        <f>18365.2/1000*1</f>
        <v>18.365200000000002</v>
      </c>
      <c r="P219" s="89">
        <f>N219-O219</f>
        <v>34.440649999999998</v>
      </c>
      <c r="Q219" s="26">
        <f>IF(ISERROR(P219/O219),"N/A",IF(ABS(P219/O219)&gt;5,"N/A",P219/O219))</f>
        <v>1.8753212597739199</v>
      </c>
      <c r="R219" s="106">
        <f>69534.61727/1000*1</f>
        <v>69.534617269999998</v>
      </c>
      <c r="S219" s="89">
        <f>R219-N219</f>
        <v>16.728767269999999</v>
      </c>
      <c r="T219" s="27">
        <f>IF(ISERROR(S219/R219),"N/A",IF(ABS(S219/R219)&gt;5,"N/A",S219/R219))</f>
        <v>0.24058185586961525</v>
      </c>
      <c r="U219" s="105">
        <f>34904.27/1000*1</f>
        <v>34.904269999999997</v>
      </c>
      <c r="V219" s="106">
        <f>87197.31/1000*1</f>
        <v>87.197310000000002</v>
      </c>
      <c r="W219" s="89">
        <f>U219-V219</f>
        <v>-52.293040000000005</v>
      </c>
      <c r="X219" s="26">
        <f>IF(ISERROR(W219/V219),"N/A",IF(ABS(W219/V219)&gt;5,"N/A",W219/V219))</f>
        <v>-0.5997093258954892</v>
      </c>
      <c r="Y219" s="106">
        <f>51633.03727/1000*1</f>
        <v>51.633037270000003</v>
      </c>
      <c r="Z219" s="89">
        <f>Y219-U219</f>
        <v>16.728767270000006</v>
      </c>
      <c r="AA219" s="27">
        <f>IF(ISERROR(Z219/Y219),"N/A",IF(ABS(Z219/Y219)&gt;5,"N/A",Z219/Y219))</f>
        <v>0.32399347693845254</v>
      </c>
      <c r="AB219" s="107">
        <f>168652.57553/1000*1</f>
        <v>168.65257553000001</v>
      </c>
      <c r="AC219" s="1"/>
      <c r="AD219" s="1"/>
      <c r="AE219" s="1"/>
      <c r="AF219" s="1"/>
      <c r="AG219" s="1"/>
      <c r="AH219" s="1"/>
      <c r="AI219" s="1"/>
    </row>
    <row r="220" spans="1:35" ht="5.0999999999999996" customHeight="1" x14ac:dyDescent="0.2">
      <c r="A220" s="1"/>
      <c r="B220" s="3"/>
      <c r="C220" s="3"/>
      <c r="D220" s="3"/>
      <c r="E220" s="3"/>
      <c r="F220" s="3"/>
      <c r="G220" s="109"/>
      <c r="H220" s="110"/>
      <c r="I220" s="111"/>
      <c r="J220" s="38"/>
      <c r="K220" s="110"/>
      <c r="L220" s="111"/>
      <c r="M220" s="39"/>
      <c r="N220" s="109"/>
      <c r="O220" s="110"/>
      <c r="P220" s="111"/>
      <c r="Q220" s="38"/>
      <c r="R220" s="110"/>
      <c r="S220" s="111"/>
      <c r="T220" s="39"/>
      <c r="U220" s="109"/>
      <c r="V220" s="110"/>
      <c r="W220" s="111"/>
      <c r="X220" s="38"/>
      <c r="Y220" s="110"/>
      <c r="Z220" s="111"/>
      <c r="AA220" s="39"/>
      <c r="AB220" s="112"/>
      <c r="AC220" s="1"/>
      <c r="AD220" s="1"/>
      <c r="AE220" s="1"/>
      <c r="AF220" s="1"/>
      <c r="AG220" s="1"/>
      <c r="AH220" s="1"/>
      <c r="AI220" s="1"/>
    </row>
    <row r="221" spans="1:35" x14ac:dyDescent="0.25">
      <c r="A221" s="1"/>
      <c r="B221" s="2" t="s">
        <v>35</v>
      </c>
      <c r="C221" s="3"/>
      <c r="D221" s="3"/>
      <c r="E221" s="3"/>
      <c r="F221" s="3"/>
      <c r="G221" s="105">
        <f>SUM(G153,G159,G177,G180,G185,G189,G192,G202,G206,G214,G219)</f>
        <v>103.31843000000001</v>
      </c>
      <c r="H221" s="106">
        <f>SUM(H153,H159,H177,H180,H185,H189,H192,H202,H206,H214,H219)</f>
        <v>171.72226999999998</v>
      </c>
      <c r="I221" s="89">
        <f>G221-H221</f>
        <v>-68.403839999999974</v>
      </c>
      <c r="J221" s="26">
        <f>IF(ISERROR(I221/H221),"N/A",IF(ABS(I221/H221)&gt;5,"N/A",I221/H221))</f>
        <v>-0.39833994740460849</v>
      </c>
      <c r="K221" s="106">
        <f>SUM(K153,K159,K177,K180,K185,K189,K192,K202,K206,K214,K219)</f>
        <v>141.954773195</v>
      </c>
      <c r="L221" s="89">
        <f>K221-G221</f>
        <v>38.636343194999995</v>
      </c>
      <c r="M221" s="27">
        <f>IF(ISERROR(L221/K221),"N/A",IF(ABS(L221/K221)&gt;5,"N/A",L221/K221))</f>
        <v>0.2721736108297404</v>
      </c>
      <c r="N221" s="105">
        <f>SUM(N153,N159,N177,N180,N185,N189,N192,N202,N206,N214,N219)</f>
        <v>266.68772999999999</v>
      </c>
      <c r="O221" s="106">
        <f>SUM(O153,O159,O177,O180,O185,O189,O192,O202,O206,O214,O219)</f>
        <v>261.20364999999998</v>
      </c>
      <c r="P221" s="89">
        <f>N221-O221</f>
        <v>5.4840800000000058</v>
      </c>
      <c r="Q221" s="26">
        <f>IF(ISERROR(P221/O221),"N/A",IF(ABS(P221/O221)&gt;5,"N/A",P221/O221))</f>
        <v>2.0995418708735527E-2</v>
      </c>
      <c r="R221" s="106">
        <f>SUM(R153,R159,R177,R180,R185,R189,R192,R202,R206,R214,R219)</f>
        <v>285.78164912</v>
      </c>
      <c r="S221" s="89">
        <f>R221-N221</f>
        <v>19.09391912000001</v>
      </c>
      <c r="T221" s="27">
        <f>IF(ISERROR(S221/R221),"N/A",IF(ABS(S221/R221)&gt;5,"N/A",S221/R221))</f>
        <v>6.6812964299126337E-2</v>
      </c>
      <c r="U221" s="105">
        <f>SUM(U153,U159,U177,U180,U185,U189,U192,U202,U206,U214,U219)</f>
        <v>504.85458999999997</v>
      </c>
      <c r="V221" s="106">
        <f>SUM(V153,V159,V177,V180,V185,V189,V192,V202,V206,V214,V219)</f>
        <v>711.60846000000004</v>
      </c>
      <c r="W221" s="89">
        <f>U221-V221</f>
        <v>-206.75387000000006</v>
      </c>
      <c r="X221" s="26">
        <f>IF(ISERROR(W221/V221),"N/A",IF(ABS(W221/V221)&gt;5,"N/A",W221/V221))</f>
        <v>-0.29054442382542789</v>
      </c>
      <c r="Y221" s="106">
        <f>SUM(Y153,Y159,Y177,Y180,Y185,Y189,Y192,Y202,Y206,Y214,Y219)</f>
        <v>523.94850912000004</v>
      </c>
      <c r="Z221" s="89">
        <f>Y221-U221</f>
        <v>19.093919120000066</v>
      </c>
      <c r="AA221" s="27">
        <f>IF(ISERROR(Z221/Y221),"N/A",IF(ABS(Z221/Y221)&gt;5,"N/A",Z221/Y221))</f>
        <v>3.644235795626051E-2</v>
      </c>
      <c r="AB221" s="107">
        <f>SUM(AB153,AB159,AB177,AB180,AB185,AB189,AB192,AB202,AB206,AB214,AB219)</f>
        <v>1184.8954146909998</v>
      </c>
      <c r="AC221" s="1"/>
      <c r="AD221" s="1"/>
      <c r="AE221" s="1"/>
      <c r="AF221" s="1"/>
      <c r="AG221" s="1"/>
      <c r="AH221" s="1"/>
      <c r="AI221" s="1"/>
    </row>
    <row r="222" spans="1:35" ht="5.0999999999999996" customHeight="1" x14ac:dyDescent="0.2">
      <c r="A222" s="1"/>
      <c r="B222" s="3"/>
      <c r="C222" s="3"/>
      <c r="D222" s="3"/>
      <c r="E222" s="3"/>
      <c r="F222" s="3"/>
      <c r="G222" s="105"/>
      <c r="H222" s="106"/>
      <c r="I222" s="89"/>
      <c r="J222" s="26"/>
      <c r="K222" s="106"/>
      <c r="L222" s="89"/>
      <c r="M222" s="27"/>
      <c r="N222" s="105"/>
      <c r="O222" s="106"/>
      <c r="P222" s="89"/>
      <c r="Q222" s="26"/>
      <c r="R222" s="106"/>
      <c r="S222" s="89"/>
      <c r="T222" s="27"/>
      <c r="U222" s="105"/>
      <c r="V222" s="106"/>
      <c r="W222" s="89"/>
      <c r="X222" s="26"/>
      <c r="Y222" s="106"/>
      <c r="Z222" s="89"/>
      <c r="AA222" s="27"/>
      <c r="AB222" s="107"/>
      <c r="AC222" s="1"/>
      <c r="AD222" s="1"/>
      <c r="AE222" s="1"/>
      <c r="AF222" s="1"/>
      <c r="AG222" s="1"/>
      <c r="AH222" s="1"/>
      <c r="AI222" s="1"/>
    </row>
    <row r="223" spans="1:35" x14ac:dyDescent="0.25">
      <c r="A223" s="1"/>
      <c r="B223" s="3"/>
      <c r="C223" s="3"/>
      <c r="D223" s="3"/>
      <c r="E223" s="3"/>
      <c r="F223" s="3"/>
      <c r="G223" s="95"/>
      <c r="H223" s="45"/>
      <c r="I223" s="45"/>
      <c r="J223" s="45"/>
      <c r="K223" s="45"/>
      <c r="L223" s="45"/>
      <c r="M223" s="46"/>
      <c r="N223" s="95"/>
      <c r="O223" s="45"/>
      <c r="P223" s="45"/>
      <c r="Q223" s="45"/>
      <c r="R223" s="45"/>
      <c r="S223" s="45"/>
      <c r="T223" s="46"/>
      <c r="U223" s="95"/>
      <c r="V223" s="45"/>
      <c r="W223" s="45"/>
      <c r="X223" s="45"/>
      <c r="Y223" s="45"/>
      <c r="Z223" s="45"/>
      <c r="AA223" s="46"/>
      <c r="AB223" s="96"/>
      <c r="AC223" s="1"/>
      <c r="AD223" s="1"/>
      <c r="AE223" s="1"/>
      <c r="AF223" s="1"/>
      <c r="AG223" s="1"/>
      <c r="AH223" s="1"/>
      <c r="AI223" s="1"/>
    </row>
    <row r="224" spans="1:35" ht="14.25" x14ac:dyDescent="0.2">
      <c r="A224" s="1"/>
      <c r="B224" s="3" t="s">
        <v>49</v>
      </c>
      <c r="C224" s="3"/>
      <c r="D224" s="3"/>
      <c r="E224" s="3"/>
      <c r="F224" s="3"/>
      <c r="G224" s="102">
        <f>SUM(G225:G231)</f>
        <v>60.717110000000005</v>
      </c>
      <c r="H224" s="103">
        <f>SUM(H225:H231)</f>
        <v>61.747959999999992</v>
      </c>
      <c r="I224" s="89">
        <f t="shared" ref="I224:I230" si="109">G224-H224</f>
        <v>-1.0308499999999867</v>
      </c>
      <c r="J224" s="26">
        <f t="shared" ref="J224:J230" si="110">IF(ISERROR(I224/H224),"N/A",IF(ABS(I224/H224)&gt;5,"N/A",I224/H224))</f>
        <v>-1.6694478651602205E-2</v>
      </c>
      <c r="K224" s="103">
        <f>SUM(K225:K231)</f>
        <v>103.58883429400001</v>
      </c>
      <c r="L224" s="89">
        <f t="shared" ref="L224:L230" si="111">K224-G224</f>
        <v>42.871724294000003</v>
      </c>
      <c r="M224" s="27">
        <f t="shared" ref="M224:M230" si="112">IF(ISERROR(L224/K224),"N/A",IF(ABS(L224/K224)&gt;5,"N/A",L224/K224))</f>
        <v>0.41386433765944197</v>
      </c>
      <c r="N224" s="102">
        <f>SUM(N225:N231)</f>
        <v>176.71127999999999</v>
      </c>
      <c r="O224" s="103">
        <f>SUM(O225:O231)</f>
        <v>237.03397000000001</v>
      </c>
      <c r="P224" s="89">
        <f t="shared" ref="P224:P230" si="113">N224-O224</f>
        <v>-60.322690000000023</v>
      </c>
      <c r="Q224" s="26">
        <f t="shared" ref="Q224:Q230" si="114">IF(ISERROR(P224/O224),"N/A",IF(ABS(P224/O224)&gt;5,"N/A",P224/O224))</f>
        <v>-0.25448964129487439</v>
      </c>
      <c r="R224" s="103">
        <f>SUM(R225:R231)</f>
        <v>248.80737858799998</v>
      </c>
      <c r="S224" s="89">
        <f t="shared" ref="S224:S230" si="115">R224-N224</f>
        <v>72.09609858799999</v>
      </c>
      <c r="T224" s="27">
        <f t="shared" ref="T224:T230" si="116">IF(ISERROR(S224/R224),"N/A",IF(ABS(S224/R224)&gt;5,"N/A",S224/R224))</f>
        <v>0.28976672234220147</v>
      </c>
      <c r="U224" s="102">
        <f>SUM(U225:U231)</f>
        <v>390.26994000000002</v>
      </c>
      <c r="V224" s="103">
        <f>SUM(V225:V231)</f>
        <v>451.3605</v>
      </c>
      <c r="W224" s="89">
        <f t="shared" ref="W224:W230" si="117">U224-V224</f>
        <v>-61.090559999999982</v>
      </c>
      <c r="X224" s="26">
        <f t="shared" ref="X224:X230" si="118">IF(ISERROR(W224/V224),"N/A",IF(ABS(W224/V224)&gt;5,"N/A",W224/V224))</f>
        <v>-0.13534759909207825</v>
      </c>
      <c r="Y224" s="103">
        <f>SUM(Y225:Y231)</f>
        <v>462.36603858800004</v>
      </c>
      <c r="Z224" s="89">
        <f t="shared" ref="Z224:Z230" si="119">Y224-U224</f>
        <v>72.096098588000018</v>
      </c>
      <c r="AA224" s="27">
        <f t="shared" ref="AA224:AA230" si="120">IF(ISERROR(Z224/Y224),"N/A",IF(ABS(Z224/Y224)&gt;5,"N/A",Z224/Y224))</f>
        <v>0.15592862055390405</v>
      </c>
      <c r="AB224" s="104">
        <f>SUM(AB225:AB231)</f>
        <v>1015.9389542289999</v>
      </c>
      <c r="AC224" s="1"/>
      <c r="AD224" s="1"/>
      <c r="AE224" s="1"/>
      <c r="AF224" s="1"/>
      <c r="AG224" s="1"/>
      <c r="AH224" s="1"/>
      <c r="AI224" s="1"/>
    </row>
    <row r="225" spans="1:35" ht="14.25" hidden="1" outlineLevel="1" x14ac:dyDescent="0.2">
      <c r="A225" s="1"/>
      <c r="B225" s="3"/>
      <c r="C225" s="3"/>
      <c r="D225" s="3" t="s">
        <v>50</v>
      </c>
      <c r="E225" s="3" t="s">
        <v>79</v>
      </c>
      <c r="F225" s="3">
        <v>930</v>
      </c>
      <c r="G225" s="24">
        <f>26107.33/1000*1</f>
        <v>26.107330000000001</v>
      </c>
      <c r="H225" s="25">
        <f>28101.89/1000*1</f>
        <v>28.101890000000001</v>
      </c>
      <c r="I225" s="99">
        <f t="shared" si="109"/>
        <v>-1.9945599999999999</v>
      </c>
      <c r="J225" s="26">
        <f t="shared" si="110"/>
        <v>-7.0976009086933287E-2</v>
      </c>
      <c r="K225" s="25">
        <f>32467.55784/1000*1</f>
        <v>32.467557839999998</v>
      </c>
      <c r="L225" s="99">
        <f t="shared" si="111"/>
        <v>6.3602278399999967</v>
      </c>
      <c r="M225" s="27">
        <f t="shared" si="112"/>
        <v>0.19589486438564846</v>
      </c>
      <c r="N225" s="24">
        <f>79488.08/1000*1</f>
        <v>79.488079999999997</v>
      </c>
      <c r="O225" s="25">
        <f>120888.06/1000*1</f>
        <v>120.88806</v>
      </c>
      <c r="P225" s="99">
        <f t="shared" si="113"/>
        <v>-41.399979999999999</v>
      </c>
      <c r="Q225" s="26">
        <f t="shared" si="114"/>
        <v>-0.34246541800736979</v>
      </c>
      <c r="R225" s="25">
        <f>99738.07568/1000*1</f>
        <v>99.738075679999994</v>
      </c>
      <c r="S225" s="99">
        <f t="shared" si="115"/>
        <v>20.249995679999998</v>
      </c>
      <c r="T225" s="27">
        <f t="shared" si="116"/>
        <v>0.20303174632093524</v>
      </c>
      <c r="U225" s="24">
        <f>180834.74/1000*1</f>
        <v>180.83473999999998</v>
      </c>
      <c r="V225" s="25">
        <f>195062.88/1000*1</f>
        <v>195.06288000000001</v>
      </c>
      <c r="W225" s="99">
        <f t="shared" si="117"/>
        <v>-14.228140000000025</v>
      </c>
      <c r="X225" s="26">
        <f t="shared" si="118"/>
        <v>-7.2941299749086155E-2</v>
      </c>
      <c r="Y225" s="25">
        <f>201084.73568/1000*1</f>
        <v>201.08473568000002</v>
      </c>
      <c r="Z225" s="99">
        <f t="shared" si="119"/>
        <v>20.24999568000004</v>
      </c>
      <c r="AA225" s="27">
        <f t="shared" si="120"/>
        <v>0.10070379341087954</v>
      </c>
      <c r="AB225" s="28">
        <f>452514.786811/1000*1</f>
        <v>452.51478681100002</v>
      </c>
      <c r="AC225" s="1"/>
      <c r="AD225" s="1"/>
      <c r="AE225" s="1"/>
      <c r="AF225" s="1"/>
      <c r="AG225" s="1"/>
      <c r="AH225" s="1"/>
      <c r="AI225" s="1"/>
    </row>
    <row r="226" spans="1:35" ht="14.25" hidden="1" outlineLevel="1" x14ac:dyDescent="0.2">
      <c r="A226" s="1"/>
      <c r="B226" s="3"/>
      <c r="C226" s="3"/>
      <c r="D226" s="3" t="s">
        <v>50</v>
      </c>
      <c r="E226" s="3" t="s">
        <v>80</v>
      </c>
      <c r="F226" s="3">
        <v>930</v>
      </c>
      <c r="G226" s="24">
        <f>2988.02/1000*1</f>
        <v>2.9880200000000001</v>
      </c>
      <c r="H226" s="25">
        <f>2243.66/1000*1</f>
        <v>2.2436599999999998</v>
      </c>
      <c r="I226" s="99">
        <f t="shared" si="109"/>
        <v>0.74436000000000035</v>
      </c>
      <c r="J226" s="26">
        <f t="shared" si="110"/>
        <v>0.33176149683998485</v>
      </c>
      <c r="K226" s="25">
        <f>0/1000*1</f>
        <v>0</v>
      </c>
      <c r="L226" s="99">
        <f t="shared" si="111"/>
        <v>-2.9880200000000001</v>
      </c>
      <c r="M226" s="27" t="str">
        <f t="shared" si="112"/>
        <v>N/A</v>
      </c>
      <c r="N226" s="24">
        <f>14202.17/1000*1</f>
        <v>14.202170000000001</v>
      </c>
      <c r="O226" s="25">
        <f>8999.54/1000*1</f>
        <v>8.9995400000000014</v>
      </c>
      <c r="P226" s="99">
        <f t="shared" si="113"/>
        <v>5.2026299999999992</v>
      </c>
      <c r="Q226" s="26">
        <f t="shared" si="114"/>
        <v>0.57809954731019564</v>
      </c>
      <c r="R226" s="25">
        <f>2935.59/1000*1</f>
        <v>2.9355900000000004</v>
      </c>
      <c r="S226" s="99">
        <f t="shared" si="115"/>
        <v>-11.266580000000001</v>
      </c>
      <c r="T226" s="27">
        <f t="shared" si="116"/>
        <v>-3.8379269584649083</v>
      </c>
      <c r="U226" s="24">
        <f>23883.53/1000*1</f>
        <v>23.88353</v>
      </c>
      <c r="V226" s="25">
        <f>24308.61/1000*1</f>
        <v>24.308610000000002</v>
      </c>
      <c r="W226" s="99">
        <f t="shared" si="117"/>
        <v>-0.42508000000000123</v>
      </c>
      <c r="X226" s="26">
        <f t="shared" si="118"/>
        <v>-1.7486808172083933E-2</v>
      </c>
      <c r="Y226" s="25">
        <f>12616.95/1000*1</f>
        <v>12.616950000000001</v>
      </c>
      <c r="Z226" s="99">
        <f t="shared" si="119"/>
        <v>-11.266579999999999</v>
      </c>
      <c r="AA226" s="27">
        <f t="shared" si="120"/>
        <v>-0.89297175624853853</v>
      </c>
      <c r="AB226" s="28">
        <f>12616.95/1000*1</f>
        <v>12.616950000000001</v>
      </c>
      <c r="AC226" s="1"/>
      <c r="AD226" s="1"/>
      <c r="AE226" s="1"/>
      <c r="AF226" s="1"/>
      <c r="AG226" s="1"/>
      <c r="AH226" s="1"/>
      <c r="AI226" s="1"/>
    </row>
    <row r="227" spans="1:35" ht="14.25" hidden="1" outlineLevel="1" x14ac:dyDescent="0.2">
      <c r="A227" s="1"/>
      <c r="B227" s="3"/>
      <c r="C227" s="3"/>
      <c r="D227" s="3" t="s">
        <v>50</v>
      </c>
      <c r="E227" s="3" t="s">
        <v>81</v>
      </c>
      <c r="F227" s="3">
        <v>930</v>
      </c>
      <c r="G227" s="24">
        <f>13983.23/1000*1</f>
        <v>13.983229999999999</v>
      </c>
      <c r="H227" s="25">
        <f>18537.94/1000*1</f>
        <v>18.537939999999999</v>
      </c>
      <c r="I227" s="99">
        <f t="shared" si="109"/>
        <v>-4.55471</v>
      </c>
      <c r="J227" s="26">
        <f t="shared" si="110"/>
        <v>-0.24569666316753644</v>
      </c>
      <c r="K227" s="25">
        <f>13143.805381/1000*1</f>
        <v>13.143805381</v>
      </c>
      <c r="L227" s="99">
        <f t="shared" si="111"/>
        <v>-0.83942461899999898</v>
      </c>
      <c r="M227" s="27">
        <f t="shared" si="112"/>
        <v>-6.3864656746472181E-2</v>
      </c>
      <c r="N227" s="24">
        <f>44015.6/1000*1</f>
        <v>44.015599999999999</v>
      </c>
      <c r="O227" s="25">
        <f>51194.69/1000*1</f>
        <v>51.194690000000001</v>
      </c>
      <c r="P227" s="99">
        <f t="shared" si="113"/>
        <v>-7.1790900000000022</v>
      </c>
      <c r="Q227" s="26">
        <f t="shared" si="114"/>
        <v>-0.14023114506602152</v>
      </c>
      <c r="R227" s="25">
        <f>47693.980762/1000*1</f>
        <v>47.693980762000002</v>
      </c>
      <c r="S227" s="99">
        <f t="shared" si="115"/>
        <v>3.6783807620000033</v>
      </c>
      <c r="T227" s="27">
        <f t="shared" si="116"/>
        <v>7.7124632987874628E-2</v>
      </c>
      <c r="U227" s="24">
        <f>93633.03/1000*1</f>
        <v>93.633030000000005</v>
      </c>
      <c r="V227" s="25">
        <f>113020.68/1000*1</f>
        <v>113.02068</v>
      </c>
      <c r="W227" s="99">
        <f t="shared" si="117"/>
        <v>-19.387649999999994</v>
      </c>
      <c r="X227" s="26">
        <f t="shared" si="118"/>
        <v>-0.17154073042207846</v>
      </c>
      <c r="Y227" s="25">
        <f>97311.410762/1000*1</f>
        <v>97.311410761999994</v>
      </c>
      <c r="Z227" s="99">
        <f t="shared" si="119"/>
        <v>3.6783807619999891</v>
      </c>
      <c r="AA227" s="27">
        <f t="shared" si="120"/>
        <v>3.7800096958787416E-2</v>
      </c>
      <c r="AB227" s="28">
        <f>198166.800362/1000*1</f>
        <v>198.166800362</v>
      </c>
      <c r="AC227" s="1"/>
      <c r="AD227" s="1"/>
      <c r="AE227" s="1"/>
      <c r="AF227" s="1"/>
      <c r="AG227" s="1"/>
      <c r="AH227" s="1"/>
      <c r="AI227" s="1"/>
    </row>
    <row r="228" spans="1:35" ht="14.25" hidden="1" outlineLevel="1" x14ac:dyDescent="0.2">
      <c r="A228" s="1"/>
      <c r="B228" s="3"/>
      <c r="C228" s="3"/>
      <c r="D228" s="3" t="s">
        <v>50</v>
      </c>
      <c r="E228" s="3" t="s">
        <v>82</v>
      </c>
      <c r="F228" s="3">
        <v>930</v>
      </c>
      <c r="G228" s="24">
        <f>0/1000*1</f>
        <v>0</v>
      </c>
      <c r="H228" s="25">
        <f>0/1000*1</f>
        <v>0</v>
      </c>
      <c r="I228" s="99">
        <f t="shared" si="109"/>
        <v>0</v>
      </c>
      <c r="J228" s="26" t="str">
        <f t="shared" si="110"/>
        <v>N/A</v>
      </c>
      <c r="K228" s="25">
        <f>3068.88/1000*1</f>
        <v>3.0688800000000001</v>
      </c>
      <c r="L228" s="99">
        <f t="shared" si="111"/>
        <v>3.0688800000000001</v>
      </c>
      <c r="M228" s="27">
        <f t="shared" si="112"/>
        <v>1</v>
      </c>
      <c r="N228" s="24">
        <f>0/1000*1</f>
        <v>0</v>
      </c>
      <c r="O228" s="25">
        <f>0/1000*1</f>
        <v>0</v>
      </c>
      <c r="P228" s="99">
        <f t="shared" si="113"/>
        <v>0</v>
      </c>
      <c r="Q228" s="26" t="str">
        <f t="shared" si="114"/>
        <v>N/A</v>
      </c>
      <c r="R228" s="25">
        <f>6137.76/1000*1</f>
        <v>6.1377600000000001</v>
      </c>
      <c r="S228" s="99">
        <f t="shared" si="115"/>
        <v>6.1377600000000001</v>
      </c>
      <c r="T228" s="27">
        <f t="shared" si="116"/>
        <v>1</v>
      </c>
      <c r="U228" s="24">
        <f>0/1000*1</f>
        <v>0</v>
      </c>
      <c r="V228" s="25">
        <f>0/1000*1</f>
        <v>0</v>
      </c>
      <c r="W228" s="99">
        <f t="shared" si="117"/>
        <v>0</v>
      </c>
      <c r="X228" s="26" t="str">
        <f t="shared" si="118"/>
        <v>N/A</v>
      </c>
      <c r="Y228" s="25">
        <f>6137.76/1000*1</f>
        <v>6.1377600000000001</v>
      </c>
      <c r="Z228" s="99">
        <f t="shared" si="119"/>
        <v>6.1377600000000001</v>
      </c>
      <c r="AA228" s="27">
        <f t="shared" si="120"/>
        <v>1</v>
      </c>
      <c r="AB228" s="28">
        <f>27916.04/1000*1</f>
        <v>27.916040000000002</v>
      </c>
      <c r="AC228" s="1"/>
      <c r="AD228" s="1"/>
      <c r="AE228" s="1"/>
      <c r="AF228" s="1"/>
      <c r="AG228" s="1"/>
      <c r="AH228" s="1"/>
      <c r="AI228" s="1"/>
    </row>
    <row r="229" spans="1:35" ht="14.25" hidden="1" outlineLevel="1" x14ac:dyDescent="0.2">
      <c r="A229" s="1"/>
      <c r="B229" s="3"/>
      <c r="C229" s="3"/>
      <c r="D229" s="3" t="s">
        <v>50</v>
      </c>
      <c r="E229" s="3" t="s">
        <v>83</v>
      </c>
      <c r="F229" s="3">
        <v>930</v>
      </c>
      <c r="G229" s="24">
        <f>0/1000*1</f>
        <v>0</v>
      </c>
      <c r="H229" s="25">
        <f>3630.22/1000*1</f>
        <v>3.63022</v>
      </c>
      <c r="I229" s="99">
        <f t="shared" si="109"/>
        <v>-3.63022</v>
      </c>
      <c r="J229" s="26">
        <f t="shared" si="110"/>
        <v>-1</v>
      </c>
      <c r="K229" s="25">
        <f>0/1000*1</f>
        <v>0</v>
      </c>
      <c r="L229" s="99">
        <f t="shared" si="111"/>
        <v>0</v>
      </c>
      <c r="M229" s="27" t="str">
        <f t="shared" si="112"/>
        <v>N/A</v>
      </c>
      <c r="N229" s="24">
        <f>318.94/1000*1</f>
        <v>0.31894</v>
      </c>
      <c r="O229" s="25">
        <f>6787.26/1000*1</f>
        <v>6.7872599999999998</v>
      </c>
      <c r="P229" s="99">
        <f t="shared" si="113"/>
        <v>-6.4683200000000003</v>
      </c>
      <c r="Q229" s="26">
        <f t="shared" si="114"/>
        <v>-0.95300901984011233</v>
      </c>
      <c r="R229" s="25">
        <f>0/1000*1</f>
        <v>0</v>
      </c>
      <c r="S229" s="99">
        <f t="shared" si="115"/>
        <v>-0.31894</v>
      </c>
      <c r="T229" s="27" t="str">
        <f t="shared" si="116"/>
        <v>N/A</v>
      </c>
      <c r="U229" s="24">
        <f>645.03/1000*1</f>
        <v>0.64502999999999999</v>
      </c>
      <c r="V229" s="25">
        <f>16724.78/1000*1</f>
        <v>16.724779999999999</v>
      </c>
      <c r="W229" s="99">
        <f t="shared" si="117"/>
        <v>-16.079750000000001</v>
      </c>
      <c r="X229" s="26">
        <f t="shared" si="118"/>
        <v>-0.96143267654342845</v>
      </c>
      <c r="Y229" s="25">
        <f>326.09/1000*1</f>
        <v>0.32608999999999999</v>
      </c>
      <c r="Z229" s="99">
        <f t="shared" si="119"/>
        <v>-0.31894</v>
      </c>
      <c r="AA229" s="27">
        <f t="shared" si="120"/>
        <v>-0.97807353798031227</v>
      </c>
      <c r="AB229" s="28">
        <f>326.09/1000*1</f>
        <v>0.32608999999999999</v>
      </c>
      <c r="AC229" s="1"/>
      <c r="AD229" s="1"/>
      <c r="AE229" s="1"/>
      <c r="AF229" s="1"/>
      <c r="AG229" s="1"/>
      <c r="AH229" s="1"/>
      <c r="AI229" s="1"/>
    </row>
    <row r="230" spans="1:35" ht="14.25" hidden="1" outlineLevel="1" x14ac:dyDescent="0.2">
      <c r="A230" s="1"/>
      <c r="B230" s="3"/>
      <c r="C230" s="3"/>
      <c r="D230" s="3" t="s">
        <v>50</v>
      </c>
      <c r="E230" s="3" t="s">
        <v>84</v>
      </c>
      <c r="F230" s="3">
        <v>930</v>
      </c>
      <c r="G230" s="24">
        <f>17638.53/1000*1</f>
        <v>17.638529999999999</v>
      </c>
      <c r="H230" s="25">
        <f>9234.25/1000*1</f>
        <v>9.2342499999999994</v>
      </c>
      <c r="I230" s="99">
        <f t="shared" si="109"/>
        <v>8.40428</v>
      </c>
      <c r="J230" s="26">
        <f t="shared" si="110"/>
        <v>0.91012047540406649</v>
      </c>
      <c r="K230" s="25">
        <f>54908.591073/1000*1</f>
        <v>54.908591073000004</v>
      </c>
      <c r="L230" s="99">
        <f t="shared" si="111"/>
        <v>37.270061073000008</v>
      </c>
      <c r="M230" s="27">
        <f t="shared" si="112"/>
        <v>0.67876556918843756</v>
      </c>
      <c r="N230" s="24">
        <f>38686.49/1000*1</f>
        <v>38.686489999999999</v>
      </c>
      <c r="O230" s="25">
        <f>49164.42/1000*1</f>
        <v>49.16442</v>
      </c>
      <c r="P230" s="99">
        <f t="shared" si="113"/>
        <v>-10.477930000000001</v>
      </c>
      <c r="Q230" s="26">
        <f t="shared" si="114"/>
        <v>-0.21312017918649301</v>
      </c>
      <c r="R230" s="25">
        <f>92301.972146/1000*1</f>
        <v>92.301972145999997</v>
      </c>
      <c r="S230" s="99">
        <f t="shared" si="115"/>
        <v>53.615482145999998</v>
      </c>
      <c r="T230" s="27">
        <f t="shared" si="116"/>
        <v>0.58087038553404824</v>
      </c>
      <c r="U230" s="24">
        <f>91273.61/1000*1</f>
        <v>91.273610000000005</v>
      </c>
      <c r="V230" s="25">
        <f>102243.55/1000*1</f>
        <v>102.24355</v>
      </c>
      <c r="W230" s="99">
        <f t="shared" si="117"/>
        <v>-10.969939999999994</v>
      </c>
      <c r="X230" s="26">
        <f t="shared" si="118"/>
        <v>-0.10729224484087255</v>
      </c>
      <c r="Y230" s="25">
        <f>144889.092146/1000*1</f>
        <v>144.889092146</v>
      </c>
      <c r="Z230" s="99">
        <f t="shared" si="119"/>
        <v>53.615482145999991</v>
      </c>
      <c r="AA230" s="27">
        <f t="shared" si="120"/>
        <v>0.37004498649196743</v>
      </c>
      <c r="AB230" s="28">
        <f>324398.287056/1000*1</f>
        <v>324.39828705599996</v>
      </c>
      <c r="AC230" s="1"/>
      <c r="AD230" s="1"/>
      <c r="AE230" s="1"/>
      <c r="AF230" s="1"/>
      <c r="AG230" s="1"/>
      <c r="AH230" s="1"/>
      <c r="AI230" s="1"/>
    </row>
    <row r="231" spans="1:35" ht="14.25" hidden="1" outlineLevel="1" x14ac:dyDescent="0.2">
      <c r="A231" s="1"/>
      <c r="B231" s="3"/>
      <c r="C231" s="3"/>
      <c r="D231" s="3"/>
      <c r="E231" s="3"/>
      <c r="F231" s="3"/>
      <c r="G231" s="24"/>
      <c r="H231" s="25"/>
      <c r="I231" s="99"/>
      <c r="J231" s="26"/>
      <c r="K231" s="25"/>
      <c r="L231" s="99"/>
      <c r="M231" s="27"/>
      <c r="N231" s="24"/>
      <c r="O231" s="25"/>
      <c r="P231" s="99"/>
      <c r="Q231" s="26"/>
      <c r="R231" s="25"/>
      <c r="S231" s="99"/>
      <c r="T231" s="27"/>
      <c r="U231" s="24"/>
      <c r="V231" s="25"/>
      <c r="W231" s="99"/>
      <c r="X231" s="26"/>
      <c r="Y231" s="25"/>
      <c r="Z231" s="99"/>
      <c r="AA231" s="27"/>
      <c r="AB231" s="28"/>
      <c r="AC231" s="1"/>
      <c r="AD231" s="1"/>
      <c r="AE231" s="1"/>
      <c r="AF231" s="1"/>
      <c r="AG231" s="1"/>
      <c r="AH231" s="1"/>
      <c r="AI231" s="1"/>
    </row>
    <row r="232" spans="1:35" ht="14.25" hidden="1" outlineLevel="1" x14ac:dyDescent="0.2">
      <c r="A232" s="1"/>
      <c r="B232" s="3"/>
      <c r="C232" s="3"/>
      <c r="D232" s="3"/>
      <c r="E232" s="3"/>
      <c r="F232" s="3"/>
      <c r="G232" s="24"/>
      <c r="H232" s="25"/>
      <c r="I232" s="99"/>
      <c r="J232" s="26"/>
      <c r="K232" s="25"/>
      <c r="L232" s="99"/>
      <c r="M232" s="27"/>
      <c r="N232" s="24"/>
      <c r="O232" s="25"/>
      <c r="P232" s="99"/>
      <c r="Q232" s="26"/>
      <c r="R232" s="25"/>
      <c r="S232" s="99"/>
      <c r="T232" s="27"/>
      <c r="U232" s="24"/>
      <c r="V232" s="25"/>
      <c r="W232" s="99"/>
      <c r="X232" s="26"/>
      <c r="Y232" s="25"/>
      <c r="Z232" s="99"/>
      <c r="AA232" s="27"/>
      <c r="AB232" s="28"/>
      <c r="AC232" s="1"/>
      <c r="AD232" s="1"/>
      <c r="AE232" s="1"/>
      <c r="AF232" s="1"/>
      <c r="AG232" s="1"/>
      <c r="AH232" s="1"/>
      <c r="AI232" s="1"/>
    </row>
    <row r="233" spans="1:35" ht="14.25" collapsed="1" x14ac:dyDescent="0.2">
      <c r="A233" s="1"/>
      <c r="B233" s="3" t="s">
        <v>58</v>
      </c>
      <c r="C233" s="3"/>
      <c r="D233" s="3"/>
      <c r="E233" s="3"/>
      <c r="F233" s="3"/>
      <c r="G233" s="102">
        <f>SUM(G234:G242)</f>
        <v>123.07862999999998</v>
      </c>
      <c r="H233" s="103">
        <f>SUM(H234:H242)</f>
        <v>148.76598999999999</v>
      </c>
      <c r="I233" s="89">
        <f t="shared" ref="I233:I241" si="121">G233-H233</f>
        <v>-25.687360000000012</v>
      </c>
      <c r="J233" s="26">
        <f t="shared" ref="J233:J241" si="122">IF(ISERROR(I233/H233),"N/A",IF(ABS(I233/H233)&gt;5,"N/A",I233/H233))</f>
        <v>-0.17266957320016499</v>
      </c>
      <c r="K233" s="103">
        <f>SUM(K234:K242)</f>
        <v>101.13305443100002</v>
      </c>
      <c r="L233" s="89">
        <f t="shared" ref="L233:L241" si="123">K233-G233</f>
        <v>-21.945575568999956</v>
      </c>
      <c r="M233" s="27">
        <f t="shared" ref="M233:M241" si="124">IF(ISERROR(L233/K233),"N/A",IF(ABS(L233/K233)&gt;5,"N/A",L233/K233))</f>
        <v>-0.21699706087659745</v>
      </c>
      <c r="N233" s="102">
        <f>SUM(N234:N242)</f>
        <v>352.28325000000007</v>
      </c>
      <c r="O233" s="103">
        <f>SUM(O234:O242)</f>
        <v>520.64978000000008</v>
      </c>
      <c r="P233" s="89">
        <f t="shared" ref="P233:P241" si="125">N233-O233</f>
        <v>-168.36653000000001</v>
      </c>
      <c r="Q233" s="26">
        <f t="shared" ref="Q233:Q241" si="126">IF(ISERROR(P233/O233),"N/A",IF(ABS(P233/O233)&gt;5,"N/A",P233/O233))</f>
        <v>-0.32337770314624925</v>
      </c>
      <c r="R233" s="103">
        <f>SUM(R234:R242)</f>
        <v>354.808058862</v>
      </c>
      <c r="S233" s="89">
        <f t="shared" ref="S233:S241" si="127">R233-N233</f>
        <v>2.5248088619999294</v>
      </c>
      <c r="T233" s="27">
        <f t="shared" ref="T233:T241" si="128">IF(ISERROR(S233/R233),"N/A",IF(ABS(S233/R233)&gt;5,"N/A",S233/R233))</f>
        <v>7.1159851050112011E-3</v>
      </c>
      <c r="U233" s="102">
        <f>SUM(U234:U242)</f>
        <v>820.46323999999993</v>
      </c>
      <c r="V233" s="103">
        <f>SUM(V234:V242)</f>
        <v>1042.88087</v>
      </c>
      <c r="W233" s="89">
        <f t="shared" ref="W233:W241" si="129">U233-V233</f>
        <v>-222.41763000000003</v>
      </c>
      <c r="X233" s="26">
        <f t="shared" ref="X233:X241" si="130">IF(ISERROR(W233/V233),"N/A",IF(ABS(W233/V233)&gt;5,"N/A",W233/V233))</f>
        <v>-0.21327232706838323</v>
      </c>
      <c r="Y233" s="103">
        <f>SUM(Y234:Y242)</f>
        <v>822.98804886199991</v>
      </c>
      <c r="Z233" s="89">
        <f t="shared" ref="Z233:Z241" si="131">Y233-U233</f>
        <v>2.5248088619999862</v>
      </c>
      <c r="AA233" s="27">
        <f t="shared" ref="AA233:AA241" si="132">IF(ISERROR(Z233/Y233),"N/A",IF(ABS(Z233/Y233)&gt;5,"N/A",Z233/Y233))</f>
        <v>3.0678560466232854E-3</v>
      </c>
      <c r="AB233" s="104">
        <f>SUM(AB234:AB242)</f>
        <v>1604.4408908290002</v>
      </c>
      <c r="AC233" s="1"/>
      <c r="AD233" s="1"/>
      <c r="AE233" s="1"/>
      <c r="AF233" s="1"/>
      <c r="AG233" s="1"/>
      <c r="AH233" s="1"/>
      <c r="AI233" s="1"/>
    </row>
    <row r="234" spans="1:35" ht="14.25" hidden="1" outlineLevel="1" x14ac:dyDescent="0.2">
      <c r="A234" s="1"/>
      <c r="B234" s="3"/>
      <c r="C234" s="3"/>
      <c r="D234" s="3" t="s">
        <v>59</v>
      </c>
      <c r="E234" s="3" t="s">
        <v>85</v>
      </c>
      <c r="F234" s="3">
        <v>840</v>
      </c>
      <c r="G234" s="105">
        <f>0/1000*1</f>
        <v>0</v>
      </c>
      <c r="H234" s="106">
        <f>0/1000*1</f>
        <v>0</v>
      </c>
      <c r="I234" s="89">
        <f t="shared" si="121"/>
        <v>0</v>
      </c>
      <c r="J234" s="26" t="str">
        <f t="shared" si="122"/>
        <v>N/A</v>
      </c>
      <c r="K234" s="106">
        <f>0/1000*1</f>
        <v>0</v>
      </c>
      <c r="L234" s="89">
        <f t="shared" si="123"/>
        <v>0</v>
      </c>
      <c r="M234" s="27" t="str">
        <f t="shared" si="124"/>
        <v>N/A</v>
      </c>
      <c r="N234" s="105">
        <f>0/1000*1</f>
        <v>0</v>
      </c>
      <c r="O234" s="106">
        <f>0/1000*1</f>
        <v>0</v>
      </c>
      <c r="P234" s="89">
        <f t="shared" si="125"/>
        <v>0</v>
      </c>
      <c r="Q234" s="26" t="str">
        <f t="shared" si="126"/>
        <v>N/A</v>
      </c>
      <c r="R234" s="106">
        <f>0/1000*1</f>
        <v>0</v>
      </c>
      <c r="S234" s="89">
        <f t="shared" si="127"/>
        <v>0</v>
      </c>
      <c r="T234" s="27" t="str">
        <f t="shared" si="128"/>
        <v>N/A</v>
      </c>
      <c r="U234" s="105">
        <f>0/1000*1</f>
        <v>0</v>
      </c>
      <c r="V234" s="106">
        <f>2599.37/1000*1</f>
        <v>2.59937</v>
      </c>
      <c r="W234" s="89">
        <f t="shared" si="129"/>
        <v>-2.59937</v>
      </c>
      <c r="X234" s="26">
        <f t="shared" si="130"/>
        <v>-1</v>
      </c>
      <c r="Y234" s="106">
        <f>0/1000*1</f>
        <v>0</v>
      </c>
      <c r="Z234" s="89">
        <f t="shared" si="131"/>
        <v>0</v>
      </c>
      <c r="AA234" s="27" t="str">
        <f t="shared" si="132"/>
        <v>N/A</v>
      </c>
      <c r="AB234" s="107">
        <f>0/1000*1</f>
        <v>0</v>
      </c>
      <c r="AC234" s="1"/>
      <c r="AD234" s="1"/>
      <c r="AE234" s="1"/>
      <c r="AF234" s="1"/>
      <c r="AG234" s="1"/>
      <c r="AH234" s="1"/>
      <c r="AI234" s="1"/>
    </row>
    <row r="235" spans="1:35" ht="14.25" hidden="1" outlineLevel="1" x14ac:dyDescent="0.2">
      <c r="A235" s="1"/>
      <c r="B235" s="3"/>
      <c r="C235" s="3"/>
      <c r="D235" s="3" t="s">
        <v>59</v>
      </c>
      <c r="E235" s="3" t="s">
        <v>79</v>
      </c>
      <c r="F235" s="3">
        <v>830</v>
      </c>
      <c r="G235" s="105">
        <f>0/1000*1</f>
        <v>0</v>
      </c>
      <c r="H235" s="106">
        <f>0/1000*1</f>
        <v>0</v>
      </c>
      <c r="I235" s="89">
        <f t="shared" si="121"/>
        <v>0</v>
      </c>
      <c r="J235" s="26" t="str">
        <f t="shared" si="122"/>
        <v>N/A</v>
      </c>
      <c r="K235" s="106">
        <f>0/1000*1</f>
        <v>0</v>
      </c>
      <c r="L235" s="89">
        <f t="shared" si="123"/>
        <v>0</v>
      </c>
      <c r="M235" s="27" t="str">
        <f t="shared" si="124"/>
        <v>N/A</v>
      </c>
      <c r="N235" s="105">
        <f>0/1000*1</f>
        <v>0</v>
      </c>
      <c r="O235" s="106">
        <f>0/1000*1</f>
        <v>0</v>
      </c>
      <c r="P235" s="89">
        <f t="shared" si="125"/>
        <v>0</v>
      </c>
      <c r="Q235" s="26" t="str">
        <f t="shared" si="126"/>
        <v>N/A</v>
      </c>
      <c r="R235" s="106">
        <f>0/1000*1</f>
        <v>0</v>
      </c>
      <c r="S235" s="89">
        <f t="shared" si="127"/>
        <v>0</v>
      </c>
      <c r="T235" s="27" t="str">
        <f t="shared" si="128"/>
        <v>N/A</v>
      </c>
      <c r="U235" s="105">
        <f>0/1000*1</f>
        <v>0</v>
      </c>
      <c r="V235" s="106">
        <f>52.96/1000*1</f>
        <v>5.296E-2</v>
      </c>
      <c r="W235" s="89">
        <f t="shared" si="129"/>
        <v>-5.296E-2</v>
      </c>
      <c r="X235" s="26">
        <f t="shared" si="130"/>
        <v>-1</v>
      </c>
      <c r="Y235" s="106">
        <f>0/1000*1</f>
        <v>0</v>
      </c>
      <c r="Z235" s="89">
        <f t="shared" si="131"/>
        <v>0</v>
      </c>
      <c r="AA235" s="27" t="str">
        <f t="shared" si="132"/>
        <v>N/A</v>
      </c>
      <c r="AB235" s="107">
        <f>0/1000*1</f>
        <v>0</v>
      </c>
      <c r="AC235" s="1"/>
      <c r="AD235" s="1"/>
      <c r="AE235" s="1"/>
      <c r="AF235" s="1"/>
      <c r="AG235" s="1"/>
      <c r="AH235" s="1"/>
      <c r="AI235" s="1"/>
    </row>
    <row r="236" spans="1:35" ht="14.25" hidden="1" outlineLevel="1" x14ac:dyDescent="0.2">
      <c r="A236" s="1"/>
      <c r="B236" s="3"/>
      <c r="C236" s="3"/>
      <c r="D236" s="3" t="s">
        <v>59</v>
      </c>
      <c r="E236" s="3" t="s">
        <v>79</v>
      </c>
      <c r="F236" s="3">
        <v>840</v>
      </c>
      <c r="G236" s="105">
        <f>65296.27/1000*1</f>
        <v>65.296269999999993</v>
      </c>
      <c r="H236" s="106">
        <f>91556.9/1000*1</f>
        <v>91.556899999999999</v>
      </c>
      <c r="I236" s="89">
        <f t="shared" si="121"/>
        <v>-26.260630000000006</v>
      </c>
      <c r="J236" s="26">
        <f t="shared" si="122"/>
        <v>-0.28682305757403326</v>
      </c>
      <c r="K236" s="106">
        <f>69372.622161/1000*1</f>
        <v>69.37262216100001</v>
      </c>
      <c r="L236" s="89">
        <f t="shared" si="123"/>
        <v>4.0763521610000168</v>
      </c>
      <c r="M236" s="27">
        <f t="shared" si="124"/>
        <v>5.8760243364300357E-2</v>
      </c>
      <c r="N236" s="105">
        <f>211337.15/1000*1</f>
        <v>211.33715000000001</v>
      </c>
      <c r="O236" s="106">
        <f>294455.03/1000*1</f>
        <v>294.45503000000002</v>
      </c>
      <c r="P236" s="89">
        <f t="shared" si="125"/>
        <v>-83.117880000000014</v>
      </c>
      <c r="Q236" s="26">
        <f t="shared" si="126"/>
        <v>-0.28227699149849811</v>
      </c>
      <c r="R236" s="106">
        <f>229338.654322/1000*1</f>
        <v>229.338654322</v>
      </c>
      <c r="S236" s="89">
        <f t="shared" si="127"/>
        <v>18.001504321999988</v>
      </c>
      <c r="T236" s="27">
        <f t="shared" si="128"/>
        <v>7.8493110440620295E-2</v>
      </c>
      <c r="U236" s="105">
        <f>501321.25/1000*1</f>
        <v>501.32125000000002</v>
      </c>
      <c r="V236" s="106">
        <f>576311.65/1000*1</f>
        <v>576.31164999999999</v>
      </c>
      <c r="W236" s="89">
        <f t="shared" si="129"/>
        <v>-74.990399999999966</v>
      </c>
      <c r="X236" s="26">
        <f t="shared" si="130"/>
        <v>-0.1301212633824077</v>
      </c>
      <c r="Y236" s="106">
        <f>519322.754322/1000*1</f>
        <v>519.32275432200004</v>
      </c>
      <c r="Z236" s="89">
        <f t="shared" si="131"/>
        <v>18.001504322000017</v>
      </c>
      <c r="AA236" s="27">
        <f t="shared" si="132"/>
        <v>3.4663423029676059E-2</v>
      </c>
      <c r="AB236" s="107">
        <f>1078867.967289/1000*1</f>
        <v>1078.867967289</v>
      </c>
      <c r="AC236" s="1"/>
      <c r="AD236" s="1"/>
      <c r="AE236" s="1"/>
      <c r="AF236" s="1"/>
      <c r="AG236" s="1"/>
      <c r="AH236" s="1"/>
      <c r="AI236" s="1"/>
    </row>
    <row r="237" spans="1:35" ht="14.25" hidden="1" outlineLevel="1" x14ac:dyDescent="0.2">
      <c r="A237" s="1"/>
      <c r="B237" s="3"/>
      <c r="C237" s="3"/>
      <c r="D237" s="3" t="s">
        <v>59</v>
      </c>
      <c r="E237" s="3" t="s">
        <v>81</v>
      </c>
      <c r="F237" s="3">
        <v>840</v>
      </c>
      <c r="G237" s="105">
        <f>5216.81/1000*1</f>
        <v>5.2168100000000006</v>
      </c>
      <c r="H237" s="106">
        <f>5186.2/1000*1</f>
        <v>5.1861999999999995</v>
      </c>
      <c r="I237" s="89">
        <f t="shared" si="121"/>
        <v>3.0610000000001136E-2</v>
      </c>
      <c r="J237" s="26">
        <f t="shared" si="122"/>
        <v>5.9022019976092592E-3</v>
      </c>
      <c r="K237" s="106">
        <f>5358/1000*1</f>
        <v>5.3579999999999997</v>
      </c>
      <c r="L237" s="89">
        <f t="shared" si="123"/>
        <v>0.14118999999999904</v>
      </c>
      <c r="M237" s="27">
        <f t="shared" si="124"/>
        <v>2.6351250466591834E-2</v>
      </c>
      <c r="N237" s="105">
        <f>15578.84/1000*1</f>
        <v>15.57884</v>
      </c>
      <c r="O237" s="106">
        <f>15569.39/1000*1</f>
        <v>15.56939</v>
      </c>
      <c r="P237" s="89">
        <f t="shared" si="125"/>
        <v>9.4499999999992923E-3</v>
      </c>
      <c r="Q237" s="26">
        <f t="shared" si="126"/>
        <v>6.0696019561455475E-4</v>
      </c>
      <c r="R237" s="106">
        <f>15841.28/1000*1</f>
        <v>15.841280000000001</v>
      </c>
      <c r="S237" s="89">
        <f t="shared" si="127"/>
        <v>0.26244000000000156</v>
      </c>
      <c r="T237" s="27">
        <f t="shared" si="128"/>
        <v>1.6566843083387298E-2</v>
      </c>
      <c r="U237" s="105">
        <f>40579.25/1000*1</f>
        <v>40.579250000000002</v>
      </c>
      <c r="V237" s="106">
        <f>31338.57/1000*1</f>
        <v>31.338570000000001</v>
      </c>
      <c r="W237" s="89">
        <f t="shared" si="129"/>
        <v>9.2406800000000011</v>
      </c>
      <c r="X237" s="26">
        <f t="shared" si="130"/>
        <v>0.29486603887797053</v>
      </c>
      <c r="Y237" s="106">
        <f>40841.69/1000*1</f>
        <v>40.84169</v>
      </c>
      <c r="Z237" s="89">
        <f t="shared" si="131"/>
        <v>0.26243999999999801</v>
      </c>
      <c r="AA237" s="27">
        <f t="shared" si="132"/>
        <v>6.4257869838392585E-3</v>
      </c>
      <c r="AB237" s="107">
        <f>75384.69/1000*1</f>
        <v>75.384690000000006</v>
      </c>
      <c r="AC237" s="1"/>
      <c r="AD237" s="1"/>
      <c r="AE237" s="1"/>
      <c r="AF237" s="1"/>
      <c r="AG237" s="1"/>
      <c r="AH237" s="1"/>
      <c r="AI237" s="1"/>
    </row>
    <row r="238" spans="1:35" ht="14.25" hidden="1" outlineLevel="1" x14ac:dyDescent="0.2">
      <c r="A238" s="1"/>
      <c r="B238" s="3"/>
      <c r="C238" s="3"/>
      <c r="D238" s="3" t="s">
        <v>59</v>
      </c>
      <c r="E238" s="3" t="s">
        <v>83</v>
      </c>
      <c r="F238" s="3">
        <v>840</v>
      </c>
      <c r="G238" s="105">
        <f>3541.39/1000*1</f>
        <v>3.5413899999999998</v>
      </c>
      <c r="H238" s="106">
        <f>24172.86/1000*1</f>
        <v>24.17286</v>
      </c>
      <c r="I238" s="89">
        <f t="shared" si="121"/>
        <v>-20.63147</v>
      </c>
      <c r="J238" s="26">
        <f t="shared" si="122"/>
        <v>-0.85349726925154901</v>
      </c>
      <c r="K238" s="106">
        <f>0/1000*1</f>
        <v>0</v>
      </c>
      <c r="L238" s="89">
        <f t="shared" si="123"/>
        <v>-3.5413899999999998</v>
      </c>
      <c r="M238" s="27" t="str">
        <f t="shared" si="124"/>
        <v>N/A</v>
      </c>
      <c r="N238" s="105">
        <f>16481.58/1000*1</f>
        <v>16.481580000000001</v>
      </c>
      <c r="O238" s="106">
        <f>65685.57/1000*1</f>
        <v>65.685570000000013</v>
      </c>
      <c r="P238" s="89">
        <f t="shared" si="125"/>
        <v>-49.203990000000012</v>
      </c>
      <c r="Q238" s="26">
        <f t="shared" si="126"/>
        <v>-0.74908370285893844</v>
      </c>
      <c r="R238" s="106">
        <f>9406.01/1000*1</f>
        <v>9.4060100000000002</v>
      </c>
      <c r="S238" s="89">
        <f t="shared" si="127"/>
        <v>-7.0755700000000008</v>
      </c>
      <c r="T238" s="27">
        <f t="shared" si="128"/>
        <v>-0.75223925979240935</v>
      </c>
      <c r="U238" s="105">
        <f>20509.13/1000*1</f>
        <v>20.509130000000003</v>
      </c>
      <c r="V238" s="106">
        <f>126722.5/1000*1</f>
        <v>126.7225</v>
      </c>
      <c r="W238" s="89">
        <f t="shared" si="129"/>
        <v>-106.21337</v>
      </c>
      <c r="X238" s="26">
        <f t="shared" si="130"/>
        <v>-0.83815715441219985</v>
      </c>
      <c r="Y238" s="106">
        <f>13433.56/1000*1</f>
        <v>13.43356</v>
      </c>
      <c r="Z238" s="89">
        <f t="shared" si="131"/>
        <v>-7.0755700000000026</v>
      </c>
      <c r="AA238" s="27">
        <f t="shared" si="132"/>
        <v>-0.52670848233826351</v>
      </c>
      <c r="AB238" s="107">
        <f>13433.56/1000*1</f>
        <v>13.43356</v>
      </c>
      <c r="AC238" s="1"/>
      <c r="AD238" s="1"/>
      <c r="AE238" s="1"/>
      <c r="AF238" s="1"/>
      <c r="AG238" s="1"/>
      <c r="AH238" s="1"/>
      <c r="AI238" s="1"/>
    </row>
    <row r="239" spans="1:35" ht="14.25" hidden="1" outlineLevel="1" x14ac:dyDescent="0.2">
      <c r="A239" s="1"/>
      <c r="B239" s="3"/>
      <c r="C239" s="3"/>
      <c r="D239" s="3" t="s">
        <v>59</v>
      </c>
      <c r="E239" s="3" t="s">
        <v>84</v>
      </c>
      <c r="F239" s="3">
        <v>830</v>
      </c>
      <c r="G239" s="105">
        <f>16274.13/1000*1</f>
        <v>16.27413</v>
      </c>
      <c r="H239" s="106">
        <f>10373.76/1000*1</f>
        <v>10.373760000000001</v>
      </c>
      <c r="I239" s="89">
        <f t="shared" si="121"/>
        <v>5.9003699999999988</v>
      </c>
      <c r="J239" s="26">
        <f t="shared" si="122"/>
        <v>0.56877834073662759</v>
      </c>
      <c r="K239" s="106">
        <f>0/1000*1</f>
        <v>0</v>
      </c>
      <c r="L239" s="89">
        <f t="shared" si="123"/>
        <v>-16.27413</v>
      </c>
      <c r="M239" s="27" t="str">
        <f t="shared" si="124"/>
        <v>N/A</v>
      </c>
      <c r="N239" s="105">
        <f>36081.81/1000*1</f>
        <v>36.081809999999997</v>
      </c>
      <c r="O239" s="106">
        <f>50425.24/1000*1</f>
        <v>50.425239999999995</v>
      </c>
      <c r="P239" s="89">
        <f t="shared" si="125"/>
        <v>-14.343429999999998</v>
      </c>
      <c r="Q239" s="26">
        <f t="shared" si="126"/>
        <v>-0.28444941461855211</v>
      </c>
      <c r="R239" s="106">
        <f>15747.74/1000*1</f>
        <v>15.74774</v>
      </c>
      <c r="S239" s="89">
        <f t="shared" si="127"/>
        <v>-20.334069999999997</v>
      </c>
      <c r="T239" s="27">
        <f t="shared" si="128"/>
        <v>-1.2912373458032707</v>
      </c>
      <c r="U239" s="105">
        <f>85570.17/1000*1</f>
        <v>85.570170000000005</v>
      </c>
      <c r="V239" s="106">
        <f>106064.9/1000*1</f>
        <v>106.06489999999999</v>
      </c>
      <c r="W239" s="89">
        <f t="shared" si="129"/>
        <v>-20.49472999999999</v>
      </c>
      <c r="X239" s="26">
        <f t="shared" si="130"/>
        <v>-0.19322820273247787</v>
      </c>
      <c r="Y239" s="106">
        <f>65236.1/1000*1</f>
        <v>65.236099999999993</v>
      </c>
      <c r="Z239" s="89">
        <f t="shared" si="131"/>
        <v>-20.334070000000011</v>
      </c>
      <c r="AA239" s="27">
        <f t="shared" si="132"/>
        <v>-0.3116996570917025</v>
      </c>
      <c r="AB239" s="107">
        <f>65236.1/1000*1</f>
        <v>65.236099999999993</v>
      </c>
      <c r="AC239" s="1"/>
      <c r="AD239" s="1"/>
      <c r="AE239" s="1"/>
      <c r="AF239" s="1"/>
      <c r="AG239" s="1"/>
      <c r="AH239" s="1"/>
      <c r="AI239" s="1"/>
    </row>
    <row r="240" spans="1:35" ht="14.25" hidden="1" outlineLevel="1" x14ac:dyDescent="0.2">
      <c r="A240" s="1"/>
      <c r="B240" s="3"/>
      <c r="C240" s="3"/>
      <c r="D240" s="3" t="s">
        <v>59</v>
      </c>
      <c r="E240" s="3" t="s">
        <v>84</v>
      </c>
      <c r="F240" s="3">
        <v>840</v>
      </c>
      <c r="G240" s="105">
        <f>32750.03/1000*1</f>
        <v>32.750029999999995</v>
      </c>
      <c r="H240" s="106">
        <f>17476.27/1000*1</f>
        <v>17.47627</v>
      </c>
      <c r="I240" s="89">
        <f t="shared" si="121"/>
        <v>15.273759999999996</v>
      </c>
      <c r="J240" s="26">
        <f t="shared" si="122"/>
        <v>0.87397139092037357</v>
      </c>
      <c r="K240" s="106">
        <f>26402.43227/1000*1</f>
        <v>26.402432270000002</v>
      </c>
      <c r="L240" s="89">
        <f t="shared" si="123"/>
        <v>-6.3475977299999933</v>
      </c>
      <c r="M240" s="27">
        <f t="shared" si="124"/>
        <v>-0.24041715797572588</v>
      </c>
      <c r="N240" s="105">
        <f>72803.87/1000*1</f>
        <v>72.803869999999989</v>
      </c>
      <c r="O240" s="106">
        <f>94514.55/1000*1</f>
        <v>94.51455</v>
      </c>
      <c r="P240" s="89">
        <f t="shared" si="125"/>
        <v>-21.710680000000011</v>
      </c>
      <c r="Q240" s="26">
        <f t="shared" si="126"/>
        <v>-0.22970727787414752</v>
      </c>
      <c r="R240" s="106">
        <f>84474.37454/1000*1</f>
        <v>84.474374539999999</v>
      </c>
      <c r="S240" s="89">
        <f t="shared" si="127"/>
        <v>11.67050454000001</v>
      </c>
      <c r="T240" s="27">
        <f t="shared" si="128"/>
        <v>0.13815437644316425</v>
      </c>
      <c r="U240" s="105">
        <f>172483.44/1000*1</f>
        <v>172.48344</v>
      </c>
      <c r="V240" s="106">
        <f>199790.92/1000*1</f>
        <v>199.79092</v>
      </c>
      <c r="W240" s="89">
        <f t="shared" si="129"/>
        <v>-27.307479999999998</v>
      </c>
      <c r="X240" s="26">
        <f t="shared" si="130"/>
        <v>-0.13668028557053544</v>
      </c>
      <c r="Y240" s="106">
        <f>184153.94454/1000*1</f>
        <v>184.15394454</v>
      </c>
      <c r="Z240" s="89">
        <f t="shared" si="131"/>
        <v>11.670504539999996</v>
      </c>
      <c r="AA240" s="27">
        <f t="shared" si="132"/>
        <v>6.3373633234693222E-2</v>
      </c>
      <c r="AB240" s="107">
        <f>371518.57354/1000*1</f>
        <v>371.51857354000003</v>
      </c>
      <c r="AC240" s="1"/>
      <c r="AD240" s="1"/>
      <c r="AE240" s="1"/>
      <c r="AF240" s="1"/>
      <c r="AG240" s="1"/>
      <c r="AH240" s="1"/>
      <c r="AI240" s="1"/>
    </row>
    <row r="241" spans="1:35" ht="14.25" hidden="1" outlineLevel="1" x14ac:dyDescent="0.2">
      <c r="A241" s="1"/>
      <c r="B241" s="3"/>
      <c r="C241" s="3"/>
      <c r="D241" s="3" t="s">
        <v>59</v>
      </c>
      <c r="E241" s="3" t="s">
        <v>86</v>
      </c>
      <c r="F241" s="3">
        <v>842</v>
      </c>
      <c r="G241" s="105">
        <f>0/1000*1</f>
        <v>0</v>
      </c>
      <c r="H241" s="106">
        <f>0/1000*1</f>
        <v>0</v>
      </c>
      <c r="I241" s="89">
        <f t="shared" si="121"/>
        <v>0</v>
      </c>
      <c r="J241" s="26" t="str">
        <f t="shared" si="122"/>
        <v>N/A</v>
      </c>
      <c r="K241" s="106">
        <f>0/1000*1</f>
        <v>0</v>
      </c>
      <c r="L241" s="89">
        <f t="shared" si="123"/>
        <v>0</v>
      </c>
      <c r="M241" s="27" t="str">
        <f t="shared" si="124"/>
        <v>N/A</v>
      </c>
      <c r="N241" s="105">
        <f>0/1000*1</f>
        <v>0</v>
      </c>
      <c r="O241" s="106">
        <f>0/1000*1</f>
        <v>0</v>
      </c>
      <c r="P241" s="89">
        <f t="shared" si="125"/>
        <v>0</v>
      </c>
      <c r="Q241" s="26" t="str">
        <f t="shared" si="126"/>
        <v>N/A</v>
      </c>
      <c r="R241" s="106">
        <f>0/1000*1</f>
        <v>0</v>
      </c>
      <c r="S241" s="89">
        <f t="shared" si="127"/>
        <v>0</v>
      </c>
      <c r="T241" s="27" t="str">
        <f t="shared" si="128"/>
        <v>N/A</v>
      </c>
      <c r="U241" s="105">
        <f>0/1000*1</f>
        <v>0</v>
      </c>
      <c r="V241" s="106">
        <f>0/1000*1</f>
        <v>0</v>
      </c>
      <c r="W241" s="89">
        <f t="shared" si="129"/>
        <v>0</v>
      </c>
      <c r="X241" s="26" t="str">
        <f t="shared" si="130"/>
        <v>N/A</v>
      </c>
      <c r="Y241" s="106">
        <f>0/1000*1</f>
        <v>0</v>
      </c>
      <c r="Z241" s="89">
        <f t="shared" si="131"/>
        <v>0</v>
      </c>
      <c r="AA241" s="27" t="str">
        <f t="shared" si="132"/>
        <v>N/A</v>
      </c>
      <c r="AB241" s="107">
        <f>0/1000*1</f>
        <v>0</v>
      </c>
      <c r="AC241" s="1"/>
      <c r="AD241" s="1"/>
      <c r="AE241" s="1"/>
      <c r="AF241" s="1"/>
      <c r="AG241" s="1"/>
      <c r="AH241" s="1"/>
      <c r="AI241" s="1"/>
    </row>
    <row r="242" spans="1:35" ht="14.25" hidden="1" outlineLevel="1" x14ac:dyDescent="0.2">
      <c r="A242" s="1"/>
      <c r="B242" s="3"/>
      <c r="C242" s="3"/>
      <c r="D242" s="3"/>
      <c r="E242" s="3"/>
      <c r="F242" s="3"/>
      <c r="G242" s="105"/>
      <c r="H242" s="106"/>
      <c r="I242" s="89"/>
      <c r="J242" s="26"/>
      <c r="K242" s="106"/>
      <c r="L242" s="89"/>
      <c r="M242" s="27"/>
      <c r="N242" s="105"/>
      <c r="O242" s="106"/>
      <c r="P242" s="89"/>
      <c r="Q242" s="26"/>
      <c r="R242" s="106"/>
      <c r="S242" s="89"/>
      <c r="T242" s="27"/>
      <c r="U242" s="105"/>
      <c r="V242" s="106"/>
      <c r="W242" s="89"/>
      <c r="X242" s="26"/>
      <c r="Y242" s="106"/>
      <c r="Z242" s="89"/>
      <c r="AA242" s="27"/>
      <c r="AB242" s="107"/>
      <c r="AC242" s="1"/>
      <c r="AD242" s="1"/>
      <c r="AE242" s="1"/>
      <c r="AF242" s="1"/>
      <c r="AG242" s="1"/>
      <c r="AH242" s="1"/>
      <c r="AI242" s="1"/>
    </row>
    <row r="243" spans="1:35" ht="14.25" hidden="1" outlineLevel="1" x14ac:dyDescent="0.2">
      <c r="A243" s="1"/>
      <c r="B243" s="3"/>
      <c r="C243" s="3"/>
      <c r="D243" s="3"/>
      <c r="E243" s="3"/>
      <c r="F243" s="3"/>
      <c r="G243" s="105"/>
      <c r="H243" s="106"/>
      <c r="I243" s="89"/>
      <c r="J243" s="26"/>
      <c r="K243" s="106"/>
      <c r="L243" s="89"/>
      <c r="M243" s="27"/>
      <c r="N243" s="105"/>
      <c r="O243" s="106"/>
      <c r="P243" s="89"/>
      <c r="Q243" s="26"/>
      <c r="R243" s="106"/>
      <c r="S243" s="89"/>
      <c r="T243" s="27"/>
      <c r="U243" s="105"/>
      <c r="V243" s="106"/>
      <c r="W243" s="89"/>
      <c r="X243" s="26"/>
      <c r="Y243" s="106"/>
      <c r="Z243" s="89"/>
      <c r="AA243" s="27"/>
      <c r="AB243" s="107"/>
      <c r="AC243" s="1"/>
      <c r="AD243" s="1"/>
      <c r="AE243" s="1"/>
      <c r="AF243" s="1"/>
      <c r="AG243" s="1"/>
      <c r="AH243" s="1"/>
      <c r="AI243" s="1"/>
    </row>
    <row r="244" spans="1:35" ht="14.25" collapsed="1" x14ac:dyDescent="0.2">
      <c r="A244" s="1"/>
      <c r="B244" s="3" t="s">
        <v>60</v>
      </c>
      <c r="C244" s="3"/>
      <c r="D244" s="3"/>
      <c r="E244" s="3"/>
      <c r="F244" s="3"/>
      <c r="G244" s="102">
        <f>SUM(G245:G245)</f>
        <v>0</v>
      </c>
      <c r="H244" s="103">
        <f>SUM(H245:H245)</f>
        <v>0</v>
      </c>
      <c r="I244" s="89">
        <f>G244-H244</f>
        <v>0</v>
      </c>
      <c r="J244" s="26" t="str">
        <f>IF(ISERROR(I244/H244),"N/A",IF(ABS(I244/H244)&gt;5,"N/A",I244/H244))</f>
        <v>N/A</v>
      </c>
      <c r="K244" s="103">
        <f>SUM(K245:K245)</f>
        <v>0</v>
      </c>
      <c r="L244" s="89">
        <f>K244-G244</f>
        <v>0</v>
      </c>
      <c r="M244" s="27" t="str">
        <f>IF(ISERROR(L244/K244),"N/A",IF(ABS(L244/K244)&gt;5,"N/A",L244/K244))</f>
        <v>N/A</v>
      </c>
      <c r="N244" s="102">
        <f>SUM(N245:N245)</f>
        <v>0</v>
      </c>
      <c r="O244" s="103">
        <f>SUM(O245:O245)</f>
        <v>0</v>
      </c>
      <c r="P244" s="89">
        <f>N244-O244</f>
        <v>0</v>
      </c>
      <c r="Q244" s="26" t="str">
        <f>IF(ISERROR(P244/O244),"N/A",IF(ABS(P244/O244)&gt;5,"N/A",P244/O244))</f>
        <v>N/A</v>
      </c>
      <c r="R244" s="103">
        <f>SUM(R245:R245)</f>
        <v>0</v>
      </c>
      <c r="S244" s="89">
        <f>R244-N244</f>
        <v>0</v>
      </c>
      <c r="T244" s="27" t="str">
        <f>IF(ISERROR(S244/R244),"N/A",IF(ABS(S244/R244)&gt;5,"N/A",S244/R244))</f>
        <v>N/A</v>
      </c>
      <c r="U244" s="102">
        <f>SUM(U245:U245)</f>
        <v>0</v>
      </c>
      <c r="V244" s="103">
        <f>SUM(V245:V245)</f>
        <v>0</v>
      </c>
      <c r="W244" s="89">
        <f>U244-V244</f>
        <v>0</v>
      </c>
      <c r="X244" s="26" t="str">
        <f>IF(ISERROR(W244/V244),"N/A",IF(ABS(W244/V244)&gt;5,"N/A",W244/V244))</f>
        <v>N/A</v>
      </c>
      <c r="Y244" s="103">
        <f>SUM(Y245:Y245)</f>
        <v>0</v>
      </c>
      <c r="Z244" s="89">
        <f>Y244-U244</f>
        <v>0</v>
      </c>
      <c r="AA244" s="27" t="str">
        <f>IF(ISERROR(Z244/Y244),"N/A",IF(ABS(Z244/Y244)&gt;5,"N/A",Z244/Y244))</f>
        <v>N/A</v>
      </c>
      <c r="AB244" s="104">
        <f>SUM(AB245:AB245)</f>
        <v>0</v>
      </c>
      <c r="AC244" s="1"/>
      <c r="AD244" s="1"/>
      <c r="AE244" s="1"/>
      <c r="AF244" s="1"/>
      <c r="AG244" s="1"/>
      <c r="AH244" s="1"/>
      <c r="AI244" s="1"/>
    </row>
    <row r="245" spans="1:35" ht="14.25" hidden="1" outlineLevel="1" x14ac:dyDescent="0.2">
      <c r="A245" s="1"/>
      <c r="B245" s="3"/>
      <c r="C245" s="3"/>
      <c r="D245" s="3"/>
      <c r="E245" s="3"/>
      <c r="F245" s="3"/>
      <c r="G245" s="105"/>
      <c r="H245" s="106"/>
      <c r="I245" s="89"/>
      <c r="J245" s="26"/>
      <c r="K245" s="106"/>
      <c r="L245" s="89"/>
      <c r="M245" s="27"/>
      <c r="N245" s="105"/>
      <c r="O245" s="106"/>
      <c r="P245" s="89"/>
      <c r="Q245" s="26"/>
      <c r="R245" s="106"/>
      <c r="S245" s="89"/>
      <c r="T245" s="27"/>
      <c r="U245" s="105"/>
      <c r="V245" s="106"/>
      <c r="W245" s="89"/>
      <c r="X245" s="26"/>
      <c r="Y245" s="106"/>
      <c r="Z245" s="89"/>
      <c r="AA245" s="27"/>
      <c r="AB245" s="107"/>
      <c r="AC245" s="1"/>
      <c r="AD245" s="1"/>
      <c r="AE245" s="1"/>
      <c r="AF245" s="1"/>
      <c r="AG245" s="1"/>
      <c r="AH245" s="1"/>
      <c r="AI245" s="1"/>
    </row>
    <row r="246" spans="1:35" ht="14.25" hidden="1" outlineLevel="1" x14ac:dyDescent="0.2">
      <c r="A246" s="1"/>
      <c r="B246" s="3"/>
      <c r="C246" s="3"/>
      <c r="D246" s="3"/>
      <c r="E246" s="3"/>
      <c r="F246" s="3"/>
      <c r="G246" s="105"/>
      <c r="H246" s="106"/>
      <c r="I246" s="89"/>
      <c r="J246" s="26"/>
      <c r="K246" s="106"/>
      <c r="L246" s="89"/>
      <c r="M246" s="27"/>
      <c r="N246" s="105"/>
      <c r="O246" s="106"/>
      <c r="P246" s="89"/>
      <c r="Q246" s="26"/>
      <c r="R246" s="106"/>
      <c r="S246" s="89"/>
      <c r="T246" s="27"/>
      <c r="U246" s="105"/>
      <c r="V246" s="106"/>
      <c r="W246" s="89"/>
      <c r="X246" s="26"/>
      <c r="Y246" s="106"/>
      <c r="Z246" s="89"/>
      <c r="AA246" s="27"/>
      <c r="AB246" s="107"/>
      <c r="AC246" s="1"/>
      <c r="AD246" s="1"/>
      <c r="AE246" s="1"/>
      <c r="AF246" s="1"/>
      <c r="AG246" s="1"/>
      <c r="AH246" s="1"/>
      <c r="AI246" s="1"/>
    </row>
    <row r="247" spans="1:35" ht="14.25" collapsed="1" x14ac:dyDescent="0.2">
      <c r="A247" s="1"/>
      <c r="B247" s="3" t="s">
        <v>62</v>
      </c>
      <c r="C247" s="3"/>
      <c r="D247" s="3"/>
      <c r="E247" s="3"/>
      <c r="F247" s="3"/>
      <c r="G247" s="102">
        <f>SUM(G248:G251)</f>
        <v>86.857139999999987</v>
      </c>
      <c r="H247" s="103">
        <f>SUM(H248:H251)</f>
        <v>2.1605300000000001</v>
      </c>
      <c r="I247" s="89">
        <f>G247-H247</f>
        <v>84.696609999999993</v>
      </c>
      <c r="J247" s="26" t="str">
        <f>IF(ISERROR(I247/H247),"N/A",IF(ABS(I247/H247)&gt;5,"N/A",I247/H247))</f>
        <v>N/A</v>
      </c>
      <c r="K247" s="103">
        <f>SUM(K248:K251)</f>
        <v>78.821600000000004</v>
      </c>
      <c r="L247" s="89">
        <f>K247-G247</f>
        <v>-8.0355399999999833</v>
      </c>
      <c r="M247" s="27">
        <f>IF(ISERROR(L247/K247),"N/A",IF(ABS(L247/K247)&gt;5,"N/A",L247/K247))</f>
        <v>-0.10194591330295227</v>
      </c>
      <c r="N247" s="102">
        <f>SUM(N248:N251)</f>
        <v>249.15959000000001</v>
      </c>
      <c r="O247" s="103">
        <f>SUM(O248:O251)</f>
        <v>11.50296</v>
      </c>
      <c r="P247" s="89">
        <f>N247-O247</f>
        <v>237.65663000000001</v>
      </c>
      <c r="Q247" s="26" t="str">
        <f>IF(ISERROR(P247/O247),"N/A",IF(ABS(P247/O247)&gt;5,"N/A",P247/O247))</f>
        <v>N/A</v>
      </c>
      <c r="R247" s="103">
        <f>SUM(R248:R251)</f>
        <v>263.58936000000006</v>
      </c>
      <c r="S247" s="89">
        <f>R247-N247</f>
        <v>14.429770000000048</v>
      </c>
      <c r="T247" s="27">
        <f>IF(ISERROR(S247/R247),"N/A",IF(ABS(S247/R247)&gt;5,"N/A",S247/R247))</f>
        <v>5.4743370521481004E-2</v>
      </c>
      <c r="U247" s="102">
        <f>SUM(U248:U251)</f>
        <v>530.29683999999997</v>
      </c>
      <c r="V247" s="103">
        <f>SUM(V248:V251)</f>
        <v>24.421490000000002</v>
      </c>
      <c r="W247" s="89">
        <f>U247-V247</f>
        <v>505.87534999999997</v>
      </c>
      <c r="X247" s="26" t="str">
        <f>IF(ISERROR(W247/V247),"N/A",IF(ABS(W247/V247)&gt;5,"N/A",W247/V247))</f>
        <v>N/A</v>
      </c>
      <c r="Y247" s="103">
        <f>SUM(Y248:Y251)</f>
        <v>544.72660999999994</v>
      </c>
      <c r="Z247" s="89">
        <f>Y247-U247</f>
        <v>14.429769999999962</v>
      </c>
      <c r="AA247" s="27">
        <f>IF(ISERROR(Z247/Y247),"N/A",IF(ABS(Z247/Y247)&gt;5,"N/A",Z247/Y247))</f>
        <v>2.648993042583318E-2</v>
      </c>
      <c r="AB247" s="104">
        <f>SUM(AB248:AB251)</f>
        <v>952.50629000000004</v>
      </c>
      <c r="AC247" s="1"/>
      <c r="AD247" s="1"/>
      <c r="AE247" s="1"/>
      <c r="AF247" s="1"/>
      <c r="AG247" s="1"/>
      <c r="AH247" s="1"/>
      <c r="AI247" s="1"/>
    </row>
    <row r="248" spans="1:35" ht="14.25" hidden="1" outlineLevel="1" x14ac:dyDescent="0.2">
      <c r="A248" s="1"/>
      <c r="B248" s="3"/>
      <c r="C248" s="3"/>
      <c r="D248" s="3" t="s">
        <v>62</v>
      </c>
      <c r="E248" s="3" t="s">
        <v>79</v>
      </c>
      <c r="F248" s="3">
        <v>861</v>
      </c>
      <c r="G248" s="105">
        <f>0/1000*1</f>
        <v>0</v>
      </c>
      <c r="H248" s="106">
        <f>0/1000*1</f>
        <v>0</v>
      </c>
      <c r="I248" s="89">
        <f>G248-H248</f>
        <v>0</v>
      </c>
      <c r="J248" s="26" t="str">
        <f>IF(ISERROR(I248/H248),"N/A",IF(ABS(I248/H248)&gt;5,"N/A",I248/H248))</f>
        <v>N/A</v>
      </c>
      <c r="K248" s="106">
        <f>78821.6/1000*1</f>
        <v>78.821600000000004</v>
      </c>
      <c r="L248" s="89">
        <f>K248-G248</f>
        <v>78.821600000000004</v>
      </c>
      <c r="M248" s="27">
        <f>IF(ISERROR(L248/K248),"N/A",IF(ABS(L248/K248)&gt;5,"N/A",L248/K248))</f>
        <v>1</v>
      </c>
      <c r="N248" s="105">
        <f>0/1000*1</f>
        <v>0</v>
      </c>
      <c r="O248" s="106">
        <f>0/1000*1</f>
        <v>0</v>
      </c>
      <c r="P248" s="89">
        <f>N248-O248</f>
        <v>0</v>
      </c>
      <c r="Q248" s="26" t="str">
        <f>IF(ISERROR(P248/O248),"N/A",IF(ABS(P248/O248)&gt;5,"N/A",P248/O248))</f>
        <v>N/A</v>
      </c>
      <c r="R248" s="106">
        <f>179093.2/1000*1</f>
        <v>179.09320000000002</v>
      </c>
      <c r="S248" s="89">
        <f>R248-N248</f>
        <v>179.09320000000002</v>
      </c>
      <c r="T248" s="27">
        <f>IF(ISERROR(S248/R248),"N/A",IF(ABS(S248/R248)&gt;5,"N/A",S248/R248))</f>
        <v>1</v>
      </c>
      <c r="U248" s="105">
        <f>0/1000*1</f>
        <v>0</v>
      </c>
      <c r="V248" s="106">
        <f>0/1000*1</f>
        <v>0</v>
      </c>
      <c r="W248" s="89">
        <f>U248-V248</f>
        <v>0</v>
      </c>
      <c r="X248" s="26" t="str">
        <f>IF(ISERROR(W248/V248),"N/A",IF(ABS(W248/V248)&gt;5,"N/A",W248/V248))</f>
        <v>N/A</v>
      </c>
      <c r="Y248" s="106">
        <f>179093.2/1000*1</f>
        <v>179.09320000000002</v>
      </c>
      <c r="Z248" s="89">
        <f>Y248-U248</f>
        <v>179.09320000000002</v>
      </c>
      <c r="AA248" s="27">
        <f>IF(ISERROR(Z248/Y248),"N/A",IF(ABS(Z248/Y248)&gt;5,"N/A",Z248/Y248))</f>
        <v>1</v>
      </c>
      <c r="AB248" s="107">
        <f>586872.88/1000*1</f>
        <v>586.87288000000001</v>
      </c>
      <c r="AC248" s="1"/>
      <c r="AD248" s="1"/>
      <c r="AE248" s="1"/>
      <c r="AF248" s="1"/>
      <c r="AG248" s="1"/>
      <c r="AH248" s="1"/>
      <c r="AI248" s="1"/>
    </row>
    <row r="249" spans="1:35" ht="14.25" hidden="1" outlineLevel="1" x14ac:dyDescent="0.2">
      <c r="A249" s="1"/>
      <c r="B249" s="3"/>
      <c r="C249" s="3"/>
      <c r="D249" s="3" t="s">
        <v>62</v>
      </c>
      <c r="E249" s="3" t="s">
        <v>83</v>
      </c>
      <c r="F249" s="3">
        <v>861</v>
      </c>
      <c r="G249" s="105">
        <f>82811.09/1000*1</f>
        <v>82.811089999999993</v>
      </c>
      <c r="H249" s="106">
        <f>0/1000*1</f>
        <v>0</v>
      </c>
      <c r="I249" s="89">
        <f>G249-H249</f>
        <v>82.811089999999993</v>
      </c>
      <c r="J249" s="26" t="str">
        <f>IF(ISERROR(I249/H249),"N/A",IF(ABS(I249/H249)&gt;5,"N/A",I249/H249))</f>
        <v>N/A</v>
      </c>
      <c r="K249" s="106">
        <f>0/1000*1</f>
        <v>0</v>
      </c>
      <c r="L249" s="89">
        <f>K249-G249</f>
        <v>-82.811089999999993</v>
      </c>
      <c r="M249" s="27" t="str">
        <f>IF(ISERROR(L249/K249),"N/A",IF(ABS(L249/K249)&gt;5,"N/A",L249/K249))</f>
        <v>N/A</v>
      </c>
      <c r="N249" s="105">
        <f>240188.98/1000*1</f>
        <v>240.18898000000002</v>
      </c>
      <c r="O249" s="106">
        <f>0/1000*1</f>
        <v>0</v>
      </c>
      <c r="P249" s="89">
        <f>N249-O249</f>
        <v>240.18898000000002</v>
      </c>
      <c r="Q249" s="26" t="str">
        <f>IF(ISERROR(P249/O249),"N/A",IF(ABS(P249/O249)&gt;5,"N/A",P249/O249))</f>
        <v>N/A</v>
      </c>
      <c r="R249" s="106">
        <f>80580.98/1000*1</f>
        <v>80.580979999999997</v>
      </c>
      <c r="S249" s="89">
        <f>R249-N249</f>
        <v>-159.608</v>
      </c>
      <c r="T249" s="27">
        <f>IF(ISERROR(S249/R249),"N/A",IF(ABS(S249/R249)&gt;5,"N/A",S249/R249))</f>
        <v>-1.9807155485078489</v>
      </c>
      <c r="U249" s="105">
        <f>509022.47/1000*1</f>
        <v>509.02247</v>
      </c>
      <c r="V249" s="106">
        <f>0/1000*1</f>
        <v>0</v>
      </c>
      <c r="W249" s="89">
        <f>U249-V249</f>
        <v>509.02247</v>
      </c>
      <c r="X249" s="26" t="str">
        <f>IF(ISERROR(W249/V249),"N/A",IF(ABS(W249/V249)&gt;5,"N/A",W249/V249))</f>
        <v>N/A</v>
      </c>
      <c r="Y249" s="106">
        <f>349414.47/1000*1</f>
        <v>349.41446999999999</v>
      </c>
      <c r="Z249" s="89">
        <f>Y249-U249</f>
        <v>-159.608</v>
      </c>
      <c r="AA249" s="27">
        <f>IF(ISERROR(Z249/Y249),"N/A",IF(ABS(Z249/Y249)&gt;5,"N/A",Z249/Y249))</f>
        <v>-0.45678703575155316</v>
      </c>
      <c r="AB249" s="107">
        <f>349414.47/1000*1</f>
        <v>349.41446999999999</v>
      </c>
      <c r="AC249" s="1"/>
      <c r="AD249" s="1"/>
      <c r="AE249" s="1"/>
      <c r="AF249" s="1"/>
      <c r="AG249" s="1"/>
      <c r="AH249" s="1"/>
      <c r="AI249" s="1"/>
    </row>
    <row r="250" spans="1:35" ht="14.25" hidden="1" outlineLevel="1" x14ac:dyDescent="0.2">
      <c r="A250" s="1"/>
      <c r="B250" s="3"/>
      <c r="C250" s="3"/>
      <c r="D250" s="3" t="s">
        <v>62</v>
      </c>
      <c r="E250" s="3" t="s">
        <v>84</v>
      </c>
      <c r="F250" s="3">
        <v>860</v>
      </c>
      <c r="G250" s="105">
        <f>4046.05/1000*1</f>
        <v>4.0460500000000001</v>
      </c>
      <c r="H250" s="106">
        <f>2160.53/1000*1</f>
        <v>2.1605300000000001</v>
      </c>
      <c r="I250" s="89">
        <f>G250-H250</f>
        <v>1.8855200000000001</v>
      </c>
      <c r="J250" s="26">
        <f>IF(ISERROR(I250/H250),"N/A",IF(ABS(I250/H250)&gt;5,"N/A",I250/H250))</f>
        <v>0.87271178831120144</v>
      </c>
      <c r="K250" s="106">
        <f>0/1000*1</f>
        <v>0</v>
      </c>
      <c r="L250" s="89">
        <f>K250-G250</f>
        <v>-4.0460500000000001</v>
      </c>
      <c r="M250" s="27" t="str">
        <f>IF(ISERROR(L250/K250),"N/A",IF(ABS(L250/K250)&gt;5,"N/A",L250/K250))</f>
        <v>N/A</v>
      </c>
      <c r="N250" s="105">
        <f>8970.61/1000*1</f>
        <v>8.9706100000000006</v>
      </c>
      <c r="O250" s="106">
        <f>11502.96/1000*1</f>
        <v>11.50296</v>
      </c>
      <c r="P250" s="89">
        <f>N250-O250</f>
        <v>-2.5323499999999992</v>
      </c>
      <c r="Q250" s="26">
        <f>IF(ISERROR(P250/O250),"N/A",IF(ABS(P250/O250)&gt;5,"N/A",P250/O250))</f>
        <v>-0.22014768372662336</v>
      </c>
      <c r="R250" s="106">
        <f>3915.18/1000*1</f>
        <v>3.9151799999999999</v>
      </c>
      <c r="S250" s="89">
        <f>R250-N250</f>
        <v>-5.0554300000000012</v>
      </c>
      <c r="T250" s="27">
        <f>IF(ISERROR(S250/R250),"N/A",IF(ABS(S250/R250)&gt;5,"N/A",S250/R250))</f>
        <v>-1.2912382061616583</v>
      </c>
      <c r="U250" s="105">
        <f>21274.37/1000*1</f>
        <v>21.274369999999998</v>
      </c>
      <c r="V250" s="106">
        <f>24421.49/1000*1</f>
        <v>24.421490000000002</v>
      </c>
      <c r="W250" s="89">
        <f>U250-V250</f>
        <v>-3.1471200000000046</v>
      </c>
      <c r="X250" s="26">
        <f>IF(ISERROR(W250/V250),"N/A",IF(ABS(W250/V250)&gt;5,"N/A",W250/V250))</f>
        <v>-0.12886682999276475</v>
      </c>
      <c r="Y250" s="106">
        <f>16218.94/1000*1</f>
        <v>16.21894</v>
      </c>
      <c r="Z250" s="89">
        <f>Y250-U250</f>
        <v>-5.0554299999999976</v>
      </c>
      <c r="AA250" s="27">
        <f>IF(ISERROR(Z250/Y250),"N/A",IF(ABS(Z250/Y250)&gt;5,"N/A",Z250/Y250))</f>
        <v>-0.31169916159749017</v>
      </c>
      <c r="AB250" s="107">
        <f>16218.94/1000*1</f>
        <v>16.21894</v>
      </c>
      <c r="AC250" s="1"/>
      <c r="AD250" s="1"/>
      <c r="AE250" s="1"/>
      <c r="AF250" s="1"/>
      <c r="AG250" s="1"/>
      <c r="AH250" s="1"/>
      <c r="AI250" s="1"/>
    </row>
    <row r="251" spans="1:35" ht="14.25" hidden="1" outlineLevel="1" x14ac:dyDescent="0.2">
      <c r="A251" s="1"/>
      <c r="B251" s="3"/>
      <c r="C251" s="3"/>
      <c r="D251" s="3"/>
      <c r="E251" s="3"/>
      <c r="F251" s="3"/>
      <c r="G251" s="105"/>
      <c r="H251" s="106"/>
      <c r="I251" s="89"/>
      <c r="J251" s="26"/>
      <c r="K251" s="106"/>
      <c r="L251" s="89"/>
      <c r="M251" s="27"/>
      <c r="N251" s="105"/>
      <c r="O251" s="106"/>
      <c r="P251" s="89"/>
      <c r="Q251" s="26"/>
      <c r="R251" s="106"/>
      <c r="S251" s="89"/>
      <c r="T251" s="27"/>
      <c r="U251" s="105"/>
      <c r="V251" s="106"/>
      <c r="W251" s="89"/>
      <c r="X251" s="26"/>
      <c r="Y251" s="106"/>
      <c r="Z251" s="89"/>
      <c r="AA251" s="27"/>
      <c r="AB251" s="107"/>
      <c r="AC251" s="1"/>
      <c r="AD251" s="1"/>
      <c r="AE251" s="1"/>
      <c r="AF251" s="1"/>
      <c r="AG251" s="1"/>
      <c r="AH251" s="1"/>
      <c r="AI251" s="1"/>
    </row>
    <row r="252" spans="1:35" ht="14.25" hidden="1" outlineLevel="1" x14ac:dyDescent="0.2">
      <c r="A252" s="1"/>
      <c r="B252" s="3"/>
      <c r="C252" s="3"/>
      <c r="D252" s="3"/>
      <c r="E252" s="3"/>
      <c r="F252" s="3"/>
      <c r="G252" s="105"/>
      <c r="H252" s="106"/>
      <c r="I252" s="89"/>
      <c r="J252" s="26"/>
      <c r="K252" s="106"/>
      <c r="L252" s="89"/>
      <c r="M252" s="27"/>
      <c r="N252" s="105"/>
      <c r="O252" s="106"/>
      <c r="P252" s="89"/>
      <c r="Q252" s="26"/>
      <c r="R252" s="106"/>
      <c r="S252" s="89"/>
      <c r="T252" s="27"/>
      <c r="U252" s="105"/>
      <c r="V252" s="106"/>
      <c r="W252" s="89"/>
      <c r="X252" s="26"/>
      <c r="Y252" s="106"/>
      <c r="Z252" s="89"/>
      <c r="AA252" s="27"/>
      <c r="AB252" s="107"/>
      <c r="AC252" s="1"/>
      <c r="AD252" s="1"/>
      <c r="AE252" s="1"/>
      <c r="AF252" s="1"/>
      <c r="AG252" s="1"/>
      <c r="AH252" s="1"/>
      <c r="AI252" s="1"/>
    </row>
    <row r="253" spans="1:35" ht="14.25" collapsed="1" x14ac:dyDescent="0.2">
      <c r="A253" s="1"/>
      <c r="B253" s="3" t="s">
        <v>63</v>
      </c>
      <c r="C253" s="3"/>
      <c r="D253" s="3"/>
      <c r="E253" s="3"/>
      <c r="F253" s="3"/>
      <c r="G253" s="102">
        <f>SUM(G254:G255)</f>
        <v>0</v>
      </c>
      <c r="H253" s="103">
        <f>SUM(H254:H255)</f>
        <v>0</v>
      </c>
      <c r="I253" s="89">
        <f>G253-H253</f>
        <v>0</v>
      </c>
      <c r="J253" s="26" t="str">
        <f>IF(ISERROR(I253/H253),"N/A",IF(ABS(I253/H253)&gt;5,"N/A",I253/H253))</f>
        <v>N/A</v>
      </c>
      <c r="K253" s="103">
        <f>SUM(K254:K255)</f>
        <v>0</v>
      </c>
      <c r="L253" s="89">
        <f>K253-G253</f>
        <v>0</v>
      </c>
      <c r="M253" s="27" t="str">
        <f>IF(ISERROR(L253/K253),"N/A",IF(ABS(L253/K253)&gt;5,"N/A",L253/K253))</f>
        <v>N/A</v>
      </c>
      <c r="N253" s="102">
        <f>SUM(N254:N255)</f>
        <v>0</v>
      </c>
      <c r="O253" s="103">
        <f>SUM(O254:O255)</f>
        <v>0</v>
      </c>
      <c r="P253" s="89">
        <f>N253-O253</f>
        <v>0</v>
      </c>
      <c r="Q253" s="26" t="str">
        <f>IF(ISERROR(P253/O253),"N/A",IF(ABS(P253/O253)&gt;5,"N/A",P253/O253))</f>
        <v>N/A</v>
      </c>
      <c r="R253" s="103">
        <f>SUM(R254:R255)</f>
        <v>0</v>
      </c>
      <c r="S253" s="89">
        <f>R253-N253</f>
        <v>0</v>
      </c>
      <c r="T253" s="27" t="str">
        <f>IF(ISERROR(S253/R253),"N/A",IF(ABS(S253/R253)&gt;5,"N/A",S253/R253))</f>
        <v>N/A</v>
      </c>
      <c r="U253" s="102">
        <f>SUM(U254:U255)</f>
        <v>0</v>
      </c>
      <c r="V253" s="103">
        <f>SUM(V254:V255)</f>
        <v>0</v>
      </c>
      <c r="W253" s="89">
        <f>U253-V253</f>
        <v>0</v>
      </c>
      <c r="X253" s="26" t="str">
        <f>IF(ISERROR(W253/V253),"N/A",IF(ABS(W253/V253)&gt;5,"N/A",W253/V253))</f>
        <v>N/A</v>
      </c>
      <c r="Y253" s="103">
        <f>SUM(Y254:Y255)</f>
        <v>0</v>
      </c>
      <c r="Z253" s="89">
        <f>Y253-U253</f>
        <v>0</v>
      </c>
      <c r="AA253" s="27" t="str">
        <f>IF(ISERROR(Z253/Y253),"N/A",IF(ABS(Z253/Y253)&gt;5,"N/A",Z253/Y253))</f>
        <v>N/A</v>
      </c>
      <c r="AB253" s="104">
        <f>SUM(AB254:AB255)</f>
        <v>0</v>
      </c>
      <c r="AC253" s="1"/>
      <c r="AD253" s="1"/>
      <c r="AE253" s="1"/>
      <c r="AF253" s="1"/>
      <c r="AG253" s="1"/>
      <c r="AH253" s="1"/>
      <c r="AI253" s="1"/>
    </row>
    <row r="254" spans="1:35" ht="14.25" hidden="1" outlineLevel="1" x14ac:dyDescent="0.2">
      <c r="A254" s="1"/>
      <c r="B254" s="3"/>
      <c r="C254" s="3"/>
      <c r="D254" s="3" t="s">
        <v>64</v>
      </c>
      <c r="E254" s="3" t="s">
        <v>79</v>
      </c>
      <c r="F254" s="3">
        <v>641</v>
      </c>
      <c r="G254" s="105">
        <f>0/1000*1</f>
        <v>0</v>
      </c>
      <c r="H254" s="106">
        <f>0/1000*1</f>
        <v>0</v>
      </c>
      <c r="I254" s="89">
        <f>G254-H254</f>
        <v>0</v>
      </c>
      <c r="J254" s="26" t="str">
        <f>IF(ISERROR(I254/H254),"N/A",IF(ABS(I254/H254)&gt;5,"N/A",I254/H254))</f>
        <v>N/A</v>
      </c>
      <c r="K254" s="106">
        <f>0/1000*1</f>
        <v>0</v>
      </c>
      <c r="L254" s="89">
        <f>K254-G254</f>
        <v>0</v>
      </c>
      <c r="M254" s="27" t="str">
        <f>IF(ISERROR(L254/K254),"N/A",IF(ABS(L254/K254)&gt;5,"N/A",L254/K254))</f>
        <v>N/A</v>
      </c>
      <c r="N254" s="105">
        <f>0/1000*1</f>
        <v>0</v>
      </c>
      <c r="O254" s="106">
        <f>0/1000*1</f>
        <v>0</v>
      </c>
      <c r="P254" s="89">
        <f>N254-O254</f>
        <v>0</v>
      </c>
      <c r="Q254" s="26" t="str">
        <f>IF(ISERROR(P254/O254),"N/A",IF(ABS(P254/O254)&gt;5,"N/A",P254/O254))</f>
        <v>N/A</v>
      </c>
      <c r="R254" s="106">
        <f>0/1000*1</f>
        <v>0</v>
      </c>
      <c r="S254" s="89">
        <f>R254-N254</f>
        <v>0</v>
      </c>
      <c r="T254" s="27" t="str">
        <f>IF(ISERROR(S254/R254),"N/A",IF(ABS(S254/R254)&gt;5,"N/A",S254/R254))</f>
        <v>N/A</v>
      </c>
      <c r="U254" s="105">
        <f>0/1000*1</f>
        <v>0</v>
      </c>
      <c r="V254" s="106">
        <f>0/1000*1</f>
        <v>0</v>
      </c>
      <c r="W254" s="89">
        <f>U254-V254</f>
        <v>0</v>
      </c>
      <c r="X254" s="26" t="str">
        <f>IF(ISERROR(W254/V254),"N/A",IF(ABS(W254/V254)&gt;5,"N/A",W254/V254))</f>
        <v>N/A</v>
      </c>
      <c r="Y254" s="106">
        <f>0/1000*1</f>
        <v>0</v>
      </c>
      <c r="Z254" s="89">
        <f>Y254-U254</f>
        <v>0</v>
      </c>
      <c r="AA254" s="27" t="str">
        <f>IF(ISERROR(Z254/Y254),"N/A",IF(ABS(Z254/Y254)&gt;5,"N/A",Z254/Y254))</f>
        <v>N/A</v>
      </c>
      <c r="AB254" s="107">
        <f>0/1000*1</f>
        <v>0</v>
      </c>
      <c r="AC254" s="1"/>
      <c r="AD254" s="1"/>
      <c r="AE254" s="1"/>
      <c r="AF254" s="1"/>
      <c r="AG254" s="1"/>
      <c r="AH254" s="1"/>
      <c r="AI254" s="1"/>
    </row>
    <row r="255" spans="1:35" ht="14.25" hidden="1" outlineLevel="1" x14ac:dyDescent="0.2">
      <c r="A255" s="1"/>
      <c r="B255" s="3"/>
      <c r="C255" s="3"/>
      <c r="D255" s="3"/>
      <c r="E255" s="3"/>
      <c r="F255" s="3"/>
      <c r="G255" s="105"/>
      <c r="H255" s="106"/>
      <c r="I255" s="89"/>
      <c r="J255" s="26"/>
      <c r="K255" s="106"/>
      <c r="L255" s="89"/>
      <c r="M255" s="27"/>
      <c r="N255" s="105"/>
      <c r="O255" s="106"/>
      <c r="P255" s="89"/>
      <c r="Q255" s="26"/>
      <c r="R255" s="106"/>
      <c r="S255" s="89"/>
      <c r="T255" s="27"/>
      <c r="U255" s="105"/>
      <c r="V255" s="106"/>
      <c r="W255" s="89"/>
      <c r="X255" s="26"/>
      <c r="Y255" s="106"/>
      <c r="Z255" s="89"/>
      <c r="AA255" s="27"/>
      <c r="AB255" s="107"/>
      <c r="AC255" s="1"/>
      <c r="AD255" s="1"/>
      <c r="AE255" s="1"/>
      <c r="AF255" s="1"/>
      <c r="AG255" s="1"/>
      <c r="AH255" s="1"/>
      <c r="AI255" s="1"/>
    </row>
    <row r="256" spans="1:35" ht="14.25" hidden="1" outlineLevel="1" x14ac:dyDescent="0.2">
      <c r="A256" s="1"/>
      <c r="B256" s="3"/>
      <c r="C256" s="3"/>
      <c r="D256" s="3"/>
      <c r="E256" s="3"/>
      <c r="F256" s="3"/>
      <c r="G256" s="105"/>
      <c r="H256" s="106"/>
      <c r="I256" s="89"/>
      <c r="J256" s="26"/>
      <c r="K256" s="106"/>
      <c r="L256" s="89"/>
      <c r="M256" s="27"/>
      <c r="N256" s="105"/>
      <c r="O256" s="106"/>
      <c r="P256" s="89"/>
      <c r="Q256" s="26"/>
      <c r="R256" s="106"/>
      <c r="S256" s="89"/>
      <c r="T256" s="27"/>
      <c r="U256" s="105"/>
      <c r="V256" s="106"/>
      <c r="W256" s="89"/>
      <c r="X256" s="26"/>
      <c r="Y256" s="106"/>
      <c r="Z256" s="89"/>
      <c r="AA256" s="27"/>
      <c r="AB256" s="107"/>
      <c r="AC256" s="1"/>
      <c r="AD256" s="1"/>
      <c r="AE256" s="1"/>
      <c r="AF256" s="1"/>
      <c r="AG256" s="1"/>
      <c r="AH256" s="1"/>
      <c r="AI256" s="1"/>
    </row>
    <row r="257" spans="1:35" ht="14.25" collapsed="1" x14ac:dyDescent="0.2">
      <c r="A257" s="1"/>
      <c r="B257" s="3" t="s">
        <v>65</v>
      </c>
      <c r="C257" s="3"/>
      <c r="D257" s="3"/>
      <c r="E257" s="3"/>
      <c r="F257" s="3"/>
      <c r="G257" s="102">
        <f>SUM(G258:G258)</f>
        <v>0</v>
      </c>
      <c r="H257" s="103">
        <f>SUM(H258:H258)</f>
        <v>0</v>
      </c>
      <c r="I257" s="89">
        <f>G257-H257</f>
        <v>0</v>
      </c>
      <c r="J257" s="26" t="str">
        <f>IF(ISERROR(I257/H257),"N/A",IF(ABS(I257/H257)&gt;5,"N/A",I257/H257))</f>
        <v>N/A</v>
      </c>
      <c r="K257" s="103">
        <f>SUM(K258:K258)</f>
        <v>0</v>
      </c>
      <c r="L257" s="89">
        <f>K257-G257</f>
        <v>0</v>
      </c>
      <c r="M257" s="27" t="str">
        <f>IF(ISERROR(L257/K257),"N/A",IF(ABS(L257/K257)&gt;5,"N/A",L257/K257))</f>
        <v>N/A</v>
      </c>
      <c r="N257" s="102">
        <f>SUM(N258:N258)</f>
        <v>0</v>
      </c>
      <c r="O257" s="103">
        <f>SUM(O258:O258)</f>
        <v>0</v>
      </c>
      <c r="P257" s="89">
        <f>N257-O257</f>
        <v>0</v>
      </c>
      <c r="Q257" s="26" t="str">
        <f>IF(ISERROR(P257/O257),"N/A",IF(ABS(P257/O257)&gt;5,"N/A",P257/O257))</f>
        <v>N/A</v>
      </c>
      <c r="R257" s="103">
        <f>SUM(R258:R258)</f>
        <v>0</v>
      </c>
      <c r="S257" s="89">
        <f>R257-N257</f>
        <v>0</v>
      </c>
      <c r="T257" s="27" t="str">
        <f>IF(ISERROR(S257/R257),"N/A",IF(ABS(S257/R257)&gt;5,"N/A",S257/R257))</f>
        <v>N/A</v>
      </c>
      <c r="U257" s="102">
        <f>SUM(U258:U258)</f>
        <v>0</v>
      </c>
      <c r="V257" s="103">
        <f>SUM(V258:V258)</f>
        <v>0</v>
      </c>
      <c r="W257" s="89">
        <f>U257-V257</f>
        <v>0</v>
      </c>
      <c r="X257" s="26" t="str">
        <f>IF(ISERROR(W257/V257),"N/A",IF(ABS(W257/V257)&gt;5,"N/A",W257/V257))</f>
        <v>N/A</v>
      </c>
      <c r="Y257" s="103">
        <f>SUM(Y258:Y258)</f>
        <v>0</v>
      </c>
      <c r="Z257" s="89">
        <f>Y257-U257</f>
        <v>0</v>
      </c>
      <c r="AA257" s="27" t="str">
        <f>IF(ISERROR(Z257/Y257),"N/A",IF(ABS(Z257/Y257)&gt;5,"N/A",Z257/Y257))</f>
        <v>N/A</v>
      </c>
      <c r="AB257" s="104">
        <f>SUM(AB258:AB258)</f>
        <v>0</v>
      </c>
      <c r="AC257" s="1"/>
      <c r="AD257" s="1"/>
      <c r="AE257" s="1"/>
      <c r="AF257" s="1"/>
      <c r="AG257" s="1"/>
      <c r="AH257" s="1"/>
      <c r="AI257" s="1"/>
    </row>
    <row r="258" spans="1:35" ht="14.25" hidden="1" outlineLevel="1" x14ac:dyDescent="0.2">
      <c r="A258" s="1"/>
      <c r="B258" s="3"/>
      <c r="C258" s="3"/>
      <c r="D258" s="3"/>
      <c r="E258" s="3"/>
      <c r="F258" s="3"/>
      <c r="G258" s="105"/>
      <c r="H258" s="106"/>
      <c r="I258" s="89"/>
      <c r="J258" s="26"/>
      <c r="K258" s="106"/>
      <c r="L258" s="89"/>
      <c r="M258" s="27"/>
      <c r="N258" s="105"/>
      <c r="O258" s="106"/>
      <c r="P258" s="89"/>
      <c r="Q258" s="26"/>
      <c r="R258" s="106"/>
      <c r="S258" s="89"/>
      <c r="T258" s="27"/>
      <c r="U258" s="105"/>
      <c r="V258" s="106"/>
      <c r="W258" s="89"/>
      <c r="X258" s="26"/>
      <c r="Y258" s="106"/>
      <c r="Z258" s="89"/>
      <c r="AA258" s="27"/>
      <c r="AB258" s="107"/>
      <c r="AC258" s="1"/>
      <c r="AD258" s="1"/>
      <c r="AE258" s="1"/>
      <c r="AF258" s="1"/>
      <c r="AG258" s="1"/>
      <c r="AH258" s="1"/>
      <c r="AI258" s="1"/>
    </row>
    <row r="259" spans="1:35" ht="14.25" hidden="1" outlineLevel="1" x14ac:dyDescent="0.2">
      <c r="A259" s="1"/>
      <c r="B259" s="3"/>
      <c r="C259" s="3"/>
      <c r="D259" s="3"/>
      <c r="E259" s="3"/>
      <c r="F259" s="3"/>
      <c r="G259" s="105"/>
      <c r="H259" s="106"/>
      <c r="I259" s="89"/>
      <c r="J259" s="26"/>
      <c r="K259" s="106"/>
      <c r="L259" s="89"/>
      <c r="M259" s="27"/>
      <c r="N259" s="105"/>
      <c r="O259" s="106"/>
      <c r="P259" s="89"/>
      <c r="Q259" s="26"/>
      <c r="R259" s="106"/>
      <c r="S259" s="89"/>
      <c r="T259" s="27"/>
      <c r="U259" s="105"/>
      <c r="V259" s="106"/>
      <c r="W259" s="89"/>
      <c r="X259" s="26"/>
      <c r="Y259" s="106"/>
      <c r="Z259" s="89"/>
      <c r="AA259" s="27"/>
      <c r="AB259" s="107"/>
      <c r="AC259" s="1"/>
      <c r="AD259" s="1"/>
      <c r="AE259" s="1"/>
      <c r="AF259" s="1"/>
      <c r="AG259" s="1"/>
      <c r="AH259" s="1"/>
      <c r="AI259" s="1"/>
    </row>
    <row r="260" spans="1:35" ht="14.25" collapsed="1" x14ac:dyDescent="0.2">
      <c r="A260" s="1"/>
      <c r="B260" s="3" t="s">
        <v>66</v>
      </c>
      <c r="C260" s="3"/>
      <c r="D260" s="3"/>
      <c r="E260" s="3"/>
      <c r="F260" s="3"/>
      <c r="G260" s="102">
        <f>SUM(G261:G262)</f>
        <v>0</v>
      </c>
      <c r="H260" s="103">
        <f>SUM(H261:H262)</f>
        <v>0</v>
      </c>
      <c r="I260" s="89">
        <f>G260-H260</f>
        <v>0</v>
      </c>
      <c r="J260" s="26" t="str">
        <f>IF(ISERROR(I260/H260),"N/A",IF(ABS(I260/H260)&gt;5,"N/A",I260/H260))</f>
        <v>N/A</v>
      </c>
      <c r="K260" s="103">
        <f>SUM(K261:K262)</f>
        <v>0</v>
      </c>
      <c r="L260" s="89">
        <f>K260-G260</f>
        <v>0</v>
      </c>
      <c r="M260" s="27" t="str">
        <f>IF(ISERROR(L260/K260),"N/A",IF(ABS(L260/K260)&gt;5,"N/A",L260/K260))</f>
        <v>N/A</v>
      </c>
      <c r="N260" s="102">
        <f>SUM(N261:N262)</f>
        <v>0</v>
      </c>
      <c r="O260" s="103">
        <f>SUM(O261:O262)</f>
        <v>0</v>
      </c>
      <c r="P260" s="89">
        <f>N260-O260</f>
        <v>0</v>
      </c>
      <c r="Q260" s="26" t="str">
        <f>IF(ISERROR(P260/O260),"N/A",IF(ABS(P260/O260)&gt;5,"N/A",P260/O260))</f>
        <v>N/A</v>
      </c>
      <c r="R260" s="103">
        <f>SUM(R261:R262)</f>
        <v>0</v>
      </c>
      <c r="S260" s="89">
        <f>R260-N260</f>
        <v>0</v>
      </c>
      <c r="T260" s="27" t="str">
        <f>IF(ISERROR(S260/R260),"N/A",IF(ABS(S260/R260)&gt;5,"N/A",S260/R260))</f>
        <v>N/A</v>
      </c>
      <c r="U260" s="102">
        <f>SUM(U261:U262)</f>
        <v>0</v>
      </c>
      <c r="V260" s="103">
        <f>SUM(V261:V262)</f>
        <v>0</v>
      </c>
      <c r="W260" s="89">
        <f>U260-V260</f>
        <v>0</v>
      </c>
      <c r="X260" s="26" t="str">
        <f>IF(ISERROR(W260/V260),"N/A",IF(ABS(W260/V260)&gt;5,"N/A",W260/V260))</f>
        <v>N/A</v>
      </c>
      <c r="Y260" s="103">
        <f>SUM(Y261:Y262)</f>
        <v>0</v>
      </c>
      <c r="Z260" s="89">
        <f>Y260-U260</f>
        <v>0</v>
      </c>
      <c r="AA260" s="27" t="str">
        <f>IF(ISERROR(Z260/Y260),"N/A",IF(ABS(Z260/Y260)&gt;5,"N/A",Z260/Y260))</f>
        <v>N/A</v>
      </c>
      <c r="AB260" s="104">
        <f>SUM(AB261:AB262)</f>
        <v>0</v>
      </c>
      <c r="AC260" s="1"/>
      <c r="AD260" s="1"/>
      <c r="AE260" s="1"/>
      <c r="AF260" s="1"/>
      <c r="AG260" s="1"/>
      <c r="AH260" s="1"/>
      <c r="AI260" s="1"/>
    </row>
    <row r="261" spans="1:35" ht="14.25" hidden="1" outlineLevel="1" x14ac:dyDescent="0.2">
      <c r="A261" s="1"/>
      <c r="B261" s="3"/>
      <c r="C261" s="3"/>
      <c r="D261" s="3" t="s">
        <v>67</v>
      </c>
      <c r="E261" s="3" t="s">
        <v>84</v>
      </c>
      <c r="F261" s="3">
        <v>846</v>
      </c>
      <c r="G261" s="105">
        <f>0/1000*1</f>
        <v>0</v>
      </c>
      <c r="H261" s="106">
        <f>0/1000*1</f>
        <v>0</v>
      </c>
      <c r="I261" s="89">
        <f>G261-H261</f>
        <v>0</v>
      </c>
      <c r="J261" s="26" t="str">
        <f>IF(ISERROR(I261/H261),"N/A",IF(ABS(I261/H261)&gt;5,"N/A",I261/H261))</f>
        <v>N/A</v>
      </c>
      <c r="K261" s="106">
        <f>0/1000*1</f>
        <v>0</v>
      </c>
      <c r="L261" s="89">
        <f>K261-G261</f>
        <v>0</v>
      </c>
      <c r="M261" s="27" t="str">
        <f>IF(ISERROR(L261/K261),"N/A",IF(ABS(L261/K261)&gt;5,"N/A",L261/K261))</f>
        <v>N/A</v>
      </c>
      <c r="N261" s="105">
        <f>0/1000*1</f>
        <v>0</v>
      </c>
      <c r="O261" s="106">
        <f>0/1000*1</f>
        <v>0</v>
      </c>
      <c r="P261" s="89">
        <f>N261-O261</f>
        <v>0</v>
      </c>
      <c r="Q261" s="26" t="str">
        <f>IF(ISERROR(P261/O261),"N/A",IF(ABS(P261/O261)&gt;5,"N/A",P261/O261))</f>
        <v>N/A</v>
      </c>
      <c r="R261" s="106">
        <f>0/1000*1</f>
        <v>0</v>
      </c>
      <c r="S261" s="89">
        <f>R261-N261</f>
        <v>0</v>
      </c>
      <c r="T261" s="27" t="str">
        <f>IF(ISERROR(S261/R261),"N/A",IF(ABS(S261/R261)&gt;5,"N/A",S261/R261))</f>
        <v>N/A</v>
      </c>
      <c r="U261" s="105">
        <f>0/1000*1</f>
        <v>0</v>
      </c>
      <c r="V261" s="106">
        <f>0/1000*1</f>
        <v>0</v>
      </c>
      <c r="W261" s="89">
        <f>U261-V261</f>
        <v>0</v>
      </c>
      <c r="X261" s="26" t="str">
        <f>IF(ISERROR(W261/V261),"N/A",IF(ABS(W261/V261)&gt;5,"N/A",W261/V261))</f>
        <v>N/A</v>
      </c>
      <c r="Y261" s="106">
        <f>0/1000*1</f>
        <v>0</v>
      </c>
      <c r="Z261" s="89">
        <f>Y261-U261</f>
        <v>0</v>
      </c>
      <c r="AA261" s="27" t="str">
        <f>IF(ISERROR(Z261/Y261),"N/A",IF(ABS(Z261/Y261)&gt;5,"N/A",Z261/Y261))</f>
        <v>N/A</v>
      </c>
      <c r="AB261" s="107">
        <f>0/1000*1</f>
        <v>0</v>
      </c>
      <c r="AC261" s="1"/>
      <c r="AD261" s="1"/>
      <c r="AE261" s="1"/>
      <c r="AF261" s="1"/>
      <c r="AG261" s="1"/>
      <c r="AH261" s="1"/>
      <c r="AI261" s="1"/>
    </row>
    <row r="262" spans="1:35" ht="14.25" hidden="1" outlineLevel="1" x14ac:dyDescent="0.2">
      <c r="A262" s="1"/>
      <c r="B262" s="3"/>
      <c r="C262" s="3"/>
      <c r="D262" s="3"/>
      <c r="E262" s="3"/>
      <c r="F262" s="3"/>
      <c r="G262" s="105"/>
      <c r="H262" s="106"/>
      <c r="I262" s="89"/>
      <c r="J262" s="26"/>
      <c r="K262" s="106"/>
      <c r="L262" s="89"/>
      <c r="M262" s="27"/>
      <c r="N262" s="105"/>
      <c r="O262" s="106"/>
      <c r="P262" s="89"/>
      <c r="Q262" s="26"/>
      <c r="R262" s="106"/>
      <c r="S262" s="89"/>
      <c r="T262" s="27"/>
      <c r="U262" s="105"/>
      <c r="V262" s="106"/>
      <c r="W262" s="89"/>
      <c r="X262" s="26"/>
      <c r="Y262" s="106"/>
      <c r="Z262" s="89"/>
      <c r="AA262" s="27"/>
      <c r="AB262" s="107"/>
      <c r="AC262" s="1"/>
      <c r="AD262" s="1"/>
      <c r="AE262" s="1"/>
      <c r="AF262" s="1"/>
      <c r="AG262" s="1"/>
      <c r="AH262" s="1"/>
      <c r="AI262" s="1"/>
    </row>
    <row r="263" spans="1:35" ht="14.25" hidden="1" outlineLevel="1" x14ac:dyDescent="0.2">
      <c r="A263" s="1"/>
      <c r="B263" s="3"/>
      <c r="C263" s="3"/>
      <c r="D263" s="3"/>
      <c r="E263" s="3"/>
      <c r="F263" s="3"/>
      <c r="G263" s="105"/>
      <c r="H263" s="106"/>
      <c r="I263" s="89"/>
      <c r="J263" s="26"/>
      <c r="K263" s="106"/>
      <c r="L263" s="89"/>
      <c r="M263" s="27"/>
      <c r="N263" s="105"/>
      <c r="O263" s="106"/>
      <c r="P263" s="89"/>
      <c r="Q263" s="26"/>
      <c r="R263" s="106"/>
      <c r="S263" s="89"/>
      <c r="T263" s="27"/>
      <c r="U263" s="105"/>
      <c r="V263" s="106"/>
      <c r="W263" s="89"/>
      <c r="X263" s="26"/>
      <c r="Y263" s="106"/>
      <c r="Z263" s="89"/>
      <c r="AA263" s="27"/>
      <c r="AB263" s="107"/>
      <c r="AC263" s="1"/>
      <c r="AD263" s="1"/>
      <c r="AE263" s="1"/>
      <c r="AF263" s="1"/>
      <c r="AG263" s="1"/>
      <c r="AH263" s="1"/>
      <c r="AI263" s="1"/>
    </row>
    <row r="264" spans="1:35" ht="14.25" collapsed="1" x14ac:dyDescent="0.2">
      <c r="A264" s="1"/>
      <c r="B264" s="3" t="s">
        <v>70</v>
      </c>
      <c r="C264" s="3"/>
      <c r="D264" s="3"/>
      <c r="E264" s="3"/>
      <c r="F264" s="3"/>
      <c r="G264" s="102">
        <f>SUM(G265:G265)</f>
        <v>0</v>
      </c>
      <c r="H264" s="103">
        <f>SUM(H265:H265)</f>
        <v>0</v>
      </c>
      <c r="I264" s="89">
        <f>G264-H264</f>
        <v>0</v>
      </c>
      <c r="J264" s="26" t="str">
        <f>IF(ISERROR(I264/H264),"N/A",IF(ABS(I264/H264)&gt;5,"N/A",I264/H264))</f>
        <v>N/A</v>
      </c>
      <c r="K264" s="103">
        <f>SUM(K265:K265)</f>
        <v>0</v>
      </c>
      <c r="L264" s="89">
        <f>K264-G264</f>
        <v>0</v>
      </c>
      <c r="M264" s="27" t="str">
        <f>IF(ISERROR(L264/K264),"N/A",IF(ABS(L264/K264)&gt;5,"N/A",L264/K264))</f>
        <v>N/A</v>
      </c>
      <c r="N264" s="102">
        <f>SUM(N265:N265)</f>
        <v>0</v>
      </c>
      <c r="O264" s="103">
        <f>SUM(O265:O265)</f>
        <v>0</v>
      </c>
      <c r="P264" s="89">
        <f>N264-O264</f>
        <v>0</v>
      </c>
      <c r="Q264" s="26" t="str">
        <f>IF(ISERROR(P264/O264),"N/A",IF(ABS(P264/O264)&gt;5,"N/A",P264/O264))</f>
        <v>N/A</v>
      </c>
      <c r="R264" s="103">
        <f>SUM(R265:R265)</f>
        <v>0</v>
      </c>
      <c r="S264" s="89">
        <f>R264-N264</f>
        <v>0</v>
      </c>
      <c r="T264" s="27" t="str">
        <f>IF(ISERROR(S264/R264),"N/A",IF(ABS(S264/R264)&gt;5,"N/A",S264/R264))</f>
        <v>N/A</v>
      </c>
      <c r="U264" s="102">
        <f>SUM(U265:U265)</f>
        <v>0</v>
      </c>
      <c r="V264" s="108">
        <f>SUM(V265:V265)</f>
        <v>0</v>
      </c>
      <c r="W264" s="89">
        <f>U264-V264</f>
        <v>0</v>
      </c>
      <c r="X264" s="26" t="str">
        <f>IF(ISERROR(W264/V264),"N/A",IF(ABS(W264/V264)&gt;5,"N/A",W264/V264))</f>
        <v>N/A</v>
      </c>
      <c r="Y264" s="103">
        <f>SUM(Y265:Y265)</f>
        <v>0</v>
      </c>
      <c r="Z264" s="89">
        <f>Y264-U264</f>
        <v>0</v>
      </c>
      <c r="AA264" s="27" t="str">
        <f>IF(ISERROR(Z264/Y264),"N/A",IF(ABS(Z264/Y264)&gt;5,"N/A",Z264/Y264))</f>
        <v>N/A</v>
      </c>
      <c r="AB264" s="104">
        <f>SUM(AB265:AB265)</f>
        <v>0</v>
      </c>
      <c r="AC264" s="1"/>
      <c r="AD264" s="1"/>
      <c r="AE264" s="1"/>
      <c r="AF264" s="1"/>
      <c r="AG264" s="1"/>
      <c r="AH264" s="1"/>
      <c r="AI264" s="1"/>
    </row>
    <row r="265" spans="1:35" ht="14.25" hidden="1" outlineLevel="1" x14ac:dyDescent="0.2">
      <c r="A265" s="1"/>
      <c r="B265" s="3"/>
      <c r="C265" s="3"/>
      <c r="D265" s="3"/>
      <c r="E265" s="3"/>
      <c r="F265" s="3"/>
      <c r="G265" s="105"/>
      <c r="H265" s="106"/>
      <c r="I265" s="89"/>
      <c r="J265" s="26"/>
      <c r="K265" s="106"/>
      <c r="L265" s="89"/>
      <c r="M265" s="27"/>
      <c r="N265" s="105"/>
      <c r="O265" s="106"/>
      <c r="P265" s="89"/>
      <c r="Q265" s="26"/>
      <c r="R265" s="106"/>
      <c r="S265" s="89"/>
      <c r="T265" s="27"/>
      <c r="U265" s="105"/>
      <c r="V265" s="106"/>
      <c r="W265" s="89"/>
      <c r="X265" s="26"/>
      <c r="Y265" s="106"/>
      <c r="Z265" s="89"/>
      <c r="AA265" s="27"/>
      <c r="AB265" s="107"/>
      <c r="AC265" s="1"/>
      <c r="AD265" s="1"/>
      <c r="AE265" s="1"/>
      <c r="AF265" s="1"/>
      <c r="AG265" s="1"/>
      <c r="AH265" s="1"/>
      <c r="AI265" s="1"/>
    </row>
    <row r="266" spans="1:35" ht="14.25" hidden="1" outlineLevel="1" x14ac:dyDescent="0.2">
      <c r="A266" s="1"/>
      <c r="B266" s="3"/>
      <c r="C266" s="3"/>
      <c r="D266" s="3"/>
      <c r="E266" s="3"/>
      <c r="F266" s="3"/>
      <c r="G266" s="105"/>
      <c r="H266" s="106"/>
      <c r="I266" s="89"/>
      <c r="J266" s="26"/>
      <c r="K266" s="106"/>
      <c r="L266" s="89"/>
      <c r="M266" s="27"/>
      <c r="N266" s="105"/>
      <c r="O266" s="106"/>
      <c r="P266" s="89"/>
      <c r="Q266" s="26"/>
      <c r="R266" s="106"/>
      <c r="S266" s="89"/>
      <c r="T266" s="27"/>
      <c r="U266" s="105"/>
      <c r="V266" s="106"/>
      <c r="W266" s="89"/>
      <c r="X266" s="26"/>
      <c r="Y266" s="106"/>
      <c r="Z266" s="89"/>
      <c r="AA266" s="27"/>
      <c r="AB266" s="107"/>
      <c r="AC266" s="1"/>
      <c r="AD266" s="1"/>
      <c r="AE266" s="1"/>
      <c r="AF266" s="1"/>
      <c r="AG266" s="1"/>
      <c r="AH266" s="1"/>
      <c r="AI266" s="1"/>
    </row>
    <row r="267" spans="1:35" ht="14.25" collapsed="1" x14ac:dyDescent="0.2">
      <c r="A267" s="1"/>
      <c r="B267" s="3" t="s">
        <v>71</v>
      </c>
      <c r="C267" s="3"/>
      <c r="D267" s="3"/>
      <c r="E267" s="3"/>
      <c r="F267" s="3"/>
      <c r="G267" s="102">
        <f>SUM(G268:G276)</f>
        <v>5.6269500000000008</v>
      </c>
      <c r="H267" s="103">
        <f>SUM(H268:H276)</f>
        <v>1.6064799999999999</v>
      </c>
      <c r="I267" s="89">
        <f t="shared" ref="I267:I275" si="133">G267-H267</f>
        <v>4.0204700000000013</v>
      </c>
      <c r="J267" s="26">
        <f t="shared" ref="J267:J275" si="134">IF(ISERROR(I267/H267),"N/A",IF(ABS(I267/H267)&gt;5,"N/A",I267/H267))</f>
        <v>2.5026579851601025</v>
      </c>
      <c r="K267" s="103">
        <f>SUM(K268:K276)</f>
        <v>0</v>
      </c>
      <c r="L267" s="89">
        <f t="shared" ref="L267:L275" si="135">K267-G267</f>
        <v>-5.6269500000000008</v>
      </c>
      <c r="M267" s="27" t="str">
        <f t="shared" ref="M267:M275" si="136">IF(ISERROR(L267/K267),"N/A",IF(ABS(L267/K267)&gt;5,"N/A",L267/K267))</f>
        <v>N/A</v>
      </c>
      <c r="N267" s="102">
        <f>SUM(N268:N276)</f>
        <v>16.990650000000002</v>
      </c>
      <c r="O267" s="103">
        <f>SUM(O268:O276)</f>
        <v>3.4432700000000001</v>
      </c>
      <c r="P267" s="89">
        <f t="shared" ref="P267:P275" si="137">N267-O267</f>
        <v>13.547380000000002</v>
      </c>
      <c r="Q267" s="26">
        <f t="shared" ref="Q267:Q275" si="138">IF(ISERROR(P267/O267),"N/A",IF(ABS(P267/O267)&gt;5,"N/A",P267/O267))</f>
        <v>3.9344518437415603</v>
      </c>
      <c r="R267" s="103">
        <f>SUM(R268:R276)</f>
        <v>5.5535699999999997</v>
      </c>
      <c r="S267" s="89">
        <f t="shared" ref="S267:S275" si="139">R267-N267</f>
        <v>-11.437080000000002</v>
      </c>
      <c r="T267" s="27">
        <f t="shared" ref="T267:T275" si="140">IF(ISERROR(S267/R267),"N/A",IF(ABS(S267/R267)&gt;5,"N/A",S267/R267))</f>
        <v>-2.0594104332888579</v>
      </c>
      <c r="U267" s="102">
        <f>SUM(U268:U276)</f>
        <v>57.422340000000005</v>
      </c>
      <c r="V267" s="103">
        <f>SUM(V268:V276)</f>
        <v>10.638510000000331</v>
      </c>
      <c r="W267" s="89">
        <f t="shared" ref="W267:W275" si="141">U267-V267</f>
        <v>46.783829999999675</v>
      </c>
      <c r="X267" s="26">
        <f t="shared" ref="X267:X275" si="142">IF(ISERROR(W267/V267),"N/A",IF(ABS(W267/V267)&gt;5,"N/A",W267/V267))</f>
        <v>4.3975923320087329</v>
      </c>
      <c r="Y267" s="103">
        <f>SUM(Y268:Y276)</f>
        <v>45.985260000000004</v>
      </c>
      <c r="Z267" s="89">
        <f t="shared" ref="Z267:Z275" si="143">Y267-U267</f>
        <v>-11.437080000000002</v>
      </c>
      <c r="AA267" s="27">
        <f t="shared" ref="AA267:AA275" si="144">IF(ISERROR(Z267/Y267),"N/A",IF(ABS(Z267/Y267)&gt;5,"N/A",Z267/Y267))</f>
        <v>-0.24871186984699012</v>
      </c>
      <c r="AB267" s="104">
        <f>SUM(AB268:AB276)</f>
        <v>45.985260000000004</v>
      </c>
      <c r="AC267" s="1"/>
      <c r="AD267" s="1"/>
      <c r="AE267" s="1"/>
      <c r="AF267" s="1"/>
      <c r="AG267" s="1"/>
      <c r="AH267" s="1"/>
      <c r="AI267" s="1"/>
    </row>
    <row r="268" spans="1:35" ht="14.25" hidden="1" outlineLevel="1" x14ac:dyDescent="0.2">
      <c r="A268" s="1"/>
      <c r="B268" s="3"/>
      <c r="C268" s="3"/>
      <c r="D268" s="3" t="s">
        <v>67</v>
      </c>
      <c r="E268" s="3" t="s">
        <v>79</v>
      </c>
      <c r="F268" s="3">
        <v>100</v>
      </c>
      <c r="G268" s="105">
        <f>0/1000*1</f>
        <v>0</v>
      </c>
      <c r="H268" s="106">
        <f>0/1000*1</f>
        <v>0</v>
      </c>
      <c r="I268" s="89">
        <f t="shared" si="133"/>
        <v>0</v>
      </c>
      <c r="J268" s="26" t="str">
        <f t="shared" si="134"/>
        <v>N/A</v>
      </c>
      <c r="K268" s="106">
        <f t="shared" ref="K268:K275" si="145">0/1000*1</f>
        <v>0</v>
      </c>
      <c r="L268" s="89">
        <f t="shared" si="135"/>
        <v>0</v>
      </c>
      <c r="M268" s="27" t="str">
        <f t="shared" si="136"/>
        <v>N/A</v>
      </c>
      <c r="N268" s="105">
        <f>0/1000*1</f>
        <v>0</v>
      </c>
      <c r="O268" s="106">
        <f>33.96/1000*1</f>
        <v>3.3960000000000004E-2</v>
      </c>
      <c r="P268" s="89">
        <f t="shared" si="137"/>
        <v>-3.3960000000000004E-2</v>
      </c>
      <c r="Q268" s="26">
        <f t="shared" si="138"/>
        <v>-1</v>
      </c>
      <c r="R268" s="106">
        <f>0/1000*1</f>
        <v>0</v>
      </c>
      <c r="S268" s="89">
        <f t="shared" si="139"/>
        <v>0</v>
      </c>
      <c r="T268" s="27" t="str">
        <f t="shared" si="140"/>
        <v>N/A</v>
      </c>
      <c r="U268" s="105">
        <f>0/1000*1</f>
        <v>0</v>
      </c>
      <c r="V268" s="106">
        <f>-2312396.96/1000*1</f>
        <v>-2312.39696</v>
      </c>
      <c r="W268" s="89">
        <f t="shared" si="141"/>
        <v>2312.39696</v>
      </c>
      <c r="X268" s="26">
        <f t="shared" si="142"/>
        <v>-1</v>
      </c>
      <c r="Y268" s="106">
        <f>0/1000*1</f>
        <v>0</v>
      </c>
      <c r="Z268" s="89">
        <f t="shared" si="143"/>
        <v>0</v>
      </c>
      <c r="AA268" s="27" t="str">
        <f t="shared" si="144"/>
        <v>N/A</v>
      </c>
      <c r="AB268" s="107">
        <f>0/1000*1</f>
        <v>0</v>
      </c>
      <c r="AC268" s="1"/>
      <c r="AD268" s="1"/>
      <c r="AE268" s="1"/>
      <c r="AF268" s="1"/>
      <c r="AG268" s="1"/>
      <c r="AH268" s="1"/>
      <c r="AI268" s="1"/>
    </row>
    <row r="269" spans="1:35" ht="14.25" hidden="1" outlineLevel="1" x14ac:dyDescent="0.2">
      <c r="A269" s="1"/>
      <c r="B269" s="3"/>
      <c r="C269" s="3"/>
      <c r="D269" s="3" t="s">
        <v>67</v>
      </c>
      <c r="E269" s="3" t="s">
        <v>80</v>
      </c>
      <c r="F269" s="3">
        <v>100</v>
      </c>
      <c r="G269" s="105">
        <f>0/1000*1</f>
        <v>0</v>
      </c>
      <c r="H269" s="106">
        <f>0/1000*1</f>
        <v>0</v>
      </c>
      <c r="I269" s="89">
        <f t="shared" si="133"/>
        <v>0</v>
      </c>
      <c r="J269" s="26" t="str">
        <f t="shared" si="134"/>
        <v>N/A</v>
      </c>
      <c r="K269" s="106">
        <f t="shared" si="145"/>
        <v>0</v>
      </c>
      <c r="L269" s="89">
        <f t="shared" si="135"/>
        <v>0</v>
      </c>
      <c r="M269" s="27" t="str">
        <f t="shared" si="136"/>
        <v>N/A</v>
      </c>
      <c r="N269" s="105">
        <f>0/1000*1</f>
        <v>0</v>
      </c>
      <c r="O269" s="106">
        <f>0/1000*1</f>
        <v>0</v>
      </c>
      <c r="P269" s="89">
        <f t="shared" si="137"/>
        <v>0</v>
      </c>
      <c r="Q269" s="26" t="str">
        <f t="shared" si="138"/>
        <v>N/A</v>
      </c>
      <c r="R269" s="106">
        <f>0/1000*1</f>
        <v>0</v>
      </c>
      <c r="S269" s="89">
        <f t="shared" si="139"/>
        <v>0</v>
      </c>
      <c r="T269" s="27" t="str">
        <f t="shared" si="140"/>
        <v>N/A</v>
      </c>
      <c r="U269" s="105">
        <f>0/1000*1</f>
        <v>0</v>
      </c>
      <c r="V269" s="106">
        <f>-1713.14/1000*1</f>
        <v>-1.7131400000000001</v>
      </c>
      <c r="W269" s="89">
        <f t="shared" si="141"/>
        <v>1.7131400000000001</v>
      </c>
      <c r="X269" s="26">
        <f t="shared" si="142"/>
        <v>-1</v>
      </c>
      <c r="Y269" s="106">
        <f>0/1000*1</f>
        <v>0</v>
      </c>
      <c r="Z269" s="89">
        <f t="shared" si="143"/>
        <v>0</v>
      </c>
      <c r="AA269" s="27" t="str">
        <f t="shared" si="144"/>
        <v>N/A</v>
      </c>
      <c r="AB269" s="107">
        <f>0/1000*1</f>
        <v>0</v>
      </c>
      <c r="AC269" s="1"/>
      <c r="AD269" s="1"/>
      <c r="AE269" s="1"/>
      <c r="AF269" s="1"/>
      <c r="AG269" s="1"/>
      <c r="AH269" s="1"/>
      <c r="AI269" s="1"/>
    </row>
    <row r="270" spans="1:35" ht="14.25" hidden="1" outlineLevel="1" x14ac:dyDescent="0.2">
      <c r="A270" s="1"/>
      <c r="B270" s="3"/>
      <c r="C270" s="3"/>
      <c r="D270" s="3" t="s">
        <v>67</v>
      </c>
      <c r="E270" s="3" t="s">
        <v>87</v>
      </c>
      <c r="F270" s="3">
        <v>100</v>
      </c>
      <c r="G270" s="105">
        <f>0/1000*1</f>
        <v>0</v>
      </c>
      <c r="H270" s="106">
        <f>953.42/1000*1</f>
        <v>0.95341999999999993</v>
      </c>
      <c r="I270" s="89">
        <f t="shared" si="133"/>
        <v>-0.95341999999999993</v>
      </c>
      <c r="J270" s="26">
        <f t="shared" si="134"/>
        <v>-1</v>
      </c>
      <c r="K270" s="106">
        <f t="shared" si="145"/>
        <v>0</v>
      </c>
      <c r="L270" s="89">
        <f t="shared" si="135"/>
        <v>0</v>
      </c>
      <c r="M270" s="27" t="str">
        <f t="shared" si="136"/>
        <v>N/A</v>
      </c>
      <c r="N270" s="105">
        <f>0/1000*1</f>
        <v>0</v>
      </c>
      <c r="O270" s="106">
        <f>2680.32/1000*1</f>
        <v>2.68032</v>
      </c>
      <c r="P270" s="89">
        <f t="shared" si="137"/>
        <v>-2.68032</v>
      </c>
      <c r="Q270" s="26">
        <f t="shared" si="138"/>
        <v>-1</v>
      </c>
      <c r="R270" s="106">
        <f>0/1000*1</f>
        <v>0</v>
      </c>
      <c r="S270" s="89">
        <f t="shared" si="139"/>
        <v>0</v>
      </c>
      <c r="T270" s="27" t="str">
        <f t="shared" si="140"/>
        <v>N/A</v>
      </c>
      <c r="U270" s="105">
        <f>0/1000*1</f>
        <v>0</v>
      </c>
      <c r="V270" s="106">
        <f>4192.97/1000*1</f>
        <v>4.1929699999999999</v>
      </c>
      <c r="W270" s="89">
        <f t="shared" si="141"/>
        <v>-4.1929699999999999</v>
      </c>
      <c r="X270" s="26">
        <f t="shared" si="142"/>
        <v>-1</v>
      </c>
      <c r="Y270" s="106">
        <f>0/1000*1</f>
        <v>0</v>
      </c>
      <c r="Z270" s="89">
        <f t="shared" si="143"/>
        <v>0</v>
      </c>
      <c r="AA270" s="27" t="str">
        <f t="shared" si="144"/>
        <v>N/A</v>
      </c>
      <c r="AB270" s="107">
        <f>0/1000*1</f>
        <v>0</v>
      </c>
      <c r="AC270" s="1"/>
      <c r="AD270" s="1"/>
      <c r="AE270" s="1"/>
      <c r="AF270" s="1"/>
      <c r="AG270" s="1"/>
      <c r="AH270" s="1"/>
      <c r="AI270" s="1"/>
    </row>
    <row r="271" spans="1:35" ht="14.25" hidden="1" outlineLevel="1" x14ac:dyDescent="0.2">
      <c r="A271" s="1"/>
      <c r="B271" s="3"/>
      <c r="C271" s="3"/>
      <c r="D271" s="3" t="s">
        <v>67</v>
      </c>
      <c r="E271" s="3" t="s">
        <v>81</v>
      </c>
      <c r="F271" s="3">
        <v>100</v>
      </c>
      <c r="G271" s="105">
        <f>-16.65/1000*1</f>
        <v>-1.6649999999999998E-2</v>
      </c>
      <c r="H271" s="106">
        <f>0/1000*1</f>
        <v>0</v>
      </c>
      <c r="I271" s="89">
        <f t="shared" si="133"/>
        <v>-1.6649999999999998E-2</v>
      </c>
      <c r="J271" s="26" t="str">
        <f t="shared" si="134"/>
        <v>N/A</v>
      </c>
      <c r="K271" s="106">
        <f t="shared" si="145"/>
        <v>0</v>
      </c>
      <c r="L271" s="89">
        <f t="shared" si="135"/>
        <v>1.6649999999999998E-2</v>
      </c>
      <c r="M271" s="27" t="str">
        <f t="shared" si="136"/>
        <v>N/A</v>
      </c>
      <c r="N271" s="105">
        <f>-16.65/1000*1</f>
        <v>-1.6649999999999998E-2</v>
      </c>
      <c r="O271" s="106">
        <f>0/1000*1</f>
        <v>0</v>
      </c>
      <c r="P271" s="89">
        <f t="shared" si="137"/>
        <v>-1.6649999999999998E-2</v>
      </c>
      <c r="Q271" s="26" t="str">
        <f t="shared" si="138"/>
        <v>N/A</v>
      </c>
      <c r="R271" s="106">
        <f>0/1000*1</f>
        <v>0</v>
      </c>
      <c r="S271" s="89">
        <f t="shared" si="139"/>
        <v>1.6649999999999998E-2</v>
      </c>
      <c r="T271" s="27" t="str">
        <f t="shared" si="140"/>
        <v>N/A</v>
      </c>
      <c r="U271" s="105">
        <f>-16.65/1000*1</f>
        <v>-1.6649999999999998E-2</v>
      </c>
      <c r="V271" s="106">
        <f>0/1000*1</f>
        <v>0</v>
      </c>
      <c r="W271" s="89">
        <f t="shared" si="141"/>
        <v>-1.6649999999999998E-2</v>
      </c>
      <c r="X271" s="26" t="str">
        <f t="shared" si="142"/>
        <v>N/A</v>
      </c>
      <c r="Y271" s="106">
        <f>0/1000*1</f>
        <v>0</v>
      </c>
      <c r="Z271" s="89">
        <f t="shared" si="143"/>
        <v>1.6649999999999998E-2</v>
      </c>
      <c r="AA271" s="27" t="str">
        <f t="shared" si="144"/>
        <v>N/A</v>
      </c>
      <c r="AB271" s="107">
        <f>0/1000*1</f>
        <v>0</v>
      </c>
      <c r="AC271" s="1"/>
      <c r="AD271" s="1"/>
      <c r="AE271" s="1"/>
      <c r="AF271" s="1"/>
      <c r="AG271" s="1"/>
      <c r="AH271" s="1"/>
      <c r="AI271" s="1"/>
    </row>
    <row r="272" spans="1:35" ht="14.25" hidden="1" outlineLevel="1" x14ac:dyDescent="0.2">
      <c r="A272" s="1"/>
      <c r="B272" s="3"/>
      <c r="C272" s="3"/>
      <c r="D272" s="3" t="s">
        <v>67</v>
      </c>
      <c r="E272" s="3" t="s">
        <v>88</v>
      </c>
      <c r="F272" s="3"/>
      <c r="G272" s="105">
        <f>4109.64/1000*1</f>
        <v>4.1096400000000006</v>
      </c>
      <c r="H272" s="106">
        <f>0/1000*1</f>
        <v>0</v>
      </c>
      <c r="I272" s="89">
        <f t="shared" si="133"/>
        <v>4.1096400000000006</v>
      </c>
      <c r="J272" s="26" t="str">
        <f t="shared" si="134"/>
        <v>N/A</v>
      </c>
      <c r="K272" s="106">
        <f t="shared" si="145"/>
        <v>0</v>
      </c>
      <c r="L272" s="89">
        <f t="shared" si="135"/>
        <v>-4.1096400000000006</v>
      </c>
      <c r="M272" s="27" t="str">
        <f t="shared" si="136"/>
        <v>N/A</v>
      </c>
      <c r="N272" s="105">
        <f>15473.39/1000*1</f>
        <v>15.47339</v>
      </c>
      <c r="O272" s="106">
        <f>0/1000*1</f>
        <v>0</v>
      </c>
      <c r="P272" s="89">
        <f t="shared" si="137"/>
        <v>15.47339</v>
      </c>
      <c r="Q272" s="26" t="str">
        <f t="shared" si="138"/>
        <v>N/A</v>
      </c>
      <c r="R272" s="106">
        <f>5553.62/1000*1</f>
        <v>5.5536199999999996</v>
      </c>
      <c r="S272" s="89">
        <f t="shared" si="139"/>
        <v>-9.9197699999999998</v>
      </c>
      <c r="T272" s="27">
        <f t="shared" si="140"/>
        <v>-1.7861809054274511</v>
      </c>
      <c r="U272" s="105">
        <f>55905.07/1000*1</f>
        <v>55.905070000000002</v>
      </c>
      <c r="V272" s="106">
        <f>0/1000*1</f>
        <v>0</v>
      </c>
      <c r="W272" s="89">
        <f t="shared" si="141"/>
        <v>55.905070000000002</v>
      </c>
      <c r="X272" s="26" t="str">
        <f t="shared" si="142"/>
        <v>N/A</v>
      </c>
      <c r="Y272" s="106">
        <f>45985.3/1000*1</f>
        <v>45.985300000000002</v>
      </c>
      <c r="Z272" s="89">
        <f t="shared" si="143"/>
        <v>-9.9197699999999998</v>
      </c>
      <c r="AA272" s="27">
        <f t="shared" si="144"/>
        <v>-0.21571610927839982</v>
      </c>
      <c r="AB272" s="107">
        <f>45985.3/1000*1</f>
        <v>45.985300000000002</v>
      </c>
      <c r="AC272" s="1"/>
      <c r="AD272" s="1"/>
      <c r="AE272" s="1"/>
      <c r="AF272" s="1"/>
      <c r="AG272" s="1"/>
      <c r="AH272" s="1"/>
      <c r="AI272" s="1"/>
    </row>
    <row r="273" spans="1:35" ht="14.25" hidden="1" outlineLevel="1" x14ac:dyDescent="0.2">
      <c r="A273" s="1"/>
      <c r="B273" s="3"/>
      <c r="C273" s="3"/>
      <c r="D273" s="3" t="s">
        <v>67</v>
      </c>
      <c r="E273" s="3" t="s">
        <v>89</v>
      </c>
      <c r="F273" s="3">
        <v>100</v>
      </c>
      <c r="G273" s="105">
        <f>0/1000*1</f>
        <v>0</v>
      </c>
      <c r="H273" s="106">
        <f>0/1000*1</f>
        <v>0</v>
      </c>
      <c r="I273" s="89">
        <f t="shared" si="133"/>
        <v>0</v>
      </c>
      <c r="J273" s="26" t="str">
        <f t="shared" si="134"/>
        <v>N/A</v>
      </c>
      <c r="K273" s="106">
        <f t="shared" si="145"/>
        <v>0</v>
      </c>
      <c r="L273" s="89">
        <f t="shared" si="135"/>
        <v>0</v>
      </c>
      <c r="M273" s="27" t="str">
        <f t="shared" si="136"/>
        <v>N/A</v>
      </c>
      <c r="N273" s="105">
        <f>0/1000*1</f>
        <v>0</v>
      </c>
      <c r="O273" s="106">
        <f>75.91/1000*1</f>
        <v>7.5909999999999991E-2</v>
      </c>
      <c r="P273" s="89">
        <f t="shared" si="137"/>
        <v>-7.5909999999999991E-2</v>
      </c>
      <c r="Q273" s="26">
        <f t="shared" si="138"/>
        <v>-1</v>
      </c>
      <c r="R273" s="106">
        <f>0/1000*1</f>
        <v>0</v>
      </c>
      <c r="S273" s="89">
        <f t="shared" si="139"/>
        <v>0</v>
      </c>
      <c r="T273" s="27" t="str">
        <f t="shared" si="140"/>
        <v>N/A</v>
      </c>
      <c r="U273" s="105">
        <f>0/1000*1</f>
        <v>0</v>
      </c>
      <c r="V273" s="106">
        <f>134.22/1000*1</f>
        <v>0.13422000000000001</v>
      </c>
      <c r="W273" s="89">
        <f t="shared" si="141"/>
        <v>-0.13422000000000001</v>
      </c>
      <c r="X273" s="26">
        <f t="shared" si="142"/>
        <v>-1</v>
      </c>
      <c r="Y273" s="106">
        <f>0/1000*1</f>
        <v>0</v>
      </c>
      <c r="Z273" s="89">
        <f t="shared" si="143"/>
        <v>0</v>
      </c>
      <c r="AA273" s="27" t="str">
        <f t="shared" si="144"/>
        <v>N/A</v>
      </c>
      <c r="AB273" s="107">
        <f>0/1000*1</f>
        <v>0</v>
      </c>
      <c r="AC273" s="1"/>
      <c r="AD273" s="1"/>
      <c r="AE273" s="1"/>
      <c r="AF273" s="1"/>
      <c r="AG273" s="1"/>
      <c r="AH273" s="1"/>
      <c r="AI273" s="1"/>
    </row>
    <row r="274" spans="1:35" ht="14.25" hidden="1" outlineLevel="1" x14ac:dyDescent="0.2">
      <c r="A274" s="1"/>
      <c r="B274" s="3"/>
      <c r="C274" s="3"/>
      <c r="D274" s="3" t="s">
        <v>67</v>
      </c>
      <c r="E274" s="3" t="s">
        <v>83</v>
      </c>
      <c r="F274" s="3">
        <v>100</v>
      </c>
      <c r="G274" s="105">
        <f>1533.94/1000*1</f>
        <v>1.5339400000000001</v>
      </c>
      <c r="H274" s="106">
        <f>0/1000*1</f>
        <v>0</v>
      </c>
      <c r="I274" s="89">
        <f t="shared" si="133"/>
        <v>1.5339400000000001</v>
      </c>
      <c r="J274" s="26" t="str">
        <f t="shared" si="134"/>
        <v>N/A</v>
      </c>
      <c r="K274" s="106">
        <f t="shared" si="145"/>
        <v>0</v>
      </c>
      <c r="L274" s="89">
        <f t="shared" si="135"/>
        <v>-1.5339400000000001</v>
      </c>
      <c r="M274" s="27" t="str">
        <f t="shared" si="136"/>
        <v>N/A</v>
      </c>
      <c r="N274" s="105">
        <f>1533.94/1000*1</f>
        <v>1.5339400000000001</v>
      </c>
      <c r="O274" s="106">
        <f>0/1000*1</f>
        <v>0</v>
      </c>
      <c r="P274" s="89">
        <f t="shared" si="137"/>
        <v>1.5339400000000001</v>
      </c>
      <c r="Q274" s="26" t="str">
        <f t="shared" si="138"/>
        <v>N/A</v>
      </c>
      <c r="R274" s="106">
        <f>0/1000*1</f>
        <v>0</v>
      </c>
      <c r="S274" s="89">
        <f t="shared" si="139"/>
        <v>-1.5339400000000001</v>
      </c>
      <c r="T274" s="27" t="str">
        <f t="shared" si="140"/>
        <v>N/A</v>
      </c>
      <c r="U274" s="105">
        <f>1533.94/1000*1</f>
        <v>1.5339400000000001</v>
      </c>
      <c r="V274" s="106">
        <f>2319768.37/1000*1</f>
        <v>2319.7683700000002</v>
      </c>
      <c r="W274" s="89">
        <f t="shared" si="141"/>
        <v>-2318.2344300000004</v>
      </c>
      <c r="X274" s="26">
        <f t="shared" si="142"/>
        <v>-0.9993387529462695</v>
      </c>
      <c r="Y274" s="106">
        <f>0/1000*1</f>
        <v>0</v>
      </c>
      <c r="Z274" s="89">
        <f t="shared" si="143"/>
        <v>-1.5339400000000001</v>
      </c>
      <c r="AA274" s="27" t="str">
        <f t="shared" si="144"/>
        <v>N/A</v>
      </c>
      <c r="AB274" s="107">
        <f>0/1000*1</f>
        <v>0</v>
      </c>
      <c r="AC274" s="1"/>
      <c r="AD274" s="1"/>
      <c r="AE274" s="1"/>
      <c r="AF274" s="1"/>
      <c r="AG274" s="1"/>
      <c r="AH274" s="1"/>
      <c r="AI274" s="1"/>
    </row>
    <row r="275" spans="1:35" ht="14.25" hidden="1" outlineLevel="1" x14ac:dyDescent="0.2">
      <c r="A275" s="1"/>
      <c r="B275" s="3"/>
      <c r="C275" s="3"/>
      <c r="D275" s="3" t="s">
        <v>67</v>
      </c>
      <c r="E275" s="3" t="s">
        <v>90</v>
      </c>
      <c r="F275" s="3"/>
      <c r="G275" s="105">
        <f>0.02/1000*1</f>
        <v>2.0000000000000002E-5</v>
      </c>
      <c r="H275" s="106">
        <f>653.06/1000*1</f>
        <v>0.65305999999999997</v>
      </c>
      <c r="I275" s="89">
        <f t="shared" si="133"/>
        <v>-0.65303999999999995</v>
      </c>
      <c r="J275" s="26">
        <f t="shared" si="134"/>
        <v>-0.99996937494257798</v>
      </c>
      <c r="K275" s="106">
        <f t="shared" si="145"/>
        <v>0</v>
      </c>
      <c r="L275" s="89">
        <f t="shared" si="135"/>
        <v>-2.0000000000000002E-5</v>
      </c>
      <c r="M275" s="27" t="str">
        <f t="shared" si="136"/>
        <v>N/A</v>
      </c>
      <c r="N275" s="105">
        <f>-0.03/1000*1</f>
        <v>-2.9999999999999997E-5</v>
      </c>
      <c r="O275" s="106">
        <f>653.08/1000*1</f>
        <v>0.65307999999999999</v>
      </c>
      <c r="P275" s="89">
        <f t="shared" si="137"/>
        <v>-0.65310999999999997</v>
      </c>
      <c r="Q275" s="26">
        <f t="shared" si="138"/>
        <v>-1.0000459361793348</v>
      </c>
      <c r="R275" s="106">
        <f>-0.05/1000*1</f>
        <v>-5.0000000000000002E-5</v>
      </c>
      <c r="S275" s="89">
        <f t="shared" si="139"/>
        <v>-2.0000000000000005E-5</v>
      </c>
      <c r="T275" s="27">
        <f t="shared" si="140"/>
        <v>0.40000000000000008</v>
      </c>
      <c r="U275" s="105">
        <f>-0.02/1000*1</f>
        <v>-2.0000000000000002E-5</v>
      </c>
      <c r="V275" s="106">
        <f>653.05/1000*1</f>
        <v>0.65304999999999991</v>
      </c>
      <c r="W275" s="89">
        <f t="shared" si="141"/>
        <v>-0.65306999999999993</v>
      </c>
      <c r="X275" s="26">
        <f t="shared" si="142"/>
        <v>-1.0000306255263762</v>
      </c>
      <c r="Y275" s="106">
        <f>-0.04/1000*1</f>
        <v>-4.0000000000000003E-5</v>
      </c>
      <c r="Z275" s="89">
        <f t="shared" si="143"/>
        <v>-2.0000000000000002E-5</v>
      </c>
      <c r="AA275" s="27">
        <f t="shared" si="144"/>
        <v>0.5</v>
      </c>
      <c r="AB275" s="107">
        <f>-0.04/1000*1</f>
        <v>-4.0000000000000003E-5</v>
      </c>
      <c r="AC275" s="1"/>
      <c r="AD275" s="1"/>
      <c r="AE275" s="1"/>
      <c r="AF275" s="1"/>
      <c r="AG275" s="1"/>
      <c r="AH275" s="1"/>
      <c r="AI275" s="1"/>
    </row>
    <row r="276" spans="1:35" ht="14.25" hidden="1" outlineLevel="1" x14ac:dyDescent="0.2">
      <c r="A276" s="1"/>
      <c r="B276" s="3"/>
      <c r="C276" s="3"/>
      <c r="D276" s="3"/>
      <c r="E276" s="3"/>
      <c r="F276" s="3"/>
      <c r="G276" s="105"/>
      <c r="H276" s="106"/>
      <c r="I276" s="89"/>
      <c r="J276" s="26"/>
      <c r="K276" s="106"/>
      <c r="L276" s="89"/>
      <c r="M276" s="27"/>
      <c r="N276" s="105"/>
      <c r="O276" s="106"/>
      <c r="P276" s="89"/>
      <c r="Q276" s="26"/>
      <c r="R276" s="106"/>
      <c r="S276" s="89"/>
      <c r="T276" s="27"/>
      <c r="U276" s="105"/>
      <c r="V276" s="106"/>
      <c r="W276" s="89"/>
      <c r="X276" s="26"/>
      <c r="Y276" s="106"/>
      <c r="Z276" s="89"/>
      <c r="AA276" s="27"/>
      <c r="AB276" s="107"/>
      <c r="AC276" s="1"/>
      <c r="AD276" s="1"/>
      <c r="AE276" s="1"/>
      <c r="AF276" s="1"/>
      <c r="AG276" s="1"/>
      <c r="AH276" s="1"/>
      <c r="AI276" s="1"/>
    </row>
    <row r="277" spans="1:35" ht="14.25" hidden="1" outlineLevel="1" x14ac:dyDescent="0.2">
      <c r="A277" s="1"/>
      <c r="B277" s="3"/>
      <c r="C277" s="3"/>
      <c r="D277" s="3"/>
      <c r="E277" s="3"/>
      <c r="F277" s="3"/>
      <c r="G277" s="105"/>
      <c r="H277" s="106"/>
      <c r="I277" s="89"/>
      <c r="J277" s="26"/>
      <c r="K277" s="106"/>
      <c r="L277" s="89"/>
      <c r="M277" s="27"/>
      <c r="N277" s="105"/>
      <c r="O277" s="106"/>
      <c r="P277" s="89"/>
      <c r="Q277" s="26"/>
      <c r="R277" s="106"/>
      <c r="S277" s="89"/>
      <c r="T277" s="27"/>
      <c r="U277" s="105"/>
      <c r="V277" s="106"/>
      <c r="W277" s="89"/>
      <c r="X277" s="26"/>
      <c r="Y277" s="106"/>
      <c r="Z277" s="89"/>
      <c r="AA277" s="27"/>
      <c r="AB277" s="107"/>
      <c r="AC277" s="1"/>
      <c r="AD277" s="1"/>
      <c r="AE277" s="1"/>
      <c r="AF277" s="1"/>
      <c r="AG277" s="1"/>
      <c r="AH277" s="1"/>
      <c r="AI277" s="1"/>
    </row>
    <row r="278" spans="1:35" ht="14.25" collapsed="1" x14ac:dyDescent="0.2">
      <c r="A278" s="1"/>
      <c r="B278" s="3" t="s">
        <v>73</v>
      </c>
      <c r="C278" s="3"/>
      <c r="D278" s="3"/>
      <c r="E278" s="3"/>
      <c r="F278" s="3"/>
      <c r="G278" s="102">
        <f>SUM(G279:G283)</f>
        <v>6.6062499999999993</v>
      </c>
      <c r="H278" s="103">
        <f>SUM(H279:H283)</f>
        <v>50.134749999999997</v>
      </c>
      <c r="I278" s="89">
        <f>G278-H278</f>
        <v>-43.528499999999994</v>
      </c>
      <c r="J278" s="26">
        <f>IF(ISERROR(I278/H278),"N/A",IF(ABS(I278/H278)&gt;5,"N/A",I278/H278))</f>
        <v>-0.86823011982706599</v>
      </c>
      <c r="K278" s="103">
        <f>SUM(K279:K283)</f>
        <v>34.819000000000003</v>
      </c>
      <c r="L278" s="89">
        <f>K278-G278</f>
        <v>28.212750000000003</v>
      </c>
      <c r="M278" s="27">
        <f>IF(ISERROR(L278/K278),"N/A",IF(ABS(L278/K278)&gt;5,"N/A",L278/K278))</f>
        <v>0.81026881874838452</v>
      </c>
      <c r="N278" s="102">
        <f>SUM(N279:N283)</f>
        <v>5.9775999999999998</v>
      </c>
      <c r="O278" s="103">
        <f>SUM(O279:O283)</f>
        <v>50.134749999999997</v>
      </c>
      <c r="P278" s="89">
        <f>N278-O278</f>
        <v>-44.157149999999994</v>
      </c>
      <c r="Q278" s="26">
        <f>IF(ISERROR(P278/O278),"N/A",IF(ABS(P278/O278)&gt;5,"N/A",P278/O278))</f>
        <v>-0.8807693266646387</v>
      </c>
      <c r="R278" s="103">
        <f>SUM(R279:R283)</f>
        <v>34.190350000000002</v>
      </c>
      <c r="S278" s="89">
        <f>R278-N278</f>
        <v>28.212750000000003</v>
      </c>
      <c r="T278" s="27">
        <f>IF(ISERROR(S278/R278),"N/A",IF(ABS(S278/R278)&gt;5,"N/A",S278/R278))</f>
        <v>0.8251670427474419</v>
      </c>
      <c r="U278" s="102">
        <f>SUM(U279:U283)</f>
        <v>35.517009999999999</v>
      </c>
      <c r="V278" s="108">
        <f>SUM(V279:V283)</f>
        <v>95.932000000000002</v>
      </c>
      <c r="W278" s="89">
        <f>U278-V278</f>
        <v>-60.414990000000003</v>
      </c>
      <c r="X278" s="26">
        <f>IF(ISERROR(W278/V278),"N/A",IF(ABS(W278/V278)&gt;5,"N/A",W278/V278))</f>
        <v>-0.62976889880331899</v>
      </c>
      <c r="Y278" s="103">
        <f>SUM(Y279:Y283)</f>
        <v>63.729759999999999</v>
      </c>
      <c r="Z278" s="89">
        <f>Y278-U278</f>
        <v>28.21275</v>
      </c>
      <c r="AA278" s="27">
        <f>IF(ISERROR(Z278/Y278),"N/A",IF(ABS(Z278/Y278)&gt;5,"N/A",Z278/Y278))</f>
        <v>0.4426934920200547</v>
      </c>
      <c r="AB278" s="104">
        <f>SUM(AB279:AB283)</f>
        <v>153.53475999999998</v>
      </c>
      <c r="AC278" s="1"/>
      <c r="AD278" s="1"/>
      <c r="AE278" s="1"/>
      <c r="AF278" s="1"/>
      <c r="AG278" s="1"/>
      <c r="AH278" s="1"/>
      <c r="AI278" s="1"/>
    </row>
    <row r="279" spans="1:35" ht="14.25" hidden="1" outlineLevel="1" x14ac:dyDescent="0.2">
      <c r="A279" s="1"/>
      <c r="B279" s="3"/>
      <c r="C279" s="3"/>
      <c r="D279" s="3" t="s">
        <v>67</v>
      </c>
      <c r="E279" s="3" t="s">
        <v>79</v>
      </c>
      <c r="F279" s="3">
        <v>840</v>
      </c>
      <c r="G279" s="105">
        <f>1780.12/1000*1</f>
        <v>1.7801199999999999</v>
      </c>
      <c r="H279" s="106">
        <f>19070.29/1000*1</f>
        <v>19.07029</v>
      </c>
      <c r="I279" s="89">
        <f>G279-H279</f>
        <v>-17.29017</v>
      </c>
      <c r="J279" s="26">
        <f>IF(ISERROR(I279/H279),"N/A",IF(ABS(I279/H279)&gt;5,"N/A",I279/H279))</f>
        <v>-0.90665480178854119</v>
      </c>
      <c r="K279" s="106">
        <f>12335/1000*1</f>
        <v>12.335000000000001</v>
      </c>
      <c r="L279" s="89">
        <f>K279-G279</f>
        <v>10.554880000000001</v>
      </c>
      <c r="M279" s="27">
        <f>IF(ISERROR(L279/K279),"N/A",IF(ABS(L279/K279)&gt;5,"N/A",L279/K279))</f>
        <v>0.85568544791244427</v>
      </c>
      <c r="N279" s="105">
        <f>-554.08/1000*1</f>
        <v>-0.55408000000000002</v>
      </c>
      <c r="O279" s="106">
        <f>19070.29/1000*1</f>
        <v>19.07029</v>
      </c>
      <c r="P279" s="89">
        <f>N279-O279</f>
        <v>-19.624369999999999</v>
      </c>
      <c r="Q279" s="26">
        <f>IF(ISERROR(P279/O279),"N/A",IF(ABS(P279/O279)&gt;5,"N/A",P279/O279))</f>
        <v>-1.0290546184667353</v>
      </c>
      <c r="R279" s="106">
        <f>10000.8/1000*1</f>
        <v>10.0008</v>
      </c>
      <c r="S279" s="89">
        <f>R279-N279</f>
        <v>10.554880000000001</v>
      </c>
      <c r="T279" s="27">
        <f>IF(ISERROR(S279/R279),"N/A",IF(ABS(S279/R279)&gt;5,"N/A",S279/R279))</f>
        <v>1.055403567714583</v>
      </c>
      <c r="U279" s="105">
        <f>15718.64/1000*1</f>
        <v>15.718639999999999</v>
      </c>
      <c r="V279" s="106">
        <f>32511.57/1000*1</f>
        <v>32.511569999999999</v>
      </c>
      <c r="W279" s="89">
        <f>U279-V279</f>
        <v>-16.792929999999998</v>
      </c>
      <c r="X279" s="26">
        <f>IF(ISERROR(W279/V279),"N/A",IF(ABS(W279/V279)&gt;5,"N/A",W279/V279))</f>
        <v>-0.51652165675173478</v>
      </c>
      <c r="Y279" s="106">
        <f>26273.52/1000*1</f>
        <v>26.273520000000001</v>
      </c>
      <c r="Z279" s="89">
        <f>Y279-U279</f>
        <v>10.554880000000002</v>
      </c>
      <c r="AA279" s="27">
        <f>IF(ISERROR(Z279/Y279),"N/A",IF(ABS(Z279/Y279)&gt;5,"N/A",Z279/Y279))</f>
        <v>0.40173071594517984</v>
      </c>
      <c r="AB279" s="107">
        <f>57536.52/1000*1</f>
        <v>57.536519999999996</v>
      </c>
      <c r="AC279" s="1"/>
      <c r="AD279" s="1"/>
      <c r="AE279" s="1"/>
      <c r="AF279" s="1"/>
      <c r="AG279" s="1"/>
      <c r="AH279" s="1"/>
      <c r="AI279" s="1"/>
    </row>
    <row r="280" spans="1:35" ht="14.25" hidden="1" outlineLevel="1" x14ac:dyDescent="0.2">
      <c r="A280" s="1"/>
      <c r="B280" s="3"/>
      <c r="C280" s="3"/>
      <c r="D280" s="3" t="s">
        <v>67</v>
      </c>
      <c r="E280" s="3" t="s">
        <v>79</v>
      </c>
      <c r="F280" s="3">
        <v>930</v>
      </c>
      <c r="G280" s="105">
        <f>3177.24/1000*1</f>
        <v>3.1772399999999998</v>
      </c>
      <c r="H280" s="106">
        <f>19343.48/1000*1</f>
        <v>19.34348</v>
      </c>
      <c r="I280" s="89">
        <f>G280-H280</f>
        <v>-16.166239999999998</v>
      </c>
      <c r="J280" s="26">
        <f>IF(ISERROR(I280/H280),"N/A",IF(ABS(I280/H280)&gt;5,"N/A",I280/H280))</f>
        <v>-0.83574620492279561</v>
      </c>
      <c r="K280" s="106">
        <f>12785/1000*1</f>
        <v>12.785</v>
      </c>
      <c r="L280" s="89">
        <f>K280-G280</f>
        <v>9.6077600000000007</v>
      </c>
      <c r="M280" s="27">
        <f>IF(ISERROR(L280/K280),"N/A",IF(ABS(L280/K280)&gt;5,"N/A",L280/K280))</f>
        <v>0.7514868987094252</v>
      </c>
      <c r="N280" s="105">
        <f>3177.24/1000*1</f>
        <v>3.1772399999999998</v>
      </c>
      <c r="O280" s="106">
        <f>19343.48/1000*1</f>
        <v>19.34348</v>
      </c>
      <c r="P280" s="89">
        <f>N280-O280</f>
        <v>-16.166239999999998</v>
      </c>
      <c r="Q280" s="26">
        <f>IF(ISERROR(P280/O280),"N/A",IF(ABS(P280/O280)&gt;5,"N/A",P280/O280))</f>
        <v>-0.83574620492279561</v>
      </c>
      <c r="R280" s="106">
        <f>12785/1000*1</f>
        <v>12.785</v>
      </c>
      <c r="S280" s="89">
        <f>R280-N280</f>
        <v>9.6077600000000007</v>
      </c>
      <c r="T280" s="27">
        <f>IF(ISERROR(S280/R280),"N/A",IF(ABS(S280/R280)&gt;5,"N/A",S280/R280))</f>
        <v>0.7514868987094252</v>
      </c>
      <c r="U280" s="105">
        <f>16443.93/1000*1</f>
        <v>16.443930000000002</v>
      </c>
      <c r="V280" s="106">
        <f>33979.56/1000*1</f>
        <v>33.979559999999999</v>
      </c>
      <c r="W280" s="89">
        <f>U280-V280</f>
        <v>-17.535629999999998</v>
      </c>
      <c r="X280" s="26">
        <f>IF(ISERROR(W280/V280),"N/A",IF(ABS(W280/V280)&gt;5,"N/A",W280/V280))</f>
        <v>-0.51606406910507374</v>
      </c>
      <c r="Y280" s="106">
        <f>26051.69/1000*1</f>
        <v>26.051689999999997</v>
      </c>
      <c r="Z280" s="89">
        <f>Y280-U280</f>
        <v>9.6077599999999954</v>
      </c>
      <c r="AA280" s="27">
        <f>IF(ISERROR(Z280/Y280),"N/A",IF(ABS(Z280/Y280)&gt;5,"N/A",Z280/Y280))</f>
        <v>0.36879603588097343</v>
      </c>
      <c r="AB280" s="107">
        <f>58731.69/1000*1</f>
        <v>58.73169</v>
      </c>
      <c r="AC280" s="1"/>
      <c r="AD280" s="1"/>
      <c r="AE280" s="1"/>
      <c r="AF280" s="1"/>
      <c r="AG280" s="1"/>
      <c r="AH280" s="1"/>
      <c r="AI280" s="1"/>
    </row>
    <row r="281" spans="1:35" ht="14.25" hidden="1" outlineLevel="1" x14ac:dyDescent="0.2">
      <c r="A281" s="1"/>
      <c r="B281" s="3"/>
      <c r="C281" s="3"/>
      <c r="D281" s="3" t="s">
        <v>67</v>
      </c>
      <c r="E281" s="3" t="s">
        <v>84</v>
      </c>
      <c r="F281" s="3">
        <v>830</v>
      </c>
      <c r="G281" s="105">
        <f>0/1000*1</f>
        <v>0</v>
      </c>
      <c r="H281" s="106">
        <f>10078.41/1000*1</f>
        <v>10.07841</v>
      </c>
      <c r="I281" s="89">
        <f>G281-H281</f>
        <v>-10.07841</v>
      </c>
      <c r="J281" s="26">
        <f>IF(ISERROR(I281/H281),"N/A",IF(ABS(I281/H281)&gt;5,"N/A",I281/H281))</f>
        <v>-1</v>
      </c>
      <c r="K281" s="106">
        <f>8340/1000*1</f>
        <v>8.34</v>
      </c>
      <c r="L281" s="89">
        <f>K281-G281</f>
        <v>8.34</v>
      </c>
      <c r="M281" s="27">
        <f>IF(ISERROR(L281/K281),"N/A",IF(ABS(L281/K281)&gt;5,"N/A",L281/K281))</f>
        <v>1</v>
      </c>
      <c r="N281" s="105">
        <f>0/1000*1</f>
        <v>0</v>
      </c>
      <c r="O281" s="106">
        <f>10078.41/1000*1</f>
        <v>10.07841</v>
      </c>
      <c r="P281" s="89">
        <f>N281-O281</f>
        <v>-10.07841</v>
      </c>
      <c r="Q281" s="26">
        <f>IF(ISERROR(P281/O281),"N/A",IF(ABS(P281/O281)&gt;5,"N/A",P281/O281))</f>
        <v>-1</v>
      </c>
      <c r="R281" s="106">
        <f>8340/1000*1</f>
        <v>8.34</v>
      </c>
      <c r="S281" s="89">
        <f>R281-N281</f>
        <v>8.34</v>
      </c>
      <c r="T281" s="27">
        <f>IF(ISERROR(S281/R281),"N/A",IF(ABS(S281/R281)&gt;5,"N/A",S281/R281))</f>
        <v>1</v>
      </c>
      <c r="U281" s="105">
        <f>0/1000*1</f>
        <v>0</v>
      </c>
      <c r="V281" s="106">
        <f>26157.08/1000*1</f>
        <v>26.157080000000001</v>
      </c>
      <c r="W281" s="89">
        <f>U281-V281</f>
        <v>-26.157080000000001</v>
      </c>
      <c r="X281" s="26">
        <f>IF(ISERROR(W281/V281),"N/A",IF(ABS(W281/V281)&gt;5,"N/A",W281/V281))</f>
        <v>-1</v>
      </c>
      <c r="Y281" s="106">
        <f>8340/1000*1</f>
        <v>8.34</v>
      </c>
      <c r="Z281" s="89">
        <f>Y281-U281</f>
        <v>8.34</v>
      </c>
      <c r="AA281" s="27">
        <f>IF(ISERROR(Z281/Y281),"N/A",IF(ABS(Z281/Y281)&gt;5,"N/A",Z281/Y281))</f>
        <v>1</v>
      </c>
      <c r="AB281" s="107">
        <f>30578/1000*1</f>
        <v>30.577999999999999</v>
      </c>
      <c r="AC281" s="1"/>
      <c r="AD281" s="1"/>
      <c r="AE281" s="1"/>
      <c r="AF281" s="1"/>
      <c r="AG281" s="1"/>
      <c r="AH281" s="1"/>
      <c r="AI281" s="1"/>
    </row>
    <row r="282" spans="1:35" ht="14.25" hidden="1" outlineLevel="1" x14ac:dyDescent="0.2">
      <c r="A282" s="1"/>
      <c r="B282" s="3"/>
      <c r="C282" s="3"/>
      <c r="D282" s="3" t="s">
        <v>67</v>
      </c>
      <c r="E282" s="3" t="s">
        <v>84</v>
      </c>
      <c r="F282" s="3">
        <v>930</v>
      </c>
      <c r="G282" s="105">
        <f>1648.89/1000*1</f>
        <v>1.6488900000000002</v>
      </c>
      <c r="H282" s="106">
        <f>1642.57/1000*1</f>
        <v>1.6425699999999999</v>
      </c>
      <c r="I282" s="89">
        <f>G282-H282</f>
        <v>6.3200000000003254E-3</v>
      </c>
      <c r="J282" s="26">
        <f>IF(ISERROR(I282/H282),"N/A",IF(ABS(I282/H282)&gt;5,"N/A",I282/H282))</f>
        <v>3.8476290203768035E-3</v>
      </c>
      <c r="K282" s="106">
        <f>1359/1000*1</f>
        <v>1.359</v>
      </c>
      <c r="L282" s="89">
        <f>K282-G282</f>
        <v>-0.2898900000000002</v>
      </c>
      <c r="M282" s="27">
        <f>IF(ISERROR(L282/K282),"N/A",IF(ABS(L282/K282)&gt;5,"N/A",L282/K282))</f>
        <v>-0.21331125827814584</v>
      </c>
      <c r="N282" s="105">
        <f>3354.44/1000*1</f>
        <v>3.3544399999999999</v>
      </c>
      <c r="O282" s="106">
        <f>1642.57/1000*1</f>
        <v>1.6425699999999999</v>
      </c>
      <c r="P282" s="89">
        <f>N282-O282</f>
        <v>1.71187</v>
      </c>
      <c r="Q282" s="26">
        <f>IF(ISERROR(P282/O282),"N/A",IF(ABS(P282/O282)&gt;5,"N/A",P282/O282))</f>
        <v>1.0421899827709018</v>
      </c>
      <c r="R282" s="106">
        <f>3064.55/1000*1</f>
        <v>3.0645500000000001</v>
      </c>
      <c r="S282" s="89">
        <f>R282-N282</f>
        <v>-0.28988999999999976</v>
      </c>
      <c r="T282" s="27">
        <f>IF(ISERROR(S282/R282),"N/A",IF(ABS(S282/R282)&gt;5,"N/A",S282/R282))</f>
        <v>-9.4594638690835439E-2</v>
      </c>
      <c r="U282" s="105">
        <f>3354.44/1000*1</f>
        <v>3.3544399999999999</v>
      </c>
      <c r="V282" s="106">
        <f>3283.79/1000*1</f>
        <v>3.2837899999999998</v>
      </c>
      <c r="W282" s="89">
        <f>U282-V282</f>
        <v>7.0650000000000102E-2</v>
      </c>
      <c r="X282" s="26">
        <f>IF(ISERROR(W282/V282),"N/A",IF(ABS(W282/V282)&gt;5,"N/A",W282/V282))</f>
        <v>2.1514774087258961E-2</v>
      </c>
      <c r="Y282" s="106">
        <f>3064.55/1000*1</f>
        <v>3.0645500000000001</v>
      </c>
      <c r="Z282" s="89">
        <f>Y282-U282</f>
        <v>-0.28988999999999976</v>
      </c>
      <c r="AA282" s="27">
        <f>IF(ISERROR(Z282/Y282),"N/A",IF(ABS(Z282/Y282)&gt;5,"N/A",Z282/Y282))</f>
        <v>-9.4594638690835439E-2</v>
      </c>
      <c r="AB282" s="107">
        <f>6688.55/1000*1</f>
        <v>6.6885500000000002</v>
      </c>
      <c r="AC282" s="1"/>
      <c r="AD282" s="1"/>
      <c r="AE282" s="1"/>
      <c r="AF282" s="1"/>
      <c r="AG282" s="1"/>
      <c r="AH282" s="1"/>
      <c r="AI282" s="1"/>
    </row>
    <row r="283" spans="1:35" ht="14.25" hidden="1" outlineLevel="1" x14ac:dyDescent="0.2">
      <c r="A283" s="1"/>
      <c r="B283" s="3"/>
      <c r="C283" s="3"/>
      <c r="D283" s="3"/>
      <c r="E283" s="3"/>
      <c r="F283" s="3"/>
      <c r="G283" s="105"/>
      <c r="H283" s="106"/>
      <c r="I283" s="89"/>
      <c r="J283" s="26"/>
      <c r="K283" s="106"/>
      <c r="L283" s="89"/>
      <c r="M283" s="27"/>
      <c r="N283" s="105"/>
      <c r="O283" s="106"/>
      <c r="P283" s="89"/>
      <c r="Q283" s="26"/>
      <c r="R283" s="106"/>
      <c r="S283" s="89"/>
      <c r="T283" s="27"/>
      <c r="U283" s="105"/>
      <c r="V283" s="106"/>
      <c r="W283" s="89"/>
      <c r="X283" s="26"/>
      <c r="Y283" s="106"/>
      <c r="Z283" s="89"/>
      <c r="AA283" s="27"/>
      <c r="AB283" s="107"/>
      <c r="AC283" s="1"/>
      <c r="AD283" s="1"/>
      <c r="AE283" s="1"/>
      <c r="AF283" s="1"/>
      <c r="AG283" s="1"/>
      <c r="AH283" s="1"/>
      <c r="AI283" s="1"/>
    </row>
    <row r="284" spans="1:35" ht="14.25" hidden="1" outlineLevel="1" x14ac:dyDescent="0.2">
      <c r="A284" s="1"/>
      <c r="B284" s="3"/>
      <c r="C284" s="3"/>
      <c r="D284" s="3"/>
      <c r="E284" s="3"/>
      <c r="F284" s="3"/>
      <c r="G284" s="105"/>
      <c r="H284" s="106"/>
      <c r="I284" s="89"/>
      <c r="J284" s="26"/>
      <c r="K284" s="106"/>
      <c r="L284" s="89"/>
      <c r="M284" s="27"/>
      <c r="N284" s="105"/>
      <c r="O284" s="106"/>
      <c r="P284" s="89"/>
      <c r="Q284" s="26"/>
      <c r="R284" s="106"/>
      <c r="S284" s="89"/>
      <c r="T284" s="27"/>
      <c r="U284" s="105"/>
      <c r="V284" s="106"/>
      <c r="W284" s="89"/>
      <c r="X284" s="26"/>
      <c r="Y284" s="106"/>
      <c r="Z284" s="89"/>
      <c r="AA284" s="27"/>
      <c r="AB284" s="107"/>
      <c r="AC284" s="1"/>
      <c r="AD284" s="1"/>
      <c r="AE284" s="1"/>
      <c r="AF284" s="1"/>
      <c r="AG284" s="1"/>
      <c r="AH284" s="1"/>
      <c r="AI284" s="1"/>
    </row>
    <row r="285" spans="1:35" ht="14.25" hidden="1" outlineLevel="1" x14ac:dyDescent="0.2">
      <c r="A285" s="1"/>
      <c r="B285" s="3"/>
      <c r="C285" s="3"/>
      <c r="D285" s="3"/>
      <c r="E285" s="3"/>
      <c r="F285" s="3"/>
      <c r="G285" s="105"/>
      <c r="H285" s="106"/>
      <c r="I285" s="89"/>
      <c r="J285" s="26"/>
      <c r="K285" s="106"/>
      <c r="L285" s="89"/>
      <c r="M285" s="27"/>
      <c r="N285" s="105"/>
      <c r="O285" s="106"/>
      <c r="P285" s="89"/>
      <c r="Q285" s="26"/>
      <c r="R285" s="106"/>
      <c r="S285" s="89"/>
      <c r="T285" s="27"/>
      <c r="U285" s="105"/>
      <c r="V285" s="106"/>
      <c r="W285" s="89"/>
      <c r="X285" s="26"/>
      <c r="Y285" s="106"/>
      <c r="Z285" s="89"/>
      <c r="AA285" s="27"/>
      <c r="AB285" s="107"/>
      <c r="AC285" s="1"/>
      <c r="AD285" s="1"/>
      <c r="AE285" s="1"/>
      <c r="AF285" s="1"/>
      <c r="AG285" s="1"/>
      <c r="AH285" s="1"/>
      <c r="AI285" s="1"/>
    </row>
    <row r="286" spans="1:35" ht="14.25" collapsed="1" x14ac:dyDescent="0.2">
      <c r="A286" s="1"/>
      <c r="B286" s="3" t="s">
        <v>74</v>
      </c>
      <c r="C286" s="3"/>
      <c r="D286" s="3"/>
      <c r="E286" s="3"/>
      <c r="F286" s="3"/>
      <c r="G286" s="105">
        <f>346195.64/1000*1</f>
        <v>346.19564000000003</v>
      </c>
      <c r="H286" s="106">
        <f>-109849.54/1000*1</f>
        <v>-109.84953999999999</v>
      </c>
      <c r="I286" s="89">
        <f>G286-H286</f>
        <v>456.04518000000002</v>
      </c>
      <c r="J286" s="26">
        <f>IF(ISERROR(I286/H286),"N/A",IF(ABS(I286/H286)&gt;5,"N/A",I286/H286))</f>
        <v>-4.1515438298603717</v>
      </c>
      <c r="K286" s="106">
        <f>128722.941373/1000*1</f>
        <v>128.722941373</v>
      </c>
      <c r="L286" s="89">
        <f>K286-G286</f>
        <v>-217.47269862700003</v>
      </c>
      <c r="M286" s="27">
        <f>IF(ISERROR(L286/K286),"N/A",IF(ABS(L286/K286)&gt;5,"N/A",L286/K286))</f>
        <v>-1.6894634033946612</v>
      </c>
      <c r="N286" s="105">
        <f>346195.64/1000*1</f>
        <v>346.19564000000003</v>
      </c>
      <c r="O286" s="106">
        <f>-35803.69/1000*1</f>
        <v>-35.803690000000003</v>
      </c>
      <c r="P286" s="89">
        <f>N286-O286</f>
        <v>381.99933000000004</v>
      </c>
      <c r="Q286" s="26" t="str">
        <f>IF(ISERROR(P286/O286),"N/A",IF(ABS(P286/O286)&gt;5,"N/A",P286/O286))</f>
        <v>N/A</v>
      </c>
      <c r="R286" s="106">
        <f>128722.941373/1000*1</f>
        <v>128.722941373</v>
      </c>
      <c r="S286" s="89">
        <f>R286-N286</f>
        <v>-217.47269862700003</v>
      </c>
      <c r="T286" s="27">
        <f>IF(ISERROR(S286/R286),"N/A",IF(ABS(S286/R286)&gt;5,"N/A",S286/R286))</f>
        <v>-1.6894634033946612</v>
      </c>
      <c r="U286" s="105">
        <f>348975.71/1000*1</f>
        <v>348.97571000000005</v>
      </c>
      <c r="V286" s="106">
        <f>64163.45/1000*1</f>
        <v>64.163449999999997</v>
      </c>
      <c r="W286" s="89">
        <f>U286-V286</f>
        <v>284.81226000000004</v>
      </c>
      <c r="X286" s="26">
        <f>IF(ISERROR(W286/V286),"N/A",IF(ABS(W286/V286)&gt;5,"N/A",W286/V286))</f>
        <v>4.4388551426084488</v>
      </c>
      <c r="Y286" s="106">
        <f>131503.011373/1000*1</f>
        <v>131.50301137299999</v>
      </c>
      <c r="Z286" s="89">
        <f>Y286-U286</f>
        <v>-217.47269862700006</v>
      </c>
      <c r="AA286" s="27">
        <f>IF(ISERROR(Z286/Y286),"N/A",IF(ABS(Z286/Y286)&gt;5,"N/A",Z286/Y286))</f>
        <v>-1.6537469093399881</v>
      </c>
      <c r="AB286" s="107">
        <f>-186230.223136/1000*1</f>
        <v>-186.23022313599998</v>
      </c>
      <c r="AC286" s="1"/>
      <c r="AD286" s="1"/>
      <c r="AE286" s="1"/>
      <c r="AF286" s="1"/>
      <c r="AG286" s="1"/>
      <c r="AH286" s="1"/>
      <c r="AI286" s="1"/>
    </row>
    <row r="287" spans="1:35" ht="5.0999999999999996" customHeight="1" x14ac:dyDescent="0.2">
      <c r="A287" s="1"/>
      <c r="B287" s="3"/>
      <c r="C287" s="3"/>
      <c r="D287" s="3"/>
      <c r="E287" s="3"/>
      <c r="F287" s="3"/>
      <c r="G287" s="109"/>
      <c r="H287" s="110"/>
      <c r="I287" s="111"/>
      <c r="J287" s="38"/>
      <c r="K287" s="110"/>
      <c r="L287" s="111"/>
      <c r="M287" s="39"/>
      <c r="N287" s="109"/>
      <c r="O287" s="110"/>
      <c r="P287" s="111"/>
      <c r="Q287" s="38"/>
      <c r="R287" s="110"/>
      <c r="S287" s="111"/>
      <c r="T287" s="39"/>
      <c r="U287" s="109"/>
      <c r="V287" s="110"/>
      <c r="W287" s="111"/>
      <c r="X287" s="38"/>
      <c r="Y287" s="110"/>
      <c r="Z287" s="111"/>
      <c r="AA287" s="39"/>
      <c r="AB287" s="112"/>
      <c r="AC287" s="1"/>
      <c r="AD287" s="1"/>
      <c r="AE287" s="1"/>
      <c r="AF287" s="1"/>
      <c r="AG287" s="1"/>
      <c r="AH287" s="1"/>
      <c r="AI287" s="1"/>
    </row>
    <row r="288" spans="1:35" x14ac:dyDescent="0.25">
      <c r="A288" s="1"/>
      <c r="B288" s="2" t="s">
        <v>36</v>
      </c>
      <c r="C288" s="3"/>
      <c r="D288" s="3"/>
      <c r="E288" s="3"/>
      <c r="F288" s="3"/>
      <c r="G288" s="105">
        <f>SUM(G224,G233,G244,G247,G253,G257,G260,G264,G267,G278,G286)</f>
        <v>629.08172000000002</v>
      </c>
      <c r="H288" s="106">
        <f>SUM(H224,H233,H244,H247,H253,H257,H260,H264,H267,H278,H286)</f>
        <v>154.56617</v>
      </c>
      <c r="I288" s="89">
        <f>G288-H288</f>
        <v>474.51555000000002</v>
      </c>
      <c r="J288" s="26">
        <f>IF(ISERROR(I288/H288),"N/A",IF(ABS(I288/H288)&gt;5,"N/A",I288/H288))</f>
        <v>3.0699832311300721</v>
      </c>
      <c r="K288" s="106">
        <f>SUM(K224,K233,K244,K247,K253,K257,K260,K264,K267,K278,K286)</f>
        <v>447.08543009800007</v>
      </c>
      <c r="L288" s="89">
        <f>K288-G288</f>
        <v>-181.99628990199994</v>
      </c>
      <c r="M288" s="27">
        <f>IF(ISERROR(L288/K288),"N/A",IF(ABS(L288/K288)&gt;5,"N/A",L288/K288))</f>
        <v>-0.40707273744551858</v>
      </c>
      <c r="N288" s="105">
        <f>SUM(N224,N233,N244,N247,N253,N257,N260,N264,N267,N278,N286)</f>
        <v>1147.31801</v>
      </c>
      <c r="O288" s="106">
        <f>SUM(O224,O233,O244,O247,O253,O257,O260,O264,O267,O278,O286)</f>
        <v>786.96104000000014</v>
      </c>
      <c r="P288" s="89">
        <f>N288-O288</f>
        <v>360.35696999999982</v>
      </c>
      <c r="Q288" s="26">
        <f>IF(ISERROR(P288/O288),"N/A",IF(ABS(P288/O288)&gt;5,"N/A",P288/O288))</f>
        <v>0.45790954276465801</v>
      </c>
      <c r="R288" s="106">
        <f>SUM(R224,R233,R244,R247,R253,R257,R260,R264,R267,R278,R286)</f>
        <v>1035.6716588229999</v>
      </c>
      <c r="S288" s="89">
        <f>R288-N288</f>
        <v>-111.64635117700004</v>
      </c>
      <c r="T288" s="27">
        <f>IF(ISERROR(S288/R288),"N/A",IF(ABS(S288/R288)&gt;5,"N/A",S288/R288))</f>
        <v>-0.10780091376052689</v>
      </c>
      <c r="U288" s="105">
        <f>SUM(U224,U233,U244,U247,U253,U257,U260,U264,U267,U278,U286)</f>
        <v>2182.94508</v>
      </c>
      <c r="V288" s="106">
        <f>SUM(V224,V233,V244,V247,V253,V257,V260,V264,V267,V278,V286)</f>
        <v>1689.3968200000002</v>
      </c>
      <c r="W288" s="89">
        <f>U288-V288</f>
        <v>493.5482599999998</v>
      </c>
      <c r="X288" s="26">
        <f>IF(ISERROR(W288/V288),"N/A",IF(ABS(W288/V288)&gt;5,"N/A",W288/V288))</f>
        <v>0.29214466024625274</v>
      </c>
      <c r="Y288" s="106">
        <f>SUM(Y224,Y233,Y244,Y247,Y253,Y257,Y260,Y264,Y267,Y278,Y286)</f>
        <v>2071.2987288229997</v>
      </c>
      <c r="Z288" s="89">
        <f>Y288-U288</f>
        <v>-111.64635117700027</v>
      </c>
      <c r="AA288" s="27">
        <f>IF(ISERROR(Z288/Y288),"N/A",IF(ABS(Z288/Y288)&gt;5,"N/A",Z288/Y288))</f>
        <v>-5.3901617194755141E-2</v>
      </c>
      <c r="AB288" s="107">
        <f>SUM(AB224,AB233,AB244,AB247,AB253,AB257,AB260,AB264,AB267,AB278,AB286)</f>
        <v>3586.175931922</v>
      </c>
      <c r="AC288" s="1"/>
      <c r="AD288" s="1"/>
      <c r="AE288" s="1"/>
      <c r="AF288" s="1"/>
      <c r="AG288" s="1"/>
      <c r="AH288" s="1"/>
      <c r="AI288" s="1"/>
    </row>
    <row r="289" spans="1:35" ht="5.0999999999999996" customHeight="1" x14ac:dyDescent="0.2">
      <c r="A289" s="1"/>
      <c r="B289" s="3"/>
      <c r="C289" s="3"/>
      <c r="D289" s="3"/>
      <c r="E289" s="3"/>
      <c r="F289" s="3"/>
      <c r="G289" s="105"/>
      <c r="H289" s="106"/>
      <c r="I289" s="89"/>
      <c r="J289" s="26"/>
      <c r="K289" s="106"/>
      <c r="L289" s="89"/>
      <c r="M289" s="27"/>
      <c r="N289" s="105"/>
      <c r="O289" s="106"/>
      <c r="P289" s="89"/>
      <c r="Q289" s="26"/>
      <c r="R289" s="106"/>
      <c r="S289" s="89"/>
      <c r="T289" s="27"/>
      <c r="U289" s="105"/>
      <c r="V289" s="106"/>
      <c r="W289" s="89"/>
      <c r="X289" s="26"/>
      <c r="Y289" s="106"/>
      <c r="Z289" s="89"/>
      <c r="AA289" s="27"/>
      <c r="AB289" s="107"/>
      <c r="AC289" s="1"/>
      <c r="AD289" s="1"/>
      <c r="AE289" s="1"/>
      <c r="AF289" s="1"/>
      <c r="AG289" s="1"/>
      <c r="AH289" s="1"/>
      <c r="AI289" s="1"/>
    </row>
    <row r="290" spans="1:35" x14ac:dyDescent="0.25">
      <c r="A290" s="1"/>
      <c r="B290" s="3"/>
      <c r="C290" s="3"/>
      <c r="D290" s="3"/>
      <c r="E290" s="3"/>
      <c r="F290" s="3"/>
      <c r="G290" s="95"/>
      <c r="H290" s="45"/>
      <c r="I290" s="45"/>
      <c r="J290" s="45"/>
      <c r="K290" s="45"/>
      <c r="L290" s="45"/>
      <c r="M290" s="46"/>
      <c r="N290" s="95"/>
      <c r="O290" s="45"/>
      <c r="P290" s="45"/>
      <c r="Q290" s="45"/>
      <c r="R290" s="45"/>
      <c r="S290" s="45"/>
      <c r="T290" s="46"/>
      <c r="U290" s="95"/>
      <c r="V290" s="45"/>
      <c r="W290" s="45"/>
      <c r="X290" s="45"/>
      <c r="Y290" s="45"/>
      <c r="Z290" s="45"/>
      <c r="AA290" s="46"/>
      <c r="AB290" s="96"/>
      <c r="AC290" s="1"/>
      <c r="AD290" s="1"/>
      <c r="AE290" s="1"/>
      <c r="AF290" s="1"/>
      <c r="AG290" s="1"/>
      <c r="AH290" s="1"/>
      <c r="AI290" s="1"/>
    </row>
    <row r="291" spans="1:35" ht="14.25" x14ac:dyDescent="0.2">
      <c r="A291" s="1"/>
      <c r="B291" s="3" t="s">
        <v>49</v>
      </c>
      <c r="C291" s="3"/>
      <c r="D291" s="3"/>
      <c r="E291" s="3"/>
      <c r="F291" s="3"/>
      <c r="G291" s="102">
        <f>SUM(G292:G301)</f>
        <v>102.88596</v>
      </c>
      <c r="H291" s="103">
        <f>SUM(H292:H301)</f>
        <v>92.526870000000002</v>
      </c>
      <c r="I291" s="89">
        <f t="shared" ref="I291:I300" si="146">G291-H291</f>
        <v>10.359089999999995</v>
      </c>
      <c r="J291" s="26">
        <f t="shared" ref="J291:J300" si="147">IF(ISERROR(I291/H291),"N/A",IF(ABS(I291/H291)&gt;5,"N/A",I291/H291))</f>
        <v>0.11195763998068879</v>
      </c>
      <c r="K291" s="103">
        <f>SUM(K292:K301)</f>
        <v>47.216077324999986</v>
      </c>
      <c r="L291" s="89">
        <f t="shared" ref="L291:L300" si="148">K291-G291</f>
        <v>-55.669882675000011</v>
      </c>
      <c r="M291" s="27">
        <f t="shared" ref="M291:M300" si="149">IF(ISERROR(L291/K291),"N/A",IF(ABS(L291/K291)&gt;5,"N/A",L291/K291))</f>
        <v>-1.1790450589914614</v>
      </c>
      <c r="N291" s="102">
        <f>SUM(N292:N301)</f>
        <v>354.98070000000001</v>
      </c>
      <c r="O291" s="103">
        <f>SUM(O292:O301)</f>
        <v>207.63348999999999</v>
      </c>
      <c r="P291" s="89">
        <f t="shared" ref="P291:P300" si="150">N291-O291</f>
        <v>147.34721000000002</v>
      </c>
      <c r="Q291" s="26">
        <f t="shared" ref="Q291:Q300" si="151">IF(ISERROR(P291/O291),"N/A",IF(ABS(P291/O291)&gt;5,"N/A",P291/O291))</f>
        <v>0.70965050002290109</v>
      </c>
      <c r="R291" s="103">
        <f>SUM(R292:R301)</f>
        <v>226.364344649</v>
      </c>
      <c r="S291" s="89">
        <f t="shared" ref="S291:S300" si="152">R291-N291</f>
        <v>-128.61635535100001</v>
      </c>
      <c r="T291" s="27">
        <f t="shared" ref="T291:T300" si="153">IF(ISERROR(S291/R291),"N/A",IF(ABS(S291/R291)&gt;5,"N/A",S291/R291))</f>
        <v>-0.56818292452564567</v>
      </c>
      <c r="U291" s="102">
        <f>SUM(U292:U301)</f>
        <v>450.66114999999996</v>
      </c>
      <c r="V291" s="103">
        <f>SUM(V292:V301)</f>
        <v>391.46174999999999</v>
      </c>
      <c r="W291" s="89">
        <f t="shared" ref="W291:W300" si="154">U291-V291</f>
        <v>59.199399999999969</v>
      </c>
      <c r="X291" s="26">
        <f t="shared" ref="X291:X300" si="155">IF(ISERROR(W291/V291),"N/A",IF(ABS(W291/V291)&gt;5,"N/A",W291/V291))</f>
        <v>0.15122652468600054</v>
      </c>
      <c r="Y291" s="103">
        <f>SUM(Y292:Y301)</f>
        <v>322.0447946490001</v>
      </c>
      <c r="Z291" s="89">
        <f t="shared" ref="Z291:Z300" si="156">Y291-U291</f>
        <v>-128.61635535099987</v>
      </c>
      <c r="AA291" s="27">
        <f t="shared" ref="AA291:AA300" si="157">IF(ISERROR(Z291/Y291),"N/A",IF(ABS(Z291/Y291)&gt;5,"N/A",Z291/Y291))</f>
        <v>-0.3993741165454332</v>
      </c>
      <c r="AB291" s="104">
        <f>SUM(AB292:AB301)</f>
        <v>749.73793542800001</v>
      </c>
      <c r="AC291" s="1"/>
      <c r="AD291" s="1"/>
      <c r="AE291" s="1"/>
      <c r="AF291" s="1"/>
      <c r="AG291" s="1"/>
      <c r="AH291" s="1"/>
      <c r="AI291" s="1"/>
    </row>
    <row r="292" spans="1:35" ht="14.25" hidden="1" outlineLevel="1" x14ac:dyDescent="0.2">
      <c r="A292" s="1"/>
      <c r="B292" s="3"/>
      <c r="C292" s="3"/>
      <c r="D292" s="3" t="s">
        <v>50</v>
      </c>
      <c r="E292" s="3" t="s">
        <v>91</v>
      </c>
      <c r="F292" s="3">
        <v>930</v>
      </c>
      <c r="G292" s="24">
        <f>67785.01/1000*1</f>
        <v>67.78501</v>
      </c>
      <c r="H292" s="25">
        <f>70725.66/1000*1</f>
        <v>70.725660000000005</v>
      </c>
      <c r="I292" s="99">
        <f t="shared" si="146"/>
        <v>-2.9406500000000051</v>
      </c>
      <c r="J292" s="26">
        <f t="shared" si="147"/>
        <v>-4.1578261694553365E-2</v>
      </c>
      <c r="K292" s="25">
        <f>28985.269243/1000*1</f>
        <v>28.985269242999998</v>
      </c>
      <c r="L292" s="99">
        <f t="shared" si="148"/>
        <v>-38.799740757000002</v>
      </c>
      <c r="M292" s="27">
        <f t="shared" si="149"/>
        <v>-1.3386020475338596</v>
      </c>
      <c r="N292" s="24">
        <f>281857.62/1000*1</f>
        <v>281.85762</v>
      </c>
      <c r="O292" s="25">
        <f>164076.32/1000*1</f>
        <v>164.07632000000001</v>
      </c>
      <c r="P292" s="99">
        <f t="shared" si="150"/>
        <v>117.78129999999999</v>
      </c>
      <c r="Q292" s="26">
        <f t="shared" si="151"/>
        <v>0.71784459817236257</v>
      </c>
      <c r="R292" s="25">
        <f>167454.898486/1000*1</f>
        <v>167.45489848599999</v>
      </c>
      <c r="S292" s="99">
        <f t="shared" si="152"/>
        <v>-114.40272151400001</v>
      </c>
      <c r="T292" s="27">
        <f t="shared" si="153"/>
        <v>-0.68318527883234548</v>
      </c>
      <c r="U292" s="24">
        <f>355874.55/1000*1</f>
        <v>355.87455</v>
      </c>
      <c r="V292" s="25">
        <f>295394.51/1000*1</f>
        <v>295.39451000000003</v>
      </c>
      <c r="W292" s="99">
        <f t="shared" si="154"/>
        <v>60.480039999999974</v>
      </c>
      <c r="X292" s="26">
        <f t="shared" si="155"/>
        <v>0.204743277050071</v>
      </c>
      <c r="Y292" s="25">
        <f>241471.828486/1000*1</f>
        <v>241.47182848600002</v>
      </c>
      <c r="Z292" s="99">
        <f t="shared" si="156"/>
        <v>-114.40272151399998</v>
      </c>
      <c r="AA292" s="27">
        <f t="shared" si="157"/>
        <v>-0.47377253997408969</v>
      </c>
      <c r="AB292" s="28">
        <f>470490.238423/1000*1</f>
        <v>470.49023842299999</v>
      </c>
      <c r="AC292" s="1"/>
      <c r="AD292" s="1"/>
      <c r="AE292" s="1"/>
      <c r="AF292" s="1"/>
      <c r="AG292" s="1"/>
      <c r="AH292" s="1"/>
      <c r="AI292" s="1"/>
    </row>
    <row r="293" spans="1:35" ht="14.25" hidden="1" outlineLevel="1" x14ac:dyDescent="0.2">
      <c r="A293" s="1"/>
      <c r="B293" s="3"/>
      <c r="C293" s="3"/>
      <c r="D293" s="3" t="s">
        <v>50</v>
      </c>
      <c r="E293" s="3" t="s">
        <v>91</v>
      </c>
      <c r="F293" s="3">
        <v>931</v>
      </c>
      <c r="G293" s="24">
        <f>0/1000*1</f>
        <v>0</v>
      </c>
      <c r="H293" s="25">
        <f>0/1000*1</f>
        <v>0</v>
      </c>
      <c r="I293" s="99">
        <f t="shared" si="146"/>
        <v>0</v>
      </c>
      <c r="J293" s="26" t="str">
        <f t="shared" si="147"/>
        <v>N/A</v>
      </c>
      <c r="K293" s="25">
        <f>0/1000*1</f>
        <v>0</v>
      </c>
      <c r="L293" s="99">
        <f t="shared" si="148"/>
        <v>0</v>
      </c>
      <c r="M293" s="27" t="str">
        <f t="shared" si="149"/>
        <v>N/A</v>
      </c>
      <c r="N293" s="24">
        <f>-418.96/1000*1</f>
        <v>-0.41896</v>
      </c>
      <c r="O293" s="25">
        <f>0/1000*1</f>
        <v>0</v>
      </c>
      <c r="P293" s="99">
        <f t="shared" si="150"/>
        <v>-0.41896</v>
      </c>
      <c r="Q293" s="26" t="str">
        <f t="shared" si="151"/>
        <v>N/A</v>
      </c>
      <c r="R293" s="25">
        <f>-418.96/1000*1</f>
        <v>-0.41896</v>
      </c>
      <c r="S293" s="99">
        <f t="shared" si="152"/>
        <v>0</v>
      </c>
      <c r="T293" s="27">
        <f t="shared" si="153"/>
        <v>0</v>
      </c>
      <c r="U293" s="24">
        <f>6987.22/1000*1</f>
        <v>6.9872200000000007</v>
      </c>
      <c r="V293" s="25">
        <f>0/1000*1</f>
        <v>0</v>
      </c>
      <c r="W293" s="99">
        <f t="shared" si="154"/>
        <v>6.9872200000000007</v>
      </c>
      <c r="X293" s="26" t="str">
        <f t="shared" si="155"/>
        <v>N/A</v>
      </c>
      <c r="Y293" s="25">
        <f>6987.22/1000*1</f>
        <v>6.9872200000000007</v>
      </c>
      <c r="Z293" s="99">
        <f t="shared" si="156"/>
        <v>0</v>
      </c>
      <c r="AA293" s="27">
        <f t="shared" si="157"/>
        <v>0</v>
      </c>
      <c r="AB293" s="28">
        <f>6987.22/1000*1</f>
        <v>6.9872200000000007</v>
      </c>
      <c r="AC293" s="1"/>
      <c r="AD293" s="1"/>
      <c r="AE293" s="1"/>
      <c r="AF293" s="1"/>
      <c r="AG293" s="1"/>
      <c r="AH293" s="1"/>
      <c r="AI293" s="1"/>
    </row>
    <row r="294" spans="1:35" ht="14.25" hidden="1" outlineLevel="1" x14ac:dyDescent="0.2">
      <c r="A294" s="1"/>
      <c r="B294" s="3"/>
      <c r="C294" s="3"/>
      <c r="D294" s="3" t="s">
        <v>50</v>
      </c>
      <c r="E294" s="3" t="s">
        <v>92</v>
      </c>
      <c r="F294" s="3">
        <v>930</v>
      </c>
      <c r="G294" s="24">
        <f>11095.63/1000*1</f>
        <v>11.09563</v>
      </c>
      <c r="H294" s="25">
        <f>4833.79/1000*1</f>
        <v>4.8337899999999996</v>
      </c>
      <c r="I294" s="99">
        <f t="shared" si="146"/>
        <v>6.2618400000000003</v>
      </c>
      <c r="J294" s="26">
        <f t="shared" si="147"/>
        <v>1.2954307075814218</v>
      </c>
      <c r="K294" s="25">
        <f>5461.542056/1000*1</f>
        <v>5.4615420559999999</v>
      </c>
      <c r="L294" s="99">
        <f t="shared" si="148"/>
        <v>-5.634087944</v>
      </c>
      <c r="M294" s="27">
        <f t="shared" si="149"/>
        <v>-1.0315928882778524</v>
      </c>
      <c r="N294" s="24">
        <f>46195.06/1000*1</f>
        <v>46.195059999999998</v>
      </c>
      <c r="O294" s="25">
        <f>8225.06/1000*1</f>
        <v>8.2250599999999991</v>
      </c>
      <c r="P294" s="99">
        <f t="shared" si="150"/>
        <v>37.97</v>
      </c>
      <c r="Q294" s="26">
        <f t="shared" si="151"/>
        <v>4.61637969814202</v>
      </c>
      <c r="R294" s="25">
        <f>32439.794112/1000*1</f>
        <v>32.439794112000001</v>
      </c>
      <c r="S294" s="99">
        <f t="shared" si="152"/>
        <v>-13.755265887999997</v>
      </c>
      <c r="T294" s="27">
        <f t="shared" si="153"/>
        <v>-0.42402445097244629</v>
      </c>
      <c r="U294" s="24">
        <f>71649.47/1000*1</f>
        <v>71.649470000000008</v>
      </c>
      <c r="V294" s="25">
        <f>16557.89/1000*1</f>
        <v>16.55789</v>
      </c>
      <c r="W294" s="99">
        <f t="shared" si="154"/>
        <v>55.091580000000008</v>
      </c>
      <c r="X294" s="26">
        <f t="shared" si="155"/>
        <v>3.327210169894836</v>
      </c>
      <c r="Y294" s="25">
        <f>57894.204112/1000*1</f>
        <v>57.894204111999997</v>
      </c>
      <c r="Z294" s="99">
        <f t="shared" si="156"/>
        <v>-13.755265888000011</v>
      </c>
      <c r="AA294" s="27">
        <f t="shared" si="157"/>
        <v>-0.23759314250852434</v>
      </c>
      <c r="AB294" s="28">
        <f>96124.968263/1000*1</f>
        <v>96.124968263</v>
      </c>
      <c r="AC294" s="1"/>
      <c r="AD294" s="1"/>
      <c r="AE294" s="1"/>
      <c r="AF294" s="1"/>
      <c r="AG294" s="1"/>
      <c r="AH294" s="1"/>
      <c r="AI294" s="1"/>
    </row>
    <row r="295" spans="1:35" ht="14.25" hidden="1" outlineLevel="1" x14ac:dyDescent="0.2">
      <c r="A295" s="1"/>
      <c r="B295" s="3"/>
      <c r="C295" s="3"/>
      <c r="D295" s="3" t="s">
        <v>50</v>
      </c>
      <c r="E295" s="3" t="s">
        <v>93</v>
      </c>
      <c r="F295" s="3">
        <v>930</v>
      </c>
      <c r="G295" s="24">
        <f>0/1000*1</f>
        <v>0</v>
      </c>
      <c r="H295" s="25">
        <f>10198.74/1000*1</f>
        <v>10.198739999999999</v>
      </c>
      <c r="I295" s="99">
        <f t="shared" si="146"/>
        <v>-10.198739999999999</v>
      </c>
      <c r="J295" s="26">
        <f t="shared" si="147"/>
        <v>-1</v>
      </c>
      <c r="K295" s="25">
        <f>2692.307693/1000*1</f>
        <v>2.6923076930000001</v>
      </c>
      <c r="L295" s="99">
        <f t="shared" si="148"/>
        <v>2.6923076930000001</v>
      </c>
      <c r="M295" s="27">
        <f t="shared" si="149"/>
        <v>1</v>
      </c>
      <c r="N295" s="24">
        <f>1205.28/1000*1</f>
        <v>1.2052799999999999</v>
      </c>
      <c r="O295" s="25">
        <f>17392.1/1000*1</f>
        <v>17.392099999999999</v>
      </c>
      <c r="P295" s="99">
        <f t="shared" si="150"/>
        <v>-16.186820000000001</v>
      </c>
      <c r="Q295" s="26">
        <f t="shared" si="151"/>
        <v>-0.93069957049464991</v>
      </c>
      <c r="R295" s="25">
        <f>6589.895385/1000*1</f>
        <v>6.5898953850000002</v>
      </c>
      <c r="S295" s="99">
        <f t="shared" si="152"/>
        <v>5.384615385</v>
      </c>
      <c r="T295" s="27">
        <f t="shared" si="153"/>
        <v>0.81710180062289406</v>
      </c>
      <c r="U295" s="24">
        <f>7156.23/1000*1</f>
        <v>7.1562299999999999</v>
      </c>
      <c r="V295" s="25">
        <f>17531.97/1000*1</f>
        <v>17.531970000000001</v>
      </c>
      <c r="W295" s="99">
        <f t="shared" si="154"/>
        <v>-10.37574</v>
      </c>
      <c r="X295" s="26">
        <f t="shared" si="155"/>
        <v>-0.59181826115376646</v>
      </c>
      <c r="Y295" s="25">
        <f>12540.845385/1000*1</f>
        <v>12.540845385000001</v>
      </c>
      <c r="Z295" s="99">
        <f t="shared" si="156"/>
        <v>5.3846153850000009</v>
      </c>
      <c r="AA295" s="27">
        <f t="shared" si="157"/>
        <v>0.42936622051337098</v>
      </c>
      <c r="AB295" s="28">
        <f>31386.999231/1000*1</f>
        <v>31.386999231000001</v>
      </c>
      <c r="AC295" s="1"/>
      <c r="AD295" s="1"/>
      <c r="AE295" s="1"/>
      <c r="AF295" s="1"/>
      <c r="AG295" s="1"/>
      <c r="AH295" s="1"/>
      <c r="AI295" s="1"/>
    </row>
    <row r="296" spans="1:35" ht="14.25" hidden="1" outlineLevel="1" x14ac:dyDescent="0.2">
      <c r="A296" s="1"/>
      <c r="B296" s="3"/>
      <c r="C296" s="3"/>
      <c r="D296" s="3" t="s">
        <v>50</v>
      </c>
      <c r="E296" s="3" t="s">
        <v>94</v>
      </c>
      <c r="F296" s="3">
        <v>930</v>
      </c>
      <c r="G296" s="24">
        <f>0/1000*1</f>
        <v>0</v>
      </c>
      <c r="H296" s="25">
        <f>0/1000*1</f>
        <v>0</v>
      </c>
      <c r="I296" s="99">
        <f t="shared" si="146"/>
        <v>0</v>
      </c>
      <c r="J296" s="26" t="str">
        <f t="shared" si="147"/>
        <v>N/A</v>
      </c>
      <c r="K296" s="25">
        <f>769.42/1000*1</f>
        <v>0.76941999999999999</v>
      </c>
      <c r="L296" s="99">
        <f t="shared" si="148"/>
        <v>0.76941999999999999</v>
      </c>
      <c r="M296" s="27">
        <f t="shared" si="149"/>
        <v>1</v>
      </c>
      <c r="N296" s="24">
        <f>0/1000*1</f>
        <v>0</v>
      </c>
      <c r="O296" s="25">
        <f>0/1000*1</f>
        <v>0</v>
      </c>
      <c r="P296" s="99">
        <f t="shared" si="150"/>
        <v>0</v>
      </c>
      <c r="Q296" s="26" t="str">
        <f t="shared" si="151"/>
        <v>N/A</v>
      </c>
      <c r="R296" s="25">
        <f>1538.84/1000*1</f>
        <v>1.53884</v>
      </c>
      <c r="S296" s="99">
        <f t="shared" si="152"/>
        <v>1.53884</v>
      </c>
      <c r="T296" s="27">
        <f t="shared" si="153"/>
        <v>1</v>
      </c>
      <c r="U296" s="24">
        <f>0/1000*1</f>
        <v>0</v>
      </c>
      <c r="V296" s="25">
        <f>0/1000*1</f>
        <v>0</v>
      </c>
      <c r="W296" s="99">
        <f t="shared" si="154"/>
        <v>0</v>
      </c>
      <c r="X296" s="26" t="str">
        <f t="shared" si="155"/>
        <v>N/A</v>
      </c>
      <c r="Y296" s="25">
        <f>1538.84/1000*1</f>
        <v>1.53884</v>
      </c>
      <c r="Z296" s="99">
        <f t="shared" si="156"/>
        <v>1.53884</v>
      </c>
      <c r="AA296" s="27">
        <f t="shared" si="157"/>
        <v>1</v>
      </c>
      <c r="AB296" s="28">
        <f>6923.45/1000*1</f>
        <v>6.9234499999999999</v>
      </c>
      <c r="AC296" s="1"/>
      <c r="AD296" s="1"/>
      <c r="AE296" s="1"/>
      <c r="AF296" s="1"/>
      <c r="AG296" s="1"/>
      <c r="AH296" s="1"/>
      <c r="AI296" s="1"/>
    </row>
    <row r="297" spans="1:35" ht="14.25" hidden="1" outlineLevel="1" x14ac:dyDescent="0.2">
      <c r="A297" s="1"/>
      <c r="B297" s="3"/>
      <c r="C297" s="3"/>
      <c r="D297" s="3" t="s">
        <v>50</v>
      </c>
      <c r="E297" s="3" t="s">
        <v>95</v>
      </c>
      <c r="F297" s="3">
        <v>930</v>
      </c>
      <c r="G297" s="24">
        <f>0/1000*1</f>
        <v>0</v>
      </c>
      <c r="H297" s="25">
        <f>2160.15/1000*1</f>
        <v>2.1601500000000002</v>
      </c>
      <c r="I297" s="99">
        <f t="shared" si="146"/>
        <v>-2.1601500000000002</v>
      </c>
      <c r="J297" s="26">
        <f t="shared" si="147"/>
        <v>-1</v>
      </c>
      <c r="K297" s="25">
        <f>0/1000*1</f>
        <v>0</v>
      </c>
      <c r="L297" s="99">
        <f t="shared" si="148"/>
        <v>0</v>
      </c>
      <c r="M297" s="27" t="str">
        <f t="shared" si="149"/>
        <v>N/A</v>
      </c>
      <c r="N297" s="24">
        <f>0/1000*1</f>
        <v>0</v>
      </c>
      <c r="O297" s="25">
        <f>6643.67/1000*1</f>
        <v>6.6436700000000002</v>
      </c>
      <c r="P297" s="99">
        <f t="shared" si="150"/>
        <v>-6.6436700000000002</v>
      </c>
      <c r="Q297" s="26">
        <f t="shared" si="151"/>
        <v>-1</v>
      </c>
      <c r="R297" s="25">
        <f>0/1000*1</f>
        <v>0</v>
      </c>
      <c r="S297" s="99">
        <f t="shared" si="152"/>
        <v>0</v>
      </c>
      <c r="T297" s="27" t="str">
        <f t="shared" si="153"/>
        <v>N/A</v>
      </c>
      <c r="U297" s="24">
        <f>676.99/1000*1</f>
        <v>0.67698999999999998</v>
      </c>
      <c r="V297" s="25">
        <f>18002.69/1000*1</f>
        <v>18.002689999999998</v>
      </c>
      <c r="W297" s="99">
        <f t="shared" si="154"/>
        <v>-17.325699999999998</v>
      </c>
      <c r="X297" s="26">
        <f t="shared" si="155"/>
        <v>-0.96239506429316957</v>
      </c>
      <c r="Y297" s="25">
        <f>676.99/1000*1</f>
        <v>0.67698999999999998</v>
      </c>
      <c r="Z297" s="99">
        <f t="shared" si="156"/>
        <v>0</v>
      </c>
      <c r="AA297" s="27">
        <f t="shared" si="157"/>
        <v>0</v>
      </c>
      <c r="AB297" s="28">
        <f>676.99/1000*1</f>
        <v>0.67698999999999998</v>
      </c>
      <c r="AC297" s="1"/>
      <c r="AD297" s="1"/>
      <c r="AE297" s="1"/>
      <c r="AF297" s="1"/>
      <c r="AG297" s="1"/>
      <c r="AH297" s="1"/>
      <c r="AI297" s="1"/>
    </row>
    <row r="298" spans="1:35" ht="14.25" hidden="1" outlineLevel="1" x14ac:dyDescent="0.2">
      <c r="A298" s="1"/>
      <c r="B298" s="3"/>
      <c r="C298" s="3"/>
      <c r="D298" s="3" t="s">
        <v>50</v>
      </c>
      <c r="E298" s="3" t="s">
        <v>96</v>
      </c>
      <c r="F298" s="3">
        <v>930</v>
      </c>
      <c r="G298" s="24">
        <f>23826.48/1000*1</f>
        <v>23.82648</v>
      </c>
      <c r="H298" s="25">
        <f>3482.18/1000*1</f>
        <v>3.4821800000000001</v>
      </c>
      <c r="I298" s="99">
        <f t="shared" si="146"/>
        <v>20.3443</v>
      </c>
      <c r="J298" s="26" t="str">
        <f t="shared" si="147"/>
        <v>N/A</v>
      </c>
      <c r="K298" s="25">
        <f>5461.538333/1000*1</f>
        <v>5.461538333</v>
      </c>
      <c r="L298" s="99">
        <f t="shared" si="148"/>
        <v>-18.364941667</v>
      </c>
      <c r="M298" s="27">
        <f t="shared" si="149"/>
        <v>-3.3625950322520604</v>
      </c>
      <c r="N298" s="24">
        <f>23826.48/1000*1</f>
        <v>23.82648</v>
      </c>
      <c r="O298" s="25">
        <f>3596.77/1000*1</f>
        <v>3.5967699999999998</v>
      </c>
      <c r="P298" s="99">
        <f t="shared" si="150"/>
        <v>20.229710000000001</v>
      </c>
      <c r="Q298" s="26" t="str">
        <f t="shared" si="151"/>
        <v>N/A</v>
      </c>
      <c r="R298" s="25">
        <f>10923.076666/1000*1</f>
        <v>10.923076666</v>
      </c>
      <c r="S298" s="99">
        <f t="shared" si="152"/>
        <v>-12.903403334</v>
      </c>
      <c r="T298" s="27">
        <f t="shared" si="153"/>
        <v>-1.1812975161260302</v>
      </c>
      <c r="U298" s="24">
        <f>30933.43/1000*1</f>
        <v>30.933430000000001</v>
      </c>
      <c r="V298" s="25">
        <f>9185.74/1000*1</f>
        <v>9.1857399999999991</v>
      </c>
      <c r="W298" s="99">
        <f t="shared" si="154"/>
        <v>21.747690000000002</v>
      </c>
      <c r="X298" s="26">
        <f t="shared" si="155"/>
        <v>2.3675490488518078</v>
      </c>
      <c r="Y298" s="25">
        <f>18030.026666/1000*1</f>
        <v>18.030026666000001</v>
      </c>
      <c r="Z298" s="99">
        <f t="shared" si="156"/>
        <v>-12.903403334</v>
      </c>
      <c r="AA298" s="27">
        <f t="shared" si="157"/>
        <v>-0.71566191071322727</v>
      </c>
      <c r="AB298" s="28">
        <f>56260.793618/1000*1</f>
        <v>56.260793618000001</v>
      </c>
      <c r="AC298" s="1"/>
      <c r="AD298" s="1"/>
      <c r="AE298" s="1"/>
      <c r="AF298" s="1"/>
      <c r="AG298" s="1"/>
      <c r="AH298" s="1"/>
      <c r="AI298" s="1"/>
    </row>
    <row r="299" spans="1:35" ht="14.25" hidden="1" outlineLevel="1" x14ac:dyDescent="0.2">
      <c r="A299" s="1"/>
      <c r="B299" s="3"/>
      <c r="C299" s="3"/>
      <c r="D299" s="3" t="s">
        <v>50</v>
      </c>
      <c r="E299" s="3" t="s">
        <v>97</v>
      </c>
      <c r="F299" s="3">
        <v>930</v>
      </c>
      <c r="G299" s="24">
        <f>178.84/1000*1</f>
        <v>0.17884</v>
      </c>
      <c r="H299" s="25">
        <f>1126.35/1000*1</f>
        <v>1.12635</v>
      </c>
      <c r="I299" s="99">
        <f t="shared" si="146"/>
        <v>-0.94750999999999996</v>
      </c>
      <c r="J299" s="26">
        <f t="shared" si="147"/>
        <v>-0.84122164513694675</v>
      </c>
      <c r="K299" s="25">
        <f>2500/1000*1</f>
        <v>2.5</v>
      </c>
      <c r="L299" s="99">
        <f t="shared" si="148"/>
        <v>2.3211599999999999</v>
      </c>
      <c r="M299" s="27">
        <f t="shared" si="149"/>
        <v>0.92846399999999996</v>
      </c>
      <c r="N299" s="24">
        <f>2315.22/1000*1</f>
        <v>2.3152199999999996</v>
      </c>
      <c r="O299" s="25">
        <f>7699.57/1000*1</f>
        <v>7.6995699999999996</v>
      </c>
      <c r="P299" s="99">
        <f t="shared" si="150"/>
        <v>-5.3843499999999995</v>
      </c>
      <c r="Q299" s="26">
        <f t="shared" si="151"/>
        <v>-0.69930528587960106</v>
      </c>
      <c r="R299" s="25">
        <f>5144.8/1000*1</f>
        <v>5.1448</v>
      </c>
      <c r="S299" s="99">
        <f t="shared" si="152"/>
        <v>2.8295800000000004</v>
      </c>
      <c r="T299" s="27">
        <f t="shared" si="153"/>
        <v>0.5499883377390764</v>
      </c>
      <c r="U299" s="24">
        <f>-22616.74/1000*1</f>
        <v>-22.61674</v>
      </c>
      <c r="V299" s="25">
        <f>34788.95/1000*1</f>
        <v>34.78895</v>
      </c>
      <c r="W299" s="99">
        <f t="shared" si="154"/>
        <v>-57.40569</v>
      </c>
      <c r="X299" s="26">
        <f t="shared" si="155"/>
        <v>-1.6501127513190252</v>
      </c>
      <c r="Y299" s="25">
        <f>-19787.16/1000*1</f>
        <v>-19.78716</v>
      </c>
      <c r="Z299" s="99">
        <f t="shared" si="156"/>
        <v>2.82958</v>
      </c>
      <c r="AA299" s="27">
        <f t="shared" si="157"/>
        <v>-0.14300081466971512</v>
      </c>
      <c r="AB299" s="28">
        <f>68560.275893/1000*1</f>
        <v>68.560275892999996</v>
      </c>
      <c r="AC299" s="1"/>
      <c r="AD299" s="1"/>
      <c r="AE299" s="1"/>
      <c r="AF299" s="1"/>
      <c r="AG299" s="1"/>
      <c r="AH299" s="1"/>
      <c r="AI299" s="1"/>
    </row>
    <row r="300" spans="1:35" ht="14.25" hidden="1" outlineLevel="1" x14ac:dyDescent="0.2">
      <c r="A300" s="1"/>
      <c r="B300" s="3"/>
      <c r="C300" s="3"/>
      <c r="D300" s="3" t="s">
        <v>50</v>
      </c>
      <c r="E300" s="3" t="s">
        <v>98</v>
      </c>
      <c r="F300" s="3">
        <v>930</v>
      </c>
      <c r="G300" s="24">
        <f>0/1000*1</f>
        <v>0</v>
      </c>
      <c r="H300" s="25">
        <f>0/1000*1</f>
        <v>0</v>
      </c>
      <c r="I300" s="99">
        <f t="shared" si="146"/>
        <v>0</v>
      </c>
      <c r="J300" s="26" t="str">
        <f t="shared" si="147"/>
        <v>N/A</v>
      </c>
      <c r="K300" s="25">
        <f>1346/1000*1</f>
        <v>1.3460000000000001</v>
      </c>
      <c r="L300" s="99">
        <f t="shared" si="148"/>
        <v>1.3460000000000001</v>
      </c>
      <c r="M300" s="27">
        <f t="shared" si="149"/>
        <v>1</v>
      </c>
      <c r="N300" s="24">
        <f>0/1000*1</f>
        <v>0</v>
      </c>
      <c r="O300" s="25">
        <f>0/1000*1</f>
        <v>0</v>
      </c>
      <c r="P300" s="99">
        <f t="shared" si="150"/>
        <v>0</v>
      </c>
      <c r="Q300" s="26" t="str">
        <f t="shared" si="151"/>
        <v>N/A</v>
      </c>
      <c r="R300" s="25">
        <f>2692/1000*1</f>
        <v>2.6920000000000002</v>
      </c>
      <c r="S300" s="99">
        <f t="shared" si="152"/>
        <v>2.6920000000000002</v>
      </c>
      <c r="T300" s="27">
        <f t="shared" si="153"/>
        <v>1</v>
      </c>
      <c r="U300" s="24">
        <f>0/1000*1</f>
        <v>0</v>
      </c>
      <c r="V300" s="25">
        <f>0/1000*1</f>
        <v>0</v>
      </c>
      <c r="W300" s="99">
        <f t="shared" si="154"/>
        <v>0</v>
      </c>
      <c r="X300" s="26" t="str">
        <f t="shared" si="155"/>
        <v>N/A</v>
      </c>
      <c r="Y300" s="25">
        <f>2692/1000*1</f>
        <v>2.6920000000000002</v>
      </c>
      <c r="Z300" s="99">
        <f t="shared" si="156"/>
        <v>2.6920000000000002</v>
      </c>
      <c r="AA300" s="27">
        <f t="shared" si="157"/>
        <v>1</v>
      </c>
      <c r="AB300" s="28">
        <f>12327/1000*1</f>
        <v>12.327</v>
      </c>
      <c r="AC300" s="1"/>
      <c r="AD300" s="1"/>
      <c r="AE300" s="1"/>
      <c r="AF300" s="1"/>
      <c r="AG300" s="1"/>
      <c r="AH300" s="1"/>
      <c r="AI300" s="1"/>
    </row>
    <row r="301" spans="1:35" ht="14.25" hidden="1" outlineLevel="1" x14ac:dyDescent="0.2">
      <c r="A301" s="1"/>
      <c r="B301" s="3"/>
      <c r="C301" s="3"/>
      <c r="D301" s="3"/>
      <c r="E301" s="3"/>
      <c r="F301" s="3"/>
      <c r="G301" s="24"/>
      <c r="H301" s="25"/>
      <c r="I301" s="99"/>
      <c r="J301" s="26"/>
      <c r="K301" s="25"/>
      <c r="L301" s="99"/>
      <c r="M301" s="27"/>
      <c r="N301" s="24"/>
      <c r="O301" s="25"/>
      <c r="P301" s="99"/>
      <c r="Q301" s="26"/>
      <c r="R301" s="25"/>
      <c r="S301" s="99"/>
      <c r="T301" s="27"/>
      <c r="U301" s="24"/>
      <c r="V301" s="25"/>
      <c r="W301" s="99"/>
      <c r="X301" s="26"/>
      <c r="Y301" s="25"/>
      <c r="Z301" s="99"/>
      <c r="AA301" s="27"/>
      <c r="AB301" s="28"/>
      <c r="AC301" s="1"/>
      <c r="AD301" s="1"/>
      <c r="AE301" s="1"/>
      <c r="AF301" s="1"/>
      <c r="AG301" s="1"/>
      <c r="AH301" s="1"/>
      <c r="AI301" s="1"/>
    </row>
    <row r="302" spans="1:35" ht="14.25" hidden="1" outlineLevel="1" x14ac:dyDescent="0.2">
      <c r="A302" s="1"/>
      <c r="B302" s="3"/>
      <c r="C302" s="3"/>
      <c r="D302" s="3"/>
      <c r="E302" s="3"/>
      <c r="F302" s="3"/>
      <c r="G302" s="24"/>
      <c r="H302" s="25"/>
      <c r="I302" s="99"/>
      <c r="J302" s="26"/>
      <c r="K302" s="25"/>
      <c r="L302" s="99"/>
      <c r="M302" s="27"/>
      <c r="N302" s="24"/>
      <c r="O302" s="25"/>
      <c r="P302" s="99"/>
      <c r="Q302" s="26"/>
      <c r="R302" s="25"/>
      <c r="S302" s="99"/>
      <c r="T302" s="27"/>
      <c r="U302" s="24"/>
      <c r="V302" s="25"/>
      <c r="W302" s="99"/>
      <c r="X302" s="26"/>
      <c r="Y302" s="25"/>
      <c r="Z302" s="99"/>
      <c r="AA302" s="27"/>
      <c r="AB302" s="28"/>
      <c r="AC302" s="1"/>
      <c r="AD302" s="1"/>
      <c r="AE302" s="1"/>
      <c r="AF302" s="1"/>
      <c r="AG302" s="1"/>
      <c r="AH302" s="1"/>
      <c r="AI302" s="1"/>
    </row>
    <row r="303" spans="1:35" ht="14.25" collapsed="1" x14ac:dyDescent="0.2">
      <c r="A303" s="1"/>
      <c r="B303" s="3" t="s">
        <v>58</v>
      </c>
      <c r="C303" s="3"/>
      <c r="D303" s="3"/>
      <c r="E303" s="3"/>
      <c r="F303" s="3"/>
      <c r="G303" s="102">
        <f>SUM(G304:G316)</f>
        <v>122.45093</v>
      </c>
      <c r="H303" s="103">
        <f>SUM(H304:H316)</f>
        <v>96.426939999999988</v>
      </c>
      <c r="I303" s="89">
        <f t="shared" ref="I303:I315" si="158">G303-H303</f>
        <v>26.023990000000012</v>
      </c>
      <c r="J303" s="26">
        <f t="shared" ref="J303:J315" si="159">IF(ISERROR(I303/H303),"N/A",IF(ABS(I303/H303)&gt;5,"N/A",I303/H303))</f>
        <v>0.26988298083502404</v>
      </c>
      <c r="K303" s="103">
        <f>SUM(K304:K316)</f>
        <v>99.053466002000008</v>
      </c>
      <c r="L303" s="89">
        <f t="shared" ref="L303:L315" si="160">K303-G303</f>
        <v>-23.397463997999992</v>
      </c>
      <c r="M303" s="27">
        <f t="shared" ref="M303:M315" si="161">IF(ISERROR(L303/K303),"N/A",IF(ABS(L303/K303)&gt;5,"N/A",L303/K303))</f>
        <v>-0.23621045221706397</v>
      </c>
      <c r="N303" s="102">
        <f>SUM(N304:N316)</f>
        <v>411.99402999999995</v>
      </c>
      <c r="O303" s="103">
        <f>SUM(O304:O316)</f>
        <v>424.48554000000001</v>
      </c>
      <c r="P303" s="89">
        <f t="shared" ref="P303:P315" si="162">N303-O303</f>
        <v>-12.491510000000062</v>
      </c>
      <c r="Q303" s="26">
        <f t="shared" ref="Q303:Q315" si="163">IF(ISERROR(P303/O303),"N/A",IF(ABS(P303/O303)&gt;5,"N/A",P303/O303))</f>
        <v>-2.9427409941926552E-2</v>
      </c>
      <c r="R303" s="103">
        <f>SUM(R304:R316)</f>
        <v>346.19101788600005</v>
      </c>
      <c r="S303" s="89">
        <f t="shared" ref="S303:S315" si="164">R303-N303</f>
        <v>-65.803012113999898</v>
      </c>
      <c r="T303" s="27">
        <f t="shared" ref="T303:T315" si="165">IF(ISERROR(S303/R303),"N/A",IF(ABS(S303/R303)&gt;5,"N/A",S303/R303))</f>
        <v>-0.19007717911291588</v>
      </c>
      <c r="U303" s="102">
        <f>SUM(U304:U316)</f>
        <v>713.10903000000008</v>
      </c>
      <c r="V303" s="103">
        <f>SUM(V304:V316)</f>
        <v>754.26102999999989</v>
      </c>
      <c r="W303" s="89">
        <f t="shared" ref="W303:W315" si="166">U303-V303</f>
        <v>-41.151999999999816</v>
      </c>
      <c r="X303" s="26">
        <f t="shared" ref="X303:X315" si="167">IF(ISERROR(W303/V303),"N/A",IF(ABS(W303/V303)&gt;5,"N/A",W303/V303))</f>
        <v>-5.4559361233338308E-2</v>
      </c>
      <c r="Y303" s="103">
        <f>SUM(Y304:Y316)</f>
        <v>647.30601788600006</v>
      </c>
      <c r="Z303" s="89">
        <f t="shared" ref="Z303:Z315" si="168">Y303-U303</f>
        <v>-65.803012114000012</v>
      </c>
      <c r="AA303" s="27">
        <f t="shared" ref="AA303:AA315" si="169">IF(ISERROR(Z303/Y303),"N/A",IF(ABS(Z303/Y303)&gt;5,"N/A",Z303/Y303))</f>
        <v>-0.1016567284959011</v>
      </c>
      <c r="AB303" s="104">
        <f>SUM(AB304:AB316)</f>
        <v>1415.095248629</v>
      </c>
      <c r="AC303" s="1"/>
      <c r="AD303" s="1"/>
      <c r="AE303" s="1"/>
      <c r="AF303" s="1"/>
      <c r="AG303" s="1"/>
      <c r="AH303" s="1"/>
      <c r="AI303" s="1"/>
    </row>
    <row r="304" spans="1:35" ht="14.25" hidden="1" outlineLevel="1" x14ac:dyDescent="0.2">
      <c r="A304" s="1"/>
      <c r="B304" s="3"/>
      <c r="C304" s="3"/>
      <c r="D304" s="3" t="s">
        <v>59</v>
      </c>
      <c r="E304" s="3" t="s">
        <v>91</v>
      </c>
      <c r="F304" s="3">
        <v>811</v>
      </c>
      <c r="G304" s="105">
        <f>0/1000*1</f>
        <v>0</v>
      </c>
      <c r="H304" s="106">
        <f>0/1000*1</f>
        <v>0</v>
      </c>
      <c r="I304" s="89">
        <f t="shared" si="158"/>
        <v>0</v>
      </c>
      <c r="J304" s="26" t="str">
        <f t="shared" si="159"/>
        <v>N/A</v>
      </c>
      <c r="K304" s="106">
        <f>0/1000*1</f>
        <v>0</v>
      </c>
      <c r="L304" s="89">
        <f t="shared" si="160"/>
        <v>0</v>
      </c>
      <c r="M304" s="27" t="str">
        <f t="shared" si="161"/>
        <v>N/A</v>
      </c>
      <c r="N304" s="105">
        <f>0/1000*1</f>
        <v>0</v>
      </c>
      <c r="O304" s="106">
        <f>0/1000*1</f>
        <v>0</v>
      </c>
      <c r="P304" s="89">
        <f t="shared" si="162"/>
        <v>0</v>
      </c>
      <c r="Q304" s="26" t="str">
        <f t="shared" si="163"/>
        <v>N/A</v>
      </c>
      <c r="R304" s="106">
        <f>0/1000*1</f>
        <v>0</v>
      </c>
      <c r="S304" s="89">
        <f t="shared" si="164"/>
        <v>0</v>
      </c>
      <c r="T304" s="27" t="str">
        <f t="shared" si="165"/>
        <v>N/A</v>
      </c>
      <c r="U304" s="105">
        <f>0/1000*1</f>
        <v>0</v>
      </c>
      <c r="V304" s="106">
        <f>0/1000*1</f>
        <v>0</v>
      </c>
      <c r="W304" s="89">
        <f t="shared" si="166"/>
        <v>0</v>
      </c>
      <c r="X304" s="26" t="str">
        <f t="shared" si="167"/>
        <v>N/A</v>
      </c>
      <c r="Y304" s="106">
        <f>0/1000*1</f>
        <v>0</v>
      </c>
      <c r="Z304" s="89">
        <f t="shared" si="168"/>
        <v>0</v>
      </c>
      <c r="AA304" s="27" t="str">
        <f t="shared" si="169"/>
        <v>N/A</v>
      </c>
      <c r="AB304" s="107">
        <f>0/1000*1</f>
        <v>0</v>
      </c>
      <c r="AC304" s="1"/>
      <c r="AD304" s="1"/>
      <c r="AE304" s="1"/>
      <c r="AF304" s="1"/>
      <c r="AG304" s="1"/>
      <c r="AH304" s="1"/>
      <c r="AI304" s="1"/>
    </row>
    <row r="305" spans="1:35" ht="14.25" hidden="1" outlineLevel="1" x14ac:dyDescent="0.2">
      <c r="A305" s="1"/>
      <c r="B305" s="3"/>
      <c r="C305" s="3"/>
      <c r="D305" s="3" t="s">
        <v>59</v>
      </c>
      <c r="E305" s="3" t="s">
        <v>91</v>
      </c>
      <c r="F305" s="3">
        <v>830</v>
      </c>
      <c r="G305" s="105">
        <f>24479.41/1000*1</f>
        <v>24.479410000000001</v>
      </c>
      <c r="H305" s="106">
        <f>34976.13/1000*1</f>
        <v>34.976129999999998</v>
      </c>
      <c r="I305" s="89">
        <f t="shared" si="158"/>
        <v>-10.496719999999996</v>
      </c>
      <c r="J305" s="26">
        <f t="shared" si="159"/>
        <v>-0.30011096138995358</v>
      </c>
      <c r="K305" s="106">
        <f>14810.701045/1000*1</f>
        <v>14.810701045</v>
      </c>
      <c r="L305" s="89">
        <f t="shared" si="160"/>
        <v>-9.6687089550000014</v>
      </c>
      <c r="M305" s="27">
        <f t="shared" si="161"/>
        <v>-0.65281912892733029</v>
      </c>
      <c r="N305" s="105">
        <f>96463.58/1000*1</f>
        <v>96.463580000000007</v>
      </c>
      <c r="O305" s="106">
        <f>82832.57/1000*1</f>
        <v>82.832570000000004</v>
      </c>
      <c r="P305" s="89">
        <f t="shared" si="162"/>
        <v>13.631010000000003</v>
      </c>
      <c r="Q305" s="26">
        <f t="shared" si="163"/>
        <v>0.16456099333873139</v>
      </c>
      <c r="R305" s="106">
        <f>70401.94209/1000*1</f>
        <v>70.401942089999991</v>
      </c>
      <c r="S305" s="89">
        <f t="shared" si="164"/>
        <v>-26.061637910000016</v>
      </c>
      <c r="T305" s="27">
        <f t="shared" si="165"/>
        <v>-0.3701835082430468</v>
      </c>
      <c r="U305" s="105">
        <f>193615.66/1000*1</f>
        <v>193.61565999999999</v>
      </c>
      <c r="V305" s="106">
        <f>133177.67/1000*1</f>
        <v>133.17767000000001</v>
      </c>
      <c r="W305" s="89">
        <f t="shared" si="166"/>
        <v>60.437989999999985</v>
      </c>
      <c r="X305" s="26">
        <f t="shared" si="167"/>
        <v>0.453814742366344</v>
      </c>
      <c r="Y305" s="106">
        <f>167554.02209/1000*1</f>
        <v>167.55402209000002</v>
      </c>
      <c r="Z305" s="89">
        <f t="shared" si="168"/>
        <v>-26.061637909999973</v>
      </c>
      <c r="AA305" s="27">
        <f t="shared" si="169"/>
        <v>-0.15554170281869578</v>
      </c>
      <c r="AB305" s="107">
        <f>291242.18129/1000*1</f>
        <v>291.24218128999996</v>
      </c>
      <c r="AC305" s="1"/>
      <c r="AD305" s="1"/>
      <c r="AE305" s="1"/>
      <c r="AF305" s="1"/>
      <c r="AG305" s="1"/>
      <c r="AH305" s="1"/>
      <c r="AI305" s="1"/>
    </row>
    <row r="306" spans="1:35" ht="14.25" hidden="1" outlineLevel="1" x14ac:dyDescent="0.2">
      <c r="A306" s="1"/>
      <c r="B306" s="3"/>
      <c r="C306" s="3"/>
      <c r="D306" s="3" t="s">
        <v>59</v>
      </c>
      <c r="E306" s="3" t="s">
        <v>91</v>
      </c>
      <c r="F306" s="3">
        <v>840</v>
      </c>
      <c r="G306" s="105">
        <f>83650.02/1000*1</f>
        <v>83.650019999999998</v>
      </c>
      <c r="H306" s="106">
        <f>51299.47/1000*1</f>
        <v>51.299469999999999</v>
      </c>
      <c r="I306" s="89">
        <f t="shared" si="158"/>
        <v>32.350549999999998</v>
      </c>
      <c r="J306" s="26">
        <f t="shared" si="159"/>
        <v>0.63062152493973134</v>
      </c>
      <c r="K306" s="106">
        <f>65006.21266/1000*1</f>
        <v>65.006212660000003</v>
      </c>
      <c r="L306" s="89">
        <f t="shared" si="160"/>
        <v>-18.643807339999995</v>
      </c>
      <c r="M306" s="27">
        <f t="shared" si="161"/>
        <v>-0.28680039302569632</v>
      </c>
      <c r="N306" s="105">
        <f>249843.62/1000*1</f>
        <v>249.84361999999999</v>
      </c>
      <c r="O306" s="106">
        <f>268547.02/1000*1</f>
        <v>268.54702000000003</v>
      </c>
      <c r="P306" s="89">
        <f t="shared" si="162"/>
        <v>-18.703400000000045</v>
      </c>
      <c r="Q306" s="26">
        <f t="shared" si="163"/>
        <v>-6.9646648843841363E-2</v>
      </c>
      <c r="R306" s="106">
        <f>216839.21532/1000*1</f>
        <v>216.83921531999999</v>
      </c>
      <c r="S306" s="89">
        <f t="shared" si="164"/>
        <v>-33.004404679999993</v>
      </c>
      <c r="T306" s="27">
        <f t="shared" si="165"/>
        <v>-0.1522068073862646</v>
      </c>
      <c r="U306" s="105">
        <f>403194.15/1000*1</f>
        <v>403.19415000000004</v>
      </c>
      <c r="V306" s="106">
        <f>507472.94/1000*1</f>
        <v>507.47293999999999</v>
      </c>
      <c r="W306" s="89">
        <f t="shared" si="166"/>
        <v>-104.27878999999996</v>
      </c>
      <c r="X306" s="26">
        <f t="shared" si="167"/>
        <v>-0.20548640485145861</v>
      </c>
      <c r="Y306" s="106">
        <f>370189.74532/1000*1</f>
        <v>370.18974531999999</v>
      </c>
      <c r="Z306" s="89">
        <f t="shared" si="168"/>
        <v>-33.00440468000005</v>
      </c>
      <c r="AA306" s="27">
        <f t="shared" si="169"/>
        <v>-8.9155372608904479E-2</v>
      </c>
      <c r="AB306" s="107">
        <f>828499.78228/1000*1</f>
        <v>828.49978228000009</v>
      </c>
      <c r="AC306" s="1"/>
      <c r="AD306" s="1"/>
      <c r="AE306" s="1"/>
      <c r="AF306" s="1"/>
      <c r="AG306" s="1"/>
      <c r="AH306" s="1"/>
      <c r="AI306" s="1"/>
    </row>
    <row r="307" spans="1:35" ht="14.25" hidden="1" outlineLevel="1" x14ac:dyDescent="0.2">
      <c r="A307" s="1"/>
      <c r="B307" s="3"/>
      <c r="C307" s="3"/>
      <c r="D307" s="3" t="s">
        <v>59</v>
      </c>
      <c r="E307" s="3" t="s">
        <v>92</v>
      </c>
      <c r="F307" s="3">
        <v>840</v>
      </c>
      <c r="G307" s="105">
        <f>4528.84/1000*1</f>
        <v>4.5288399999999998</v>
      </c>
      <c r="H307" s="106">
        <f>8901.54/1000*1</f>
        <v>8.9015400000000007</v>
      </c>
      <c r="I307" s="89">
        <f t="shared" si="158"/>
        <v>-4.3727000000000009</v>
      </c>
      <c r="J307" s="26">
        <f t="shared" si="159"/>
        <v>-0.49122960746118094</v>
      </c>
      <c r="K307" s="106">
        <f>12473.046968/1000*1</f>
        <v>12.473046968</v>
      </c>
      <c r="L307" s="89">
        <f t="shared" si="160"/>
        <v>7.9442069680000005</v>
      </c>
      <c r="M307" s="27">
        <f t="shared" si="161"/>
        <v>0.6369098896509503</v>
      </c>
      <c r="N307" s="105">
        <f>34326.99/1000*1</f>
        <v>34.326989999999995</v>
      </c>
      <c r="O307" s="106">
        <f>18630.83/1000*1</f>
        <v>18.630830000000003</v>
      </c>
      <c r="P307" s="89">
        <f t="shared" si="162"/>
        <v>15.696159999999992</v>
      </c>
      <c r="Q307" s="26">
        <f t="shared" si="163"/>
        <v>0.84248313145469034</v>
      </c>
      <c r="R307" s="106">
        <f>25095.503936/1000*1</f>
        <v>25.095503936</v>
      </c>
      <c r="S307" s="89">
        <f t="shared" si="164"/>
        <v>-9.2314860639999949</v>
      </c>
      <c r="T307" s="27">
        <f t="shared" si="165"/>
        <v>-0.36785418167105399</v>
      </c>
      <c r="U307" s="105">
        <f>76390.25/1000*1</f>
        <v>76.390249999999995</v>
      </c>
      <c r="V307" s="106">
        <f>38080.35/1000*1</f>
        <v>38.080349999999996</v>
      </c>
      <c r="W307" s="89">
        <f t="shared" si="166"/>
        <v>38.309899999999999</v>
      </c>
      <c r="X307" s="26">
        <f t="shared" si="167"/>
        <v>1.0060280433346858</v>
      </c>
      <c r="Y307" s="106">
        <f>67158.763936/1000*1</f>
        <v>67.158763936</v>
      </c>
      <c r="Z307" s="89">
        <f t="shared" si="168"/>
        <v>-9.2314860639999949</v>
      </c>
      <c r="AA307" s="27">
        <f t="shared" si="169"/>
        <v>-0.13745765292519804</v>
      </c>
      <c r="AB307" s="107">
        <f>167912.954309/1000*1</f>
        <v>167.91295430899999</v>
      </c>
      <c r="AC307" s="1"/>
      <c r="AD307" s="1"/>
      <c r="AE307" s="1"/>
      <c r="AF307" s="1"/>
      <c r="AG307" s="1"/>
      <c r="AH307" s="1"/>
      <c r="AI307" s="1"/>
    </row>
    <row r="308" spans="1:35" ht="14.25" hidden="1" outlineLevel="1" x14ac:dyDescent="0.2">
      <c r="A308" s="1"/>
      <c r="B308" s="3"/>
      <c r="C308" s="3"/>
      <c r="D308" s="3" t="s">
        <v>59</v>
      </c>
      <c r="E308" s="3" t="s">
        <v>92</v>
      </c>
      <c r="F308" s="3">
        <v>842</v>
      </c>
      <c r="G308" s="105">
        <f>0/1000*1</f>
        <v>0</v>
      </c>
      <c r="H308" s="106">
        <f>0/1000*1</f>
        <v>0</v>
      </c>
      <c r="I308" s="89">
        <f t="shared" si="158"/>
        <v>0</v>
      </c>
      <c r="J308" s="26" t="str">
        <f t="shared" si="159"/>
        <v>N/A</v>
      </c>
      <c r="K308" s="106">
        <f>0/1000*1</f>
        <v>0</v>
      </c>
      <c r="L308" s="89">
        <f t="shared" si="160"/>
        <v>0</v>
      </c>
      <c r="M308" s="27" t="str">
        <f t="shared" si="161"/>
        <v>N/A</v>
      </c>
      <c r="N308" s="105">
        <f>0/1000*1</f>
        <v>0</v>
      </c>
      <c r="O308" s="106">
        <f>0/1000*1</f>
        <v>0</v>
      </c>
      <c r="P308" s="89">
        <f t="shared" si="162"/>
        <v>0</v>
      </c>
      <c r="Q308" s="26" t="str">
        <f t="shared" si="163"/>
        <v>N/A</v>
      </c>
      <c r="R308" s="106">
        <f>0/1000*1</f>
        <v>0</v>
      </c>
      <c r="S308" s="89">
        <f t="shared" si="164"/>
        <v>0</v>
      </c>
      <c r="T308" s="27" t="str">
        <f t="shared" si="165"/>
        <v>N/A</v>
      </c>
      <c r="U308" s="105">
        <f>0/1000*1</f>
        <v>0</v>
      </c>
      <c r="V308" s="106">
        <f>0/1000*1</f>
        <v>0</v>
      </c>
      <c r="W308" s="89">
        <f t="shared" si="166"/>
        <v>0</v>
      </c>
      <c r="X308" s="26" t="str">
        <f t="shared" si="167"/>
        <v>N/A</v>
      </c>
      <c r="Y308" s="106">
        <f>0/1000*1</f>
        <v>0</v>
      </c>
      <c r="Z308" s="89">
        <f t="shared" si="168"/>
        <v>0</v>
      </c>
      <c r="AA308" s="27" t="str">
        <f t="shared" si="169"/>
        <v>N/A</v>
      </c>
      <c r="AB308" s="107">
        <f>0/1000*1</f>
        <v>0</v>
      </c>
      <c r="AC308" s="1"/>
      <c r="AD308" s="1"/>
      <c r="AE308" s="1"/>
      <c r="AF308" s="1"/>
      <c r="AG308" s="1"/>
      <c r="AH308" s="1"/>
      <c r="AI308" s="1"/>
    </row>
    <row r="309" spans="1:35" ht="14.25" hidden="1" outlineLevel="1" x14ac:dyDescent="0.2">
      <c r="A309" s="1"/>
      <c r="B309" s="3"/>
      <c r="C309" s="3"/>
      <c r="D309" s="3" t="s">
        <v>59</v>
      </c>
      <c r="E309" s="3" t="s">
        <v>93</v>
      </c>
      <c r="F309" s="3">
        <v>830</v>
      </c>
      <c r="G309" s="105">
        <f>0/1000*1</f>
        <v>0</v>
      </c>
      <c r="H309" s="106">
        <f>0/1000*1</f>
        <v>0</v>
      </c>
      <c r="I309" s="89">
        <f t="shared" si="158"/>
        <v>0</v>
      </c>
      <c r="J309" s="26" t="str">
        <f t="shared" si="159"/>
        <v>N/A</v>
      </c>
      <c r="K309" s="106">
        <f>0/1000*1</f>
        <v>0</v>
      </c>
      <c r="L309" s="89">
        <f t="shared" si="160"/>
        <v>0</v>
      </c>
      <c r="M309" s="27" t="str">
        <f t="shared" si="161"/>
        <v>N/A</v>
      </c>
      <c r="N309" s="105">
        <f>0/1000*1</f>
        <v>0</v>
      </c>
      <c r="O309" s="106">
        <f>0/1000*1</f>
        <v>0</v>
      </c>
      <c r="P309" s="89">
        <f t="shared" si="162"/>
        <v>0</v>
      </c>
      <c r="Q309" s="26" t="str">
        <f t="shared" si="163"/>
        <v>N/A</v>
      </c>
      <c r="R309" s="106">
        <f>0/1000*1</f>
        <v>0</v>
      </c>
      <c r="S309" s="89">
        <f t="shared" si="164"/>
        <v>0</v>
      </c>
      <c r="T309" s="27" t="str">
        <f t="shared" si="165"/>
        <v>N/A</v>
      </c>
      <c r="U309" s="105">
        <f>0/1000*1</f>
        <v>0</v>
      </c>
      <c r="V309" s="106">
        <f>0/1000*1</f>
        <v>0</v>
      </c>
      <c r="W309" s="89">
        <f t="shared" si="166"/>
        <v>0</v>
      </c>
      <c r="X309" s="26" t="str">
        <f t="shared" si="167"/>
        <v>N/A</v>
      </c>
      <c r="Y309" s="106">
        <f>0/1000*1</f>
        <v>0</v>
      </c>
      <c r="Z309" s="89">
        <f t="shared" si="168"/>
        <v>0</v>
      </c>
      <c r="AA309" s="27" t="str">
        <f t="shared" si="169"/>
        <v>N/A</v>
      </c>
      <c r="AB309" s="107">
        <f>10765.35503/1000*1</f>
        <v>10.76535503</v>
      </c>
      <c r="AC309" s="1"/>
      <c r="AD309" s="1"/>
      <c r="AE309" s="1"/>
      <c r="AF309" s="1"/>
      <c r="AG309" s="1"/>
      <c r="AH309" s="1"/>
      <c r="AI309" s="1"/>
    </row>
    <row r="310" spans="1:35" ht="14.25" hidden="1" outlineLevel="1" x14ac:dyDescent="0.2">
      <c r="A310" s="1"/>
      <c r="B310" s="3"/>
      <c r="C310" s="3"/>
      <c r="D310" s="3" t="s">
        <v>59</v>
      </c>
      <c r="E310" s="3" t="s">
        <v>93</v>
      </c>
      <c r="F310" s="3">
        <v>840</v>
      </c>
      <c r="G310" s="105">
        <f>1209.66/1000*1</f>
        <v>1.2096600000000002</v>
      </c>
      <c r="H310" s="106">
        <f>0/1000*1</f>
        <v>0</v>
      </c>
      <c r="I310" s="89">
        <f t="shared" si="158"/>
        <v>1.2096600000000002</v>
      </c>
      <c r="J310" s="26" t="str">
        <f t="shared" si="159"/>
        <v>N/A</v>
      </c>
      <c r="K310" s="106">
        <f>424.102564/1000*1</f>
        <v>0.42410256399999996</v>
      </c>
      <c r="L310" s="89">
        <f t="shared" si="160"/>
        <v>-0.78555743600000016</v>
      </c>
      <c r="M310" s="27">
        <f t="shared" si="161"/>
        <v>-1.8522817419231643</v>
      </c>
      <c r="N310" s="105">
        <f>1209.66/1000*1</f>
        <v>1.2096600000000002</v>
      </c>
      <c r="O310" s="106">
        <f>0/1000*1</f>
        <v>0</v>
      </c>
      <c r="P310" s="89">
        <f t="shared" si="162"/>
        <v>1.2096600000000002</v>
      </c>
      <c r="Q310" s="26" t="str">
        <f t="shared" si="163"/>
        <v>N/A</v>
      </c>
      <c r="R310" s="106">
        <f>848.205128/1000*1</f>
        <v>0.84820512799999992</v>
      </c>
      <c r="S310" s="89">
        <f t="shared" si="164"/>
        <v>-0.36145487200000026</v>
      </c>
      <c r="T310" s="27">
        <f t="shared" si="165"/>
        <v>-0.42614087096158215</v>
      </c>
      <c r="U310" s="105">
        <f>1209.66/1000*1</f>
        <v>1.2096600000000002</v>
      </c>
      <c r="V310" s="106">
        <f>0/1000*1</f>
        <v>0</v>
      </c>
      <c r="W310" s="89">
        <f t="shared" si="166"/>
        <v>1.2096600000000002</v>
      </c>
      <c r="X310" s="26" t="str">
        <f t="shared" si="167"/>
        <v>N/A</v>
      </c>
      <c r="Y310" s="106">
        <f>848.205128/1000*1</f>
        <v>0.84820512799999992</v>
      </c>
      <c r="Z310" s="89">
        <f t="shared" si="168"/>
        <v>-0.36145487200000026</v>
      </c>
      <c r="AA310" s="27">
        <f t="shared" si="169"/>
        <v>-0.42614087096158215</v>
      </c>
      <c r="AB310" s="107">
        <f>3816.923076/1000*1</f>
        <v>3.8169230760000001</v>
      </c>
      <c r="AC310" s="1"/>
      <c r="AD310" s="1"/>
      <c r="AE310" s="1"/>
      <c r="AF310" s="1"/>
      <c r="AG310" s="1"/>
      <c r="AH310" s="1"/>
      <c r="AI310" s="1"/>
    </row>
    <row r="311" spans="1:35" ht="14.25" hidden="1" outlineLevel="1" x14ac:dyDescent="0.2">
      <c r="A311" s="1"/>
      <c r="B311" s="3"/>
      <c r="C311" s="3"/>
      <c r="D311" s="3" t="s">
        <v>59</v>
      </c>
      <c r="E311" s="3" t="s">
        <v>95</v>
      </c>
      <c r="F311" s="3">
        <v>840</v>
      </c>
      <c r="G311" s="105">
        <f>-386.34/1000*1</f>
        <v>-0.38633999999999996</v>
      </c>
      <c r="H311" s="106">
        <f>421.25/1000*1</f>
        <v>0.42125000000000001</v>
      </c>
      <c r="I311" s="89">
        <f t="shared" si="158"/>
        <v>-0.80759000000000003</v>
      </c>
      <c r="J311" s="26">
        <f t="shared" si="159"/>
        <v>-1.9171275964391692</v>
      </c>
      <c r="K311" s="106">
        <f>441.176471/1000*1</f>
        <v>0.44117647100000001</v>
      </c>
      <c r="L311" s="89">
        <f t="shared" si="160"/>
        <v>0.82751647100000003</v>
      </c>
      <c r="M311" s="27">
        <f t="shared" si="161"/>
        <v>1.8757039991826763</v>
      </c>
      <c r="N311" s="105">
        <f>508.45/1000*1</f>
        <v>0.50844999999999996</v>
      </c>
      <c r="O311" s="106">
        <f>3161.25/1000*1</f>
        <v>3.1612499999999999</v>
      </c>
      <c r="P311" s="89">
        <f t="shared" si="162"/>
        <v>-2.6528</v>
      </c>
      <c r="Q311" s="26">
        <f t="shared" si="163"/>
        <v>-0.83916172400158173</v>
      </c>
      <c r="R311" s="106">
        <f>5608.008824/1000*1</f>
        <v>5.6080088239999997</v>
      </c>
      <c r="S311" s="89">
        <f t="shared" si="164"/>
        <v>5.0995588239999998</v>
      </c>
      <c r="T311" s="27">
        <f t="shared" si="165"/>
        <v>0.90933502140295497</v>
      </c>
      <c r="U311" s="105">
        <f>1872.03/1000*1</f>
        <v>1.8720300000000001</v>
      </c>
      <c r="V311" s="106">
        <f>4823.37/1000*1</f>
        <v>4.8233699999999997</v>
      </c>
      <c r="W311" s="89">
        <f t="shared" si="166"/>
        <v>-2.9513399999999996</v>
      </c>
      <c r="X311" s="26">
        <f t="shared" si="167"/>
        <v>-0.61188339273163783</v>
      </c>
      <c r="Y311" s="106">
        <f>6971.588824/1000*1</f>
        <v>6.9715888240000004</v>
      </c>
      <c r="Z311" s="89">
        <f t="shared" si="168"/>
        <v>5.0995588240000007</v>
      </c>
      <c r="AA311" s="27">
        <f t="shared" si="169"/>
        <v>0.73147727910236837</v>
      </c>
      <c r="AB311" s="107">
        <f>10105.917182/1000*1</f>
        <v>10.105917181999999</v>
      </c>
      <c r="AC311" s="1"/>
      <c r="AD311" s="1"/>
      <c r="AE311" s="1"/>
      <c r="AF311" s="1"/>
      <c r="AG311" s="1"/>
      <c r="AH311" s="1"/>
      <c r="AI311" s="1"/>
    </row>
    <row r="312" spans="1:35" ht="14.25" hidden="1" outlineLevel="1" x14ac:dyDescent="0.2">
      <c r="A312" s="1"/>
      <c r="B312" s="3"/>
      <c r="C312" s="3"/>
      <c r="D312" s="3" t="s">
        <v>59</v>
      </c>
      <c r="E312" s="3" t="s">
        <v>96</v>
      </c>
      <c r="F312" s="3">
        <v>840</v>
      </c>
      <c r="G312" s="105">
        <f>8221.36/1000*1</f>
        <v>8.2213600000000007</v>
      </c>
      <c r="H312" s="106">
        <f>662.19/1000*1</f>
        <v>0.66219000000000006</v>
      </c>
      <c r="I312" s="89">
        <f t="shared" si="158"/>
        <v>7.5591700000000008</v>
      </c>
      <c r="J312" s="26" t="str">
        <f t="shared" si="159"/>
        <v>N/A</v>
      </c>
      <c r="K312" s="106">
        <f>4791.751474/1000*1</f>
        <v>4.7917514739999998</v>
      </c>
      <c r="L312" s="89">
        <f t="shared" si="160"/>
        <v>-3.4296085260000009</v>
      </c>
      <c r="M312" s="27">
        <f t="shared" si="161"/>
        <v>-0.71573172035507804</v>
      </c>
      <c r="N312" s="105">
        <f>12389.08/1000*1</f>
        <v>12.38908</v>
      </c>
      <c r="O312" s="106">
        <f>51301.83/1000*1</f>
        <v>51.301830000000002</v>
      </c>
      <c r="P312" s="89">
        <f t="shared" si="162"/>
        <v>-38.912750000000003</v>
      </c>
      <c r="Q312" s="26">
        <f t="shared" si="163"/>
        <v>-0.75850608058231062</v>
      </c>
      <c r="R312" s="106">
        <f>12593.622948/1000*1</f>
        <v>12.593622948</v>
      </c>
      <c r="S312" s="89">
        <f t="shared" si="164"/>
        <v>0.20454294800000028</v>
      </c>
      <c r="T312" s="27">
        <f t="shared" si="165"/>
        <v>1.6241787517743959E-2</v>
      </c>
      <c r="U312" s="105">
        <f>18698.24/1000*1</f>
        <v>18.698240000000002</v>
      </c>
      <c r="V312" s="106">
        <f>66647.21/1000*1</f>
        <v>66.647210000000001</v>
      </c>
      <c r="W312" s="89">
        <f t="shared" si="166"/>
        <v>-47.948970000000003</v>
      </c>
      <c r="X312" s="26">
        <f t="shared" si="167"/>
        <v>-0.71944451988312796</v>
      </c>
      <c r="Y312" s="106">
        <f>18902.782948/1000*1</f>
        <v>18.902782947999999</v>
      </c>
      <c r="Z312" s="89">
        <f t="shared" si="168"/>
        <v>0.20454294799999673</v>
      </c>
      <c r="AA312" s="27">
        <f t="shared" si="169"/>
        <v>1.0820784884568455E-2</v>
      </c>
      <c r="AB312" s="107">
        <f>60429.196834/1000*1</f>
        <v>60.429196834000003</v>
      </c>
      <c r="AC312" s="1"/>
      <c r="AD312" s="1"/>
      <c r="AE312" s="1"/>
      <c r="AF312" s="1"/>
      <c r="AG312" s="1"/>
      <c r="AH312" s="1"/>
      <c r="AI312" s="1"/>
    </row>
    <row r="313" spans="1:35" ht="14.25" hidden="1" outlineLevel="1" x14ac:dyDescent="0.2">
      <c r="A313" s="1"/>
      <c r="B313" s="3"/>
      <c r="C313" s="3"/>
      <c r="D313" s="3" t="s">
        <v>59</v>
      </c>
      <c r="E313" s="3" t="s">
        <v>97</v>
      </c>
      <c r="F313" s="3">
        <v>830</v>
      </c>
      <c r="G313" s="105">
        <f>0/1000*1</f>
        <v>0</v>
      </c>
      <c r="H313" s="106">
        <f>0/1000*1</f>
        <v>0</v>
      </c>
      <c r="I313" s="89">
        <f t="shared" si="158"/>
        <v>0</v>
      </c>
      <c r="J313" s="26" t="str">
        <f t="shared" si="159"/>
        <v>N/A</v>
      </c>
      <c r="K313" s="106">
        <f>0/1000*1</f>
        <v>0</v>
      </c>
      <c r="L313" s="89">
        <f t="shared" si="160"/>
        <v>0</v>
      </c>
      <c r="M313" s="27" t="str">
        <f t="shared" si="161"/>
        <v>N/A</v>
      </c>
      <c r="N313" s="105">
        <f>0/1000*1</f>
        <v>0</v>
      </c>
      <c r="O313" s="106">
        <f>0/1000*1</f>
        <v>0</v>
      </c>
      <c r="P313" s="89">
        <f t="shared" si="162"/>
        <v>0</v>
      </c>
      <c r="Q313" s="26" t="str">
        <f t="shared" si="163"/>
        <v>N/A</v>
      </c>
      <c r="R313" s="106">
        <f>0/1000*1</f>
        <v>0</v>
      </c>
      <c r="S313" s="89">
        <f t="shared" si="164"/>
        <v>0</v>
      </c>
      <c r="T313" s="27" t="str">
        <f t="shared" si="165"/>
        <v>N/A</v>
      </c>
      <c r="U313" s="105">
        <f>0/1000*1</f>
        <v>0</v>
      </c>
      <c r="V313" s="106">
        <f>8.12/1000*1</f>
        <v>8.1199999999999987E-3</v>
      </c>
      <c r="W313" s="89">
        <f t="shared" si="166"/>
        <v>-8.1199999999999987E-3</v>
      </c>
      <c r="X313" s="26">
        <f t="shared" si="167"/>
        <v>-1</v>
      </c>
      <c r="Y313" s="106">
        <f>0/1000*1</f>
        <v>0</v>
      </c>
      <c r="Z313" s="89">
        <f t="shared" si="168"/>
        <v>0</v>
      </c>
      <c r="AA313" s="27" t="str">
        <f t="shared" si="169"/>
        <v>N/A</v>
      </c>
      <c r="AB313" s="107">
        <f>0/1000*1</f>
        <v>0</v>
      </c>
      <c r="AC313" s="1"/>
      <c r="AD313" s="1"/>
      <c r="AE313" s="1"/>
      <c r="AF313" s="1"/>
      <c r="AG313" s="1"/>
      <c r="AH313" s="1"/>
      <c r="AI313" s="1"/>
    </row>
    <row r="314" spans="1:35" ht="14.25" hidden="1" outlineLevel="1" x14ac:dyDescent="0.2">
      <c r="A314" s="1"/>
      <c r="B314" s="3"/>
      <c r="C314" s="3"/>
      <c r="D314" s="3" t="s">
        <v>59</v>
      </c>
      <c r="E314" s="3" t="s">
        <v>97</v>
      </c>
      <c r="F314" s="3">
        <v>840</v>
      </c>
      <c r="G314" s="105">
        <f>747.98/1000*1</f>
        <v>0.74797999999999998</v>
      </c>
      <c r="H314" s="106">
        <f>166.36/1000*1</f>
        <v>0.16636000000000001</v>
      </c>
      <c r="I314" s="89">
        <f t="shared" si="158"/>
        <v>0.58162000000000003</v>
      </c>
      <c r="J314" s="26">
        <f t="shared" si="159"/>
        <v>3.4961529213753306</v>
      </c>
      <c r="K314" s="106">
        <f>1106.47482/1000*1</f>
        <v>1.1064748199999999</v>
      </c>
      <c r="L314" s="89">
        <f t="shared" si="160"/>
        <v>0.35849481999999988</v>
      </c>
      <c r="M314" s="27">
        <f t="shared" si="161"/>
        <v>0.32399726909284743</v>
      </c>
      <c r="N314" s="105">
        <f>17252.65/1000*1</f>
        <v>17.252650000000003</v>
      </c>
      <c r="O314" s="106">
        <f>12.04/1000*1</f>
        <v>1.2039999999999999E-2</v>
      </c>
      <c r="P314" s="89">
        <f t="shared" si="162"/>
        <v>17.240610000000004</v>
      </c>
      <c r="Q314" s="26" t="str">
        <f t="shared" si="163"/>
        <v>N/A</v>
      </c>
      <c r="R314" s="106">
        <f>14804.51964/1000*1</f>
        <v>14.804519640000001</v>
      </c>
      <c r="S314" s="89">
        <f t="shared" si="164"/>
        <v>-2.4481303600000022</v>
      </c>
      <c r="T314" s="27">
        <f t="shared" si="165"/>
        <v>-0.16536371456358864</v>
      </c>
      <c r="U314" s="105">
        <f>18129.04/1000*1</f>
        <v>18.12904</v>
      </c>
      <c r="V314" s="106">
        <f>3929.15/1000*1</f>
        <v>3.9291499999999999</v>
      </c>
      <c r="W314" s="89">
        <f t="shared" si="166"/>
        <v>14.19989</v>
      </c>
      <c r="X314" s="26">
        <f t="shared" si="167"/>
        <v>3.6139852130868002</v>
      </c>
      <c r="Y314" s="106">
        <f>15680.90964/1000*1</f>
        <v>15.680909639999999</v>
      </c>
      <c r="Z314" s="89">
        <f t="shared" si="168"/>
        <v>-2.4481303600000004</v>
      </c>
      <c r="AA314" s="27">
        <f t="shared" si="169"/>
        <v>-0.15612170570482289</v>
      </c>
      <c r="AB314" s="107">
        <f>42322.938628/1000*1</f>
        <v>42.322938628000003</v>
      </c>
      <c r="AC314" s="1"/>
      <c r="AD314" s="1"/>
      <c r="AE314" s="1"/>
      <c r="AF314" s="1"/>
      <c r="AG314" s="1"/>
      <c r="AH314" s="1"/>
      <c r="AI314" s="1"/>
    </row>
    <row r="315" spans="1:35" ht="14.25" hidden="1" outlineLevel="1" x14ac:dyDescent="0.2">
      <c r="A315" s="1"/>
      <c r="B315" s="3"/>
      <c r="C315" s="3"/>
      <c r="D315" s="3" t="s">
        <v>59</v>
      </c>
      <c r="E315" s="3" t="s">
        <v>97</v>
      </c>
      <c r="F315" s="3">
        <v>844</v>
      </c>
      <c r="G315" s="105">
        <f>0/1000*1</f>
        <v>0</v>
      </c>
      <c r="H315" s="106">
        <f>0/1000*1</f>
        <v>0</v>
      </c>
      <c r="I315" s="89">
        <f t="shared" si="158"/>
        <v>0</v>
      </c>
      <c r="J315" s="26" t="str">
        <f t="shared" si="159"/>
        <v>N/A</v>
      </c>
      <c r="K315" s="106">
        <f>0/1000*1</f>
        <v>0</v>
      </c>
      <c r="L315" s="89">
        <f t="shared" si="160"/>
        <v>0</v>
      </c>
      <c r="M315" s="27" t="str">
        <f t="shared" si="161"/>
        <v>N/A</v>
      </c>
      <c r="N315" s="105">
        <f>0/1000*1</f>
        <v>0</v>
      </c>
      <c r="O315" s="106">
        <f>0/1000*1</f>
        <v>0</v>
      </c>
      <c r="P315" s="89">
        <f t="shared" si="162"/>
        <v>0</v>
      </c>
      <c r="Q315" s="26" t="str">
        <f t="shared" si="163"/>
        <v>N/A</v>
      </c>
      <c r="R315" s="106">
        <f>0/1000*1</f>
        <v>0</v>
      </c>
      <c r="S315" s="89">
        <f t="shared" si="164"/>
        <v>0</v>
      </c>
      <c r="T315" s="27" t="str">
        <f t="shared" si="165"/>
        <v>N/A</v>
      </c>
      <c r="U315" s="105">
        <f>0/1000*1</f>
        <v>0</v>
      </c>
      <c r="V315" s="106">
        <f>122.22/1000*1</f>
        <v>0.12222</v>
      </c>
      <c r="W315" s="89">
        <f t="shared" si="166"/>
        <v>-0.12222</v>
      </c>
      <c r="X315" s="26">
        <f t="shared" si="167"/>
        <v>-1</v>
      </c>
      <c r="Y315" s="106">
        <f>0/1000*1</f>
        <v>0</v>
      </c>
      <c r="Z315" s="89">
        <f t="shared" si="168"/>
        <v>0</v>
      </c>
      <c r="AA315" s="27" t="str">
        <f t="shared" si="169"/>
        <v>N/A</v>
      </c>
      <c r="AB315" s="107">
        <f>0/1000*1</f>
        <v>0</v>
      </c>
      <c r="AC315" s="1"/>
      <c r="AD315" s="1"/>
      <c r="AE315" s="1"/>
      <c r="AF315" s="1"/>
      <c r="AG315" s="1"/>
      <c r="AH315" s="1"/>
      <c r="AI315" s="1"/>
    </row>
    <row r="316" spans="1:35" ht="14.25" hidden="1" outlineLevel="1" x14ac:dyDescent="0.2">
      <c r="A316" s="1"/>
      <c r="B316" s="3"/>
      <c r="C316" s="3"/>
      <c r="D316" s="3"/>
      <c r="E316" s="3"/>
      <c r="F316" s="3"/>
      <c r="G316" s="105"/>
      <c r="H316" s="106"/>
      <c r="I316" s="89"/>
      <c r="J316" s="26"/>
      <c r="K316" s="106"/>
      <c r="L316" s="89"/>
      <c r="M316" s="27"/>
      <c r="N316" s="105"/>
      <c r="O316" s="106"/>
      <c r="P316" s="89"/>
      <c r="Q316" s="26"/>
      <c r="R316" s="106"/>
      <c r="S316" s="89"/>
      <c r="T316" s="27"/>
      <c r="U316" s="105"/>
      <c r="V316" s="106"/>
      <c r="W316" s="89"/>
      <c r="X316" s="26"/>
      <c r="Y316" s="106"/>
      <c r="Z316" s="89"/>
      <c r="AA316" s="27"/>
      <c r="AB316" s="107"/>
      <c r="AC316" s="1"/>
      <c r="AD316" s="1"/>
      <c r="AE316" s="1"/>
      <c r="AF316" s="1"/>
      <c r="AG316" s="1"/>
      <c r="AH316" s="1"/>
      <c r="AI316" s="1"/>
    </row>
    <row r="317" spans="1:35" ht="14.25" hidden="1" outlineLevel="1" x14ac:dyDescent="0.2">
      <c r="A317" s="1"/>
      <c r="B317" s="3"/>
      <c r="C317" s="3"/>
      <c r="D317" s="3"/>
      <c r="E317" s="3"/>
      <c r="F317" s="3"/>
      <c r="G317" s="105"/>
      <c r="H317" s="106"/>
      <c r="I317" s="89"/>
      <c r="J317" s="26"/>
      <c r="K317" s="106"/>
      <c r="L317" s="89"/>
      <c r="M317" s="27"/>
      <c r="N317" s="105"/>
      <c r="O317" s="106"/>
      <c r="P317" s="89"/>
      <c r="Q317" s="26"/>
      <c r="R317" s="106"/>
      <c r="S317" s="89"/>
      <c r="T317" s="27"/>
      <c r="U317" s="105"/>
      <c r="V317" s="106"/>
      <c r="W317" s="89"/>
      <c r="X317" s="26"/>
      <c r="Y317" s="106"/>
      <c r="Z317" s="89"/>
      <c r="AA317" s="27"/>
      <c r="AB317" s="107"/>
      <c r="AC317" s="1"/>
      <c r="AD317" s="1"/>
      <c r="AE317" s="1"/>
      <c r="AF317" s="1"/>
      <c r="AG317" s="1"/>
      <c r="AH317" s="1"/>
      <c r="AI317" s="1"/>
    </row>
    <row r="318" spans="1:35" ht="14.25" collapsed="1" x14ac:dyDescent="0.2">
      <c r="A318" s="1"/>
      <c r="B318" s="3" t="s">
        <v>60</v>
      </c>
      <c r="C318" s="3"/>
      <c r="D318" s="3"/>
      <c r="E318" s="3"/>
      <c r="F318" s="3"/>
      <c r="G318" s="102">
        <f>SUM(G319:G319)</f>
        <v>0</v>
      </c>
      <c r="H318" s="103">
        <f>SUM(H319:H319)</f>
        <v>0</v>
      </c>
      <c r="I318" s="89">
        <f>G318-H318</f>
        <v>0</v>
      </c>
      <c r="J318" s="26" t="str">
        <f>IF(ISERROR(I318/H318),"N/A",IF(ABS(I318/H318)&gt;5,"N/A",I318/H318))</f>
        <v>N/A</v>
      </c>
      <c r="K318" s="103">
        <f>SUM(K319:K319)</f>
        <v>0</v>
      </c>
      <c r="L318" s="89">
        <f>K318-G318</f>
        <v>0</v>
      </c>
      <c r="M318" s="27" t="str">
        <f>IF(ISERROR(L318/K318),"N/A",IF(ABS(L318/K318)&gt;5,"N/A",L318/K318))</f>
        <v>N/A</v>
      </c>
      <c r="N318" s="102">
        <f>SUM(N319:N319)</f>
        <v>0</v>
      </c>
      <c r="O318" s="103">
        <f>SUM(O319:O319)</f>
        <v>0</v>
      </c>
      <c r="P318" s="89">
        <f>N318-O318</f>
        <v>0</v>
      </c>
      <c r="Q318" s="26" t="str">
        <f>IF(ISERROR(P318/O318),"N/A",IF(ABS(P318/O318)&gt;5,"N/A",P318/O318))</f>
        <v>N/A</v>
      </c>
      <c r="R318" s="103">
        <f>SUM(R319:R319)</f>
        <v>0</v>
      </c>
      <c r="S318" s="89">
        <f>R318-N318</f>
        <v>0</v>
      </c>
      <c r="T318" s="27" t="str">
        <f>IF(ISERROR(S318/R318),"N/A",IF(ABS(S318/R318)&gt;5,"N/A",S318/R318))</f>
        <v>N/A</v>
      </c>
      <c r="U318" s="102">
        <f>SUM(U319:U319)</f>
        <v>0</v>
      </c>
      <c r="V318" s="103">
        <f>SUM(V319:V319)</f>
        <v>0</v>
      </c>
      <c r="W318" s="89">
        <f>U318-V318</f>
        <v>0</v>
      </c>
      <c r="X318" s="26" t="str">
        <f>IF(ISERROR(W318/V318),"N/A",IF(ABS(W318/V318)&gt;5,"N/A",W318/V318))</f>
        <v>N/A</v>
      </c>
      <c r="Y318" s="103">
        <f>SUM(Y319:Y319)</f>
        <v>0</v>
      </c>
      <c r="Z318" s="89">
        <f>Y318-U318</f>
        <v>0</v>
      </c>
      <c r="AA318" s="27" t="str">
        <f>IF(ISERROR(Z318/Y318),"N/A",IF(ABS(Z318/Y318)&gt;5,"N/A",Z318/Y318))</f>
        <v>N/A</v>
      </c>
      <c r="AB318" s="104">
        <f>SUM(AB319:AB319)</f>
        <v>0</v>
      </c>
      <c r="AC318" s="1"/>
      <c r="AD318" s="1"/>
      <c r="AE318" s="1"/>
      <c r="AF318" s="1"/>
      <c r="AG318" s="1"/>
      <c r="AH318" s="1"/>
      <c r="AI318" s="1"/>
    </row>
    <row r="319" spans="1:35" ht="14.25" hidden="1" outlineLevel="1" x14ac:dyDescent="0.2">
      <c r="A319" s="1"/>
      <c r="B319" s="3"/>
      <c r="C319" s="3"/>
      <c r="D319" s="3"/>
      <c r="E319" s="3"/>
      <c r="F319" s="3"/>
      <c r="G319" s="105"/>
      <c r="H319" s="106"/>
      <c r="I319" s="89"/>
      <c r="J319" s="26"/>
      <c r="K319" s="106"/>
      <c r="L319" s="89"/>
      <c r="M319" s="27"/>
      <c r="N319" s="105"/>
      <c r="O319" s="106"/>
      <c r="P319" s="89"/>
      <c r="Q319" s="26"/>
      <c r="R319" s="106"/>
      <c r="S319" s="89"/>
      <c r="T319" s="27"/>
      <c r="U319" s="105"/>
      <c r="V319" s="106"/>
      <c r="W319" s="89"/>
      <c r="X319" s="26"/>
      <c r="Y319" s="106"/>
      <c r="Z319" s="89"/>
      <c r="AA319" s="27"/>
      <c r="AB319" s="107"/>
      <c r="AC319" s="1"/>
      <c r="AD319" s="1"/>
      <c r="AE319" s="1"/>
      <c r="AF319" s="1"/>
      <c r="AG319" s="1"/>
      <c r="AH319" s="1"/>
      <c r="AI319" s="1"/>
    </row>
    <row r="320" spans="1:35" ht="14.25" hidden="1" outlineLevel="1" x14ac:dyDescent="0.2">
      <c r="A320" s="1"/>
      <c r="B320" s="3"/>
      <c r="C320" s="3"/>
      <c r="D320" s="3"/>
      <c r="E320" s="3"/>
      <c r="F320" s="3"/>
      <c r="G320" s="105"/>
      <c r="H320" s="106"/>
      <c r="I320" s="89"/>
      <c r="J320" s="26"/>
      <c r="K320" s="106"/>
      <c r="L320" s="89"/>
      <c r="M320" s="27"/>
      <c r="N320" s="105"/>
      <c r="O320" s="106"/>
      <c r="P320" s="89"/>
      <c r="Q320" s="26"/>
      <c r="R320" s="106"/>
      <c r="S320" s="89"/>
      <c r="T320" s="27"/>
      <c r="U320" s="105"/>
      <c r="V320" s="106"/>
      <c r="W320" s="89"/>
      <c r="X320" s="26"/>
      <c r="Y320" s="106"/>
      <c r="Z320" s="89"/>
      <c r="AA320" s="27"/>
      <c r="AB320" s="107"/>
      <c r="AC320" s="1"/>
      <c r="AD320" s="1"/>
      <c r="AE320" s="1"/>
      <c r="AF320" s="1"/>
      <c r="AG320" s="1"/>
      <c r="AH320" s="1"/>
      <c r="AI320" s="1"/>
    </row>
    <row r="321" spans="1:35" ht="14.25" collapsed="1" x14ac:dyDescent="0.2">
      <c r="A321" s="1"/>
      <c r="B321" s="3" t="s">
        <v>62</v>
      </c>
      <c r="C321" s="3"/>
      <c r="D321" s="3"/>
      <c r="E321" s="3"/>
      <c r="F321" s="3"/>
      <c r="G321" s="102">
        <f>SUM(G322:G326)</f>
        <v>102.80558000000001</v>
      </c>
      <c r="H321" s="103">
        <f>SUM(H322:H326)</f>
        <v>20.79448</v>
      </c>
      <c r="I321" s="89">
        <f>G321-H321</f>
        <v>82.011099999999999</v>
      </c>
      <c r="J321" s="26">
        <f>IF(ISERROR(I321/H321),"N/A",IF(ABS(I321/H321)&gt;5,"N/A",I321/H321))</f>
        <v>3.9438879933520816</v>
      </c>
      <c r="K321" s="103">
        <f>SUM(K322:K326)</f>
        <v>59.100477384999998</v>
      </c>
      <c r="L321" s="89">
        <f>K321-G321</f>
        <v>-43.705102615000008</v>
      </c>
      <c r="M321" s="27">
        <f>IF(ISERROR(L321/K321),"N/A",IF(ABS(L321/K321)&gt;5,"N/A",L321/K321))</f>
        <v>-0.73950506914336001</v>
      </c>
      <c r="N321" s="102">
        <f>SUM(N322:N326)</f>
        <v>400.44998000000004</v>
      </c>
      <c r="O321" s="103">
        <f>SUM(O322:O326)</f>
        <v>52.818129999999996</v>
      </c>
      <c r="P321" s="89">
        <f>N321-O321</f>
        <v>347.63185000000004</v>
      </c>
      <c r="Q321" s="26" t="str">
        <f>IF(ISERROR(P321/O321),"N/A",IF(ABS(P321/O321)&gt;5,"N/A",P321/O321))</f>
        <v>N/A</v>
      </c>
      <c r="R321" s="103">
        <f>SUM(R322:R326)</f>
        <v>190.91648796999999</v>
      </c>
      <c r="S321" s="89">
        <f>R321-N321</f>
        <v>-209.53349203000005</v>
      </c>
      <c r="T321" s="27">
        <f>IF(ISERROR(S321/R321),"N/A",IF(ABS(S321/R321)&gt;5,"N/A",S321/R321))</f>
        <v>-1.0975138619925036</v>
      </c>
      <c r="U321" s="102">
        <f>SUM(U322:U326)</f>
        <v>565.13171999999986</v>
      </c>
      <c r="V321" s="103">
        <f>SUM(V322:V326)</f>
        <v>100.97792999999999</v>
      </c>
      <c r="W321" s="89">
        <f>U321-V321</f>
        <v>464.15378999999984</v>
      </c>
      <c r="X321" s="26">
        <f>IF(ISERROR(W321/V321),"N/A",IF(ABS(W321/V321)&gt;5,"N/A",W321/V321))</f>
        <v>4.5965865016246612</v>
      </c>
      <c r="Y321" s="103">
        <f>SUM(Y322:Y326)</f>
        <v>355.59822796999998</v>
      </c>
      <c r="Z321" s="89">
        <f>Y321-U321</f>
        <v>-209.53349202999988</v>
      </c>
      <c r="AA321" s="27">
        <f>IF(ISERROR(Z321/Y321),"N/A",IF(ABS(Z321/Y321)&gt;5,"N/A",Z321/Y321))</f>
        <v>-0.58924222774157675</v>
      </c>
      <c r="AB321" s="104">
        <f>SUM(AB322:AB326)</f>
        <v>819.09148498099989</v>
      </c>
      <c r="AC321" s="1"/>
      <c r="AD321" s="1"/>
      <c r="AE321" s="1"/>
      <c r="AF321" s="1"/>
      <c r="AG321" s="1"/>
      <c r="AH321" s="1"/>
      <c r="AI321" s="1"/>
    </row>
    <row r="322" spans="1:35" ht="14.25" hidden="1" outlineLevel="1" x14ac:dyDescent="0.2">
      <c r="A322" s="1"/>
      <c r="B322" s="3"/>
      <c r="C322" s="3"/>
      <c r="D322" s="3" t="s">
        <v>62</v>
      </c>
      <c r="E322" s="3" t="s">
        <v>91</v>
      </c>
      <c r="F322" s="3">
        <v>860</v>
      </c>
      <c r="G322" s="105">
        <f>44070.49/1000*1</f>
        <v>44.070489999999999</v>
      </c>
      <c r="H322" s="106">
        <f>20794.48/1000*1</f>
        <v>20.79448</v>
      </c>
      <c r="I322" s="89">
        <f>G322-H322</f>
        <v>23.276009999999999</v>
      </c>
      <c r="J322" s="26">
        <f>IF(ISERROR(I322/H322),"N/A",IF(ABS(I322/H322)&gt;5,"N/A",I322/H322))</f>
        <v>1.1193359968607053</v>
      </c>
      <c r="K322" s="106">
        <f>59100.477385/1000*1</f>
        <v>59.100477384999998</v>
      </c>
      <c r="L322" s="89">
        <f>K322-G322</f>
        <v>15.029987384999998</v>
      </c>
      <c r="M322" s="27">
        <f>IF(ISERROR(L322/K322),"N/A",IF(ABS(L322/K322)&gt;5,"N/A",L322/K322))</f>
        <v>0.25431245313112621</v>
      </c>
      <c r="N322" s="105">
        <f>151385.41/1000*1</f>
        <v>151.38541000000001</v>
      </c>
      <c r="O322" s="106">
        <f>52818.13/1000*1</f>
        <v>52.818129999999996</v>
      </c>
      <c r="P322" s="89">
        <f>N322-O322</f>
        <v>98.567280000000011</v>
      </c>
      <c r="Q322" s="26">
        <f>IF(ISERROR(P322/O322),"N/A",IF(ABS(P322/O322)&gt;5,"N/A",P322/O322))</f>
        <v>1.8661637585427582</v>
      </c>
      <c r="R322" s="106">
        <f>153675.24797/1000*1</f>
        <v>153.67524796999999</v>
      </c>
      <c r="S322" s="89">
        <f>R322-N322</f>
        <v>2.2898379699999794</v>
      </c>
      <c r="T322" s="27">
        <f>IF(ISERROR(S322/R322),"N/A",IF(ABS(S322/R322)&gt;5,"N/A",S322/R322))</f>
        <v>1.4900499594098553E-2</v>
      </c>
      <c r="U322" s="105">
        <f>308169.18/1000*1</f>
        <v>308.16917999999998</v>
      </c>
      <c r="V322" s="106">
        <f>100977.93/1000*1</f>
        <v>100.97792999999999</v>
      </c>
      <c r="W322" s="89">
        <f>U322-V322</f>
        <v>207.19125</v>
      </c>
      <c r="X322" s="26">
        <f>IF(ISERROR(W322/V322),"N/A",IF(ABS(W322/V322)&gt;5,"N/A",W322/V322))</f>
        <v>2.0518468738663986</v>
      </c>
      <c r="Y322" s="106">
        <f>310459.01797/1000*1</f>
        <v>310.45901796999999</v>
      </c>
      <c r="Z322" s="89">
        <f>Y322-U322</f>
        <v>2.2898379700000078</v>
      </c>
      <c r="AA322" s="27">
        <f>IF(ISERROR(Z322/Y322),"N/A",IF(ABS(Z322/Y322)&gt;5,"N/A",Z322/Y322))</f>
        <v>7.3756529443808182E-3</v>
      </c>
      <c r="AB322" s="107">
        <f>764382.906535/1000*1</f>
        <v>764.38290653499996</v>
      </c>
      <c r="AC322" s="1"/>
      <c r="AD322" s="1"/>
      <c r="AE322" s="1"/>
      <c r="AF322" s="1"/>
      <c r="AG322" s="1"/>
      <c r="AH322" s="1"/>
      <c r="AI322" s="1"/>
    </row>
    <row r="323" spans="1:35" ht="14.25" hidden="1" outlineLevel="1" x14ac:dyDescent="0.2">
      <c r="A323" s="1"/>
      <c r="B323" s="3"/>
      <c r="C323" s="3"/>
      <c r="D323" s="3" t="s">
        <v>62</v>
      </c>
      <c r="E323" s="3" t="s">
        <v>91</v>
      </c>
      <c r="F323" s="3">
        <v>861</v>
      </c>
      <c r="G323" s="105">
        <f>58399.29/1000*1</f>
        <v>58.399290000000001</v>
      </c>
      <c r="H323" s="106">
        <f>0/1000*1</f>
        <v>0</v>
      </c>
      <c r="I323" s="89">
        <f>G323-H323</f>
        <v>58.399290000000001</v>
      </c>
      <c r="J323" s="26" t="str">
        <f>IF(ISERROR(I323/H323),"N/A",IF(ABS(I323/H323)&gt;5,"N/A",I323/H323))</f>
        <v>N/A</v>
      </c>
      <c r="K323" s="106">
        <f>0/1000*1</f>
        <v>0</v>
      </c>
      <c r="L323" s="89">
        <f>K323-G323</f>
        <v>-58.399290000000001</v>
      </c>
      <c r="M323" s="27" t="str">
        <f>IF(ISERROR(L323/K323),"N/A",IF(ABS(L323/K323)&gt;5,"N/A",L323/K323))</f>
        <v>N/A</v>
      </c>
      <c r="N323" s="105">
        <f>247671.03/1000*1</f>
        <v>247.67103</v>
      </c>
      <c r="O323" s="106">
        <f>0/1000*1</f>
        <v>0</v>
      </c>
      <c r="P323" s="89">
        <f>N323-O323</f>
        <v>247.67103</v>
      </c>
      <c r="Q323" s="26" t="str">
        <f>IF(ISERROR(P323/O323),"N/A",IF(ABS(P323/O323)&gt;5,"N/A",P323/O323))</f>
        <v>N/A</v>
      </c>
      <c r="R323" s="106">
        <f>37241.24/1000*1</f>
        <v>37.241239999999998</v>
      </c>
      <c r="S323" s="89">
        <f>R323-N323</f>
        <v>-210.42979</v>
      </c>
      <c r="T323" s="27" t="str">
        <f>IF(ISERROR(S323/R323),"N/A",IF(ABS(S323/R323)&gt;5,"N/A",S323/R323))</f>
        <v>N/A</v>
      </c>
      <c r="U323" s="105">
        <f>247671.03/1000*1</f>
        <v>247.67103</v>
      </c>
      <c r="V323" s="106">
        <f>0/1000*1</f>
        <v>0</v>
      </c>
      <c r="W323" s="89">
        <f>U323-V323</f>
        <v>247.67103</v>
      </c>
      <c r="X323" s="26" t="str">
        <f>IF(ISERROR(W323/V323),"N/A",IF(ABS(W323/V323)&gt;5,"N/A",W323/V323))</f>
        <v>N/A</v>
      </c>
      <c r="Y323" s="106">
        <f>37241.24/1000*1</f>
        <v>37.241239999999998</v>
      </c>
      <c r="Z323" s="89">
        <f>Y323-U323</f>
        <v>-210.42979</v>
      </c>
      <c r="AA323" s="27" t="str">
        <f>IF(ISERROR(Z323/Y323),"N/A",IF(ABS(Z323/Y323)&gt;5,"N/A",Z323/Y323))</f>
        <v>N/A</v>
      </c>
      <c r="AB323" s="107">
        <f>37241.24/1000*1</f>
        <v>37.241239999999998</v>
      </c>
      <c r="AC323" s="1"/>
      <c r="AD323" s="1"/>
      <c r="AE323" s="1"/>
      <c r="AF323" s="1"/>
      <c r="AG323" s="1"/>
      <c r="AH323" s="1"/>
      <c r="AI323" s="1"/>
    </row>
    <row r="324" spans="1:35" ht="14.25" hidden="1" outlineLevel="1" x14ac:dyDescent="0.2">
      <c r="A324" s="1"/>
      <c r="B324" s="3"/>
      <c r="C324" s="3"/>
      <c r="D324" s="3" t="s">
        <v>62</v>
      </c>
      <c r="E324" s="3" t="s">
        <v>93</v>
      </c>
      <c r="F324" s="3">
        <v>860</v>
      </c>
      <c r="G324" s="105">
        <f>335.8/1000*1</f>
        <v>0.33579999999999999</v>
      </c>
      <c r="H324" s="106">
        <f>0/1000*1</f>
        <v>0</v>
      </c>
      <c r="I324" s="89">
        <f>G324-H324</f>
        <v>0.33579999999999999</v>
      </c>
      <c r="J324" s="26" t="str">
        <f>IF(ISERROR(I324/H324),"N/A",IF(ABS(I324/H324)&gt;5,"N/A",I324/H324))</f>
        <v>N/A</v>
      </c>
      <c r="K324" s="106">
        <f>0/1000*1</f>
        <v>0</v>
      </c>
      <c r="L324" s="89">
        <f>K324-G324</f>
        <v>-0.33579999999999999</v>
      </c>
      <c r="M324" s="27" t="str">
        <f>IF(ISERROR(L324/K324),"N/A",IF(ABS(L324/K324)&gt;5,"N/A",L324/K324))</f>
        <v>N/A</v>
      </c>
      <c r="N324" s="105">
        <f>335.8/1000*1</f>
        <v>0.33579999999999999</v>
      </c>
      <c r="O324" s="106">
        <f>0/1000*1</f>
        <v>0</v>
      </c>
      <c r="P324" s="89">
        <f>N324-O324</f>
        <v>0.33579999999999999</v>
      </c>
      <c r="Q324" s="26" t="str">
        <f>IF(ISERROR(P324/O324),"N/A",IF(ABS(P324/O324)&gt;5,"N/A",P324/O324))</f>
        <v>N/A</v>
      </c>
      <c r="R324" s="106">
        <f>0/1000*1</f>
        <v>0</v>
      </c>
      <c r="S324" s="89">
        <f>R324-N324</f>
        <v>-0.33579999999999999</v>
      </c>
      <c r="T324" s="27" t="str">
        <f>IF(ISERROR(S324/R324),"N/A",IF(ABS(S324/R324)&gt;5,"N/A",S324/R324))</f>
        <v>N/A</v>
      </c>
      <c r="U324" s="105">
        <f>335.8/1000*1</f>
        <v>0.33579999999999999</v>
      </c>
      <c r="V324" s="106">
        <f>0/1000*1</f>
        <v>0</v>
      </c>
      <c r="W324" s="89">
        <f>U324-V324</f>
        <v>0.33579999999999999</v>
      </c>
      <c r="X324" s="26" t="str">
        <f>IF(ISERROR(W324/V324),"N/A",IF(ABS(W324/V324)&gt;5,"N/A",W324/V324))</f>
        <v>N/A</v>
      </c>
      <c r="Y324" s="106">
        <f>0/1000*1</f>
        <v>0</v>
      </c>
      <c r="Z324" s="89">
        <f>Y324-U324</f>
        <v>-0.33579999999999999</v>
      </c>
      <c r="AA324" s="27" t="str">
        <f>IF(ISERROR(Z324/Y324),"N/A",IF(ABS(Z324/Y324)&gt;5,"N/A",Z324/Y324))</f>
        <v>N/A</v>
      </c>
      <c r="AB324" s="107">
        <f>9569.368446/1000*1</f>
        <v>9.5693684460000004</v>
      </c>
      <c r="AC324" s="1"/>
      <c r="AD324" s="1"/>
      <c r="AE324" s="1"/>
      <c r="AF324" s="1"/>
      <c r="AG324" s="1"/>
      <c r="AH324" s="1"/>
      <c r="AI324" s="1"/>
    </row>
    <row r="325" spans="1:35" ht="14.25" hidden="1" outlineLevel="1" x14ac:dyDescent="0.2">
      <c r="A325" s="1"/>
      <c r="B325" s="3"/>
      <c r="C325" s="3"/>
      <c r="D325" s="3" t="s">
        <v>62</v>
      </c>
      <c r="E325" s="3" t="s">
        <v>97</v>
      </c>
      <c r="F325" s="3">
        <v>860</v>
      </c>
      <c r="G325" s="105">
        <f>0/1000*1</f>
        <v>0</v>
      </c>
      <c r="H325" s="106">
        <f>0/1000*1</f>
        <v>0</v>
      </c>
      <c r="I325" s="89">
        <f>G325-H325</f>
        <v>0</v>
      </c>
      <c r="J325" s="26" t="str">
        <f>IF(ISERROR(I325/H325),"N/A",IF(ABS(I325/H325)&gt;5,"N/A",I325/H325))</f>
        <v>N/A</v>
      </c>
      <c r="K325" s="106">
        <f>0/1000*1</f>
        <v>0</v>
      </c>
      <c r="L325" s="89">
        <f>K325-G325</f>
        <v>0</v>
      </c>
      <c r="M325" s="27" t="str">
        <f>IF(ISERROR(L325/K325),"N/A",IF(ABS(L325/K325)&gt;5,"N/A",L325/K325))</f>
        <v>N/A</v>
      </c>
      <c r="N325" s="105">
        <f>1057.74/1000*1</f>
        <v>1.0577399999999999</v>
      </c>
      <c r="O325" s="106">
        <f>0/1000*1</f>
        <v>0</v>
      </c>
      <c r="P325" s="89">
        <f>N325-O325</f>
        <v>1.0577399999999999</v>
      </c>
      <c r="Q325" s="26" t="str">
        <f>IF(ISERROR(P325/O325),"N/A",IF(ABS(P325/O325)&gt;5,"N/A",P325/O325))</f>
        <v>N/A</v>
      </c>
      <c r="R325" s="106">
        <f>0/1000*1</f>
        <v>0</v>
      </c>
      <c r="S325" s="89">
        <f>R325-N325</f>
        <v>-1.0577399999999999</v>
      </c>
      <c r="T325" s="27" t="str">
        <f>IF(ISERROR(S325/R325),"N/A",IF(ABS(S325/R325)&gt;5,"N/A",S325/R325))</f>
        <v>N/A</v>
      </c>
      <c r="U325" s="105">
        <f>8955.71/1000*1</f>
        <v>8.9557099999999998</v>
      </c>
      <c r="V325" s="106">
        <f>0/1000*1</f>
        <v>0</v>
      </c>
      <c r="W325" s="89">
        <f>U325-V325</f>
        <v>8.9557099999999998</v>
      </c>
      <c r="X325" s="26" t="str">
        <f>IF(ISERROR(W325/V325),"N/A",IF(ABS(W325/V325)&gt;5,"N/A",W325/V325))</f>
        <v>N/A</v>
      </c>
      <c r="Y325" s="106">
        <f>7897.97/1000*1</f>
        <v>7.8979699999999999</v>
      </c>
      <c r="Z325" s="89">
        <f>Y325-U325</f>
        <v>-1.0577399999999999</v>
      </c>
      <c r="AA325" s="27">
        <f>IF(ISERROR(Z325/Y325),"N/A",IF(ABS(Z325/Y325)&gt;5,"N/A",Z325/Y325))</f>
        <v>-0.13392555302185244</v>
      </c>
      <c r="AB325" s="107">
        <f>7897.97/1000*1</f>
        <v>7.8979699999999999</v>
      </c>
      <c r="AC325" s="1"/>
      <c r="AD325" s="1"/>
      <c r="AE325" s="1"/>
      <c r="AF325" s="1"/>
      <c r="AG325" s="1"/>
      <c r="AH325" s="1"/>
      <c r="AI325" s="1"/>
    </row>
    <row r="326" spans="1:35" ht="14.25" hidden="1" outlineLevel="1" x14ac:dyDescent="0.2">
      <c r="A326" s="1"/>
      <c r="B326" s="3"/>
      <c r="C326" s="3"/>
      <c r="D326" s="3"/>
      <c r="E326" s="3"/>
      <c r="F326" s="3"/>
      <c r="G326" s="105"/>
      <c r="H326" s="106"/>
      <c r="I326" s="89"/>
      <c r="J326" s="26"/>
      <c r="K326" s="106"/>
      <c r="L326" s="89"/>
      <c r="M326" s="27"/>
      <c r="N326" s="105"/>
      <c r="O326" s="106"/>
      <c r="P326" s="89"/>
      <c r="Q326" s="26"/>
      <c r="R326" s="106"/>
      <c r="S326" s="89"/>
      <c r="T326" s="27"/>
      <c r="U326" s="105"/>
      <c r="V326" s="106"/>
      <c r="W326" s="89"/>
      <c r="X326" s="26"/>
      <c r="Y326" s="106"/>
      <c r="Z326" s="89"/>
      <c r="AA326" s="27"/>
      <c r="AB326" s="107"/>
      <c r="AC326" s="1"/>
      <c r="AD326" s="1"/>
      <c r="AE326" s="1"/>
      <c r="AF326" s="1"/>
      <c r="AG326" s="1"/>
      <c r="AH326" s="1"/>
      <c r="AI326" s="1"/>
    </row>
    <row r="327" spans="1:35" ht="14.25" hidden="1" outlineLevel="1" x14ac:dyDescent="0.2">
      <c r="A327" s="1"/>
      <c r="B327" s="3"/>
      <c r="C327" s="3"/>
      <c r="D327" s="3"/>
      <c r="E327" s="3"/>
      <c r="F327" s="3"/>
      <c r="G327" s="105"/>
      <c r="H327" s="106"/>
      <c r="I327" s="89"/>
      <c r="J327" s="26"/>
      <c r="K327" s="106"/>
      <c r="L327" s="89"/>
      <c r="M327" s="27"/>
      <c r="N327" s="105"/>
      <c r="O327" s="106"/>
      <c r="P327" s="89"/>
      <c r="Q327" s="26"/>
      <c r="R327" s="106"/>
      <c r="S327" s="89"/>
      <c r="T327" s="27"/>
      <c r="U327" s="105"/>
      <c r="V327" s="106"/>
      <c r="W327" s="89"/>
      <c r="X327" s="26"/>
      <c r="Y327" s="106"/>
      <c r="Z327" s="89"/>
      <c r="AA327" s="27"/>
      <c r="AB327" s="107"/>
      <c r="AC327" s="1"/>
      <c r="AD327" s="1"/>
      <c r="AE327" s="1"/>
      <c r="AF327" s="1"/>
      <c r="AG327" s="1"/>
      <c r="AH327" s="1"/>
      <c r="AI327" s="1"/>
    </row>
    <row r="328" spans="1:35" ht="14.25" collapsed="1" x14ac:dyDescent="0.2">
      <c r="A328" s="1"/>
      <c r="B328" s="3" t="s">
        <v>63</v>
      </c>
      <c r="C328" s="3"/>
      <c r="D328" s="3"/>
      <c r="E328" s="3"/>
      <c r="F328" s="3"/>
      <c r="G328" s="102">
        <f>SUM(G329:G331)</f>
        <v>0</v>
      </c>
      <c r="H328" s="103">
        <f>SUM(H329:H331)</f>
        <v>0</v>
      </c>
      <c r="I328" s="89">
        <f>G328-H328</f>
        <v>0</v>
      </c>
      <c r="J328" s="26" t="str">
        <f>IF(ISERROR(I328/H328),"N/A",IF(ABS(I328/H328)&gt;5,"N/A",I328/H328))</f>
        <v>N/A</v>
      </c>
      <c r="K328" s="103">
        <f>SUM(K329:K331)</f>
        <v>0</v>
      </c>
      <c r="L328" s="89">
        <f>K328-G328</f>
        <v>0</v>
      </c>
      <c r="M328" s="27" t="str">
        <f>IF(ISERROR(L328/K328),"N/A",IF(ABS(L328/K328)&gt;5,"N/A",L328/K328))</f>
        <v>N/A</v>
      </c>
      <c r="N328" s="102">
        <f>SUM(N329:N331)</f>
        <v>6.8799999999999998E-3</v>
      </c>
      <c r="O328" s="103">
        <f>SUM(O329:O331)</f>
        <v>0</v>
      </c>
      <c r="P328" s="89">
        <f>N328-O328</f>
        <v>6.8799999999999998E-3</v>
      </c>
      <c r="Q328" s="26" t="str">
        <f>IF(ISERROR(P328/O328),"N/A",IF(ABS(P328/O328)&gt;5,"N/A",P328/O328))</f>
        <v>N/A</v>
      </c>
      <c r="R328" s="103">
        <f>SUM(R329:R331)</f>
        <v>0</v>
      </c>
      <c r="S328" s="89">
        <f>R328-N328</f>
        <v>-6.8799999999999998E-3</v>
      </c>
      <c r="T328" s="27" t="str">
        <f>IF(ISERROR(S328/R328),"N/A",IF(ABS(S328/R328)&gt;5,"N/A",S328/R328))</f>
        <v>N/A</v>
      </c>
      <c r="U328" s="102">
        <f>SUM(U329:U331)</f>
        <v>2.9572400000000005</v>
      </c>
      <c r="V328" s="103">
        <f>SUM(V329:V331)</f>
        <v>6.132E-2</v>
      </c>
      <c r="W328" s="89">
        <f>U328-V328</f>
        <v>2.8959200000000007</v>
      </c>
      <c r="X328" s="26" t="str">
        <f>IF(ISERROR(W328/V328),"N/A",IF(ABS(W328/V328)&gt;5,"N/A",W328/V328))</f>
        <v>N/A</v>
      </c>
      <c r="Y328" s="103">
        <f>SUM(Y329:Y331)</f>
        <v>2.9503600000000003</v>
      </c>
      <c r="Z328" s="89">
        <f>Y328-U328</f>
        <v>-6.8800000000002193E-3</v>
      </c>
      <c r="AA328" s="27">
        <f>IF(ISERROR(Z328/Y328),"N/A",IF(ABS(Z328/Y328)&gt;5,"N/A",Z328/Y328))</f>
        <v>-2.3319188166868515E-3</v>
      </c>
      <c r="AB328" s="104">
        <f>SUM(AB329:AB331)</f>
        <v>2.9503600000000003</v>
      </c>
      <c r="AC328" s="1"/>
      <c r="AD328" s="1"/>
      <c r="AE328" s="1"/>
      <c r="AF328" s="1"/>
      <c r="AG328" s="1"/>
      <c r="AH328" s="1"/>
      <c r="AI328" s="1"/>
    </row>
    <row r="329" spans="1:35" ht="14.25" hidden="1" outlineLevel="1" x14ac:dyDescent="0.2">
      <c r="A329" s="1"/>
      <c r="B329" s="3"/>
      <c r="C329" s="3"/>
      <c r="D329" s="3" t="s">
        <v>64</v>
      </c>
      <c r="E329" s="3" t="s">
        <v>91</v>
      </c>
      <c r="F329" s="3">
        <v>642</v>
      </c>
      <c r="G329" s="105">
        <f>0/1000*1</f>
        <v>0</v>
      </c>
      <c r="H329" s="106">
        <f>0/1000*1</f>
        <v>0</v>
      </c>
      <c r="I329" s="89">
        <f>G329-H329</f>
        <v>0</v>
      </c>
      <c r="J329" s="26" t="str">
        <f>IF(ISERROR(I329/H329),"N/A",IF(ABS(I329/H329)&gt;5,"N/A",I329/H329))</f>
        <v>N/A</v>
      </c>
      <c r="K329" s="106">
        <f>0/1000*1</f>
        <v>0</v>
      </c>
      <c r="L329" s="89">
        <f>K329-G329</f>
        <v>0</v>
      </c>
      <c r="M329" s="27" t="str">
        <f>IF(ISERROR(L329/K329),"N/A",IF(ABS(L329/K329)&gt;5,"N/A",L329/K329))</f>
        <v>N/A</v>
      </c>
      <c r="N329" s="105">
        <f>6.88/1000*1</f>
        <v>6.8799999999999998E-3</v>
      </c>
      <c r="O329" s="106">
        <f>0/1000*1</f>
        <v>0</v>
      </c>
      <c r="P329" s="89">
        <f>N329-O329</f>
        <v>6.8799999999999998E-3</v>
      </c>
      <c r="Q329" s="26" t="str">
        <f>IF(ISERROR(P329/O329),"N/A",IF(ABS(P329/O329)&gt;5,"N/A",P329/O329))</f>
        <v>N/A</v>
      </c>
      <c r="R329" s="106">
        <f>0/1000*1</f>
        <v>0</v>
      </c>
      <c r="S329" s="89">
        <f>R329-N329</f>
        <v>-6.8799999999999998E-3</v>
      </c>
      <c r="T329" s="27" t="str">
        <f>IF(ISERROR(S329/R329),"N/A",IF(ABS(S329/R329)&gt;5,"N/A",S329/R329))</f>
        <v>N/A</v>
      </c>
      <c r="U329" s="105">
        <f>6.88/1000*1</f>
        <v>6.8799999999999998E-3</v>
      </c>
      <c r="V329" s="106">
        <f>61.32/1000*1</f>
        <v>6.132E-2</v>
      </c>
      <c r="W329" s="89">
        <f>U329-V329</f>
        <v>-5.4440000000000002E-2</v>
      </c>
      <c r="X329" s="26">
        <f>IF(ISERROR(W329/V329),"N/A",IF(ABS(W329/V329)&gt;5,"N/A",W329/V329))</f>
        <v>-0.88780169602087411</v>
      </c>
      <c r="Y329" s="106">
        <f>0/1000*1</f>
        <v>0</v>
      </c>
      <c r="Z329" s="89">
        <f>Y329-U329</f>
        <v>-6.8799999999999998E-3</v>
      </c>
      <c r="AA329" s="27" t="str">
        <f>IF(ISERROR(Z329/Y329),"N/A",IF(ABS(Z329/Y329)&gt;5,"N/A",Z329/Y329))</f>
        <v>N/A</v>
      </c>
      <c r="AB329" s="107">
        <f>0/1000*1</f>
        <v>0</v>
      </c>
      <c r="AC329" s="1"/>
      <c r="AD329" s="1"/>
      <c r="AE329" s="1"/>
      <c r="AF329" s="1"/>
      <c r="AG329" s="1"/>
      <c r="AH329" s="1"/>
      <c r="AI329" s="1"/>
    </row>
    <row r="330" spans="1:35" ht="14.25" hidden="1" outlineLevel="1" x14ac:dyDescent="0.2">
      <c r="A330" s="1"/>
      <c r="B330" s="3"/>
      <c r="C330" s="3"/>
      <c r="D330" s="3" t="s">
        <v>64</v>
      </c>
      <c r="E330" s="3" t="s">
        <v>92</v>
      </c>
      <c r="F330" s="3">
        <v>640</v>
      </c>
      <c r="G330" s="105">
        <f>0/1000*1</f>
        <v>0</v>
      </c>
      <c r="H330" s="106">
        <f>0/1000*1</f>
        <v>0</v>
      </c>
      <c r="I330" s="89">
        <f>G330-H330</f>
        <v>0</v>
      </c>
      <c r="J330" s="26" t="str">
        <f>IF(ISERROR(I330/H330),"N/A",IF(ABS(I330/H330)&gt;5,"N/A",I330/H330))</f>
        <v>N/A</v>
      </c>
      <c r="K330" s="106">
        <f>0/1000*1</f>
        <v>0</v>
      </c>
      <c r="L330" s="89">
        <f>K330-G330</f>
        <v>0</v>
      </c>
      <c r="M330" s="27" t="str">
        <f>IF(ISERROR(L330/K330),"N/A",IF(ABS(L330/K330)&gt;5,"N/A",L330/K330))</f>
        <v>N/A</v>
      </c>
      <c r="N330" s="105">
        <f>0/1000*1</f>
        <v>0</v>
      </c>
      <c r="O330" s="106">
        <f>0/1000*1</f>
        <v>0</v>
      </c>
      <c r="P330" s="89">
        <f>N330-O330</f>
        <v>0</v>
      </c>
      <c r="Q330" s="26" t="str">
        <f>IF(ISERROR(P330/O330),"N/A",IF(ABS(P330/O330)&gt;5,"N/A",P330/O330))</f>
        <v>N/A</v>
      </c>
      <c r="R330" s="106">
        <f>0/1000*1</f>
        <v>0</v>
      </c>
      <c r="S330" s="89">
        <f>R330-N330</f>
        <v>0</v>
      </c>
      <c r="T330" s="27" t="str">
        <f>IF(ISERROR(S330/R330),"N/A",IF(ABS(S330/R330)&gt;5,"N/A",S330/R330))</f>
        <v>N/A</v>
      </c>
      <c r="U330" s="105">
        <f>2950.36/1000*1</f>
        <v>2.9503600000000003</v>
      </c>
      <c r="V330" s="106">
        <f>0/1000*1</f>
        <v>0</v>
      </c>
      <c r="W330" s="89">
        <f>U330-V330</f>
        <v>2.9503600000000003</v>
      </c>
      <c r="X330" s="26" t="str">
        <f>IF(ISERROR(W330/V330),"N/A",IF(ABS(W330/V330)&gt;5,"N/A",W330/V330))</f>
        <v>N/A</v>
      </c>
      <c r="Y330" s="106">
        <f>2950.36/1000*1</f>
        <v>2.9503600000000003</v>
      </c>
      <c r="Z330" s="89">
        <f>Y330-U330</f>
        <v>0</v>
      </c>
      <c r="AA330" s="27">
        <f>IF(ISERROR(Z330/Y330),"N/A",IF(ABS(Z330/Y330)&gt;5,"N/A",Z330/Y330))</f>
        <v>0</v>
      </c>
      <c r="AB330" s="107">
        <f>2950.36/1000*1</f>
        <v>2.9503600000000003</v>
      </c>
      <c r="AC330" s="1"/>
      <c r="AD330" s="1"/>
      <c r="AE330" s="1"/>
      <c r="AF330" s="1"/>
      <c r="AG330" s="1"/>
      <c r="AH330" s="1"/>
      <c r="AI330" s="1"/>
    </row>
    <row r="331" spans="1:35" ht="14.25" hidden="1" outlineLevel="1" x14ac:dyDescent="0.2">
      <c r="A331" s="1"/>
      <c r="B331" s="3"/>
      <c r="C331" s="3"/>
      <c r="D331" s="3"/>
      <c r="E331" s="3"/>
      <c r="F331" s="3"/>
      <c r="G331" s="105"/>
      <c r="H331" s="106"/>
      <c r="I331" s="89"/>
      <c r="J331" s="26"/>
      <c r="K331" s="106"/>
      <c r="L331" s="89"/>
      <c r="M331" s="27"/>
      <c r="N331" s="105"/>
      <c r="O331" s="106"/>
      <c r="P331" s="89"/>
      <c r="Q331" s="26"/>
      <c r="R331" s="106"/>
      <c r="S331" s="89"/>
      <c r="T331" s="27"/>
      <c r="U331" s="105"/>
      <c r="V331" s="106"/>
      <c r="W331" s="89"/>
      <c r="X331" s="26"/>
      <c r="Y331" s="106"/>
      <c r="Z331" s="89"/>
      <c r="AA331" s="27"/>
      <c r="AB331" s="107"/>
      <c r="AC331" s="1"/>
      <c r="AD331" s="1"/>
      <c r="AE331" s="1"/>
      <c r="AF331" s="1"/>
      <c r="AG331" s="1"/>
      <c r="AH331" s="1"/>
      <c r="AI331" s="1"/>
    </row>
    <row r="332" spans="1:35" ht="14.25" hidden="1" outlineLevel="1" x14ac:dyDescent="0.2">
      <c r="A332" s="1"/>
      <c r="B332" s="3"/>
      <c r="C332" s="3"/>
      <c r="D332" s="3"/>
      <c r="E332" s="3"/>
      <c r="F332" s="3"/>
      <c r="G332" s="105"/>
      <c r="H332" s="106"/>
      <c r="I332" s="89"/>
      <c r="J332" s="26"/>
      <c r="K332" s="106"/>
      <c r="L332" s="89"/>
      <c r="M332" s="27"/>
      <c r="N332" s="105"/>
      <c r="O332" s="106"/>
      <c r="P332" s="89"/>
      <c r="Q332" s="26"/>
      <c r="R332" s="106"/>
      <c r="S332" s="89"/>
      <c r="T332" s="27"/>
      <c r="U332" s="105"/>
      <c r="V332" s="106"/>
      <c r="W332" s="89"/>
      <c r="X332" s="26"/>
      <c r="Y332" s="106"/>
      <c r="Z332" s="89"/>
      <c r="AA332" s="27"/>
      <c r="AB332" s="107"/>
      <c r="AC332" s="1"/>
      <c r="AD332" s="1"/>
      <c r="AE332" s="1"/>
      <c r="AF332" s="1"/>
      <c r="AG332" s="1"/>
      <c r="AH332" s="1"/>
      <c r="AI332" s="1"/>
    </row>
    <row r="333" spans="1:35" ht="14.25" collapsed="1" x14ac:dyDescent="0.2">
      <c r="A333" s="1"/>
      <c r="B333" s="3" t="s">
        <v>65</v>
      </c>
      <c r="C333" s="3"/>
      <c r="D333" s="3"/>
      <c r="E333" s="3"/>
      <c r="F333" s="3"/>
      <c r="G333" s="102">
        <f>SUM(G334:G334)</f>
        <v>0</v>
      </c>
      <c r="H333" s="103">
        <f>SUM(H334:H334)</f>
        <v>0</v>
      </c>
      <c r="I333" s="89">
        <f>G333-H333</f>
        <v>0</v>
      </c>
      <c r="J333" s="26" t="str">
        <f>IF(ISERROR(I333/H333),"N/A",IF(ABS(I333/H333)&gt;5,"N/A",I333/H333))</f>
        <v>N/A</v>
      </c>
      <c r="K333" s="103">
        <f>SUM(K334:K334)</f>
        <v>0</v>
      </c>
      <c r="L333" s="89">
        <f>K333-G333</f>
        <v>0</v>
      </c>
      <c r="M333" s="27" t="str">
        <f>IF(ISERROR(L333/K333),"N/A",IF(ABS(L333/K333)&gt;5,"N/A",L333/K333))</f>
        <v>N/A</v>
      </c>
      <c r="N333" s="102">
        <f>SUM(N334:N334)</f>
        <v>0</v>
      </c>
      <c r="O333" s="103">
        <f>SUM(O334:O334)</f>
        <v>0</v>
      </c>
      <c r="P333" s="89">
        <f>N333-O333</f>
        <v>0</v>
      </c>
      <c r="Q333" s="26" t="str">
        <f>IF(ISERROR(P333/O333),"N/A",IF(ABS(P333/O333)&gt;5,"N/A",P333/O333))</f>
        <v>N/A</v>
      </c>
      <c r="R333" s="103">
        <f>SUM(R334:R334)</f>
        <v>0</v>
      </c>
      <c r="S333" s="89">
        <f>R333-N333</f>
        <v>0</v>
      </c>
      <c r="T333" s="27" t="str">
        <f>IF(ISERROR(S333/R333),"N/A",IF(ABS(S333/R333)&gt;5,"N/A",S333/R333))</f>
        <v>N/A</v>
      </c>
      <c r="U333" s="102">
        <f>SUM(U334:U334)</f>
        <v>0</v>
      </c>
      <c r="V333" s="103">
        <f>SUM(V334:V334)</f>
        <v>0</v>
      </c>
      <c r="W333" s="89">
        <f>U333-V333</f>
        <v>0</v>
      </c>
      <c r="X333" s="26" t="str">
        <f>IF(ISERROR(W333/V333),"N/A",IF(ABS(W333/V333)&gt;5,"N/A",W333/V333))</f>
        <v>N/A</v>
      </c>
      <c r="Y333" s="103">
        <f>SUM(Y334:Y334)</f>
        <v>0</v>
      </c>
      <c r="Z333" s="89">
        <f>Y333-U333</f>
        <v>0</v>
      </c>
      <c r="AA333" s="27" t="str">
        <f>IF(ISERROR(Z333/Y333),"N/A",IF(ABS(Z333/Y333)&gt;5,"N/A",Z333/Y333))</f>
        <v>N/A</v>
      </c>
      <c r="AB333" s="104">
        <f>SUM(AB334:AB334)</f>
        <v>0</v>
      </c>
      <c r="AC333" s="1"/>
      <c r="AD333" s="1"/>
      <c r="AE333" s="1"/>
      <c r="AF333" s="1"/>
      <c r="AG333" s="1"/>
      <c r="AH333" s="1"/>
      <c r="AI333" s="1"/>
    </row>
    <row r="334" spans="1:35" ht="14.25" hidden="1" outlineLevel="1" x14ac:dyDescent="0.2">
      <c r="A334" s="1"/>
      <c r="B334" s="3"/>
      <c r="C334" s="3"/>
      <c r="D334" s="3"/>
      <c r="E334" s="3"/>
      <c r="F334" s="3"/>
      <c r="G334" s="105"/>
      <c r="H334" s="106"/>
      <c r="I334" s="89"/>
      <c r="J334" s="26"/>
      <c r="K334" s="106"/>
      <c r="L334" s="89"/>
      <c r="M334" s="27"/>
      <c r="N334" s="105"/>
      <c r="O334" s="106"/>
      <c r="P334" s="89"/>
      <c r="Q334" s="26"/>
      <c r="R334" s="106"/>
      <c r="S334" s="89"/>
      <c r="T334" s="27"/>
      <c r="U334" s="105"/>
      <c r="V334" s="106"/>
      <c r="W334" s="89"/>
      <c r="X334" s="26"/>
      <c r="Y334" s="106"/>
      <c r="Z334" s="89"/>
      <c r="AA334" s="27"/>
      <c r="AB334" s="107"/>
      <c r="AC334" s="1"/>
      <c r="AD334" s="1"/>
      <c r="AE334" s="1"/>
      <c r="AF334" s="1"/>
      <c r="AG334" s="1"/>
      <c r="AH334" s="1"/>
      <c r="AI334" s="1"/>
    </row>
    <row r="335" spans="1:35" ht="14.25" hidden="1" outlineLevel="1" x14ac:dyDescent="0.2">
      <c r="A335" s="1"/>
      <c r="B335" s="3"/>
      <c r="C335" s="3"/>
      <c r="D335" s="3"/>
      <c r="E335" s="3"/>
      <c r="F335" s="3"/>
      <c r="G335" s="105"/>
      <c r="H335" s="106"/>
      <c r="I335" s="89"/>
      <c r="J335" s="26"/>
      <c r="K335" s="106"/>
      <c r="L335" s="89"/>
      <c r="M335" s="27"/>
      <c r="N335" s="105"/>
      <c r="O335" s="106"/>
      <c r="P335" s="89"/>
      <c r="Q335" s="26"/>
      <c r="R335" s="106"/>
      <c r="S335" s="89"/>
      <c r="T335" s="27"/>
      <c r="U335" s="105"/>
      <c r="V335" s="106"/>
      <c r="W335" s="89"/>
      <c r="X335" s="26"/>
      <c r="Y335" s="106"/>
      <c r="Z335" s="89"/>
      <c r="AA335" s="27"/>
      <c r="AB335" s="107"/>
      <c r="AC335" s="1"/>
      <c r="AD335" s="1"/>
      <c r="AE335" s="1"/>
      <c r="AF335" s="1"/>
      <c r="AG335" s="1"/>
      <c r="AH335" s="1"/>
      <c r="AI335" s="1"/>
    </row>
    <row r="336" spans="1:35" ht="14.25" collapsed="1" x14ac:dyDescent="0.2">
      <c r="A336" s="1"/>
      <c r="B336" s="3" t="s">
        <v>66</v>
      </c>
      <c r="C336" s="3"/>
      <c r="D336" s="3"/>
      <c r="E336" s="3"/>
      <c r="F336" s="3"/>
      <c r="G336" s="102">
        <f>SUM(G337:G337)</f>
        <v>0</v>
      </c>
      <c r="H336" s="103">
        <f>SUM(H337:H337)</f>
        <v>0</v>
      </c>
      <c r="I336" s="89">
        <f>G336-H336</f>
        <v>0</v>
      </c>
      <c r="J336" s="26" t="str">
        <f>IF(ISERROR(I336/H336),"N/A",IF(ABS(I336/H336)&gt;5,"N/A",I336/H336))</f>
        <v>N/A</v>
      </c>
      <c r="K336" s="103">
        <f>SUM(K337:K337)</f>
        <v>0</v>
      </c>
      <c r="L336" s="89">
        <f>K336-G336</f>
        <v>0</v>
      </c>
      <c r="M336" s="27" t="str">
        <f>IF(ISERROR(L336/K336),"N/A",IF(ABS(L336/K336)&gt;5,"N/A",L336/K336))</f>
        <v>N/A</v>
      </c>
      <c r="N336" s="102">
        <f>SUM(N337:N337)</f>
        <v>0</v>
      </c>
      <c r="O336" s="103">
        <f>SUM(O337:O337)</f>
        <v>0</v>
      </c>
      <c r="P336" s="89">
        <f>N336-O336</f>
        <v>0</v>
      </c>
      <c r="Q336" s="26" t="str">
        <f>IF(ISERROR(P336/O336),"N/A",IF(ABS(P336/O336)&gt;5,"N/A",P336/O336))</f>
        <v>N/A</v>
      </c>
      <c r="R336" s="103">
        <f>SUM(R337:R337)</f>
        <v>0</v>
      </c>
      <c r="S336" s="89">
        <f>R336-N336</f>
        <v>0</v>
      </c>
      <c r="T336" s="27" t="str">
        <f>IF(ISERROR(S336/R336),"N/A",IF(ABS(S336/R336)&gt;5,"N/A",S336/R336))</f>
        <v>N/A</v>
      </c>
      <c r="U336" s="102">
        <f>SUM(U337:U337)</f>
        <v>0</v>
      </c>
      <c r="V336" s="103">
        <f>SUM(V337:V337)</f>
        <v>0</v>
      </c>
      <c r="W336" s="89">
        <f>U336-V336</f>
        <v>0</v>
      </c>
      <c r="X336" s="26" t="str">
        <f>IF(ISERROR(W336/V336),"N/A",IF(ABS(W336/V336)&gt;5,"N/A",W336/V336))</f>
        <v>N/A</v>
      </c>
      <c r="Y336" s="103">
        <f>SUM(Y337:Y337)</f>
        <v>0</v>
      </c>
      <c r="Z336" s="89">
        <f>Y336-U336</f>
        <v>0</v>
      </c>
      <c r="AA336" s="27" t="str">
        <f>IF(ISERROR(Z336/Y336),"N/A",IF(ABS(Z336/Y336)&gt;5,"N/A",Z336/Y336))</f>
        <v>N/A</v>
      </c>
      <c r="AB336" s="104">
        <f>SUM(AB337:AB337)</f>
        <v>0</v>
      </c>
      <c r="AC336" s="1"/>
      <c r="AD336" s="1"/>
      <c r="AE336" s="1"/>
      <c r="AF336" s="1"/>
      <c r="AG336" s="1"/>
      <c r="AH336" s="1"/>
      <c r="AI336" s="1"/>
    </row>
    <row r="337" spans="1:35" ht="14.25" hidden="1" outlineLevel="1" x14ac:dyDescent="0.2">
      <c r="A337" s="1"/>
      <c r="B337" s="3"/>
      <c r="C337" s="3"/>
      <c r="D337" s="3"/>
      <c r="E337" s="3"/>
      <c r="F337" s="3"/>
      <c r="G337" s="105"/>
      <c r="H337" s="106"/>
      <c r="I337" s="89"/>
      <c r="J337" s="26"/>
      <c r="K337" s="106"/>
      <c r="L337" s="89"/>
      <c r="M337" s="27"/>
      <c r="N337" s="105"/>
      <c r="O337" s="106"/>
      <c r="P337" s="89"/>
      <c r="Q337" s="26"/>
      <c r="R337" s="106"/>
      <c r="S337" s="89"/>
      <c r="T337" s="27"/>
      <c r="U337" s="105"/>
      <c r="V337" s="106"/>
      <c r="W337" s="89"/>
      <c r="X337" s="26"/>
      <c r="Y337" s="106"/>
      <c r="Z337" s="89"/>
      <c r="AA337" s="27"/>
      <c r="AB337" s="107"/>
      <c r="AC337" s="1"/>
      <c r="AD337" s="1"/>
      <c r="AE337" s="1"/>
      <c r="AF337" s="1"/>
      <c r="AG337" s="1"/>
      <c r="AH337" s="1"/>
      <c r="AI337" s="1"/>
    </row>
    <row r="338" spans="1:35" ht="14.25" hidden="1" outlineLevel="1" x14ac:dyDescent="0.2">
      <c r="A338" s="1"/>
      <c r="B338" s="3"/>
      <c r="C338" s="3"/>
      <c r="D338" s="3"/>
      <c r="E338" s="3"/>
      <c r="F338" s="3"/>
      <c r="G338" s="105"/>
      <c r="H338" s="106"/>
      <c r="I338" s="89"/>
      <c r="J338" s="26"/>
      <c r="K338" s="106"/>
      <c r="L338" s="89"/>
      <c r="M338" s="27"/>
      <c r="N338" s="105"/>
      <c r="O338" s="106"/>
      <c r="P338" s="89"/>
      <c r="Q338" s="26"/>
      <c r="R338" s="106"/>
      <c r="S338" s="89"/>
      <c r="T338" s="27"/>
      <c r="U338" s="105"/>
      <c r="V338" s="106"/>
      <c r="W338" s="89"/>
      <c r="X338" s="26"/>
      <c r="Y338" s="106"/>
      <c r="Z338" s="89"/>
      <c r="AA338" s="27"/>
      <c r="AB338" s="107"/>
      <c r="AC338" s="1"/>
      <c r="AD338" s="1"/>
      <c r="AE338" s="1"/>
      <c r="AF338" s="1"/>
      <c r="AG338" s="1"/>
      <c r="AH338" s="1"/>
      <c r="AI338" s="1"/>
    </row>
    <row r="339" spans="1:35" ht="14.25" collapsed="1" x14ac:dyDescent="0.2">
      <c r="A339" s="1"/>
      <c r="B339" s="3" t="s">
        <v>70</v>
      </c>
      <c r="C339" s="3"/>
      <c r="D339" s="3"/>
      <c r="E339" s="3"/>
      <c r="F339" s="3"/>
      <c r="G339" s="102">
        <f>SUM(G340:G341)</f>
        <v>36.80247</v>
      </c>
      <c r="H339" s="103">
        <f>SUM(H340:H341)</f>
        <v>0</v>
      </c>
      <c r="I339" s="89">
        <f>G339-H339</f>
        <v>36.80247</v>
      </c>
      <c r="J339" s="26" t="str">
        <f>IF(ISERROR(I339/H339),"N/A",IF(ABS(I339/H339)&gt;5,"N/A",I339/H339))</f>
        <v>N/A</v>
      </c>
      <c r="K339" s="103">
        <f>SUM(K340:K341)</f>
        <v>40.072899444000001</v>
      </c>
      <c r="L339" s="89">
        <f>K339-G339</f>
        <v>3.2704294440000012</v>
      </c>
      <c r="M339" s="27">
        <f>IF(ISERROR(L339/K339),"N/A",IF(ABS(L339/K339)&gt;5,"N/A",L339/K339))</f>
        <v>8.1611999365563084E-2</v>
      </c>
      <c r="N339" s="102">
        <f>SUM(N340:N341)</f>
        <v>21.055060000000001</v>
      </c>
      <c r="O339" s="103">
        <f>SUM(O340:O341)</f>
        <v>0</v>
      </c>
      <c r="P339" s="89">
        <f>N339-O339</f>
        <v>21.055060000000001</v>
      </c>
      <c r="Q339" s="26" t="str">
        <f>IF(ISERROR(P339/O339),"N/A",IF(ABS(P339/O339)&gt;5,"N/A",P339/O339))</f>
        <v>N/A</v>
      </c>
      <c r="R339" s="103">
        <f>SUM(R340:R341)</f>
        <v>20.700256774</v>
      </c>
      <c r="S339" s="89">
        <f>R339-N339</f>
        <v>-0.35480322600000136</v>
      </c>
      <c r="T339" s="27">
        <f>IF(ISERROR(S339/R339),"N/A",IF(ABS(S339/R339)&gt;5,"N/A",S339/R339))</f>
        <v>-1.7140039849440052E-2</v>
      </c>
      <c r="U339" s="102">
        <f>SUM(U340:U341)</f>
        <v>297.23784999999998</v>
      </c>
      <c r="V339" s="108">
        <f>SUM(V340:V341)</f>
        <v>0</v>
      </c>
      <c r="W339" s="89">
        <f>U339-V339</f>
        <v>297.23784999999998</v>
      </c>
      <c r="X339" s="26" t="str">
        <f>IF(ISERROR(W339/V339),"N/A",IF(ABS(W339/V339)&gt;5,"N/A",W339/V339))</f>
        <v>N/A</v>
      </c>
      <c r="Y339" s="103">
        <f>SUM(Y340:Y341)</f>
        <v>296.88304677399998</v>
      </c>
      <c r="Z339" s="89">
        <f>Y339-U339</f>
        <v>-0.35480322600000136</v>
      </c>
      <c r="AA339" s="27">
        <f>IF(ISERROR(Z339/Y339),"N/A",IF(ABS(Z339/Y339)&gt;5,"N/A",Z339/Y339))</f>
        <v>-1.1950942630620895E-3</v>
      </c>
      <c r="AB339" s="104">
        <f>SUM(AB340:AB341)</f>
        <v>635.68215804199997</v>
      </c>
      <c r="AC339" s="1"/>
      <c r="AD339" s="1"/>
      <c r="AE339" s="1"/>
      <c r="AF339" s="1"/>
      <c r="AG339" s="1"/>
      <c r="AH339" s="1"/>
      <c r="AI339" s="1"/>
    </row>
    <row r="340" spans="1:35" ht="14.25" hidden="1" outlineLevel="1" x14ac:dyDescent="0.2">
      <c r="A340" s="1"/>
      <c r="B340" s="3"/>
      <c r="C340" s="3"/>
      <c r="D340" s="3" t="s">
        <v>67</v>
      </c>
      <c r="E340" s="3" t="s">
        <v>93</v>
      </c>
      <c r="F340" s="3">
        <v>920</v>
      </c>
      <c r="G340" s="105">
        <f>36802.47/1000*1</f>
        <v>36.80247</v>
      </c>
      <c r="H340" s="106">
        <f>0/1000*1</f>
        <v>0</v>
      </c>
      <c r="I340" s="89">
        <f>G340-H340</f>
        <v>36.80247</v>
      </c>
      <c r="J340" s="26" t="str">
        <f>IF(ISERROR(I340/H340),"N/A",IF(ABS(I340/H340)&gt;5,"N/A",I340/H340))</f>
        <v>N/A</v>
      </c>
      <c r="K340" s="106">
        <f>40072.899444/1000*1</f>
        <v>40.072899444000001</v>
      </c>
      <c r="L340" s="89">
        <f>K340-G340</f>
        <v>3.2704294440000012</v>
      </c>
      <c r="M340" s="27">
        <f>IF(ISERROR(L340/K340),"N/A",IF(ABS(L340/K340)&gt;5,"N/A",L340/K340))</f>
        <v>8.1611999365563084E-2</v>
      </c>
      <c r="N340" s="105">
        <f>21055.06/1000*1</f>
        <v>21.055060000000001</v>
      </c>
      <c r="O340" s="106">
        <f>0/1000*1</f>
        <v>0</v>
      </c>
      <c r="P340" s="89">
        <f>N340-O340</f>
        <v>21.055060000000001</v>
      </c>
      <c r="Q340" s="26" t="str">
        <f>IF(ISERROR(P340/O340),"N/A",IF(ABS(P340/O340)&gt;5,"N/A",P340/O340))</f>
        <v>N/A</v>
      </c>
      <c r="R340" s="106">
        <f>20700.256774/1000*1</f>
        <v>20.700256774</v>
      </c>
      <c r="S340" s="89">
        <f>R340-N340</f>
        <v>-0.35480322600000136</v>
      </c>
      <c r="T340" s="27">
        <f>IF(ISERROR(S340/R340),"N/A",IF(ABS(S340/R340)&gt;5,"N/A",S340/R340))</f>
        <v>-1.7140039849440052E-2</v>
      </c>
      <c r="U340" s="105">
        <f>297237.85/1000*1</f>
        <v>297.23784999999998</v>
      </c>
      <c r="V340" s="106">
        <f>0/1000*1</f>
        <v>0</v>
      </c>
      <c r="W340" s="89">
        <f>U340-V340</f>
        <v>297.23784999999998</v>
      </c>
      <c r="X340" s="26" t="str">
        <f>IF(ISERROR(W340/V340),"N/A",IF(ABS(W340/V340)&gt;5,"N/A",W340/V340))</f>
        <v>N/A</v>
      </c>
      <c r="Y340" s="106">
        <f>296883.046774/1000*1</f>
        <v>296.88304677399998</v>
      </c>
      <c r="Z340" s="89">
        <f>Y340-U340</f>
        <v>-0.35480322600000136</v>
      </c>
      <c r="AA340" s="27">
        <f>IF(ISERROR(Z340/Y340),"N/A",IF(ABS(Z340/Y340)&gt;5,"N/A",Z340/Y340))</f>
        <v>-1.1950942630620895E-3</v>
      </c>
      <c r="AB340" s="107">
        <f>635682.158042/1000*1</f>
        <v>635.68215804199997</v>
      </c>
      <c r="AC340" s="1"/>
      <c r="AD340" s="1"/>
      <c r="AE340" s="1"/>
      <c r="AF340" s="1"/>
      <c r="AG340" s="1"/>
      <c r="AH340" s="1"/>
      <c r="AI340" s="1"/>
    </row>
    <row r="341" spans="1:35" ht="14.25" hidden="1" outlineLevel="1" x14ac:dyDescent="0.2">
      <c r="A341" s="1"/>
      <c r="B341" s="3"/>
      <c r="C341" s="3"/>
      <c r="D341" s="3"/>
      <c r="E341" s="3"/>
      <c r="F341" s="3"/>
      <c r="G341" s="105"/>
      <c r="H341" s="106"/>
      <c r="I341" s="89"/>
      <c r="J341" s="26"/>
      <c r="K341" s="106"/>
      <c r="L341" s="89"/>
      <c r="M341" s="27"/>
      <c r="N341" s="105"/>
      <c r="O341" s="106"/>
      <c r="P341" s="89"/>
      <c r="Q341" s="26"/>
      <c r="R341" s="106"/>
      <c r="S341" s="89"/>
      <c r="T341" s="27"/>
      <c r="U341" s="105"/>
      <c r="V341" s="106"/>
      <c r="W341" s="89"/>
      <c r="X341" s="26"/>
      <c r="Y341" s="106"/>
      <c r="Z341" s="89"/>
      <c r="AA341" s="27"/>
      <c r="AB341" s="107"/>
      <c r="AC341" s="1"/>
      <c r="AD341" s="1"/>
      <c r="AE341" s="1"/>
      <c r="AF341" s="1"/>
      <c r="AG341" s="1"/>
      <c r="AH341" s="1"/>
      <c r="AI341" s="1"/>
    </row>
    <row r="342" spans="1:35" ht="14.25" hidden="1" outlineLevel="1" x14ac:dyDescent="0.2">
      <c r="A342" s="1"/>
      <c r="B342" s="3"/>
      <c r="C342" s="3"/>
      <c r="D342" s="3"/>
      <c r="E342" s="3"/>
      <c r="F342" s="3"/>
      <c r="G342" s="105"/>
      <c r="H342" s="106"/>
      <c r="I342" s="89"/>
      <c r="J342" s="26"/>
      <c r="K342" s="106"/>
      <c r="L342" s="89"/>
      <c r="M342" s="27"/>
      <c r="N342" s="105"/>
      <c r="O342" s="106"/>
      <c r="P342" s="89"/>
      <c r="Q342" s="26"/>
      <c r="R342" s="106"/>
      <c r="S342" s="89"/>
      <c r="T342" s="27"/>
      <c r="U342" s="105"/>
      <c r="V342" s="106"/>
      <c r="W342" s="89"/>
      <c r="X342" s="26"/>
      <c r="Y342" s="106"/>
      <c r="Z342" s="89"/>
      <c r="AA342" s="27"/>
      <c r="AB342" s="107"/>
      <c r="AC342" s="1"/>
      <c r="AD342" s="1"/>
      <c r="AE342" s="1"/>
      <c r="AF342" s="1"/>
      <c r="AG342" s="1"/>
      <c r="AH342" s="1"/>
      <c r="AI342" s="1"/>
    </row>
    <row r="343" spans="1:35" ht="14.25" collapsed="1" x14ac:dyDescent="0.2">
      <c r="A343" s="1"/>
      <c r="B343" s="3" t="s">
        <v>71</v>
      </c>
      <c r="C343" s="3"/>
      <c r="D343" s="3"/>
      <c r="E343" s="3"/>
      <c r="F343" s="3"/>
      <c r="G343" s="102">
        <f>SUM(G344:G348)</f>
        <v>1.92028</v>
      </c>
      <c r="H343" s="103">
        <f>SUM(H344:H348)</f>
        <v>-2.1285800000000004</v>
      </c>
      <c r="I343" s="89">
        <f>G343-H343</f>
        <v>4.0488600000000003</v>
      </c>
      <c r="J343" s="26">
        <f>IF(ISERROR(I343/H343),"N/A",IF(ABS(I343/H343)&gt;5,"N/A",I343/H343))</f>
        <v>-1.9021413336590589</v>
      </c>
      <c r="K343" s="103">
        <f>SUM(K344:K348)</f>
        <v>0</v>
      </c>
      <c r="L343" s="89">
        <f>K343-G343</f>
        <v>-1.92028</v>
      </c>
      <c r="M343" s="27" t="str">
        <f>IF(ISERROR(L343/K343),"N/A",IF(ABS(L343/K343)&gt;5,"N/A",L343/K343))</f>
        <v>N/A</v>
      </c>
      <c r="N343" s="102">
        <f>SUM(N344:N348)</f>
        <v>-17.169039999999999</v>
      </c>
      <c r="O343" s="103">
        <f>SUM(O344:O348)</f>
        <v>20.814749999999997</v>
      </c>
      <c r="P343" s="89">
        <f>N343-O343</f>
        <v>-37.983789999999999</v>
      </c>
      <c r="Q343" s="26">
        <f>IF(ISERROR(P343/O343),"N/A",IF(ABS(P343/O343)&gt;5,"N/A",P343/O343))</f>
        <v>-1.8248496859198406</v>
      </c>
      <c r="R343" s="103">
        <f>SUM(R344:R348)</f>
        <v>1.5915100000000002</v>
      </c>
      <c r="S343" s="89">
        <f>R343-N343</f>
        <v>18.760549999999999</v>
      </c>
      <c r="T343" s="27" t="str">
        <f>IF(ISERROR(S343/R343),"N/A",IF(ABS(S343/R343)&gt;5,"N/A",S343/R343))</f>
        <v>N/A</v>
      </c>
      <c r="U343" s="102">
        <f>SUM(U344:U348)</f>
        <v>46.403570000000002</v>
      </c>
      <c r="V343" s="103">
        <f>SUM(V344:V348)</f>
        <v>70.075569999999999</v>
      </c>
      <c r="W343" s="89">
        <f>U343-V343</f>
        <v>-23.671999999999997</v>
      </c>
      <c r="X343" s="26">
        <f>IF(ISERROR(W343/V343),"N/A",IF(ABS(W343/V343)&gt;5,"N/A",W343/V343))</f>
        <v>-0.3378067420643171</v>
      </c>
      <c r="Y343" s="103">
        <f>SUM(Y344:Y348)</f>
        <v>65.164119999999997</v>
      </c>
      <c r="Z343" s="89">
        <f>Y343-U343</f>
        <v>18.760549999999995</v>
      </c>
      <c r="AA343" s="27">
        <f>IF(ISERROR(Z343/Y343),"N/A",IF(ABS(Z343/Y343)&gt;5,"N/A",Z343/Y343))</f>
        <v>0.28789692855516191</v>
      </c>
      <c r="AB343" s="104">
        <f>SUM(AB344:AB348)</f>
        <v>65.164119999999997</v>
      </c>
      <c r="AC343" s="1"/>
      <c r="AD343" s="1"/>
      <c r="AE343" s="1"/>
      <c r="AF343" s="1"/>
      <c r="AG343" s="1"/>
      <c r="AH343" s="1"/>
      <c r="AI343" s="1"/>
    </row>
    <row r="344" spans="1:35" ht="14.25" hidden="1" outlineLevel="1" x14ac:dyDescent="0.2">
      <c r="A344" s="1"/>
      <c r="B344" s="3"/>
      <c r="C344" s="3"/>
      <c r="D344" s="3" t="s">
        <v>67</v>
      </c>
      <c r="E344" s="3" t="s">
        <v>91</v>
      </c>
      <c r="F344" s="3">
        <v>100</v>
      </c>
      <c r="G344" s="105">
        <f>1725.08/1000*1</f>
        <v>1.7250799999999999</v>
      </c>
      <c r="H344" s="106">
        <f>-2748.82/1000*1</f>
        <v>-2.7488200000000003</v>
      </c>
      <c r="I344" s="89">
        <f>G344-H344</f>
        <v>4.4739000000000004</v>
      </c>
      <c r="J344" s="26">
        <f>IF(ISERROR(I344/H344),"N/A",IF(ABS(I344/H344)&gt;5,"N/A",I344/H344))</f>
        <v>-1.6275711032370253</v>
      </c>
      <c r="K344" s="106">
        <f>0/1000*1</f>
        <v>0</v>
      </c>
      <c r="L344" s="89">
        <f>K344-G344</f>
        <v>-1.7250799999999999</v>
      </c>
      <c r="M344" s="27" t="str">
        <f>IF(ISERROR(L344/K344),"N/A",IF(ABS(L344/K344)&gt;5,"N/A",L344/K344))</f>
        <v>N/A</v>
      </c>
      <c r="N344" s="105">
        <f>-17373.58/1000*1</f>
        <v>-17.37358</v>
      </c>
      <c r="O344" s="106">
        <f>20194.51/1000*1</f>
        <v>20.194509999999998</v>
      </c>
      <c r="P344" s="89">
        <f>N344-O344</f>
        <v>-37.568089999999998</v>
      </c>
      <c r="Q344" s="26">
        <f>IF(ISERROR(P344/O344),"N/A",IF(ABS(P344/O344)&gt;5,"N/A",P344/O344))</f>
        <v>-1.8603120353006832</v>
      </c>
      <c r="R344" s="106">
        <f>1582.18/1000*1</f>
        <v>1.5821800000000001</v>
      </c>
      <c r="S344" s="89">
        <f>R344-N344</f>
        <v>18.955760000000001</v>
      </c>
      <c r="T344" s="27" t="str">
        <f>IF(ISERROR(S344/R344),"N/A",IF(ABS(S344/R344)&gt;5,"N/A",S344/R344))</f>
        <v>N/A</v>
      </c>
      <c r="U344" s="105">
        <f>46191.58/1000*1</f>
        <v>46.191580000000002</v>
      </c>
      <c r="V344" s="106">
        <f>69455.33/1000*1</f>
        <v>69.455330000000004</v>
      </c>
      <c r="W344" s="89">
        <f>U344-V344</f>
        <v>-23.263750000000002</v>
      </c>
      <c r="X344" s="26">
        <f>IF(ISERROR(W344/V344),"N/A",IF(ABS(W344/V344)&gt;5,"N/A",W344/V344))</f>
        <v>-0.33494549662351331</v>
      </c>
      <c r="Y344" s="106">
        <f>65147.34/1000*1</f>
        <v>65.14734</v>
      </c>
      <c r="Z344" s="89">
        <f>Y344-U344</f>
        <v>18.955759999999998</v>
      </c>
      <c r="AA344" s="27">
        <f>IF(ISERROR(Z344/Y344),"N/A",IF(ABS(Z344/Y344)&gt;5,"N/A",Z344/Y344))</f>
        <v>0.29096752070000093</v>
      </c>
      <c r="AB344" s="107">
        <f>65147.34/1000*1</f>
        <v>65.14734</v>
      </c>
      <c r="AC344" s="1"/>
      <c r="AD344" s="1"/>
      <c r="AE344" s="1"/>
      <c r="AF344" s="1"/>
      <c r="AG344" s="1"/>
      <c r="AH344" s="1"/>
      <c r="AI344" s="1"/>
    </row>
    <row r="345" spans="1:35" ht="14.25" hidden="1" outlineLevel="1" x14ac:dyDescent="0.2">
      <c r="A345" s="1"/>
      <c r="B345" s="3"/>
      <c r="C345" s="3"/>
      <c r="D345" s="3" t="s">
        <v>67</v>
      </c>
      <c r="E345" s="3" t="s">
        <v>94</v>
      </c>
      <c r="F345" s="3">
        <v>100</v>
      </c>
      <c r="G345" s="105">
        <f>195.2/1000*1</f>
        <v>0.19519999999999998</v>
      </c>
      <c r="H345" s="106">
        <f>0/1000*1</f>
        <v>0</v>
      </c>
      <c r="I345" s="89">
        <f>G345-H345</f>
        <v>0.19519999999999998</v>
      </c>
      <c r="J345" s="26" t="str">
        <f>IF(ISERROR(I345/H345),"N/A",IF(ABS(I345/H345)&gt;5,"N/A",I345/H345))</f>
        <v>N/A</v>
      </c>
      <c r="K345" s="106">
        <f>0/1000*1</f>
        <v>0</v>
      </c>
      <c r="L345" s="89">
        <f>K345-G345</f>
        <v>-0.19519999999999998</v>
      </c>
      <c r="M345" s="27" t="str">
        <f>IF(ISERROR(L345/K345),"N/A",IF(ABS(L345/K345)&gt;5,"N/A",L345/K345))</f>
        <v>N/A</v>
      </c>
      <c r="N345" s="105">
        <f>204.54/1000*1</f>
        <v>0.20454</v>
      </c>
      <c r="O345" s="106">
        <f>0/1000*1</f>
        <v>0</v>
      </c>
      <c r="P345" s="89">
        <f>N345-O345</f>
        <v>0.20454</v>
      </c>
      <c r="Q345" s="26" t="str">
        <f>IF(ISERROR(P345/O345),"N/A",IF(ABS(P345/O345)&gt;5,"N/A",P345/O345))</f>
        <v>N/A</v>
      </c>
      <c r="R345" s="106">
        <f>9.33/1000*1</f>
        <v>9.3299999999999998E-3</v>
      </c>
      <c r="S345" s="89">
        <f>R345-N345</f>
        <v>-0.19520999999999999</v>
      </c>
      <c r="T345" s="27" t="str">
        <f>IF(ISERROR(S345/R345),"N/A",IF(ABS(S345/R345)&gt;5,"N/A",S345/R345))</f>
        <v>N/A</v>
      </c>
      <c r="U345" s="105">
        <f>211.99/1000*1</f>
        <v>0.21199000000000001</v>
      </c>
      <c r="V345" s="106">
        <f>0/1000*1</f>
        <v>0</v>
      </c>
      <c r="W345" s="89">
        <f>U345-V345</f>
        <v>0.21199000000000001</v>
      </c>
      <c r="X345" s="26" t="str">
        <f>IF(ISERROR(W345/V345),"N/A",IF(ABS(W345/V345)&gt;5,"N/A",W345/V345))</f>
        <v>N/A</v>
      </c>
      <c r="Y345" s="106">
        <f>16.78/1000*1</f>
        <v>1.678E-2</v>
      </c>
      <c r="Z345" s="89">
        <f>Y345-U345</f>
        <v>-0.19521000000000002</v>
      </c>
      <c r="AA345" s="27" t="str">
        <f>IF(ISERROR(Z345/Y345),"N/A",IF(ABS(Z345/Y345)&gt;5,"N/A",Z345/Y345))</f>
        <v>N/A</v>
      </c>
      <c r="AB345" s="107">
        <f>16.78/1000*1</f>
        <v>1.678E-2</v>
      </c>
      <c r="AC345" s="1"/>
      <c r="AD345" s="1"/>
      <c r="AE345" s="1"/>
      <c r="AF345" s="1"/>
      <c r="AG345" s="1"/>
      <c r="AH345" s="1"/>
      <c r="AI345" s="1"/>
    </row>
    <row r="346" spans="1:35" ht="14.25" hidden="1" outlineLevel="1" x14ac:dyDescent="0.2">
      <c r="A346" s="1"/>
      <c r="B346" s="3"/>
      <c r="C346" s="3"/>
      <c r="D346" s="3" t="s">
        <v>67</v>
      </c>
      <c r="E346" s="3" t="s">
        <v>97</v>
      </c>
      <c r="F346" s="3">
        <v>100</v>
      </c>
      <c r="G346" s="105">
        <f>0/1000*1</f>
        <v>0</v>
      </c>
      <c r="H346" s="106">
        <f>0/1000*1</f>
        <v>0</v>
      </c>
      <c r="I346" s="89">
        <f>G346-H346</f>
        <v>0</v>
      </c>
      <c r="J346" s="26" t="str">
        <f>IF(ISERROR(I346/H346),"N/A",IF(ABS(I346/H346)&gt;5,"N/A",I346/H346))</f>
        <v>N/A</v>
      </c>
      <c r="K346" s="106">
        <f>0/1000*1</f>
        <v>0</v>
      </c>
      <c r="L346" s="89">
        <f>K346-G346</f>
        <v>0</v>
      </c>
      <c r="M346" s="27" t="str">
        <f>IF(ISERROR(L346/K346),"N/A",IF(ABS(L346/K346)&gt;5,"N/A",L346/K346))</f>
        <v>N/A</v>
      </c>
      <c r="N346" s="105">
        <f>0/1000*1</f>
        <v>0</v>
      </c>
      <c r="O346" s="106">
        <f>0/1000*1</f>
        <v>0</v>
      </c>
      <c r="P346" s="89">
        <f>N346-O346</f>
        <v>0</v>
      </c>
      <c r="Q346" s="26" t="str">
        <f>IF(ISERROR(P346/O346),"N/A",IF(ABS(P346/O346)&gt;5,"N/A",P346/O346))</f>
        <v>N/A</v>
      </c>
      <c r="R346" s="106">
        <f>0/1000*1</f>
        <v>0</v>
      </c>
      <c r="S346" s="89">
        <f>R346-N346</f>
        <v>0</v>
      </c>
      <c r="T346" s="27" t="str">
        <f>IF(ISERROR(S346/R346),"N/A",IF(ABS(S346/R346)&gt;5,"N/A",S346/R346))</f>
        <v>N/A</v>
      </c>
      <c r="U346" s="105">
        <f>0/1000*1</f>
        <v>0</v>
      </c>
      <c r="V346" s="106">
        <f>0/1000*1</f>
        <v>0</v>
      </c>
      <c r="W346" s="89">
        <f>U346-V346</f>
        <v>0</v>
      </c>
      <c r="X346" s="26" t="str">
        <f>IF(ISERROR(W346/V346),"N/A",IF(ABS(W346/V346)&gt;5,"N/A",W346/V346))</f>
        <v>N/A</v>
      </c>
      <c r="Y346" s="106">
        <f>0/1000*1</f>
        <v>0</v>
      </c>
      <c r="Z346" s="89">
        <f>Y346-U346</f>
        <v>0</v>
      </c>
      <c r="AA346" s="27" t="str">
        <f>IF(ISERROR(Z346/Y346),"N/A",IF(ABS(Z346/Y346)&gt;5,"N/A",Z346/Y346))</f>
        <v>N/A</v>
      </c>
      <c r="AB346" s="107">
        <f>0/1000*1</f>
        <v>0</v>
      </c>
      <c r="AC346" s="1"/>
      <c r="AD346" s="1"/>
      <c r="AE346" s="1"/>
      <c r="AF346" s="1"/>
      <c r="AG346" s="1"/>
      <c r="AH346" s="1"/>
      <c r="AI346" s="1"/>
    </row>
    <row r="347" spans="1:35" ht="14.25" hidden="1" outlineLevel="1" x14ac:dyDescent="0.2">
      <c r="A347" s="1"/>
      <c r="B347" s="3"/>
      <c r="C347" s="3"/>
      <c r="D347" s="3" t="s">
        <v>67</v>
      </c>
      <c r="E347" s="3" t="s">
        <v>98</v>
      </c>
      <c r="F347" s="3">
        <v>100</v>
      </c>
      <c r="G347" s="105">
        <f>0/1000*1</f>
        <v>0</v>
      </c>
      <c r="H347" s="106">
        <f>620.24/1000*1</f>
        <v>0.62024000000000001</v>
      </c>
      <c r="I347" s="89">
        <f>G347-H347</f>
        <v>-0.62024000000000001</v>
      </c>
      <c r="J347" s="26">
        <f>IF(ISERROR(I347/H347),"N/A",IF(ABS(I347/H347)&gt;5,"N/A",I347/H347))</f>
        <v>-1</v>
      </c>
      <c r="K347" s="106">
        <f>0/1000*1</f>
        <v>0</v>
      </c>
      <c r="L347" s="89">
        <f>K347-G347</f>
        <v>0</v>
      </c>
      <c r="M347" s="27" t="str">
        <f>IF(ISERROR(L347/K347),"N/A",IF(ABS(L347/K347)&gt;5,"N/A",L347/K347))</f>
        <v>N/A</v>
      </c>
      <c r="N347" s="105">
        <f>0/1000*1</f>
        <v>0</v>
      </c>
      <c r="O347" s="106">
        <f>620.24/1000*1</f>
        <v>0.62024000000000001</v>
      </c>
      <c r="P347" s="89">
        <f>N347-O347</f>
        <v>-0.62024000000000001</v>
      </c>
      <c r="Q347" s="26">
        <f>IF(ISERROR(P347/O347),"N/A",IF(ABS(P347/O347)&gt;5,"N/A",P347/O347))</f>
        <v>-1</v>
      </c>
      <c r="R347" s="106">
        <f>0/1000*1</f>
        <v>0</v>
      </c>
      <c r="S347" s="89">
        <f>R347-N347</f>
        <v>0</v>
      </c>
      <c r="T347" s="27" t="str">
        <f>IF(ISERROR(S347/R347),"N/A",IF(ABS(S347/R347)&gt;5,"N/A",S347/R347))</f>
        <v>N/A</v>
      </c>
      <c r="U347" s="105">
        <f>0/1000*1</f>
        <v>0</v>
      </c>
      <c r="V347" s="106">
        <f>620.24/1000*1</f>
        <v>0.62024000000000001</v>
      </c>
      <c r="W347" s="89">
        <f>U347-V347</f>
        <v>-0.62024000000000001</v>
      </c>
      <c r="X347" s="26">
        <f>IF(ISERROR(W347/V347),"N/A",IF(ABS(W347/V347)&gt;5,"N/A",W347/V347))</f>
        <v>-1</v>
      </c>
      <c r="Y347" s="106">
        <f>0/1000*1</f>
        <v>0</v>
      </c>
      <c r="Z347" s="89">
        <f>Y347-U347</f>
        <v>0</v>
      </c>
      <c r="AA347" s="27" t="str">
        <f>IF(ISERROR(Z347/Y347),"N/A",IF(ABS(Z347/Y347)&gt;5,"N/A",Z347/Y347))</f>
        <v>N/A</v>
      </c>
      <c r="AB347" s="107">
        <f>0/1000*1</f>
        <v>0</v>
      </c>
      <c r="AC347" s="1"/>
      <c r="AD347" s="1"/>
      <c r="AE347" s="1"/>
      <c r="AF347" s="1"/>
      <c r="AG347" s="1"/>
      <c r="AH347" s="1"/>
      <c r="AI347" s="1"/>
    </row>
    <row r="348" spans="1:35" ht="14.25" hidden="1" outlineLevel="1" x14ac:dyDescent="0.2">
      <c r="A348" s="1"/>
      <c r="B348" s="3"/>
      <c r="C348" s="3"/>
      <c r="D348" s="3"/>
      <c r="E348" s="3"/>
      <c r="F348" s="3"/>
      <c r="G348" s="105"/>
      <c r="H348" s="106"/>
      <c r="I348" s="89"/>
      <c r="J348" s="26"/>
      <c r="K348" s="106"/>
      <c r="L348" s="89"/>
      <c r="M348" s="27"/>
      <c r="N348" s="105"/>
      <c r="O348" s="106"/>
      <c r="P348" s="89"/>
      <c r="Q348" s="26"/>
      <c r="R348" s="106"/>
      <c r="S348" s="89"/>
      <c r="T348" s="27"/>
      <c r="U348" s="105"/>
      <c r="V348" s="106"/>
      <c r="W348" s="89"/>
      <c r="X348" s="26"/>
      <c r="Y348" s="106"/>
      <c r="Z348" s="89"/>
      <c r="AA348" s="27"/>
      <c r="AB348" s="107"/>
      <c r="AC348" s="1"/>
      <c r="AD348" s="1"/>
      <c r="AE348" s="1"/>
      <c r="AF348" s="1"/>
      <c r="AG348" s="1"/>
      <c r="AH348" s="1"/>
      <c r="AI348" s="1"/>
    </row>
    <row r="349" spans="1:35" ht="14.25" hidden="1" outlineLevel="1" x14ac:dyDescent="0.2">
      <c r="A349" s="1"/>
      <c r="B349" s="3"/>
      <c r="C349" s="3"/>
      <c r="D349" s="3"/>
      <c r="E349" s="3"/>
      <c r="F349" s="3"/>
      <c r="G349" s="105"/>
      <c r="H349" s="106"/>
      <c r="I349" s="89"/>
      <c r="J349" s="26"/>
      <c r="K349" s="106"/>
      <c r="L349" s="89"/>
      <c r="M349" s="27"/>
      <c r="N349" s="105"/>
      <c r="O349" s="106"/>
      <c r="P349" s="89"/>
      <c r="Q349" s="26"/>
      <c r="R349" s="106"/>
      <c r="S349" s="89"/>
      <c r="T349" s="27"/>
      <c r="U349" s="105"/>
      <c r="V349" s="106"/>
      <c r="W349" s="89"/>
      <c r="X349" s="26"/>
      <c r="Y349" s="106"/>
      <c r="Z349" s="89"/>
      <c r="AA349" s="27"/>
      <c r="AB349" s="107"/>
      <c r="AC349" s="1"/>
      <c r="AD349" s="1"/>
      <c r="AE349" s="1"/>
      <c r="AF349" s="1"/>
      <c r="AG349" s="1"/>
      <c r="AH349" s="1"/>
      <c r="AI349" s="1"/>
    </row>
    <row r="350" spans="1:35" ht="14.25" collapsed="1" x14ac:dyDescent="0.2">
      <c r="A350" s="1"/>
      <c r="B350" s="3" t="s">
        <v>73</v>
      </c>
      <c r="C350" s="3"/>
      <c r="D350" s="3"/>
      <c r="E350" s="3"/>
      <c r="F350" s="3"/>
      <c r="G350" s="102">
        <f>SUM(G351:G355)</f>
        <v>-11.271540000000002</v>
      </c>
      <c r="H350" s="103">
        <f>SUM(H351:H355)</f>
        <v>13.25109</v>
      </c>
      <c r="I350" s="89">
        <f>G350-H350</f>
        <v>-24.522629999999999</v>
      </c>
      <c r="J350" s="26">
        <f>IF(ISERROR(I350/H350),"N/A",IF(ABS(I350/H350)&gt;5,"N/A",I350/H350))</f>
        <v>-1.850612289253186</v>
      </c>
      <c r="K350" s="103">
        <f>SUM(K351:K355)</f>
        <v>2.6563999999976693E-4</v>
      </c>
      <c r="L350" s="89">
        <f>K350-G350</f>
        <v>11.271805640000002</v>
      </c>
      <c r="M350" s="27" t="str">
        <f>IF(ISERROR(L350/K350),"N/A",IF(ABS(L350/K350)&gt;5,"N/A",L350/K350))</f>
        <v>N/A</v>
      </c>
      <c r="N350" s="102">
        <f>SUM(N351:N355)</f>
        <v>-11.271540000000002</v>
      </c>
      <c r="O350" s="103">
        <f>SUM(O351:O355)</f>
        <v>13.25109</v>
      </c>
      <c r="P350" s="89">
        <f>N350-O350</f>
        <v>-24.522629999999999</v>
      </c>
      <c r="Q350" s="26">
        <f>IF(ISERROR(P350/O350),"N/A",IF(ABS(P350/O350)&gt;5,"N/A",P350/O350))</f>
        <v>-1.850612289253186</v>
      </c>
      <c r="R350" s="103">
        <f>SUM(R351:R355)</f>
        <v>2.6563999999976693E-4</v>
      </c>
      <c r="S350" s="89">
        <f>R350-N350</f>
        <v>11.271805640000002</v>
      </c>
      <c r="T350" s="27" t="str">
        <f>IF(ISERROR(S350/R350),"N/A",IF(ABS(S350/R350)&gt;5,"N/A",S350/R350))</f>
        <v>N/A</v>
      </c>
      <c r="U350" s="102">
        <f>SUM(U351:U355)</f>
        <v>37.318929999999995</v>
      </c>
      <c r="V350" s="108">
        <f>SUM(V351:V355)</f>
        <v>3.8238099999999999</v>
      </c>
      <c r="W350" s="89">
        <f>U350-V350</f>
        <v>33.495119999999993</v>
      </c>
      <c r="X350" s="26" t="str">
        <f>IF(ISERROR(W350/V350),"N/A",IF(ABS(W350/V350)&gt;5,"N/A",W350/V350))</f>
        <v>N/A</v>
      </c>
      <c r="Y350" s="103">
        <f>SUM(Y351:Y355)</f>
        <v>48.590735639999998</v>
      </c>
      <c r="Z350" s="89">
        <f>Y350-U350</f>
        <v>11.271805640000004</v>
      </c>
      <c r="AA350" s="27">
        <f>IF(ISERROR(Z350/Y350),"N/A",IF(ABS(Z350/Y350)&gt;5,"N/A",Z350/Y350))</f>
        <v>0.2319743772457116</v>
      </c>
      <c r="AB350" s="104">
        <f>SUM(AB351:AB355)</f>
        <v>48.589805639999994</v>
      </c>
      <c r="AC350" s="1"/>
      <c r="AD350" s="1"/>
      <c r="AE350" s="1"/>
      <c r="AF350" s="1"/>
      <c r="AG350" s="1"/>
      <c r="AH350" s="1"/>
      <c r="AI350" s="1"/>
    </row>
    <row r="351" spans="1:35" ht="14.25" hidden="1" outlineLevel="1" x14ac:dyDescent="0.2">
      <c r="A351" s="1"/>
      <c r="B351" s="3"/>
      <c r="C351" s="3"/>
      <c r="D351" s="3" t="s">
        <v>67</v>
      </c>
      <c r="E351" s="3" t="s">
        <v>91</v>
      </c>
      <c r="F351" s="3">
        <v>830</v>
      </c>
      <c r="G351" s="105">
        <f>0/1000*1</f>
        <v>0</v>
      </c>
      <c r="H351" s="106">
        <f>0/1000*1</f>
        <v>0</v>
      </c>
      <c r="I351" s="89">
        <f>G351-H351</f>
        <v>0</v>
      </c>
      <c r="J351" s="26" t="str">
        <f>IF(ISERROR(I351/H351),"N/A",IF(ABS(I351/H351)&gt;5,"N/A",I351/H351))</f>
        <v>N/A</v>
      </c>
      <c r="K351" s="106">
        <f>5039/1000*1</f>
        <v>5.0389999999999997</v>
      </c>
      <c r="L351" s="89">
        <f>K351-G351</f>
        <v>5.0389999999999997</v>
      </c>
      <c r="M351" s="27">
        <f>IF(ISERROR(L351/K351),"N/A",IF(ABS(L351/K351)&gt;5,"N/A",L351/K351))</f>
        <v>1</v>
      </c>
      <c r="N351" s="105">
        <f>0/1000*1</f>
        <v>0</v>
      </c>
      <c r="O351" s="106">
        <f>0/1000*1</f>
        <v>0</v>
      </c>
      <c r="P351" s="89">
        <f>N351-O351</f>
        <v>0</v>
      </c>
      <c r="Q351" s="26" t="str">
        <f>IF(ISERROR(P351/O351),"N/A",IF(ABS(P351/O351)&gt;5,"N/A",P351/O351))</f>
        <v>N/A</v>
      </c>
      <c r="R351" s="106">
        <f>5039/1000*1</f>
        <v>5.0389999999999997</v>
      </c>
      <c r="S351" s="89">
        <f>R351-N351</f>
        <v>5.0389999999999997</v>
      </c>
      <c r="T351" s="27">
        <f>IF(ISERROR(S351/R351),"N/A",IF(ABS(S351/R351)&gt;5,"N/A",S351/R351))</f>
        <v>1</v>
      </c>
      <c r="U351" s="105">
        <f>0/1000*1</f>
        <v>0</v>
      </c>
      <c r="V351" s="106">
        <f>-22619.66/1000*1</f>
        <v>-22.61966</v>
      </c>
      <c r="W351" s="89">
        <f>U351-V351</f>
        <v>22.61966</v>
      </c>
      <c r="X351" s="26">
        <f>IF(ISERROR(W351/V351),"N/A",IF(ABS(W351/V351)&gt;5,"N/A",W351/V351))</f>
        <v>-1</v>
      </c>
      <c r="Y351" s="106">
        <f>5039/1000*1</f>
        <v>5.0389999999999997</v>
      </c>
      <c r="Z351" s="89">
        <f>Y351-U351</f>
        <v>5.0389999999999997</v>
      </c>
      <c r="AA351" s="27">
        <f>IF(ISERROR(Z351/Y351),"N/A",IF(ABS(Z351/Y351)&gt;5,"N/A",Z351/Y351))</f>
        <v>1</v>
      </c>
      <c r="AB351" s="107">
        <f>18475/1000*1</f>
        <v>18.475000000000001</v>
      </c>
      <c r="AC351" s="1"/>
      <c r="AD351" s="1"/>
      <c r="AE351" s="1"/>
      <c r="AF351" s="1"/>
      <c r="AG351" s="1"/>
      <c r="AH351" s="1"/>
      <c r="AI351" s="1"/>
    </row>
    <row r="352" spans="1:35" ht="14.25" hidden="1" outlineLevel="1" x14ac:dyDescent="0.2">
      <c r="A352" s="1"/>
      <c r="B352" s="3"/>
      <c r="C352" s="3"/>
      <c r="D352" s="3" t="s">
        <v>67</v>
      </c>
      <c r="E352" s="3" t="s">
        <v>91</v>
      </c>
      <c r="F352" s="3">
        <v>840</v>
      </c>
      <c r="G352" s="105">
        <f>984.15/1000*1</f>
        <v>0.98414999999999997</v>
      </c>
      <c r="H352" s="106">
        <f>6949.63/1000*1</f>
        <v>6.94963</v>
      </c>
      <c r="I352" s="89">
        <f>G352-H352</f>
        <v>-5.9654800000000003</v>
      </c>
      <c r="J352" s="26">
        <f>IF(ISERROR(I352/H352),"N/A",IF(ABS(I352/H352)&gt;5,"N/A",I352/H352))</f>
        <v>-0.85838814440481004</v>
      </c>
      <c r="K352" s="106">
        <f>-5038.9/1000*1</f>
        <v>-5.0388999999999999</v>
      </c>
      <c r="L352" s="89">
        <f>K352-G352</f>
        <v>-6.0230499999999996</v>
      </c>
      <c r="M352" s="27">
        <f>IF(ISERROR(L352/K352),"N/A",IF(ABS(L352/K352)&gt;5,"N/A",L352/K352))</f>
        <v>1.1953104844311258</v>
      </c>
      <c r="N352" s="105">
        <f>984.15/1000*1</f>
        <v>0.98414999999999997</v>
      </c>
      <c r="O352" s="106">
        <f>6949.63/1000*1</f>
        <v>6.94963</v>
      </c>
      <c r="P352" s="89">
        <f>N352-O352</f>
        <v>-5.9654800000000003</v>
      </c>
      <c r="Q352" s="26">
        <f>IF(ISERROR(P352/O352),"N/A",IF(ABS(P352/O352)&gt;5,"N/A",P352/O352))</f>
        <v>-0.85838814440481004</v>
      </c>
      <c r="R352" s="106">
        <f>-5038.9/1000*1</f>
        <v>-5.0388999999999999</v>
      </c>
      <c r="S352" s="89">
        <f>R352-N352</f>
        <v>-6.0230499999999996</v>
      </c>
      <c r="T352" s="27">
        <f>IF(ISERROR(S352/R352),"N/A",IF(ABS(S352/R352)&gt;5,"N/A",S352/R352))</f>
        <v>1.1953104844311258</v>
      </c>
      <c r="U352" s="105">
        <f>7630.74/1000*1</f>
        <v>7.6307399999999994</v>
      </c>
      <c r="V352" s="106">
        <f>13865.48/1000*1</f>
        <v>13.86548</v>
      </c>
      <c r="W352" s="89">
        <f>U352-V352</f>
        <v>-6.2347400000000004</v>
      </c>
      <c r="X352" s="26">
        <f>IF(ISERROR(W352/V352),"N/A",IF(ABS(W352/V352)&gt;5,"N/A",W352/V352))</f>
        <v>-0.44965915352371505</v>
      </c>
      <c r="Y352" s="106">
        <f>1607.69/1000*1</f>
        <v>1.6076900000000001</v>
      </c>
      <c r="Z352" s="89">
        <f>Y352-U352</f>
        <v>-6.0230499999999996</v>
      </c>
      <c r="AA352" s="27">
        <f>IF(ISERROR(Z352/Y352),"N/A",IF(ABS(Z352/Y352)&gt;5,"N/A",Z352/Y352))</f>
        <v>-3.7464001144499246</v>
      </c>
      <c r="AB352" s="107">
        <f>-11829.53/1000*1</f>
        <v>-11.82953</v>
      </c>
      <c r="AC352" s="1"/>
      <c r="AD352" s="1"/>
      <c r="AE352" s="1"/>
      <c r="AF352" s="1"/>
      <c r="AG352" s="1"/>
      <c r="AH352" s="1"/>
      <c r="AI352" s="1"/>
    </row>
    <row r="353" spans="1:35" ht="14.25" hidden="1" outlineLevel="1" x14ac:dyDescent="0.2">
      <c r="A353" s="1"/>
      <c r="B353" s="3"/>
      <c r="C353" s="3"/>
      <c r="D353" s="3" t="s">
        <v>67</v>
      </c>
      <c r="E353" s="3" t="s">
        <v>91</v>
      </c>
      <c r="F353" s="3">
        <v>930</v>
      </c>
      <c r="G353" s="105">
        <f>-5533.48/1000*1</f>
        <v>-5.53348</v>
      </c>
      <c r="H353" s="106">
        <f>6301.46/1000*1</f>
        <v>6.3014599999999996</v>
      </c>
      <c r="I353" s="89">
        <f>G353-H353</f>
        <v>-11.83494</v>
      </c>
      <c r="J353" s="26">
        <f>IF(ISERROR(I353/H353),"N/A",IF(ABS(I353/H353)&gt;5,"N/A",I353/H353))</f>
        <v>-1.8781266563621763</v>
      </c>
      <c r="K353" s="106">
        <f>0.14/1000*1</f>
        <v>1.4000000000000001E-4</v>
      </c>
      <c r="L353" s="89">
        <f>K353-G353</f>
        <v>5.53362</v>
      </c>
      <c r="M353" s="27" t="str">
        <f>IF(ISERROR(L353/K353),"N/A",IF(ABS(L353/K353)&gt;5,"N/A",L353/K353))</f>
        <v>N/A</v>
      </c>
      <c r="N353" s="105">
        <f>-5533.48/1000*1</f>
        <v>-5.53348</v>
      </c>
      <c r="O353" s="106">
        <f>6301.46/1000*1</f>
        <v>6.3014599999999996</v>
      </c>
      <c r="P353" s="89">
        <f>N353-O353</f>
        <v>-11.83494</v>
      </c>
      <c r="Q353" s="26">
        <f>IF(ISERROR(P353/O353),"N/A",IF(ABS(P353/O353)&gt;5,"N/A",P353/O353))</f>
        <v>-1.8781266563621763</v>
      </c>
      <c r="R353" s="106">
        <f>0.14/1000*1</f>
        <v>1.4000000000000001E-4</v>
      </c>
      <c r="S353" s="89">
        <f>R353-N353</f>
        <v>5.53362</v>
      </c>
      <c r="T353" s="27" t="str">
        <f>IF(ISERROR(S353/R353),"N/A",IF(ABS(S353/R353)&gt;5,"N/A",S353/R353))</f>
        <v>N/A</v>
      </c>
      <c r="U353" s="105">
        <f>-5533.48/1000*1</f>
        <v>-5.53348</v>
      </c>
      <c r="V353" s="106">
        <f>12577.99/1000*1</f>
        <v>12.57799</v>
      </c>
      <c r="W353" s="89">
        <f>U353-V353</f>
        <v>-18.111470000000001</v>
      </c>
      <c r="X353" s="26">
        <f>IF(ISERROR(W353/V353),"N/A",IF(ABS(W353/V353)&gt;5,"N/A",W353/V353))</f>
        <v>-1.4399335664919435</v>
      </c>
      <c r="Y353" s="106">
        <f>0.14/1000*1</f>
        <v>1.4000000000000001E-4</v>
      </c>
      <c r="Z353" s="89">
        <f>Y353-U353</f>
        <v>5.53362</v>
      </c>
      <c r="AA353" s="27" t="str">
        <f>IF(ISERROR(Z353/Y353),"N/A",IF(ABS(Z353/Y353)&gt;5,"N/A",Z353/Y353))</f>
        <v>N/A</v>
      </c>
      <c r="AB353" s="107">
        <f>0.43/1000*1</f>
        <v>4.2999999999999999E-4</v>
      </c>
      <c r="AC353" s="1"/>
      <c r="AD353" s="1"/>
      <c r="AE353" s="1"/>
      <c r="AF353" s="1"/>
      <c r="AG353" s="1"/>
      <c r="AH353" s="1"/>
      <c r="AI353" s="1"/>
    </row>
    <row r="354" spans="1:35" ht="14.25" hidden="1" outlineLevel="1" x14ac:dyDescent="0.2">
      <c r="A354" s="1"/>
      <c r="B354" s="3"/>
      <c r="C354" s="3"/>
      <c r="D354" s="3" t="s">
        <v>67</v>
      </c>
      <c r="E354" s="3" t="s">
        <v>93</v>
      </c>
      <c r="F354" s="3">
        <v>920</v>
      </c>
      <c r="G354" s="105">
        <f>-6722.21/1000*1</f>
        <v>-6.7222100000000005</v>
      </c>
      <c r="H354" s="106">
        <f>0/1000*1</f>
        <v>0</v>
      </c>
      <c r="I354" s="89">
        <f>G354-H354</f>
        <v>-6.7222100000000005</v>
      </c>
      <c r="J354" s="26" t="str">
        <f>IF(ISERROR(I354/H354),"N/A",IF(ABS(I354/H354)&gt;5,"N/A",I354/H354))</f>
        <v>N/A</v>
      </c>
      <c r="K354" s="106">
        <f>0.02564/1000*1</f>
        <v>2.5639999999999998E-5</v>
      </c>
      <c r="L354" s="89">
        <f>K354-G354</f>
        <v>6.7222356400000001</v>
      </c>
      <c r="M354" s="27" t="str">
        <f>IF(ISERROR(L354/K354),"N/A",IF(ABS(L354/K354)&gt;5,"N/A",L354/K354))</f>
        <v>N/A</v>
      </c>
      <c r="N354" s="105">
        <f>-6722.21/1000*1</f>
        <v>-6.7222100000000005</v>
      </c>
      <c r="O354" s="106">
        <f>0/1000*1</f>
        <v>0</v>
      </c>
      <c r="P354" s="89">
        <f>N354-O354</f>
        <v>-6.7222100000000005</v>
      </c>
      <c r="Q354" s="26" t="str">
        <f>IF(ISERROR(P354/O354),"N/A",IF(ABS(P354/O354)&gt;5,"N/A",P354/O354))</f>
        <v>N/A</v>
      </c>
      <c r="R354" s="106">
        <f>0.02564/1000*1</f>
        <v>2.5639999999999998E-5</v>
      </c>
      <c r="S354" s="89">
        <f>R354-N354</f>
        <v>6.7222356400000001</v>
      </c>
      <c r="T354" s="27" t="str">
        <f>IF(ISERROR(S354/R354),"N/A",IF(ABS(S354/R354)&gt;5,"N/A",S354/R354))</f>
        <v>N/A</v>
      </c>
      <c r="U354" s="105">
        <f>35221.67/1000*1</f>
        <v>35.221669999999996</v>
      </c>
      <c r="V354" s="106">
        <f>0/1000*1</f>
        <v>0</v>
      </c>
      <c r="W354" s="89">
        <f>U354-V354</f>
        <v>35.221669999999996</v>
      </c>
      <c r="X354" s="26" t="str">
        <f>IF(ISERROR(W354/V354),"N/A",IF(ABS(W354/V354)&gt;5,"N/A",W354/V354))</f>
        <v>N/A</v>
      </c>
      <c r="Y354" s="106">
        <f>41943.90564/1000*1</f>
        <v>41.943905639999997</v>
      </c>
      <c r="Z354" s="89">
        <f>Y354-U354</f>
        <v>6.722235640000001</v>
      </c>
      <c r="AA354" s="27">
        <f>IF(ISERROR(Z354/Y354),"N/A",IF(ABS(Z354/Y354)&gt;5,"N/A",Z354/Y354))</f>
        <v>0.16026727929669263</v>
      </c>
      <c r="AB354" s="107">
        <f>41943.90564/1000*1</f>
        <v>41.943905639999997</v>
      </c>
      <c r="AC354" s="1"/>
      <c r="AD354" s="1"/>
      <c r="AE354" s="1"/>
      <c r="AF354" s="1"/>
      <c r="AG354" s="1"/>
      <c r="AH354" s="1"/>
      <c r="AI354" s="1"/>
    </row>
    <row r="355" spans="1:35" ht="14.25" hidden="1" outlineLevel="1" x14ac:dyDescent="0.2">
      <c r="A355" s="1"/>
      <c r="B355" s="3"/>
      <c r="C355" s="3"/>
      <c r="D355" s="3"/>
      <c r="E355" s="3"/>
      <c r="F355" s="3"/>
      <c r="G355" s="105"/>
      <c r="H355" s="106"/>
      <c r="I355" s="89"/>
      <c r="J355" s="26"/>
      <c r="K355" s="106"/>
      <c r="L355" s="89"/>
      <c r="M355" s="27"/>
      <c r="N355" s="105"/>
      <c r="O355" s="106"/>
      <c r="P355" s="89"/>
      <c r="Q355" s="26"/>
      <c r="R355" s="106"/>
      <c r="S355" s="89"/>
      <c r="T355" s="27"/>
      <c r="U355" s="105"/>
      <c r="V355" s="106"/>
      <c r="W355" s="89"/>
      <c r="X355" s="26"/>
      <c r="Y355" s="106"/>
      <c r="Z355" s="89"/>
      <c r="AA355" s="27"/>
      <c r="AB355" s="107"/>
      <c r="AC355" s="1"/>
      <c r="AD355" s="1"/>
      <c r="AE355" s="1"/>
      <c r="AF355" s="1"/>
      <c r="AG355" s="1"/>
      <c r="AH355" s="1"/>
      <c r="AI355" s="1"/>
    </row>
    <row r="356" spans="1:35" ht="14.25" hidden="1" outlineLevel="1" x14ac:dyDescent="0.2">
      <c r="A356" s="1"/>
      <c r="B356" s="3"/>
      <c r="C356" s="3"/>
      <c r="D356" s="3"/>
      <c r="E356" s="3"/>
      <c r="F356" s="3"/>
      <c r="G356" s="105"/>
      <c r="H356" s="106"/>
      <c r="I356" s="89"/>
      <c r="J356" s="26"/>
      <c r="K356" s="106"/>
      <c r="L356" s="89"/>
      <c r="M356" s="27"/>
      <c r="N356" s="105"/>
      <c r="O356" s="106"/>
      <c r="P356" s="89"/>
      <c r="Q356" s="26"/>
      <c r="R356" s="106"/>
      <c r="S356" s="89"/>
      <c r="T356" s="27"/>
      <c r="U356" s="105"/>
      <c r="V356" s="106"/>
      <c r="W356" s="89"/>
      <c r="X356" s="26"/>
      <c r="Y356" s="106"/>
      <c r="Z356" s="89"/>
      <c r="AA356" s="27"/>
      <c r="AB356" s="107"/>
      <c r="AC356" s="1"/>
      <c r="AD356" s="1"/>
      <c r="AE356" s="1"/>
      <c r="AF356" s="1"/>
      <c r="AG356" s="1"/>
      <c r="AH356" s="1"/>
      <c r="AI356" s="1"/>
    </row>
    <row r="357" spans="1:35" ht="14.25" hidden="1" outlineLevel="1" x14ac:dyDescent="0.2">
      <c r="A357" s="1"/>
      <c r="B357" s="3"/>
      <c r="C357" s="3"/>
      <c r="D357" s="3"/>
      <c r="E357" s="3"/>
      <c r="F357" s="3"/>
      <c r="G357" s="105"/>
      <c r="H357" s="106"/>
      <c r="I357" s="89"/>
      <c r="J357" s="26"/>
      <c r="K357" s="106"/>
      <c r="L357" s="89"/>
      <c r="M357" s="27"/>
      <c r="N357" s="105"/>
      <c r="O357" s="106"/>
      <c r="P357" s="89"/>
      <c r="Q357" s="26"/>
      <c r="R357" s="106"/>
      <c r="S357" s="89"/>
      <c r="T357" s="27"/>
      <c r="U357" s="105"/>
      <c r="V357" s="106"/>
      <c r="W357" s="89"/>
      <c r="X357" s="26"/>
      <c r="Y357" s="106"/>
      <c r="Z357" s="89"/>
      <c r="AA357" s="27"/>
      <c r="AB357" s="107"/>
      <c r="AC357" s="1"/>
      <c r="AD357" s="1"/>
      <c r="AE357" s="1"/>
      <c r="AF357" s="1"/>
      <c r="AG357" s="1"/>
      <c r="AH357" s="1"/>
      <c r="AI357" s="1"/>
    </row>
    <row r="358" spans="1:35" ht="14.25" collapsed="1" x14ac:dyDescent="0.2">
      <c r="A358" s="1"/>
      <c r="B358" s="3" t="s">
        <v>74</v>
      </c>
      <c r="C358" s="3"/>
      <c r="D358" s="3"/>
      <c r="E358" s="3"/>
      <c r="F358" s="3"/>
      <c r="G358" s="105">
        <f>92756.25/1000*1</f>
        <v>92.756249999999994</v>
      </c>
      <c r="H358" s="106">
        <f>52682.8/1000*1</f>
        <v>52.6828</v>
      </c>
      <c r="I358" s="89">
        <f>G358-H358</f>
        <v>40.073449999999994</v>
      </c>
      <c r="J358" s="26">
        <f>IF(ISERROR(I358/H358),"N/A",IF(ABS(I358/H358)&gt;5,"N/A",I358/H358))</f>
        <v>0.76065528028123019</v>
      </c>
      <c r="K358" s="106">
        <f>309594.12/1000*1</f>
        <v>309.59411999999998</v>
      </c>
      <c r="L358" s="89">
        <f>K358-G358</f>
        <v>216.83786999999998</v>
      </c>
      <c r="M358" s="27">
        <f>IF(ISERROR(L358/K358),"N/A",IF(ABS(L358/K358)&gt;5,"N/A",L358/K358))</f>
        <v>0.70039401911121568</v>
      </c>
      <c r="N358" s="105">
        <f>92756.25/1000*1</f>
        <v>92.756249999999994</v>
      </c>
      <c r="O358" s="106">
        <f>52682.8/1000*1</f>
        <v>52.6828</v>
      </c>
      <c r="P358" s="89">
        <f>N358-O358</f>
        <v>40.073449999999994</v>
      </c>
      <c r="Q358" s="26">
        <f>IF(ISERROR(P358/O358),"N/A",IF(ABS(P358/O358)&gt;5,"N/A",P358/O358))</f>
        <v>0.76065528028123019</v>
      </c>
      <c r="R358" s="106">
        <f>309594.12/1000*1</f>
        <v>309.59411999999998</v>
      </c>
      <c r="S358" s="89">
        <f>R358-N358</f>
        <v>216.83786999999998</v>
      </c>
      <c r="T358" s="27">
        <f>IF(ISERROR(S358/R358),"N/A",IF(ABS(S358/R358)&gt;5,"N/A",S358/R358))</f>
        <v>0.70039401911121568</v>
      </c>
      <c r="U358" s="105">
        <f>219202.7/1000*1</f>
        <v>219.20270000000002</v>
      </c>
      <c r="V358" s="106">
        <f>63198.62/1000*1</f>
        <v>63.198620000000005</v>
      </c>
      <c r="W358" s="89">
        <f>U358-V358</f>
        <v>156.00408000000002</v>
      </c>
      <c r="X358" s="26">
        <f>IF(ISERROR(W358/V358),"N/A",IF(ABS(W358/V358)&gt;5,"N/A",W358/V358))</f>
        <v>2.4684728875408988</v>
      </c>
      <c r="Y358" s="106">
        <f>436040.57/1000*1</f>
        <v>436.04057</v>
      </c>
      <c r="Z358" s="89">
        <f>Y358-U358</f>
        <v>216.83786999999998</v>
      </c>
      <c r="AA358" s="27">
        <f>IF(ISERROR(Z358/Y358),"N/A",IF(ABS(Z358/Y358)&gt;5,"N/A",Z358/Y358))</f>
        <v>0.49728829131656255</v>
      </c>
      <c r="AB358" s="107">
        <f>436040.57/1000*1</f>
        <v>436.04057</v>
      </c>
      <c r="AC358" s="1"/>
      <c r="AD358" s="1"/>
      <c r="AE358" s="1"/>
      <c r="AF358" s="1"/>
      <c r="AG358" s="1"/>
      <c r="AH358" s="1"/>
      <c r="AI358" s="1"/>
    </row>
    <row r="359" spans="1:35" ht="5.0999999999999996" customHeight="1" x14ac:dyDescent="0.2">
      <c r="A359" s="1"/>
      <c r="B359" s="3"/>
      <c r="C359" s="3"/>
      <c r="D359" s="3"/>
      <c r="E359" s="3"/>
      <c r="F359" s="3"/>
      <c r="G359" s="109"/>
      <c r="H359" s="110"/>
      <c r="I359" s="111"/>
      <c r="J359" s="38"/>
      <c r="K359" s="110"/>
      <c r="L359" s="111"/>
      <c r="M359" s="39"/>
      <c r="N359" s="109"/>
      <c r="O359" s="110"/>
      <c r="P359" s="111"/>
      <c r="Q359" s="38"/>
      <c r="R359" s="110"/>
      <c r="S359" s="111"/>
      <c r="T359" s="39"/>
      <c r="U359" s="109"/>
      <c r="V359" s="110"/>
      <c r="W359" s="111"/>
      <c r="X359" s="38"/>
      <c r="Y359" s="110"/>
      <c r="Z359" s="111"/>
      <c r="AA359" s="39"/>
      <c r="AB359" s="112"/>
      <c r="AC359" s="1"/>
      <c r="AD359" s="1"/>
      <c r="AE359" s="1"/>
      <c r="AF359" s="1"/>
      <c r="AG359" s="1"/>
      <c r="AH359" s="1"/>
      <c r="AI359" s="1"/>
    </row>
    <row r="360" spans="1:35" x14ac:dyDescent="0.25">
      <c r="A360" s="1"/>
      <c r="B360" s="2" t="s">
        <v>37</v>
      </c>
      <c r="C360" s="3"/>
      <c r="D360" s="3"/>
      <c r="E360" s="3"/>
      <c r="F360" s="3"/>
      <c r="G360" s="105">
        <f>SUM(G291,G303,G318,G321,G328,G333,G336,G339,G343,G350,G358)</f>
        <v>448.34992999999997</v>
      </c>
      <c r="H360" s="106">
        <f>SUM(H291,H303,H318,H321,H328,H333,H336,H339,H343,H350,H358)</f>
        <v>273.55359999999996</v>
      </c>
      <c r="I360" s="89">
        <f>G360-H360</f>
        <v>174.79633000000001</v>
      </c>
      <c r="J360" s="26">
        <f>IF(ISERROR(I360/H360),"N/A",IF(ABS(I360/H360)&gt;5,"N/A",I360/H360))</f>
        <v>0.63898384082680704</v>
      </c>
      <c r="K360" s="106">
        <f>SUM(K291,K303,K318,K321,K328,K333,K336,K339,K343,K350,K358)</f>
        <v>555.03730579600006</v>
      </c>
      <c r="L360" s="89">
        <f>K360-G360</f>
        <v>106.68737579600008</v>
      </c>
      <c r="M360" s="27">
        <f>IF(ISERROR(L360/K360),"N/A",IF(ABS(L360/K360)&gt;5,"N/A",L360/K360))</f>
        <v>0.19221658559147781</v>
      </c>
      <c r="N360" s="105">
        <f>SUM(N291,N303,N318,N321,N328,N333,N336,N339,N343,N350,N358)</f>
        <v>1252.8023199999998</v>
      </c>
      <c r="O360" s="106">
        <f>SUM(O291,O303,O318,O321,O328,O333,O336,O339,O343,O350,O358)</f>
        <v>771.68580000000009</v>
      </c>
      <c r="P360" s="89">
        <f>N360-O360</f>
        <v>481.1165199999997</v>
      </c>
      <c r="Q360" s="26">
        <f>IF(ISERROR(P360/O360),"N/A",IF(ABS(P360/O360)&gt;5,"N/A",P360/O360))</f>
        <v>0.62346167313173273</v>
      </c>
      <c r="R360" s="106">
        <f>SUM(R291,R303,R318,R321,R328,R333,R336,R339,R343,R350,R358)</f>
        <v>1095.3580029189998</v>
      </c>
      <c r="S360" s="89">
        <f>R360-N360</f>
        <v>-157.44431708100001</v>
      </c>
      <c r="T360" s="27">
        <f>IF(ISERROR(S360/R360),"N/A",IF(ABS(S360/R360)&gt;5,"N/A",S360/R360))</f>
        <v>-0.14373777035583754</v>
      </c>
      <c r="U360" s="105">
        <f>SUM(U291,U303,U318,U321,U328,U333,U336,U339,U343,U350,U358)</f>
        <v>2332.0221899999997</v>
      </c>
      <c r="V360" s="106">
        <f>SUM(V291,V303,V318,V321,V328,V333,V336,V339,V343,V350,V358)</f>
        <v>1383.8600299999998</v>
      </c>
      <c r="W360" s="89">
        <f>U360-V360</f>
        <v>948.16215999999986</v>
      </c>
      <c r="X360" s="26">
        <f>IF(ISERROR(W360/V360),"N/A",IF(ABS(W360/V360)&gt;5,"N/A",W360/V360))</f>
        <v>0.68515755888982499</v>
      </c>
      <c r="Y360" s="106">
        <f>SUM(Y291,Y303,Y318,Y321,Y328,Y333,Y336,Y339,Y343,Y350,Y358)</f>
        <v>2174.5778729190001</v>
      </c>
      <c r="Z360" s="89">
        <f>Y360-U360</f>
        <v>-157.44431708099955</v>
      </c>
      <c r="AA360" s="27">
        <f>IF(ISERROR(Z360/Y360),"N/A",IF(ABS(Z360/Y360)&gt;5,"N/A",Z360/Y360))</f>
        <v>-7.2402243691396251E-2</v>
      </c>
      <c r="AB360" s="107">
        <f>SUM(AB291,AB303,AB318,AB321,AB328,AB333,AB336,AB339,AB343,AB350,AB358)</f>
        <v>4172.3516827199992</v>
      </c>
      <c r="AC360" s="1"/>
      <c r="AD360" s="1"/>
      <c r="AE360" s="1"/>
      <c r="AF360" s="1"/>
      <c r="AG360" s="1"/>
      <c r="AH360" s="1"/>
      <c r="AI360" s="1"/>
    </row>
    <row r="361" spans="1:35" ht="14.25" x14ac:dyDescent="0.2">
      <c r="A361" s="1"/>
      <c r="B361" s="3"/>
      <c r="C361" s="3"/>
      <c r="D361" s="3"/>
      <c r="E361" s="3"/>
      <c r="F361" s="3"/>
      <c r="G361" s="105"/>
      <c r="H361" s="106"/>
      <c r="I361" s="89"/>
      <c r="J361" s="26"/>
      <c r="K361" s="106"/>
      <c r="L361" s="89"/>
      <c r="M361" s="27"/>
      <c r="N361" s="105"/>
      <c r="O361" s="106"/>
      <c r="P361" s="89"/>
      <c r="Q361" s="26"/>
      <c r="R361" s="106"/>
      <c r="S361" s="89"/>
      <c r="T361" s="27"/>
      <c r="U361" s="105"/>
      <c r="V361" s="106"/>
      <c r="W361" s="89"/>
      <c r="X361" s="26"/>
      <c r="Y361" s="106"/>
      <c r="Z361" s="89"/>
      <c r="AA361" s="27"/>
      <c r="AB361" s="107"/>
      <c r="AC361" s="1"/>
      <c r="AD361" s="1"/>
      <c r="AE361" s="1"/>
      <c r="AF361" s="1"/>
      <c r="AG361" s="1"/>
      <c r="AH361" s="1"/>
      <c r="AI361" s="1"/>
    </row>
    <row r="362" spans="1:35" ht="15.75" thickBot="1" x14ac:dyDescent="0.3">
      <c r="A362" s="1"/>
      <c r="B362" s="2" t="s">
        <v>38</v>
      </c>
      <c r="C362" s="3"/>
      <c r="D362" s="3"/>
      <c r="E362" s="3"/>
      <c r="F362" s="3"/>
      <c r="G362" s="113">
        <f>SUM(G150,G221,G288,G360)</f>
        <v>5672.5910500000018</v>
      </c>
      <c r="H362" s="114">
        <f>SUM(H150,H221,H288,H360)</f>
        <v>8137.7272500000026</v>
      </c>
      <c r="I362" s="115">
        <f>G362-H362</f>
        <v>-2465.1362000000008</v>
      </c>
      <c r="J362" s="50">
        <f>IF(ISERROR(I362/H362),"N/A",IF(ABS(I362/H362)&gt;5,"N/A",I362/H362))</f>
        <v>-0.30292686450015882</v>
      </c>
      <c r="K362" s="114">
        <f>SUM(K150,K221,K288,K360)</f>
        <v>7395.9971465300005</v>
      </c>
      <c r="L362" s="115">
        <f>K362-G362</f>
        <v>1723.4060965299986</v>
      </c>
      <c r="M362" s="51">
        <f>IF(ISERROR(L362/K362),"N/A",IF(ABS(L362/K362)&gt;5,"N/A",L362/K362))</f>
        <v>0.23301876168767502</v>
      </c>
      <c r="N362" s="113">
        <f>SUM(N150,N221,N288,N360)</f>
        <v>16881.678939999998</v>
      </c>
      <c r="O362" s="114">
        <f>SUM(O150,O221,O288,O360)</f>
        <v>19944.148959999999</v>
      </c>
      <c r="P362" s="115">
        <f>N362-O362</f>
        <v>-3062.4700200000007</v>
      </c>
      <c r="Q362" s="50">
        <f>IF(ISERROR(P362/O362),"N/A",IF(ABS(P362/O362)&gt;5,"N/A",P362/O362))</f>
        <v>-0.15355230379306198</v>
      </c>
      <c r="R362" s="114">
        <f>SUM(R150,R221,R288,R360)</f>
        <v>17866.354594486998</v>
      </c>
      <c r="S362" s="115">
        <f>R362-N362</f>
        <v>984.67565448700043</v>
      </c>
      <c r="T362" s="51">
        <f>IF(ISERROR(S362/R362),"N/A",IF(ABS(S362/R362)&gt;5,"N/A",S362/R362))</f>
        <v>5.5113405998940643E-2</v>
      </c>
      <c r="U362" s="113">
        <f>SUM(U150,U221,U288,U360)</f>
        <v>43154.456099999996</v>
      </c>
      <c r="V362" s="116">
        <f>SUM(V150,V221,V288,V360)</f>
        <v>38813.128060000003</v>
      </c>
      <c r="W362" s="115">
        <f>U362-V362</f>
        <v>4341.3280399999931</v>
      </c>
      <c r="X362" s="50">
        <f>IF(ISERROR(W362/V362),"N/A",IF(ABS(W362/V362)&gt;5,"N/A",W362/V362))</f>
        <v>0.11185205256553581</v>
      </c>
      <c r="Y362" s="114">
        <f>SUM(Y150,Y221,Y288,Y360)</f>
        <v>44139.131754487003</v>
      </c>
      <c r="Z362" s="115">
        <f>Y362-U362</f>
        <v>984.67565448700771</v>
      </c>
      <c r="AA362" s="51">
        <f>IF(ISERROR(Z362/Y362),"N/A",IF(ABS(Z362/Y362)&gt;5,"N/A",Z362/Y362))</f>
        <v>2.2308450922053073E-2</v>
      </c>
      <c r="AB362" s="117">
        <f>SUM(AB150,AB221,AB288,AB360)</f>
        <v>85514.540787559978</v>
      </c>
      <c r="AC362" s="1"/>
      <c r="AD362" s="1"/>
      <c r="AE362" s="1"/>
      <c r="AF362" s="1"/>
      <c r="AG362" s="1"/>
      <c r="AH362" s="1"/>
      <c r="AI362" s="1"/>
    </row>
    <row r="363" spans="1:35" thickTop="1" x14ac:dyDescent="0.2">
      <c r="A363" s="1"/>
      <c r="B363" s="3"/>
      <c r="C363" s="3"/>
      <c r="D363" s="3"/>
      <c r="E363" s="3"/>
      <c r="F363" s="3"/>
      <c r="G363" s="105"/>
      <c r="H363" s="106"/>
      <c r="I363" s="89"/>
      <c r="J363" s="26"/>
      <c r="K363" s="106"/>
      <c r="L363" s="89"/>
      <c r="M363" s="27"/>
      <c r="N363" s="105"/>
      <c r="O363" s="106"/>
      <c r="P363" s="89"/>
      <c r="Q363" s="26"/>
      <c r="R363" s="106"/>
      <c r="S363" s="89"/>
      <c r="T363" s="27"/>
      <c r="U363" s="105"/>
      <c r="V363" s="106"/>
      <c r="W363" s="89"/>
      <c r="X363" s="26"/>
      <c r="Y363" s="106"/>
      <c r="Z363" s="89"/>
      <c r="AA363" s="27"/>
      <c r="AB363" s="107"/>
      <c r="AC363" s="1"/>
      <c r="AD363" s="1"/>
      <c r="AE363" s="1"/>
      <c r="AF363" s="1"/>
      <c r="AG363" s="1"/>
      <c r="AH363" s="1"/>
      <c r="AI363" s="1"/>
    </row>
    <row r="364" spans="1:35" ht="14.25" x14ac:dyDescent="0.2">
      <c r="A364" s="1"/>
      <c r="B364" s="3" t="s">
        <v>49</v>
      </c>
      <c r="C364" s="3"/>
      <c r="D364" s="3"/>
      <c r="E364" s="3"/>
      <c r="F364" s="3"/>
      <c r="G364" s="97">
        <f>G13+G153+G224+G291</f>
        <v>902.44268999999997</v>
      </c>
      <c r="H364" s="98">
        <f>H13+H153+H224+H291</f>
        <v>963.39204000000018</v>
      </c>
      <c r="I364" s="99">
        <f t="shared" ref="I364:I374" si="170">G364-H364</f>
        <v>-60.949350000000209</v>
      </c>
      <c r="J364" s="26">
        <f t="shared" ref="J364:J374" si="171">IF(ISERROR(I364/H364),"N/A",IF(ABS(I364/H364)&gt;5,"N/A",I364/H364))</f>
        <v>-6.3265365987454289E-2</v>
      </c>
      <c r="K364" s="98">
        <f>K13+K153+K224+K291</f>
        <v>643.55733699200005</v>
      </c>
      <c r="L364" s="99">
        <f t="shared" ref="L364:L374" si="172">K364-G364</f>
        <v>-258.88535300799992</v>
      </c>
      <c r="M364" s="27">
        <f t="shared" ref="M364:M374" si="173">IF(ISERROR(L364/K364),"N/A",IF(ABS(L364/K364)&gt;5,"N/A",L364/K364))</f>
        <v>-0.40227239769813716</v>
      </c>
      <c r="N364" s="97">
        <f>N13+N153+N224+N291</f>
        <v>2588.5498700000003</v>
      </c>
      <c r="O364" s="98">
        <f>O13+O153+O224+O291</f>
        <v>2957.47147</v>
      </c>
      <c r="P364" s="99">
        <f t="shared" ref="P364:P374" si="174">N364-O364</f>
        <v>-368.92159999999967</v>
      </c>
      <c r="Q364" s="26">
        <f t="shared" ref="Q364:Q374" si="175">IF(ISERROR(P364/O364),"N/A",IF(ABS(P364/O364)&gt;5,"N/A",P364/O364))</f>
        <v>-0.12474223462246947</v>
      </c>
      <c r="R364" s="98">
        <f>R13+R153+R224+R291</f>
        <v>2173.6452411810001</v>
      </c>
      <c r="S364" s="99">
        <f t="shared" ref="S364:S374" si="176">R364-N364</f>
        <v>-414.90462881900021</v>
      </c>
      <c r="T364" s="27">
        <f t="shared" ref="T364:T374" si="177">IF(ISERROR(S364/R364),"N/A",IF(ABS(S364/R364)&gt;5,"N/A",S364/R364))</f>
        <v>-0.19087964353997866</v>
      </c>
      <c r="U364" s="97">
        <f>U13+U153+U224+U291</f>
        <v>5772.66032</v>
      </c>
      <c r="V364" s="100">
        <f>V13+V153+V224+V291</f>
        <v>5939.2360599999984</v>
      </c>
      <c r="W364" s="99">
        <f t="shared" ref="W364:W374" si="178">U364-V364</f>
        <v>-166.5757399999984</v>
      </c>
      <c r="X364" s="26">
        <f t="shared" ref="X364:X374" si="179">IF(ISERROR(W364/V364),"N/A",IF(ABS(W364/V364)&gt;5,"N/A",W364/V364))</f>
        <v>-2.8046660937063081E-2</v>
      </c>
      <c r="Y364" s="98">
        <f>Y13+Y153+Y224+Y291</f>
        <v>5357.7556911810007</v>
      </c>
      <c r="Z364" s="99">
        <f t="shared" ref="Z364:Z374" si="180">Y364-U364</f>
        <v>-414.9046288189993</v>
      </c>
      <c r="AA364" s="27">
        <f t="shared" ref="AA364:AA374" si="181">IF(ISERROR(Z364/Y364),"N/A",IF(ABS(Z364/Y364)&gt;5,"N/A",Z364/Y364))</f>
        <v>-7.7440005243602769E-2</v>
      </c>
      <c r="AB364" s="101">
        <f>AB13+AB153+AB224+AB291</f>
        <v>10712.307411663</v>
      </c>
      <c r="AC364" s="1"/>
      <c r="AD364" s="1"/>
      <c r="AE364" s="1"/>
      <c r="AF364" s="1"/>
      <c r="AG364" s="1"/>
      <c r="AH364" s="1"/>
      <c r="AI364" s="1"/>
    </row>
    <row r="365" spans="1:35" ht="14.25" collapsed="1" x14ac:dyDescent="0.2">
      <c r="A365" s="1"/>
      <c r="B365" s="3" t="s">
        <v>58</v>
      </c>
      <c r="C365" s="3"/>
      <c r="D365" s="3"/>
      <c r="E365" s="3"/>
      <c r="F365" s="3"/>
      <c r="G365" s="102">
        <f>G25+G159+G233+G303</f>
        <v>2383.5926400000003</v>
      </c>
      <c r="H365" s="103">
        <f>H25+H159+H233+H303</f>
        <v>2628.1730499999999</v>
      </c>
      <c r="I365" s="89">
        <f t="shared" si="170"/>
        <v>-244.58040999999957</v>
      </c>
      <c r="J365" s="26">
        <f t="shared" si="171"/>
        <v>-9.3060999160614472E-2</v>
      </c>
      <c r="K365" s="103">
        <f>K25+K159+K233+K303</f>
        <v>2067.7042302139998</v>
      </c>
      <c r="L365" s="89">
        <f t="shared" si="172"/>
        <v>-315.88840978600047</v>
      </c>
      <c r="M365" s="27">
        <f t="shared" si="173"/>
        <v>-0.15277253156913412</v>
      </c>
      <c r="N365" s="102">
        <f>N25+N159+N233+N303</f>
        <v>7528.226529999999</v>
      </c>
      <c r="O365" s="103">
        <f>O25+O159+O233+O303</f>
        <v>8563.5412400000005</v>
      </c>
      <c r="P365" s="89">
        <f t="shared" si="174"/>
        <v>-1035.3147100000015</v>
      </c>
      <c r="Q365" s="26">
        <f t="shared" si="175"/>
        <v>-0.12089796510397857</v>
      </c>
      <c r="R365" s="103">
        <f>R25+R159+R233+R303</f>
        <v>7067.5385168669991</v>
      </c>
      <c r="S365" s="89">
        <f t="shared" si="176"/>
        <v>-460.68801313299991</v>
      </c>
      <c r="T365" s="27">
        <f t="shared" si="177"/>
        <v>-6.5183657936005196E-2</v>
      </c>
      <c r="U365" s="102">
        <f>U25+U159+U233+U303</f>
        <v>17683.306509999999</v>
      </c>
      <c r="V365" s="103">
        <f>V25+V159+V233+V303</f>
        <v>17694.928370000001</v>
      </c>
      <c r="W365" s="89">
        <f t="shared" si="178"/>
        <v>-11.621860000002926</v>
      </c>
      <c r="X365" s="26">
        <f t="shared" si="179"/>
        <v>-6.5679045187357966E-4</v>
      </c>
      <c r="Y365" s="103">
        <f>Y25+Y159+Y233+Y303</f>
        <v>17222.618496866999</v>
      </c>
      <c r="Z365" s="89">
        <f t="shared" si="180"/>
        <v>-460.68801313299991</v>
      </c>
      <c r="AA365" s="27">
        <f t="shared" si="181"/>
        <v>-2.6749011087762561E-2</v>
      </c>
      <c r="AB365" s="104">
        <f>AB25+AB159+AB233+AB303</f>
        <v>35934.684770767992</v>
      </c>
      <c r="AC365" s="1"/>
      <c r="AD365" s="1"/>
      <c r="AE365" s="1"/>
      <c r="AF365" s="1"/>
      <c r="AG365" s="1"/>
      <c r="AH365" s="1"/>
      <c r="AI365" s="1"/>
    </row>
    <row r="366" spans="1:35" ht="14.25" collapsed="1" x14ac:dyDescent="0.2">
      <c r="A366" s="1"/>
      <c r="B366" s="3" t="s">
        <v>60</v>
      </c>
      <c r="C366" s="3"/>
      <c r="D366" s="3"/>
      <c r="E366" s="3"/>
      <c r="F366" s="3"/>
      <c r="G366" s="102">
        <f>G51+G177+G244+G318</f>
        <v>1.15333</v>
      </c>
      <c r="H366" s="103">
        <f>H51+H177+H244+H318</f>
        <v>1.3060799999999999</v>
      </c>
      <c r="I366" s="89">
        <f t="shared" si="170"/>
        <v>-0.15274999999999994</v>
      </c>
      <c r="J366" s="26">
        <f t="shared" si="171"/>
        <v>-0.11695301972314097</v>
      </c>
      <c r="K366" s="103">
        <f>K51+K177+K244+K318</f>
        <v>0</v>
      </c>
      <c r="L366" s="89">
        <f t="shared" si="172"/>
        <v>-1.15333</v>
      </c>
      <c r="M366" s="27" t="str">
        <f t="shared" si="173"/>
        <v>N/A</v>
      </c>
      <c r="N366" s="102">
        <f>N51+N177+N244+N318</f>
        <v>3.4684299999999997</v>
      </c>
      <c r="O366" s="103">
        <f>O51+O177+O244+O318</f>
        <v>-21.88505</v>
      </c>
      <c r="P366" s="89">
        <f t="shared" si="174"/>
        <v>25.353479999999998</v>
      </c>
      <c r="Q366" s="26">
        <f t="shared" si="175"/>
        <v>-1.1584839879278319</v>
      </c>
      <c r="R366" s="103">
        <f>R51+R177+R244+R318</f>
        <v>1.15333</v>
      </c>
      <c r="S366" s="89">
        <f t="shared" si="176"/>
        <v>-2.3150999999999997</v>
      </c>
      <c r="T366" s="27">
        <f t="shared" si="177"/>
        <v>-2.0073179402252608</v>
      </c>
      <c r="U366" s="102">
        <f>U51+U177+U244+U318</f>
        <v>7.0970200000000006</v>
      </c>
      <c r="V366" s="103">
        <f>V51+V177+V244+V318</f>
        <v>21.510860000000001</v>
      </c>
      <c r="W366" s="89">
        <f t="shared" si="178"/>
        <v>-14.41384</v>
      </c>
      <c r="X366" s="26">
        <f t="shared" si="179"/>
        <v>-0.67007269816269543</v>
      </c>
      <c r="Y366" s="103">
        <f>Y51+Y177+Y244+Y318</f>
        <v>4.7819200000000004</v>
      </c>
      <c r="Z366" s="89">
        <f t="shared" si="180"/>
        <v>-2.3151000000000002</v>
      </c>
      <c r="AA366" s="27">
        <f t="shared" si="181"/>
        <v>-0.48413607923177299</v>
      </c>
      <c r="AB366" s="104">
        <f>AB51+AB177+AB244+AB318</f>
        <v>4.7819200000000004</v>
      </c>
      <c r="AC366" s="1"/>
      <c r="AD366" s="1"/>
      <c r="AE366" s="1"/>
      <c r="AF366" s="1"/>
      <c r="AG366" s="1"/>
      <c r="AH366" s="1"/>
      <c r="AI366" s="1"/>
    </row>
    <row r="367" spans="1:35" ht="14.25" collapsed="1" x14ac:dyDescent="0.2">
      <c r="A367" s="1"/>
      <c r="B367" s="3" t="s">
        <v>62</v>
      </c>
      <c r="C367" s="3"/>
      <c r="D367" s="3"/>
      <c r="E367" s="3"/>
      <c r="F367" s="3"/>
      <c r="G367" s="102">
        <f>G55+G180+G247+G321</f>
        <v>1037.3258599999999</v>
      </c>
      <c r="H367" s="103">
        <f>H55+H180+H247+H321</f>
        <v>1029.19487</v>
      </c>
      <c r="I367" s="89">
        <f t="shared" si="170"/>
        <v>8.1309899999998834</v>
      </c>
      <c r="J367" s="26">
        <f t="shared" si="171"/>
        <v>7.900340583702951E-3</v>
      </c>
      <c r="K367" s="103">
        <f>K55+K180+K247+K321</f>
        <v>893.63222652900004</v>
      </c>
      <c r="L367" s="89">
        <f t="shared" si="172"/>
        <v>-143.69363347099988</v>
      </c>
      <c r="M367" s="27">
        <f t="shared" si="173"/>
        <v>-0.16079728237770391</v>
      </c>
      <c r="N367" s="102">
        <f>N55+N180+N247+N321</f>
        <v>3221.10898</v>
      </c>
      <c r="O367" s="103">
        <f>O55+O180+O247+O321</f>
        <v>3396.7978899999998</v>
      </c>
      <c r="P367" s="89">
        <f t="shared" si="174"/>
        <v>-175.68890999999985</v>
      </c>
      <c r="Q367" s="26">
        <f t="shared" si="175"/>
        <v>-5.1721920376016209E-2</v>
      </c>
      <c r="R367" s="103">
        <f>R55+R180+R247+R321</f>
        <v>2906.3022366939999</v>
      </c>
      <c r="S367" s="89">
        <f t="shared" si="176"/>
        <v>-314.80674330600004</v>
      </c>
      <c r="T367" s="27">
        <f t="shared" si="177"/>
        <v>-0.1083186529368334</v>
      </c>
      <c r="U367" s="102">
        <f>U55+U180+U247+U321</f>
        <v>6661.3245900000002</v>
      </c>
      <c r="V367" s="103">
        <f>V55+V180+V247+V321</f>
        <v>6760.1032299999997</v>
      </c>
      <c r="W367" s="89">
        <f t="shared" si="178"/>
        <v>-98.778639999999541</v>
      </c>
      <c r="X367" s="26">
        <f t="shared" si="179"/>
        <v>-1.4612001716429342E-2</v>
      </c>
      <c r="Y367" s="103">
        <f>Y55+Y180+Y247+Y321</f>
        <v>6346.5178466939997</v>
      </c>
      <c r="Z367" s="89">
        <f t="shared" si="180"/>
        <v>-314.8067433060005</v>
      </c>
      <c r="AA367" s="27">
        <f t="shared" si="181"/>
        <v>-4.9603065950565038E-2</v>
      </c>
      <c r="AB367" s="104">
        <f>AB55+AB180+AB247+AB321</f>
        <v>13298.029361845</v>
      </c>
      <c r="AC367" s="1"/>
      <c r="AD367" s="1"/>
      <c r="AE367" s="1"/>
      <c r="AF367" s="1"/>
      <c r="AG367" s="1"/>
      <c r="AH367" s="1"/>
      <c r="AI367" s="1"/>
    </row>
    <row r="368" spans="1:35" ht="14.25" collapsed="1" x14ac:dyDescent="0.2">
      <c r="A368" s="1"/>
      <c r="B368" s="3" t="s">
        <v>63</v>
      </c>
      <c r="C368" s="3"/>
      <c r="D368" s="3"/>
      <c r="E368" s="3"/>
      <c r="F368" s="3"/>
      <c r="G368" s="102">
        <f>G62+G185+G253+G328</f>
        <v>49.825940000000003</v>
      </c>
      <c r="H368" s="103">
        <f>H62+H185+H253+H328</f>
        <v>47.620770000000007</v>
      </c>
      <c r="I368" s="89">
        <f t="shared" si="170"/>
        <v>2.2051699999999954</v>
      </c>
      <c r="J368" s="26">
        <f t="shared" si="171"/>
        <v>4.6306895079604865E-2</v>
      </c>
      <c r="K368" s="103">
        <f>K62+K185+K253+K328</f>
        <v>92.011118199999999</v>
      </c>
      <c r="L368" s="89">
        <f t="shared" si="172"/>
        <v>42.185178199999996</v>
      </c>
      <c r="M368" s="27">
        <f t="shared" si="173"/>
        <v>0.45847913844829241</v>
      </c>
      <c r="N368" s="102">
        <f>N62+N185+N253+N328</f>
        <v>324.09226000000007</v>
      </c>
      <c r="O368" s="103">
        <f>O62+O185+O253+O328</f>
        <v>112.59281999999999</v>
      </c>
      <c r="P368" s="89">
        <f t="shared" si="174"/>
        <v>211.49944000000008</v>
      </c>
      <c r="Q368" s="26">
        <f t="shared" si="175"/>
        <v>1.878445179719276</v>
      </c>
      <c r="R368" s="103">
        <f>R62+R185+R253+R328</f>
        <v>327.35015598400003</v>
      </c>
      <c r="S368" s="89">
        <f t="shared" si="176"/>
        <v>3.2578959839999584</v>
      </c>
      <c r="T368" s="27">
        <f t="shared" si="177"/>
        <v>9.9523275747551362E-3</v>
      </c>
      <c r="U368" s="102">
        <f>U62+U185+U253+U328</f>
        <v>841.18775999999991</v>
      </c>
      <c r="V368" s="103">
        <f>V62+V185+V253+V328</f>
        <v>236.88894999999999</v>
      </c>
      <c r="W368" s="89">
        <f t="shared" si="178"/>
        <v>604.29880999999989</v>
      </c>
      <c r="X368" s="26">
        <f t="shared" si="179"/>
        <v>2.5509793090813222</v>
      </c>
      <c r="Y368" s="103">
        <f>Y62+Y185+Y253+Y328</f>
        <v>844.44565598400004</v>
      </c>
      <c r="Z368" s="89">
        <f t="shared" si="180"/>
        <v>3.2578959840001289</v>
      </c>
      <c r="AA368" s="27">
        <f t="shared" si="181"/>
        <v>3.8580291827113823E-3</v>
      </c>
      <c r="AB368" s="104">
        <f>AB62+AB185+AB253+AB328</f>
        <v>1712.0159005690002</v>
      </c>
      <c r="AC368" s="1"/>
      <c r="AD368" s="1"/>
      <c r="AE368" s="1"/>
      <c r="AF368" s="1"/>
      <c r="AG368" s="1"/>
      <c r="AH368" s="1"/>
      <c r="AI368" s="1"/>
    </row>
    <row r="369" spans="1:35" ht="14.25" collapsed="1" x14ac:dyDescent="0.2">
      <c r="A369" s="1"/>
      <c r="B369" s="3" t="s">
        <v>65</v>
      </c>
      <c r="C369" s="3"/>
      <c r="D369" s="3"/>
      <c r="E369" s="3"/>
      <c r="F369" s="3"/>
      <c r="G369" s="102">
        <f>G68+G189+G257+G333</f>
        <v>1.4000000000000001E-4</v>
      </c>
      <c r="H369" s="103">
        <f>H68+H189+H257+H333</f>
        <v>4.7849300000000001</v>
      </c>
      <c r="I369" s="89">
        <f t="shared" si="170"/>
        <v>-4.7847900000000001</v>
      </c>
      <c r="J369" s="26">
        <f t="shared" si="171"/>
        <v>-0.99997074147375198</v>
      </c>
      <c r="K369" s="103">
        <f>K68+K189+K257+K333</f>
        <v>0</v>
      </c>
      <c r="L369" s="89">
        <f t="shared" si="172"/>
        <v>-1.4000000000000001E-4</v>
      </c>
      <c r="M369" s="27" t="str">
        <f t="shared" si="173"/>
        <v>N/A</v>
      </c>
      <c r="N369" s="102">
        <f>N68+N189+N257+N333</f>
        <v>5.5689999999999996E-2</v>
      </c>
      <c r="O369" s="103">
        <f>O68+O189+O257+O333</f>
        <v>14.65802</v>
      </c>
      <c r="P369" s="89">
        <f t="shared" si="174"/>
        <v>-14.60233</v>
      </c>
      <c r="Q369" s="26">
        <f t="shared" si="175"/>
        <v>-0.9962007146940719</v>
      </c>
      <c r="R369" s="103">
        <f>R68+R189+R257+R333</f>
        <v>0</v>
      </c>
      <c r="S369" s="89">
        <f t="shared" si="176"/>
        <v>-5.5689999999999996E-2</v>
      </c>
      <c r="T369" s="27" t="str">
        <f t="shared" si="177"/>
        <v>N/A</v>
      </c>
      <c r="U369" s="102">
        <f>U68+U189+U257+U333</f>
        <v>8.3569999999999992E-2</v>
      </c>
      <c r="V369" s="103">
        <f>V68+V189+V257+V333</f>
        <v>486.65656999999999</v>
      </c>
      <c r="W369" s="89">
        <f t="shared" si="178"/>
        <v>-486.57299999999998</v>
      </c>
      <c r="X369" s="26">
        <f t="shared" si="179"/>
        <v>-0.99982827725925905</v>
      </c>
      <c r="Y369" s="103">
        <f>Y68+Y189+Y257+Y333</f>
        <v>2.7879999999999999E-2</v>
      </c>
      <c r="Z369" s="89">
        <f t="shared" si="180"/>
        <v>-5.568999999999999E-2</v>
      </c>
      <c r="AA369" s="27">
        <f t="shared" si="181"/>
        <v>-1.997489239598278</v>
      </c>
      <c r="AB369" s="104">
        <f>AB68+AB189+AB257+AB333</f>
        <v>2.7879999999999999E-2</v>
      </c>
      <c r="AC369" s="1"/>
      <c r="AD369" s="1"/>
      <c r="AE369" s="1"/>
      <c r="AF369" s="1"/>
      <c r="AG369" s="1"/>
      <c r="AH369" s="1"/>
      <c r="AI369" s="1"/>
    </row>
    <row r="370" spans="1:35" ht="14.25" collapsed="1" x14ac:dyDescent="0.2">
      <c r="A370" s="1"/>
      <c r="B370" s="3" t="s">
        <v>66</v>
      </c>
      <c r="C370" s="3"/>
      <c r="D370" s="3"/>
      <c r="E370" s="3"/>
      <c r="F370" s="3"/>
      <c r="G370" s="102">
        <f>G74+G192+G260+G336</f>
        <v>291.99019000000004</v>
      </c>
      <c r="H370" s="103">
        <f>H74+H192+H260+H336</f>
        <v>335.85849000000002</v>
      </c>
      <c r="I370" s="89">
        <f t="shared" si="170"/>
        <v>-43.868299999999977</v>
      </c>
      <c r="J370" s="26">
        <f t="shared" si="171"/>
        <v>-0.13061542675309465</v>
      </c>
      <c r="K370" s="103">
        <f>K74+K192+K260+K336</f>
        <v>320.95299906400004</v>
      </c>
      <c r="L370" s="89">
        <f t="shared" si="172"/>
        <v>28.962809063999998</v>
      </c>
      <c r="M370" s="27">
        <f t="shared" si="173"/>
        <v>9.024003249218629E-2</v>
      </c>
      <c r="N370" s="102">
        <f>N74+N192+N260+N336</f>
        <v>929.5925299999999</v>
      </c>
      <c r="O370" s="103">
        <f>O74+O192+O260+O336</f>
        <v>764.89337</v>
      </c>
      <c r="P370" s="89">
        <f t="shared" si="174"/>
        <v>164.69915999999989</v>
      </c>
      <c r="Q370" s="26">
        <f t="shared" si="175"/>
        <v>0.21532303254243124</v>
      </c>
      <c r="R370" s="103">
        <f>R74+R192+R260+R336</f>
        <v>963.57997977599985</v>
      </c>
      <c r="S370" s="89">
        <f t="shared" si="176"/>
        <v>33.987449775999949</v>
      </c>
      <c r="T370" s="27">
        <f t="shared" si="177"/>
        <v>3.5272058873515505E-2</v>
      </c>
      <c r="U370" s="102">
        <f>U74+U192+U260+U336</f>
        <v>2022.2123200000001</v>
      </c>
      <c r="V370" s="103">
        <f>V74+V192+V260+V336</f>
        <v>1574.9701200000004</v>
      </c>
      <c r="W370" s="89">
        <f t="shared" si="178"/>
        <v>447.24219999999968</v>
      </c>
      <c r="X370" s="26">
        <f t="shared" si="179"/>
        <v>0.2839686888789989</v>
      </c>
      <c r="Y370" s="103">
        <f>Y74+Y192+Y260+Y336</f>
        <v>2056.1997697760003</v>
      </c>
      <c r="Z370" s="89">
        <f t="shared" si="180"/>
        <v>33.987449776000176</v>
      </c>
      <c r="AA370" s="27">
        <f t="shared" si="181"/>
        <v>1.6529254732726054E-2</v>
      </c>
      <c r="AB370" s="104">
        <f>AB74+AB192+AB260+AB336</f>
        <v>4405.6629325599997</v>
      </c>
      <c r="AC370" s="1"/>
      <c r="AD370" s="1"/>
      <c r="AE370" s="1"/>
      <c r="AF370" s="1"/>
      <c r="AG370" s="1"/>
      <c r="AH370" s="1"/>
      <c r="AI370" s="1"/>
    </row>
    <row r="371" spans="1:35" ht="14.25" collapsed="1" x14ac:dyDescent="0.2">
      <c r="A371" s="1"/>
      <c r="B371" s="3" t="s">
        <v>70</v>
      </c>
      <c r="C371" s="3"/>
      <c r="D371" s="3"/>
      <c r="E371" s="3"/>
      <c r="F371" s="3"/>
      <c r="G371" s="102">
        <f>G100+G202+G264+G339</f>
        <v>120.32422</v>
      </c>
      <c r="H371" s="103">
        <f>H100+H202+H264+H339</f>
        <v>156.71229</v>
      </c>
      <c r="I371" s="89">
        <f t="shared" si="170"/>
        <v>-36.388069999999999</v>
      </c>
      <c r="J371" s="26">
        <f t="shared" si="171"/>
        <v>-0.23219665796473268</v>
      </c>
      <c r="K371" s="103">
        <f>K100+K202+K264+K339</f>
        <v>124.47005124799999</v>
      </c>
      <c r="L371" s="89">
        <f t="shared" si="172"/>
        <v>4.1458312479999933</v>
      </c>
      <c r="M371" s="27">
        <f t="shared" si="173"/>
        <v>3.3307861661755436E-2</v>
      </c>
      <c r="N371" s="102">
        <f>N100+N202+N264+N339</f>
        <v>519.38719000000003</v>
      </c>
      <c r="O371" s="103">
        <f>O100+O202+O264+O339</f>
        <v>454.17059</v>
      </c>
      <c r="P371" s="89">
        <f t="shared" si="174"/>
        <v>65.216600000000028</v>
      </c>
      <c r="Q371" s="26">
        <f t="shared" si="175"/>
        <v>0.14359494303671233</v>
      </c>
      <c r="R371" s="103">
        <f>R100+R202+R264+R339</f>
        <v>449.37215970200003</v>
      </c>
      <c r="S371" s="89">
        <f t="shared" si="176"/>
        <v>-70.015030297999999</v>
      </c>
      <c r="T371" s="27">
        <f t="shared" si="177"/>
        <v>-0.15580633732278895</v>
      </c>
      <c r="U371" s="102">
        <f>U100+U202+U264+U339</f>
        <v>1551.75343</v>
      </c>
      <c r="V371" s="108">
        <f>V100+V202+V264+V339</f>
        <v>907.73185000000001</v>
      </c>
      <c r="W371" s="89">
        <f t="shared" si="178"/>
        <v>644.02157999999997</v>
      </c>
      <c r="X371" s="26">
        <f t="shared" si="179"/>
        <v>0.70948439233458649</v>
      </c>
      <c r="Y371" s="103">
        <f>Y100+Y202+Y264+Y339</f>
        <v>1481.7383997019999</v>
      </c>
      <c r="Z371" s="89">
        <f t="shared" si="180"/>
        <v>-70.015030298000056</v>
      </c>
      <c r="AA371" s="27">
        <f t="shared" si="181"/>
        <v>-4.7251951027307615E-2</v>
      </c>
      <c r="AB371" s="104">
        <f>AB100+AB202+AB264+AB339</f>
        <v>2756.5085621210001</v>
      </c>
      <c r="AC371" s="1"/>
      <c r="AD371" s="1"/>
      <c r="AE371" s="1"/>
      <c r="AF371" s="1"/>
      <c r="AG371" s="1"/>
      <c r="AH371" s="1"/>
      <c r="AI371" s="1"/>
    </row>
    <row r="372" spans="1:35" ht="14.25" collapsed="1" x14ac:dyDescent="0.2">
      <c r="A372" s="1"/>
      <c r="B372" s="3" t="s">
        <v>71</v>
      </c>
      <c r="C372" s="3"/>
      <c r="D372" s="3"/>
      <c r="E372" s="3"/>
      <c r="F372" s="3"/>
      <c r="G372" s="102">
        <f>G106+G206+G267+G343</f>
        <v>394.22701999999998</v>
      </c>
      <c r="H372" s="103">
        <f>H106+H206+H267+H343</f>
        <v>552.78775999999993</v>
      </c>
      <c r="I372" s="89">
        <f t="shared" si="170"/>
        <v>-158.56073999999995</v>
      </c>
      <c r="J372" s="26">
        <f t="shared" si="171"/>
        <v>-0.28683836993785822</v>
      </c>
      <c r="K372" s="103">
        <f>K106+K206+K267+K343</f>
        <v>410.70123999999998</v>
      </c>
      <c r="L372" s="89">
        <f t="shared" si="172"/>
        <v>16.474220000000003</v>
      </c>
      <c r="M372" s="27">
        <f t="shared" si="173"/>
        <v>4.0112418457757766E-2</v>
      </c>
      <c r="N372" s="102">
        <f>N106+N206+N267+N343</f>
        <v>1276.23712</v>
      </c>
      <c r="O372" s="103">
        <f>O106+O206+O267+O343</f>
        <v>1209.96579</v>
      </c>
      <c r="P372" s="89">
        <f t="shared" si="174"/>
        <v>66.271330000000034</v>
      </c>
      <c r="Q372" s="26">
        <f t="shared" si="175"/>
        <v>5.4771242747284649E-2</v>
      </c>
      <c r="R372" s="103">
        <f>R106+R206+R267+R343</f>
        <v>1135.19371</v>
      </c>
      <c r="S372" s="89">
        <f t="shared" si="176"/>
        <v>-141.04340999999999</v>
      </c>
      <c r="T372" s="27">
        <f t="shared" si="177"/>
        <v>-0.12424611655045199</v>
      </c>
      <c r="U372" s="102">
        <f>U106+U206+U267+U343</f>
        <v>2597.8916099999997</v>
      </c>
      <c r="V372" s="103">
        <f>V106+V206+V267+V343</f>
        <v>1862.40651</v>
      </c>
      <c r="W372" s="89">
        <f t="shared" si="178"/>
        <v>735.48509999999965</v>
      </c>
      <c r="X372" s="26">
        <f t="shared" si="179"/>
        <v>0.39491115180863473</v>
      </c>
      <c r="Y372" s="103">
        <f>Y106+Y206+Y267+Y343</f>
        <v>2456.8481999999995</v>
      </c>
      <c r="Z372" s="89">
        <f t="shared" si="180"/>
        <v>-141.04341000000022</v>
      </c>
      <c r="AA372" s="27">
        <f t="shared" si="181"/>
        <v>-5.7408272110584711E-2</v>
      </c>
      <c r="AB372" s="104">
        <f>AB106+AB206+AB267+AB343</f>
        <v>2610.9147799999992</v>
      </c>
      <c r="AC372" s="1"/>
      <c r="AD372" s="1"/>
      <c r="AE372" s="1"/>
      <c r="AF372" s="1"/>
      <c r="AG372" s="1"/>
      <c r="AH372" s="1"/>
      <c r="AI372" s="1"/>
    </row>
    <row r="373" spans="1:35" ht="14.25" collapsed="1" x14ac:dyDescent="0.2">
      <c r="A373" s="1"/>
      <c r="B373" s="3" t="s">
        <v>73</v>
      </c>
      <c r="C373" s="3"/>
      <c r="D373" s="3"/>
      <c r="E373" s="3"/>
      <c r="F373" s="3"/>
      <c r="G373" s="102">
        <f>G118+G214+G278+G350</f>
        <v>-563.20241999999973</v>
      </c>
      <c r="H373" s="103">
        <f>H118+H214+H278+H350</f>
        <v>2040.5750399999997</v>
      </c>
      <c r="I373" s="89">
        <f t="shared" si="170"/>
        <v>-2603.7774599999993</v>
      </c>
      <c r="J373" s="26">
        <f t="shared" si="171"/>
        <v>-1.2760018176052961</v>
      </c>
      <c r="K373" s="103">
        <f>K118+K214+K278+K350</f>
        <v>2220.1162656400002</v>
      </c>
      <c r="L373" s="89">
        <f t="shared" si="172"/>
        <v>2783.3186856399998</v>
      </c>
      <c r="M373" s="27">
        <f t="shared" si="173"/>
        <v>1.2536814979992246</v>
      </c>
      <c r="N373" s="102">
        <f>N118+N214+N278+N350</f>
        <v>-563.83106999999973</v>
      </c>
      <c r="O373" s="103">
        <f>O118+O214+O278+O350</f>
        <v>2040.5750399999997</v>
      </c>
      <c r="P373" s="89">
        <f t="shared" si="174"/>
        <v>-2604.4061099999994</v>
      </c>
      <c r="Q373" s="26">
        <f t="shared" si="175"/>
        <v>-1.2763098925291176</v>
      </c>
      <c r="R373" s="103">
        <f>R118+R214+R278+R350</f>
        <v>2219.4876156400001</v>
      </c>
      <c r="S373" s="89">
        <f t="shared" si="176"/>
        <v>2783.3186856399998</v>
      </c>
      <c r="T373" s="27">
        <f t="shared" si="177"/>
        <v>1.2540365920615495</v>
      </c>
      <c r="U373" s="102">
        <f>U118+U214+U278+U350</f>
        <v>4706.2218600000006</v>
      </c>
      <c r="V373" s="108">
        <f>V118+V214+V278+V350</f>
        <v>2142.1359799999996</v>
      </c>
      <c r="W373" s="89">
        <f t="shared" si="178"/>
        <v>2564.085880000001</v>
      </c>
      <c r="X373" s="26">
        <f t="shared" si="179"/>
        <v>1.1969762442438419</v>
      </c>
      <c r="Y373" s="103">
        <f>Y118+Y214+Y278+Y350</f>
        <v>7489.5405456400003</v>
      </c>
      <c r="Z373" s="89">
        <f t="shared" si="180"/>
        <v>2783.3186856399998</v>
      </c>
      <c r="AA373" s="27">
        <f t="shared" si="181"/>
        <v>0.37162742743415617</v>
      </c>
      <c r="AB373" s="104">
        <f>AB118+AB214+AB278+AB350</f>
        <v>13191.663615640002</v>
      </c>
      <c r="AC373" s="1"/>
      <c r="AD373" s="1"/>
      <c r="AE373" s="1"/>
      <c r="AF373" s="1"/>
      <c r="AG373" s="1"/>
      <c r="AH373" s="1"/>
      <c r="AI373" s="1"/>
    </row>
    <row r="374" spans="1:35" ht="14.25" collapsed="1" x14ac:dyDescent="0.2">
      <c r="A374" s="1"/>
      <c r="B374" s="3" t="s">
        <v>74</v>
      </c>
      <c r="C374" s="3"/>
      <c r="D374" s="3"/>
      <c r="E374" s="3"/>
      <c r="F374" s="3"/>
      <c r="G374" s="105">
        <f>G148+G219+G286+G358</f>
        <v>1054.9114399999999</v>
      </c>
      <c r="H374" s="106">
        <f>H148+H219+H286+H358</f>
        <v>377.32193000000001</v>
      </c>
      <c r="I374" s="89">
        <f t="shared" si="170"/>
        <v>677.58950999999979</v>
      </c>
      <c r="J374" s="26">
        <f t="shared" si="171"/>
        <v>1.7957861871426337</v>
      </c>
      <c r="K374" s="106">
        <f>K148+K219+K286+K358</f>
        <v>622.85167864300001</v>
      </c>
      <c r="L374" s="89">
        <f t="shared" si="172"/>
        <v>-432.05976135699984</v>
      </c>
      <c r="M374" s="27">
        <f t="shared" si="173"/>
        <v>-0.69368001431468185</v>
      </c>
      <c r="N374" s="105">
        <f>N148+N219+N286+N358</f>
        <v>1054.79141</v>
      </c>
      <c r="O374" s="106">
        <f>O148+O219+O286+O358</f>
        <v>451.36777999999998</v>
      </c>
      <c r="P374" s="89">
        <f t="shared" si="174"/>
        <v>603.42363</v>
      </c>
      <c r="Q374" s="26">
        <f t="shared" si="175"/>
        <v>1.3368779446330885</v>
      </c>
      <c r="R374" s="106">
        <f>R148+R219+R286+R358</f>
        <v>622.73164864299997</v>
      </c>
      <c r="S374" s="89">
        <f t="shared" si="176"/>
        <v>-432.05976135700007</v>
      </c>
      <c r="T374" s="27">
        <f t="shared" si="177"/>
        <v>-0.69381371943838943</v>
      </c>
      <c r="U374" s="105">
        <f>U148+U219+U286+U358</f>
        <v>1310.7171100000003</v>
      </c>
      <c r="V374" s="106">
        <f>V148+V219+V286+V358</f>
        <v>1186.5595600000001</v>
      </c>
      <c r="W374" s="89">
        <f t="shared" si="178"/>
        <v>124.15755000000013</v>
      </c>
      <c r="X374" s="26">
        <f t="shared" si="179"/>
        <v>0.10463659321071091</v>
      </c>
      <c r="Y374" s="106">
        <f>Y148+Y219+Y286+Y358</f>
        <v>878.65734864299998</v>
      </c>
      <c r="Z374" s="89">
        <f t="shared" si="180"/>
        <v>-432.0597613570003</v>
      </c>
      <c r="AA374" s="27">
        <f t="shared" si="181"/>
        <v>-0.49172724956352348</v>
      </c>
      <c r="AB374" s="107">
        <f>AB148+AB219+AB286+AB358</f>
        <v>887.94365239400008</v>
      </c>
      <c r="AC374" s="1"/>
      <c r="AD374" s="1"/>
      <c r="AE374" s="1"/>
      <c r="AF374" s="1"/>
      <c r="AG374" s="1"/>
      <c r="AH374" s="1"/>
      <c r="AI374" s="1"/>
    </row>
    <row r="375" spans="1:35" ht="5.0999999999999996" customHeight="1" x14ac:dyDescent="0.2">
      <c r="A375" s="1"/>
      <c r="B375" s="3"/>
      <c r="C375" s="3"/>
      <c r="D375" s="3"/>
      <c r="E375" s="3"/>
      <c r="F375" s="3"/>
      <c r="G375" s="109"/>
      <c r="H375" s="110"/>
      <c r="I375" s="111"/>
      <c r="J375" s="38"/>
      <c r="K375" s="110"/>
      <c r="L375" s="111"/>
      <c r="M375" s="39"/>
      <c r="N375" s="109"/>
      <c r="O375" s="110"/>
      <c r="P375" s="111"/>
      <c r="Q375" s="38"/>
      <c r="R375" s="110"/>
      <c r="S375" s="111"/>
      <c r="T375" s="39"/>
      <c r="U375" s="109"/>
      <c r="V375" s="110"/>
      <c r="W375" s="111"/>
      <c r="X375" s="38"/>
      <c r="Y375" s="110"/>
      <c r="Z375" s="111"/>
      <c r="AA375" s="39"/>
      <c r="AB375" s="112"/>
      <c r="AC375" s="1"/>
      <c r="AD375" s="1"/>
      <c r="AE375" s="1"/>
      <c r="AF375" s="1"/>
      <c r="AG375" s="1"/>
      <c r="AH375" s="1"/>
      <c r="AI375" s="1"/>
    </row>
    <row r="376" spans="1:35" ht="15.75" thickBot="1" x14ac:dyDescent="0.3">
      <c r="A376" s="1"/>
      <c r="B376" s="2" t="s">
        <v>38</v>
      </c>
      <c r="C376" s="3"/>
      <c r="D376" s="3"/>
      <c r="E376" s="3"/>
      <c r="F376" s="3"/>
      <c r="G376" s="113">
        <f>SUM(G364:G375)</f>
        <v>5672.5910500000018</v>
      </c>
      <c r="H376" s="114">
        <f>SUM(H364:H375)</f>
        <v>8137.7272499999999</v>
      </c>
      <c r="I376" s="115">
        <f>G376-H376</f>
        <v>-2465.1361999999981</v>
      </c>
      <c r="J376" s="50">
        <f>IF(ISERROR(I376/H376),"N/A",IF(ABS(I376/H376)&gt;5,"N/A",I376/H376))</f>
        <v>-0.3029268645001586</v>
      </c>
      <c r="K376" s="114">
        <f>SUM(K364:K375)</f>
        <v>7395.9971465300005</v>
      </c>
      <c r="L376" s="115">
        <f>K376-G376</f>
        <v>1723.4060965299986</v>
      </c>
      <c r="M376" s="51">
        <f>IF(ISERROR(L376/K376),"N/A",IF(ABS(L376/K376)&gt;5,"N/A",L376/K376))</f>
        <v>0.23301876168767502</v>
      </c>
      <c r="N376" s="113">
        <f>SUM(N364:N375)</f>
        <v>16881.678940000002</v>
      </c>
      <c r="O376" s="114">
        <f>SUM(O364:O375)</f>
        <v>19944.148959999999</v>
      </c>
      <c r="P376" s="115">
        <f>N376-O376</f>
        <v>-3062.470019999997</v>
      </c>
      <c r="Q376" s="50">
        <f>IF(ISERROR(P376/O376),"N/A",IF(ABS(P376/O376)&gt;5,"N/A",P376/O376))</f>
        <v>-0.15355230379306178</v>
      </c>
      <c r="R376" s="114">
        <f>SUM(R364:R375)</f>
        <v>17866.354594486995</v>
      </c>
      <c r="S376" s="115">
        <f>R376-N376</f>
        <v>984.67565448699315</v>
      </c>
      <c r="T376" s="51">
        <f>IF(ISERROR(S376/R376),"N/A",IF(ABS(S376/R376)&gt;5,"N/A",S376/R376))</f>
        <v>5.5113405998940247E-2</v>
      </c>
      <c r="U376" s="113">
        <f>SUM(U364:U375)</f>
        <v>43154.456099999989</v>
      </c>
      <c r="V376" s="116">
        <f>SUM(V364:V375)</f>
        <v>38813.128060000003</v>
      </c>
      <c r="W376" s="115">
        <f>U376-V376</f>
        <v>4341.3280399999858</v>
      </c>
      <c r="X376" s="50">
        <f>IF(ISERROR(W376/V376),"N/A",IF(ABS(W376/V376)&gt;5,"N/A",W376/V376))</f>
        <v>0.11185205256553561</v>
      </c>
      <c r="Y376" s="114">
        <f>SUM(Y364:Y375)</f>
        <v>44139.131754486996</v>
      </c>
      <c r="Z376" s="115">
        <f>Y376-U376</f>
        <v>984.67565448700771</v>
      </c>
      <c r="AA376" s="51">
        <f>IF(ISERROR(Z376/Y376),"N/A",IF(ABS(Z376/Y376)&gt;5,"N/A",Z376/Y376))</f>
        <v>2.2308450922053077E-2</v>
      </c>
      <c r="AB376" s="117">
        <f>SUM(AB364:AB375)</f>
        <v>85514.540787560007</v>
      </c>
      <c r="AC376" s="1"/>
      <c r="AD376" s="1"/>
      <c r="AE376" s="1"/>
      <c r="AF376" s="1"/>
      <c r="AG376" s="1"/>
      <c r="AH376" s="1"/>
      <c r="AI376" s="1"/>
    </row>
    <row r="377" spans="1:35" ht="15.75" thickTop="1" x14ac:dyDescent="0.25"/>
    <row r="396" spans="1:35" s="119" customFormat="1" hidden="1" outlineLevel="1" x14ac:dyDescent="0.25">
      <c r="A396" s="118"/>
      <c r="H396" s="120"/>
      <c r="M396" s="121"/>
      <c r="T396" s="121"/>
      <c r="AA396" s="121"/>
      <c r="AC396" s="118"/>
      <c r="AD396" s="118"/>
      <c r="AE396" s="118"/>
      <c r="AF396" s="118"/>
      <c r="AG396" s="118"/>
      <c r="AH396" s="118"/>
      <c r="AI396" s="118"/>
    </row>
    <row r="397" spans="1:35" s="119" customFormat="1" hidden="1" outlineLevel="1" x14ac:dyDescent="0.25">
      <c r="A397" s="118"/>
      <c r="B397" s="122" t="s">
        <v>39</v>
      </c>
      <c r="C397" s="123"/>
      <c r="D397" s="123"/>
      <c r="E397" s="123"/>
      <c r="F397" s="123"/>
      <c r="G397" s="123"/>
      <c r="H397" s="123"/>
      <c r="I397" s="123"/>
      <c r="J397" s="123"/>
      <c r="K397" s="123"/>
      <c r="L397" s="123"/>
      <c r="M397" s="124"/>
      <c r="N397" s="123"/>
      <c r="O397" s="123"/>
      <c r="P397" s="123"/>
      <c r="Q397" s="123"/>
      <c r="R397" s="123"/>
      <c r="S397" s="123"/>
      <c r="T397" s="124"/>
      <c r="U397" s="123"/>
      <c r="V397" s="123"/>
      <c r="W397" s="123"/>
      <c r="X397" s="123"/>
      <c r="Y397" s="123"/>
      <c r="Z397" s="123"/>
      <c r="AA397" s="124"/>
      <c r="AB397" s="123"/>
      <c r="AC397" s="125"/>
      <c r="AD397" s="125"/>
      <c r="AE397" s="125"/>
      <c r="AF397" s="125"/>
      <c r="AG397" s="125"/>
      <c r="AH397" s="118"/>
      <c r="AI397" s="118"/>
    </row>
    <row r="398" spans="1:35" s="126" customFormat="1" ht="14.25" hidden="1" outlineLevel="1" x14ac:dyDescent="0.2">
      <c r="B398" s="127" t="s">
        <v>99</v>
      </c>
      <c r="C398" s="122"/>
      <c r="D398" s="122" t="s">
        <v>100</v>
      </c>
      <c r="E398" s="122"/>
      <c r="F398" s="122"/>
      <c r="G398" s="122">
        <f>7206343.96/1000*1</f>
        <v>7206.3439600000002</v>
      </c>
      <c r="H398" s="122">
        <f>6796328.24/1000*1</f>
        <v>6796.3282399999998</v>
      </c>
      <c r="I398" s="122"/>
      <c r="J398" s="128"/>
      <c r="K398" s="122">
        <f>6475892.368729/1000*1</f>
        <v>6475.8923687289998</v>
      </c>
      <c r="L398" s="122"/>
      <c r="M398" s="128"/>
      <c r="N398" s="122">
        <f>22429048.81/1000*1</f>
        <v>22429.04881</v>
      </c>
      <c r="O398" s="122">
        <f>22051905.32/1000*1</f>
        <v>22051.905320000002</v>
      </c>
      <c r="P398" s="122"/>
      <c r="Q398" s="128"/>
      <c r="R398" s="122">
        <f>20973256.471867/1000*1</f>
        <v>20973.256471867</v>
      </c>
      <c r="S398" s="122"/>
      <c r="T398" s="128"/>
      <c r="U398" s="122">
        <f>48558228.35/1000*1</f>
        <v>48558.228350000005</v>
      </c>
      <c r="V398" s="122">
        <f>44658833.83/1000*1</f>
        <v>44658.833829999996</v>
      </c>
      <c r="W398" s="122"/>
      <c r="X398" s="128"/>
      <c r="Y398" s="122">
        <f>47102436.011867/1000*1</f>
        <v>47102.436011867001</v>
      </c>
      <c r="Z398" s="122"/>
      <c r="AA398" s="128"/>
      <c r="AB398" s="122">
        <f>98471220.054252/1000*1</f>
        <v>98471.220054252</v>
      </c>
      <c r="AC398" s="129"/>
      <c r="AD398" s="129"/>
      <c r="AE398" s="129"/>
      <c r="AF398" s="129"/>
      <c r="AG398" s="129"/>
    </row>
    <row r="399" spans="1:35" s="126" customFormat="1" ht="14.25" hidden="1" outlineLevel="1" x14ac:dyDescent="0.2">
      <c r="B399" s="127" t="s">
        <v>101</v>
      </c>
      <c r="C399" s="122"/>
      <c r="D399" s="122" t="s">
        <v>100</v>
      </c>
      <c r="E399" s="122"/>
      <c r="F399" s="122"/>
      <c r="G399" s="122">
        <f>-745104.87/1000*1</f>
        <v>-745.10487000000001</v>
      </c>
      <c r="H399" s="122">
        <f>2340140.84/1000*1</f>
        <v>2340.14084</v>
      </c>
      <c r="I399" s="122"/>
      <c r="J399" s="128"/>
      <c r="K399" s="122">
        <f>2467300.26564/1000*1</f>
        <v>2467.3002656399999</v>
      </c>
      <c r="L399" s="122"/>
      <c r="M399" s="128"/>
      <c r="N399" s="122">
        <f>-745733.52/1000*1</f>
        <v>-745.73352</v>
      </c>
      <c r="O399" s="122">
        <f>2335940.66/1000*1</f>
        <v>2335.9406600000002</v>
      </c>
      <c r="P399" s="122"/>
      <c r="Q399" s="128"/>
      <c r="R399" s="122">
        <f>2466671.61564/1000*1</f>
        <v>2466.6716156399998</v>
      </c>
      <c r="S399" s="122"/>
      <c r="T399" s="128"/>
      <c r="U399" s="122">
        <f>4649061.45/1000*1</f>
        <v>4649.0614500000001</v>
      </c>
      <c r="V399" s="122">
        <f>2546620.86/1000*1</f>
        <v>2546.62086</v>
      </c>
      <c r="W399" s="122"/>
      <c r="X399" s="128"/>
      <c r="Y399" s="122">
        <f>7861466.58564/1000*1</f>
        <v>7861.4665856400006</v>
      </c>
      <c r="Z399" s="122"/>
      <c r="AA399" s="128"/>
      <c r="AB399" s="122">
        <f>14177227.65564/1000*1</f>
        <v>14177.227655640001</v>
      </c>
      <c r="AC399" s="129"/>
      <c r="AD399" s="129"/>
      <c r="AE399" s="129"/>
      <c r="AF399" s="129"/>
      <c r="AG399" s="129"/>
    </row>
    <row r="400" spans="1:35" s="126" customFormat="1" ht="14.25" hidden="1" outlineLevel="1" x14ac:dyDescent="0.2">
      <c r="B400" s="127" t="s">
        <v>102</v>
      </c>
      <c r="C400" s="122"/>
      <c r="D400" s="122" t="s">
        <v>102</v>
      </c>
      <c r="E400" s="122"/>
      <c r="F400" s="122"/>
      <c r="G400" s="122">
        <f>2381251.11/1000*1</f>
        <v>2381.2511099999997</v>
      </c>
      <c r="H400" s="122">
        <f>191901.02/1000*1</f>
        <v>191.90101999999999</v>
      </c>
      <c r="I400" s="122"/>
      <c r="J400" s="128"/>
      <c r="K400" s="122">
        <f>805751.678643/1000*1</f>
        <v>805.75167864299999</v>
      </c>
      <c r="L400" s="122"/>
      <c r="M400" s="128"/>
      <c r="N400" s="122">
        <f>2385804.09/1000*1</f>
        <v>2385.8040899999996</v>
      </c>
      <c r="O400" s="122">
        <f>328455.98/1000*1</f>
        <v>328.45597999999995</v>
      </c>
      <c r="P400" s="122"/>
      <c r="Q400" s="128"/>
      <c r="R400" s="122">
        <f>805749.268643/1000*1</f>
        <v>805.74926864300005</v>
      </c>
      <c r="S400" s="122"/>
      <c r="T400" s="128"/>
      <c r="U400" s="122">
        <f>2764439.07/1000*1</f>
        <v>2764.4390699999999</v>
      </c>
      <c r="V400" s="122">
        <f>902159.51/1000*1</f>
        <v>902.15950999999995</v>
      </c>
      <c r="W400" s="122"/>
      <c r="X400" s="128"/>
      <c r="Y400" s="122">
        <f>1184384.248643/1000*1</f>
        <v>1184.3842486429999</v>
      </c>
      <c r="Z400" s="122"/>
      <c r="AA400" s="128"/>
      <c r="AB400" s="122">
        <f>1224690.552394/1000*1</f>
        <v>1224.6905523940002</v>
      </c>
      <c r="AC400" s="129"/>
      <c r="AD400" s="129"/>
      <c r="AE400" s="129"/>
      <c r="AF400" s="129"/>
      <c r="AG400" s="129"/>
    </row>
    <row r="401" spans="1:35" s="126" customFormat="1" ht="14.25" hidden="1" outlineLevel="1" x14ac:dyDescent="0.2">
      <c r="B401" s="128" t="s">
        <v>103</v>
      </c>
      <c r="C401" s="122"/>
      <c r="D401" s="122" t="s">
        <v>103</v>
      </c>
      <c r="E401" s="122"/>
      <c r="F401" s="122"/>
      <c r="G401" s="122">
        <f>SUM(G398:G400)</f>
        <v>8842.4902000000002</v>
      </c>
      <c r="H401" s="122">
        <f>SUM(H398:H400)</f>
        <v>9328.3700999999983</v>
      </c>
      <c r="I401" s="122"/>
      <c r="J401" s="128"/>
      <c r="K401" s="122">
        <f>SUM(K398:K400)</f>
        <v>9748.9443130119998</v>
      </c>
      <c r="L401" s="122"/>
      <c r="M401" s="128"/>
      <c r="N401" s="122">
        <f>SUM(N398:N400)</f>
        <v>24069.119379999996</v>
      </c>
      <c r="O401" s="122">
        <f>SUM(O398:O400)</f>
        <v>24716.301960000001</v>
      </c>
      <c r="P401" s="122"/>
      <c r="Q401" s="128"/>
      <c r="R401" s="122">
        <f>SUM(R398:R400)</f>
        <v>24245.677356150001</v>
      </c>
      <c r="S401" s="122"/>
      <c r="T401" s="128"/>
      <c r="U401" s="122">
        <f>SUM(U398:U400)</f>
        <v>55971.728870000006</v>
      </c>
      <c r="V401" s="122">
        <f>SUM(V398:V400)</f>
        <v>48107.614199999996</v>
      </c>
      <c r="W401" s="122"/>
      <c r="X401" s="128"/>
      <c r="Y401" s="122">
        <f>SUM(Y398:Y400)</f>
        <v>56148.286846150004</v>
      </c>
      <c r="Z401" s="122"/>
      <c r="AA401" s="128"/>
      <c r="AB401" s="122">
        <f>SUM(AB398:AB400)</f>
        <v>113873.138262286</v>
      </c>
      <c r="AC401" s="129"/>
      <c r="AD401" s="129"/>
      <c r="AE401" s="129"/>
      <c r="AF401" s="129"/>
      <c r="AG401" s="129"/>
    </row>
    <row r="402" spans="1:35" s="126" customFormat="1" ht="14.25" hidden="1" outlineLevel="1" x14ac:dyDescent="0.2">
      <c r="B402" s="128" t="s">
        <v>42</v>
      </c>
      <c r="C402" s="122"/>
      <c r="D402" s="122"/>
      <c r="E402" s="122"/>
      <c r="F402" s="122"/>
      <c r="G402" s="130">
        <f>G401-G376</f>
        <v>3169.8991499999984</v>
      </c>
      <c r="H402" s="130">
        <f>H401-H376</f>
        <v>1190.6428499999984</v>
      </c>
      <c r="I402" s="122"/>
      <c r="J402" s="128"/>
      <c r="K402" s="130">
        <f>K401-K376</f>
        <v>2352.9471664819994</v>
      </c>
      <c r="L402" s="122"/>
      <c r="M402" s="128"/>
      <c r="N402" s="130">
        <f t="shared" ref="N402:O402" si="182">N401-N376</f>
        <v>7187.4404399999949</v>
      </c>
      <c r="O402" s="130">
        <f t="shared" si="182"/>
        <v>4772.1530000000021</v>
      </c>
      <c r="P402" s="122"/>
      <c r="Q402" s="128"/>
      <c r="R402" s="130">
        <f>R401-R376</f>
        <v>6379.3227616630065</v>
      </c>
      <c r="S402" s="122"/>
      <c r="T402" s="128"/>
      <c r="U402" s="130">
        <f t="shared" ref="U402:V402" si="183">U401-U376</f>
        <v>12817.272770000018</v>
      </c>
      <c r="V402" s="130">
        <f t="shared" si="183"/>
        <v>9294.4861399999936</v>
      </c>
      <c r="W402" s="122"/>
      <c r="X402" s="128"/>
      <c r="Y402" s="130">
        <f>Y401-Y376</f>
        <v>12009.155091663008</v>
      </c>
      <c r="Z402" s="122"/>
      <c r="AA402" s="128"/>
      <c r="AB402" s="130">
        <f>AB401-AB376</f>
        <v>28358.59747472599</v>
      </c>
      <c r="AC402" s="129"/>
      <c r="AD402" s="129"/>
      <c r="AE402" s="129"/>
      <c r="AF402" s="129"/>
      <c r="AG402" s="129"/>
    </row>
    <row r="403" spans="1:35" s="126" customFormat="1" hidden="1" outlineLevel="1" x14ac:dyDescent="0.25">
      <c r="A403" s="131"/>
      <c r="B403" s="129"/>
      <c r="C403" s="129"/>
      <c r="D403" s="129"/>
      <c r="E403" s="129"/>
      <c r="F403" s="129"/>
      <c r="G403" s="129"/>
      <c r="H403" s="129"/>
      <c r="I403" s="129"/>
      <c r="J403" s="129"/>
      <c r="K403" s="129"/>
      <c r="L403" s="129"/>
      <c r="M403" s="132"/>
      <c r="N403" s="129"/>
      <c r="O403" s="129"/>
      <c r="P403" s="129"/>
      <c r="Q403" s="129"/>
      <c r="R403" s="129"/>
      <c r="S403" s="129"/>
      <c r="T403" s="132"/>
      <c r="U403" s="129"/>
      <c r="V403" s="129"/>
      <c r="W403" s="129"/>
      <c r="X403" s="129"/>
      <c r="Y403" s="129"/>
      <c r="Z403" s="129"/>
      <c r="AA403" s="132"/>
      <c r="AB403" s="129"/>
      <c r="AC403" s="133"/>
      <c r="AD403" s="133"/>
      <c r="AE403" s="133"/>
      <c r="AF403" s="133"/>
      <c r="AG403" s="133"/>
      <c r="AH403" s="131"/>
      <c r="AI403" s="131"/>
    </row>
    <row r="404" spans="1:35" collapsed="1" x14ac:dyDescent="0.25"/>
  </sheetData>
  <pageMargins left="0.2" right="0.2" top="0.25" bottom="0.25" header="0.3" footer="0.3"/>
  <pageSetup scale="68" orientation="landscape" r:id="rId1"/>
  <headerFooter>
    <oddFooter>&amp;C&amp;P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8"/>
  </sheetPr>
  <dimension ref="A1:DD176"/>
  <sheetViews>
    <sheetView tabSelected="1" zoomScale="85" zoomScaleNormal="85" workbookViewId="0">
      <selection activeCell="CV8" sqref="CV8"/>
    </sheetView>
  </sheetViews>
  <sheetFormatPr defaultColWidth="9.140625" defaultRowHeight="15" outlineLevelCol="1" x14ac:dyDescent="0.25"/>
  <cols>
    <col min="1" max="1" width="4.85546875" style="136" customWidth="1"/>
    <col min="2" max="2" width="34.42578125" style="134" customWidth="1"/>
    <col min="3" max="3" width="14.28515625" style="134" hidden="1" customWidth="1" outlineLevel="1"/>
    <col min="4" max="4" width="7.5703125" style="134" hidden="1" customWidth="1" outlineLevel="1"/>
    <col min="5" max="5" width="6.85546875" style="134" hidden="1" customWidth="1" outlineLevel="1"/>
    <col min="6" max="6" width="6.42578125" style="135" bestFit="1" customWidth="1" collapsed="1"/>
    <col min="7" max="7" width="9.85546875" style="135" bestFit="1" customWidth="1"/>
    <col min="8" max="8" width="8.28515625" style="135" bestFit="1" customWidth="1"/>
    <col min="9" max="10" width="6.140625" style="135" bestFit="1" customWidth="1"/>
    <col min="11" max="11" width="11" style="135" bestFit="1" customWidth="1"/>
    <col min="12" max="12" width="6.28515625" style="135" bestFit="1" customWidth="1"/>
    <col min="13" max="13" width="8" style="135" bestFit="1" customWidth="1"/>
    <col min="14" max="14" width="6.85546875" style="135" hidden="1" customWidth="1"/>
    <col min="15" max="15" width="10.42578125" style="135" hidden="1" customWidth="1" outlineLevel="1" collapsed="1"/>
    <col min="16" max="16" width="8.85546875" style="135" hidden="1" customWidth="1" outlineLevel="1"/>
    <col min="17" max="17" width="6.140625" style="135" hidden="1" customWidth="1" outlineLevel="1"/>
    <col min="18" max="18" width="6.42578125" style="135" hidden="1" customWidth="1" outlineLevel="1"/>
    <col min="19" max="19" width="11" style="135" hidden="1" customWidth="1" outlineLevel="1"/>
    <col min="20" max="20" width="6.5703125" style="135" hidden="1" customWidth="1" outlineLevel="1"/>
    <col min="21" max="21" width="9.5703125" style="135" hidden="1" customWidth="1" outlineLevel="1"/>
    <col min="22" max="22" width="6.42578125" style="135" hidden="1" customWidth="1" outlineLevel="1"/>
    <col min="23" max="23" width="6.42578125" style="134" hidden="1" customWidth="1" outlineLevel="1"/>
    <col min="24" max="24" width="6.85546875" style="134" hidden="1" customWidth="1" outlineLevel="1"/>
    <col min="25" max="25" width="10.42578125" style="134" bestFit="1" customWidth="1" collapsed="1"/>
    <col min="26" max="26" width="8.85546875" style="134" bestFit="1" customWidth="1"/>
    <col min="27" max="27" width="6.140625" style="134" bestFit="1" customWidth="1"/>
    <col min="28" max="28" width="6.42578125" style="134" bestFit="1" customWidth="1"/>
    <col min="29" max="29" width="11" style="134" bestFit="1" customWidth="1"/>
    <col min="30" max="30" width="6.5703125" style="134" bestFit="1" customWidth="1"/>
    <col min="31" max="31" width="9.28515625" style="134" bestFit="1" customWidth="1"/>
    <col min="32" max="33" width="8.28515625" style="134" bestFit="1" customWidth="1"/>
    <col min="34" max="34" width="4.5703125" style="134" customWidth="1"/>
    <col min="35" max="35" width="6.85546875" style="137" bestFit="1" customWidth="1"/>
    <col min="36" max="36" width="10.42578125" style="136" bestFit="1" customWidth="1"/>
    <col min="37" max="37" width="8.85546875" style="135" bestFit="1" customWidth="1" collapsed="1"/>
    <col min="38" max="38" width="6.140625" style="135" bestFit="1" customWidth="1"/>
    <col min="39" max="39" width="6.42578125" style="135" bestFit="1" customWidth="1"/>
    <col min="40" max="40" width="11" style="135" bestFit="1" customWidth="1"/>
    <col min="41" max="41" width="6.5703125" style="135" bestFit="1" customWidth="1"/>
    <col min="42" max="42" width="8" style="135" bestFit="1" customWidth="1"/>
    <col min="43" max="43" width="6.85546875" style="135" customWidth="1"/>
    <col min="44" max="44" width="10.42578125" style="135" customWidth="1"/>
    <col min="45" max="45" width="8.85546875" style="135" customWidth="1"/>
    <col min="46" max="46" width="6.140625" style="135" hidden="1" customWidth="1" outlineLevel="1" collapsed="1"/>
    <col min="47" max="47" width="6.42578125" style="135" hidden="1" customWidth="1" outlineLevel="1"/>
    <col min="48" max="48" width="11" style="135" hidden="1" customWidth="1" outlineLevel="1"/>
    <col min="49" max="49" width="6.5703125" style="135" hidden="1" customWidth="1" outlineLevel="1"/>
    <col min="50" max="50" width="9.5703125" style="135" hidden="1" customWidth="1" outlineLevel="1"/>
    <col min="51" max="52" width="6.42578125" style="135" hidden="1" customWidth="1" outlineLevel="1"/>
    <col min="53" max="53" width="6.85546875" style="135" hidden="1" customWidth="1" outlineLevel="1"/>
    <col min="54" max="54" width="10.42578125" style="134" hidden="1" customWidth="1" outlineLevel="1"/>
    <col min="55" max="55" width="8.85546875" style="134" hidden="1" customWidth="1" outlineLevel="1"/>
    <col min="56" max="56" width="6.140625" style="134" bestFit="1" customWidth="1" collapsed="1"/>
    <col min="57" max="57" width="6.42578125" style="134" bestFit="1" customWidth="1"/>
    <col min="58" max="58" width="11" style="134" bestFit="1" customWidth="1"/>
    <col min="59" max="59" width="6.5703125" style="134" bestFit="1" customWidth="1"/>
    <col min="60" max="60" width="9.28515625" style="134" bestFit="1" customWidth="1"/>
    <col min="61" max="62" width="8.28515625" style="134" bestFit="1" customWidth="1"/>
    <col min="63" max="63" width="3.7109375" style="134" customWidth="1"/>
    <col min="64" max="64" width="6.85546875" style="134" bestFit="1" customWidth="1"/>
    <col min="65" max="65" width="10.42578125" style="134" bestFit="1" customWidth="1"/>
    <col min="66" max="66" width="8.85546875" style="137" bestFit="1" customWidth="1"/>
    <col min="67" max="67" width="6.140625" style="136" bestFit="1" customWidth="1"/>
    <col min="68" max="68" width="6.42578125" style="135" bestFit="1" customWidth="1" collapsed="1"/>
    <col min="69" max="69" width="11" style="135" bestFit="1" customWidth="1"/>
    <col min="70" max="70" width="6.5703125" style="135" bestFit="1" customWidth="1"/>
    <col min="71" max="71" width="8" style="135" bestFit="1" customWidth="1"/>
    <col min="72" max="72" width="6.85546875" style="135" customWidth="1"/>
    <col min="73" max="73" width="10.42578125" style="135" customWidth="1"/>
    <col min="74" max="74" width="8.85546875" style="135" customWidth="1"/>
    <col min="75" max="75" width="6.140625" style="135" customWidth="1"/>
    <col min="76" max="76" width="6.42578125" style="135" customWidth="1"/>
    <col min="77" max="77" width="11" style="135" hidden="1" customWidth="1" outlineLevel="1" collapsed="1"/>
    <col min="78" max="78" width="6.5703125" style="135" hidden="1" customWidth="1" outlineLevel="1"/>
    <col min="79" max="79" width="9.5703125" style="135" hidden="1" customWidth="1" outlineLevel="1"/>
    <col min="80" max="81" width="6.42578125" style="135" hidden="1" customWidth="1" outlineLevel="1"/>
    <col min="82" max="82" width="6.85546875" style="135" hidden="1" customWidth="1" outlineLevel="1"/>
    <col min="83" max="83" width="10.42578125" style="135" hidden="1" customWidth="1" outlineLevel="1"/>
    <col min="84" max="84" width="8.85546875" style="135" hidden="1" customWidth="1" outlineLevel="1"/>
    <col min="85" max="85" width="6.140625" style="134" hidden="1" customWidth="1" outlineLevel="1"/>
    <col min="86" max="86" width="6.42578125" style="134" hidden="1" customWidth="1" outlineLevel="1"/>
    <col min="87" max="87" width="11" style="134" bestFit="1" customWidth="1" collapsed="1"/>
    <col min="88" max="88" width="6.5703125" style="134" bestFit="1" customWidth="1"/>
    <col min="89" max="89" width="9.28515625" style="134" bestFit="1" customWidth="1"/>
    <col min="90" max="91" width="8.28515625" style="134" bestFit="1" customWidth="1"/>
    <col min="92" max="92" width="3.42578125" style="134" customWidth="1"/>
    <col min="93" max="93" width="6.85546875" style="134" bestFit="1" customWidth="1"/>
    <col min="94" max="94" width="10.42578125" style="134" bestFit="1" customWidth="1"/>
    <col min="95" max="95" width="8.85546875" style="134" bestFit="1" customWidth="1"/>
    <col min="96" max="96" width="6.140625" style="134" bestFit="1" customWidth="1"/>
    <col min="97" max="97" width="6.42578125" style="137" bestFit="1" customWidth="1"/>
    <col min="98" max="98" width="9.42578125" style="136" bestFit="1" customWidth="1"/>
    <col min="99" max="99" width="6.5703125" style="134" bestFit="1" customWidth="1"/>
    <col min="100" max="100" width="9.28515625" style="134" bestFit="1" customWidth="1"/>
    <col min="101" max="105" width="12.7109375" style="134" customWidth="1"/>
    <col min="106" max="108" width="9.140625" style="136"/>
    <col min="109" max="16384" width="9.140625" style="134"/>
  </cols>
  <sheetData>
    <row r="1" spans="1:105" s="138" customFormat="1" ht="15" customHeight="1" x14ac:dyDescent="0.25">
      <c r="A1" s="183" t="s">
        <v>0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4"/>
      <c r="AA1" s="184"/>
      <c r="AB1" s="184"/>
      <c r="AC1" s="184"/>
      <c r="AD1" s="184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5"/>
      <c r="AP1" s="185"/>
      <c r="AQ1" s="185"/>
      <c r="AR1" s="185"/>
      <c r="AS1" s="185"/>
      <c r="AT1" s="185"/>
      <c r="AU1" s="185"/>
      <c r="AV1" s="185"/>
      <c r="AW1" s="185"/>
      <c r="AX1" s="185"/>
      <c r="AY1" s="185"/>
      <c r="AZ1" s="185"/>
      <c r="BA1" s="185"/>
      <c r="BB1" s="185"/>
      <c r="BC1" s="185"/>
      <c r="BD1" s="185"/>
      <c r="BE1" s="185"/>
      <c r="BF1" s="185"/>
      <c r="BG1" s="185"/>
      <c r="BH1" s="185"/>
      <c r="BI1" s="185"/>
      <c r="BJ1" s="185"/>
      <c r="BK1" s="185"/>
      <c r="BL1" s="185"/>
      <c r="BM1" s="185"/>
      <c r="BN1" s="186"/>
      <c r="BO1" s="186"/>
      <c r="BP1" s="186"/>
      <c r="BQ1" s="186"/>
      <c r="BR1" s="186"/>
      <c r="BS1" s="186"/>
      <c r="BT1" s="186"/>
      <c r="BU1" s="186"/>
      <c r="BV1" s="186"/>
      <c r="BW1" s="186"/>
      <c r="BX1" s="186"/>
      <c r="BY1" s="186"/>
      <c r="BZ1" s="186"/>
      <c r="CA1" s="186"/>
      <c r="CB1" s="186"/>
      <c r="CC1" s="186"/>
      <c r="CD1" s="186"/>
      <c r="CE1" s="186"/>
      <c r="CF1" s="186"/>
      <c r="CG1" s="186"/>
      <c r="CH1" s="186"/>
      <c r="CI1" s="186"/>
      <c r="CJ1" s="186"/>
      <c r="CK1" s="186"/>
      <c r="CL1" s="186"/>
      <c r="CM1" s="186"/>
      <c r="CN1" s="186"/>
      <c r="CO1" s="186"/>
      <c r="CP1" s="186"/>
      <c r="CQ1" s="186"/>
      <c r="CR1" s="186"/>
      <c r="CS1" s="186"/>
      <c r="CT1" s="186"/>
      <c r="CU1" s="186"/>
      <c r="CV1" s="186"/>
    </row>
    <row r="2" spans="1:105" s="138" customFormat="1" ht="15" customHeight="1" x14ac:dyDescent="0.25">
      <c r="A2" s="183" t="s">
        <v>105</v>
      </c>
      <c r="B2" s="184"/>
      <c r="C2" s="184"/>
      <c r="D2" s="184"/>
      <c r="E2" s="184"/>
      <c r="F2" s="184"/>
      <c r="G2" s="184"/>
      <c r="H2" s="184"/>
      <c r="I2" s="184"/>
      <c r="J2" s="184"/>
      <c r="K2" s="184"/>
      <c r="L2" s="184"/>
      <c r="M2" s="184"/>
      <c r="N2" s="184"/>
      <c r="O2" s="184"/>
      <c r="P2" s="184"/>
      <c r="Q2" s="184"/>
      <c r="R2" s="184"/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  <c r="AW2" s="185"/>
      <c r="AX2" s="185"/>
      <c r="AY2" s="185"/>
      <c r="AZ2" s="185"/>
      <c r="BA2" s="185"/>
      <c r="BB2" s="185"/>
      <c r="BC2" s="185"/>
      <c r="BD2" s="185"/>
      <c r="BE2" s="185"/>
      <c r="BF2" s="185"/>
      <c r="BG2" s="185"/>
      <c r="BH2" s="185"/>
      <c r="BI2" s="185"/>
      <c r="BJ2" s="185"/>
      <c r="BK2" s="185"/>
      <c r="BL2" s="185"/>
      <c r="BM2" s="185"/>
      <c r="BN2" s="186"/>
      <c r="BO2" s="186"/>
      <c r="BP2" s="186"/>
      <c r="BQ2" s="186"/>
      <c r="BR2" s="186"/>
      <c r="BS2" s="186"/>
      <c r="BT2" s="186"/>
      <c r="BU2" s="186"/>
      <c r="BV2" s="186"/>
      <c r="BW2" s="186"/>
      <c r="BX2" s="186"/>
      <c r="BY2" s="186"/>
      <c r="BZ2" s="186"/>
      <c r="CA2" s="186"/>
      <c r="CB2" s="186"/>
      <c r="CC2" s="186"/>
      <c r="CD2" s="186"/>
      <c r="CE2" s="186"/>
      <c r="CF2" s="186"/>
      <c r="CG2" s="186"/>
      <c r="CH2" s="186"/>
      <c r="CI2" s="186"/>
      <c r="CJ2" s="186"/>
      <c r="CK2" s="186"/>
      <c r="CL2" s="186"/>
      <c r="CM2" s="186"/>
      <c r="CN2" s="186"/>
      <c r="CO2" s="186"/>
      <c r="CP2" s="186"/>
      <c r="CQ2" s="186"/>
      <c r="CR2" s="186"/>
      <c r="CS2" s="186"/>
      <c r="CT2" s="186"/>
      <c r="CU2" s="186"/>
      <c r="CV2" s="186"/>
    </row>
    <row r="3" spans="1:105" s="138" customFormat="1" ht="15" customHeight="1" x14ac:dyDescent="0.25">
      <c r="A3" s="183" t="s">
        <v>118</v>
      </c>
      <c r="B3" s="184"/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5"/>
      <c r="AF3" s="185"/>
      <c r="AG3" s="185"/>
      <c r="AH3" s="185"/>
      <c r="AI3" s="185"/>
      <c r="AJ3" s="185"/>
      <c r="AK3" s="185"/>
      <c r="AL3" s="185"/>
      <c r="AM3" s="185"/>
      <c r="AN3" s="185"/>
      <c r="AO3" s="185"/>
      <c r="AP3" s="185"/>
      <c r="AQ3" s="185"/>
      <c r="AR3" s="185"/>
      <c r="AS3" s="185"/>
      <c r="AT3" s="185"/>
      <c r="AU3" s="185"/>
      <c r="AV3" s="185"/>
      <c r="AW3" s="185"/>
      <c r="AX3" s="185"/>
      <c r="AY3" s="185"/>
      <c r="AZ3" s="185"/>
      <c r="BA3" s="185"/>
      <c r="BB3" s="185"/>
      <c r="BC3" s="185"/>
      <c r="BD3" s="185"/>
      <c r="BE3" s="185"/>
      <c r="BF3" s="185"/>
      <c r="BG3" s="185"/>
      <c r="BH3" s="185"/>
      <c r="BI3" s="185"/>
      <c r="BJ3" s="185"/>
      <c r="BK3" s="185"/>
      <c r="BL3" s="185"/>
      <c r="BM3" s="185"/>
      <c r="BN3" s="186"/>
      <c r="BO3" s="186"/>
      <c r="BP3" s="186"/>
      <c r="BQ3" s="186"/>
      <c r="BR3" s="186"/>
      <c r="BS3" s="186"/>
      <c r="BT3" s="186"/>
      <c r="BU3" s="186"/>
      <c r="BV3" s="186"/>
      <c r="BW3" s="186"/>
      <c r="BX3" s="186"/>
      <c r="BY3" s="186"/>
      <c r="BZ3" s="186"/>
      <c r="CA3" s="186"/>
      <c r="CB3" s="186"/>
      <c r="CC3" s="186"/>
      <c r="CD3" s="186"/>
      <c r="CE3" s="186"/>
      <c r="CF3" s="186"/>
      <c r="CG3" s="186"/>
      <c r="CH3" s="186"/>
      <c r="CI3" s="186"/>
      <c r="CJ3" s="186"/>
      <c r="CK3" s="186"/>
      <c r="CL3" s="186"/>
      <c r="CM3" s="186"/>
      <c r="CN3" s="186"/>
      <c r="CO3" s="186"/>
      <c r="CP3" s="186"/>
      <c r="CQ3" s="186"/>
      <c r="CR3" s="186"/>
      <c r="CS3" s="186"/>
      <c r="CT3" s="186"/>
      <c r="CU3" s="186"/>
      <c r="CV3" s="186"/>
    </row>
    <row r="4" spans="1:105" s="138" customFormat="1" ht="15" customHeight="1" x14ac:dyDescent="0.25">
      <c r="A4" s="194" t="s">
        <v>11</v>
      </c>
      <c r="B4" s="195"/>
      <c r="C4" s="195"/>
      <c r="D4" s="195"/>
      <c r="E4" s="195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7"/>
      <c r="AF4" s="197"/>
      <c r="AG4" s="197"/>
      <c r="AH4" s="198"/>
      <c r="AI4" s="198"/>
      <c r="AJ4" s="198"/>
      <c r="AK4" s="198"/>
      <c r="AL4" s="198"/>
      <c r="AM4" s="198"/>
      <c r="AN4" s="198"/>
      <c r="AO4" s="198"/>
      <c r="AP4" s="198"/>
      <c r="AQ4" s="198"/>
      <c r="AR4" s="198"/>
      <c r="AS4" s="198"/>
      <c r="AT4" s="198"/>
      <c r="AU4" s="198"/>
      <c r="AV4" s="198"/>
      <c r="AW4" s="198"/>
      <c r="AX4" s="198"/>
      <c r="AY4" s="198"/>
      <c r="AZ4" s="198"/>
      <c r="BA4" s="198"/>
      <c r="BB4" s="198"/>
      <c r="BC4" s="198"/>
      <c r="BD4" s="198"/>
      <c r="BE4" s="198"/>
      <c r="BF4" s="198"/>
      <c r="BG4" s="198"/>
      <c r="BH4" s="198"/>
      <c r="BI4" s="198"/>
      <c r="BJ4" s="198"/>
      <c r="BK4" s="198"/>
      <c r="BL4" s="198"/>
      <c r="BM4" s="198"/>
      <c r="BN4" s="199"/>
      <c r="BO4" s="199"/>
      <c r="BP4" s="199"/>
      <c r="BQ4" s="199"/>
      <c r="BR4" s="199"/>
      <c r="BS4" s="199"/>
      <c r="BT4" s="199"/>
      <c r="BU4" s="199"/>
      <c r="BV4" s="199"/>
      <c r="BW4" s="199"/>
      <c r="BX4" s="199"/>
      <c r="BY4" s="199"/>
      <c r="BZ4" s="199"/>
      <c r="CA4" s="199"/>
      <c r="CB4" s="199"/>
      <c r="CC4" s="199"/>
      <c r="CD4" s="199"/>
      <c r="CE4" s="199"/>
      <c r="CF4" s="199"/>
      <c r="CG4" s="199"/>
      <c r="CH4" s="199"/>
      <c r="CI4" s="199"/>
      <c r="CJ4" s="199"/>
      <c r="CK4" s="199"/>
      <c r="CL4" s="199"/>
      <c r="CM4" s="199"/>
      <c r="CN4" s="199"/>
      <c r="CO4" s="199"/>
      <c r="CP4" s="199"/>
      <c r="CQ4" s="199"/>
      <c r="CR4" s="199"/>
      <c r="CS4" s="199"/>
      <c r="CT4" s="199"/>
      <c r="CU4" s="199"/>
      <c r="CV4" s="199"/>
    </row>
    <row r="5" spans="1:105" s="138" customFormat="1" ht="15" customHeight="1" x14ac:dyDescent="0.25">
      <c r="A5" s="187"/>
      <c r="B5" s="188"/>
      <c r="C5" s="188"/>
      <c r="D5" s="188"/>
      <c r="E5" s="189"/>
      <c r="F5" s="187">
        <f>A5</f>
        <v>0</v>
      </c>
      <c r="G5" s="188"/>
      <c r="H5" s="188"/>
      <c r="I5" s="188"/>
      <c r="J5" s="188"/>
      <c r="K5" s="188"/>
      <c r="L5" s="188"/>
      <c r="M5" s="188"/>
      <c r="N5" s="188"/>
      <c r="O5" s="188"/>
      <c r="P5" s="188"/>
      <c r="Q5" s="188"/>
      <c r="R5" s="188"/>
      <c r="S5" s="188"/>
      <c r="T5" s="188"/>
      <c r="U5" s="188"/>
      <c r="V5" s="188"/>
      <c r="W5" s="188"/>
      <c r="X5" s="188"/>
      <c r="Y5" s="188"/>
      <c r="Z5" s="188"/>
      <c r="AA5" s="188"/>
      <c r="AB5" s="188"/>
      <c r="AC5" s="188"/>
      <c r="AD5" s="188"/>
      <c r="AE5" s="188"/>
      <c r="AF5" s="188"/>
      <c r="AG5" s="189"/>
      <c r="AH5" s="178" t="s">
        <v>119</v>
      </c>
      <c r="AI5" s="190" t="s">
        <v>104</v>
      </c>
      <c r="AJ5" s="191"/>
      <c r="AK5" s="191"/>
      <c r="AL5" s="191"/>
      <c r="AM5" s="191"/>
      <c r="AN5" s="191"/>
      <c r="AO5" s="191"/>
      <c r="AP5" s="191"/>
      <c r="AQ5" s="191"/>
      <c r="AR5" s="191"/>
      <c r="AS5" s="191"/>
      <c r="AT5" s="191"/>
      <c r="AU5" s="191"/>
      <c r="AV5" s="191"/>
      <c r="AW5" s="191"/>
      <c r="AX5" s="191"/>
      <c r="AY5" s="191"/>
      <c r="AZ5" s="191"/>
      <c r="BA5" s="191"/>
      <c r="BB5" s="191"/>
      <c r="BC5" s="191"/>
      <c r="BD5" s="191"/>
      <c r="BE5" s="191"/>
      <c r="BF5" s="191"/>
      <c r="BG5" s="191"/>
      <c r="BH5" s="191"/>
      <c r="BI5" s="191"/>
      <c r="BJ5" s="191"/>
      <c r="BK5" s="140" t="s">
        <v>119</v>
      </c>
      <c r="BL5" s="190" t="s">
        <v>4</v>
      </c>
      <c r="BM5" s="191"/>
      <c r="BN5" s="191"/>
      <c r="BO5" s="191"/>
      <c r="BP5" s="191"/>
      <c r="BQ5" s="191"/>
      <c r="BR5" s="191"/>
      <c r="BS5" s="191"/>
      <c r="BT5" s="191"/>
      <c r="BU5" s="191"/>
      <c r="BV5" s="191"/>
      <c r="BW5" s="191"/>
      <c r="BX5" s="191"/>
      <c r="BY5" s="191"/>
      <c r="BZ5" s="191"/>
      <c r="CA5" s="191"/>
      <c r="CB5" s="191"/>
      <c r="CC5" s="191"/>
      <c r="CD5" s="191"/>
      <c r="CE5" s="191"/>
      <c r="CF5" s="191"/>
      <c r="CG5" s="191"/>
      <c r="CH5" s="191"/>
      <c r="CI5" s="191"/>
      <c r="CJ5" s="191"/>
      <c r="CK5" s="191"/>
      <c r="CL5" s="191"/>
      <c r="CM5" s="191"/>
      <c r="CN5" s="141" t="s">
        <v>119</v>
      </c>
      <c r="CO5" s="192"/>
      <c r="CP5" s="192"/>
      <c r="CQ5" s="192"/>
      <c r="CR5" s="192"/>
      <c r="CS5" s="192"/>
      <c r="CT5" s="192"/>
      <c r="CU5" s="193"/>
      <c r="CV5" s="142" t="s">
        <v>120</v>
      </c>
      <c r="CW5" s="143"/>
      <c r="CX5" s="139"/>
      <c r="CY5" s="139"/>
      <c r="CZ5" s="139"/>
      <c r="DA5" s="139"/>
    </row>
    <row r="6" spans="1:105" s="138" customFormat="1" ht="22.5" customHeight="1" x14ac:dyDescent="0.25">
      <c r="A6" s="174" t="s">
        <v>45</v>
      </c>
      <c r="B6" s="176"/>
      <c r="C6" s="175"/>
      <c r="D6" s="175"/>
      <c r="E6" s="176"/>
      <c r="F6" s="179" t="s">
        <v>121</v>
      </c>
      <c r="G6" s="179" t="s">
        <v>122</v>
      </c>
      <c r="H6" s="179" t="s">
        <v>123</v>
      </c>
      <c r="I6" s="179" t="s">
        <v>124</v>
      </c>
      <c r="J6" s="179" t="s">
        <v>125</v>
      </c>
      <c r="K6" s="179" t="s">
        <v>126</v>
      </c>
      <c r="L6" s="179" t="s">
        <v>127</v>
      </c>
      <c r="M6" s="151" t="s">
        <v>128</v>
      </c>
      <c r="N6" s="161" t="s">
        <v>121</v>
      </c>
      <c r="O6" s="168" t="s">
        <v>122</v>
      </c>
      <c r="P6" s="168" t="s">
        <v>123</v>
      </c>
      <c r="Q6" s="168" t="s">
        <v>124</v>
      </c>
      <c r="R6" s="168" t="s">
        <v>125</v>
      </c>
      <c r="S6" s="179" t="s">
        <v>126</v>
      </c>
      <c r="T6" s="168" t="s">
        <v>127</v>
      </c>
      <c r="U6" s="151" t="s">
        <v>129</v>
      </c>
      <c r="V6" s="168" t="s">
        <v>130</v>
      </c>
      <c r="W6" s="151" t="s">
        <v>131</v>
      </c>
      <c r="X6" s="161" t="s">
        <v>121</v>
      </c>
      <c r="Y6" s="168" t="s">
        <v>122</v>
      </c>
      <c r="Z6" s="168" t="s">
        <v>123</v>
      </c>
      <c r="AA6" s="168" t="s">
        <v>124</v>
      </c>
      <c r="AB6" s="168" t="s">
        <v>125</v>
      </c>
      <c r="AC6" s="179" t="s">
        <v>126</v>
      </c>
      <c r="AD6" s="168" t="s">
        <v>127</v>
      </c>
      <c r="AE6" s="151" t="s">
        <v>128</v>
      </c>
      <c r="AF6" s="161" t="s">
        <v>132</v>
      </c>
      <c r="AG6" s="151" t="s">
        <v>133</v>
      </c>
      <c r="AH6" s="148"/>
      <c r="AI6" s="146" t="s">
        <v>121</v>
      </c>
      <c r="AJ6" s="147" t="s">
        <v>122</v>
      </c>
      <c r="AK6" s="147" t="s">
        <v>123</v>
      </c>
      <c r="AL6" s="147" t="s">
        <v>124</v>
      </c>
      <c r="AM6" s="147" t="s">
        <v>125</v>
      </c>
      <c r="AN6" s="144" t="s">
        <v>126</v>
      </c>
      <c r="AO6" s="147" t="s">
        <v>127</v>
      </c>
      <c r="AP6" s="145" t="s">
        <v>128</v>
      </c>
      <c r="AQ6" s="146" t="s">
        <v>121</v>
      </c>
      <c r="AR6" s="147" t="s">
        <v>122</v>
      </c>
      <c r="AS6" s="147" t="s">
        <v>123</v>
      </c>
      <c r="AT6" s="147" t="s">
        <v>124</v>
      </c>
      <c r="AU6" s="147" t="s">
        <v>125</v>
      </c>
      <c r="AV6" s="144" t="s">
        <v>126</v>
      </c>
      <c r="AW6" s="147" t="s">
        <v>127</v>
      </c>
      <c r="AX6" s="145" t="s">
        <v>129</v>
      </c>
      <c r="AY6" s="147" t="s">
        <v>130</v>
      </c>
      <c r="AZ6" s="145" t="s">
        <v>131</v>
      </c>
      <c r="BA6" s="146" t="s">
        <v>121</v>
      </c>
      <c r="BB6" s="147" t="s">
        <v>122</v>
      </c>
      <c r="BC6" s="147" t="s">
        <v>123</v>
      </c>
      <c r="BD6" s="147" t="s">
        <v>124</v>
      </c>
      <c r="BE6" s="147" t="s">
        <v>125</v>
      </c>
      <c r="BF6" s="144" t="s">
        <v>126</v>
      </c>
      <c r="BG6" s="147" t="s">
        <v>127</v>
      </c>
      <c r="BH6" s="145" t="s">
        <v>128</v>
      </c>
      <c r="BI6" s="146" t="s">
        <v>132</v>
      </c>
      <c r="BJ6" s="145" t="s">
        <v>133</v>
      </c>
      <c r="BK6" s="148"/>
      <c r="BL6" s="146" t="s">
        <v>121</v>
      </c>
      <c r="BM6" s="147" t="s">
        <v>122</v>
      </c>
      <c r="BN6" s="147" t="s">
        <v>123</v>
      </c>
      <c r="BO6" s="147" t="s">
        <v>124</v>
      </c>
      <c r="BP6" s="147" t="s">
        <v>125</v>
      </c>
      <c r="BQ6" s="144" t="s">
        <v>126</v>
      </c>
      <c r="BR6" s="147" t="s">
        <v>127</v>
      </c>
      <c r="BS6" s="147" t="s">
        <v>128</v>
      </c>
      <c r="BT6" s="147" t="s">
        <v>121</v>
      </c>
      <c r="BU6" s="147" t="s">
        <v>122</v>
      </c>
      <c r="BV6" s="147" t="s">
        <v>123</v>
      </c>
      <c r="BW6" s="147" t="s">
        <v>124</v>
      </c>
      <c r="BX6" s="147" t="s">
        <v>125</v>
      </c>
      <c r="BY6" s="144" t="s">
        <v>126</v>
      </c>
      <c r="BZ6" s="147" t="s">
        <v>127</v>
      </c>
      <c r="CA6" s="147" t="s">
        <v>129</v>
      </c>
      <c r="CB6" s="147" t="s">
        <v>130</v>
      </c>
      <c r="CC6" s="147" t="s">
        <v>131</v>
      </c>
      <c r="CD6" s="147" t="s">
        <v>121</v>
      </c>
      <c r="CE6" s="147" t="s">
        <v>122</v>
      </c>
      <c r="CF6" s="147" t="s">
        <v>123</v>
      </c>
      <c r="CG6" s="147" t="s">
        <v>124</v>
      </c>
      <c r="CH6" s="147" t="s">
        <v>125</v>
      </c>
      <c r="CI6" s="144" t="s">
        <v>126</v>
      </c>
      <c r="CJ6" s="147" t="s">
        <v>127</v>
      </c>
      <c r="CK6" s="147" t="s">
        <v>128</v>
      </c>
      <c r="CL6" s="147" t="s">
        <v>132</v>
      </c>
      <c r="CM6" s="145" t="s">
        <v>133</v>
      </c>
      <c r="CN6" s="149"/>
      <c r="CO6" s="146" t="s">
        <v>121</v>
      </c>
      <c r="CP6" s="147" t="s">
        <v>122</v>
      </c>
      <c r="CQ6" s="147" t="s">
        <v>123</v>
      </c>
      <c r="CR6" s="147" t="s">
        <v>124</v>
      </c>
      <c r="CS6" s="147" t="s">
        <v>125</v>
      </c>
      <c r="CT6" s="144" t="s">
        <v>126</v>
      </c>
      <c r="CU6" s="147" t="s">
        <v>127</v>
      </c>
      <c r="CV6" s="145" t="s">
        <v>128</v>
      </c>
      <c r="CW6" s="143"/>
      <c r="CX6" s="139"/>
      <c r="CY6" s="139"/>
      <c r="CZ6" s="139"/>
      <c r="DA6" s="139"/>
    </row>
    <row r="7" spans="1:105" s="138" customFormat="1" ht="15" customHeight="1" x14ac:dyDescent="0.25">
      <c r="A7" s="180" t="s">
        <v>11</v>
      </c>
      <c r="B7" s="181"/>
      <c r="C7" s="182"/>
      <c r="D7" s="182" t="s">
        <v>46</v>
      </c>
      <c r="E7" s="181" t="s">
        <v>47</v>
      </c>
      <c r="F7" s="150" t="s">
        <v>134</v>
      </c>
      <c r="G7" s="150" t="s">
        <v>135</v>
      </c>
      <c r="H7" s="150" t="s">
        <v>136</v>
      </c>
      <c r="I7" s="150" t="s">
        <v>137</v>
      </c>
      <c r="J7" s="150" t="s">
        <v>138</v>
      </c>
      <c r="K7" s="150" t="s">
        <v>139</v>
      </c>
      <c r="L7" s="150" t="s">
        <v>140</v>
      </c>
      <c r="M7" s="151" t="s">
        <v>141</v>
      </c>
      <c r="N7" s="160" t="s">
        <v>134</v>
      </c>
      <c r="O7" s="150" t="s">
        <v>135</v>
      </c>
      <c r="P7" s="150" t="s">
        <v>136</v>
      </c>
      <c r="Q7" s="150" t="s">
        <v>137</v>
      </c>
      <c r="R7" s="150" t="s">
        <v>138</v>
      </c>
      <c r="S7" s="150" t="s">
        <v>139</v>
      </c>
      <c r="T7" s="150" t="s">
        <v>140</v>
      </c>
      <c r="U7" s="151" t="s">
        <v>141</v>
      </c>
      <c r="V7" s="168" t="s">
        <v>142</v>
      </c>
      <c r="W7" s="151" t="s">
        <v>142</v>
      </c>
      <c r="X7" s="160" t="s">
        <v>134</v>
      </c>
      <c r="Y7" s="150" t="s">
        <v>135</v>
      </c>
      <c r="Z7" s="150" t="s">
        <v>136</v>
      </c>
      <c r="AA7" s="150" t="s">
        <v>137</v>
      </c>
      <c r="AB7" s="150" t="s">
        <v>138</v>
      </c>
      <c r="AC7" s="150" t="s">
        <v>139</v>
      </c>
      <c r="AD7" s="150" t="s">
        <v>140</v>
      </c>
      <c r="AE7" s="151" t="s">
        <v>143</v>
      </c>
      <c r="AF7" s="161" t="s">
        <v>144</v>
      </c>
      <c r="AG7" s="151" t="s">
        <v>144</v>
      </c>
      <c r="AH7" s="148"/>
      <c r="AI7" s="160" t="s">
        <v>134</v>
      </c>
      <c r="AJ7" s="150" t="s">
        <v>135</v>
      </c>
      <c r="AK7" s="150" t="s">
        <v>136</v>
      </c>
      <c r="AL7" s="150" t="s">
        <v>137</v>
      </c>
      <c r="AM7" s="150" t="s">
        <v>138</v>
      </c>
      <c r="AN7" s="150" t="s">
        <v>139</v>
      </c>
      <c r="AO7" s="150" t="s">
        <v>140</v>
      </c>
      <c r="AP7" s="151" t="s">
        <v>141</v>
      </c>
      <c r="AQ7" s="160" t="s">
        <v>134</v>
      </c>
      <c r="AR7" s="150" t="s">
        <v>135</v>
      </c>
      <c r="AS7" s="150" t="s">
        <v>136</v>
      </c>
      <c r="AT7" s="150" t="s">
        <v>137</v>
      </c>
      <c r="AU7" s="150" t="s">
        <v>138</v>
      </c>
      <c r="AV7" s="150" t="s">
        <v>139</v>
      </c>
      <c r="AW7" s="150" t="s">
        <v>140</v>
      </c>
      <c r="AX7" s="151" t="s">
        <v>141</v>
      </c>
      <c r="AY7" s="168" t="s">
        <v>142</v>
      </c>
      <c r="AZ7" s="151" t="s">
        <v>142</v>
      </c>
      <c r="BA7" s="160" t="s">
        <v>134</v>
      </c>
      <c r="BB7" s="150" t="s">
        <v>135</v>
      </c>
      <c r="BC7" s="150" t="s">
        <v>136</v>
      </c>
      <c r="BD7" s="150" t="s">
        <v>137</v>
      </c>
      <c r="BE7" s="150" t="s">
        <v>138</v>
      </c>
      <c r="BF7" s="150" t="s">
        <v>139</v>
      </c>
      <c r="BG7" s="150" t="s">
        <v>140</v>
      </c>
      <c r="BH7" s="151" t="s">
        <v>143</v>
      </c>
      <c r="BI7" s="161" t="s">
        <v>144</v>
      </c>
      <c r="BJ7" s="151" t="s">
        <v>144</v>
      </c>
      <c r="BK7" s="148"/>
      <c r="BL7" s="160" t="s">
        <v>134</v>
      </c>
      <c r="BM7" s="150" t="s">
        <v>135</v>
      </c>
      <c r="BN7" s="150" t="s">
        <v>136</v>
      </c>
      <c r="BO7" s="150" t="s">
        <v>137</v>
      </c>
      <c r="BP7" s="150" t="s">
        <v>138</v>
      </c>
      <c r="BQ7" s="150" t="s">
        <v>139</v>
      </c>
      <c r="BR7" s="150" t="s">
        <v>140</v>
      </c>
      <c r="BS7" s="168" t="s">
        <v>141</v>
      </c>
      <c r="BT7" s="150" t="s">
        <v>134</v>
      </c>
      <c r="BU7" s="150" t="s">
        <v>135</v>
      </c>
      <c r="BV7" s="150" t="s">
        <v>136</v>
      </c>
      <c r="BW7" s="150" t="s">
        <v>137</v>
      </c>
      <c r="BX7" s="150" t="s">
        <v>138</v>
      </c>
      <c r="BY7" s="150" t="s">
        <v>139</v>
      </c>
      <c r="BZ7" s="150" t="s">
        <v>140</v>
      </c>
      <c r="CA7" s="168" t="s">
        <v>141</v>
      </c>
      <c r="CB7" s="168" t="s">
        <v>142</v>
      </c>
      <c r="CC7" s="168" t="s">
        <v>142</v>
      </c>
      <c r="CD7" s="150" t="s">
        <v>134</v>
      </c>
      <c r="CE7" s="150" t="s">
        <v>135</v>
      </c>
      <c r="CF7" s="150" t="s">
        <v>136</v>
      </c>
      <c r="CG7" s="150" t="s">
        <v>137</v>
      </c>
      <c r="CH7" s="150" t="s">
        <v>138</v>
      </c>
      <c r="CI7" s="150" t="s">
        <v>139</v>
      </c>
      <c r="CJ7" s="150" t="s">
        <v>140</v>
      </c>
      <c r="CK7" s="168" t="s">
        <v>143</v>
      </c>
      <c r="CL7" s="168" t="s">
        <v>144</v>
      </c>
      <c r="CM7" s="151" t="s">
        <v>144</v>
      </c>
      <c r="CN7" s="149"/>
      <c r="CO7" s="160" t="s">
        <v>134</v>
      </c>
      <c r="CP7" s="150" t="s">
        <v>135</v>
      </c>
      <c r="CQ7" s="150" t="s">
        <v>136</v>
      </c>
      <c r="CR7" s="150" t="s">
        <v>137</v>
      </c>
      <c r="CS7" s="150" t="s">
        <v>138</v>
      </c>
      <c r="CT7" s="150" t="s">
        <v>139</v>
      </c>
      <c r="CU7" s="150" t="s">
        <v>140</v>
      </c>
      <c r="CV7" s="151" t="s">
        <v>143</v>
      </c>
      <c r="CW7" s="143"/>
      <c r="CX7" s="139"/>
      <c r="CY7" s="139"/>
      <c r="CZ7" s="139"/>
      <c r="DA7" s="139"/>
    </row>
    <row r="8" spans="1:105" x14ac:dyDescent="0.25">
      <c r="A8" s="177"/>
      <c r="B8" s="154"/>
      <c r="C8" s="135"/>
      <c r="D8" s="135"/>
      <c r="E8" s="135"/>
      <c r="F8" s="152"/>
      <c r="G8" s="153"/>
      <c r="H8" s="153"/>
      <c r="I8" s="153"/>
      <c r="J8" s="153"/>
      <c r="K8" s="153"/>
      <c r="L8" s="153"/>
      <c r="M8" s="200"/>
      <c r="O8" s="152"/>
      <c r="P8" s="153"/>
      <c r="Q8" s="153"/>
      <c r="R8" s="153"/>
      <c r="S8" s="153"/>
      <c r="T8" s="153"/>
      <c r="U8" s="200"/>
      <c r="V8" s="152"/>
      <c r="W8" s="154"/>
      <c r="X8" s="152"/>
      <c r="Y8" s="153"/>
      <c r="Z8" s="153"/>
      <c r="AA8" s="153"/>
      <c r="AB8" s="153"/>
      <c r="AC8" s="153"/>
      <c r="AD8" s="153"/>
      <c r="AE8" s="200"/>
      <c r="AF8" s="152"/>
      <c r="AG8" s="154"/>
      <c r="AH8" s="135"/>
      <c r="AI8" s="162"/>
      <c r="AJ8" s="163"/>
      <c r="AK8" s="153"/>
      <c r="AL8" s="153"/>
      <c r="AM8" s="153"/>
      <c r="AN8" s="153"/>
      <c r="AO8" s="153"/>
      <c r="AP8" s="200"/>
      <c r="AQ8" s="152"/>
      <c r="AR8" s="153"/>
      <c r="AS8" s="153"/>
      <c r="AT8" s="153"/>
      <c r="AU8" s="153"/>
      <c r="AV8" s="153"/>
      <c r="AW8" s="153"/>
      <c r="AX8" s="200"/>
      <c r="AY8" s="152"/>
      <c r="AZ8" s="154"/>
      <c r="BA8" s="152"/>
      <c r="BB8" s="153"/>
      <c r="BC8" s="153"/>
      <c r="BD8" s="153"/>
      <c r="BE8" s="153"/>
      <c r="BF8" s="153"/>
      <c r="BG8" s="153"/>
      <c r="BH8" s="154"/>
      <c r="BI8" s="152"/>
      <c r="BJ8" s="154"/>
      <c r="BK8" s="135"/>
      <c r="BL8" s="152"/>
      <c r="BM8" s="153"/>
      <c r="BN8" s="169"/>
      <c r="BO8" s="163"/>
      <c r="BP8" s="153"/>
      <c r="BQ8" s="153"/>
      <c r="BR8" s="153"/>
      <c r="BS8" s="154"/>
      <c r="BT8" s="152"/>
      <c r="BU8" s="153"/>
      <c r="BV8" s="153"/>
      <c r="BW8" s="153"/>
      <c r="BX8" s="153"/>
      <c r="BY8" s="153"/>
      <c r="BZ8" s="153"/>
      <c r="CA8" s="200"/>
      <c r="CB8" s="152"/>
      <c r="CC8" s="154"/>
      <c r="CD8" s="152"/>
      <c r="CE8" s="153"/>
      <c r="CF8" s="153"/>
      <c r="CG8" s="153"/>
      <c r="CH8" s="153"/>
      <c r="CI8" s="153"/>
      <c r="CJ8" s="153"/>
      <c r="CK8" s="200"/>
      <c r="CL8" s="152"/>
      <c r="CM8" s="154"/>
      <c r="CN8" s="135"/>
      <c r="CO8" s="152"/>
      <c r="CP8" s="153"/>
      <c r="CQ8" s="153"/>
      <c r="CR8" s="153"/>
      <c r="CS8" s="169"/>
      <c r="CT8" s="163"/>
      <c r="CU8" s="153"/>
      <c r="CV8" s="200"/>
    </row>
    <row r="9" spans="1:105" x14ac:dyDescent="0.25">
      <c r="A9" s="172"/>
      <c r="B9" s="156"/>
      <c r="C9" s="135"/>
      <c r="D9" s="135"/>
      <c r="E9" s="135"/>
      <c r="F9" s="155"/>
      <c r="M9" s="201"/>
      <c r="O9" s="155"/>
      <c r="U9" s="201"/>
      <c r="V9" s="155"/>
      <c r="W9" s="156"/>
      <c r="X9" s="155"/>
      <c r="Y9" s="135"/>
      <c r="Z9" s="135"/>
      <c r="AA9" s="135"/>
      <c r="AB9" s="135"/>
      <c r="AC9" s="135"/>
      <c r="AD9" s="135"/>
      <c r="AE9" s="201"/>
      <c r="AF9" s="155"/>
      <c r="AG9" s="156"/>
      <c r="AH9" s="135"/>
      <c r="AI9" s="164"/>
      <c r="AJ9" s="165"/>
      <c r="AP9" s="201"/>
      <c r="AQ9" s="155"/>
      <c r="AX9" s="201"/>
      <c r="AY9" s="155"/>
      <c r="AZ9" s="156"/>
      <c r="BA9" s="155"/>
      <c r="BB9" s="135"/>
      <c r="BC9" s="135"/>
      <c r="BD9" s="135"/>
      <c r="BE9" s="135"/>
      <c r="BF9" s="135"/>
      <c r="BG9" s="135"/>
      <c r="BH9" s="156"/>
      <c r="BI9" s="155"/>
      <c r="BJ9" s="156"/>
      <c r="BK9" s="135"/>
      <c r="BL9" s="155"/>
      <c r="BM9" s="135"/>
      <c r="BN9" s="170"/>
      <c r="BO9" s="165"/>
      <c r="BS9" s="156"/>
      <c r="BT9" s="155"/>
      <c r="CA9" s="201"/>
      <c r="CB9" s="155"/>
      <c r="CC9" s="156"/>
      <c r="CD9" s="155"/>
      <c r="CG9" s="135"/>
      <c r="CH9" s="135"/>
      <c r="CI9" s="135"/>
      <c r="CJ9" s="135"/>
      <c r="CK9" s="201"/>
      <c r="CL9" s="155"/>
      <c r="CM9" s="156"/>
      <c r="CN9" s="135"/>
      <c r="CO9" s="155"/>
      <c r="CP9" s="135"/>
      <c r="CQ9" s="135"/>
      <c r="CR9" s="135"/>
      <c r="CS9" s="170"/>
      <c r="CT9" s="165"/>
      <c r="CU9" s="135"/>
      <c r="CV9" s="201"/>
    </row>
    <row r="10" spans="1:105" x14ac:dyDescent="0.25">
      <c r="A10" s="172"/>
      <c r="B10" s="156"/>
      <c r="C10" s="135"/>
      <c r="D10" s="135"/>
      <c r="E10" s="135"/>
      <c r="F10" s="155"/>
      <c r="M10" s="201"/>
      <c r="O10" s="155"/>
      <c r="U10" s="201"/>
      <c r="V10" s="155"/>
      <c r="W10" s="156"/>
      <c r="X10" s="155"/>
      <c r="Y10" s="135"/>
      <c r="Z10" s="135"/>
      <c r="AA10" s="135"/>
      <c r="AB10" s="135"/>
      <c r="AC10" s="135"/>
      <c r="AD10" s="135"/>
      <c r="AE10" s="201"/>
      <c r="AF10" s="155"/>
      <c r="AG10" s="156"/>
      <c r="AH10" s="135"/>
      <c r="AI10" s="164"/>
      <c r="AJ10" s="165"/>
      <c r="AP10" s="201"/>
      <c r="AQ10" s="155"/>
      <c r="AX10" s="201"/>
      <c r="AY10" s="155"/>
      <c r="AZ10" s="156"/>
      <c r="BA10" s="155"/>
      <c r="BB10" s="135"/>
      <c r="BC10" s="135"/>
      <c r="BD10" s="135"/>
      <c r="BE10" s="135"/>
      <c r="BF10" s="135"/>
      <c r="BG10" s="135"/>
      <c r="BH10" s="156"/>
      <c r="BI10" s="155"/>
      <c r="BJ10" s="156"/>
      <c r="BK10" s="135"/>
      <c r="BL10" s="155"/>
      <c r="BM10" s="135"/>
      <c r="BN10" s="170"/>
      <c r="BO10" s="165"/>
      <c r="BS10" s="156"/>
      <c r="BT10" s="155"/>
      <c r="CA10" s="201"/>
      <c r="CB10" s="155"/>
      <c r="CC10" s="156"/>
      <c r="CD10" s="155"/>
      <c r="CG10" s="135"/>
      <c r="CH10" s="135"/>
      <c r="CI10" s="135"/>
      <c r="CJ10" s="135"/>
      <c r="CK10" s="201"/>
      <c r="CL10" s="155"/>
      <c r="CM10" s="156"/>
      <c r="CN10" s="135"/>
      <c r="CO10" s="155"/>
      <c r="CP10" s="135"/>
      <c r="CQ10" s="135"/>
      <c r="CR10" s="135"/>
      <c r="CS10" s="170"/>
      <c r="CT10" s="165"/>
      <c r="CU10" s="135"/>
      <c r="CV10" s="201"/>
    </row>
    <row r="11" spans="1:105" x14ac:dyDescent="0.25">
      <c r="A11" s="172"/>
      <c r="B11" s="156"/>
      <c r="C11" s="135"/>
      <c r="D11" s="135"/>
      <c r="E11" s="135"/>
      <c r="F11" s="155"/>
      <c r="M11" s="201"/>
      <c r="O11" s="155"/>
      <c r="U11" s="201"/>
      <c r="V11" s="155"/>
      <c r="W11" s="156"/>
      <c r="X11" s="155"/>
      <c r="Y11" s="135"/>
      <c r="Z11" s="135"/>
      <c r="AA11" s="135"/>
      <c r="AB11" s="135"/>
      <c r="AC11" s="135"/>
      <c r="AD11" s="135"/>
      <c r="AE11" s="201"/>
      <c r="AF11" s="155"/>
      <c r="AG11" s="156"/>
      <c r="AH11" s="135"/>
      <c r="AI11" s="164"/>
      <c r="AJ11" s="165"/>
      <c r="AP11" s="201"/>
      <c r="AQ11" s="155"/>
      <c r="AX11" s="201"/>
      <c r="AY11" s="155"/>
      <c r="AZ11" s="156"/>
      <c r="BA11" s="155"/>
      <c r="BB11" s="135"/>
      <c r="BC11" s="135"/>
      <c r="BD11" s="135"/>
      <c r="BE11" s="135"/>
      <c r="BF11" s="135"/>
      <c r="BG11" s="135"/>
      <c r="BH11" s="156"/>
      <c r="BI11" s="155"/>
      <c r="BJ11" s="156"/>
      <c r="BK11" s="135"/>
      <c r="BL11" s="155"/>
      <c r="BM11" s="135"/>
      <c r="BN11" s="170"/>
      <c r="BO11" s="165"/>
      <c r="BS11" s="156"/>
      <c r="BT11" s="155"/>
      <c r="CA11" s="201"/>
      <c r="CB11" s="155"/>
      <c r="CC11" s="156"/>
      <c r="CD11" s="155"/>
      <c r="CG11" s="135"/>
      <c r="CH11" s="135"/>
      <c r="CI11" s="135"/>
      <c r="CJ11" s="135"/>
      <c r="CK11" s="201"/>
      <c r="CL11" s="155"/>
      <c r="CM11" s="156"/>
      <c r="CN11" s="135"/>
      <c r="CO11" s="155"/>
      <c r="CP11" s="135"/>
      <c r="CQ11" s="135"/>
      <c r="CR11" s="135"/>
      <c r="CS11" s="170"/>
      <c r="CT11" s="165"/>
      <c r="CU11" s="135"/>
      <c r="CV11" s="201"/>
    </row>
    <row r="12" spans="1:105" x14ac:dyDescent="0.25">
      <c r="A12" s="172"/>
      <c r="B12" s="156"/>
      <c r="C12" s="135"/>
      <c r="D12" s="135"/>
      <c r="E12" s="135"/>
      <c r="F12" s="155"/>
      <c r="M12" s="201"/>
      <c r="O12" s="155"/>
      <c r="U12" s="201"/>
      <c r="V12" s="155"/>
      <c r="W12" s="156"/>
      <c r="X12" s="155"/>
      <c r="Y12" s="135"/>
      <c r="Z12" s="135"/>
      <c r="AA12" s="135"/>
      <c r="AB12" s="135"/>
      <c r="AC12" s="135"/>
      <c r="AD12" s="135"/>
      <c r="AE12" s="201"/>
      <c r="AF12" s="155"/>
      <c r="AG12" s="156"/>
      <c r="AH12" s="135"/>
      <c r="AI12" s="164"/>
      <c r="AJ12" s="165"/>
      <c r="AP12" s="201"/>
      <c r="AQ12" s="155"/>
      <c r="AX12" s="201"/>
      <c r="AY12" s="155"/>
      <c r="AZ12" s="156"/>
      <c r="BA12" s="155"/>
      <c r="BB12" s="135"/>
      <c r="BC12" s="135"/>
      <c r="BD12" s="135"/>
      <c r="BE12" s="135"/>
      <c r="BF12" s="135"/>
      <c r="BG12" s="135"/>
      <c r="BH12" s="156"/>
      <c r="BI12" s="155"/>
      <c r="BJ12" s="156"/>
      <c r="BK12" s="135"/>
      <c r="BL12" s="155"/>
      <c r="BM12" s="135"/>
      <c r="BN12" s="170"/>
      <c r="BO12" s="165"/>
      <c r="BS12" s="156"/>
      <c r="BT12" s="155"/>
      <c r="CA12" s="201"/>
      <c r="CB12" s="155"/>
      <c r="CC12" s="156"/>
      <c r="CD12" s="155"/>
      <c r="CG12" s="135"/>
      <c r="CH12" s="135"/>
      <c r="CI12" s="135"/>
      <c r="CJ12" s="135"/>
      <c r="CK12" s="201"/>
      <c r="CL12" s="155"/>
      <c r="CM12" s="156"/>
      <c r="CN12" s="135"/>
      <c r="CO12" s="155"/>
      <c r="CP12" s="135"/>
      <c r="CQ12" s="135"/>
      <c r="CR12" s="135"/>
      <c r="CS12" s="170"/>
      <c r="CT12" s="165"/>
      <c r="CU12" s="135"/>
      <c r="CV12" s="201"/>
    </row>
    <row r="13" spans="1:105" x14ac:dyDescent="0.25">
      <c r="A13" s="172"/>
      <c r="B13" s="156"/>
      <c r="C13" s="135"/>
      <c r="D13" s="135"/>
      <c r="E13" s="135"/>
      <c r="F13" s="155"/>
      <c r="M13" s="201"/>
      <c r="O13" s="155"/>
      <c r="U13" s="201"/>
      <c r="V13" s="155"/>
      <c r="W13" s="156"/>
      <c r="X13" s="155"/>
      <c r="Y13" s="135"/>
      <c r="Z13" s="135"/>
      <c r="AA13" s="135"/>
      <c r="AB13" s="135"/>
      <c r="AC13" s="135"/>
      <c r="AD13" s="135"/>
      <c r="AE13" s="201"/>
      <c r="AF13" s="155"/>
      <c r="AG13" s="156"/>
      <c r="AH13" s="135"/>
      <c r="AI13" s="164"/>
      <c r="AJ13" s="165"/>
      <c r="AP13" s="201"/>
      <c r="AQ13" s="155"/>
      <c r="AX13" s="201"/>
      <c r="AY13" s="155"/>
      <c r="AZ13" s="156"/>
      <c r="BA13" s="155"/>
      <c r="BB13" s="135"/>
      <c r="BC13" s="135"/>
      <c r="BD13" s="135"/>
      <c r="BE13" s="135"/>
      <c r="BF13" s="135"/>
      <c r="BG13" s="135"/>
      <c r="BH13" s="156"/>
      <c r="BI13" s="155"/>
      <c r="BJ13" s="156"/>
      <c r="BK13" s="135"/>
      <c r="BL13" s="155"/>
      <c r="BM13" s="135"/>
      <c r="BN13" s="170"/>
      <c r="BO13" s="165"/>
      <c r="BS13" s="156"/>
      <c r="BT13" s="155"/>
      <c r="CA13" s="201"/>
      <c r="CB13" s="155"/>
      <c r="CC13" s="156"/>
      <c r="CD13" s="155"/>
      <c r="CG13" s="135"/>
      <c r="CH13" s="135"/>
      <c r="CI13" s="135"/>
      <c r="CJ13" s="135"/>
      <c r="CK13" s="201"/>
      <c r="CL13" s="155"/>
      <c r="CM13" s="156"/>
      <c r="CN13" s="135"/>
      <c r="CO13" s="155"/>
      <c r="CP13" s="135"/>
      <c r="CQ13" s="135"/>
      <c r="CR13" s="135"/>
      <c r="CS13" s="170"/>
      <c r="CT13" s="165"/>
      <c r="CU13" s="135"/>
      <c r="CV13" s="201"/>
    </row>
    <row r="14" spans="1:105" x14ac:dyDescent="0.25">
      <c r="A14" s="172"/>
      <c r="B14" s="156"/>
      <c r="C14" s="135"/>
      <c r="D14" s="135"/>
      <c r="E14" s="135"/>
      <c r="F14" s="155"/>
      <c r="M14" s="201"/>
      <c r="O14" s="155"/>
      <c r="U14" s="201"/>
      <c r="V14" s="155"/>
      <c r="W14" s="156"/>
      <c r="X14" s="155"/>
      <c r="Y14" s="135"/>
      <c r="Z14" s="135"/>
      <c r="AA14" s="135"/>
      <c r="AB14" s="135"/>
      <c r="AC14" s="135"/>
      <c r="AD14" s="135"/>
      <c r="AE14" s="201"/>
      <c r="AF14" s="155"/>
      <c r="AG14" s="156"/>
      <c r="AH14" s="135"/>
      <c r="AI14" s="164"/>
      <c r="AJ14" s="165"/>
      <c r="AP14" s="201"/>
      <c r="AQ14" s="155"/>
      <c r="AX14" s="201"/>
      <c r="AY14" s="155"/>
      <c r="AZ14" s="156"/>
      <c r="BA14" s="155"/>
      <c r="BB14" s="135"/>
      <c r="BC14" s="135"/>
      <c r="BD14" s="135"/>
      <c r="BE14" s="135"/>
      <c r="BF14" s="135"/>
      <c r="BG14" s="135"/>
      <c r="BH14" s="156"/>
      <c r="BI14" s="155"/>
      <c r="BJ14" s="156"/>
      <c r="BK14" s="135"/>
      <c r="BL14" s="155"/>
      <c r="BM14" s="135"/>
      <c r="BN14" s="170"/>
      <c r="BO14" s="165"/>
      <c r="BS14" s="156"/>
      <c r="BT14" s="155"/>
      <c r="CA14" s="201"/>
      <c r="CB14" s="155"/>
      <c r="CC14" s="156"/>
      <c r="CD14" s="155"/>
      <c r="CG14" s="135"/>
      <c r="CH14" s="135"/>
      <c r="CI14" s="135"/>
      <c r="CJ14" s="135"/>
      <c r="CK14" s="201"/>
      <c r="CL14" s="155"/>
      <c r="CM14" s="156"/>
      <c r="CN14" s="135"/>
      <c r="CO14" s="155"/>
      <c r="CP14" s="135"/>
      <c r="CQ14" s="135"/>
      <c r="CR14" s="135"/>
      <c r="CS14" s="170"/>
      <c r="CT14" s="165"/>
      <c r="CU14" s="135"/>
      <c r="CV14" s="201"/>
    </row>
    <row r="15" spans="1:105" x14ac:dyDescent="0.25">
      <c r="A15" s="172"/>
      <c r="B15" s="156"/>
      <c r="C15" s="135"/>
      <c r="D15" s="135"/>
      <c r="E15" s="135"/>
      <c r="F15" s="155"/>
      <c r="M15" s="201"/>
      <c r="O15" s="155"/>
      <c r="U15" s="201"/>
      <c r="V15" s="155"/>
      <c r="W15" s="156"/>
      <c r="X15" s="155"/>
      <c r="Y15" s="135"/>
      <c r="Z15" s="135"/>
      <c r="AA15" s="135"/>
      <c r="AB15" s="135"/>
      <c r="AC15" s="135"/>
      <c r="AD15" s="135"/>
      <c r="AE15" s="201"/>
      <c r="AF15" s="155"/>
      <c r="AG15" s="156"/>
      <c r="AH15" s="135"/>
      <c r="AI15" s="164"/>
      <c r="AJ15" s="165"/>
      <c r="AP15" s="201"/>
      <c r="AQ15" s="155"/>
      <c r="AX15" s="201"/>
      <c r="AY15" s="155"/>
      <c r="AZ15" s="156"/>
      <c r="BA15" s="155"/>
      <c r="BB15" s="135"/>
      <c r="BC15" s="135"/>
      <c r="BD15" s="135"/>
      <c r="BE15" s="135"/>
      <c r="BF15" s="135"/>
      <c r="BG15" s="135"/>
      <c r="BH15" s="156"/>
      <c r="BI15" s="155"/>
      <c r="BJ15" s="156"/>
      <c r="BK15" s="135"/>
      <c r="BL15" s="155"/>
      <c r="BM15" s="135"/>
      <c r="BN15" s="170"/>
      <c r="BO15" s="165"/>
      <c r="BS15" s="156"/>
      <c r="BT15" s="155"/>
      <c r="CA15" s="201"/>
      <c r="CB15" s="155"/>
      <c r="CC15" s="156"/>
      <c r="CD15" s="155"/>
      <c r="CG15" s="135"/>
      <c r="CH15" s="135"/>
      <c r="CI15" s="135"/>
      <c r="CJ15" s="135"/>
      <c r="CK15" s="201"/>
      <c r="CL15" s="155"/>
      <c r="CM15" s="156"/>
      <c r="CN15" s="135"/>
      <c r="CO15" s="155"/>
      <c r="CP15" s="135"/>
      <c r="CQ15" s="135"/>
      <c r="CR15" s="135"/>
      <c r="CS15" s="170"/>
      <c r="CT15" s="165"/>
      <c r="CU15" s="135"/>
      <c r="CV15" s="201"/>
    </row>
    <row r="16" spans="1:105" x14ac:dyDescent="0.25">
      <c r="A16" s="172"/>
      <c r="B16" s="156"/>
      <c r="C16" s="135"/>
      <c r="D16" s="135"/>
      <c r="E16" s="135"/>
      <c r="F16" s="155"/>
      <c r="M16" s="201"/>
      <c r="O16" s="155"/>
      <c r="U16" s="201"/>
      <c r="V16" s="155"/>
      <c r="W16" s="156"/>
      <c r="X16" s="155"/>
      <c r="Y16" s="135"/>
      <c r="Z16" s="135"/>
      <c r="AA16" s="135"/>
      <c r="AB16" s="135"/>
      <c r="AC16" s="135"/>
      <c r="AD16" s="135"/>
      <c r="AE16" s="201"/>
      <c r="AF16" s="155"/>
      <c r="AG16" s="156"/>
      <c r="AH16" s="135"/>
      <c r="AI16" s="164"/>
      <c r="AJ16" s="165"/>
      <c r="AP16" s="201"/>
      <c r="AQ16" s="155"/>
      <c r="AX16" s="201"/>
      <c r="AY16" s="155"/>
      <c r="AZ16" s="156"/>
      <c r="BA16" s="155"/>
      <c r="BB16" s="135"/>
      <c r="BC16" s="135"/>
      <c r="BD16" s="135"/>
      <c r="BE16" s="135"/>
      <c r="BF16" s="135"/>
      <c r="BG16" s="135"/>
      <c r="BH16" s="156"/>
      <c r="BI16" s="155"/>
      <c r="BJ16" s="156"/>
      <c r="BK16" s="135"/>
      <c r="BL16" s="155"/>
      <c r="BM16" s="135"/>
      <c r="BN16" s="170"/>
      <c r="BO16" s="165"/>
      <c r="BS16" s="156"/>
      <c r="BT16" s="155"/>
      <c r="CA16" s="201"/>
      <c r="CB16" s="155"/>
      <c r="CC16" s="156"/>
      <c r="CD16" s="155"/>
      <c r="CG16" s="135"/>
      <c r="CH16" s="135"/>
      <c r="CI16" s="135"/>
      <c r="CJ16" s="135"/>
      <c r="CK16" s="201"/>
      <c r="CL16" s="155"/>
      <c r="CM16" s="156"/>
      <c r="CN16" s="135"/>
      <c r="CO16" s="155"/>
      <c r="CP16" s="135"/>
      <c r="CQ16" s="135"/>
      <c r="CR16" s="135"/>
      <c r="CS16" s="170"/>
      <c r="CT16" s="165"/>
      <c r="CU16" s="135"/>
      <c r="CV16" s="201"/>
    </row>
    <row r="17" spans="1:100" x14ac:dyDescent="0.25">
      <c r="A17" s="172"/>
      <c r="B17" s="156"/>
      <c r="C17" s="135"/>
      <c r="D17" s="135"/>
      <c r="E17" s="135"/>
      <c r="F17" s="155"/>
      <c r="M17" s="201"/>
      <c r="O17" s="155"/>
      <c r="U17" s="201"/>
      <c r="V17" s="155"/>
      <c r="W17" s="156"/>
      <c r="X17" s="155"/>
      <c r="Y17" s="135"/>
      <c r="Z17" s="135"/>
      <c r="AA17" s="135"/>
      <c r="AB17" s="135"/>
      <c r="AC17" s="135"/>
      <c r="AD17" s="135"/>
      <c r="AE17" s="201"/>
      <c r="AF17" s="155"/>
      <c r="AG17" s="156"/>
      <c r="AH17" s="135"/>
      <c r="AI17" s="164"/>
      <c r="AJ17" s="165"/>
      <c r="AP17" s="201"/>
      <c r="AQ17" s="155"/>
      <c r="AX17" s="201"/>
      <c r="AY17" s="155"/>
      <c r="AZ17" s="156"/>
      <c r="BA17" s="155"/>
      <c r="BB17" s="135"/>
      <c r="BC17" s="135"/>
      <c r="BD17" s="135"/>
      <c r="BE17" s="135"/>
      <c r="BF17" s="135"/>
      <c r="BG17" s="135"/>
      <c r="BH17" s="156"/>
      <c r="BI17" s="155"/>
      <c r="BJ17" s="156"/>
      <c r="BK17" s="135"/>
      <c r="BL17" s="155"/>
      <c r="BM17" s="135"/>
      <c r="BN17" s="170"/>
      <c r="BO17" s="165"/>
      <c r="BS17" s="156"/>
      <c r="BT17" s="155"/>
      <c r="CA17" s="201"/>
      <c r="CB17" s="155"/>
      <c r="CC17" s="156"/>
      <c r="CD17" s="155"/>
      <c r="CG17" s="135"/>
      <c r="CH17" s="135"/>
      <c r="CI17" s="135"/>
      <c r="CJ17" s="135"/>
      <c r="CK17" s="201"/>
      <c r="CL17" s="155"/>
      <c r="CM17" s="156"/>
      <c r="CN17" s="135"/>
      <c r="CO17" s="155"/>
      <c r="CP17" s="135"/>
      <c r="CQ17" s="135"/>
      <c r="CR17" s="135"/>
      <c r="CS17" s="170"/>
      <c r="CT17" s="165"/>
      <c r="CU17" s="135"/>
      <c r="CV17" s="201"/>
    </row>
    <row r="18" spans="1:100" x14ac:dyDescent="0.25">
      <c r="A18" s="172"/>
      <c r="B18" s="156"/>
      <c r="C18" s="135"/>
      <c r="D18" s="135"/>
      <c r="E18" s="135"/>
      <c r="F18" s="155"/>
      <c r="M18" s="201"/>
      <c r="O18" s="155"/>
      <c r="U18" s="201"/>
      <c r="V18" s="155"/>
      <c r="W18" s="156"/>
      <c r="X18" s="155"/>
      <c r="Y18" s="135"/>
      <c r="Z18" s="135"/>
      <c r="AA18" s="135"/>
      <c r="AB18" s="135"/>
      <c r="AC18" s="135"/>
      <c r="AD18" s="135"/>
      <c r="AE18" s="201"/>
      <c r="AF18" s="155"/>
      <c r="AG18" s="156"/>
      <c r="AH18" s="135"/>
      <c r="AI18" s="164"/>
      <c r="AJ18" s="165"/>
      <c r="AP18" s="201"/>
      <c r="AQ18" s="155"/>
      <c r="AX18" s="201"/>
      <c r="AY18" s="155"/>
      <c r="AZ18" s="156"/>
      <c r="BA18" s="155"/>
      <c r="BB18" s="135"/>
      <c r="BC18" s="135"/>
      <c r="BD18" s="135"/>
      <c r="BE18" s="135"/>
      <c r="BF18" s="135"/>
      <c r="BG18" s="135"/>
      <c r="BH18" s="156"/>
      <c r="BI18" s="155"/>
      <c r="BJ18" s="156"/>
      <c r="BK18" s="135"/>
      <c r="BL18" s="155"/>
      <c r="BM18" s="135"/>
      <c r="BN18" s="170"/>
      <c r="BO18" s="165"/>
      <c r="BS18" s="156"/>
      <c r="BT18" s="155"/>
      <c r="CA18" s="201"/>
      <c r="CB18" s="155"/>
      <c r="CC18" s="156"/>
      <c r="CD18" s="155"/>
      <c r="CG18" s="135"/>
      <c r="CH18" s="135"/>
      <c r="CI18" s="135"/>
      <c r="CJ18" s="135"/>
      <c r="CK18" s="201"/>
      <c r="CL18" s="155"/>
      <c r="CM18" s="156"/>
      <c r="CN18" s="135"/>
      <c r="CO18" s="155"/>
      <c r="CP18" s="135"/>
      <c r="CQ18" s="135"/>
      <c r="CR18" s="135"/>
      <c r="CS18" s="170"/>
      <c r="CT18" s="165"/>
      <c r="CU18" s="135"/>
      <c r="CV18" s="201"/>
    </row>
    <row r="19" spans="1:100" x14ac:dyDescent="0.25">
      <c r="A19" s="172"/>
      <c r="B19" s="156"/>
      <c r="C19" s="135"/>
      <c r="D19" s="135"/>
      <c r="E19" s="135"/>
      <c r="F19" s="155"/>
      <c r="M19" s="201"/>
      <c r="O19" s="155"/>
      <c r="U19" s="201"/>
      <c r="V19" s="155"/>
      <c r="W19" s="156"/>
      <c r="X19" s="155"/>
      <c r="Y19" s="135"/>
      <c r="Z19" s="135"/>
      <c r="AA19" s="135"/>
      <c r="AB19" s="135"/>
      <c r="AC19" s="135"/>
      <c r="AD19" s="135"/>
      <c r="AE19" s="201"/>
      <c r="AF19" s="155"/>
      <c r="AG19" s="156"/>
      <c r="AH19" s="135"/>
      <c r="AI19" s="164"/>
      <c r="AJ19" s="165"/>
      <c r="AP19" s="201"/>
      <c r="AQ19" s="155"/>
      <c r="AX19" s="201"/>
      <c r="AY19" s="155"/>
      <c r="AZ19" s="156"/>
      <c r="BA19" s="155"/>
      <c r="BB19" s="135"/>
      <c r="BC19" s="135"/>
      <c r="BD19" s="135"/>
      <c r="BE19" s="135"/>
      <c r="BF19" s="135"/>
      <c r="BG19" s="135"/>
      <c r="BH19" s="156"/>
      <c r="BI19" s="155"/>
      <c r="BJ19" s="156"/>
      <c r="BK19" s="135"/>
      <c r="BL19" s="155"/>
      <c r="BM19" s="135"/>
      <c r="BN19" s="170"/>
      <c r="BO19" s="165"/>
      <c r="BS19" s="156"/>
      <c r="BT19" s="155"/>
      <c r="CA19" s="201"/>
      <c r="CB19" s="155"/>
      <c r="CC19" s="156"/>
      <c r="CD19" s="155"/>
      <c r="CG19" s="135"/>
      <c r="CH19" s="135"/>
      <c r="CI19" s="135"/>
      <c r="CJ19" s="135"/>
      <c r="CK19" s="201"/>
      <c r="CL19" s="155"/>
      <c r="CM19" s="156"/>
      <c r="CN19" s="135"/>
      <c r="CO19" s="155"/>
      <c r="CP19" s="135"/>
      <c r="CQ19" s="135"/>
      <c r="CR19" s="135"/>
      <c r="CS19" s="170"/>
      <c r="CT19" s="165"/>
      <c r="CU19" s="135"/>
      <c r="CV19" s="201"/>
    </row>
    <row r="20" spans="1:100" x14ac:dyDescent="0.25">
      <c r="A20" s="172"/>
      <c r="B20" s="156"/>
      <c r="C20" s="135"/>
      <c r="D20" s="135"/>
      <c r="E20" s="135"/>
      <c r="F20" s="155"/>
      <c r="M20" s="201"/>
      <c r="O20" s="155"/>
      <c r="U20" s="201"/>
      <c r="V20" s="155"/>
      <c r="W20" s="156"/>
      <c r="X20" s="155"/>
      <c r="Y20" s="135"/>
      <c r="Z20" s="135"/>
      <c r="AA20" s="135"/>
      <c r="AB20" s="135"/>
      <c r="AC20" s="135"/>
      <c r="AD20" s="135"/>
      <c r="AE20" s="201"/>
      <c r="AF20" s="155"/>
      <c r="AG20" s="156"/>
      <c r="AH20" s="135"/>
      <c r="AI20" s="164"/>
      <c r="AJ20" s="165"/>
      <c r="AP20" s="201"/>
      <c r="AQ20" s="155"/>
      <c r="AX20" s="201"/>
      <c r="AY20" s="155"/>
      <c r="AZ20" s="156"/>
      <c r="BA20" s="155"/>
      <c r="BB20" s="135"/>
      <c r="BC20" s="135"/>
      <c r="BD20" s="135"/>
      <c r="BE20" s="135"/>
      <c r="BF20" s="135"/>
      <c r="BG20" s="135"/>
      <c r="BH20" s="156"/>
      <c r="BI20" s="155"/>
      <c r="BJ20" s="156"/>
      <c r="BK20" s="135"/>
      <c r="BL20" s="155"/>
      <c r="BM20" s="135"/>
      <c r="BN20" s="170"/>
      <c r="BO20" s="165"/>
      <c r="BS20" s="156"/>
      <c r="BT20" s="155"/>
      <c r="CA20" s="201"/>
      <c r="CB20" s="155"/>
      <c r="CC20" s="156"/>
      <c r="CD20" s="155"/>
      <c r="CG20" s="135"/>
      <c r="CH20" s="135"/>
      <c r="CI20" s="135"/>
      <c r="CJ20" s="135"/>
      <c r="CK20" s="201"/>
      <c r="CL20" s="155"/>
      <c r="CM20" s="156"/>
      <c r="CN20" s="135"/>
      <c r="CO20" s="155"/>
      <c r="CP20" s="135"/>
      <c r="CQ20" s="135"/>
      <c r="CR20" s="135"/>
      <c r="CS20" s="170"/>
      <c r="CT20" s="165"/>
      <c r="CU20" s="135"/>
      <c r="CV20" s="201"/>
    </row>
    <row r="21" spans="1:100" x14ac:dyDescent="0.25">
      <c r="A21" s="172"/>
      <c r="B21" s="156"/>
      <c r="C21" s="135"/>
      <c r="D21" s="135"/>
      <c r="E21" s="135"/>
      <c r="F21" s="155"/>
      <c r="M21" s="201"/>
      <c r="O21" s="155"/>
      <c r="U21" s="201"/>
      <c r="V21" s="155"/>
      <c r="W21" s="156"/>
      <c r="X21" s="155"/>
      <c r="Y21" s="135"/>
      <c r="Z21" s="135"/>
      <c r="AA21" s="135"/>
      <c r="AB21" s="135"/>
      <c r="AC21" s="135"/>
      <c r="AD21" s="135"/>
      <c r="AE21" s="201"/>
      <c r="AF21" s="155"/>
      <c r="AG21" s="156"/>
      <c r="AH21" s="135"/>
      <c r="AI21" s="164"/>
      <c r="AJ21" s="165"/>
      <c r="AP21" s="201"/>
      <c r="AQ21" s="155"/>
      <c r="AX21" s="201"/>
      <c r="AY21" s="155"/>
      <c r="AZ21" s="156"/>
      <c r="BA21" s="155"/>
      <c r="BB21" s="135"/>
      <c r="BC21" s="135"/>
      <c r="BD21" s="135"/>
      <c r="BE21" s="135"/>
      <c r="BF21" s="135"/>
      <c r="BG21" s="135"/>
      <c r="BH21" s="156"/>
      <c r="BI21" s="155"/>
      <c r="BJ21" s="156"/>
      <c r="BK21" s="135"/>
      <c r="BL21" s="155"/>
      <c r="BM21" s="135"/>
      <c r="BN21" s="170"/>
      <c r="BO21" s="165"/>
      <c r="BS21" s="156"/>
      <c r="BT21" s="155"/>
      <c r="CA21" s="201"/>
      <c r="CB21" s="155"/>
      <c r="CC21" s="156"/>
      <c r="CD21" s="155"/>
      <c r="CG21" s="135"/>
      <c r="CH21" s="135"/>
      <c r="CI21" s="135"/>
      <c r="CJ21" s="135"/>
      <c r="CK21" s="201"/>
      <c r="CL21" s="155"/>
      <c r="CM21" s="156"/>
      <c r="CN21" s="135"/>
      <c r="CO21" s="155"/>
      <c r="CP21" s="135"/>
      <c r="CQ21" s="135"/>
      <c r="CR21" s="135"/>
      <c r="CS21" s="170"/>
      <c r="CT21" s="165"/>
      <c r="CU21" s="135"/>
      <c r="CV21" s="201"/>
    </row>
    <row r="22" spans="1:100" x14ac:dyDescent="0.25">
      <c r="A22" s="172"/>
      <c r="B22" s="156"/>
      <c r="C22" s="135"/>
      <c r="D22" s="135"/>
      <c r="E22" s="135"/>
      <c r="F22" s="155"/>
      <c r="M22" s="201"/>
      <c r="O22" s="155"/>
      <c r="U22" s="201"/>
      <c r="V22" s="155"/>
      <c r="W22" s="156"/>
      <c r="X22" s="155"/>
      <c r="Y22" s="135"/>
      <c r="Z22" s="135"/>
      <c r="AA22" s="135"/>
      <c r="AB22" s="135"/>
      <c r="AC22" s="135"/>
      <c r="AD22" s="135"/>
      <c r="AE22" s="201"/>
      <c r="AF22" s="155"/>
      <c r="AG22" s="156"/>
      <c r="AH22" s="135"/>
      <c r="AI22" s="164"/>
      <c r="AJ22" s="165"/>
      <c r="AP22" s="201"/>
      <c r="AQ22" s="155"/>
      <c r="AX22" s="201"/>
      <c r="AY22" s="155"/>
      <c r="AZ22" s="156"/>
      <c r="BA22" s="155"/>
      <c r="BB22" s="135"/>
      <c r="BC22" s="135"/>
      <c r="BD22" s="135"/>
      <c r="BE22" s="135"/>
      <c r="BF22" s="135"/>
      <c r="BG22" s="135"/>
      <c r="BH22" s="156"/>
      <c r="BI22" s="155"/>
      <c r="BJ22" s="156"/>
      <c r="BK22" s="135"/>
      <c r="BL22" s="155"/>
      <c r="BM22" s="135"/>
      <c r="BN22" s="170"/>
      <c r="BO22" s="165"/>
      <c r="BS22" s="156"/>
      <c r="BT22" s="155"/>
      <c r="CA22" s="201"/>
      <c r="CB22" s="155"/>
      <c r="CC22" s="156"/>
      <c r="CD22" s="155"/>
      <c r="CG22" s="135"/>
      <c r="CH22" s="135"/>
      <c r="CI22" s="135"/>
      <c r="CJ22" s="135"/>
      <c r="CK22" s="201"/>
      <c r="CL22" s="155"/>
      <c r="CM22" s="156"/>
      <c r="CN22" s="135"/>
      <c r="CO22" s="155"/>
      <c r="CP22" s="135"/>
      <c r="CQ22" s="135"/>
      <c r="CR22" s="135"/>
      <c r="CS22" s="170"/>
      <c r="CT22" s="165"/>
      <c r="CU22" s="135"/>
      <c r="CV22" s="201"/>
    </row>
    <row r="23" spans="1:100" x14ac:dyDescent="0.25">
      <c r="A23" s="172"/>
      <c r="B23" s="156"/>
      <c r="C23" s="135"/>
      <c r="D23" s="135"/>
      <c r="E23" s="135"/>
      <c r="F23" s="155"/>
      <c r="M23" s="201"/>
      <c r="O23" s="155"/>
      <c r="U23" s="201"/>
      <c r="V23" s="155"/>
      <c r="W23" s="156"/>
      <c r="X23" s="155"/>
      <c r="Y23" s="135"/>
      <c r="Z23" s="135"/>
      <c r="AA23" s="135"/>
      <c r="AB23" s="135"/>
      <c r="AC23" s="135"/>
      <c r="AD23" s="135"/>
      <c r="AE23" s="201"/>
      <c r="AF23" s="155"/>
      <c r="AG23" s="156"/>
      <c r="AH23" s="135"/>
      <c r="AI23" s="164"/>
      <c r="AJ23" s="165"/>
      <c r="AP23" s="201"/>
      <c r="AQ23" s="155"/>
      <c r="AX23" s="201"/>
      <c r="AY23" s="155"/>
      <c r="AZ23" s="156"/>
      <c r="BA23" s="155"/>
      <c r="BB23" s="135"/>
      <c r="BC23" s="135"/>
      <c r="BD23" s="135"/>
      <c r="BE23" s="135"/>
      <c r="BF23" s="135"/>
      <c r="BG23" s="135"/>
      <c r="BH23" s="156"/>
      <c r="BI23" s="155"/>
      <c r="BJ23" s="156"/>
      <c r="BK23" s="135"/>
      <c r="BL23" s="155"/>
      <c r="BM23" s="135"/>
      <c r="BN23" s="170"/>
      <c r="BO23" s="165"/>
      <c r="BS23" s="156"/>
      <c r="BT23" s="155"/>
      <c r="CA23" s="201"/>
      <c r="CB23" s="155"/>
      <c r="CC23" s="156"/>
      <c r="CD23" s="155"/>
      <c r="CG23" s="135"/>
      <c r="CH23" s="135"/>
      <c r="CI23" s="135"/>
      <c r="CJ23" s="135"/>
      <c r="CK23" s="201"/>
      <c r="CL23" s="155"/>
      <c r="CM23" s="156"/>
      <c r="CN23" s="135"/>
      <c r="CO23" s="155"/>
      <c r="CP23" s="135"/>
      <c r="CQ23" s="135"/>
      <c r="CR23" s="135"/>
      <c r="CS23" s="170"/>
      <c r="CT23" s="165"/>
      <c r="CU23" s="135"/>
      <c r="CV23" s="201"/>
    </row>
    <row r="24" spans="1:100" x14ac:dyDescent="0.25">
      <c r="A24" s="172"/>
      <c r="B24" s="156"/>
      <c r="C24" s="135"/>
      <c r="D24" s="135"/>
      <c r="E24" s="135"/>
      <c r="F24" s="155"/>
      <c r="M24" s="201"/>
      <c r="O24" s="155"/>
      <c r="U24" s="201"/>
      <c r="V24" s="155"/>
      <c r="W24" s="156"/>
      <c r="X24" s="155"/>
      <c r="Y24" s="135"/>
      <c r="Z24" s="135"/>
      <c r="AA24" s="135"/>
      <c r="AB24" s="135"/>
      <c r="AC24" s="135"/>
      <c r="AD24" s="135"/>
      <c r="AE24" s="201"/>
      <c r="AF24" s="155"/>
      <c r="AG24" s="156"/>
      <c r="AH24" s="135"/>
      <c r="AI24" s="164"/>
      <c r="AJ24" s="165"/>
      <c r="AP24" s="201"/>
      <c r="AQ24" s="155"/>
      <c r="AX24" s="201"/>
      <c r="AY24" s="155"/>
      <c r="AZ24" s="156"/>
      <c r="BA24" s="155"/>
      <c r="BB24" s="135"/>
      <c r="BC24" s="135"/>
      <c r="BD24" s="135"/>
      <c r="BE24" s="135"/>
      <c r="BF24" s="135"/>
      <c r="BG24" s="135"/>
      <c r="BH24" s="156"/>
      <c r="BI24" s="155"/>
      <c r="BJ24" s="156"/>
      <c r="BK24" s="135"/>
      <c r="BL24" s="155"/>
      <c r="BM24" s="135"/>
      <c r="BN24" s="170"/>
      <c r="BO24" s="165"/>
      <c r="BS24" s="156"/>
      <c r="BT24" s="155"/>
      <c r="CA24" s="201"/>
      <c r="CB24" s="155"/>
      <c r="CC24" s="156"/>
      <c r="CD24" s="155"/>
      <c r="CG24" s="135"/>
      <c r="CH24" s="135"/>
      <c r="CI24" s="135"/>
      <c r="CJ24" s="135"/>
      <c r="CK24" s="201"/>
      <c r="CL24" s="155"/>
      <c r="CM24" s="156"/>
      <c r="CN24" s="135"/>
      <c r="CO24" s="155"/>
      <c r="CP24" s="135"/>
      <c r="CQ24" s="135"/>
      <c r="CR24" s="135"/>
      <c r="CS24" s="170"/>
      <c r="CT24" s="165"/>
      <c r="CU24" s="135"/>
      <c r="CV24" s="201"/>
    </row>
    <row r="25" spans="1:100" x14ac:dyDescent="0.25">
      <c r="A25" s="172"/>
      <c r="B25" s="156"/>
      <c r="C25" s="135"/>
      <c r="D25" s="135"/>
      <c r="E25" s="135"/>
      <c r="F25" s="155"/>
      <c r="M25" s="201"/>
      <c r="O25" s="155"/>
      <c r="U25" s="201"/>
      <c r="V25" s="155"/>
      <c r="W25" s="156"/>
      <c r="X25" s="155"/>
      <c r="Y25" s="135"/>
      <c r="Z25" s="135"/>
      <c r="AA25" s="135"/>
      <c r="AB25" s="135"/>
      <c r="AC25" s="135"/>
      <c r="AD25" s="135"/>
      <c r="AE25" s="201"/>
      <c r="AF25" s="155"/>
      <c r="AG25" s="156"/>
      <c r="AH25" s="135"/>
      <c r="AI25" s="164"/>
      <c r="AJ25" s="165"/>
      <c r="AP25" s="201"/>
      <c r="AQ25" s="155"/>
      <c r="AX25" s="201"/>
      <c r="AY25" s="155"/>
      <c r="AZ25" s="156"/>
      <c r="BA25" s="155"/>
      <c r="BB25" s="135"/>
      <c r="BC25" s="135"/>
      <c r="BD25" s="135"/>
      <c r="BE25" s="135"/>
      <c r="BF25" s="135"/>
      <c r="BG25" s="135"/>
      <c r="BH25" s="156"/>
      <c r="BI25" s="155"/>
      <c r="BJ25" s="156"/>
      <c r="BK25" s="135"/>
      <c r="BL25" s="155"/>
      <c r="BM25" s="135"/>
      <c r="BN25" s="170"/>
      <c r="BO25" s="165"/>
      <c r="BS25" s="156"/>
      <c r="BT25" s="155"/>
      <c r="CA25" s="201"/>
      <c r="CB25" s="155"/>
      <c r="CC25" s="156"/>
      <c r="CD25" s="155"/>
      <c r="CG25" s="135"/>
      <c r="CH25" s="135"/>
      <c r="CI25" s="135"/>
      <c r="CJ25" s="135"/>
      <c r="CK25" s="201"/>
      <c r="CL25" s="155"/>
      <c r="CM25" s="156"/>
      <c r="CN25" s="135"/>
      <c r="CO25" s="155"/>
      <c r="CP25" s="135"/>
      <c r="CQ25" s="135"/>
      <c r="CR25" s="135"/>
      <c r="CS25" s="170"/>
      <c r="CT25" s="165"/>
      <c r="CU25" s="135"/>
      <c r="CV25" s="201"/>
    </row>
    <row r="26" spans="1:100" x14ac:dyDescent="0.25">
      <c r="A26" s="172"/>
      <c r="B26" s="156"/>
      <c r="C26" s="135"/>
      <c r="D26" s="135"/>
      <c r="E26" s="135"/>
      <c r="F26" s="155"/>
      <c r="M26" s="201"/>
      <c r="O26" s="155"/>
      <c r="U26" s="201"/>
      <c r="V26" s="155"/>
      <c r="W26" s="156"/>
      <c r="X26" s="155"/>
      <c r="Y26" s="135"/>
      <c r="Z26" s="135"/>
      <c r="AA26" s="135"/>
      <c r="AB26" s="135"/>
      <c r="AC26" s="135"/>
      <c r="AD26" s="135"/>
      <c r="AE26" s="201"/>
      <c r="AF26" s="155"/>
      <c r="AG26" s="156"/>
      <c r="AH26" s="135"/>
      <c r="AI26" s="164"/>
      <c r="AJ26" s="165"/>
      <c r="AP26" s="201"/>
      <c r="AQ26" s="155"/>
      <c r="AX26" s="201"/>
      <c r="AY26" s="155"/>
      <c r="AZ26" s="156"/>
      <c r="BA26" s="155"/>
      <c r="BB26" s="135"/>
      <c r="BC26" s="135"/>
      <c r="BD26" s="135"/>
      <c r="BE26" s="135"/>
      <c r="BF26" s="135"/>
      <c r="BG26" s="135"/>
      <c r="BH26" s="156"/>
      <c r="BI26" s="155"/>
      <c r="BJ26" s="156"/>
      <c r="BK26" s="135"/>
      <c r="BL26" s="155"/>
      <c r="BM26" s="135"/>
      <c r="BN26" s="170"/>
      <c r="BO26" s="165"/>
      <c r="BS26" s="156"/>
      <c r="BT26" s="155"/>
      <c r="CA26" s="201"/>
      <c r="CB26" s="155"/>
      <c r="CC26" s="156"/>
      <c r="CD26" s="155"/>
      <c r="CG26" s="135"/>
      <c r="CH26" s="135"/>
      <c r="CI26" s="135"/>
      <c r="CJ26" s="135"/>
      <c r="CK26" s="201"/>
      <c r="CL26" s="155"/>
      <c r="CM26" s="156"/>
      <c r="CN26" s="135"/>
      <c r="CO26" s="155"/>
      <c r="CP26" s="135"/>
      <c r="CQ26" s="135"/>
      <c r="CR26" s="135"/>
      <c r="CS26" s="170"/>
      <c r="CT26" s="165"/>
      <c r="CU26" s="135"/>
      <c r="CV26" s="201"/>
    </row>
    <row r="27" spans="1:100" x14ac:dyDescent="0.25">
      <c r="A27" s="172"/>
      <c r="B27" s="156"/>
      <c r="C27" s="135"/>
      <c r="D27" s="135"/>
      <c r="E27" s="135"/>
      <c r="F27" s="155"/>
      <c r="M27" s="201"/>
      <c r="O27" s="155"/>
      <c r="U27" s="201"/>
      <c r="V27" s="155"/>
      <c r="W27" s="156"/>
      <c r="X27" s="155"/>
      <c r="Y27" s="135"/>
      <c r="Z27" s="135"/>
      <c r="AA27" s="135"/>
      <c r="AB27" s="135"/>
      <c r="AC27" s="135"/>
      <c r="AD27" s="135"/>
      <c r="AE27" s="201"/>
      <c r="AF27" s="155"/>
      <c r="AG27" s="156"/>
      <c r="AH27" s="135"/>
      <c r="AI27" s="164"/>
      <c r="AJ27" s="165"/>
      <c r="AP27" s="201"/>
      <c r="AQ27" s="155"/>
      <c r="AX27" s="201"/>
      <c r="AY27" s="155"/>
      <c r="AZ27" s="156"/>
      <c r="BA27" s="155"/>
      <c r="BB27" s="135"/>
      <c r="BC27" s="135"/>
      <c r="BD27" s="135"/>
      <c r="BE27" s="135"/>
      <c r="BF27" s="135"/>
      <c r="BG27" s="135"/>
      <c r="BH27" s="156"/>
      <c r="BI27" s="155"/>
      <c r="BJ27" s="156"/>
      <c r="BK27" s="135"/>
      <c r="BL27" s="155"/>
      <c r="BM27" s="135"/>
      <c r="BN27" s="170"/>
      <c r="BO27" s="165"/>
      <c r="BS27" s="156"/>
      <c r="BT27" s="155"/>
      <c r="CA27" s="201"/>
      <c r="CB27" s="155"/>
      <c r="CC27" s="156"/>
      <c r="CD27" s="155"/>
      <c r="CG27" s="135"/>
      <c r="CH27" s="135"/>
      <c r="CI27" s="135"/>
      <c r="CJ27" s="135"/>
      <c r="CK27" s="201"/>
      <c r="CL27" s="155"/>
      <c r="CM27" s="156"/>
      <c r="CN27" s="135"/>
      <c r="CO27" s="155"/>
      <c r="CP27" s="135"/>
      <c r="CQ27" s="135"/>
      <c r="CR27" s="135"/>
      <c r="CS27" s="170"/>
      <c r="CT27" s="165"/>
      <c r="CU27" s="135"/>
      <c r="CV27" s="201"/>
    </row>
    <row r="28" spans="1:100" x14ac:dyDescent="0.25">
      <c r="A28" s="172"/>
      <c r="B28" s="156"/>
      <c r="C28" s="135"/>
      <c r="D28" s="135"/>
      <c r="E28" s="135"/>
      <c r="F28" s="155"/>
      <c r="M28" s="201"/>
      <c r="O28" s="155"/>
      <c r="U28" s="201"/>
      <c r="V28" s="155"/>
      <c r="W28" s="156"/>
      <c r="X28" s="155"/>
      <c r="Y28" s="135"/>
      <c r="Z28" s="135"/>
      <c r="AA28" s="135"/>
      <c r="AB28" s="135"/>
      <c r="AC28" s="135"/>
      <c r="AD28" s="135"/>
      <c r="AE28" s="201"/>
      <c r="AF28" s="155"/>
      <c r="AG28" s="156"/>
      <c r="AH28" s="135"/>
      <c r="AI28" s="164"/>
      <c r="AJ28" s="165"/>
      <c r="AP28" s="201"/>
      <c r="AQ28" s="155"/>
      <c r="AX28" s="201"/>
      <c r="AY28" s="155"/>
      <c r="AZ28" s="156"/>
      <c r="BA28" s="155"/>
      <c r="BB28" s="135"/>
      <c r="BC28" s="135"/>
      <c r="BD28" s="135"/>
      <c r="BE28" s="135"/>
      <c r="BF28" s="135"/>
      <c r="BG28" s="135"/>
      <c r="BH28" s="156"/>
      <c r="BI28" s="155"/>
      <c r="BJ28" s="156"/>
      <c r="BK28" s="135"/>
      <c r="BL28" s="155"/>
      <c r="BM28" s="135"/>
      <c r="BN28" s="170"/>
      <c r="BO28" s="165"/>
      <c r="BS28" s="156"/>
      <c r="BT28" s="155"/>
      <c r="CA28" s="201"/>
      <c r="CB28" s="155"/>
      <c r="CC28" s="156"/>
      <c r="CD28" s="155"/>
      <c r="CG28" s="135"/>
      <c r="CH28" s="135"/>
      <c r="CI28" s="135"/>
      <c r="CJ28" s="135"/>
      <c r="CK28" s="201"/>
      <c r="CL28" s="155"/>
      <c r="CM28" s="156"/>
      <c r="CN28" s="135"/>
      <c r="CO28" s="155"/>
      <c r="CP28" s="135"/>
      <c r="CQ28" s="135"/>
      <c r="CR28" s="135"/>
      <c r="CS28" s="170"/>
      <c r="CT28" s="165"/>
      <c r="CU28" s="135"/>
      <c r="CV28" s="201"/>
    </row>
    <row r="29" spans="1:100" x14ac:dyDescent="0.25">
      <c r="A29" s="172"/>
      <c r="B29" s="156"/>
      <c r="C29" s="135"/>
      <c r="D29" s="135"/>
      <c r="E29" s="135"/>
      <c r="F29" s="155"/>
      <c r="M29" s="201"/>
      <c r="O29" s="155"/>
      <c r="U29" s="201"/>
      <c r="V29" s="155"/>
      <c r="W29" s="156"/>
      <c r="X29" s="155"/>
      <c r="Y29" s="135"/>
      <c r="Z29" s="135"/>
      <c r="AA29" s="135"/>
      <c r="AB29" s="135"/>
      <c r="AC29" s="135"/>
      <c r="AD29" s="135"/>
      <c r="AE29" s="201"/>
      <c r="AF29" s="155"/>
      <c r="AG29" s="156"/>
      <c r="AH29" s="135"/>
      <c r="AI29" s="164"/>
      <c r="AJ29" s="165"/>
      <c r="AP29" s="201"/>
      <c r="AQ29" s="155"/>
      <c r="AX29" s="201"/>
      <c r="AY29" s="155"/>
      <c r="AZ29" s="156"/>
      <c r="BA29" s="155"/>
      <c r="BB29" s="135"/>
      <c r="BC29" s="135"/>
      <c r="BD29" s="135"/>
      <c r="BE29" s="135"/>
      <c r="BF29" s="135"/>
      <c r="BG29" s="135"/>
      <c r="BH29" s="156"/>
      <c r="BI29" s="155"/>
      <c r="BJ29" s="156"/>
      <c r="BK29" s="135"/>
      <c r="BL29" s="155"/>
      <c r="BM29" s="135"/>
      <c r="BN29" s="170"/>
      <c r="BO29" s="165"/>
      <c r="BS29" s="156"/>
      <c r="BT29" s="155"/>
      <c r="CA29" s="201"/>
      <c r="CB29" s="155"/>
      <c r="CC29" s="156"/>
      <c r="CD29" s="155"/>
      <c r="CG29" s="135"/>
      <c r="CH29" s="135"/>
      <c r="CI29" s="135"/>
      <c r="CJ29" s="135"/>
      <c r="CK29" s="201"/>
      <c r="CL29" s="155"/>
      <c r="CM29" s="156"/>
      <c r="CN29" s="135"/>
      <c r="CO29" s="155"/>
      <c r="CP29" s="135"/>
      <c r="CQ29" s="135"/>
      <c r="CR29" s="135"/>
      <c r="CS29" s="170"/>
      <c r="CT29" s="165"/>
      <c r="CU29" s="135"/>
      <c r="CV29" s="201"/>
    </row>
    <row r="30" spans="1:100" x14ac:dyDescent="0.25">
      <c r="A30" s="172"/>
      <c r="B30" s="156"/>
      <c r="C30" s="135"/>
      <c r="D30" s="135"/>
      <c r="E30" s="135"/>
      <c r="F30" s="155"/>
      <c r="M30" s="201"/>
      <c r="O30" s="155"/>
      <c r="U30" s="201"/>
      <c r="V30" s="155"/>
      <c r="W30" s="156"/>
      <c r="X30" s="155"/>
      <c r="Y30" s="135"/>
      <c r="Z30" s="135"/>
      <c r="AA30" s="135"/>
      <c r="AB30" s="135"/>
      <c r="AC30" s="135"/>
      <c r="AD30" s="135"/>
      <c r="AE30" s="201"/>
      <c r="AF30" s="155"/>
      <c r="AG30" s="156"/>
      <c r="AH30" s="135"/>
      <c r="AI30" s="164"/>
      <c r="AJ30" s="165"/>
      <c r="AP30" s="201"/>
      <c r="AQ30" s="155"/>
      <c r="AX30" s="201"/>
      <c r="AY30" s="155"/>
      <c r="AZ30" s="156"/>
      <c r="BA30" s="155"/>
      <c r="BB30" s="135"/>
      <c r="BC30" s="135"/>
      <c r="BD30" s="135"/>
      <c r="BE30" s="135"/>
      <c r="BF30" s="135"/>
      <c r="BG30" s="135"/>
      <c r="BH30" s="156"/>
      <c r="BI30" s="155"/>
      <c r="BJ30" s="156"/>
      <c r="BK30" s="135"/>
      <c r="BL30" s="155"/>
      <c r="BM30" s="135"/>
      <c r="BN30" s="170"/>
      <c r="BO30" s="165"/>
      <c r="BS30" s="156"/>
      <c r="BT30" s="155"/>
      <c r="CA30" s="201"/>
      <c r="CB30" s="155"/>
      <c r="CC30" s="156"/>
      <c r="CD30" s="155"/>
      <c r="CG30" s="135"/>
      <c r="CH30" s="135"/>
      <c r="CI30" s="135"/>
      <c r="CJ30" s="135"/>
      <c r="CK30" s="201"/>
      <c r="CL30" s="155"/>
      <c r="CM30" s="156"/>
      <c r="CN30" s="135"/>
      <c r="CO30" s="155"/>
      <c r="CP30" s="135"/>
      <c r="CQ30" s="135"/>
      <c r="CR30" s="135"/>
      <c r="CS30" s="170"/>
      <c r="CT30" s="165"/>
      <c r="CU30" s="135"/>
      <c r="CV30" s="201"/>
    </row>
    <row r="31" spans="1:100" x14ac:dyDescent="0.25">
      <c r="A31" s="172"/>
      <c r="B31" s="156"/>
      <c r="C31" s="135"/>
      <c r="D31" s="135"/>
      <c r="E31" s="135"/>
      <c r="F31" s="155"/>
      <c r="M31" s="201"/>
      <c r="O31" s="155"/>
      <c r="U31" s="201"/>
      <c r="V31" s="155"/>
      <c r="W31" s="156"/>
      <c r="X31" s="155"/>
      <c r="Y31" s="135"/>
      <c r="Z31" s="135"/>
      <c r="AA31" s="135"/>
      <c r="AB31" s="135"/>
      <c r="AC31" s="135"/>
      <c r="AD31" s="135"/>
      <c r="AE31" s="201"/>
      <c r="AF31" s="155"/>
      <c r="AG31" s="156"/>
      <c r="AH31" s="135"/>
      <c r="AI31" s="164"/>
      <c r="AJ31" s="165"/>
      <c r="AP31" s="201"/>
      <c r="AQ31" s="155"/>
      <c r="AX31" s="201"/>
      <c r="AY31" s="155"/>
      <c r="AZ31" s="156"/>
      <c r="BA31" s="155"/>
      <c r="BB31" s="135"/>
      <c r="BC31" s="135"/>
      <c r="BD31" s="135"/>
      <c r="BE31" s="135"/>
      <c r="BF31" s="135"/>
      <c r="BG31" s="135"/>
      <c r="BH31" s="156"/>
      <c r="BI31" s="155"/>
      <c r="BJ31" s="156"/>
      <c r="BK31" s="135"/>
      <c r="BL31" s="155"/>
      <c r="BM31" s="135"/>
      <c r="BN31" s="170"/>
      <c r="BO31" s="165"/>
      <c r="BS31" s="156"/>
      <c r="BT31" s="155"/>
      <c r="CA31" s="201"/>
      <c r="CB31" s="155"/>
      <c r="CC31" s="156"/>
      <c r="CD31" s="155"/>
      <c r="CG31" s="135"/>
      <c r="CH31" s="135"/>
      <c r="CI31" s="135"/>
      <c r="CJ31" s="135"/>
      <c r="CK31" s="201"/>
      <c r="CL31" s="155"/>
      <c r="CM31" s="156"/>
      <c r="CN31" s="135"/>
      <c r="CO31" s="155"/>
      <c r="CP31" s="135"/>
      <c r="CQ31" s="135"/>
      <c r="CR31" s="135"/>
      <c r="CS31" s="170"/>
      <c r="CT31" s="165"/>
      <c r="CU31" s="135"/>
      <c r="CV31" s="201"/>
    </row>
    <row r="32" spans="1:100" x14ac:dyDescent="0.25">
      <c r="A32" s="172"/>
      <c r="B32" s="156"/>
      <c r="C32" s="135"/>
      <c r="D32" s="135"/>
      <c r="E32" s="135"/>
      <c r="F32" s="155"/>
      <c r="M32" s="201"/>
      <c r="O32" s="155"/>
      <c r="U32" s="201"/>
      <c r="V32" s="155"/>
      <c r="W32" s="156"/>
      <c r="X32" s="155"/>
      <c r="Y32" s="135"/>
      <c r="Z32" s="135"/>
      <c r="AA32" s="135"/>
      <c r="AB32" s="135"/>
      <c r="AC32" s="135"/>
      <c r="AD32" s="135"/>
      <c r="AE32" s="201"/>
      <c r="AF32" s="155"/>
      <c r="AG32" s="156"/>
      <c r="AH32" s="135"/>
      <c r="AI32" s="164"/>
      <c r="AJ32" s="165"/>
      <c r="AP32" s="201"/>
      <c r="AQ32" s="155"/>
      <c r="AX32" s="201"/>
      <c r="AY32" s="155"/>
      <c r="AZ32" s="156"/>
      <c r="BA32" s="155"/>
      <c r="BB32" s="135"/>
      <c r="BC32" s="135"/>
      <c r="BD32" s="135"/>
      <c r="BE32" s="135"/>
      <c r="BF32" s="135"/>
      <c r="BG32" s="135"/>
      <c r="BH32" s="156"/>
      <c r="BI32" s="155"/>
      <c r="BJ32" s="156"/>
      <c r="BK32" s="135"/>
      <c r="BL32" s="155"/>
      <c r="BM32" s="135"/>
      <c r="BN32" s="170"/>
      <c r="BO32" s="165"/>
      <c r="BS32" s="156"/>
      <c r="BT32" s="155"/>
      <c r="CA32" s="201"/>
      <c r="CB32" s="155"/>
      <c r="CC32" s="156"/>
      <c r="CD32" s="155"/>
      <c r="CG32" s="135"/>
      <c r="CH32" s="135"/>
      <c r="CI32" s="135"/>
      <c r="CJ32" s="135"/>
      <c r="CK32" s="201"/>
      <c r="CL32" s="155"/>
      <c r="CM32" s="156"/>
      <c r="CN32" s="135"/>
      <c r="CO32" s="155"/>
      <c r="CP32" s="135"/>
      <c r="CQ32" s="135"/>
      <c r="CR32" s="135"/>
      <c r="CS32" s="170"/>
      <c r="CT32" s="165"/>
      <c r="CU32" s="135"/>
      <c r="CV32" s="201"/>
    </row>
    <row r="33" spans="1:100" x14ac:dyDescent="0.25">
      <c r="A33" s="172"/>
      <c r="B33" s="156"/>
      <c r="C33" s="135"/>
      <c r="D33" s="135"/>
      <c r="E33" s="135"/>
      <c r="F33" s="155"/>
      <c r="M33" s="201"/>
      <c r="O33" s="155"/>
      <c r="U33" s="201"/>
      <c r="V33" s="155"/>
      <c r="W33" s="156"/>
      <c r="X33" s="155"/>
      <c r="Y33" s="135"/>
      <c r="Z33" s="135"/>
      <c r="AA33" s="135"/>
      <c r="AB33" s="135"/>
      <c r="AC33" s="135"/>
      <c r="AD33" s="135"/>
      <c r="AE33" s="201"/>
      <c r="AF33" s="155"/>
      <c r="AG33" s="156"/>
      <c r="AH33" s="135"/>
      <c r="AI33" s="164"/>
      <c r="AJ33" s="165"/>
      <c r="AP33" s="201"/>
      <c r="AQ33" s="155"/>
      <c r="AX33" s="201"/>
      <c r="AY33" s="155"/>
      <c r="AZ33" s="156"/>
      <c r="BA33" s="155"/>
      <c r="BB33" s="135"/>
      <c r="BC33" s="135"/>
      <c r="BD33" s="135"/>
      <c r="BE33" s="135"/>
      <c r="BF33" s="135"/>
      <c r="BG33" s="135"/>
      <c r="BH33" s="156"/>
      <c r="BI33" s="155"/>
      <c r="BJ33" s="156"/>
      <c r="BK33" s="135"/>
      <c r="BL33" s="155"/>
      <c r="BM33" s="135"/>
      <c r="BN33" s="170"/>
      <c r="BO33" s="165"/>
      <c r="BS33" s="156"/>
      <c r="BT33" s="155"/>
      <c r="CA33" s="201"/>
      <c r="CB33" s="155"/>
      <c r="CC33" s="156"/>
      <c r="CD33" s="155"/>
      <c r="CG33" s="135"/>
      <c r="CH33" s="135"/>
      <c r="CI33" s="135"/>
      <c r="CJ33" s="135"/>
      <c r="CK33" s="201"/>
      <c r="CL33" s="155"/>
      <c r="CM33" s="156"/>
      <c r="CN33" s="135"/>
      <c r="CO33" s="155"/>
      <c r="CP33" s="135"/>
      <c r="CQ33" s="135"/>
      <c r="CR33" s="135"/>
      <c r="CS33" s="170"/>
      <c r="CT33" s="165"/>
      <c r="CU33" s="135"/>
      <c r="CV33" s="201"/>
    </row>
    <row r="34" spans="1:100" x14ac:dyDescent="0.25">
      <c r="A34" s="172"/>
      <c r="B34" s="156"/>
      <c r="C34" s="135"/>
      <c r="D34" s="135"/>
      <c r="E34" s="135"/>
      <c r="F34" s="155"/>
      <c r="M34" s="201"/>
      <c r="O34" s="155"/>
      <c r="U34" s="201"/>
      <c r="V34" s="155"/>
      <c r="W34" s="156"/>
      <c r="X34" s="155"/>
      <c r="Y34" s="135"/>
      <c r="Z34" s="135"/>
      <c r="AA34" s="135"/>
      <c r="AB34" s="135"/>
      <c r="AC34" s="135"/>
      <c r="AD34" s="135"/>
      <c r="AE34" s="201"/>
      <c r="AF34" s="155"/>
      <c r="AG34" s="156"/>
      <c r="AH34" s="135"/>
      <c r="AI34" s="164"/>
      <c r="AJ34" s="165"/>
      <c r="AP34" s="201"/>
      <c r="AQ34" s="155"/>
      <c r="AX34" s="201"/>
      <c r="AY34" s="155"/>
      <c r="AZ34" s="156"/>
      <c r="BA34" s="155"/>
      <c r="BB34" s="135"/>
      <c r="BC34" s="135"/>
      <c r="BD34" s="135"/>
      <c r="BE34" s="135"/>
      <c r="BF34" s="135"/>
      <c r="BG34" s="135"/>
      <c r="BH34" s="156"/>
      <c r="BI34" s="155"/>
      <c r="BJ34" s="156"/>
      <c r="BK34" s="135"/>
      <c r="BL34" s="155"/>
      <c r="BM34" s="135"/>
      <c r="BN34" s="170"/>
      <c r="BO34" s="165"/>
      <c r="BS34" s="156"/>
      <c r="BT34" s="155"/>
      <c r="CA34" s="201"/>
      <c r="CB34" s="155"/>
      <c r="CC34" s="156"/>
      <c r="CD34" s="155"/>
      <c r="CG34" s="135"/>
      <c r="CH34" s="135"/>
      <c r="CI34" s="135"/>
      <c r="CJ34" s="135"/>
      <c r="CK34" s="201"/>
      <c r="CL34" s="155"/>
      <c r="CM34" s="156"/>
      <c r="CN34" s="135"/>
      <c r="CO34" s="155"/>
      <c r="CP34" s="135"/>
      <c r="CQ34" s="135"/>
      <c r="CR34" s="135"/>
      <c r="CS34" s="170"/>
      <c r="CT34" s="165"/>
      <c r="CU34" s="135"/>
      <c r="CV34" s="201"/>
    </row>
    <row r="35" spans="1:100" x14ac:dyDescent="0.25">
      <c r="A35" s="172"/>
      <c r="B35" s="156"/>
      <c r="C35" s="135"/>
      <c r="D35" s="135"/>
      <c r="E35" s="135"/>
      <c r="F35" s="155"/>
      <c r="M35" s="201"/>
      <c r="O35" s="155"/>
      <c r="U35" s="201"/>
      <c r="V35" s="155"/>
      <c r="W35" s="156"/>
      <c r="X35" s="155"/>
      <c r="Y35" s="135"/>
      <c r="Z35" s="135"/>
      <c r="AA35" s="135"/>
      <c r="AB35" s="135"/>
      <c r="AC35" s="135"/>
      <c r="AD35" s="135"/>
      <c r="AE35" s="201"/>
      <c r="AF35" s="155"/>
      <c r="AG35" s="156"/>
      <c r="AH35" s="135"/>
      <c r="AI35" s="164"/>
      <c r="AJ35" s="165"/>
      <c r="AP35" s="201"/>
      <c r="AQ35" s="155"/>
      <c r="AX35" s="201"/>
      <c r="AY35" s="155"/>
      <c r="AZ35" s="156"/>
      <c r="BA35" s="155"/>
      <c r="BB35" s="135"/>
      <c r="BC35" s="135"/>
      <c r="BD35" s="135"/>
      <c r="BE35" s="135"/>
      <c r="BF35" s="135"/>
      <c r="BG35" s="135"/>
      <c r="BH35" s="156"/>
      <c r="BI35" s="155"/>
      <c r="BJ35" s="156"/>
      <c r="BK35" s="135"/>
      <c r="BL35" s="155"/>
      <c r="BM35" s="135"/>
      <c r="BN35" s="170"/>
      <c r="BO35" s="165"/>
      <c r="BS35" s="156"/>
      <c r="BT35" s="155"/>
      <c r="CA35" s="201"/>
      <c r="CB35" s="155"/>
      <c r="CC35" s="156"/>
      <c r="CD35" s="155"/>
      <c r="CG35" s="135"/>
      <c r="CH35" s="135"/>
      <c r="CI35" s="135"/>
      <c r="CJ35" s="135"/>
      <c r="CK35" s="201"/>
      <c r="CL35" s="155"/>
      <c r="CM35" s="156"/>
      <c r="CN35" s="135"/>
      <c r="CO35" s="155"/>
      <c r="CP35" s="135"/>
      <c r="CQ35" s="135"/>
      <c r="CR35" s="135"/>
      <c r="CS35" s="170"/>
      <c r="CT35" s="165"/>
      <c r="CU35" s="135"/>
      <c r="CV35" s="201"/>
    </row>
    <row r="36" spans="1:100" x14ac:dyDescent="0.25">
      <c r="A36" s="172"/>
      <c r="B36" s="156"/>
      <c r="F36" s="155"/>
      <c r="M36" s="201"/>
      <c r="O36" s="155"/>
      <c r="U36" s="201"/>
      <c r="V36" s="155"/>
      <c r="W36" s="156"/>
      <c r="X36" s="155"/>
      <c r="Y36" s="135"/>
      <c r="Z36" s="135"/>
      <c r="AA36" s="135"/>
      <c r="AB36" s="135"/>
      <c r="AC36" s="135"/>
      <c r="AD36" s="135"/>
      <c r="AE36" s="201"/>
      <c r="AF36" s="155"/>
      <c r="AG36" s="156"/>
      <c r="AI36" s="164"/>
      <c r="AJ36" s="165"/>
      <c r="AP36" s="201"/>
      <c r="AQ36" s="155"/>
      <c r="AX36" s="201"/>
      <c r="AY36" s="155"/>
      <c r="AZ36" s="156"/>
      <c r="BA36" s="155"/>
      <c r="BB36" s="135"/>
      <c r="BC36" s="135"/>
      <c r="BD36" s="135"/>
      <c r="BE36" s="135"/>
      <c r="BF36" s="135"/>
      <c r="BG36" s="135"/>
      <c r="BH36" s="156"/>
      <c r="BI36" s="155"/>
      <c r="BJ36" s="156"/>
      <c r="BL36" s="155"/>
      <c r="BM36" s="135"/>
      <c r="BN36" s="170"/>
      <c r="BO36" s="165"/>
      <c r="BS36" s="156"/>
      <c r="BT36" s="155"/>
      <c r="CA36" s="201"/>
      <c r="CB36" s="155"/>
      <c r="CC36" s="156"/>
      <c r="CD36" s="155"/>
      <c r="CG36" s="135"/>
      <c r="CH36" s="135"/>
      <c r="CI36" s="135"/>
      <c r="CJ36" s="135"/>
      <c r="CK36" s="201"/>
      <c r="CL36" s="155"/>
      <c r="CM36" s="156"/>
      <c r="CO36" s="155"/>
      <c r="CP36" s="135"/>
      <c r="CQ36" s="135"/>
      <c r="CR36" s="135"/>
      <c r="CS36" s="170"/>
      <c r="CT36" s="165"/>
      <c r="CU36" s="135"/>
      <c r="CV36" s="201"/>
    </row>
    <row r="37" spans="1:100" x14ac:dyDescent="0.25">
      <c r="A37" s="172"/>
      <c r="B37" s="156"/>
      <c r="F37" s="155"/>
      <c r="M37" s="201"/>
      <c r="O37" s="155"/>
      <c r="U37" s="201"/>
      <c r="V37" s="155"/>
      <c r="W37" s="156"/>
      <c r="X37" s="155"/>
      <c r="Y37" s="135"/>
      <c r="Z37" s="135"/>
      <c r="AA37" s="135"/>
      <c r="AB37" s="135"/>
      <c r="AC37" s="135"/>
      <c r="AD37" s="135"/>
      <c r="AE37" s="201"/>
      <c r="AF37" s="155"/>
      <c r="AG37" s="156"/>
      <c r="AI37" s="164"/>
      <c r="AJ37" s="165"/>
      <c r="AP37" s="201"/>
      <c r="AQ37" s="155"/>
      <c r="AX37" s="201"/>
      <c r="AY37" s="155"/>
      <c r="AZ37" s="156"/>
      <c r="BA37" s="155"/>
      <c r="BB37" s="135"/>
      <c r="BC37" s="135"/>
      <c r="BD37" s="135"/>
      <c r="BE37" s="135"/>
      <c r="BF37" s="135"/>
      <c r="BG37" s="135"/>
      <c r="BH37" s="156"/>
      <c r="BI37" s="155"/>
      <c r="BJ37" s="156"/>
      <c r="BL37" s="155"/>
      <c r="BM37" s="135"/>
      <c r="BN37" s="170"/>
      <c r="BO37" s="165"/>
      <c r="BS37" s="156"/>
      <c r="BT37" s="155"/>
      <c r="CA37" s="201"/>
      <c r="CB37" s="155"/>
      <c r="CC37" s="156"/>
      <c r="CD37" s="155"/>
      <c r="CG37" s="135"/>
      <c r="CH37" s="135"/>
      <c r="CI37" s="135"/>
      <c r="CJ37" s="135"/>
      <c r="CK37" s="201"/>
      <c r="CL37" s="155"/>
      <c r="CM37" s="156"/>
      <c r="CO37" s="155"/>
      <c r="CP37" s="135"/>
      <c r="CQ37" s="135"/>
      <c r="CR37" s="135"/>
      <c r="CS37" s="170"/>
      <c r="CT37" s="165"/>
      <c r="CU37" s="135"/>
      <c r="CV37" s="201"/>
    </row>
    <row r="38" spans="1:100" x14ac:dyDescent="0.25">
      <c r="A38" s="172"/>
      <c r="B38" s="156"/>
      <c r="F38" s="155"/>
      <c r="M38" s="201"/>
      <c r="O38" s="155"/>
      <c r="U38" s="201"/>
      <c r="V38" s="155"/>
      <c r="W38" s="156"/>
      <c r="X38" s="155"/>
      <c r="Y38" s="135"/>
      <c r="Z38" s="135"/>
      <c r="AA38" s="135"/>
      <c r="AB38" s="135"/>
      <c r="AC38" s="135"/>
      <c r="AD38" s="135"/>
      <c r="AE38" s="201"/>
      <c r="AF38" s="155"/>
      <c r="AG38" s="156"/>
      <c r="AI38" s="164"/>
      <c r="AJ38" s="165"/>
      <c r="AP38" s="201"/>
      <c r="AQ38" s="155"/>
      <c r="AX38" s="201"/>
      <c r="AY38" s="155"/>
      <c r="AZ38" s="156"/>
      <c r="BA38" s="155"/>
      <c r="BB38" s="135"/>
      <c r="BC38" s="135"/>
      <c r="BD38" s="135"/>
      <c r="BE38" s="135"/>
      <c r="BF38" s="135"/>
      <c r="BG38" s="135"/>
      <c r="BH38" s="156"/>
      <c r="BI38" s="155"/>
      <c r="BJ38" s="156"/>
      <c r="BL38" s="155"/>
      <c r="BM38" s="135"/>
      <c r="BN38" s="170"/>
      <c r="BO38" s="165"/>
      <c r="BS38" s="156"/>
      <c r="BT38" s="155"/>
      <c r="CA38" s="201"/>
      <c r="CB38" s="155"/>
      <c r="CC38" s="156"/>
      <c r="CD38" s="155"/>
      <c r="CG38" s="135"/>
      <c r="CH38" s="135"/>
      <c r="CI38" s="135"/>
      <c r="CJ38" s="135"/>
      <c r="CK38" s="201"/>
      <c r="CL38" s="155"/>
      <c r="CM38" s="156"/>
      <c r="CO38" s="155"/>
      <c r="CP38" s="135"/>
      <c r="CQ38" s="135"/>
      <c r="CR38" s="135"/>
      <c r="CS38" s="170"/>
      <c r="CT38" s="165"/>
      <c r="CU38" s="135"/>
      <c r="CV38" s="201"/>
    </row>
    <row r="39" spans="1:100" x14ac:dyDescent="0.25">
      <c r="A39" s="172"/>
      <c r="B39" s="156"/>
      <c r="F39" s="155"/>
      <c r="M39" s="201"/>
      <c r="O39" s="155"/>
      <c r="U39" s="201"/>
      <c r="V39" s="155"/>
      <c r="W39" s="156"/>
      <c r="X39" s="155"/>
      <c r="Y39" s="135"/>
      <c r="Z39" s="135"/>
      <c r="AA39" s="135"/>
      <c r="AB39" s="135"/>
      <c r="AC39" s="135"/>
      <c r="AD39" s="135"/>
      <c r="AE39" s="201"/>
      <c r="AF39" s="155"/>
      <c r="AG39" s="156"/>
      <c r="AI39" s="164"/>
      <c r="AJ39" s="165"/>
      <c r="AP39" s="201"/>
      <c r="AQ39" s="155"/>
      <c r="AX39" s="201"/>
      <c r="AY39" s="155"/>
      <c r="AZ39" s="156"/>
      <c r="BA39" s="155"/>
      <c r="BB39" s="135"/>
      <c r="BC39" s="135"/>
      <c r="BD39" s="135"/>
      <c r="BE39" s="135"/>
      <c r="BF39" s="135"/>
      <c r="BG39" s="135"/>
      <c r="BH39" s="156"/>
      <c r="BI39" s="155"/>
      <c r="BJ39" s="156"/>
      <c r="BL39" s="155"/>
      <c r="BM39" s="135"/>
      <c r="BN39" s="170"/>
      <c r="BO39" s="165"/>
      <c r="BS39" s="156"/>
      <c r="BT39" s="155"/>
      <c r="CA39" s="201"/>
      <c r="CB39" s="155"/>
      <c r="CC39" s="156"/>
      <c r="CD39" s="155"/>
      <c r="CG39" s="135"/>
      <c r="CH39" s="135"/>
      <c r="CI39" s="135"/>
      <c r="CJ39" s="135"/>
      <c r="CK39" s="201"/>
      <c r="CL39" s="155"/>
      <c r="CM39" s="156"/>
      <c r="CO39" s="155"/>
      <c r="CP39" s="135"/>
      <c r="CQ39" s="135"/>
      <c r="CR39" s="135"/>
      <c r="CS39" s="170"/>
      <c r="CT39" s="165"/>
      <c r="CU39" s="135"/>
      <c r="CV39" s="201"/>
    </row>
    <row r="40" spans="1:100" x14ac:dyDescent="0.25">
      <c r="A40" s="172"/>
      <c r="B40" s="156"/>
      <c r="F40" s="155"/>
      <c r="M40" s="201"/>
      <c r="O40" s="155"/>
      <c r="U40" s="201"/>
      <c r="V40" s="155"/>
      <c r="W40" s="156"/>
      <c r="X40" s="155"/>
      <c r="Y40" s="135"/>
      <c r="Z40" s="135"/>
      <c r="AA40" s="135"/>
      <c r="AB40" s="135"/>
      <c r="AC40" s="135"/>
      <c r="AD40" s="135"/>
      <c r="AE40" s="201"/>
      <c r="AF40" s="155"/>
      <c r="AG40" s="156"/>
      <c r="AI40" s="164"/>
      <c r="AJ40" s="165"/>
      <c r="AP40" s="201"/>
      <c r="AQ40" s="155"/>
      <c r="AX40" s="201"/>
      <c r="AY40" s="155"/>
      <c r="AZ40" s="156"/>
      <c r="BA40" s="155"/>
      <c r="BB40" s="135"/>
      <c r="BC40" s="135"/>
      <c r="BD40" s="135"/>
      <c r="BE40" s="135"/>
      <c r="BF40" s="135"/>
      <c r="BG40" s="135"/>
      <c r="BH40" s="156"/>
      <c r="BI40" s="155"/>
      <c r="BJ40" s="156"/>
      <c r="BL40" s="155"/>
      <c r="BM40" s="135"/>
      <c r="BN40" s="170"/>
      <c r="BO40" s="165"/>
      <c r="BS40" s="156"/>
      <c r="BT40" s="155"/>
      <c r="CA40" s="201"/>
      <c r="CB40" s="155"/>
      <c r="CC40" s="156"/>
      <c r="CD40" s="155"/>
      <c r="CG40" s="135"/>
      <c r="CH40" s="135"/>
      <c r="CI40" s="135"/>
      <c r="CJ40" s="135"/>
      <c r="CK40" s="201"/>
      <c r="CL40" s="155"/>
      <c r="CM40" s="156"/>
      <c r="CO40" s="155"/>
      <c r="CP40" s="135"/>
      <c r="CQ40" s="135"/>
      <c r="CR40" s="135"/>
      <c r="CS40" s="170"/>
      <c r="CT40" s="165"/>
      <c r="CU40" s="135"/>
      <c r="CV40" s="201"/>
    </row>
    <row r="41" spans="1:100" x14ac:dyDescent="0.25">
      <c r="A41" s="172"/>
      <c r="B41" s="156"/>
      <c r="F41" s="155"/>
      <c r="M41" s="201"/>
      <c r="O41" s="155"/>
      <c r="U41" s="201"/>
      <c r="V41" s="155"/>
      <c r="W41" s="156"/>
      <c r="X41" s="155"/>
      <c r="Y41" s="135"/>
      <c r="Z41" s="135"/>
      <c r="AA41" s="135"/>
      <c r="AB41" s="135"/>
      <c r="AC41" s="135"/>
      <c r="AD41" s="135"/>
      <c r="AE41" s="201"/>
      <c r="AF41" s="155"/>
      <c r="AG41" s="156"/>
      <c r="AI41" s="164"/>
      <c r="AJ41" s="165"/>
      <c r="AP41" s="201"/>
      <c r="AQ41" s="155"/>
      <c r="AX41" s="201"/>
      <c r="AY41" s="155"/>
      <c r="AZ41" s="156"/>
      <c r="BA41" s="155"/>
      <c r="BB41" s="135"/>
      <c r="BC41" s="135"/>
      <c r="BD41" s="135"/>
      <c r="BE41" s="135"/>
      <c r="BF41" s="135"/>
      <c r="BG41" s="135"/>
      <c r="BH41" s="156"/>
      <c r="BI41" s="155"/>
      <c r="BJ41" s="156"/>
      <c r="BL41" s="155"/>
      <c r="BM41" s="135"/>
      <c r="BN41" s="170"/>
      <c r="BO41" s="165"/>
      <c r="BS41" s="156"/>
      <c r="BT41" s="155"/>
      <c r="CA41" s="201"/>
      <c r="CB41" s="155"/>
      <c r="CC41" s="156"/>
      <c r="CD41" s="155"/>
      <c r="CG41" s="135"/>
      <c r="CH41" s="135"/>
      <c r="CI41" s="135"/>
      <c r="CJ41" s="135"/>
      <c r="CK41" s="201"/>
      <c r="CL41" s="155"/>
      <c r="CM41" s="156"/>
      <c r="CO41" s="155"/>
      <c r="CP41" s="135"/>
      <c r="CQ41" s="135"/>
      <c r="CR41" s="135"/>
      <c r="CS41" s="170"/>
      <c r="CT41" s="165"/>
      <c r="CU41" s="135"/>
      <c r="CV41" s="201"/>
    </row>
    <row r="42" spans="1:100" x14ac:dyDescent="0.25">
      <c r="A42" s="172"/>
      <c r="B42" s="156"/>
      <c r="F42" s="155"/>
      <c r="M42" s="201"/>
      <c r="O42" s="155"/>
      <c r="U42" s="201"/>
      <c r="V42" s="155"/>
      <c r="W42" s="156"/>
      <c r="X42" s="155"/>
      <c r="Y42" s="135"/>
      <c r="Z42" s="135"/>
      <c r="AA42" s="135"/>
      <c r="AB42" s="135"/>
      <c r="AC42" s="135"/>
      <c r="AD42" s="135"/>
      <c r="AE42" s="201"/>
      <c r="AF42" s="155"/>
      <c r="AG42" s="156"/>
      <c r="AI42" s="164"/>
      <c r="AJ42" s="165"/>
      <c r="AP42" s="201"/>
      <c r="AQ42" s="155"/>
      <c r="AX42" s="201"/>
      <c r="AY42" s="155"/>
      <c r="AZ42" s="156"/>
      <c r="BA42" s="155"/>
      <c r="BB42" s="135"/>
      <c r="BC42" s="135"/>
      <c r="BD42" s="135"/>
      <c r="BE42" s="135"/>
      <c r="BF42" s="135"/>
      <c r="BG42" s="135"/>
      <c r="BH42" s="156"/>
      <c r="BI42" s="155"/>
      <c r="BJ42" s="156"/>
      <c r="BL42" s="155"/>
      <c r="BM42" s="135"/>
      <c r="BN42" s="170"/>
      <c r="BO42" s="165"/>
      <c r="BS42" s="156"/>
      <c r="BT42" s="155"/>
      <c r="CA42" s="201"/>
      <c r="CB42" s="155"/>
      <c r="CC42" s="156"/>
      <c r="CD42" s="155"/>
      <c r="CG42" s="135"/>
      <c r="CH42" s="135"/>
      <c r="CI42" s="135"/>
      <c r="CJ42" s="135"/>
      <c r="CK42" s="201"/>
      <c r="CL42" s="155"/>
      <c r="CM42" s="156"/>
      <c r="CO42" s="155"/>
      <c r="CP42" s="135"/>
      <c r="CQ42" s="135"/>
      <c r="CR42" s="135"/>
      <c r="CS42" s="170"/>
      <c r="CT42" s="165"/>
      <c r="CU42" s="135"/>
      <c r="CV42" s="201"/>
    </row>
    <row r="43" spans="1:100" x14ac:dyDescent="0.25">
      <c r="A43" s="172"/>
      <c r="B43" s="156"/>
      <c r="F43" s="155"/>
      <c r="M43" s="201"/>
      <c r="O43" s="155"/>
      <c r="U43" s="201"/>
      <c r="V43" s="155"/>
      <c r="W43" s="156"/>
      <c r="X43" s="155"/>
      <c r="Y43" s="135"/>
      <c r="Z43" s="135"/>
      <c r="AA43" s="135"/>
      <c r="AB43" s="135"/>
      <c r="AC43" s="135"/>
      <c r="AD43" s="135"/>
      <c r="AE43" s="201"/>
      <c r="AF43" s="155"/>
      <c r="AG43" s="156"/>
      <c r="AI43" s="164"/>
      <c r="AJ43" s="165"/>
      <c r="AP43" s="201"/>
      <c r="AQ43" s="155"/>
      <c r="AX43" s="201"/>
      <c r="AY43" s="155"/>
      <c r="AZ43" s="156"/>
      <c r="BA43" s="155"/>
      <c r="BB43" s="135"/>
      <c r="BC43" s="135"/>
      <c r="BD43" s="135"/>
      <c r="BE43" s="135"/>
      <c r="BF43" s="135"/>
      <c r="BG43" s="135"/>
      <c r="BH43" s="156"/>
      <c r="BI43" s="155"/>
      <c r="BJ43" s="156"/>
      <c r="BL43" s="155"/>
      <c r="BM43" s="135"/>
      <c r="BN43" s="170"/>
      <c r="BO43" s="165"/>
      <c r="BS43" s="156"/>
      <c r="BT43" s="155"/>
      <c r="CA43" s="201"/>
      <c r="CB43" s="155"/>
      <c r="CC43" s="156"/>
      <c r="CD43" s="155"/>
      <c r="CG43" s="135"/>
      <c r="CH43" s="135"/>
      <c r="CI43" s="135"/>
      <c r="CJ43" s="135"/>
      <c r="CK43" s="201"/>
      <c r="CL43" s="155"/>
      <c r="CM43" s="156"/>
      <c r="CO43" s="155"/>
      <c r="CP43" s="135"/>
      <c r="CQ43" s="135"/>
      <c r="CR43" s="135"/>
      <c r="CS43" s="170"/>
      <c r="CT43" s="165"/>
      <c r="CU43" s="135"/>
      <c r="CV43" s="201"/>
    </row>
    <row r="44" spans="1:100" x14ac:dyDescent="0.25">
      <c r="A44" s="172"/>
      <c r="B44" s="156"/>
      <c r="F44" s="155"/>
      <c r="M44" s="201"/>
      <c r="O44" s="155"/>
      <c r="U44" s="201"/>
      <c r="V44" s="155"/>
      <c r="W44" s="156"/>
      <c r="X44" s="155"/>
      <c r="Y44" s="135"/>
      <c r="Z44" s="135"/>
      <c r="AA44" s="135"/>
      <c r="AB44" s="135"/>
      <c r="AC44" s="135"/>
      <c r="AD44" s="135"/>
      <c r="AE44" s="201"/>
      <c r="AF44" s="155"/>
      <c r="AG44" s="156"/>
      <c r="AI44" s="164"/>
      <c r="AJ44" s="165"/>
      <c r="AP44" s="201"/>
      <c r="AQ44" s="155"/>
      <c r="AX44" s="201"/>
      <c r="AY44" s="155"/>
      <c r="AZ44" s="156"/>
      <c r="BA44" s="155"/>
      <c r="BB44" s="135"/>
      <c r="BC44" s="135"/>
      <c r="BD44" s="135"/>
      <c r="BE44" s="135"/>
      <c r="BF44" s="135"/>
      <c r="BG44" s="135"/>
      <c r="BH44" s="156"/>
      <c r="BI44" s="155"/>
      <c r="BJ44" s="156"/>
      <c r="BL44" s="155"/>
      <c r="BM44" s="135"/>
      <c r="BN44" s="170"/>
      <c r="BO44" s="165"/>
      <c r="BS44" s="156"/>
      <c r="BT44" s="155"/>
      <c r="CA44" s="201"/>
      <c r="CB44" s="155"/>
      <c r="CC44" s="156"/>
      <c r="CD44" s="155"/>
      <c r="CG44" s="135"/>
      <c r="CH44" s="135"/>
      <c r="CI44" s="135"/>
      <c r="CJ44" s="135"/>
      <c r="CK44" s="201"/>
      <c r="CL44" s="155"/>
      <c r="CM44" s="156"/>
      <c r="CO44" s="155"/>
      <c r="CP44" s="135"/>
      <c r="CQ44" s="135"/>
      <c r="CR44" s="135"/>
      <c r="CS44" s="170"/>
      <c r="CT44" s="165"/>
      <c r="CU44" s="135"/>
      <c r="CV44" s="201"/>
    </row>
    <row r="45" spans="1:100" x14ac:dyDescent="0.25">
      <c r="A45" s="172"/>
      <c r="B45" s="156"/>
      <c r="F45" s="155"/>
      <c r="M45" s="201"/>
      <c r="O45" s="155"/>
      <c r="U45" s="201"/>
      <c r="V45" s="155"/>
      <c r="W45" s="156"/>
      <c r="X45" s="155"/>
      <c r="Y45" s="135"/>
      <c r="Z45" s="135"/>
      <c r="AA45" s="135"/>
      <c r="AB45" s="135"/>
      <c r="AC45" s="135"/>
      <c r="AD45" s="135"/>
      <c r="AE45" s="201"/>
      <c r="AF45" s="155"/>
      <c r="AG45" s="156"/>
      <c r="AI45" s="164"/>
      <c r="AJ45" s="165"/>
      <c r="AP45" s="201"/>
      <c r="AQ45" s="155"/>
      <c r="AX45" s="201"/>
      <c r="AY45" s="155"/>
      <c r="AZ45" s="156"/>
      <c r="BA45" s="155"/>
      <c r="BB45" s="135"/>
      <c r="BC45" s="135"/>
      <c r="BD45" s="135"/>
      <c r="BE45" s="135"/>
      <c r="BF45" s="135"/>
      <c r="BG45" s="135"/>
      <c r="BH45" s="156"/>
      <c r="BI45" s="155"/>
      <c r="BJ45" s="156"/>
      <c r="BL45" s="155"/>
      <c r="BM45" s="135"/>
      <c r="BN45" s="170"/>
      <c r="BO45" s="165"/>
      <c r="BS45" s="156"/>
      <c r="BT45" s="155"/>
      <c r="CA45" s="201"/>
      <c r="CB45" s="155"/>
      <c r="CC45" s="156"/>
      <c r="CD45" s="155"/>
      <c r="CG45" s="135"/>
      <c r="CH45" s="135"/>
      <c r="CI45" s="135"/>
      <c r="CJ45" s="135"/>
      <c r="CK45" s="201"/>
      <c r="CL45" s="155"/>
      <c r="CM45" s="156"/>
      <c r="CO45" s="155"/>
      <c r="CP45" s="135"/>
      <c r="CQ45" s="135"/>
      <c r="CR45" s="135"/>
      <c r="CS45" s="170"/>
      <c r="CT45" s="165"/>
      <c r="CU45" s="135"/>
      <c r="CV45" s="201"/>
    </row>
    <row r="46" spans="1:100" x14ac:dyDescent="0.25">
      <c r="A46" s="172"/>
      <c r="B46" s="156"/>
      <c r="F46" s="155"/>
      <c r="M46" s="201"/>
      <c r="O46" s="155"/>
      <c r="U46" s="201"/>
      <c r="V46" s="155"/>
      <c r="W46" s="156"/>
      <c r="X46" s="155"/>
      <c r="Y46" s="135"/>
      <c r="Z46" s="135"/>
      <c r="AA46" s="135"/>
      <c r="AB46" s="135"/>
      <c r="AC46" s="135"/>
      <c r="AD46" s="135"/>
      <c r="AE46" s="201"/>
      <c r="AF46" s="155"/>
      <c r="AG46" s="156"/>
      <c r="AI46" s="164"/>
      <c r="AJ46" s="165"/>
      <c r="AP46" s="201"/>
      <c r="AQ46" s="155"/>
      <c r="AX46" s="201"/>
      <c r="AY46" s="155"/>
      <c r="AZ46" s="156"/>
      <c r="BA46" s="155"/>
      <c r="BB46" s="135"/>
      <c r="BC46" s="135"/>
      <c r="BD46" s="135"/>
      <c r="BE46" s="135"/>
      <c r="BF46" s="135"/>
      <c r="BG46" s="135"/>
      <c r="BH46" s="156"/>
      <c r="BI46" s="155"/>
      <c r="BJ46" s="156"/>
      <c r="BL46" s="155"/>
      <c r="BM46" s="135"/>
      <c r="BN46" s="170"/>
      <c r="BO46" s="165"/>
      <c r="BS46" s="156"/>
      <c r="BT46" s="155"/>
      <c r="CA46" s="201"/>
      <c r="CB46" s="155"/>
      <c r="CC46" s="156"/>
      <c r="CD46" s="155"/>
      <c r="CG46" s="135"/>
      <c r="CH46" s="135"/>
      <c r="CI46" s="135"/>
      <c r="CJ46" s="135"/>
      <c r="CK46" s="201"/>
      <c r="CL46" s="155"/>
      <c r="CM46" s="156"/>
      <c r="CO46" s="155"/>
      <c r="CP46" s="135"/>
      <c r="CQ46" s="135"/>
      <c r="CR46" s="135"/>
      <c r="CS46" s="170"/>
      <c r="CT46" s="165"/>
      <c r="CU46" s="135"/>
      <c r="CV46" s="201"/>
    </row>
    <row r="47" spans="1:100" x14ac:dyDescent="0.25">
      <c r="A47" s="172"/>
      <c r="B47" s="156"/>
      <c r="F47" s="155"/>
      <c r="M47" s="201"/>
      <c r="O47" s="155"/>
      <c r="U47" s="201"/>
      <c r="V47" s="155"/>
      <c r="W47" s="156"/>
      <c r="X47" s="155"/>
      <c r="Y47" s="135"/>
      <c r="Z47" s="135"/>
      <c r="AA47" s="135"/>
      <c r="AB47" s="135"/>
      <c r="AC47" s="135"/>
      <c r="AD47" s="135"/>
      <c r="AE47" s="201"/>
      <c r="AF47" s="155"/>
      <c r="AG47" s="156"/>
      <c r="AI47" s="164"/>
      <c r="AJ47" s="165"/>
      <c r="AP47" s="201"/>
      <c r="AQ47" s="155"/>
      <c r="AX47" s="201"/>
      <c r="AY47" s="155"/>
      <c r="AZ47" s="156"/>
      <c r="BA47" s="155"/>
      <c r="BB47" s="135"/>
      <c r="BC47" s="135"/>
      <c r="BD47" s="135"/>
      <c r="BE47" s="135"/>
      <c r="BF47" s="135"/>
      <c r="BG47" s="135"/>
      <c r="BH47" s="156"/>
      <c r="BI47" s="155"/>
      <c r="BJ47" s="156"/>
      <c r="BL47" s="155"/>
      <c r="BM47" s="135"/>
      <c r="BN47" s="170"/>
      <c r="BO47" s="165"/>
      <c r="BS47" s="156"/>
      <c r="BT47" s="155"/>
      <c r="CA47" s="201"/>
      <c r="CB47" s="155"/>
      <c r="CC47" s="156"/>
      <c r="CD47" s="155"/>
      <c r="CG47" s="135"/>
      <c r="CH47" s="135"/>
      <c r="CI47" s="135"/>
      <c r="CJ47" s="135"/>
      <c r="CK47" s="201"/>
      <c r="CL47" s="155"/>
      <c r="CM47" s="156"/>
      <c r="CO47" s="155"/>
      <c r="CP47" s="135"/>
      <c r="CQ47" s="135"/>
      <c r="CR47" s="135"/>
      <c r="CS47" s="170"/>
      <c r="CT47" s="165"/>
      <c r="CU47" s="135"/>
      <c r="CV47" s="201"/>
    </row>
    <row r="48" spans="1:100" x14ac:dyDescent="0.25">
      <c r="A48" s="172"/>
      <c r="B48" s="156"/>
      <c r="F48" s="155"/>
      <c r="M48" s="201"/>
      <c r="O48" s="155"/>
      <c r="U48" s="201"/>
      <c r="V48" s="155"/>
      <c r="W48" s="156"/>
      <c r="X48" s="155"/>
      <c r="Y48" s="135"/>
      <c r="Z48" s="135"/>
      <c r="AA48" s="135"/>
      <c r="AB48" s="135"/>
      <c r="AC48" s="135"/>
      <c r="AD48" s="135"/>
      <c r="AE48" s="201"/>
      <c r="AF48" s="155"/>
      <c r="AG48" s="156"/>
      <c r="AI48" s="164"/>
      <c r="AJ48" s="165"/>
      <c r="AP48" s="201"/>
      <c r="AQ48" s="155"/>
      <c r="AX48" s="201"/>
      <c r="AY48" s="155"/>
      <c r="AZ48" s="156"/>
      <c r="BA48" s="155"/>
      <c r="BB48" s="135"/>
      <c r="BC48" s="135"/>
      <c r="BD48" s="135"/>
      <c r="BE48" s="135"/>
      <c r="BF48" s="135"/>
      <c r="BG48" s="135"/>
      <c r="BH48" s="156"/>
      <c r="BI48" s="155"/>
      <c r="BJ48" s="156"/>
      <c r="BL48" s="155"/>
      <c r="BM48" s="135"/>
      <c r="BN48" s="170"/>
      <c r="BO48" s="165"/>
      <c r="BS48" s="156"/>
      <c r="BT48" s="155"/>
      <c r="CA48" s="201"/>
      <c r="CB48" s="155"/>
      <c r="CC48" s="156"/>
      <c r="CD48" s="155"/>
      <c r="CG48" s="135"/>
      <c r="CH48" s="135"/>
      <c r="CI48" s="135"/>
      <c r="CJ48" s="135"/>
      <c r="CK48" s="201"/>
      <c r="CL48" s="155"/>
      <c r="CM48" s="156"/>
      <c r="CO48" s="155"/>
      <c r="CP48" s="135"/>
      <c r="CQ48" s="135"/>
      <c r="CR48" s="135"/>
      <c r="CS48" s="170"/>
      <c r="CT48" s="165"/>
      <c r="CU48" s="135"/>
      <c r="CV48" s="201"/>
    </row>
    <row r="49" spans="1:100" x14ac:dyDescent="0.25">
      <c r="A49" s="172"/>
      <c r="B49" s="156"/>
      <c r="F49" s="155"/>
      <c r="M49" s="201"/>
      <c r="O49" s="155"/>
      <c r="U49" s="201"/>
      <c r="V49" s="155"/>
      <c r="W49" s="156"/>
      <c r="X49" s="155"/>
      <c r="Y49" s="135"/>
      <c r="Z49" s="135"/>
      <c r="AA49" s="135"/>
      <c r="AB49" s="135"/>
      <c r="AC49" s="135"/>
      <c r="AD49" s="135"/>
      <c r="AE49" s="201"/>
      <c r="AF49" s="155"/>
      <c r="AG49" s="156"/>
      <c r="AI49" s="164"/>
      <c r="AJ49" s="165"/>
      <c r="AP49" s="201"/>
      <c r="AQ49" s="155"/>
      <c r="AX49" s="201"/>
      <c r="AY49" s="155"/>
      <c r="AZ49" s="156"/>
      <c r="BA49" s="155"/>
      <c r="BB49" s="135"/>
      <c r="BC49" s="135"/>
      <c r="BD49" s="135"/>
      <c r="BE49" s="135"/>
      <c r="BF49" s="135"/>
      <c r="BG49" s="135"/>
      <c r="BH49" s="156"/>
      <c r="BI49" s="155"/>
      <c r="BJ49" s="156"/>
      <c r="BL49" s="155"/>
      <c r="BM49" s="135"/>
      <c r="BN49" s="170"/>
      <c r="BO49" s="165"/>
      <c r="BS49" s="156"/>
      <c r="BT49" s="155"/>
      <c r="CA49" s="201"/>
      <c r="CB49" s="155"/>
      <c r="CC49" s="156"/>
      <c r="CD49" s="155"/>
      <c r="CG49" s="135"/>
      <c r="CH49" s="135"/>
      <c r="CI49" s="135"/>
      <c r="CJ49" s="135"/>
      <c r="CK49" s="201"/>
      <c r="CL49" s="155"/>
      <c r="CM49" s="156"/>
      <c r="CO49" s="155"/>
      <c r="CP49" s="135"/>
      <c r="CQ49" s="135"/>
      <c r="CR49" s="135"/>
      <c r="CS49" s="170"/>
      <c r="CT49" s="165"/>
      <c r="CU49" s="135"/>
      <c r="CV49" s="201"/>
    </row>
    <row r="50" spans="1:100" x14ac:dyDescent="0.25">
      <c r="A50" s="172"/>
      <c r="B50" s="156"/>
      <c r="F50" s="155"/>
      <c r="M50" s="201"/>
      <c r="O50" s="155"/>
      <c r="U50" s="201"/>
      <c r="V50" s="155"/>
      <c r="W50" s="156"/>
      <c r="X50" s="155"/>
      <c r="Y50" s="135"/>
      <c r="Z50" s="135"/>
      <c r="AA50" s="135"/>
      <c r="AB50" s="135"/>
      <c r="AC50" s="135"/>
      <c r="AD50" s="135"/>
      <c r="AE50" s="201"/>
      <c r="AF50" s="155"/>
      <c r="AG50" s="156"/>
      <c r="AI50" s="164"/>
      <c r="AJ50" s="165"/>
      <c r="AP50" s="201"/>
      <c r="AQ50" s="155"/>
      <c r="AX50" s="201"/>
      <c r="AY50" s="155"/>
      <c r="AZ50" s="156"/>
      <c r="BA50" s="155"/>
      <c r="BB50" s="135"/>
      <c r="BC50" s="135"/>
      <c r="BD50" s="135"/>
      <c r="BE50" s="135"/>
      <c r="BF50" s="135"/>
      <c r="BG50" s="135"/>
      <c r="BH50" s="156"/>
      <c r="BI50" s="155"/>
      <c r="BJ50" s="156"/>
      <c r="BL50" s="155"/>
      <c r="BM50" s="135"/>
      <c r="BN50" s="170"/>
      <c r="BO50" s="165"/>
      <c r="BS50" s="156"/>
      <c r="BT50" s="155"/>
      <c r="CA50" s="201"/>
      <c r="CB50" s="155"/>
      <c r="CC50" s="156"/>
      <c r="CD50" s="155"/>
      <c r="CG50" s="135"/>
      <c r="CH50" s="135"/>
      <c r="CI50" s="135"/>
      <c r="CJ50" s="135"/>
      <c r="CK50" s="201"/>
      <c r="CL50" s="155"/>
      <c r="CM50" s="156"/>
      <c r="CO50" s="155"/>
      <c r="CP50" s="135"/>
      <c r="CQ50" s="135"/>
      <c r="CR50" s="135"/>
      <c r="CS50" s="170"/>
      <c r="CT50" s="165"/>
      <c r="CU50" s="135"/>
      <c r="CV50" s="201"/>
    </row>
    <row r="51" spans="1:100" x14ac:dyDescent="0.25">
      <c r="A51" s="172"/>
      <c r="B51" s="156"/>
      <c r="F51" s="155"/>
      <c r="M51" s="201"/>
      <c r="O51" s="155"/>
      <c r="U51" s="201"/>
      <c r="V51" s="155"/>
      <c r="W51" s="156"/>
      <c r="X51" s="155"/>
      <c r="Y51" s="135"/>
      <c r="Z51" s="135"/>
      <c r="AA51" s="135"/>
      <c r="AB51" s="135"/>
      <c r="AC51" s="135"/>
      <c r="AD51" s="135"/>
      <c r="AE51" s="201"/>
      <c r="AF51" s="155"/>
      <c r="AG51" s="156"/>
      <c r="AI51" s="164"/>
      <c r="AJ51" s="165"/>
      <c r="AP51" s="201"/>
      <c r="AQ51" s="155"/>
      <c r="AX51" s="201"/>
      <c r="AY51" s="155"/>
      <c r="AZ51" s="156"/>
      <c r="BA51" s="155"/>
      <c r="BB51" s="135"/>
      <c r="BC51" s="135"/>
      <c r="BD51" s="135"/>
      <c r="BE51" s="135"/>
      <c r="BF51" s="135"/>
      <c r="BG51" s="135"/>
      <c r="BH51" s="156"/>
      <c r="BI51" s="155"/>
      <c r="BJ51" s="156"/>
      <c r="BL51" s="155"/>
      <c r="BM51" s="135"/>
      <c r="BN51" s="170"/>
      <c r="BO51" s="165"/>
      <c r="BS51" s="156"/>
      <c r="BT51" s="155"/>
      <c r="CA51" s="201"/>
      <c r="CB51" s="155"/>
      <c r="CC51" s="156"/>
      <c r="CD51" s="155"/>
      <c r="CG51" s="135"/>
      <c r="CH51" s="135"/>
      <c r="CI51" s="135"/>
      <c r="CJ51" s="135"/>
      <c r="CK51" s="201"/>
      <c r="CL51" s="155"/>
      <c r="CM51" s="156"/>
      <c r="CO51" s="155"/>
      <c r="CP51" s="135"/>
      <c r="CQ51" s="135"/>
      <c r="CR51" s="135"/>
      <c r="CS51" s="170"/>
      <c r="CT51" s="165"/>
      <c r="CU51" s="135"/>
      <c r="CV51" s="201"/>
    </row>
    <row r="52" spans="1:100" x14ac:dyDescent="0.25">
      <c r="A52" s="172"/>
      <c r="B52" s="156"/>
      <c r="F52" s="155"/>
      <c r="M52" s="201"/>
      <c r="O52" s="155"/>
      <c r="U52" s="201"/>
      <c r="V52" s="155"/>
      <c r="W52" s="156"/>
      <c r="X52" s="155"/>
      <c r="Y52" s="135"/>
      <c r="Z52" s="135"/>
      <c r="AA52" s="135"/>
      <c r="AB52" s="135"/>
      <c r="AC52" s="135"/>
      <c r="AD52" s="135"/>
      <c r="AE52" s="201"/>
      <c r="AF52" s="155"/>
      <c r="AG52" s="156"/>
      <c r="AI52" s="164"/>
      <c r="AJ52" s="165"/>
      <c r="AP52" s="201"/>
      <c r="AQ52" s="155"/>
      <c r="AX52" s="201"/>
      <c r="AY52" s="155"/>
      <c r="AZ52" s="156"/>
      <c r="BA52" s="155"/>
      <c r="BB52" s="135"/>
      <c r="BC52" s="135"/>
      <c r="BD52" s="135"/>
      <c r="BE52" s="135"/>
      <c r="BF52" s="135"/>
      <c r="BG52" s="135"/>
      <c r="BH52" s="156"/>
      <c r="BI52" s="155"/>
      <c r="BJ52" s="156"/>
      <c r="BL52" s="155"/>
      <c r="BM52" s="135"/>
      <c r="BN52" s="170"/>
      <c r="BO52" s="165"/>
      <c r="BS52" s="156"/>
      <c r="BT52" s="155"/>
      <c r="CA52" s="201"/>
      <c r="CB52" s="155"/>
      <c r="CC52" s="156"/>
      <c r="CD52" s="155"/>
      <c r="CG52" s="135"/>
      <c r="CH52" s="135"/>
      <c r="CI52" s="135"/>
      <c r="CJ52" s="135"/>
      <c r="CK52" s="201"/>
      <c r="CL52" s="155"/>
      <c r="CM52" s="156"/>
      <c r="CO52" s="155"/>
      <c r="CP52" s="135"/>
      <c r="CQ52" s="135"/>
      <c r="CR52" s="135"/>
      <c r="CS52" s="170"/>
      <c r="CT52" s="165"/>
      <c r="CU52" s="135"/>
      <c r="CV52" s="201"/>
    </row>
    <row r="53" spans="1:100" x14ac:dyDescent="0.25">
      <c r="A53" s="172"/>
      <c r="B53" s="156"/>
      <c r="F53" s="155"/>
      <c r="M53" s="201"/>
      <c r="O53" s="155"/>
      <c r="U53" s="201"/>
      <c r="V53" s="155"/>
      <c r="W53" s="156"/>
      <c r="X53" s="155"/>
      <c r="Y53" s="135"/>
      <c r="Z53" s="135"/>
      <c r="AA53" s="135"/>
      <c r="AB53" s="135"/>
      <c r="AC53" s="135"/>
      <c r="AD53" s="135"/>
      <c r="AE53" s="201"/>
      <c r="AF53" s="155"/>
      <c r="AG53" s="156"/>
      <c r="AI53" s="164"/>
      <c r="AJ53" s="165"/>
      <c r="AP53" s="201"/>
      <c r="AQ53" s="155"/>
      <c r="AX53" s="201"/>
      <c r="AY53" s="155"/>
      <c r="AZ53" s="156"/>
      <c r="BA53" s="155"/>
      <c r="BB53" s="135"/>
      <c r="BC53" s="135"/>
      <c r="BD53" s="135"/>
      <c r="BE53" s="135"/>
      <c r="BF53" s="135"/>
      <c r="BG53" s="135"/>
      <c r="BH53" s="156"/>
      <c r="BI53" s="155"/>
      <c r="BJ53" s="156"/>
      <c r="BL53" s="155"/>
      <c r="BM53" s="135"/>
      <c r="BN53" s="170"/>
      <c r="BO53" s="165"/>
      <c r="BS53" s="156"/>
      <c r="BT53" s="155"/>
      <c r="CA53" s="201"/>
      <c r="CB53" s="155"/>
      <c r="CC53" s="156"/>
      <c r="CD53" s="155"/>
      <c r="CG53" s="135"/>
      <c r="CH53" s="135"/>
      <c r="CI53" s="135"/>
      <c r="CJ53" s="135"/>
      <c r="CK53" s="201"/>
      <c r="CL53" s="155"/>
      <c r="CM53" s="156"/>
      <c r="CO53" s="155"/>
      <c r="CP53" s="135"/>
      <c r="CQ53" s="135"/>
      <c r="CR53" s="135"/>
      <c r="CS53" s="170"/>
      <c r="CT53" s="165"/>
      <c r="CU53" s="135"/>
      <c r="CV53" s="201"/>
    </row>
    <row r="54" spans="1:100" x14ac:dyDescent="0.25">
      <c r="A54" s="172"/>
      <c r="B54" s="156"/>
      <c r="F54" s="155"/>
      <c r="M54" s="201"/>
      <c r="O54" s="155"/>
      <c r="U54" s="201"/>
      <c r="V54" s="155"/>
      <c r="W54" s="156"/>
      <c r="X54" s="155"/>
      <c r="Y54" s="135"/>
      <c r="Z54" s="135"/>
      <c r="AA54" s="135"/>
      <c r="AB54" s="135"/>
      <c r="AC54" s="135"/>
      <c r="AD54" s="135"/>
      <c r="AE54" s="201"/>
      <c r="AF54" s="155"/>
      <c r="AG54" s="156"/>
      <c r="AI54" s="164"/>
      <c r="AJ54" s="165"/>
      <c r="AP54" s="201"/>
      <c r="AQ54" s="155"/>
      <c r="AX54" s="201"/>
      <c r="AY54" s="155"/>
      <c r="AZ54" s="156"/>
      <c r="BA54" s="155"/>
      <c r="BB54" s="135"/>
      <c r="BC54" s="135"/>
      <c r="BD54" s="135"/>
      <c r="BE54" s="135"/>
      <c r="BF54" s="135"/>
      <c r="BG54" s="135"/>
      <c r="BH54" s="156"/>
      <c r="BI54" s="155"/>
      <c r="BJ54" s="156"/>
      <c r="BL54" s="155"/>
      <c r="BM54" s="135"/>
      <c r="BN54" s="170"/>
      <c r="BO54" s="165"/>
      <c r="BS54" s="156"/>
      <c r="BT54" s="155"/>
      <c r="CA54" s="201"/>
      <c r="CB54" s="155"/>
      <c r="CC54" s="156"/>
      <c r="CD54" s="155"/>
      <c r="CG54" s="135"/>
      <c r="CH54" s="135"/>
      <c r="CI54" s="135"/>
      <c r="CJ54" s="135"/>
      <c r="CK54" s="201"/>
      <c r="CL54" s="155"/>
      <c r="CM54" s="156"/>
      <c r="CO54" s="155"/>
      <c r="CP54" s="135"/>
      <c r="CQ54" s="135"/>
      <c r="CR54" s="135"/>
      <c r="CS54" s="170"/>
      <c r="CT54" s="165"/>
      <c r="CU54" s="135"/>
      <c r="CV54" s="201"/>
    </row>
    <row r="55" spans="1:100" x14ac:dyDescent="0.25">
      <c r="A55" s="172"/>
      <c r="B55" s="156"/>
      <c r="F55" s="155"/>
      <c r="M55" s="201"/>
      <c r="O55" s="155"/>
      <c r="U55" s="201"/>
      <c r="V55" s="155"/>
      <c r="W55" s="156"/>
      <c r="X55" s="155"/>
      <c r="Y55" s="135"/>
      <c r="Z55" s="135"/>
      <c r="AA55" s="135"/>
      <c r="AB55" s="135"/>
      <c r="AC55" s="135"/>
      <c r="AD55" s="135"/>
      <c r="AE55" s="201"/>
      <c r="AF55" s="155"/>
      <c r="AG55" s="156"/>
      <c r="AI55" s="164"/>
      <c r="AJ55" s="165"/>
      <c r="AP55" s="201"/>
      <c r="AQ55" s="155"/>
      <c r="AX55" s="201"/>
      <c r="AY55" s="155"/>
      <c r="AZ55" s="156"/>
      <c r="BA55" s="155"/>
      <c r="BB55" s="135"/>
      <c r="BC55" s="135"/>
      <c r="BD55" s="135"/>
      <c r="BE55" s="135"/>
      <c r="BF55" s="135"/>
      <c r="BG55" s="135"/>
      <c r="BH55" s="156"/>
      <c r="BI55" s="155"/>
      <c r="BJ55" s="156"/>
      <c r="BL55" s="155"/>
      <c r="BM55" s="135"/>
      <c r="BN55" s="170"/>
      <c r="BO55" s="165"/>
      <c r="BS55" s="156"/>
      <c r="BT55" s="155"/>
      <c r="CA55" s="201"/>
      <c r="CB55" s="155"/>
      <c r="CC55" s="156"/>
      <c r="CD55" s="155"/>
      <c r="CG55" s="135"/>
      <c r="CH55" s="135"/>
      <c r="CI55" s="135"/>
      <c r="CJ55" s="135"/>
      <c r="CK55" s="201"/>
      <c r="CL55" s="155"/>
      <c r="CM55" s="156"/>
      <c r="CO55" s="155"/>
      <c r="CP55" s="135"/>
      <c r="CQ55" s="135"/>
      <c r="CR55" s="135"/>
      <c r="CS55" s="170"/>
      <c r="CT55" s="165"/>
      <c r="CU55" s="135"/>
      <c r="CV55" s="201"/>
    </row>
    <row r="56" spans="1:100" x14ac:dyDescent="0.25">
      <c r="A56" s="172"/>
      <c r="B56" s="156"/>
      <c r="F56" s="155"/>
      <c r="M56" s="201"/>
      <c r="O56" s="155"/>
      <c r="U56" s="201"/>
      <c r="V56" s="155"/>
      <c r="W56" s="156"/>
      <c r="X56" s="155"/>
      <c r="Y56" s="135"/>
      <c r="Z56" s="135"/>
      <c r="AA56" s="135"/>
      <c r="AB56" s="135"/>
      <c r="AC56" s="135"/>
      <c r="AD56" s="135"/>
      <c r="AE56" s="201"/>
      <c r="AF56" s="155"/>
      <c r="AG56" s="156"/>
      <c r="AI56" s="164"/>
      <c r="AJ56" s="165"/>
      <c r="AP56" s="201"/>
      <c r="AQ56" s="155"/>
      <c r="AX56" s="201"/>
      <c r="AY56" s="155"/>
      <c r="AZ56" s="156"/>
      <c r="BA56" s="155"/>
      <c r="BB56" s="135"/>
      <c r="BC56" s="135"/>
      <c r="BD56" s="135"/>
      <c r="BE56" s="135"/>
      <c r="BF56" s="135"/>
      <c r="BG56" s="135"/>
      <c r="BH56" s="156"/>
      <c r="BI56" s="155"/>
      <c r="BJ56" s="156"/>
      <c r="BL56" s="155"/>
      <c r="BM56" s="135"/>
      <c r="BN56" s="170"/>
      <c r="BO56" s="165"/>
      <c r="BS56" s="156"/>
      <c r="BT56" s="155"/>
      <c r="CA56" s="201"/>
      <c r="CB56" s="155"/>
      <c r="CC56" s="156"/>
      <c r="CD56" s="155"/>
      <c r="CG56" s="135"/>
      <c r="CH56" s="135"/>
      <c r="CI56" s="135"/>
      <c r="CJ56" s="135"/>
      <c r="CK56" s="201"/>
      <c r="CL56" s="155"/>
      <c r="CM56" s="156"/>
      <c r="CO56" s="155"/>
      <c r="CP56" s="135"/>
      <c r="CQ56" s="135"/>
      <c r="CR56" s="135"/>
      <c r="CS56" s="170"/>
      <c r="CT56" s="165"/>
      <c r="CU56" s="135"/>
      <c r="CV56" s="201"/>
    </row>
    <row r="57" spans="1:100" x14ac:dyDescent="0.25">
      <c r="A57" s="172"/>
      <c r="B57" s="156"/>
      <c r="F57" s="155"/>
      <c r="M57" s="201"/>
      <c r="O57" s="155"/>
      <c r="U57" s="201"/>
      <c r="V57" s="155"/>
      <c r="W57" s="156"/>
      <c r="X57" s="155"/>
      <c r="Y57" s="135"/>
      <c r="Z57" s="135"/>
      <c r="AA57" s="135"/>
      <c r="AB57" s="135"/>
      <c r="AC57" s="135"/>
      <c r="AD57" s="135"/>
      <c r="AE57" s="201"/>
      <c r="AF57" s="155"/>
      <c r="AG57" s="156"/>
      <c r="AI57" s="164"/>
      <c r="AJ57" s="165"/>
      <c r="AP57" s="201"/>
      <c r="AQ57" s="155"/>
      <c r="AX57" s="201"/>
      <c r="AY57" s="155"/>
      <c r="AZ57" s="156"/>
      <c r="BA57" s="155"/>
      <c r="BB57" s="135"/>
      <c r="BC57" s="135"/>
      <c r="BD57" s="135"/>
      <c r="BE57" s="135"/>
      <c r="BF57" s="135"/>
      <c r="BG57" s="135"/>
      <c r="BH57" s="156"/>
      <c r="BI57" s="155"/>
      <c r="BJ57" s="156"/>
      <c r="BL57" s="155"/>
      <c r="BM57" s="135"/>
      <c r="BN57" s="170"/>
      <c r="BO57" s="165"/>
      <c r="BS57" s="156"/>
      <c r="BT57" s="155"/>
      <c r="CA57" s="201"/>
      <c r="CB57" s="155"/>
      <c r="CC57" s="156"/>
      <c r="CD57" s="155"/>
      <c r="CG57" s="135"/>
      <c r="CH57" s="135"/>
      <c r="CI57" s="135"/>
      <c r="CJ57" s="135"/>
      <c r="CK57" s="201"/>
      <c r="CL57" s="155"/>
      <c r="CM57" s="156"/>
      <c r="CO57" s="155"/>
      <c r="CP57" s="135"/>
      <c r="CQ57" s="135"/>
      <c r="CR57" s="135"/>
      <c r="CS57" s="170"/>
      <c r="CT57" s="165"/>
      <c r="CU57" s="135"/>
      <c r="CV57" s="201"/>
    </row>
    <row r="58" spans="1:100" x14ac:dyDescent="0.25">
      <c r="A58" s="172"/>
      <c r="B58" s="156"/>
      <c r="F58" s="155"/>
      <c r="M58" s="201"/>
      <c r="O58" s="155"/>
      <c r="U58" s="201"/>
      <c r="V58" s="155"/>
      <c r="W58" s="156"/>
      <c r="X58" s="155"/>
      <c r="Y58" s="135"/>
      <c r="Z58" s="135"/>
      <c r="AA58" s="135"/>
      <c r="AB58" s="135"/>
      <c r="AC58" s="135"/>
      <c r="AD58" s="135"/>
      <c r="AE58" s="201"/>
      <c r="AF58" s="155"/>
      <c r="AG58" s="156"/>
      <c r="AI58" s="164"/>
      <c r="AJ58" s="165"/>
      <c r="AP58" s="201"/>
      <c r="AQ58" s="155"/>
      <c r="AX58" s="201"/>
      <c r="AY58" s="155"/>
      <c r="AZ58" s="156"/>
      <c r="BA58" s="155"/>
      <c r="BB58" s="135"/>
      <c r="BC58" s="135"/>
      <c r="BD58" s="135"/>
      <c r="BE58" s="135"/>
      <c r="BF58" s="135"/>
      <c r="BG58" s="135"/>
      <c r="BH58" s="156"/>
      <c r="BI58" s="155"/>
      <c r="BJ58" s="156"/>
      <c r="BL58" s="155"/>
      <c r="BM58" s="135"/>
      <c r="BN58" s="170"/>
      <c r="BO58" s="165"/>
      <c r="BS58" s="156"/>
      <c r="BT58" s="155"/>
      <c r="CA58" s="201"/>
      <c r="CB58" s="155"/>
      <c r="CC58" s="156"/>
      <c r="CD58" s="155"/>
      <c r="CG58" s="135"/>
      <c r="CH58" s="135"/>
      <c r="CI58" s="135"/>
      <c r="CJ58" s="135"/>
      <c r="CK58" s="201"/>
      <c r="CL58" s="155"/>
      <c r="CM58" s="156"/>
      <c r="CO58" s="155"/>
      <c r="CP58" s="135"/>
      <c r="CQ58" s="135"/>
      <c r="CR58" s="135"/>
      <c r="CS58" s="170"/>
      <c r="CT58" s="165"/>
      <c r="CU58" s="135"/>
      <c r="CV58" s="201"/>
    </row>
    <row r="59" spans="1:100" x14ac:dyDescent="0.25">
      <c r="A59" s="172"/>
      <c r="B59" s="156"/>
      <c r="F59" s="155"/>
      <c r="M59" s="201"/>
      <c r="O59" s="155"/>
      <c r="U59" s="201"/>
      <c r="V59" s="155"/>
      <c r="W59" s="156"/>
      <c r="X59" s="155"/>
      <c r="Y59" s="135"/>
      <c r="Z59" s="135"/>
      <c r="AA59" s="135"/>
      <c r="AB59" s="135"/>
      <c r="AC59" s="135"/>
      <c r="AD59" s="135"/>
      <c r="AE59" s="201"/>
      <c r="AF59" s="155"/>
      <c r="AG59" s="156"/>
      <c r="AI59" s="164"/>
      <c r="AJ59" s="165"/>
      <c r="AP59" s="201"/>
      <c r="AQ59" s="155"/>
      <c r="AX59" s="201"/>
      <c r="AY59" s="155"/>
      <c r="AZ59" s="156"/>
      <c r="BA59" s="155"/>
      <c r="BB59" s="135"/>
      <c r="BC59" s="135"/>
      <c r="BD59" s="135"/>
      <c r="BE59" s="135"/>
      <c r="BF59" s="135"/>
      <c r="BG59" s="135"/>
      <c r="BH59" s="156"/>
      <c r="BI59" s="155"/>
      <c r="BJ59" s="156"/>
      <c r="BL59" s="155"/>
      <c r="BM59" s="135"/>
      <c r="BN59" s="170"/>
      <c r="BO59" s="165"/>
      <c r="BS59" s="156"/>
      <c r="BT59" s="155"/>
      <c r="CA59" s="201"/>
      <c r="CB59" s="155"/>
      <c r="CC59" s="156"/>
      <c r="CD59" s="155"/>
      <c r="CG59" s="135"/>
      <c r="CH59" s="135"/>
      <c r="CI59" s="135"/>
      <c r="CJ59" s="135"/>
      <c r="CK59" s="201"/>
      <c r="CL59" s="155"/>
      <c r="CM59" s="156"/>
      <c r="CO59" s="155"/>
      <c r="CP59" s="135"/>
      <c r="CQ59" s="135"/>
      <c r="CR59" s="135"/>
      <c r="CS59" s="170"/>
      <c r="CT59" s="165"/>
      <c r="CU59" s="135"/>
      <c r="CV59" s="201"/>
    </row>
    <row r="60" spans="1:100" x14ac:dyDescent="0.25">
      <c r="A60" s="172"/>
      <c r="B60" s="156"/>
      <c r="F60" s="155"/>
      <c r="M60" s="201"/>
      <c r="O60" s="155"/>
      <c r="U60" s="201"/>
      <c r="V60" s="155"/>
      <c r="W60" s="156"/>
      <c r="X60" s="155"/>
      <c r="Y60" s="135"/>
      <c r="Z60" s="135"/>
      <c r="AA60" s="135"/>
      <c r="AB60" s="135"/>
      <c r="AC60" s="135"/>
      <c r="AD60" s="135"/>
      <c r="AE60" s="201"/>
      <c r="AF60" s="155"/>
      <c r="AG60" s="156"/>
      <c r="AI60" s="164"/>
      <c r="AJ60" s="165"/>
      <c r="AP60" s="201"/>
      <c r="AQ60" s="155"/>
      <c r="AX60" s="201"/>
      <c r="AY60" s="155"/>
      <c r="AZ60" s="156"/>
      <c r="BA60" s="155"/>
      <c r="BB60" s="135"/>
      <c r="BC60" s="135"/>
      <c r="BD60" s="135"/>
      <c r="BE60" s="135"/>
      <c r="BF60" s="135"/>
      <c r="BG60" s="135"/>
      <c r="BH60" s="156"/>
      <c r="BI60" s="155"/>
      <c r="BJ60" s="156"/>
      <c r="BL60" s="155"/>
      <c r="BM60" s="135"/>
      <c r="BN60" s="170"/>
      <c r="BO60" s="165"/>
      <c r="BS60" s="156"/>
      <c r="BT60" s="155"/>
      <c r="CA60" s="201"/>
      <c r="CB60" s="155"/>
      <c r="CC60" s="156"/>
      <c r="CD60" s="155"/>
      <c r="CG60" s="135"/>
      <c r="CH60" s="135"/>
      <c r="CI60" s="135"/>
      <c r="CJ60" s="135"/>
      <c r="CK60" s="201"/>
      <c r="CL60" s="155"/>
      <c r="CM60" s="156"/>
      <c r="CO60" s="155"/>
      <c r="CP60" s="135"/>
      <c r="CQ60" s="135"/>
      <c r="CR60" s="135"/>
      <c r="CS60" s="170"/>
      <c r="CT60" s="165"/>
      <c r="CU60" s="135"/>
      <c r="CV60" s="201"/>
    </row>
    <row r="61" spans="1:100" x14ac:dyDescent="0.25">
      <c r="A61" s="172"/>
      <c r="B61" s="156"/>
      <c r="F61" s="155"/>
      <c r="M61" s="201"/>
      <c r="O61" s="155"/>
      <c r="U61" s="201"/>
      <c r="V61" s="155"/>
      <c r="W61" s="156"/>
      <c r="X61" s="155"/>
      <c r="Y61" s="135"/>
      <c r="Z61" s="135"/>
      <c r="AA61" s="135"/>
      <c r="AB61" s="135"/>
      <c r="AC61" s="135"/>
      <c r="AD61" s="135"/>
      <c r="AE61" s="201"/>
      <c r="AF61" s="155"/>
      <c r="AG61" s="156"/>
      <c r="AI61" s="164"/>
      <c r="AJ61" s="165"/>
      <c r="AP61" s="201"/>
      <c r="AQ61" s="155"/>
      <c r="AX61" s="201"/>
      <c r="AY61" s="155"/>
      <c r="AZ61" s="156"/>
      <c r="BA61" s="155"/>
      <c r="BB61" s="135"/>
      <c r="BC61" s="135"/>
      <c r="BD61" s="135"/>
      <c r="BE61" s="135"/>
      <c r="BF61" s="135"/>
      <c r="BG61" s="135"/>
      <c r="BH61" s="156"/>
      <c r="BI61" s="155"/>
      <c r="BJ61" s="156"/>
      <c r="BL61" s="155"/>
      <c r="BM61" s="135"/>
      <c r="BN61" s="170"/>
      <c r="BO61" s="165"/>
      <c r="BS61" s="156"/>
      <c r="BT61" s="155"/>
      <c r="CA61" s="201"/>
      <c r="CB61" s="155"/>
      <c r="CC61" s="156"/>
      <c r="CD61" s="155"/>
      <c r="CG61" s="135"/>
      <c r="CH61" s="135"/>
      <c r="CI61" s="135"/>
      <c r="CJ61" s="135"/>
      <c r="CK61" s="201"/>
      <c r="CL61" s="155"/>
      <c r="CM61" s="156"/>
      <c r="CO61" s="155"/>
      <c r="CP61" s="135"/>
      <c r="CQ61" s="135"/>
      <c r="CR61" s="135"/>
      <c r="CS61" s="170"/>
      <c r="CT61" s="165"/>
      <c r="CU61" s="135"/>
      <c r="CV61" s="201"/>
    </row>
    <row r="62" spans="1:100" x14ac:dyDescent="0.25">
      <c r="A62" s="172"/>
      <c r="B62" s="156"/>
      <c r="F62" s="155"/>
      <c r="M62" s="201"/>
      <c r="O62" s="155"/>
      <c r="U62" s="201"/>
      <c r="V62" s="155"/>
      <c r="W62" s="156"/>
      <c r="X62" s="155"/>
      <c r="Y62" s="135"/>
      <c r="Z62" s="135"/>
      <c r="AA62" s="135"/>
      <c r="AB62" s="135"/>
      <c r="AC62" s="135"/>
      <c r="AD62" s="135"/>
      <c r="AE62" s="201"/>
      <c r="AF62" s="155"/>
      <c r="AG62" s="156"/>
      <c r="AI62" s="164"/>
      <c r="AJ62" s="165"/>
      <c r="AP62" s="201"/>
      <c r="AQ62" s="155"/>
      <c r="AX62" s="201"/>
      <c r="AY62" s="155"/>
      <c r="AZ62" s="156"/>
      <c r="BA62" s="155"/>
      <c r="BB62" s="135"/>
      <c r="BC62" s="135"/>
      <c r="BD62" s="135"/>
      <c r="BE62" s="135"/>
      <c r="BF62" s="135"/>
      <c r="BG62" s="135"/>
      <c r="BH62" s="156"/>
      <c r="BI62" s="155"/>
      <c r="BJ62" s="156"/>
      <c r="BL62" s="155"/>
      <c r="BM62" s="135"/>
      <c r="BN62" s="170"/>
      <c r="BO62" s="165"/>
      <c r="BS62" s="156"/>
      <c r="BT62" s="155"/>
      <c r="CA62" s="201"/>
      <c r="CB62" s="155"/>
      <c r="CC62" s="156"/>
      <c r="CD62" s="155"/>
      <c r="CG62" s="135"/>
      <c r="CH62" s="135"/>
      <c r="CI62" s="135"/>
      <c r="CJ62" s="135"/>
      <c r="CK62" s="201"/>
      <c r="CL62" s="155"/>
      <c r="CM62" s="156"/>
      <c r="CO62" s="155"/>
      <c r="CP62" s="135"/>
      <c r="CQ62" s="135"/>
      <c r="CR62" s="135"/>
      <c r="CS62" s="170"/>
      <c r="CT62" s="165"/>
      <c r="CU62" s="135"/>
      <c r="CV62" s="201"/>
    </row>
    <row r="63" spans="1:100" x14ac:dyDescent="0.25">
      <c r="A63" s="172"/>
      <c r="B63" s="156"/>
      <c r="F63" s="155"/>
      <c r="M63" s="201"/>
      <c r="O63" s="155"/>
      <c r="U63" s="201"/>
      <c r="V63" s="155"/>
      <c r="W63" s="156"/>
      <c r="X63" s="155"/>
      <c r="Y63" s="135"/>
      <c r="Z63" s="135"/>
      <c r="AA63" s="135"/>
      <c r="AB63" s="135"/>
      <c r="AC63" s="135"/>
      <c r="AD63" s="135"/>
      <c r="AE63" s="201"/>
      <c r="AF63" s="155"/>
      <c r="AG63" s="156"/>
      <c r="AI63" s="164"/>
      <c r="AJ63" s="165"/>
      <c r="AP63" s="201"/>
      <c r="AQ63" s="155"/>
      <c r="AX63" s="201"/>
      <c r="AY63" s="155"/>
      <c r="AZ63" s="156"/>
      <c r="BA63" s="155"/>
      <c r="BB63" s="135"/>
      <c r="BC63" s="135"/>
      <c r="BD63" s="135"/>
      <c r="BE63" s="135"/>
      <c r="BF63" s="135"/>
      <c r="BG63" s="135"/>
      <c r="BH63" s="156"/>
      <c r="BI63" s="155"/>
      <c r="BJ63" s="156"/>
      <c r="BL63" s="155"/>
      <c r="BM63" s="135"/>
      <c r="BN63" s="170"/>
      <c r="BO63" s="165"/>
      <c r="BS63" s="156"/>
      <c r="BT63" s="155"/>
      <c r="CA63" s="201"/>
      <c r="CB63" s="155"/>
      <c r="CC63" s="156"/>
      <c r="CD63" s="155"/>
      <c r="CG63" s="135"/>
      <c r="CH63" s="135"/>
      <c r="CI63" s="135"/>
      <c r="CJ63" s="135"/>
      <c r="CK63" s="201"/>
      <c r="CL63" s="155"/>
      <c r="CM63" s="156"/>
      <c r="CO63" s="155"/>
      <c r="CP63" s="135"/>
      <c r="CQ63" s="135"/>
      <c r="CR63" s="135"/>
      <c r="CS63" s="170"/>
      <c r="CT63" s="165"/>
      <c r="CU63" s="135"/>
      <c r="CV63" s="201"/>
    </row>
    <row r="64" spans="1:100" x14ac:dyDescent="0.25">
      <c r="A64" s="172"/>
      <c r="B64" s="156"/>
      <c r="F64" s="155"/>
      <c r="M64" s="201"/>
      <c r="O64" s="155"/>
      <c r="U64" s="201"/>
      <c r="V64" s="155"/>
      <c r="W64" s="156"/>
      <c r="X64" s="155"/>
      <c r="Y64" s="135"/>
      <c r="Z64" s="135"/>
      <c r="AA64" s="135"/>
      <c r="AB64" s="135"/>
      <c r="AC64" s="135"/>
      <c r="AD64" s="135"/>
      <c r="AE64" s="201"/>
      <c r="AF64" s="155"/>
      <c r="AG64" s="156"/>
      <c r="AI64" s="164"/>
      <c r="AJ64" s="165"/>
      <c r="AP64" s="201"/>
      <c r="AQ64" s="155"/>
      <c r="AX64" s="201"/>
      <c r="AY64" s="155"/>
      <c r="AZ64" s="156"/>
      <c r="BA64" s="155"/>
      <c r="BB64" s="135"/>
      <c r="BC64" s="135"/>
      <c r="BD64" s="135"/>
      <c r="BE64" s="135"/>
      <c r="BF64" s="135"/>
      <c r="BG64" s="135"/>
      <c r="BH64" s="156"/>
      <c r="BI64" s="155"/>
      <c r="BJ64" s="156"/>
      <c r="BL64" s="155"/>
      <c r="BM64" s="135"/>
      <c r="BN64" s="170"/>
      <c r="BO64" s="165"/>
      <c r="BS64" s="156"/>
      <c r="BT64" s="155"/>
      <c r="CA64" s="201"/>
      <c r="CB64" s="155"/>
      <c r="CC64" s="156"/>
      <c r="CD64" s="155"/>
      <c r="CG64" s="135"/>
      <c r="CH64" s="135"/>
      <c r="CI64" s="135"/>
      <c r="CJ64" s="135"/>
      <c r="CK64" s="201"/>
      <c r="CL64" s="155"/>
      <c r="CM64" s="156"/>
      <c r="CO64" s="155"/>
      <c r="CP64" s="135"/>
      <c r="CQ64" s="135"/>
      <c r="CR64" s="135"/>
      <c r="CS64" s="170"/>
      <c r="CT64" s="165"/>
      <c r="CU64" s="135"/>
      <c r="CV64" s="201"/>
    </row>
    <row r="65" spans="1:100" x14ac:dyDescent="0.25">
      <c r="A65" s="172"/>
      <c r="B65" s="156"/>
      <c r="F65" s="155"/>
      <c r="M65" s="201"/>
      <c r="O65" s="155"/>
      <c r="U65" s="201"/>
      <c r="V65" s="155"/>
      <c r="W65" s="156"/>
      <c r="X65" s="155"/>
      <c r="Y65" s="135"/>
      <c r="Z65" s="135"/>
      <c r="AA65" s="135"/>
      <c r="AB65" s="135"/>
      <c r="AC65" s="135"/>
      <c r="AD65" s="135"/>
      <c r="AE65" s="201"/>
      <c r="AF65" s="155"/>
      <c r="AG65" s="156"/>
      <c r="AI65" s="164"/>
      <c r="AJ65" s="165"/>
      <c r="AP65" s="201"/>
      <c r="AQ65" s="155"/>
      <c r="AX65" s="201"/>
      <c r="AY65" s="155"/>
      <c r="AZ65" s="156"/>
      <c r="BA65" s="155"/>
      <c r="BB65" s="135"/>
      <c r="BC65" s="135"/>
      <c r="BD65" s="135"/>
      <c r="BE65" s="135"/>
      <c r="BF65" s="135"/>
      <c r="BG65" s="135"/>
      <c r="BH65" s="156"/>
      <c r="BI65" s="155"/>
      <c r="BJ65" s="156"/>
      <c r="BL65" s="155"/>
      <c r="BM65" s="135"/>
      <c r="BN65" s="170"/>
      <c r="BO65" s="165"/>
      <c r="BS65" s="156"/>
      <c r="BT65" s="155"/>
      <c r="CA65" s="201"/>
      <c r="CB65" s="155"/>
      <c r="CC65" s="156"/>
      <c r="CD65" s="155"/>
      <c r="CG65" s="135"/>
      <c r="CH65" s="135"/>
      <c r="CI65" s="135"/>
      <c r="CJ65" s="135"/>
      <c r="CK65" s="201"/>
      <c r="CL65" s="155"/>
      <c r="CM65" s="156"/>
      <c r="CO65" s="155"/>
      <c r="CP65" s="135"/>
      <c r="CQ65" s="135"/>
      <c r="CR65" s="135"/>
      <c r="CS65" s="170"/>
      <c r="CT65" s="165"/>
      <c r="CU65" s="135"/>
      <c r="CV65" s="201"/>
    </row>
    <row r="66" spans="1:100" x14ac:dyDescent="0.25">
      <c r="A66" s="172"/>
      <c r="B66" s="156"/>
      <c r="F66" s="155"/>
      <c r="M66" s="201"/>
      <c r="O66" s="155"/>
      <c r="U66" s="201"/>
      <c r="V66" s="155"/>
      <c r="W66" s="156"/>
      <c r="X66" s="155"/>
      <c r="Y66" s="135"/>
      <c r="Z66" s="135"/>
      <c r="AA66" s="135"/>
      <c r="AB66" s="135"/>
      <c r="AC66" s="135"/>
      <c r="AD66" s="135"/>
      <c r="AE66" s="201"/>
      <c r="AF66" s="155"/>
      <c r="AG66" s="156"/>
      <c r="AI66" s="164"/>
      <c r="AJ66" s="165"/>
      <c r="AP66" s="201"/>
      <c r="AQ66" s="155"/>
      <c r="AX66" s="201"/>
      <c r="AY66" s="155"/>
      <c r="AZ66" s="156"/>
      <c r="BA66" s="155"/>
      <c r="BB66" s="135"/>
      <c r="BC66" s="135"/>
      <c r="BD66" s="135"/>
      <c r="BE66" s="135"/>
      <c r="BF66" s="135"/>
      <c r="BG66" s="135"/>
      <c r="BH66" s="156"/>
      <c r="BI66" s="155"/>
      <c r="BJ66" s="156"/>
      <c r="BL66" s="155"/>
      <c r="BM66" s="135"/>
      <c r="BN66" s="170"/>
      <c r="BO66" s="165"/>
      <c r="BS66" s="156"/>
      <c r="BT66" s="155"/>
      <c r="CA66" s="201"/>
      <c r="CB66" s="155"/>
      <c r="CC66" s="156"/>
      <c r="CD66" s="155"/>
      <c r="CG66" s="135"/>
      <c r="CH66" s="135"/>
      <c r="CI66" s="135"/>
      <c r="CJ66" s="135"/>
      <c r="CK66" s="201"/>
      <c r="CL66" s="155"/>
      <c r="CM66" s="156"/>
      <c r="CO66" s="155"/>
      <c r="CP66" s="135"/>
      <c r="CQ66" s="135"/>
      <c r="CR66" s="135"/>
      <c r="CS66" s="170"/>
      <c r="CT66" s="165"/>
      <c r="CU66" s="135"/>
      <c r="CV66" s="201"/>
    </row>
    <row r="67" spans="1:100" x14ac:dyDescent="0.25">
      <c r="A67" s="172"/>
      <c r="B67" s="156"/>
      <c r="F67" s="155"/>
      <c r="M67" s="201"/>
      <c r="O67" s="155"/>
      <c r="U67" s="201"/>
      <c r="V67" s="155"/>
      <c r="W67" s="156"/>
      <c r="X67" s="155"/>
      <c r="Y67" s="135"/>
      <c r="Z67" s="135"/>
      <c r="AA67" s="135"/>
      <c r="AB67" s="135"/>
      <c r="AC67" s="135"/>
      <c r="AD67" s="135"/>
      <c r="AE67" s="201"/>
      <c r="AF67" s="155"/>
      <c r="AG67" s="156"/>
      <c r="AI67" s="164"/>
      <c r="AJ67" s="165"/>
      <c r="AP67" s="201"/>
      <c r="AQ67" s="155"/>
      <c r="AX67" s="201"/>
      <c r="AY67" s="155"/>
      <c r="AZ67" s="156"/>
      <c r="BA67" s="155"/>
      <c r="BB67" s="135"/>
      <c r="BC67" s="135"/>
      <c r="BD67" s="135"/>
      <c r="BE67" s="135"/>
      <c r="BF67" s="135"/>
      <c r="BG67" s="135"/>
      <c r="BH67" s="156"/>
      <c r="BI67" s="155"/>
      <c r="BJ67" s="156"/>
      <c r="BL67" s="155"/>
      <c r="BM67" s="135"/>
      <c r="BN67" s="170"/>
      <c r="BO67" s="165"/>
      <c r="BS67" s="156"/>
      <c r="BT67" s="155"/>
      <c r="CA67" s="201"/>
      <c r="CB67" s="155"/>
      <c r="CC67" s="156"/>
      <c r="CD67" s="155"/>
      <c r="CG67" s="135"/>
      <c r="CH67" s="135"/>
      <c r="CI67" s="135"/>
      <c r="CJ67" s="135"/>
      <c r="CK67" s="201"/>
      <c r="CL67" s="155"/>
      <c r="CM67" s="156"/>
      <c r="CO67" s="155"/>
      <c r="CP67" s="135"/>
      <c r="CQ67" s="135"/>
      <c r="CR67" s="135"/>
      <c r="CS67" s="170"/>
      <c r="CT67" s="165"/>
      <c r="CU67" s="135"/>
      <c r="CV67" s="201"/>
    </row>
    <row r="68" spans="1:100" x14ac:dyDescent="0.25">
      <c r="A68" s="172"/>
      <c r="B68" s="156"/>
      <c r="F68" s="155"/>
      <c r="M68" s="201"/>
      <c r="O68" s="155"/>
      <c r="U68" s="201"/>
      <c r="V68" s="155"/>
      <c r="W68" s="156"/>
      <c r="X68" s="155"/>
      <c r="Y68" s="135"/>
      <c r="Z68" s="135"/>
      <c r="AA68" s="135"/>
      <c r="AB68" s="135"/>
      <c r="AC68" s="135"/>
      <c r="AD68" s="135"/>
      <c r="AE68" s="201"/>
      <c r="AF68" s="155"/>
      <c r="AG68" s="156"/>
      <c r="AI68" s="164"/>
      <c r="AJ68" s="165"/>
      <c r="AP68" s="201"/>
      <c r="AQ68" s="155"/>
      <c r="AX68" s="201"/>
      <c r="AY68" s="155"/>
      <c r="AZ68" s="156"/>
      <c r="BA68" s="155"/>
      <c r="BB68" s="135"/>
      <c r="BC68" s="135"/>
      <c r="BD68" s="135"/>
      <c r="BE68" s="135"/>
      <c r="BF68" s="135"/>
      <c r="BG68" s="135"/>
      <c r="BH68" s="156"/>
      <c r="BI68" s="155"/>
      <c r="BJ68" s="156"/>
      <c r="BL68" s="155"/>
      <c r="BM68" s="135"/>
      <c r="BN68" s="170"/>
      <c r="BO68" s="165"/>
      <c r="BS68" s="156"/>
      <c r="BT68" s="155"/>
      <c r="CA68" s="201"/>
      <c r="CB68" s="155"/>
      <c r="CC68" s="156"/>
      <c r="CD68" s="155"/>
      <c r="CG68" s="135"/>
      <c r="CH68" s="135"/>
      <c r="CI68" s="135"/>
      <c r="CJ68" s="135"/>
      <c r="CK68" s="201"/>
      <c r="CL68" s="155"/>
      <c r="CM68" s="156"/>
      <c r="CO68" s="155"/>
      <c r="CP68" s="135"/>
      <c r="CQ68" s="135"/>
      <c r="CR68" s="135"/>
      <c r="CS68" s="170"/>
      <c r="CT68" s="165"/>
      <c r="CU68" s="135"/>
      <c r="CV68" s="201"/>
    </row>
    <row r="69" spans="1:100" x14ac:dyDescent="0.25">
      <c r="A69" s="172"/>
      <c r="B69" s="156"/>
      <c r="F69" s="155"/>
      <c r="M69" s="201"/>
      <c r="O69" s="155"/>
      <c r="U69" s="201"/>
      <c r="V69" s="155"/>
      <c r="W69" s="156"/>
      <c r="X69" s="155"/>
      <c r="Y69" s="135"/>
      <c r="Z69" s="135"/>
      <c r="AA69" s="135"/>
      <c r="AB69" s="135"/>
      <c r="AC69" s="135"/>
      <c r="AD69" s="135"/>
      <c r="AE69" s="201"/>
      <c r="AF69" s="155"/>
      <c r="AG69" s="156"/>
      <c r="AI69" s="164"/>
      <c r="AJ69" s="165"/>
      <c r="AP69" s="201"/>
      <c r="AQ69" s="155"/>
      <c r="AX69" s="201"/>
      <c r="AY69" s="155"/>
      <c r="AZ69" s="156"/>
      <c r="BA69" s="155"/>
      <c r="BB69" s="135"/>
      <c r="BC69" s="135"/>
      <c r="BD69" s="135"/>
      <c r="BE69" s="135"/>
      <c r="BF69" s="135"/>
      <c r="BG69" s="135"/>
      <c r="BH69" s="156"/>
      <c r="BI69" s="155"/>
      <c r="BJ69" s="156"/>
      <c r="BL69" s="155"/>
      <c r="BM69" s="135"/>
      <c r="BN69" s="170"/>
      <c r="BO69" s="165"/>
      <c r="BS69" s="156"/>
      <c r="BT69" s="155"/>
      <c r="CA69" s="201"/>
      <c r="CB69" s="155"/>
      <c r="CC69" s="156"/>
      <c r="CD69" s="155"/>
      <c r="CG69" s="135"/>
      <c r="CH69" s="135"/>
      <c r="CI69" s="135"/>
      <c r="CJ69" s="135"/>
      <c r="CK69" s="201"/>
      <c r="CL69" s="155"/>
      <c r="CM69" s="156"/>
      <c r="CO69" s="155"/>
      <c r="CP69" s="135"/>
      <c r="CQ69" s="135"/>
      <c r="CR69" s="135"/>
      <c r="CS69" s="170"/>
      <c r="CT69" s="165"/>
      <c r="CU69" s="135"/>
      <c r="CV69" s="201"/>
    </row>
    <row r="70" spans="1:100" x14ac:dyDescent="0.25">
      <c r="A70" s="172"/>
      <c r="B70" s="156"/>
      <c r="F70" s="155"/>
      <c r="M70" s="201"/>
      <c r="O70" s="155"/>
      <c r="U70" s="201"/>
      <c r="V70" s="155"/>
      <c r="W70" s="156"/>
      <c r="X70" s="155"/>
      <c r="Y70" s="135"/>
      <c r="Z70" s="135"/>
      <c r="AA70" s="135"/>
      <c r="AB70" s="135"/>
      <c r="AC70" s="135"/>
      <c r="AD70" s="135"/>
      <c r="AE70" s="201"/>
      <c r="AF70" s="155"/>
      <c r="AG70" s="156"/>
      <c r="AI70" s="164"/>
      <c r="AJ70" s="165"/>
      <c r="AP70" s="201"/>
      <c r="AQ70" s="155"/>
      <c r="AX70" s="201"/>
      <c r="AY70" s="155"/>
      <c r="AZ70" s="156"/>
      <c r="BA70" s="155"/>
      <c r="BB70" s="135"/>
      <c r="BC70" s="135"/>
      <c r="BD70" s="135"/>
      <c r="BE70" s="135"/>
      <c r="BF70" s="135"/>
      <c r="BG70" s="135"/>
      <c r="BH70" s="156"/>
      <c r="BI70" s="155"/>
      <c r="BJ70" s="156"/>
      <c r="BL70" s="155"/>
      <c r="BM70" s="135"/>
      <c r="BN70" s="170"/>
      <c r="BO70" s="165"/>
      <c r="BS70" s="156"/>
      <c r="BT70" s="155"/>
      <c r="CA70" s="201"/>
      <c r="CB70" s="155"/>
      <c r="CC70" s="156"/>
      <c r="CD70" s="155"/>
      <c r="CG70" s="135"/>
      <c r="CH70" s="135"/>
      <c r="CI70" s="135"/>
      <c r="CJ70" s="135"/>
      <c r="CK70" s="201"/>
      <c r="CL70" s="155"/>
      <c r="CM70" s="156"/>
      <c r="CO70" s="155"/>
      <c r="CP70" s="135"/>
      <c r="CQ70" s="135"/>
      <c r="CR70" s="135"/>
      <c r="CS70" s="170"/>
      <c r="CT70" s="165"/>
      <c r="CU70" s="135"/>
      <c r="CV70" s="201"/>
    </row>
    <row r="71" spans="1:100" x14ac:dyDescent="0.25">
      <c r="A71" s="172"/>
      <c r="B71" s="156"/>
      <c r="F71" s="155"/>
      <c r="M71" s="201"/>
      <c r="O71" s="155"/>
      <c r="U71" s="201"/>
      <c r="V71" s="155"/>
      <c r="W71" s="156"/>
      <c r="X71" s="155"/>
      <c r="Y71" s="135"/>
      <c r="Z71" s="135"/>
      <c r="AA71" s="135"/>
      <c r="AB71" s="135"/>
      <c r="AC71" s="135"/>
      <c r="AD71" s="135"/>
      <c r="AE71" s="201"/>
      <c r="AF71" s="155"/>
      <c r="AG71" s="156"/>
      <c r="AI71" s="164"/>
      <c r="AJ71" s="165"/>
      <c r="AP71" s="201"/>
      <c r="AQ71" s="155"/>
      <c r="AX71" s="201"/>
      <c r="AY71" s="155"/>
      <c r="AZ71" s="156"/>
      <c r="BA71" s="155"/>
      <c r="BB71" s="135"/>
      <c r="BC71" s="135"/>
      <c r="BD71" s="135"/>
      <c r="BE71" s="135"/>
      <c r="BF71" s="135"/>
      <c r="BG71" s="135"/>
      <c r="BH71" s="156"/>
      <c r="BI71" s="155"/>
      <c r="BJ71" s="156"/>
      <c r="BL71" s="155"/>
      <c r="BM71" s="135"/>
      <c r="BN71" s="170"/>
      <c r="BO71" s="165"/>
      <c r="BS71" s="156"/>
      <c r="BT71" s="155"/>
      <c r="CA71" s="201"/>
      <c r="CB71" s="155"/>
      <c r="CC71" s="156"/>
      <c r="CD71" s="155"/>
      <c r="CG71" s="135"/>
      <c r="CH71" s="135"/>
      <c r="CI71" s="135"/>
      <c r="CJ71" s="135"/>
      <c r="CK71" s="201"/>
      <c r="CL71" s="155"/>
      <c r="CM71" s="156"/>
      <c r="CO71" s="155"/>
      <c r="CP71" s="135"/>
      <c r="CQ71" s="135"/>
      <c r="CR71" s="135"/>
      <c r="CS71" s="170"/>
      <c r="CT71" s="165"/>
      <c r="CU71" s="135"/>
      <c r="CV71" s="201"/>
    </row>
    <row r="72" spans="1:100" x14ac:dyDescent="0.25">
      <c r="A72" s="172"/>
      <c r="B72" s="156"/>
      <c r="F72" s="155"/>
      <c r="M72" s="201"/>
      <c r="O72" s="155"/>
      <c r="U72" s="201"/>
      <c r="V72" s="155"/>
      <c r="W72" s="156"/>
      <c r="X72" s="155"/>
      <c r="Y72" s="135"/>
      <c r="Z72" s="135"/>
      <c r="AA72" s="135"/>
      <c r="AB72" s="135"/>
      <c r="AC72" s="135"/>
      <c r="AD72" s="135"/>
      <c r="AE72" s="201"/>
      <c r="AF72" s="155"/>
      <c r="AG72" s="156"/>
      <c r="AI72" s="164"/>
      <c r="AJ72" s="165"/>
      <c r="AP72" s="201"/>
      <c r="AQ72" s="155"/>
      <c r="AX72" s="201"/>
      <c r="AY72" s="155"/>
      <c r="AZ72" s="156"/>
      <c r="BA72" s="155"/>
      <c r="BB72" s="135"/>
      <c r="BC72" s="135"/>
      <c r="BD72" s="135"/>
      <c r="BE72" s="135"/>
      <c r="BF72" s="135"/>
      <c r="BG72" s="135"/>
      <c r="BH72" s="156"/>
      <c r="BI72" s="155"/>
      <c r="BJ72" s="156"/>
      <c r="BL72" s="155"/>
      <c r="BM72" s="135"/>
      <c r="BN72" s="170"/>
      <c r="BO72" s="165"/>
      <c r="BS72" s="156"/>
      <c r="BT72" s="155"/>
      <c r="CA72" s="201"/>
      <c r="CB72" s="155"/>
      <c r="CC72" s="156"/>
      <c r="CD72" s="155"/>
      <c r="CG72" s="135"/>
      <c r="CH72" s="135"/>
      <c r="CI72" s="135"/>
      <c r="CJ72" s="135"/>
      <c r="CK72" s="201"/>
      <c r="CL72" s="155"/>
      <c r="CM72" s="156"/>
      <c r="CO72" s="155"/>
      <c r="CP72" s="135"/>
      <c r="CQ72" s="135"/>
      <c r="CR72" s="135"/>
      <c r="CS72" s="170"/>
      <c r="CT72" s="165"/>
      <c r="CU72" s="135"/>
      <c r="CV72" s="201"/>
    </row>
    <row r="73" spans="1:100" x14ac:dyDescent="0.25">
      <c r="A73" s="172"/>
      <c r="B73" s="156"/>
      <c r="F73" s="155"/>
      <c r="M73" s="201"/>
      <c r="O73" s="155"/>
      <c r="U73" s="201"/>
      <c r="V73" s="155"/>
      <c r="W73" s="156"/>
      <c r="X73" s="155"/>
      <c r="Y73" s="135"/>
      <c r="Z73" s="135"/>
      <c r="AA73" s="135"/>
      <c r="AB73" s="135"/>
      <c r="AC73" s="135"/>
      <c r="AD73" s="135"/>
      <c r="AE73" s="201"/>
      <c r="AF73" s="155"/>
      <c r="AG73" s="156"/>
      <c r="AI73" s="164"/>
      <c r="AJ73" s="165"/>
      <c r="AP73" s="201"/>
      <c r="AQ73" s="155"/>
      <c r="AX73" s="201"/>
      <c r="AY73" s="155"/>
      <c r="AZ73" s="156"/>
      <c r="BA73" s="155"/>
      <c r="BB73" s="135"/>
      <c r="BC73" s="135"/>
      <c r="BD73" s="135"/>
      <c r="BE73" s="135"/>
      <c r="BF73" s="135"/>
      <c r="BG73" s="135"/>
      <c r="BH73" s="156"/>
      <c r="BI73" s="155"/>
      <c r="BJ73" s="156"/>
      <c r="BL73" s="155"/>
      <c r="BM73" s="135"/>
      <c r="BN73" s="170"/>
      <c r="BO73" s="165"/>
      <c r="BS73" s="156"/>
      <c r="BT73" s="155"/>
      <c r="CA73" s="201"/>
      <c r="CB73" s="155"/>
      <c r="CC73" s="156"/>
      <c r="CD73" s="155"/>
      <c r="CG73" s="135"/>
      <c r="CH73" s="135"/>
      <c r="CI73" s="135"/>
      <c r="CJ73" s="135"/>
      <c r="CK73" s="201"/>
      <c r="CL73" s="155"/>
      <c r="CM73" s="156"/>
      <c r="CO73" s="155"/>
      <c r="CP73" s="135"/>
      <c r="CQ73" s="135"/>
      <c r="CR73" s="135"/>
      <c r="CS73" s="170"/>
      <c r="CT73" s="165"/>
      <c r="CU73" s="135"/>
      <c r="CV73" s="201"/>
    </row>
    <row r="74" spans="1:100" x14ac:dyDescent="0.25">
      <c r="A74" s="172"/>
      <c r="B74" s="156"/>
      <c r="F74" s="155"/>
      <c r="M74" s="201"/>
      <c r="O74" s="155"/>
      <c r="U74" s="201"/>
      <c r="V74" s="155"/>
      <c r="W74" s="156"/>
      <c r="X74" s="155"/>
      <c r="Y74" s="135"/>
      <c r="Z74" s="135"/>
      <c r="AA74" s="135"/>
      <c r="AB74" s="135"/>
      <c r="AC74" s="135"/>
      <c r="AD74" s="135"/>
      <c r="AE74" s="201"/>
      <c r="AF74" s="155"/>
      <c r="AG74" s="156"/>
      <c r="AI74" s="164"/>
      <c r="AJ74" s="165"/>
      <c r="AP74" s="201"/>
      <c r="AQ74" s="155"/>
      <c r="AX74" s="201"/>
      <c r="AY74" s="155"/>
      <c r="AZ74" s="156"/>
      <c r="BA74" s="155"/>
      <c r="BB74" s="135"/>
      <c r="BC74" s="135"/>
      <c r="BD74" s="135"/>
      <c r="BE74" s="135"/>
      <c r="BF74" s="135"/>
      <c r="BG74" s="135"/>
      <c r="BH74" s="156"/>
      <c r="BI74" s="155"/>
      <c r="BJ74" s="156"/>
      <c r="BL74" s="155"/>
      <c r="BM74" s="135"/>
      <c r="BN74" s="170"/>
      <c r="BO74" s="165"/>
      <c r="BS74" s="156"/>
      <c r="BT74" s="155"/>
      <c r="CA74" s="201"/>
      <c r="CB74" s="155"/>
      <c r="CC74" s="156"/>
      <c r="CD74" s="155"/>
      <c r="CG74" s="135"/>
      <c r="CH74" s="135"/>
      <c r="CI74" s="135"/>
      <c r="CJ74" s="135"/>
      <c r="CK74" s="201"/>
      <c r="CL74" s="155"/>
      <c r="CM74" s="156"/>
      <c r="CO74" s="155"/>
      <c r="CP74" s="135"/>
      <c r="CQ74" s="135"/>
      <c r="CR74" s="135"/>
      <c r="CS74" s="170"/>
      <c r="CT74" s="165"/>
      <c r="CU74" s="135"/>
      <c r="CV74" s="201"/>
    </row>
    <row r="75" spans="1:100" x14ac:dyDescent="0.25">
      <c r="A75" s="172"/>
      <c r="B75" s="156"/>
      <c r="F75" s="155"/>
      <c r="M75" s="201"/>
      <c r="O75" s="155"/>
      <c r="U75" s="201"/>
      <c r="V75" s="155"/>
      <c r="W75" s="156"/>
      <c r="X75" s="155"/>
      <c r="Y75" s="135"/>
      <c r="Z75" s="135"/>
      <c r="AA75" s="135"/>
      <c r="AB75" s="135"/>
      <c r="AC75" s="135"/>
      <c r="AD75" s="135"/>
      <c r="AE75" s="201"/>
      <c r="AF75" s="155"/>
      <c r="AG75" s="156"/>
      <c r="AI75" s="164"/>
      <c r="AJ75" s="165"/>
      <c r="AP75" s="201"/>
      <c r="AQ75" s="155"/>
      <c r="AX75" s="201"/>
      <c r="AY75" s="155"/>
      <c r="AZ75" s="156"/>
      <c r="BA75" s="155"/>
      <c r="BB75" s="135"/>
      <c r="BC75" s="135"/>
      <c r="BD75" s="135"/>
      <c r="BE75" s="135"/>
      <c r="BF75" s="135"/>
      <c r="BG75" s="135"/>
      <c r="BH75" s="156"/>
      <c r="BI75" s="155"/>
      <c r="BJ75" s="156"/>
      <c r="BL75" s="155"/>
      <c r="BM75" s="135"/>
      <c r="BN75" s="170"/>
      <c r="BO75" s="165"/>
      <c r="BS75" s="156"/>
      <c r="BT75" s="155"/>
      <c r="CA75" s="201"/>
      <c r="CB75" s="155"/>
      <c r="CC75" s="156"/>
      <c r="CD75" s="155"/>
      <c r="CG75" s="135"/>
      <c r="CH75" s="135"/>
      <c r="CI75" s="135"/>
      <c r="CJ75" s="135"/>
      <c r="CK75" s="201"/>
      <c r="CL75" s="155"/>
      <c r="CM75" s="156"/>
      <c r="CO75" s="155"/>
      <c r="CP75" s="135"/>
      <c r="CQ75" s="135"/>
      <c r="CR75" s="135"/>
      <c r="CS75" s="170"/>
      <c r="CT75" s="165"/>
      <c r="CU75" s="135"/>
      <c r="CV75" s="201"/>
    </row>
    <row r="76" spans="1:100" x14ac:dyDescent="0.25">
      <c r="A76" s="172"/>
      <c r="B76" s="156"/>
      <c r="F76" s="155"/>
      <c r="M76" s="201"/>
      <c r="O76" s="155"/>
      <c r="U76" s="201"/>
      <c r="V76" s="155"/>
      <c r="W76" s="156"/>
      <c r="X76" s="155"/>
      <c r="Y76" s="135"/>
      <c r="Z76" s="135"/>
      <c r="AA76" s="135"/>
      <c r="AB76" s="135"/>
      <c r="AC76" s="135"/>
      <c r="AD76" s="135"/>
      <c r="AE76" s="201"/>
      <c r="AF76" s="155"/>
      <c r="AG76" s="156"/>
      <c r="AI76" s="164"/>
      <c r="AJ76" s="165"/>
      <c r="AP76" s="201"/>
      <c r="AQ76" s="155"/>
      <c r="AX76" s="201"/>
      <c r="AY76" s="155"/>
      <c r="AZ76" s="156"/>
      <c r="BA76" s="155"/>
      <c r="BB76" s="135"/>
      <c r="BC76" s="135"/>
      <c r="BD76" s="135"/>
      <c r="BE76" s="135"/>
      <c r="BF76" s="135"/>
      <c r="BG76" s="135"/>
      <c r="BH76" s="156"/>
      <c r="BI76" s="155"/>
      <c r="BJ76" s="156"/>
      <c r="BL76" s="155"/>
      <c r="BM76" s="135"/>
      <c r="BN76" s="170"/>
      <c r="BO76" s="165"/>
      <c r="BS76" s="156"/>
      <c r="BT76" s="155"/>
      <c r="CA76" s="201"/>
      <c r="CB76" s="155"/>
      <c r="CC76" s="156"/>
      <c r="CD76" s="155"/>
      <c r="CG76" s="135"/>
      <c r="CH76" s="135"/>
      <c r="CI76" s="135"/>
      <c r="CJ76" s="135"/>
      <c r="CK76" s="201"/>
      <c r="CL76" s="155"/>
      <c r="CM76" s="156"/>
      <c r="CO76" s="155"/>
      <c r="CP76" s="135"/>
      <c r="CQ76" s="135"/>
      <c r="CR76" s="135"/>
      <c r="CS76" s="170"/>
      <c r="CT76" s="165"/>
      <c r="CU76" s="135"/>
      <c r="CV76" s="201"/>
    </row>
    <row r="77" spans="1:100" x14ac:dyDescent="0.25">
      <c r="A77" s="172"/>
      <c r="B77" s="156"/>
      <c r="F77" s="155"/>
      <c r="M77" s="201"/>
      <c r="O77" s="155"/>
      <c r="U77" s="201"/>
      <c r="V77" s="155"/>
      <c r="W77" s="156"/>
      <c r="X77" s="155"/>
      <c r="Y77" s="135"/>
      <c r="Z77" s="135"/>
      <c r="AA77" s="135"/>
      <c r="AB77" s="135"/>
      <c r="AC77" s="135"/>
      <c r="AD77" s="135"/>
      <c r="AE77" s="201"/>
      <c r="AF77" s="155"/>
      <c r="AG77" s="156"/>
      <c r="AI77" s="164"/>
      <c r="AJ77" s="165"/>
      <c r="AP77" s="201"/>
      <c r="AQ77" s="155"/>
      <c r="AX77" s="201"/>
      <c r="AY77" s="155"/>
      <c r="AZ77" s="156"/>
      <c r="BA77" s="155"/>
      <c r="BB77" s="135"/>
      <c r="BC77" s="135"/>
      <c r="BD77" s="135"/>
      <c r="BE77" s="135"/>
      <c r="BF77" s="135"/>
      <c r="BG77" s="135"/>
      <c r="BH77" s="156"/>
      <c r="BI77" s="155"/>
      <c r="BJ77" s="156"/>
      <c r="BL77" s="155"/>
      <c r="BM77" s="135"/>
      <c r="BN77" s="170"/>
      <c r="BO77" s="165"/>
      <c r="BS77" s="156"/>
      <c r="BT77" s="155"/>
      <c r="CA77" s="201"/>
      <c r="CB77" s="155"/>
      <c r="CC77" s="156"/>
      <c r="CD77" s="155"/>
      <c r="CG77" s="135"/>
      <c r="CH77" s="135"/>
      <c r="CI77" s="135"/>
      <c r="CJ77" s="135"/>
      <c r="CK77" s="201"/>
      <c r="CL77" s="155"/>
      <c r="CM77" s="156"/>
      <c r="CO77" s="155"/>
      <c r="CP77" s="135"/>
      <c r="CQ77" s="135"/>
      <c r="CR77" s="135"/>
      <c r="CS77" s="170"/>
      <c r="CT77" s="165"/>
      <c r="CU77" s="135"/>
      <c r="CV77" s="201"/>
    </row>
    <row r="78" spans="1:100" x14ac:dyDescent="0.25">
      <c r="A78" s="172"/>
      <c r="B78" s="156"/>
      <c r="F78" s="155"/>
      <c r="M78" s="201"/>
      <c r="O78" s="155"/>
      <c r="U78" s="201"/>
      <c r="V78" s="155"/>
      <c r="W78" s="156"/>
      <c r="X78" s="155"/>
      <c r="Y78" s="135"/>
      <c r="Z78" s="135"/>
      <c r="AA78" s="135"/>
      <c r="AB78" s="135"/>
      <c r="AC78" s="135"/>
      <c r="AD78" s="135"/>
      <c r="AE78" s="201"/>
      <c r="AF78" s="155"/>
      <c r="AG78" s="156"/>
      <c r="AI78" s="164"/>
      <c r="AJ78" s="165"/>
      <c r="AP78" s="201"/>
      <c r="AQ78" s="155"/>
      <c r="AX78" s="201"/>
      <c r="AY78" s="155"/>
      <c r="AZ78" s="156"/>
      <c r="BA78" s="155"/>
      <c r="BB78" s="135"/>
      <c r="BC78" s="135"/>
      <c r="BD78" s="135"/>
      <c r="BE78" s="135"/>
      <c r="BF78" s="135"/>
      <c r="BG78" s="135"/>
      <c r="BH78" s="156"/>
      <c r="BI78" s="155"/>
      <c r="BJ78" s="156"/>
      <c r="BL78" s="155"/>
      <c r="BM78" s="135"/>
      <c r="BN78" s="170"/>
      <c r="BO78" s="165"/>
      <c r="BS78" s="156"/>
      <c r="BT78" s="155"/>
      <c r="CA78" s="201"/>
      <c r="CB78" s="155"/>
      <c r="CC78" s="156"/>
      <c r="CD78" s="155"/>
      <c r="CG78" s="135"/>
      <c r="CH78" s="135"/>
      <c r="CI78" s="135"/>
      <c r="CJ78" s="135"/>
      <c r="CK78" s="201"/>
      <c r="CL78" s="155"/>
      <c r="CM78" s="156"/>
      <c r="CO78" s="155"/>
      <c r="CP78" s="135"/>
      <c r="CQ78" s="135"/>
      <c r="CR78" s="135"/>
      <c r="CS78" s="170"/>
      <c r="CT78" s="165"/>
      <c r="CU78" s="135"/>
      <c r="CV78" s="201"/>
    </row>
    <row r="79" spans="1:100" x14ac:dyDescent="0.25">
      <c r="A79" s="172"/>
      <c r="B79" s="156"/>
      <c r="F79" s="155"/>
      <c r="M79" s="201"/>
      <c r="O79" s="155"/>
      <c r="U79" s="201"/>
      <c r="V79" s="155"/>
      <c r="W79" s="156"/>
      <c r="X79" s="155"/>
      <c r="Y79" s="135"/>
      <c r="Z79" s="135"/>
      <c r="AA79" s="135"/>
      <c r="AB79" s="135"/>
      <c r="AC79" s="135"/>
      <c r="AD79" s="135"/>
      <c r="AE79" s="201"/>
      <c r="AF79" s="155"/>
      <c r="AG79" s="156"/>
      <c r="AI79" s="164"/>
      <c r="AJ79" s="165"/>
      <c r="AP79" s="201"/>
      <c r="AQ79" s="155"/>
      <c r="AX79" s="201"/>
      <c r="AY79" s="155"/>
      <c r="AZ79" s="156"/>
      <c r="BA79" s="155"/>
      <c r="BB79" s="135"/>
      <c r="BC79" s="135"/>
      <c r="BD79" s="135"/>
      <c r="BE79" s="135"/>
      <c r="BF79" s="135"/>
      <c r="BG79" s="135"/>
      <c r="BH79" s="156"/>
      <c r="BI79" s="155"/>
      <c r="BJ79" s="156"/>
      <c r="BL79" s="155"/>
      <c r="BM79" s="135"/>
      <c r="BN79" s="170"/>
      <c r="BO79" s="165"/>
      <c r="BS79" s="156"/>
      <c r="BT79" s="155"/>
      <c r="CA79" s="201"/>
      <c r="CB79" s="155"/>
      <c r="CC79" s="156"/>
      <c r="CD79" s="155"/>
      <c r="CG79" s="135"/>
      <c r="CH79" s="135"/>
      <c r="CI79" s="135"/>
      <c r="CJ79" s="135"/>
      <c r="CK79" s="201"/>
      <c r="CL79" s="155"/>
      <c r="CM79" s="156"/>
      <c r="CO79" s="155"/>
      <c r="CP79" s="135"/>
      <c r="CQ79" s="135"/>
      <c r="CR79" s="135"/>
      <c r="CS79" s="170"/>
      <c r="CT79" s="165"/>
      <c r="CU79" s="135"/>
      <c r="CV79" s="201"/>
    </row>
    <row r="80" spans="1:100" x14ac:dyDescent="0.25">
      <c r="A80" s="172"/>
      <c r="B80" s="156"/>
      <c r="F80" s="155"/>
      <c r="M80" s="201"/>
      <c r="O80" s="155"/>
      <c r="U80" s="201"/>
      <c r="V80" s="155"/>
      <c r="W80" s="156"/>
      <c r="X80" s="155"/>
      <c r="Y80" s="135"/>
      <c r="Z80" s="135"/>
      <c r="AA80" s="135"/>
      <c r="AB80" s="135"/>
      <c r="AC80" s="135"/>
      <c r="AD80" s="135"/>
      <c r="AE80" s="201"/>
      <c r="AF80" s="155"/>
      <c r="AG80" s="156"/>
      <c r="AI80" s="164"/>
      <c r="AJ80" s="165"/>
      <c r="AP80" s="201"/>
      <c r="AQ80" s="155"/>
      <c r="AX80" s="201"/>
      <c r="AY80" s="155"/>
      <c r="AZ80" s="156"/>
      <c r="BA80" s="155"/>
      <c r="BB80" s="135"/>
      <c r="BC80" s="135"/>
      <c r="BD80" s="135"/>
      <c r="BE80" s="135"/>
      <c r="BF80" s="135"/>
      <c r="BG80" s="135"/>
      <c r="BH80" s="156"/>
      <c r="BI80" s="155"/>
      <c r="BJ80" s="156"/>
      <c r="BL80" s="155"/>
      <c r="BM80" s="135"/>
      <c r="BN80" s="170"/>
      <c r="BO80" s="165"/>
      <c r="BS80" s="156"/>
      <c r="BT80" s="155"/>
      <c r="CA80" s="201"/>
      <c r="CB80" s="155"/>
      <c r="CC80" s="156"/>
      <c r="CD80" s="155"/>
      <c r="CG80" s="135"/>
      <c r="CH80" s="135"/>
      <c r="CI80" s="135"/>
      <c r="CJ80" s="135"/>
      <c r="CK80" s="201"/>
      <c r="CL80" s="155"/>
      <c r="CM80" s="156"/>
      <c r="CO80" s="155"/>
      <c r="CP80" s="135"/>
      <c r="CQ80" s="135"/>
      <c r="CR80" s="135"/>
      <c r="CS80" s="170"/>
      <c r="CT80" s="165"/>
      <c r="CU80" s="135"/>
      <c r="CV80" s="201"/>
    </row>
    <row r="81" spans="1:100" x14ac:dyDescent="0.25">
      <c r="A81" s="172"/>
      <c r="B81" s="156"/>
      <c r="F81" s="155"/>
      <c r="M81" s="201"/>
      <c r="O81" s="155"/>
      <c r="U81" s="201"/>
      <c r="V81" s="155"/>
      <c r="W81" s="156"/>
      <c r="X81" s="155"/>
      <c r="Y81" s="135"/>
      <c r="Z81" s="135"/>
      <c r="AA81" s="135"/>
      <c r="AB81" s="135"/>
      <c r="AC81" s="135"/>
      <c r="AD81" s="135"/>
      <c r="AE81" s="201"/>
      <c r="AF81" s="155"/>
      <c r="AG81" s="156"/>
      <c r="AI81" s="164"/>
      <c r="AJ81" s="165"/>
      <c r="AP81" s="201"/>
      <c r="AQ81" s="155"/>
      <c r="AX81" s="201"/>
      <c r="AY81" s="155"/>
      <c r="AZ81" s="156"/>
      <c r="BA81" s="155"/>
      <c r="BB81" s="135"/>
      <c r="BC81" s="135"/>
      <c r="BD81" s="135"/>
      <c r="BE81" s="135"/>
      <c r="BF81" s="135"/>
      <c r="BG81" s="135"/>
      <c r="BH81" s="156"/>
      <c r="BI81" s="155"/>
      <c r="BJ81" s="156"/>
      <c r="BL81" s="155"/>
      <c r="BM81" s="135"/>
      <c r="BN81" s="170"/>
      <c r="BO81" s="165"/>
      <c r="BS81" s="156"/>
      <c r="BT81" s="155"/>
      <c r="CA81" s="201"/>
      <c r="CB81" s="155"/>
      <c r="CC81" s="156"/>
      <c r="CD81" s="155"/>
      <c r="CG81" s="135"/>
      <c r="CH81" s="135"/>
      <c r="CI81" s="135"/>
      <c r="CJ81" s="135"/>
      <c r="CK81" s="201"/>
      <c r="CL81" s="155"/>
      <c r="CM81" s="156"/>
      <c r="CO81" s="155"/>
      <c r="CP81" s="135"/>
      <c r="CQ81" s="135"/>
      <c r="CR81" s="135"/>
      <c r="CS81" s="170"/>
      <c r="CT81" s="165"/>
      <c r="CU81" s="135"/>
      <c r="CV81" s="201"/>
    </row>
    <row r="82" spans="1:100" x14ac:dyDescent="0.25">
      <c r="A82" s="172"/>
      <c r="B82" s="156"/>
      <c r="F82" s="155"/>
      <c r="M82" s="201"/>
      <c r="O82" s="155"/>
      <c r="U82" s="201"/>
      <c r="V82" s="155"/>
      <c r="W82" s="156"/>
      <c r="X82" s="155"/>
      <c r="Y82" s="135"/>
      <c r="Z82" s="135"/>
      <c r="AA82" s="135"/>
      <c r="AB82" s="135"/>
      <c r="AC82" s="135"/>
      <c r="AD82" s="135"/>
      <c r="AE82" s="201"/>
      <c r="AF82" s="155"/>
      <c r="AG82" s="156"/>
      <c r="AI82" s="164"/>
      <c r="AJ82" s="165"/>
      <c r="AP82" s="201"/>
      <c r="AQ82" s="155"/>
      <c r="AX82" s="201"/>
      <c r="AY82" s="155"/>
      <c r="AZ82" s="156"/>
      <c r="BA82" s="155"/>
      <c r="BB82" s="135"/>
      <c r="BC82" s="135"/>
      <c r="BD82" s="135"/>
      <c r="BE82" s="135"/>
      <c r="BF82" s="135"/>
      <c r="BG82" s="135"/>
      <c r="BH82" s="156"/>
      <c r="BI82" s="155"/>
      <c r="BJ82" s="156"/>
      <c r="BL82" s="155"/>
      <c r="BM82" s="135"/>
      <c r="BN82" s="170"/>
      <c r="BO82" s="165"/>
      <c r="BS82" s="156"/>
      <c r="BT82" s="155"/>
      <c r="CA82" s="201"/>
      <c r="CB82" s="155"/>
      <c r="CC82" s="156"/>
      <c r="CD82" s="155"/>
      <c r="CG82" s="135"/>
      <c r="CH82" s="135"/>
      <c r="CI82" s="135"/>
      <c r="CJ82" s="135"/>
      <c r="CK82" s="201"/>
      <c r="CL82" s="155"/>
      <c r="CM82" s="156"/>
      <c r="CO82" s="155"/>
      <c r="CP82" s="135"/>
      <c r="CQ82" s="135"/>
      <c r="CR82" s="135"/>
      <c r="CS82" s="170"/>
      <c r="CT82" s="165"/>
      <c r="CU82" s="135"/>
      <c r="CV82" s="201"/>
    </row>
    <row r="83" spans="1:100" x14ac:dyDescent="0.25">
      <c r="A83" s="172"/>
      <c r="B83" s="156"/>
      <c r="F83" s="155"/>
      <c r="M83" s="201"/>
      <c r="O83" s="155"/>
      <c r="U83" s="201"/>
      <c r="V83" s="155"/>
      <c r="W83" s="156"/>
      <c r="X83" s="155"/>
      <c r="Y83" s="135"/>
      <c r="Z83" s="135"/>
      <c r="AA83" s="135"/>
      <c r="AB83" s="135"/>
      <c r="AC83" s="135"/>
      <c r="AD83" s="135"/>
      <c r="AE83" s="201"/>
      <c r="AF83" s="155"/>
      <c r="AG83" s="156"/>
      <c r="AI83" s="164"/>
      <c r="AJ83" s="165"/>
      <c r="AP83" s="201"/>
      <c r="AQ83" s="155"/>
      <c r="AX83" s="201"/>
      <c r="AY83" s="155"/>
      <c r="AZ83" s="156"/>
      <c r="BA83" s="155"/>
      <c r="BB83" s="135"/>
      <c r="BC83" s="135"/>
      <c r="BD83" s="135"/>
      <c r="BE83" s="135"/>
      <c r="BF83" s="135"/>
      <c r="BG83" s="135"/>
      <c r="BH83" s="156"/>
      <c r="BI83" s="155"/>
      <c r="BJ83" s="156"/>
      <c r="BL83" s="155"/>
      <c r="BM83" s="135"/>
      <c r="BN83" s="170"/>
      <c r="BO83" s="165"/>
      <c r="BS83" s="156"/>
      <c r="BT83" s="155"/>
      <c r="CA83" s="201"/>
      <c r="CB83" s="155"/>
      <c r="CC83" s="156"/>
      <c r="CD83" s="155"/>
      <c r="CG83" s="135"/>
      <c r="CH83" s="135"/>
      <c r="CI83" s="135"/>
      <c r="CJ83" s="135"/>
      <c r="CK83" s="201"/>
      <c r="CL83" s="155"/>
      <c r="CM83" s="156"/>
      <c r="CO83" s="155"/>
      <c r="CP83" s="135"/>
      <c r="CQ83" s="135"/>
      <c r="CR83" s="135"/>
      <c r="CS83" s="170"/>
      <c r="CT83" s="165"/>
      <c r="CU83" s="135"/>
      <c r="CV83" s="201"/>
    </row>
    <row r="84" spans="1:100" x14ac:dyDescent="0.25">
      <c r="A84" s="172"/>
      <c r="B84" s="156"/>
      <c r="F84" s="155"/>
      <c r="M84" s="201"/>
      <c r="O84" s="155"/>
      <c r="U84" s="201"/>
      <c r="V84" s="155"/>
      <c r="W84" s="156"/>
      <c r="X84" s="155"/>
      <c r="Y84" s="135"/>
      <c r="Z84" s="135"/>
      <c r="AA84" s="135"/>
      <c r="AB84" s="135"/>
      <c r="AC84" s="135"/>
      <c r="AD84" s="135"/>
      <c r="AE84" s="201"/>
      <c r="AF84" s="155"/>
      <c r="AG84" s="156"/>
      <c r="AI84" s="164"/>
      <c r="AJ84" s="165"/>
      <c r="AP84" s="201"/>
      <c r="AQ84" s="155"/>
      <c r="AX84" s="201"/>
      <c r="AY84" s="155"/>
      <c r="AZ84" s="156"/>
      <c r="BA84" s="155"/>
      <c r="BB84" s="135"/>
      <c r="BC84" s="135"/>
      <c r="BD84" s="135"/>
      <c r="BE84" s="135"/>
      <c r="BF84" s="135"/>
      <c r="BG84" s="135"/>
      <c r="BH84" s="156"/>
      <c r="BI84" s="155"/>
      <c r="BJ84" s="156"/>
      <c r="BL84" s="155"/>
      <c r="BM84" s="135"/>
      <c r="BN84" s="170"/>
      <c r="BO84" s="165"/>
      <c r="BS84" s="156"/>
      <c r="BT84" s="155"/>
      <c r="CA84" s="201"/>
      <c r="CB84" s="155"/>
      <c r="CC84" s="156"/>
      <c r="CD84" s="155"/>
      <c r="CG84" s="135"/>
      <c r="CH84" s="135"/>
      <c r="CI84" s="135"/>
      <c r="CJ84" s="135"/>
      <c r="CK84" s="201"/>
      <c r="CL84" s="155"/>
      <c r="CM84" s="156"/>
      <c r="CO84" s="155"/>
      <c r="CP84" s="135"/>
      <c r="CQ84" s="135"/>
      <c r="CR84" s="135"/>
      <c r="CS84" s="170"/>
      <c r="CT84" s="165"/>
      <c r="CU84" s="135"/>
      <c r="CV84" s="201"/>
    </row>
    <row r="85" spans="1:100" x14ac:dyDescent="0.25">
      <c r="A85" s="172"/>
      <c r="B85" s="156"/>
      <c r="F85" s="155"/>
      <c r="M85" s="201"/>
      <c r="O85" s="155"/>
      <c r="U85" s="201"/>
      <c r="V85" s="155"/>
      <c r="W85" s="156"/>
      <c r="X85" s="155"/>
      <c r="Y85" s="135"/>
      <c r="Z85" s="135"/>
      <c r="AA85" s="135"/>
      <c r="AB85" s="135"/>
      <c r="AC85" s="135"/>
      <c r="AD85" s="135"/>
      <c r="AE85" s="201"/>
      <c r="AF85" s="155"/>
      <c r="AG85" s="156"/>
      <c r="AI85" s="164"/>
      <c r="AJ85" s="165"/>
      <c r="AP85" s="201"/>
      <c r="AQ85" s="155"/>
      <c r="AX85" s="201"/>
      <c r="AY85" s="155"/>
      <c r="AZ85" s="156"/>
      <c r="BA85" s="155"/>
      <c r="BB85" s="135"/>
      <c r="BC85" s="135"/>
      <c r="BD85" s="135"/>
      <c r="BE85" s="135"/>
      <c r="BF85" s="135"/>
      <c r="BG85" s="135"/>
      <c r="BH85" s="156"/>
      <c r="BI85" s="155"/>
      <c r="BJ85" s="156"/>
      <c r="BL85" s="155"/>
      <c r="BM85" s="135"/>
      <c r="BN85" s="170"/>
      <c r="BO85" s="165"/>
      <c r="BS85" s="156"/>
      <c r="BT85" s="155"/>
      <c r="CA85" s="201"/>
      <c r="CB85" s="155"/>
      <c r="CC85" s="156"/>
      <c r="CD85" s="155"/>
      <c r="CG85" s="135"/>
      <c r="CH85" s="135"/>
      <c r="CI85" s="135"/>
      <c r="CJ85" s="135"/>
      <c r="CK85" s="201"/>
      <c r="CL85" s="155"/>
      <c r="CM85" s="156"/>
      <c r="CO85" s="155"/>
      <c r="CP85" s="135"/>
      <c r="CQ85" s="135"/>
      <c r="CR85" s="135"/>
      <c r="CS85" s="170"/>
      <c r="CT85" s="165"/>
      <c r="CU85" s="135"/>
      <c r="CV85" s="201"/>
    </row>
    <row r="86" spans="1:100" x14ac:dyDescent="0.25">
      <c r="A86" s="172"/>
      <c r="B86" s="156"/>
      <c r="F86" s="155"/>
      <c r="M86" s="201"/>
      <c r="O86" s="155"/>
      <c r="U86" s="201"/>
      <c r="V86" s="155"/>
      <c r="W86" s="156"/>
      <c r="X86" s="155"/>
      <c r="Y86" s="135"/>
      <c r="Z86" s="135"/>
      <c r="AA86" s="135"/>
      <c r="AB86" s="135"/>
      <c r="AC86" s="135"/>
      <c r="AD86" s="135"/>
      <c r="AE86" s="201"/>
      <c r="AF86" s="155"/>
      <c r="AG86" s="156"/>
      <c r="AI86" s="164"/>
      <c r="AJ86" s="165"/>
      <c r="AP86" s="201"/>
      <c r="AQ86" s="155"/>
      <c r="AX86" s="201"/>
      <c r="AY86" s="155"/>
      <c r="AZ86" s="156"/>
      <c r="BA86" s="155"/>
      <c r="BB86" s="135"/>
      <c r="BC86" s="135"/>
      <c r="BD86" s="135"/>
      <c r="BE86" s="135"/>
      <c r="BF86" s="135"/>
      <c r="BG86" s="135"/>
      <c r="BH86" s="156"/>
      <c r="BI86" s="155"/>
      <c r="BJ86" s="156"/>
      <c r="BL86" s="155"/>
      <c r="BM86" s="135"/>
      <c r="BN86" s="170"/>
      <c r="BO86" s="165"/>
      <c r="BS86" s="156"/>
      <c r="BT86" s="155"/>
      <c r="CA86" s="201"/>
      <c r="CB86" s="155"/>
      <c r="CC86" s="156"/>
      <c r="CD86" s="155"/>
      <c r="CG86" s="135"/>
      <c r="CH86" s="135"/>
      <c r="CI86" s="135"/>
      <c r="CJ86" s="135"/>
      <c r="CK86" s="201"/>
      <c r="CL86" s="155"/>
      <c r="CM86" s="156"/>
      <c r="CO86" s="155"/>
      <c r="CP86" s="135"/>
      <c r="CQ86" s="135"/>
      <c r="CR86" s="135"/>
      <c r="CS86" s="170"/>
      <c r="CT86" s="165"/>
      <c r="CU86" s="135"/>
      <c r="CV86" s="201"/>
    </row>
    <row r="87" spans="1:100" x14ac:dyDescent="0.25">
      <c r="A87" s="172"/>
      <c r="B87" s="156"/>
      <c r="F87" s="155"/>
      <c r="M87" s="201"/>
      <c r="O87" s="155"/>
      <c r="U87" s="201"/>
      <c r="V87" s="155"/>
      <c r="W87" s="156"/>
      <c r="X87" s="155"/>
      <c r="Y87" s="135"/>
      <c r="Z87" s="135"/>
      <c r="AA87" s="135"/>
      <c r="AB87" s="135"/>
      <c r="AC87" s="135"/>
      <c r="AD87" s="135"/>
      <c r="AE87" s="201"/>
      <c r="AF87" s="155"/>
      <c r="AG87" s="156"/>
      <c r="AI87" s="164"/>
      <c r="AJ87" s="165"/>
      <c r="AP87" s="201"/>
      <c r="AQ87" s="155"/>
      <c r="AX87" s="201"/>
      <c r="AY87" s="155"/>
      <c r="AZ87" s="156"/>
      <c r="BA87" s="155"/>
      <c r="BB87" s="135"/>
      <c r="BC87" s="135"/>
      <c r="BD87" s="135"/>
      <c r="BE87" s="135"/>
      <c r="BF87" s="135"/>
      <c r="BG87" s="135"/>
      <c r="BH87" s="156"/>
      <c r="BI87" s="155"/>
      <c r="BJ87" s="156"/>
      <c r="BL87" s="155"/>
      <c r="BM87" s="135"/>
      <c r="BN87" s="170"/>
      <c r="BO87" s="165"/>
      <c r="BS87" s="156"/>
      <c r="BT87" s="155"/>
      <c r="CA87" s="201"/>
      <c r="CB87" s="155"/>
      <c r="CC87" s="156"/>
      <c r="CD87" s="155"/>
      <c r="CG87" s="135"/>
      <c r="CH87" s="135"/>
      <c r="CI87" s="135"/>
      <c r="CJ87" s="135"/>
      <c r="CK87" s="201"/>
      <c r="CL87" s="155"/>
      <c r="CM87" s="156"/>
      <c r="CO87" s="155"/>
      <c r="CP87" s="135"/>
      <c r="CQ87" s="135"/>
      <c r="CR87" s="135"/>
      <c r="CS87" s="170"/>
      <c r="CT87" s="165"/>
      <c r="CU87" s="135"/>
      <c r="CV87" s="201"/>
    </row>
    <row r="88" spans="1:100" x14ac:dyDescent="0.25">
      <c r="A88" s="172"/>
      <c r="B88" s="156"/>
      <c r="F88" s="155"/>
      <c r="M88" s="201"/>
      <c r="O88" s="155"/>
      <c r="U88" s="201"/>
      <c r="V88" s="155"/>
      <c r="W88" s="156"/>
      <c r="X88" s="155"/>
      <c r="Y88" s="135"/>
      <c r="Z88" s="135"/>
      <c r="AA88" s="135"/>
      <c r="AB88" s="135"/>
      <c r="AC88" s="135"/>
      <c r="AD88" s="135"/>
      <c r="AE88" s="201"/>
      <c r="AF88" s="155"/>
      <c r="AG88" s="156"/>
      <c r="AI88" s="164"/>
      <c r="AJ88" s="165"/>
      <c r="AP88" s="201"/>
      <c r="AQ88" s="155"/>
      <c r="AX88" s="201"/>
      <c r="AY88" s="155"/>
      <c r="AZ88" s="156"/>
      <c r="BA88" s="155"/>
      <c r="BB88" s="135"/>
      <c r="BC88" s="135"/>
      <c r="BD88" s="135"/>
      <c r="BE88" s="135"/>
      <c r="BF88" s="135"/>
      <c r="BG88" s="135"/>
      <c r="BH88" s="156"/>
      <c r="BI88" s="155"/>
      <c r="BJ88" s="156"/>
      <c r="BL88" s="155"/>
      <c r="BM88" s="135"/>
      <c r="BN88" s="170"/>
      <c r="BO88" s="165"/>
      <c r="BS88" s="156"/>
      <c r="BT88" s="155"/>
      <c r="CA88" s="201"/>
      <c r="CB88" s="155"/>
      <c r="CC88" s="156"/>
      <c r="CD88" s="155"/>
      <c r="CG88" s="135"/>
      <c r="CH88" s="135"/>
      <c r="CI88" s="135"/>
      <c r="CJ88" s="135"/>
      <c r="CK88" s="201"/>
      <c r="CL88" s="155"/>
      <c r="CM88" s="156"/>
      <c r="CO88" s="155"/>
      <c r="CP88" s="135"/>
      <c r="CQ88" s="135"/>
      <c r="CR88" s="135"/>
      <c r="CS88" s="170"/>
      <c r="CT88" s="165"/>
      <c r="CU88" s="135"/>
      <c r="CV88" s="201"/>
    </row>
    <row r="89" spans="1:100" x14ac:dyDescent="0.25">
      <c r="A89" s="172"/>
      <c r="B89" s="156"/>
      <c r="F89" s="155"/>
      <c r="M89" s="201"/>
      <c r="O89" s="155"/>
      <c r="U89" s="201"/>
      <c r="V89" s="155"/>
      <c r="W89" s="156"/>
      <c r="X89" s="155"/>
      <c r="Y89" s="135"/>
      <c r="Z89" s="135"/>
      <c r="AA89" s="135"/>
      <c r="AB89" s="135"/>
      <c r="AC89" s="135"/>
      <c r="AD89" s="135"/>
      <c r="AE89" s="201"/>
      <c r="AF89" s="155"/>
      <c r="AG89" s="156"/>
      <c r="AI89" s="164"/>
      <c r="AJ89" s="165"/>
      <c r="AP89" s="201"/>
      <c r="AQ89" s="155"/>
      <c r="AX89" s="201"/>
      <c r="AY89" s="155"/>
      <c r="AZ89" s="156"/>
      <c r="BA89" s="155"/>
      <c r="BB89" s="135"/>
      <c r="BC89" s="135"/>
      <c r="BD89" s="135"/>
      <c r="BE89" s="135"/>
      <c r="BF89" s="135"/>
      <c r="BG89" s="135"/>
      <c r="BH89" s="156"/>
      <c r="BI89" s="155"/>
      <c r="BJ89" s="156"/>
      <c r="BL89" s="155"/>
      <c r="BM89" s="135"/>
      <c r="BN89" s="170"/>
      <c r="BO89" s="165"/>
      <c r="BS89" s="156"/>
      <c r="BT89" s="155"/>
      <c r="CA89" s="201"/>
      <c r="CB89" s="155"/>
      <c r="CC89" s="156"/>
      <c r="CD89" s="155"/>
      <c r="CG89" s="135"/>
      <c r="CH89" s="135"/>
      <c r="CI89" s="135"/>
      <c r="CJ89" s="135"/>
      <c r="CK89" s="201"/>
      <c r="CL89" s="155"/>
      <c r="CM89" s="156"/>
      <c r="CO89" s="155"/>
      <c r="CP89" s="135"/>
      <c r="CQ89" s="135"/>
      <c r="CR89" s="135"/>
      <c r="CS89" s="170"/>
      <c r="CT89" s="165"/>
      <c r="CU89" s="135"/>
      <c r="CV89" s="201"/>
    </row>
    <row r="90" spans="1:100" x14ac:dyDescent="0.25">
      <c r="A90" s="172"/>
      <c r="B90" s="156"/>
      <c r="F90" s="155"/>
      <c r="M90" s="201"/>
      <c r="O90" s="155"/>
      <c r="U90" s="201"/>
      <c r="V90" s="155"/>
      <c r="W90" s="156"/>
      <c r="X90" s="155"/>
      <c r="Y90" s="135"/>
      <c r="Z90" s="135"/>
      <c r="AA90" s="135"/>
      <c r="AB90" s="135"/>
      <c r="AC90" s="135"/>
      <c r="AD90" s="135"/>
      <c r="AE90" s="201"/>
      <c r="AF90" s="155"/>
      <c r="AG90" s="156"/>
      <c r="AI90" s="164"/>
      <c r="AJ90" s="165"/>
      <c r="AP90" s="201"/>
      <c r="AQ90" s="155"/>
      <c r="AX90" s="201"/>
      <c r="AY90" s="155"/>
      <c r="AZ90" s="156"/>
      <c r="BA90" s="155"/>
      <c r="BB90" s="135"/>
      <c r="BC90" s="135"/>
      <c r="BD90" s="135"/>
      <c r="BE90" s="135"/>
      <c r="BF90" s="135"/>
      <c r="BG90" s="135"/>
      <c r="BH90" s="156"/>
      <c r="BI90" s="155"/>
      <c r="BJ90" s="156"/>
      <c r="BL90" s="155"/>
      <c r="BM90" s="135"/>
      <c r="BN90" s="170"/>
      <c r="BO90" s="165"/>
      <c r="BS90" s="156"/>
      <c r="BT90" s="155"/>
      <c r="CA90" s="201"/>
      <c r="CB90" s="155"/>
      <c r="CC90" s="156"/>
      <c r="CD90" s="155"/>
      <c r="CG90" s="135"/>
      <c r="CH90" s="135"/>
      <c r="CI90" s="135"/>
      <c r="CJ90" s="135"/>
      <c r="CK90" s="201"/>
      <c r="CL90" s="155"/>
      <c r="CM90" s="156"/>
      <c r="CO90" s="155"/>
      <c r="CP90" s="135"/>
      <c r="CQ90" s="135"/>
      <c r="CR90" s="135"/>
      <c r="CS90" s="170"/>
      <c r="CT90" s="165"/>
      <c r="CU90" s="135"/>
      <c r="CV90" s="201"/>
    </row>
    <row r="91" spans="1:100" x14ac:dyDescent="0.25">
      <c r="A91" s="172"/>
      <c r="B91" s="156"/>
      <c r="F91" s="155"/>
      <c r="M91" s="201"/>
      <c r="O91" s="155"/>
      <c r="U91" s="201"/>
      <c r="V91" s="155"/>
      <c r="W91" s="156"/>
      <c r="X91" s="155"/>
      <c r="Y91" s="135"/>
      <c r="Z91" s="135"/>
      <c r="AA91" s="135"/>
      <c r="AB91" s="135"/>
      <c r="AC91" s="135"/>
      <c r="AD91" s="135"/>
      <c r="AE91" s="201"/>
      <c r="AF91" s="155"/>
      <c r="AG91" s="156"/>
      <c r="AI91" s="164"/>
      <c r="AJ91" s="165"/>
      <c r="AP91" s="201"/>
      <c r="AQ91" s="155"/>
      <c r="AX91" s="201"/>
      <c r="AY91" s="155"/>
      <c r="AZ91" s="156"/>
      <c r="BA91" s="155"/>
      <c r="BB91" s="135"/>
      <c r="BC91" s="135"/>
      <c r="BD91" s="135"/>
      <c r="BE91" s="135"/>
      <c r="BF91" s="135"/>
      <c r="BG91" s="135"/>
      <c r="BH91" s="156"/>
      <c r="BI91" s="155"/>
      <c r="BJ91" s="156"/>
      <c r="BL91" s="155"/>
      <c r="BM91" s="135"/>
      <c r="BN91" s="170"/>
      <c r="BO91" s="165"/>
      <c r="BS91" s="156"/>
      <c r="BT91" s="155"/>
      <c r="CA91" s="201"/>
      <c r="CB91" s="155"/>
      <c r="CC91" s="156"/>
      <c r="CD91" s="155"/>
      <c r="CG91" s="135"/>
      <c r="CH91" s="135"/>
      <c r="CI91" s="135"/>
      <c r="CJ91" s="135"/>
      <c r="CK91" s="201"/>
      <c r="CL91" s="155"/>
      <c r="CM91" s="156"/>
      <c r="CO91" s="155"/>
      <c r="CP91" s="135"/>
      <c r="CQ91" s="135"/>
      <c r="CR91" s="135"/>
      <c r="CS91" s="170"/>
      <c r="CT91" s="165"/>
      <c r="CU91" s="135"/>
      <c r="CV91" s="201"/>
    </row>
    <row r="92" spans="1:100" x14ac:dyDescent="0.25">
      <c r="A92" s="172"/>
      <c r="B92" s="156"/>
      <c r="F92" s="155"/>
      <c r="M92" s="201"/>
      <c r="O92" s="155"/>
      <c r="U92" s="201"/>
      <c r="V92" s="155"/>
      <c r="W92" s="156"/>
      <c r="X92" s="155"/>
      <c r="Y92" s="135"/>
      <c r="Z92" s="135"/>
      <c r="AA92" s="135"/>
      <c r="AB92" s="135"/>
      <c r="AC92" s="135"/>
      <c r="AD92" s="135"/>
      <c r="AE92" s="201"/>
      <c r="AF92" s="155"/>
      <c r="AG92" s="156"/>
      <c r="AI92" s="164"/>
      <c r="AJ92" s="165"/>
      <c r="AP92" s="201"/>
      <c r="AQ92" s="155"/>
      <c r="AX92" s="201"/>
      <c r="AY92" s="155"/>
      <c r="AZ92" s="156"/>
      <c r="BA92" s="155"/>
      <c r="BB92" s="135"/>
      <c r="BC92" s="135"/>
      <c r="BD92" s="135"/>
      <c r="BE92" s="135"/>
      <c r="BF92" s="135"/>
      <c r="BG92" s="135"/>
      <c r="BH92" s="156"/>
      <c r="BI92" s="155"/>
      <c r="BJ92" s="156"/>
      <c r="BL92" s="155"/>
      <c r="BM92" s="135"/>
      <c r="BN92" s="170"/>
      <c r="BO92" s="165"/>
      <c r="BS92" s="156"/>
      <c r="BT92" s="155"/>
      <c r="CA92" s="201"/>
      <c r="CB92" s="155"/>
      <c r="CC92" s="156"/>
      <c r="CD92" s="155"/>
      <c r="CG92" s="135"/>
      <c r="CH92" s="135"/>
      <c r="CI92" s="135"/>
      <c r="CJ92" s="135"/>
      <c r="CK92" s="201"/>
      <c r="CL92" s="155"/>
      <c r="CM92" s="156"/>
      <c r="CO92" s="155"/>
      <c r="CP92" s="135"/>
      <c r="CQ92" s="135"/>
      <c r="CR92" s="135"/>
      <c r="CS92" s="170"/>
      <c r="CT92" s="165"/>
      <c r="CU92" s="135"/>
      <c r="CV92" s="201"/>
    </row>
    <row r="93" spans="1:100" x14ac:dyDescent="0.25">
      <c r="A93" s="172"/>
      <c r="B93" s="156"/>
      <c r="F93" s="155"/>
      <c r="M93" s="201"/>
      <c r="O93" s="155"/>
      <c r="U93" s="201"/>
      <c r="V93" s="155"/>
      <c r="W93" s="156"/>
      <c r="X93" s="155"/>
      <c r="Y93" s="135"/>
      <c r="Z93" s="135"/>
      <c r="AA93" s="135"/>
      <c r="AB93" s="135"/>
      <c r="AC93" s="135"/>
      <c r="AD93" s="135"/>
      <c r="AE93" s="201"/>
      <c r="AF93" s="155"/>
      <c r="AG93" s="156"/>
      <c r="AI93" s="164"/>
      <c r="AJ93" s="165"/>
      <c r="AP93" s="201"/>
      <c r="AQ93" s="155"/>
      <c r="AX93" s="201"/>
      <c r="AY93" s="155"/>
      <c r="AZ93" s="156"/>
      <c r="BA93" s="155"/>
      <c r="BB93" s="135"/>
      <c r="BC93" s="135"/>
      <c r="BD93" s="135"/>
      <c r="BE93" s="135"/>
      <c r="BF93" s="135"/>
      <c r="BG93" s="135"/>
      <c r="BH93" s="156"/>
      <c r="BI93" s="155"/>
      <c r="BJ93" s="156"/>
      <c r="BL93" s="155"/>
      <c r="BM93" s="135"/>
      <c r="BN93" s="170"/>
      <c r="BO93" s="165"/>
      <c r="BS93" s="156"/>
      <c r="BT93" s="155"/>
      <c r="CA93" s="201"/>
      <c r="CB93" s="155"/>
      <c r="CC93" s="156"/>
      <c r="CD93" s="155"/>
      <c r="CG93" s="135"/>
      <c r="CH93" s="135"/>
      <c r="CI93" s="135"/>
      <c r="CJ93" s="135"/>
      <c r="CK93" s="201"/>
      <c r="CL93" s="155"/>
      <c r="CM93" s="156"/>
      <c r="CO93" s="155"/>
      <c r="CP93" s="135"/>
      <c r="CQ93" s="135"/>
      <c r="CR93" s="135"/>
      <c r="CS93" s="170"/>
      <c r="CT93" s="165"/>
      <c r="CU93" s="135"/>
      <c r="CV93" s="201"/>
    </row>
    <row r="94" spans="1:100" x14ac:dyDescent="0.25">
      <c r="A94" s="172"/>
      <c r="B94" s="156"/>
      <c r="F94" s="155"/>
      <c r="M94" s="201"/>
      <c r="O94" s="155"/>
      <c r="U94" s="201"/>
      <c r="V94" s="155"/>
      <c r="W94" s="156"/>
      <c r="X94" s="155"/>
      <c r="Y94" s="135"/>
      <c r="Z94" s="135"/>
      <c r="AA94" s="135"/>
      <c r="AB94" s="135"/>
      <c r="AC94" s="135"/>
      <c r="AD94" s="135"/>
      <c r="AE94" s="201"/>
      <c r="AF94" s="155"/>
      <c r="AG94" s="156"/>
      <c r="AI94" s="164"/>
      <c r="AJ94" s="165"/>
      <c r="AP94" s="201"/>
      <c r="AQ94" s="155"/>
      <c r="AX94" s="201"/>
      <c r="AY94" s="155"/>
      <c r="AZ94" s="156"/>
      <c r="BA94" s="155"/>
      <c r="BB94" s="135"/>
      <c r="BC94" s="135"/>
      <c r="BD94" s="135"/>
      <c r="BE94" s="135"/>
      <c r="BF94" s="135"/>
      <c r="BG94" s="135"/>
      <c r="BH94" s="156"/>
      <c r="BI94" s="155"/>
      <c r="BJ94" s="156"/>
      <c r="BL94" s="155"/>
      <c r="BM94" s="135"/>
      <c r="BN94" s="170"/>
      <c r="BO94" s="165"/>
      <c r="BS94" s="156"/>
      <c r="BT94" s="155"/>
      <c r="CA94" s="201"/>
      <c r="CB94" s="155"/>
      <c r="CC94" s="156"/>
      <c r="CD94" s="155"/>
      <c r="CG94" s="135"/>
      <c r="CH94" s="135"/>
      <c r="CI94" s="135"/>
      <c r="CJ94" s="135"/>
      <c r="CK94" s="201"/>
      <c r="CL94" s="155"/>
      <c r="CM94" s="156"/>
      <c r="CO94" s="155"/>
      <c r="CP94" s="135"/>
      <c r="CQ94" s="135"/>
      <c r="CR94" s="135"/>
      <c r="CS94" s="170"/>
      <c r="CT94" s="165"/>
      <c r="CU94" s="135"/>
      <c r="CV94" s="201"/>
    </row>
    <row r="95" spans="1:100" x14ac:dyDescent="0.25">
      <c r="A95" s="172"/>
      <c r="B95" s="156"/>
      <c r="F95" s="155"/>
      <c r="M95" s="201"/>
      <c r="O95" s="155"/>
      <c r="U95" s="201"/>
      <c r="V95" s="155"/>
      <c r="W95" s="156"/>
      <c r="X95" s="155"/>
      <c r="Y95" s="135"/>
      <c r="Z95" s="135"/>
      <c r="AA95" s="135"/>
      <c r="AB95" s="135"/>
      <c r="AC95" s="135"/>
      <c r="AD95" s="135"/>
      <c r="AE95" s="201"/>
      <c r="AF95" s="155"/>
      <c r="AG95" s="156"/>
      <c r="AI95" s="164"/>
      <c r="AJ95" s="165"/>
      <c r="AP95" s="201"/>
      <c r="AQ95" s="155"/>
      <c r="AX95" s="201"/>
      <c r="AY95" s="155"/>
      <c r="AZ95" s="156"/>
      <c r="BA95" s="155"/>
      <c r="BB95" s="135"/>
      <c r="BC95" s="135"/>
      <c r="BD95" s="135"/>
      <c r="BE95" s="135"/>
      <c r="BF95" s="135"/>
      <c r="BG95" s="135"/>
      <c r="BH95" s="156"/>
      <c r="BI95" s="155"/>
      <c r="BJ95" s="156"/>
      <c r="BL95" s="155"/>
      <c r="BM95" s="135"/>
      <c r="BN95" s="170"/>
      <c r="BO95" s="165"/>
      <c r="BS95" s="156"/>
      <c r="BT95" s="155"/>
      <c r="CA95" s="201"/>
      <c r="CB95" s="155"/>
      <c r="CC95" s="156"/>
      <c r="CD95" s="155"/>
      <c r="CG95" s="135"/>
      <c r="CH95" s="135"/>
      <c r="CI95" s="135"/>
      <c r="CJ95" s="135"/>
      <c r="CK95" s="201"/>
      <c r="CL95" s="155"/>
      <c r="CM95" s="156"/>
      <c r="CO95" s="155"/>
      <c r="CP95" s="135"/>
      <c r="CQ95" s="135"/>
      <c r="CR95" s="135"/>
      <c r="CS95" s="170"/>
      <c r="CT95" s="165"/>
      <c r="CU95" s="135"/>
      <c r="CV95" s="201"/>
    </row>
    <row r="96" spans="1:100" x14ac:dyDescent="0.25">
      <c r="A96" s="172"/>
      <c r="B96" s="156"/>
      <c r="F96" s="155"/>
      <c r="M96" s="201"/>
      <c r="O96" s="155"/>
      <c r="U96" s="201"/>
      <c r="V96" s="155"/>
      <c r="W96" s="156"/>
      <c r="X96" s="155"/>
      <c r="Y96" s="135"/>
      <c r="Z96" s="135"/>
      <c r="AA96" s="135"/>
      <c r="AB96" s="135"/>
      <c r="AC96" s="135"/>
      <c r="AD96" s="135"/>
      <c r="AE96" s="201"/>
      <c r="AF96" s="155"/>
      <c r="AG96" s="156"/>
      <c r="AI96" s="164"/>
      <c r="AJ96" s="165"/>
      <c r="AP96" s="201"/>
      <c r="AQ96" s="155"/>
      <c r="AX96" s="201"/>
      <c r="AY96" s="155"/>
      <c r="AZ96" s="156"/>
      <c r="BA96" s="155"/>
      <c r="BB96" s="135"/>
      <c r="BC96" s="135"/>
      <c r="BD96" s="135"/>
      <c r="BE96" s="135"/>
      <c r="BF96" s="135"/>
      <c r="BG96" s="135"/>
      <c r="BH96" s="156"/>
      <c r="BI96" s="155"/>
      <c r="BJ96" s="156"/>
      <c r="BL96" s="155"/>
      <c r="BM96" s="135"/>
      <c r="BN96" s="170"/>
      <c r="BO96" s="165"/>
      <c r="BS96" s="156"/>
      <c r="BT96" s="155"/>
      <c r="CA96" s="201"/>
      <c r="CB96" s="155"/>
      <c r="CC96" s="156"/>
      <c r="CD96" s="155"/>
      <c r="CG96" s="135"/>
      <c r="CH96" s="135"/>
      <c r="CI96" s="135"/>
      <c r="CJ96" s="135"/>
      <c r="CK96" s="201"/>
      <c r="CL96" s="155"/>
      <c r="CM96" s="156"/>
      <c r="CO96" s="155"/>
      <c r="CP96" s="135"/>
      <c r="CQ96" s="135"/>
      <c r="CR96" s="135"/>
      <c r="CS96" s="170"/>
      <c r="CT96" s="165"/>
      <c r="CU96" s="135"/>
      <c r="CV96" s="201"/>
    </row>
    <row r="97" spans="1:100" x14ac:dyDescent="0.25">
      <c r="A97" s="172"/>
      <c r="B97" s="156"/>
      <c r="F97" s="155"/>
      <c r="M97" s="201"/>
      <c r="O97" s="155"/>
      <c r="U97" s="201"/>
      <c r="V97" s="155"/>
      <c r="W97" s="156"/>
      <c r="X97" s="155"/>
      <c r="Y97" s="135"/>
      <c r="Z97" s="135"/>
      <c r="AA97" s="135"/>
      <c r="AB97" s="135"/>
      <c r="AC97" s="135"/>
      <c r="AD97" s="135"/>
      <c r="AE97" s="201"/>
      <c r="AF97" s="155"/>
      <c r="AG97" s="156"/>
      <c r="AI97" s="164"/>
      <c r="AJ97" s="165"/>
      <c r="AP97" s="201"/>
      <c r="AQ97" s="155"/>
      <c r="AX97" s="201"/>
      <c r="AY97" s="155"/>
      <c r="AZ97" s="156"/>
      <c r="BA97" s="155"/>
      <c r="BB97" s="135"/>
      <c r="BC97" s="135"/>
      <c r="BD97" s="135"/>
      <c r="BE97" s="135"/>
      <c r="BF97" s="135"/>
      <c r="BG97" s="135"/>
      <c r="BH97" s="156"/>
      <c r="BI97" s="155"/>
      <c r="BJ97" s="156"/>
      <c r="BL97" s="155"/>
      <c r="BM97" s="135"/>
      <c r="BN97" s="170"/>
      <c r="BO97" s="165"/>
      <c r="BS97" s="156"/>
      <c r="BT97" s="155"/>
      <c r="CA97" s="201"/>
      <c r="CB97" s="155"/>
      <c r="CC97" s="156"/>
      <c r="CD97" s="155"/>
      <c r="CG97" s="135"/>
      <c r="CH97" s="135"/>
      <c r="CI97" s="135"/>
      <c r="CJ97" s="135"/>
      <c r="CK97" s="201"/>
      <c r="CL97" s="155"/>
      <c r="CM97" s="156"/>
      <c r="CO97" s="155"/>
      <c r="CP97" s="135"/>
      <c r="CQ97" s="135"/>
      <c r="CR97" s="135"/>
      <c r="CS97" s="170"/>
      <c r="CT97" s="165"/>
      <c r="CU97" s="135"/>
      <c r="CV97" s="201"/>
    </row>
    <row r="98" spans="1:100" x14ac:dyDescent="0.25">
      <c r="A98" s="172"/>
      <c r="B98" s="156"/>
      <c r="F98" s="155"/>
      <c r="M98" s="201"/>
      <c r="O98" s="155"/>
      <c r="U98" s="201"/>
      <c r="V98" s="155"/>
      <c r="W98" s="156"/>
      <c r="X98" s="155"/>
      <c r="Y98" s="135"/>
      <c r="Z98" s="135"/>
      <c r="AA98" s="135"/>
      <c r="AB98" s="135"/>
      <c r="AC98" s="135"/>
      <c r="AD98" s="135"/>
      <c r="AE98" s="201"/>
      <c r="AF98" s="155"/>
      <c r="AG98" s="156"/>
      <c r="AI98" s="164"/>
      <c r="AJ98" s="165"/>
      <c r="AP98" s="201"/>
      <c r="AQ98" s="155"/>
      <c r="AX98" s="201"/>
      <c r="AY98" s="155"/>
      <c r="AZ98" s="156"/>
      <c r="BA98" s="155"/>
      <c r="BB98" s="135"/>
      <c r="BC98" s="135"/>
      <c r="BD98" s="135"/>
      <c r="BE98" s="135"/>
      <c r="BF98" s="135"/>
      <c r="BG98" s="135"/>
      <c r="BH98" s="156"/>
      <c r="BI98" s="155"/>
      <c r="BJ98" s="156"/>
      <c r="BL98" s="155"/>
      <c r="BM98" s="135"/>
      <c r="BN98" s="170"/>
      <c r="BO98" s="165"/>
      <c r="BS98" s="156"/>
      <c r="BT98" s="155"/>
      <c r="CA98" s="201"/>
      <c r="CB98" s="155"/>
      <c r="CC98" s="156"/>
      <c r="CD98" s="155"/>
      <c r="CG98" s="135"/>
      <c r="CH98" s="135"/>
      <c r="CI98" s="135"/>
      <c r="CJ98" s="135"/>
      <c r="CK98" s="201"/>
      <c r="CL98" s="155"/>
      <c r="CM98" s="156"/>
      <c r="CO98" s="155"/>
      <c r="CP98" s="135"/>
      <c r="CQ98" s="135"/>
      <c r="CR98" s="135"/>
      <c r="CS98" s="170"/>
      <c r="CT98" s="165"/>
      <c r="CU98" s="135"/>
      <c r="CV98" s="201"/>
    </row>
    <row r="99" spans="1:100" x14ac:dyDescent="0.25">
      <c r="A99" s="172"/>
      <c r="B99" s="156"/>
      <c r="F99" s="155"/>
      <c r="M99" s="201"/>
      <c r="O99" s="155"/>
      <c r="U99" s="201"/>
      <c r="V99" s="155"/>
      <c r="W99" s="156"/>
      <c r="X99" s="155"/>
      <c r="Y99" s="135"/>
      <c r="Z99" s="135"/>
      <c r="AA99" s="135"/>
      <c r="AB99" s="135"/>
      <c r="AC99" s="135"/>
      <c r="AD99" s="135"/>
      <c r="AE99" s="201"/>
      <c r="AF99" s="155"/>
      <c r="AG99" s="156"/>
      <c r="AI99" s="164"/>
      <c r="AJ99" s="165"/>
      <c r="AP99" s="201"/>
      <c r="AQ99" s="155"/>
      <c r="AX99" s="201"/>
      <c r="AY99" s="155"/>
      <c r="AZ99" s="156"/>
      <c r="BA99" s="155"/>
      <c r="BB99" s="135"/>
      <c r="BC99" s="135"/>
      <c r="BD99" s="135"/>
      <c r="BE99" s="135"/>
      <c r="BF99" s="135"/>
      <c r="BG99" s="135"/>
      <c r="BH99" s="156"/>
      <c r="BI99" s="155"/>
      <c r="BJ99" s="156"/>
      <c r="BL99" s="155"/>
      <c r="BM99" s="135"/>
      <c r="BN99" s="170"/>
      <c r="BO99" s="165"/>
      <c r="BS99" s="156"/>
      <c r="BT99" s="155"/>
      <c r="CA99" s="201"/>
      <c r="CB99" s="155"/>
      <c r="CC99" s="156"/>
      <c r="CD99" s="155"/>
      <c r="CG99" s="135"/>
      <c r="CH99" s="135"/>
      <c r="CI99" s="135"/>
      <c r="CJ99" s="135"/>
      <c r="CK99" s="201"/>
      <c r="CL99" s="155"/>
      <c r="CM99" s="156"/>
      <c r="CO99" s="155"/>
      <c r="CP99" s="135"/>
      <c r="CQ99" s="135"/>
      <c r="CR99" s="135"/>
      <c r="CS99" s="170"/>
      <c r="CT99" s="165"/>
      <c r="CU99" s="135"/>
      <c r="CV99" s="201"/>
    </row>
    <row r="100" spans="1:100" x14ac:dyDescent="0.25">
      <c r="A100" s="172"/>
      <c r="B100" s="156"/>
      <c r="F100" s="155"/>
      <c r="M100" s="201"/>
      <c r="O100" s="155"/>
      <c r="U100" s="201"/>
      <c r="V100" s="155"/>
      <c r="W100" s="156"/>
      <c r="X100" s="155"/>
      <c r="Y100" s="135"/>
      <c r="Z100" s="135"/>
      <c r="AA100" s="135"/>
      <c r="AB100" s="135"/>
      <c r="AC100" s="135"/>
      <c r="AD100" s="135"/>
      <c r="AE100" s="201"/>
      <c r="AF100" s="155"/>
      <c r="AG100" s="156"/>
      <c r="AI100" s="164"/>
      <c r="AJ100" s="165"/>
      <c r="AP100" s="201"/>
      <c r="AQ100" s="155"/>
      <c r="AX100" s="201"/>
      <c r="AY100" s="155"/>
      <c r="AZ100" s="156"/>
      <c r="BA100" s="155"/>
      <c r="BB100" s="135"/>
      <c r="BC100" s="135"/>
      <c r="BD100" s="135"/>
      <c r="BE100" s="135"/>
      <c r="BF100" s="135"/>
      <c r="BG100" s="135"/>
      <c r="BH100" s="156"/>
      <c r="BI100" s="155"/>
      <c r="BJ100" s="156"/>
      <c r="BL100" s="155"/>
      <c r="BM100" s="135"/>
      <c r="BN100" s="170"/>
      <c r="BO100" s="165"/>
      <c r="BS100" s="156"/>
      <c r="BT100" s="155"/>
      <c r="CA100" s="201"/>
      <c r="CB100" s="155"/>
      <c r="CC100" s="156"/>
      <c r="CD100" s="155"/>
      <c r="CG100" s="135"/>
      <c r="CH100" s="135"/>
      <c r="CI100" s="135"/>
      <c r="CJ100" s="135"/>
      <c r="CK100" s="201"/>
      <c r="CL100" s="155"/>
      <c r="CM100" s="156"/>
      <c r="CO100" s="155"/>
      <c r="CP100" s="135"/>
      <c r="CQ100" s="135"/>
      <c r="CR100" s="135"/>
      <c r="CS100" s="170"/>
      <c r="CT100" s="165"/>
      <c r="CU100" s="135"/>
      <c r="CV100" s="201"/>
    </row>
    <row r="101" spans="1:100" x14ac:dyDescent="0.25">
      <c r="A101" s="172"/>
      <c r="B101" s="156"/>
      <c r="F101" s="155"/>
      <c r="M101" s="201"/>
      <c r="O101" s="155"/>
      <c r="U101" s="201"/>
      <c r="V101" s="155"/>
      <c r="W101" s="156"/>
      <c r="X101" s="155"/>
      <c r="Y101" s="135"/>
      <c r="Z101" s="135"/>
      <c r="AA101" s="135"/>
      <c r="AB101" s="135"/>
      <c r="AC101" s="135"/>
      <c r="AD101" s="135"/>
      <c r="AE101" s="201"/>
      <c r="AF101" s="155"/>
      <c r="AG101" s="156"/>
      <c r="AI101" s="164"/>
      <c r="AJ101" s="165"/>
      <c r="AP101" s="201"/>
      <c r="AQ101" s="155"/>
      <c r="AX101" s="201"/>
      <c r="AY101" s="155"/>
      <c r="AZ101" s="156"/>
      <c r="BA101" s="155"/>
      <c r="BB101" s="135"/>
      <c r="BC101" s="135"/>
      <c r="BD101" s="135"/>
      <c r="BE101" s="135"/>
      <c r="BF101" s="135"/>
      <c r="BG101" s="135"/>
      <c r="BH101" s="156"/>
      <c r="BI101" s="155"/>
      <c r="BJ101" s="156"/>
      <c r="BL101" s="155"/>
      <c r="BM101" s="135"/>
      <c r="BN101" s="170"/>
      <c r="BO101" s="165"/>
      <c r="BS101" s="156"/>
      <c r="BT101" s="155"/>
      <c r="CA101" s="201"/>
      <c r="CB101" s="155"/>
      <c r="CC101" s="156"/>
      <c r="CD101" s="155"/>
      <c r="CG101" s="135"/>
      <c r="CH101" s="135"/>
      <c r="CI101" s="135"/>
      <c r="CJ101" s="135"/>
      <c r="CK101" s="201"/>
      <c r="CL101" s="155"/>
      <c r="CM101" s="156"/>
      <c r="CO101" s="155"/>
      <c r="CP101" s="135"/>
      <c r="CQ101" s="135"/>
      <c r="CR101" s="135"/>
      <c r="CS101" s="170"/>
      <c r="CT101" s="165"/>
      <c r="CU101" s="135"/>
      <c r="CV101" s="201"/>
    </row>
    <row r="102" spans="1:100" x14ac:dyDescent="0.25">
      <c r="A102" s="172"/>
      <c r="B102" s="156"/>
      <c r="F102" s="155"/>
      <c r="M102" s="201"/>
      <c r="O102" s="155"/>
      <c r="U102" s="201"/>
      <c r="V102" s="155"/>
      <c r="W102" s="156"/>
      <c r="X102" s="155"/>
      <c r="Y102" s="135"/>
      <c r="Z102" s="135"/>
      <c r="AA102" s="135"/>
      <c r="AB102" s="135"/>
      <c r="AC102" s="135"/>
      <c r="AD102" s="135"/>
      <c r="AE102" s="201"/>
      <c r="AF102" s="155"/>
      <c r="AG102" s="156"/>
      <c r="AI102" s="164"/>
      <c r="AJ102" s="165"/>
      <c r="AP102" s="201"/>
      <c r="AQ102" s="155"/>
      <c r="AX102" s="201"/>
      <c r="AY102" s="155"/>
      <c r="AZ102" s="156"/>
      <c r="BA102" s="155"/>
      <c r="BB102" s="135"/>
      <c r="BC102" s="135"/>
      <c r="BD102" s="135"/>
      <c r="BE102" s="135"/>
      <c r="BF102" s="135"/>
      <c r="BG102" s="135"/>
      <c r="BH102" s="156"/>
      <c r="BI102" s="155"/>
      <c r="BJ102" s="156"/>
      <c r="BL102" s="155"/>
      <c r="BM102" s="135"/>
      <c r="BN102" s="170"/>
      <c r="BO102" s="165"/>
      <c r="BS102" s="156"/>
      <c r="BT102" s="155"/>
      <c r="CA102" s="201"/>
      <c r="CB102" s="155"/>
      <c r="CC102" s="156"/>
      <c r="CD102" s="155"/>
      <c r="CG102" s="135"/>
      <c r="CH102" s="135"/>
      <c r="CI102" s="135"/>
      <c r="CJ102" s="135"/>
      <c r="CK102" s="201"/>
      <c r="CL102" s="155"/>
      <c r="CM102" s="156"/>
      <c r="CO102" s="155"/>
      <c r="CP102" s="135"/>
      <c r="CQ102" s="135"/>
      <c r="CR102" s="135"/>
      <c r="CS102" s="170"/>
      <c r="CT102" s="165"/>
      <c r="CU102" s="135"/>
      <c r="CV102" s="201"/>
    </row>
    <row r="103" spans="1:100" x14ac:dyDescent="0.25">
      <c r="A103" s="172"/>
      <c r="B103" s="156"/>
      <c r="F103" s="155"/>
      <c r="M103" s="201"/>
      <c r="O103" s="155"/>
      <c r="U103" s="201"/>
      <c r="V103" s="155"/>
      <c r="W103" s="156"/>
      <c r="X103" s="155"/>
      <c r="Y103" s="135"/>
      <c r="Z103" s="135"/>
      <c r="AA103" s="135"/>
      <c r="AB103" s="135"/>
      <c r="AC103" s="135"/>
      <c r="AD103" s="135"/>
      <c r="AE103" s="201"/>
      <c r="AF103" s="155"/>
      <c r="AG103" s="156"/>
      <c r="AI103" s="164"/>
      <c r="AJ103" s="165"/>
      <c r="AP103" s="201"/>
      <c r="AQ103" s="155"/>
      <c r="AX103" s="201"/>
      <c r="AY103" s="155"/>
      <c r="AZ103" s="156"/>
      <c r="BA103" s="155"/>
      <c r="BB103" s="135"/>
      <c r="BC103" s="135"/>
      <c r="BD103" s="135"/>
      <c r="BE103" s="135"/>
      <c r="BF103" s="135"/>
      <c r="BG103" s="135"/>
      <c r="BH103" s="156"/>
      <c r="BI103" s="155"/>
      <c r="BJ103" s="156"/>
      <c r="BL103" s="155"/>
      <c r="BM103" s="135"/>
      <c r="BN103" s="170"/>
      <c r="BO103" s="165"/>
      <c r="BS103" s="156"/>
      <c r="BT103" s="155"/>
      <c r="CA103" s="201"/>
      <c r="CB103" s="155"/>
      <c r="CC103" s="156"/>
      <c r="CD103" s="155"/>
      <c r="CG103" s="135"/>
      <c r="CH103" s="135"/>
      <c r="CI103" s="135"/>
      <c r="CJ103" s="135"/>
      <c r="CK103" s="201"/>
      <c r="CL103" s="155"/>
      <c r="CM103" s="156"/>
      <c r="CO103" s="155"/>
      <c r="CP103" s="135"/>
      <c r="CQ103" s="135"/>
      <c r="CR103" s="135"/>
      <c r="CS103" s="170"/>
      <c r="CT103" s="165"/>
      <c r="CU103" s="135"/>
      <c r="CV103" s="201"/>
    </row>
    <row r="104" spans="1:100" x14ac:dyDescent="0.25">
      <c r="A104" s="172"/>
      <c r="B104" s="156"/>
      <c r="F104" s="155"/>
      <c r="M104" s="201"/>
      <c r="O104" s="155"/>
      <c r="U104" s="201"/>
      <c r="V104" s="155"/>
      <c r="W104" s="156"/>
      <c r="X104" s="155"/>
      <c r="Y104" s="135"/>
      <c r="Z104" s="135"/>
      <c r="AA104" s="135"/>
      <c r="AB104" s="135"/>
      <c r="AC104" s="135"/>
      <c r="AD104" s="135"/>
      <c r="AE104" s="201"/>
      <c r="AF104" s="155"/>
      <c r="AG104" s="156"/>
      <c r="AI104" s="164"/>
      <c r="AJ104" s="165"/>
      <c r="AP104" s="201"/>
      <c r="AQ104" s="155"/>
      <c r="AX104" s="201"/>
      <c r="AY104" s="155"/>
      <c r="AZ104" s="156"/>
      <c r="BA104" s="155"/>
      <c r="BB104" s="135"/>
      <c r="BC104" s="135"/>
      <c r="BD104" s="135"/>
      <c r="BE104" s="135"/>
      <c r="BF104" s="135"/>
      <c r="BG104" s="135"/>
      <c r="BH104" s="156"/>
      <c r="BI104" s="155"/>
      <c r="BJ104" s="156"/>
      <c r="BL104" s="155"/>
      <c r="BM104" s="135"/>
      <c r="BN104" s="170"/>
      <c r="BO104" s="165"/>
      <c r="BS104" s="156"/>
      <c r="BT104" s="155"/>
      <c r="CA104" s="201"/>
      <c r="CB104" s="155"/>
      <c r="CC104" s="156"/>
      <c r="CD104" s="155"/>
      <c r="CG104" s="135"/>
      <c r="CH104" s="135"/>
      <c r="CI104" s="135"/>
      <c r="CJ104" s="135"/>
      <c r="CK104" s="201"/>
      <c r="CL104" s="155"/>
      <c r="CM104" s="156"/>
      <c r="CO104" s="155"/>
      <c r="CP104" s="135"/>
      <c r="CQ104" s="135"/>
      <c r="CR104" s="135"/>
      <c r="CS104" s="170"/>
      <c r="CT104" s="165"/>
      <c r="CU104" s="135"/>
      <c r="CV104" s="201"/>
    </row>
    <row r="105" spans="1:100" x14ac:dyDescent="0.25">
      <c r="A105" s="172"/>
      <c r="B105" s="156"/>
      <c r="F105" s="155"/>
      <c r="M105" s="201"/>
      <c r="O105" s="155"/>
      <c r="U105" s="201"/>
      <c r="V105" s="155"/>
      <c r="W105" s="156"/>
      <c r="X105" s="155"/>
      <c r="Y105" s="135"/>
      <c r="Z105" s="135"/>
      <c r="AA105" s="135"/>
      <c r="AB105" s="135"/>
      <c r="AC105" s="135"/>
      <c r="AD105" s="135"/>
      <c r="AE105" s="201"/>
      <c r="AF105" s="155"/>
      <c r="AG105" s="156"/>
      <c r="AI105" s="164"/>
      <c r="AJ105" s="165"/>
      <c r="AP105" s="201"/>
      <c r="AQ105" s="155"/>
      <c r="AX105" s="201"/>
      <c r="AY105" s="155"/>
      <c r="AZ105" s="156"/>
      <c r="BA105" s="155"/>
      <c r="BB105" s="135"/>
      <c r="BC105" s="135"/>
      <c r="BD105" s="135"/>
      <c r="BE105" s="135"/>
      <c r="BF105" s="135"/>
      <c r="BG105" s="135"/>
      <c r="BH105" s="156"/>
      <c r="BI105" s="155"/>
      <c r="BJ105" s="156"/>
      <c r="BL105" s="155"/>
      <c r="BM105" s="135"/>
      <c r="BN105" s="170"/>
      <c r="BO105" s="165"/>
      <c r="BS105" s="156"/>
      <c r="BT105" s="155"/>
      <c r="CA105" s="201"/>
      <c r="CB105" s="155"/>
      <c r="CC105" s="156"/>
      <c r="CD105" s="155"/>
      <c r="CG105" s="135"/>
      <c r="CH105" s="135"/>
      <c r="CI105" s="135"/>
      <c r="CJ105" s="135"/>
      <c r="CK105" s="201"/>
      <c r="CL105" s="155"/>
      <c r="CM105" s="156"/>
      <c r="CO105" s="155"/>
      <c r="CP105" s="135"/>
      <c r="CQ105" s="135"/>
      <c r="CR105" s="135"/>
      <c r="CS105" s="170"/>
      <c r="CT105" s="165"/>
      <c r="CU105" s="135"/>
      <c r="CV105" s="201"/>
    </row>
    <row r="106" spans="1:100" x14ac:dyDescent="0.25">
      <c r="A106" s="172"/>
      <c r="B106" s="156"/>
      <c r="F106" s="155"/>
      <c r="M106" s="201"/>
      <c r="O106" s="155"/>
      <c r="U106" s="201"/>
      <c r="V106" s="155"/>
      <c r="W106" s="156"/>
      <c r="X106" s="155"/>
      <c r="Y106" s="135"/>
      <c r="Z106" s="135"/>
      <c r="AA106" s="135"/>
      <c r="AB106" s="135"/>
      <c r="AC106" s="135"/>
      <c r="AD106" s="135"/>
      <c r="AE106" s="201"/>
      <c r="AF106" s="155"/>
      <c r="AG106" s="156"/>
      <c r="AI106" s="164"/>
      <c r="AJ106" s="165"/>
      <c r="AP106" s="201"/>
      <c r="AQ106" s="155"/>
      <c r="AX106" s="201"/>
      <c r="AY106" s="155"/>
      <c r="AZ106" s="156"/>
      <c r="BA106" s="155"/>
      <c r="BB106" s="135"/>
      <c r="BC106" s="135"/>
      <c r="BD106" s="135"/>
      <c r="BE106" s="135"/>
      <c r="BF106" s="135"/>
      <c r="BG106" s="135"/>
      <c r="BH106" s="156"/>
      <c r="BI106" s="155"/>
      <c r="BJ106" s="156"/>
      <c r="BL106" s="155"/>
      <c r="BM106" s="135"/>
      <c r="BN106" s="170"/>
      <c r="BO106" s="165"/>
      <c r="BS106" s="156"/>
      <c r="BT106" s="155"/>
      <c r="CA106" s="201"/>
      <c r="CB106" s="155"/>
      <c r="CC106" s="156"/>
      <c r="CD106" s="155"/>
      <c r="CG106" s="135"/>
      <c r="CH106" s="135"/>
      <c r="CI106" s="135"/>
      <c r="CJ106" s="135"/>
      <c r="CK106" s="201"/>
      <c r="CL106" s="155"/>
      <c r="CM106" s="156"/>
      <c r="CO106" s="155"/>
      <c r="CP106" s="135"/>
      <c r="CQ106" s="135"/>
      <c r="CR106" s="135"/>
      <c r="CS106" s="170"/>
      <c r="CT106" s="165"/>
      <c r="CU106" s="135"/>
      <c r="CV106" s="201"/>
    </row>
    <row r="107" spans="1:100" x14ac:dyDescent="0.25">
      <c r="A107" s="172"/>
      <c r="B107" s="156"/>
      <c r="F107" s="155"/>
      <c r="M107" s="201"/>
      <c r="O107" s="155"/>
      <c r="U107" s="201"/>
      <c r="V107" s="155"/>
      <c r="W107" s="156"/>
      <c r="X107" s="155"/>
      <c r="Y107" s="135"/>
      <c r="Z107" s="135"/>
      <c r="AA107" s="135"/>
      <c r="AB107" s="135"/>
      <c r="AC107" s="135"/>
      <c r="AD107" s="135"/>
      <c r="AE107" s="201"/>
      <c r="AF107" s="155"/>
      <c r="AG107" s="156"/>
      <c r="AI107" s="164"/>
      <c r="AJ107" s="165"/>
      <c r="AP107" s="201"/>
      <c r="AQ107" s="155"/>
      <c r="AX107" s="201"/>
      <c r="AY107" s="155"/>
      <c r="AZ107" s="156"/>
      <c r="BA107" s="155"/>
      <c r="BB107" s="135"/>
      <c r="BC107" s="135"/>
      <c r="BD107" s="135"/>
      <c r="BE107" s="135"/>
      <c r="BF107" s="135"/>
      <c r="BG107" s="135"/>
      <c r="BH107" s="156"/>
      <c r="BI107" s="155"/>
      <c r="BJ107" s="156"/>
      <c r="BL107" s="155"/>
      <c r="BM107" s="135"/>
      <c r="BN107" s="170"/>
      <c r="BO107" s="165"/>
      <c r="BS107" s="156"/>
      <c r="BT107" s="155"/>
      <c r="CA107" s="201"/>
      <c r="CB107" s="155"/>
      <c r="CC107" s="156"/>
      <c r="CD107" s="155"/>
      <c r="CG107" s="135"/>
      <c r="CH107" s="135"/>
      <c r="CI107" s="135"/>
      <c r="CJ107" s="135"/>
      <c r="CK107" s="201"/>
      <c r="CL107" s="155"/>
      <c r="CM107" s="156"/>
      <c r="CO107" s="155"/>
      <c r="CP107" s="135"/>
      <c r="CQ107" s="135"/>
      <c r="CR107" s="135"/>
      <c r="CS107" s="170"/>
      <c r="CT107" s="165"/>
      <c r="CU107" s="135"/>
      <c r="CV107" s="201"/>
    </row>
    <row r="108" spans="1:100" x14ac:dyDescent="0.25">
      <c r="A108" s="172"/>
      <c r="B108" s="156"/>
      <c r="F108" s="155"/>
      <c r="M108" s="201"/>
      <c r="O108" s="155"/>
      <c r="U108" s="201"/>
      <c r="V108" s="155"/>
      <c r="W108" s="156"/>
      <c r="X108" s="155"/>
      <c r="Y108" s="135"/>
      <c r="Z108" s="135"/>
      <c r="AA108" s="135"/>
      <c r="AB108" s="135"/>
      <c r="AC108" s="135"/>
      <c r="AD108" s="135"/>
      <c r="AE108" s="201"/>
      <c r="AF108" s="155"/>
      <c r="AG108" s="156"/>
      <c r="AI108" s="164"/>
      <c r="AJ108" s="165"/>
      <c r="AP108" s="201"/>
      <c r="AQ108" s="155"/>
      <c r="AX108" s="201"/>
      <c r="AY108" s="155"/>
      <c r="AZ108" s="156"/>
      <c r="BA108" s="155"/>
      <c r="BB108" s="135"/>
      <c r="BC108" s="135"/>
      <c r="BD108" s="135"/>
      <c r="BE108" s="135"/>
      <c r="BF108" s="135"/>
      <c r="BG108" s="135"/>
      <c r="BH108" s="156"/>
      <c r="BI108" s="155"/>
      <c r="BJ108" s="156"/>
      <c r="BL108" s="155"/>
      <c r="BM108" s="135"/>
      <c r="BN108" s="170"/>
      <c r="BO108" s="165"/>
      <c r="BS108" s="156"/>
      <c r="BT108" s="155"/>
      <c r="CA108" s="201"/>
      <c r="CB108" s="155"/>
      <c r="CC108" s="156"/>
      <c r="CD108" s="155"/>
      <c r="CG108" s="135"/>
      <c r="CH108" s="135"/>
      <c r="CI108" s="135"/>
      <c r="CJ108" s="135"/>
      <c r="CK108" s="201"/>
      <c r="CL108" s="155"/>
      <c r="CM108" s="156"/>
      <c r="CO108" s="155"/>
      <c r="CP108" s="135"/>
      <c r="CQ108" s="135"/>
      <c r="CR108" s="135"/>
      <c r="CS108" s="170"/>
      <c r="CT108" s="165"/>
      <c r="CU108" s="135"/>
      <c r="CV108" s="201"/>
    </row>
    <row r="109" spans="1:100" x14ac:dyDescent="0.25">
      <c r="A109" s="172"/>
      <c r="B109" s="156"/>
      <c r="F109" s="155"/>
      <c r="M109" s="201"/>
      <c r="O109" s="155"/>
      <c r="U109" s="201"/>
      <c r="V109" s="155"/>
      <c r="W109" s="156"/>
      <c r="X109" s="155"/>
      <c r="Y109" s="135"/>
      <c r="Z109" s="135"/>
      <c r="AA109" s="135"/>
      <c r="AB109" s="135"/>
      <c r="AC109" s="135"/>
      <c r="AD109" s="135"/>
      <c r="AE109" s="201"/>
      <c r="AF109" s="155"/>
      <c r="AG109" s="156"/>
      <c r="AI109" s="164"/>
      <c r="AJ109" s="165"/>
      <c r="AP109" s="201"/>
      <c r="AQ109" s="155"/>
      <c r="AX109" s="201"/>
      <c r="AY109" s="155"/>
      <c r="AZ109" s="156"/>
      <c r="BA109" s="155"/>
      <c r="BB109" s="135"/>
      <c r="BC109" s="135"/>
      <c r="BD109" s="135"/>
      <c r="BE109" s="135"/>
      <c r="BF109" s="135"/>
      <c r="BG109" s="135"/>
      <c r="BH109" s="156"/>
      <c r="BI109" s="155"/>
      <c r="BJ109" s="156"/>
      <c r="BL109" s="155"/>
      <c r="BM109" s="135"/>
      <c r="BN109" s="170"/>
      <c r="BO109" s="165"/>
      <c r="BS109" s="156"/>
      <c r="BT109" s="155"/>
      <c r="CA109" s="201"/>
      <c r="CB109" s="155"/>
      <c r="CC109" s="156"/>
      <c r="CD109" s="155"/>
      <c r="CG109" s="135"/>
      <c r="CH109" s="135"/>
      <c r="CI109" s="135"/>
      <c r="CJ109" s="135"/>
      <c r="CK109" s="201"/>
      <c r="CL109" s="155"/>
      <c r="CM109" s="156"/>
      <c r="CO109" s="155"/>
      <c r="CP109" s="135"/>
      <c r="CQ109" s="135"/>
      <c r="CR109" s="135"/>
      <c r="CS109" s="170"/>
      <c r="CT109" s="165"/>
      <c r="CU109" s="135"/>
      <c r="CV109" s="201"/>
    </row>
    <row r="110" spans="1:100" x14ac:dyDescent="0.25">
      <c r="A110" s="172"/>
      <c r="B110" s="156"/>
      <c r="F110" s="155"/>
      <c r="M110" s="201"/>
      <c r="O110" s="155"/>
      <c r="U110" s="201"/>
      <c r="V110" s="155"/>
      <c r="W110" s="156"/>
      <c r="X110" s="155"/>
      <c r="Y110" s="135"/>
      <c r="Z110" s="135"/>
      <c r="AA110" s="135"/>
      <c r="AB110" s="135"/>
      <c r="AC110" s="135"/>
      <c r="AD110" s="135"/>
      <c r="AE110" s="201"/>
      <c r="AF110" s="155"/>
      <c r="AG110" s="156"/>
      <c r="AI110" s="164"/>
      <c r="AJ110" s="165"/>
      <c r="AP110" s="201"/>
      <c r="AQ110" s="155"/>
      <c r="AX110" s="201"/>
      <c r="AY110" s="155"/>
      <c r="AZ110" s="156"/>
      <c r="BA110" s="155"/>
      <c r="BB110" s="135"/>
      <c r="BC110" s="135"/>
      <c r="BD110" s="135"/>
      <c r="BE110" s="135"/>
      <c r="BF110" s="135"/>
      <c r="BG110" s="135"/>
      <c r="BH110" s="156"/>
      <c r="BI110" s="155"/>
      <c r="BJ110" s="156"/>
      <c r="BL110" s="155"/>
      <c r="BM110" s="135"/>
      <c r="BN110" s="170"/>
      <c r="BO110" s="165"/>
      <c r="BS110" s="156"/>
      <c r="BT110" s="155"/>
      <c r="CA110" s="201"/>
      <c r="CB110" s="155"/>
      <c r="CC110" s="156"/>
      <c r="CD110" s="155"/>
      <c r="CG110" s="135"/>
      <c r="CH110" s="135"/>
      <c r="CI110" s="135"/>
      <c r="CJ110" s="135"/>
      <c r="CK110" s="201"/>
      <c r="CL110" s="155"/>
      <c r="CM110" s="156"/>
      <c r="CO110" s="155"/>
      <c r="CP110" s="135"/>
      <c r="CQ110" s="135"/>
      <c r="CR110" s="135"/>
      <c r="CS110" s="170"/>
      <c r="CT110" s="165"/>
      <c r="CU110" s="135"/>
      <c r="CV110" s="201"/>
    </row>
    <row r="111" spans="1:100" x14ac:dyDescent="0.25">
      <c r="A111" s="172"/>
      <c r="B111" s="156"/>
      <c r="F111" s="155"/>
      <c r="M111" s="201"/>
      <c r="O111" s="155"/>
      <c r="U111" s="201"/>
      <c r="V111" s="155"/>
      <c r="W111" s="156"/>
      <c r="X111" s="155"/>
      <c r="Y111" s="135"/>
      <c r="Z111" s="135"/>
      <c r="AA111" s="135"/>
      <c r="AB111" s="135"/>
      <c r="AC111" s="135"/>
      <c r="AD111" s="135"/>
      <c r="AE111" s="201"/>
      <c r="AF111" s="155"/>
      <c r="AG111" s="156"/>
      <c r="AI111" s="164"/>
      <c r="AJ111" s="165"/>
      <c r="AP111" s="201"/>
      <c r="AQ111" s="155"/>
      <c r="AX111" s="201"/>
      <c r="AY111" s="155"/>
      <c r="AZ111" s="156"/>
      <c r="BA111" s="155"/>
      <c r="BB111" s="135"/>
      <c r="BC111" s="135"/>
      <c r="BD111" s="135"/>
      <c r="BE111" s="135"/>
      <c r="BF111" s="135"/>
      <c r="BG111" s="135"/>
      <c r="BH111" s="156"/>
      <c r="BI111" s="155"/>
      <c r="BJ111" s="156"/>
      <c r="BL111" s="155"/>
      <c r="BM111" s="135"/>
      <c r="BN111" s="170"/>
      <c r="BO111" s="165"/>
      <c r="BS111" s="156"/>
      <c r="BT111" s="155"/>
      <c r="CA111" s="201"/>
      <c r="CB111" s="155"/>
      <c r="CC111" s="156"/>
      <c r="CD111" s="155"/>
      <c r="CG111" s="135"/>
      <c r="CH111" s="135"/>
      <c r="CI111" s="135"/>
      <c r="CJ111" s="135"/>
      <c r="CK111" s="201"/>
      <c r="CL111" s="155"/>
      <c r="CM111" s="156"/>
      <c r="CO111" s="155"/>
      <c r="CP111" s="135"/>
      <c r="CQ111" s="135"/>
      <c r="CR111" s="135"/>
      <c r="CS111" s="170"/>
      <c r="CT111" s="165"/>
      <c r="CU111" s="135"/>
      <c r="CV111" s="201"/>
    </row>
    <row r="112" spans="1:100" x14ac:dyDescent="0.25">
      <c r="A112" s="172"/>
      <c r="B112" s="156"/>
      <c r="F112" s="155"/>
      <c r="M112" s="201"/>
      <c r="O112" s="155"/>
      <c r="U112" s="201"/>
      <c r="V112" s="155"/>
      <c r="W112" s="156"/>
      <c r="X112" s="155"/>
      <c r="Y112" s="135"/>
      <c r="Z112" s="135"/>
      <c r="AA112" s="135"/>
      <c r="AB112" s="135"/>
      <c r="AC112" s="135"/>
      <c r="AD112" s="135"/>
      <c r="AE112" s="201"/>
      <c r="AF112" s="155"/>
      <c r="AG112" s="156"/>
      <c r="AI112" s="164"/>
      <c r="AJ112" s="165"/>
      <c r="AP112" s="201"/>
      <c r="AQ112" s="155"/>
      <c r="AX112" s="201"/>
      <c r="AY112" s="155"/>
      <c r="AZ112" s="156"/>
      <c r="BA112" s="155"/>
      <c r="BB112" s="135"/>
      <c r="BC112" s="135"/>
      <c r="BD112" s="135"/>
      <c r="BE112" s="135"/>
      <c r="BF112" s="135"/>
      <c r="BG112" s="135"/>
      <c r="BH112" s="156"/>
      <c r="BI112" s="155"/>
      <c r="BJ112" s="156"/>
      <c r="BL112" s="155"/>
      <c r="BM112" s="135"/>
      <c r="BN112" s="170"/>
      <c r="BO112" s="165"/>
      <c r="BS112" s="156"/>
      <c r="BT112" s="155"/>
      <c r="CA112" s="201"/>
      <c r="CB112" s="155"/>
      <c r="CC112" s="156"/>
      <c r="CD112" s="155"/>
      <c r="CG112" s="135"/>
      <c r="CH112" s="135"/>
      <c r="CI112" s="135"/>
      <c r="CJ112" s="135"/>
      <c r="CK112" s="201"/>
      <c r="CL112" s="155"/>
      <c r="CM112" s="156"/>
      <c r="CO112" s="155"/>
      <c r="CP112" s="135"/>
      <c r="CQ112" s="135"/>
      <c r="CR112" s="135"/>
      <c r="CS112" s="170"/>
      <c r="CT112" s="165"/>
      <c r="CU112" s="135"/>
      <c r="CV112" s="201"/>
    </row>
    <row r="113" spans="1:100" x14ac:dyDescent="0.25">
      <c r="A113" s="172"/>
      <c r="B113" s="156"/>
      <c r="F113" s="155"/>
      <c r="M113" s="201"/>
      <c r="O113" s="155"/>
      <c r="U113" s="201"/>
      <c r="V113" s="155"/>
      <c r="W113" s="156"/>
      <c r="X113" s="155"/>
      <c r="Y113" s="135"/>
      <c r="Z113" s="135"/>
      <c r="AA113" s="135"/>
      <c r="AB113" s="135"/>
      <c r="AC113" s="135"/>
      <c r="AD113" s="135"/>
      <c r="AE113" s="201"/>
      <c r="AF113" s="155"/>
      <c r="AG113" s="156"/>
      <c r="AI113" s="164"/>
      <c r="AJ113" s="165"/>
      <c r="AP113" s="201"/>
      <c r="AQ113" s="155"/>
      <c r="AX113" s="201"/>
      <c r="AY113" s="155"/>
      <c r="AZ113" s="156"/>
      <c r="BA113" s="155"/>
      <c r="BB113" s="135"/>
      <c r="BC113" s="135"/>
      <c r="BD113" s="135"/>
      <c r="BE113" s="135"/>
      <c r="BF113" s="135"/>
      <c r="BG113" s="135"/>
      <c r="BH113" s="156"/>
      <c r="BI113" s="155"/>
      <c r="BJ113" s="156"/>
      <c r="BL113" s="155"/>
      <c r="BM113" s="135"/>
      <c r="BN113" s="170"/>
      <c r="BO113" s="165"/>
      <c r="BS113" s="156"/>
      <c r="BT113" s="155"/>
      <c r="CA113" s="201"/>
      <c r="CB113" s="155"/>
      <c r="CC113" s="156"/>
      <c r="CD113" s="155"/>
      <c r="CG113" s="135"/>
      <c r="CH113" s="135"/>
      <c r="CI113" s="135"/>
      <c r="CJ113" s="135"/>
      <c r="CK113" s="201"/>
      <c r="CL113" s="155"/>
      <c r="CM113" s="156"/>
      <c r="CO113" s="155"/>
      <c r="CP113" s="135"/>
      <c r="CQ113" s="135"/>
      <c r="CR113" s="135"/>
      <c r="CS113" s="170"/>
      <c r="CT113" s="165"/>
      <c r="CU113" s="135"/>
      <c r="CV113" s="201"/>
    </row>
    <row r="114" spans="1:100" x14ac:dyDescent="0.25">
      <c r="A114" s="172"/>
      <c r="B114" s="156"/>
      <c r="F114" s="155"/>
      <c r="M114" s="201"/>
      <c r="O114" s="155"/>
      <c r="U114" s="201"/>
      <c r="V114" s="155"/>
      <c r="W114" s="156"/>
      <c r="X114" s="155"/>
      <c r="Y114" s="135"/>
      <c r="Z114" s="135"/>
      <c r="AA114" s="135"/>
      <c r="AB114" s="135"/>
      <c r="AC114" s="135"/>
      <c r="AD114" s="135"/>
      <c r="AE114" s="201"/>
      <c r="AF114" s="155"/>
      <c r="AG114" s="156"/>
      <c r="AI114" s="164"/>
      <c r="AJ114" s="165"/>
      <c r="AP114" s="201"/>
      <c r="AQ114" s="155"/>
      <c r="AX114" s="201"/>
      <c r="AY114" s="155"/>
      <c r="AZ114" s="156"/>
      <c r="BA114" s="155"/>
      <c r="BB114" s="135"/>
      <c r="BC114" s="135"/>
      <c r="BD114" s="135"/>
      <c r="BE114" s="135"/>
      <c r="BF114" s="135"/>
      <c r="BG114" s="135"/>
      <c r="BH114" s="156"/>
      <c r="BI114" s="155"/>
      <c r="BJ114" s="156"/>
      <c r="BL114" s="155"/>
      <c r="BM114" s="135"/>
      <c r="BN114" s="170"/>
      <c r="BO114" s="165"/>
      <c r="BS114" s="156"/>
      <c r="BT114" s="155"/>
      <c r="CA114" s="201"/>
      <c r="CB114" s="155"/>
      <c r="CC114" s="156"/>
      <c r="CD114" s="155"/>
      <c r="CG114" s="135"/>
      <c r="CH114" s="135"/>
      <c r="CI114" s="135"/>
      <c r="CJ114" s="135"/>
      <c r="CK114" s="201"/>
      <c r="CL114" s="155"/>
      <c r="CM114" s="156"/>
      <c r="CO114" s="155"/>
      <c r="CP114" s="135"/>
      <c r="CQ114" s="135"/>
      <c r="CR114" s="135"/>
      <c r="CS114" s="170"/>
      <c r="CT114" s="165"/>
      <c r="CU114" s="135"/>
      <c r="CV114" s="201"/>
    </row>
    <row r="115" spans="1:100" x14ac:dyDescent="0.25">
      <c r="A115" s="172"/>
      <c r="B115" s="156"/>
      <c r="F115" s="155"/>
      <c r="M115" s="201"/>
      <c r="O115" s="155"/>
      <c r="U115" s="201"/>
      <c r="V115" s="155"/>
      <c r="W115" s="156"/>
      <c r="X115" s="155"/>
      <c r="Y115" s="135"/>
      <c r="Z115" s="135"/>
      <c r="AA115" s="135"/>
      <c r="AB115" s="135"/>
      <c r="AC115" s="135"/>
      <c r="AD115" s="135"/>
      <c r="AE115" s="201"/>
      <c r="AF115" s="155"/>
      <c r="AG115" s="156"/>
      <c r="AI115" s="164"/>
      <c r="AJ115" s="165"/>
      <c r="AP115" s="201"/>
      <c r="AQ115" s="155"/>
      <c r="AX115" s="201"/>
      <c r="AY115" s="155"/>
      <c r="AZ115" s="156"/>
      <c r="BA115" s="155"/>
      <c r="BB115" s="135"/>
      <c r="BC115" s="135"/>
      <c r="BD115" s="135"/>
      <c r="BE115" s="135"/>
      <c r="BF115" s="135"/>
      <c r="BG115" s="135"/>
      <c r="BH115" s="156"/>
      <c r="BI115" s="155"/>
      <c r="BJ115" s="156"/>
      <c r="BL115" s="155"/>
      <c r="BM115" s="135"/>
      <c r="BN115" s="170"/>
      <c r="BO115" s="165"/>
      <c r="BS115" s="156"/>
      <c r="BT115" s="155"/>
      <c r="CA115" s="201"/>
      <c r="CB115" s="155"/>
      <c r="CC115" s="156"/>
      <c r="CD115" s="155"/>
      <c r="CG115" s="135"/>
      <c r="CH115" s="135"/>
      <c r="CI115" s="135"/>
      <c r="CJ115" s="135"/>
      <c r="CK115" s="201"/>
      <c r="CL115" s="155"/>
      <c r="CM115" s="156"/>
      <c r="CO115" s="155"/>
      <c r="CP115" s="135"/>
      <c r="CQ115" s="135"/>
      <c r="CR115" s="135"/>
      <c r="CS115" s="170"/>
      <c r="CT115" s="165"/>
      <c r="CU115" s="135"/>
      <c r="CV115" s="201"/>
    </row>
    <row r="116" spans="1:100" x14ac:dyDescent="0.25">
      <c r="A116" s="172"/>
      <c r="B116" s="156"/>
      <c r="F116" s="155"/>
      <c r="M116" s="201"/>
      <c r="O116" s="155"/>
      <c r="U116" s="201"/>
      <c r="V116" s="155"/>
      <c r="W116" s="156"/>
      <c r="X116" s="155"/>
      <c r="Y116" s="135"/>
      <c r="Z116" s="135"/>
      <c r="AA116" s="135"/>
      <c r="AB116" s="135"/>
      <c r="AC116" s="135"/>
      <c r="AD116" s="135"/>
      <c r="AE116" s="201"/>
      <c r="AF116" s="155"/>
      <c r="AG116" s="156"/>
      <c r="AI116" s="164"/>
      <c r="AJ116" s="165"/>
      <c r="AP116" s="201"/>
      <c r="AQ116" s="155"/>
      <c r="AX116" s="201"/>
      <c r="AY116" s="155"/>
      <c r="AZ116" s="156"/>
      <c r="BA116" s="155"/>
      <c r="BB116" s="135"/>
      <c r="BC116" s="135"/>
      <c r="BD116" s="135"/>
      <c r="BE116" s="135"/>
      <c r="BF116" s="135"/>
      <c r="BG116" s="135"/>
      <c r="BH116" s="156"/>
      <c r="BI116" s="155"/>
      <c r="BJ116" s="156"/>
      <c r="BL116" s="155"/>
      <c r="BM116" s="135"/>
      <c r="BN116" s="170"/>
      <c r="BO116" s="165"/>
      <c r="BS116" s="156"/>
      <c r="BT116" s="155"/>
      <c r="CA116" s="201"/>
      <c r="CB116" s="155"/>
      <c r="CC116" s="156"/>
      <c r="CD116" s="155"/>
      <c r="CG116" s="135"/>
      <c r="CH116" s="135"/>
      <c r="CI116" s="135"/>
      <c r="CJ116" s="135"/>
      <c r="CK116" s="201"/>
      <c r="CL116" s="155"/>
      <c r="CM116" s="156"/>
      <c r="CO116" s="155"/>
      <c r="CP116" s="135"/>
      <c r="CQ116" s="135"/>
      <c r="CR116" s="135"/>
      <c r="CS116" s="170"/>
      <c r="CT116" s="165"/>
      <c r="CU116" s="135"/>
      <c r="CV116" s="201"/>
    </row>
    <row r="117" spans="1:100" x14ac:dyDescent="0.25">
      <c r="A117" s="172"/>
      <c r="B117" s="156"/>
      <c r="F117" s="155"/>
      <c r="M117" s="201"/>
      <c r="O117" s="155"/>
      <c r="U117" s="201"/>
      <c r="V117" s="155"/>
      <c r="W117" s="156"/>
      <c r="X117" s="155"/>
      <c r="Y117" s="135"/>
      <c r="Z117" s="135"/>
      <c r="AA117" s="135"/>
      <c r="AB117" s="135"/>
      <c r="AC117" s="135"/>
      <c r="AD117" s="135"/>
      <c r="AE117" s="201"/>
      <c r="AF117" s="155"/>
      <c r="AG117" s="156"/>
      <c r="AI117" s="164"/>
      <c r="AJ117" s="165"/>
      <c r="AP117" s="201"/>
      <c r="AQ117" s="155"/>
      <c r="AX117" s="201"/>
      <c r="AY117" s="155"/>
      <c r="AZ117" s="156"/>
      <c r="BA117" s="155"/>
      <c r="BB117" s="135"/>
      <c r="BC117" s="135"/>
      <c r="BD117" s="135"/>
      <c r="BE117" s="135"/>
      <c r="BF117" s="135"/>
      <c r="BG117" s="135"/>
      <c r="BH117" s="156"/>
      <c r="BI117" s="155"/>
      <c r="BJ117" s="156"/>
      <c r="BL117" s="155"/>
      <c r="BM117" s="135"/>
      <c r="BN117" s="170"/>
      <c r="BO117" s="165"/>
      <c r="BS117" s="156"/>
      <c r="BT117" s="155"/>
      <c r="CA117" s="201"/>
      <c r="CB117" s="155"/>
      <c r="CC117" s="156"/>
      <c r="CD117" s="155"/>
      <c r="CG117" s="135"/>
      <c r="CH117" s="135"/>
      <c r="CI117" s="135"/>
      <c r="CJ117" s="135"/>
      <c r="CK117" s="201"/>
      <c r="CL117" s="155"/>
      <c r="CM117" s="156"/>
      <c r="CO117" s="155"/>
      <c r="CP117" s="135"/>
      <c r="CQ117" s="135"/>
      <c r="CR117" s="135"/>
      <c r="CS117" s="170"/>
      <c r="CT117" s="165"/>
      <c r="CU117" s="135"/>
      <c r="CV117" s="201"/>
    </row>
    <row r="118" spans="1:100" x14ac:dyDescent="0.25">
      <c r="A118" s="172"/>
      <c r="B118" s="156"/>
      <c r="F118" s="155"/>
      <c r="M118" s="201"/>
      <c r="O118" s="155"/>
      <c r="U118" s="201"/>
      <c r="V118" s="155"/>
      <c r="W118" s="156"/>
      <c r="X118" s="155"/>
      <c r="Y118" s="135"/>
      <c r="Z118" s="135"/>
      <c r="AA118" s="135"/>
      <c r="AB118" s="135"/>
      <c r="AC118" s="135"/>
      <c r="AD118" s="135"/>
      <c r="AE118" s="201"/>
      <c r="AF118" s="155"/>
      <c r="AG118" s="156"/>
      <c r="AI118" s="164"/>
      <c r="AJ118" s="165"/>
      <c r="AP118" s="201"/>
      <c r="AQ118" s="155"/>
      <c r="AX118" s="201"/>
      <c r="AY118" s="155"/>
      <c r="AZ118" s="156"/>
      <c r="BA118" s="155"/>
      <c r="BB118" s="135"/>
      <c r="BC118" s="135"/>
      <c r="BD118" s="135"/>
      <c r="BE118" s="135"/>
      <c r="BF118" s="135"/>
      <c r="BG118" s="135"/>
      <c r="BH118" s="156"/>
      <c r="BI118" s="155"/>
      <c r="BJ118" s="156"/>
      <c r="BL118" s="155"/>
      <c r="BM118" s="135"/>
      <c r="BN118" s="170"/>
      <c r="BO118" s="165"/>
      <c r="BS118" s="156"/>
      <c r="BT118" s="155"/>
      <c r="CA118" s="201"/>
      <c r="CB118" s="155"/>
      <c r="CC118" s="156"/>
      <c r="CD118" s="155"/>
      <c r="CG118" s="135"/>
      <c r="CH118" s="135"/>
      <c r="CI118" s="135"/>
      <c r="CJ118" s="135"/>
      <c r="CK118" s="201"/>
      <c r="CL118" s="155"/>
      <c r="CM118" s="156"/>
      <c r="CO118" s="155"/>
      <c r="CP118" s="135"/>
      <c r="CQ118" s="135"/>
      <c r="CR118" s="135"/>
      <c r="CS118" s="170"/>
      <c r="CT118" s="165"/>
      <c r="CU118" s="135"/>
      <c r="CV118" s="201"/>
    </row>
    <row r="119" spans="1:100" x14ac:dyDescent="0.25">
      <c r="A119" s="172"/>
      <c r="B119" s="156"/>
      <c r="F119" s="155"/>
      <c r="M119" s="201"/>
      <c r="O119" s="155"/>
      <c r="U119" s="201"/>
      <c r="V119" s="155"/>
      <c r="W119" s="156"/>
      <c r="X119" s="155"/>
      <c r="Y119" s="135"/>
      <c r="Z119" s="135"/>
      <c r="AA119" s="135"/>
      <c r="AB119" s="135"/>
      <c r="AC119" s="135"/>
      <c r="AD119" s="135"/>
      <c r="AE119" s="201"/>
      <c r="AF119" s="155"/>
      <c r="AG119" s="156"/>
      <c r="AI119" s="164"/>
      <c r="AJ119" s="165"/>
      <c r="AP119" s="201"/>
      <c r="AQ119" s="155"/>
      <c r="AX119" s="201"/>
      <c r="AY119" s="155"/>
      <c r="AZ119" s="156"/>
      <c r="BA119" s="155"/>
      <c r="BB119" s="135"/>
      <c r="BC119" s="135"/>
      <c r="BD119" s="135"/>
      <c r="BE119" s="135"/>
      <c r="BF119" s="135"/>
      <c r="BG119" s="135"/>
      <c r="BH119" s="156"/>
      <c r="BI119" s="155"/>
      <c r="BJ119" s="156"/>
      <c r="BL119" s="155"/>
      <c r="BM119" s="135"/>
      <c r="BN119" s="170"/>
      <c r="BO119" s="165"/>
      <c r="BS119" s="156"/>
      <c r="BT119" s="155"/>
      <c r="CA119" s="201"/>
      <c r="CB119" s="155"/>
      <c r="CC119" s="156"/>
      <c r="CD119" s="155"/>
      <c r="CG119" s="135"/>
      <c r="CH119" s="135"/>
      <c r="CI119" s="135"/>
      <c r="CJ119" s="135"/>
      <c r="CK119" s="201"/>
      <c r="CL119" s="155"/>
      <c r="CM119" s="156"/>
      <c r="CO119" s="155"/>
      <c r="CP119" s="135"/>
      <c r="CQ119" s="135"/>
      <c r="CR119" s="135"/>
      <c r="CS119" s="170"/>
      <c r="CT119" s="165"/>
      <c r="CU119" s="135"/>
      <c r="CV119" s="201"/>
    </row>
    <row r="120" spans="1:100" x14ac:dyDescent="0.25">
      <c r="A120" s="172"/>
      <c r="B120" s="156"/>
      <c r="F120" s="155"/>
      <c r="M120" s="201"/>
      <c r="O120" s="155"/>
      <c r="U120" s="201"/>
      <c r="V120" s="155"/>
      <c r="W120" s="156"/>
      <c r="X120" s="155"/>
      <c r="Y120" s="135"/>
      <c r="Z120" s="135"/>
      <c r="AA120" s="135"/>
      <c r="AB120" s="135"/>
      <c r="AC120" s="135"/>
      <c r="AD120" s="135"/>
      <c r="AE120" s="201"/>
      <c r="AF120" s="155"/>
      <c r="AG120" s="156"/>
      <c r="AI120" s="164"/>
      <c r="AJ120" s="165"/>
      <c r="AP120" s="201"/>
      <c r="AQ120" s="155"/>
      <c r="AX120" s="201"/>
      <c r="AY120" s="155"/>
      <c r="AZ120" s="156"/>
      <c r="BA120" s="155"/>
      <c r="BB120" s="135"/>
      <c r="BC120" s="135"/>
      <c r="BD120" s="135"/>
      <c r="BE120" s="135"/>
      <c r="BF120" s="135"/>
      <c r="BG120" s="135"/>
      <c r="BH120" s="156"/>
      <c r="BI120" s="155"/>
      <c r="BJ120" s="156"/>
      <c r="BL120" s="155"/>
      <c r="BM120" s="135"/>
      <c r="BN120" s="170"/>
      <c r="BO120" s="165"/>
      <c r="BS120" s="156"/>
      <c r="BT120" s="155"/>
      <c r="CA120" s="201"/>
      <c r="CB120" s="155"/>
      <c r="CC120" s="156"/>
      <c r="CD120" s="155"/>
      <c r="CG120" s="135"/>
      <c r="CH120" s="135"/>
      <c r="CI120" s="135"/>
      <c r="CJ120" s="135"/>
      <c r="CK120" s="201"/>
      <c r="CL120" s="155"/>
      <c r="CM120" s="156"/>
      <c r="CO120" s="155"/>
      <c r="CP120" s="135"/>
      <c r="CQ120" s="135"/>
      <c r="CR120" s="135"/>
      <c r="CS120" s="170"/>
      <c r="CT120" s="165"/>
      <c r="CU120" s="135"/>
      <c r="CV120" s="201"/>
    </row>
    <row r="121" spans="1:100" x14ac:dyDescent="0.25">
      <c r="A121" s="172"/>
      <c r="B121" s="156"/>
      <c r="F121" s="155"/>
      <c r="M121" s="201"/>
      <c r="O121" s="155"/>
      <c r="U121" s="201"/>
      <c r="V121" s="155"/>
      <c r="W121" s="156"/>
      <c r="X121" s="155"/>
      <c r="Y121" s="135"/>
      <c r="Z121" s="135"/>
      <c r="AA121" s="135"/>
      <c r="AB121" s="135"/>
      <c r="AC121" s="135"/>
      <c r="AD121" s="135"/>
      <c r="AE121" s="201"/>
      <c r="AF121" s="155"/>
      <c r="AG121" s="156"/>
      <c r="AI121" s="164"/>
      <c r="AJ121" s="165"/>
      <c r="AP121" s="201"/>
      <c r="AQ121" s="155"/>
      <c r="AX121" s="201"/>
      <c r="AY121" s="155"/>
      <c r="AZ121" s="156"/>
      <c r="BA121" s="155"/>
      <c r="BB121" s="135"/>
      <c r="BC121" s="135"/>
      <c r="BD121" s="135"/>
      <c r="BE121" s="135"/>
      <c r="BF121" s="135"/>
      <c r="BG121" s="135"/>
      <c r="BH121" s="156"/>
      <c r="BI121" s="155"/>
      <c r="BJ121" s="156"/>
      <c r="BL121" s="155"/>
      <c r="BM121" s="135"/>
      <c r="BN121" s="170"/>
      <c r="BO121" s="165"/>
      <c r="BS121" s="156"/>
      <c r="BT121" s="155"/>
      <c r="CA121" s="201"/>
      <c r="CB121" s="155"/>
      <c r="CC121" s="156"/>
      <c r="CD121" s="155"/>
      <c r="CG121" s="135"/>
      <c r="CH121" s="135"/>
      <c r="CI121" s="135"/>
      <c r="CJ121" s="135"/>
      <c r="CK121" s="201"/>
      <c r="CL121" s="155"/>
      <c r="CM121" s="156"/>
      <c r="CO121" s="155"/>
      <c r="CP121" s="135"/>
      <c r="CQ121" s="135"/>
      <c r="CR121" s="135"/>
      <c r="CS121" s="170"/>
      <c r="CT121" s="165"/>
      <c r="CU121" s="135"/>
      <c r="CV121" s="201"/>
    </row>
    <row r="122" spans="1:100" x14ac:dyDescent="0.25">
      <c r="A122" s="172"/>
      <c r="B122" s="156"/>
      <c r="F122" s="155"/>
      <c r="M122" s="201"/>
      <c r="O122" s="155"/>
      <c r="U122" s="201"/>
      <c r="V122" s="155"/>
      <c r="W122" s="156"/>
      <c r="X122" s="155"/>
      <c r="Y122" s="135"/>
      <c r="Z122" s="135"/>
      <c r="AA122" s="135"/>
      <c r="AB122" s="135"/>
      <c r="AC122" s="135"/>
      <c r="AD122" s="135"/>
      <c r="AE122" s="201"/>
      <c r="AF122" s="155"/>
      <c r="AG122" s="156"/>
      <c r="AI122" s="164"/>
      <c r="AJ122" s="165"/>
      <c r="AP122" s="201"/>
      <c r="AQ122" s="155"/>
      <c r="AX122" s="201"/>
      <c r="AY122" s="155"/>
      <c r="AZ122" s="156"/>
      <c r="BA122" s="155"/>
      <c r="BB122" s="135"/>
      <c r="BC122" s="135"/>
      <c r="BD122" s="135"/>
      <c r="BE122" s="135"/>
      <c r="BF122" s="135"/>
      <c r="BG122" s="135"/>
      <c r="BH122" s="156"/>
      <c r="BI122" s="155"/>
      <c r="BJ122" s="156"/>
      <c r="BL122" s="155"/>
      <c r="BM122" s="135"/>
      <c r="BN122" s="170"/>
      <c r="BO122" s="165"/>
      <c r="BS122" s="156"/>
      <c r="BT122" s="155"/>
      <c r="CA122" s="201"/>
      <c r="CB122" s="155"/>
      <c r="CC122" s="156"/>
      <c r="CD122" s="155"/>
      <c r="CG122" s="135"/>
      <c r="CH122" s="135"/>
      <c r="CI122" s="135"/>
      <c r="CJ122" s="135"/>
      <c r="CK122" s="201"/>
      <c r="CL122" s="155"/>
      <c r="CM122" s="156"/>
      <c r="CO122" s="155"/>
      <c r="CP122" s="135"/>
      <c r="CQ122" s="135"/>
      <c r="CR122" s="135"/>
      <c r="CS122" s="170"/>
      <c r="CT122" s="165"/>
      <c r="CU122" s="135"/>
      <c r="CV122" s="201"/>
    </row>
    <row r="123" spans="1:100" x14ac:dyDescent="0.25">
      <c r="A123" s="172"/>
      <c r="B123" s="156"/>
      <c r="F123" s="155"/>
      <c r="M123" s="201"/>
      <c r="O123" s="155"/>
      <c r="U123" s="201"/>
      <c r="V123" s="155"/>
      <c r="W123" s="156"/>
      <c r="X123" s="155"/>
      <c r="Y123" s="135"/>
      <c r="Z123" s="135"/>
      <c r="AA123" s="135"/>
      <c r="AB123" s="135"/>
      <c r="AC123" s="135"/>
      <c r="AD123" s="135"/>
      <c r="AE123" s="201"/>
      <c r="AF123" s="155"/>
      <c r="AG123" s="156"/>
      <c r="AI123" s="164"/>
      <c r="AJ123" s="165"/>
      <c r="AP123" s="201"/>
      <c r="AQ123" s="155"/>
      <c r="AX123" s="201"/>
      <c r="AY123" s="155"/>
      <c r="AZ123" s="156"/>
      <c r="BA123" s="155"/>
      <c r="BB123" s="135"/>
      <c r="BC123" s="135"/>
      <c r="BD123" s="135"/>
      <c r="BE123" s="135"/>
      <c r="BF123" s="135"/>
      <c r="BG123" s="135"/>
      <c r="BH123" s="156"/>
      <c r="BI123" s="155"/>
      <c r="BJ123" s="156"/>
      <c r="BL123" s="155"/>
      <c r="BM123" s="135"/>
      <c r="BN123" s="170"/>
      <c r="BO123" s="165"/>
      <c r="BS123" s="156"/>
      <c r="BT123" s="155"/>
      <c r="CA123" s="201"/>
      <c r="CB123" s="155"/>
      <c r="CC123" s="156"/>
      <c r="CD123" s="155"/>
      <c r="CG123" s="135"/>
      <c r="CH123" s="135"/>
      <c r="CI123" s="135"/>
      <c r="CJ123" s="135"/>
      <c r="CK123" s="201"/>
      <c r="CL123" s="155"/>
      <c r="CM123" s="156"/>
      <c r="CO123" s="155"/>
      <c r="CP123" s="135"/>
      <c r="CQ123" s="135"/>
      <c r="CR123" s="135"/>
      <c r="CS123" s="170"/>
      <c r="CT123" s="165"/>
      <c r="CU123" s="135"/>
      <c r="CV123" s="201"/>
    </row>
    <row r="124" spans="1:100" x14ac:dyDescent="0.25">
      <c r="A124" s="172"/>
      <c r="B124" s="156"/>
      <c r="F124" s="155"/>
      <c r="M124" s="201"/>
      <c r="O124" s="155"/>
      <c r="U124" s="201"/>
      <c r="V124" s="155"/>
      <c r="W124" s="156"/>
      <c r="X124" s="155"/>
      <c r="Y124" s="135"/>
      <c r="Z124" s="135"/>
      <c r="AA124" s="135"/>
      <c r="AB124" s="135"/>
      <c r="AC124" s="135"/>
      <c r="AD124" s="135"/>
      <c r="AE124" s="201"/>
      <c r="AF124" s="155"/>
      <c r="AG124" s="156"/>
      <c r="AI124" s="164"/>
      <c r="AJ124" s="165"/>
      <c r="AP124" s="201"/>
      <c r="AQ124" s="155"/>
      <c r="AX124" s="201"/>
      <c r="AY124" s="155"/>
      <c r="AZ124" s="156"/>
      <c r="BA124" s="155"/>
      <c r="BB124" s="135"/>
      <c r="BC124" s="135"/>
      <c r="BD124" s="135"/>
      <c r="BE124" s="135"/>
      <c r="BF124" s="135"/>
      <c r="BG124" s="135"/>
      <c r="BH124" s="156"/>
      <c r="BI124" s="155"/>
      <c r="BJ124" s="156"/>
      <c r="BL124" s="155"/>
      <c r="BM124" s="135"/>
      <c r="BN124" s="170"/>
      <c r="BO124" s="165"/>
      <c r="BS124" s="156"/>
      <c r="BT124" s="155"/>
      <c r="CA124" s="201"/>
      <c r="CB124" s="155"/>
      <c r="CC124" s="156"/>
      <c r="CD124" s="155"/>
      <c r="CG124" s="135"/>
      <c r="CH124" s="135"/>
      <c r="CI124" s="135"/>
      <c r="CJ124" s="135"/>
      <c r="CK124" s="201"/>
      <c r="CL124" s="155"/>
      <c r="CM124" s="156"/>
      <c r="CO124" s="155"/>
      <c r="CP124" s="135"/>
      <c r="CQ124" s="135"/>
      <c r="CR124" s="135"/>
      <c r="CS124" s="170"/>
      <c r="CT124" s="165"/>
      <c r="CU124" s="135"/>
      <c r="CV124" s="201"/>
    </row>
    <row r="125" spans="1:100" x14ac:dyDescent="0.25">
      <c r="A125" s="172"/>
      <c r="B125" s="156"/>
      <c r="F125" s="155"/>
      <c r="M125" s="201"/>
      <c r="O125" s="155"/>
      <c r="U125" s="201"/>
      <c r="V125" s="155"/>
      <c r="W125" s="156"/>
      <c r="X125" s="155"/>
      <c r="Y125" s="135"/>
      <c r="Z125" s="135"/>
      <c r="AA125" s="135"/>
      <c r="AB125" s="135"/>
      <c r="AC125" s="135"/>
      <c r="AD125" s="135"/>
      <c r="AE125" s="201"/>
      <c r="AF125" s="155"/>
      <c r="AG125" s="156"/>
      <c r="AI125" s="164"/>
      <c r="AJ125" s="165"/>
      <c r="AP125" s="201"/>
      <c r="AQ125" s="155"/>
      <c r="AX125" s="201"/>
      <c r="AY125" s="155"/>
      <c r="AZ125" s="156"/>
      <c r="BA125" s="155"/>
      <c r="BB125" s="135"/>
      <c r="BC125" s="135"/>
      <c r="BD125" s="135"/>
      <c r="BE125" s="135"/>
      <c r="BF125" s="135"/>
      <c r="BG125" s="135"/>
      <c r="BH125" s="156"/>
      <c r="BI125" s="155"/>
      <c r="BJ125" s="156"/>
      <c r="BL125" s="155"/>
      <c r="BM125" s="135"/>
      <c r="BN125" s="170"/>
      <c r="BO125" s="165"/>
      <c r="BS125" s="156"/>
      <c r="BT125" s="155"/>
      <c r="CA125" s="201"/>
      <c r="CB125" s="155"/>
      <c r="CC125" s="156"/>
      <c r="CD125" s="155"/>
      <c r="CG125" s="135"/>
      <c r="CH125" s="135"/>
      <c r="CI125" s="135"/>
      <c r="CJ125" s="135"/>
      <c r="CK125" s="201"/>
      <c r="CL125" s="155"/>
      <c r="CM125" s="156"/>
      <c r="CO125" s="155"/>
      <c r="CP125" s="135"/>
      <c r="CQ125" s="135"/>
      <c r="CR125" s="135"/>
      <c r="CS125" s="170"/>
      <c r="CT125" s="165"/>
      <c r="CU125" s="135"/>
      <c r="CV125" s="201"/>
    </row>
    <row r="126" spans="1:100" x14ac:dyDescent="0.25">
      <c r="A126" s="172"/>
      <c r="B126" s="156"/>
      <c r="F126" s="155"/>
      <c r="M126" s="201"/>
      <c r="O126" s="155"/>
      <c r="U126" s="201"/>
      <c r="V126" s="155"/>
      <c r="W126" s="156"/>
      <c r="X126" s="155"/>
      <c r="Y126" s="135"/>
      <c r="Z126" s="135"/>
      <c r="AA126" s="135"/>
      <c r="AB126" s="135"/>
      <c r="AC126" s="135"/>
      <c r="AD126" s="135"/>
      <c r="AE126" s="201"/>
      <c r="AF126" s="155"/>
      <c r="AG126" s="156"/>
      <c r="AI126" s="164"/>
      <c r="AJ126" s="165"/>
      <c r="AP126" s="201"/>
      <c r="AQ126" s="155"/>
      <c r="AX126" s="201"/>
      <c r="AY126" s="155"/>
      <c r="AZ126" s="156"/>
      <c r="BA126" s="155"/>
      <c r="BB126" s="135"/>
      <c r="BC126" s="135"/>
      <c r="BD126" s="135"/>
      <c r="BE126" s="135"/>
      <c r="BF126" s="135"/>
      <c r="BG126" s="135"/>
      <c r="BH126" s="156"/>
      <c r="BI126" s="155"/>
      <c r="BJ126" s="156"/>
      <c r="BL126" s="155"/>
      <c r="BM126" s="135"/>
      <c r="BN126" s="170"/>
      <c r="BO126" s="165"/>
      <c r="BS126" s="156"/>
      <c r="BT126" s="155"/>
      <c r="CA126" s="201"/>
      <c r="CB126" s="155"/>
      <c r="CC126" s="156"/>
      <c r="CD126" s="155"/>
      <c r="CG126" s="135"/>
      <c r="CH126" s="135"/>
      <c r="CI126" s="135"/>
      <c r="CJ126" s="135"/>
      <c r="CK126" s="201"/>
      <c r="CL126" s="155"/>
      <c r="CM126" s="156"/>
      <c r="CO126" s="155"/>
      <c r="CP126" s="135"/>
      <c r="CQ126" s="135"/>
      <c r="CR126" s="135"/>
      <c r="CS126" s="170"/>
      <c r="CT126" s="165"/>
      <c r="CU126" s="135"/>
      <c r="CV126" s="201"/>
    </row>
    <row r="127" spans="1:100" x14ac:dyDescent="0.25">
      <c r="A127" s="172"/>
      <c r="B127" s="156"/>
      <c r="F127" s="155"/>
      <c r="M127" s="201"/>
      <c r="O127" s="155"/>
      <c r="U127" s="201"/>
      <c r="V127" s="155"/>
      <c r="W127" s="156"/>
      <c r="X127" s="155"/>
      <c r="Y127" s="135"/>
      <c r="Z127" s="135"/>
      <c r="AA127" s="135"/>
      <c r="AB127" s="135"/>
      <c r="AC127" s="135"/>
      <c r="AD127" s="135"/>
      <c r="AE127" s="201"/>
      <c r="AF127" s="155"/>
      <c r="AG127" s="156"/>
      <c r="AI127" s="164"/>
      <c r="AJ127" s="165"/>
      <c r="AP127" s="201"/>
      <c r="AQ127" s="155"/>
      <c r="AX127" s="201"/>
      <c r="AY127" s="155"/>
      <c r="AZ127" s="156"/>
      <c r="BA127" s="155"/>
      <c r="BB127" s="135"/>
      <c r="BC127" s="135"/>
      <c r="BD127" s="135"/>
      <c r="BE127" s="135"/>
      <c r="BF127" s="135"/>
      <c r="BG127" s="135"/>
      <c r="BH127" s="156"/>
      <c r="BI127" s="155"/>
      <c r="BJ127" s="156"/>
      <c r="BL127" s="155"/>
      <c r="BM127" s="135"/>
      <c r="BN127" s="170"/>
      <c r="BO127" s="165"/>
      <c r="BS127" s="156"/>
      <c r="BT127" s="155"/>
      <c r="CA127" s="201"/>
      <c r="CB127" s="155"/>
      <c r="CC127" s="156"/>
      <c r="CD127" s="155"/>
      <c r="CG127" s="135"/>
      <c r="CH127" s="135"/>
      <c r="CI127" s="135"/>
      <c r="CJ127" s="135"/>
      <c r="CK127" s="201"/>
      <c r="CL127" s="155"/>
      <c r="CM127" s="156"/>
      <c r="CO127" s="155"/>
      <c r="CP127" s="135"/>
      <c r="CQ127" s="135"/>
      <c r="CR127" s="135"/>
      <c r="CS127" s="170"/>
      <c r="CT127" s="165"/>
      <c r="CU127" s="135"/>
      <c r="CV127" s="201"/>
    </row>
    <row r="128" spans="1:100" x14ac:dyDescent="0.25">
      <c r="A128" s="172"/>
      <c r="B128" s="156"/>
      <c r="F128" s="155"/>
      <c r="M128" s="201"/>
      <c r="O128" s="155"/>
      <c r="U128" s="201"/>
      <c r="V128" s="155"/>
      <c r="W128" s="156"/>
      <c r="X128" s="155"/>
      <c r="Y128" s="135"/>
      <c r="Z128" s="135"/>
      <c r="AA128" s="135"/>
      <c r="AB128" s="135"/>
      <c r="AC128" s="135"/>
      <c r="AD128" s="135"/>
      <c r="AE128" s="201"/>
      <c r="AF128" s="155"/>
      <c r="AG128" s="156"/>
      <c r="AI128" s="164"/>
      <c r="AJ128" s="165"/>
      <c r="AP128" s="201"/>
      <c r="AQ128" s="155"/>
      <c r="AX128" s="201"/>
      <c r="AY128" s="155"/>
      <c r="AZ128" s="156"/>
      <c r="BA128" s="155"/>
      <c r="BB128" s="135"/>
      <c r="BC128" s="135"/>
      <c r="BD128" s="135"/>
      <c r="BE128" s="135"/>
      <c r="BF128" s="135"/>
      <c r="BG128" s="135"/>
      <c r="BH128" s="156"/>
      <c r="BI128" s="155"/>
      <c r="BJ128" s="156"/>
      <c r="BL128" s="155"/>
      <c r="BM128" s="135"/>
      <c r="BN128" s="170"/>
      <c r="BO128" s="165"/>
      <c r="BS128" s="156"/>
      <c r="BT128" s="155"/>
      <c r="CA128" s="201"/>
      <c r="CB128" s="155"/>
      <c r="CC128" s="156"/>
      <c r="CD128" s="155"/>
      <c r="CG128" s="135"/>
      <c r="CH128" s="135"/>
      <c r="CI128" s="135"/>
      <c r="CJ128" s="135"/>
      <c r="CK128" s="201"/>
      <c r="CL128" s="155"/>
      <c r="CM128" s="156"/>
      <c r="CO128" s="155"/>
      <c r="CP128" s="135"/>
      <c r="CQ128" s="135"/>
      <c r="CR128" s="135"/>
      <c r="CS128" s="170"/>
      <c r="CT128" s="165"/>
      <c r="CU128" s="135"/>
      <c r="CV128" s="201"/>
    </row>
    <row r="129" spans="1:100" x14ac:dyDescent="0.25">
      <c r="A129" s="172"/>
      <c r="B129" s="156"/>
      <c r="F129" s="155"/>
      <c r="M129" s="201"/>
      <c r="O129" s="155"/>
      <c r="U129" s="201"/>
      <c r="V129" s="155"/>
      <c r="W129" s="156"/>
      <c r="X129" s="155"/>
      <c r="Y129" s="135"/>
      <c r="Z129" s="135"/>
      <c r="AA129" s="135"/>
      <c r="AB129" s="135"/>
      <c r="AC129" s="135"/>
      <c r="AD129" s="135"/>
      <c r="AE129" s="201"/>
      <c r="AF129" s="155"/>
      <c r="AG129" s="156"/>
      <c r="AI129" s="164"/>
      <c r="AJ129" s="165"/>
      <c r="AP129" s="201"/>
      <c r="AQ129" s="155"/>
      <c r="AX129" s="201"/>
      <c r="AY129" s="155"/>
      <c r="AZ129" s="156"/>
      <c r="BA129" s="155"/>
      <c r="BB129" s="135"/>
      <c r="BC129" s="135"/>
      <c r="BD129" s="135"/>
      <c r="BE129" s="135"/>
      <c r="BF129" s="135"/>
      <c r="BG129" s="135"/>
      <c r="BH129" s="156"/>
      <c r="BI129" s="155"/>
      <c r="BJ129" s="156"/>
      <c r="BL129" s="155"/>
      <c r="BM129" s="135"/>
      <c r="BN129" s="170"/>
      <c r="BO129" s="165"/>
      <c r="BS129" s="156"/>
      <c r="BT129" s="155"/>
      <c r="CA129" s="201"/>
      <c r="CB129" s="155"/>
      <c r="CC129" s="156"/>
      <c r="CD129" s="155"/>
      <c r="CG129" s="135"/>
      <c r="CH129" s="135"/>
      <c r="CI129" s="135"/>
      <c r="CJ129" s="135"/>
      <c r="CK129" s="201"/>
      <c r="CL129" s="155"/>
      <c r="CM129" s="156"/>
      <c r="CO129" s="155"/>
      <c r="CP129" s="135"/>
      <c r="CQ129" s="135"/>
      <c r="CR129" s="135"/>
      <c r="CS129" s="170"/>
      <c r="CT129" s="165"/>
      <c r="CU129" s="135"/>
      <c r="CV129" s="201"/>
    </row>
    <row r="130" spans="1:100" x14ac:dyDescent="0.25">
      <c r="A130" s="172"/>
      <c r="B130" s="156"/>
      <c r="F130" s="155"/>
      <c r="M130" s="201"/>
      <c r="O130" s="155"/>
      <c r="U130" s="201"/>
      <c r="V130" s="155"/>
      <c r="W130" s="156"/>
      <c r="X130" s="155"/>
      <c r="Y130" s="135"/>
      <c r="Z130" s="135"/>
      <c r="AA130" s="135"/>
      <c r="AB130" s="135"/>
      <c r="AC130" s="135"/>
      <c r="AD130" s="135"/>
      <c r="AE130" s="201"/>
      <c r="AF130" s="155"/>
      <c r="AG130" s="156"/>
      <c r="AI130" s="164"/>
      <c r="AJ130" s="165"/>
      <c r="AP130" s="201"/>
      <c r="AQ130" s="155"/>
      <c r="AX130" s="201"/>
      <c r="AY130" s="155"/>
      <c r="AZ130" s="156"/>
      <c r="BA130" s="155"/>
      <c r="BB130" s="135"/>
      <c r="BC130" s="135"/>
      <c r="BD130" s="135"/>
      <c r="BE130" s="135"/>
      <c r="BF130" s="135"/>
      <c r="BG130" s="135"/>
      <c r="BH130" s="156"/>
      <c r="BI130" s="155"/>
      <c r="BJ130" s="156"/>
      <c r="BL130" s="155"/>
      <c r="BM130" s="135"/>
      <c r="BN130" s="170"/>
      <c r="BO130" s="165"/>
      <c r="BS130" s="156"/>
      <c r="BT130" s="155"/>
      <c r="CA130" s="201"/>
      <c r="CB130" s="155"/>
      <c r="CC130" s="156"/>
      <c r="CD130" s="155"/>
      <c r="CG130" s="135"/>
      <c r="CH130" s="135"/>
      <c r="CI130" s="135"/>
      <c r="CJ130" s="135"/>
      <c r="CK130" s="201"/>
      <c r="CL130" s="155"/>
      <c r="CM130" s="156"/>
      <c r="CO130" s="155"/>
      <c r="CP130" s="135"/>
      <c r="CQ130" s="135"/>
      <c r="CR130" s="135"/>
      <c r="CS130" s="170"/>
      <c r="CT130" s="165"/>
      <c r="CU130" s="135"/>
      <c r="CV130" s="201"/>
    </row>
    <row r="131" spans="1:100" x14ac:dyDescent="0.25">
      <c r="A131" s="172"/>
      <c r="B131" s="156"/>
      <c r="F131" s="155"/>
      <c r="M131" s="201"/>
      <c r="O131" s="155"/>
      <c r="U131" s="201"/>
      <c r="V131" s="155"/>
      <c r="W131" s="156"/>
      <c r="X131" s="155"/>
      <c r="Y131" s="135"/>
      <c r="Z131" s="135"/>
      <c r="AA131" s="135"/>
      <c r="AB131" s="135"/>
      <c r="AC131" s="135"/>
      <c r="AD131" s="135"/>
      <c r="AE131" s="201"/>
      <c r="AF131" s="155"/>
      <c r="AG131" s="156"/>
      <c r="AI131" s="164"/>
      <c r="AJ131" s="165"/>
      <c r="AP131" s="201"/>
      <c r="AQ131" s="155"/>
      <c r="AX131" s="201"/>
      <c r="AY131" s="155"/>
      <c r="AZ131" s="156"/>
      <c r="BA131" s="155"/>
      <c r="BB131" s="135"/>
      <c r="BC131" s="135"/>
      <c r="BD131" s="135"/>
      <c r="BE131" s="135"/>
      <c r="BF131" s="135"/>
      <c r="BG131" s="135"/>
      <c r="BH131" s="156"/>
      <c r="BI131" s="155"/>
      <c r="BJ131" s="156"/>
      <c r="BL131" s="155"/>
      <c r="BM131" s="135"/>
      <c r="BN131" s="170"/>
      <c r="BO131" s="165"/>
      <c r="BS131" s="156"/>
      <c r="BT131" s="155"/>
      <c r="CA131" s="201"/>
      <c r="CB131" s="155"/>
      <c r="CC131" s="156"/>
      <c r="CD131" s="155"/>
      <c r="CG131" s="135"/>
      <c r="CH131" s="135"/>
      <c r="CI131" s="135"/>
      <c r="CJ131" s="135"/>
      <c r="CK131" s="201"/>
      <c r="CL131" s="155"/>
      <c r="CM131" s="156"/>
      <c r="CO131" s="155"/>
      <c r="CP131" s="135"/>
      <c r="CQ131" s="135"/>
      <c r="CR131" s="135"/>
      <c r="CS131" s="170"/>
      <c r="CT131" s="165"/>
      <c r="CU131" s="135"/>
      <c r="CV131" s="201"/>
    </row>
    <row r="132" spans="1:100" x14ac:dyDescent="0.25">
      <c r="A132" s="172"/>
      <c r="B132" s="156"/>
      <c r="F132" s="155"/>
      <c r="M132" s="201"/>
      <c r="O132" s="155"/>
      <c r="U132" s="201"/>
      <c r="V132" s="155"/>
      <c r="W132" s="156"/>
      <c r="X132" s="155"/>
      <c r="Y132" s="135"/>
      <c r="Z132" s="135"/>
      <c r="AA132" s="135"/>
      <c r="AB132" s="135"/>
      <c r="AC132" s="135"/>
      <c r="AD132" s="135"/>
      <c r="AE132" s="201"/>
      <c r="AF132" s="155"/>
      <c r="AG132" s="156"/>
      <c r="AI132" s="164"/>
      <c r="AJ132" s="165"/>
      <c r="AP132" s="201"/>
      <c r="AQ132" s="155"/>
      <c r="AX132" s="201"/>
      <c r="AY132" s="155"/>
      <c r="AZ132" s="156"/>
      <c r="BA132" s="155"/>
      <c r="BB132" s="135"/>
      <c r="BC132" s="135"/>
      <c r="BD132" s="135"/>
      <c r="BE132" s="135"/>
      <c r="BF132" s="135"/>
      <c r="BG132" s="135"/>
      <c r="BH132" s="156"/>
      <c r="BI132" s="155"/>
      <c r="BJ132" s="156"/>
      <c r="BL132" s="155"/>
      <c r="BM132" s="135"/>
      <c r="BN132" s="170"/>
      <c r="BO132" s="165"/>
      <c r="BS132" s="156"/>
      <c r="BT132" s="155"/>
      <c r="CA132" s="201"/>
      <c r="CB132" s="155"/>
      <c r="CC132" s="156"/>
      <c r="CD132" s="155"/>
      <c r="CG132" s="135"/>
      <c r="CH132" s="135"/>
      <c r="CI132" s="135"/>
      <c r="CJ132" s="135"/>
      <c r="CK132" s="201"/>
      <c r="CL132" s="155"/>
      <c r="CM132" s="156"/>
      <c r="CO132" s="155"/>
      <c r="CP132" s="135"/>
      <c r="CQ132" s="135"/>
      <c r="CR132" s="135"/>
      <c r="CS132" s="170"/>
      <c r="CT132" s="165"/>
      <c r="CU132" s="135"/>
      <c r="CV132" s="201"/>
    </row>
    <row r="133" spans="1:100" x14ac:dyDescent="0.25">
      <c r="A133" s="172"/>
      <c r="B133" s="156"/>
      <c r="F133" s="155"/>
      <c r="M133" s="201"/>
      <c r="O133" s="155"/>
      <c r="U133" s="201"/>
      <c r="V133" s="155"/>
      <c r="W133" s="156"/>
      <c r="X133" s="155"/>
      <c r="Y133" s="135"/>
      <c r="Z133" s="135"/>
      <c r="AA133" s="135"/>
      <c r="AB133" s="135"/>
      <c r="AC133" s="135"/>
      <c r="AD133" s="135"/>
      <c r="AE133" s="201"/>
      <c r="AF133" s="155"/>
      <c r="AG133" s="156"/>
      <c r="AI133" s="164"/>
      <c r="AJ133" s="165"/>
      <c r="AP133" s="201"/>
      <c r="AQ133" s="155"/>
      <c r="AX133" s="201"/>
      <c r="AY133" s="155"/>
      <c r="AZ133" s="156"/>
      <c r="BA133" s="155"/>
      <c r="BB133" s="135"/>
      <c r="BC133" s="135"/>
      <c r="BD133" s="135"/>
      <c r="BE133" s="135"/>
      <c r="BF133" s="135"/>
      <c r="BG133" s="135"/>
      <c r="BH133" s="156"/>
      <c r="BI133" s="155"/>
      <c r="BJ133" s="156"/>
      <c r="BL133" s="155"/>
      <c r="BM133" s="135"/>
      <c r="BN133" s="170"/>
      <c r="BO133" s="165"/>
      <c r="BS133" s="156"/>
      <c r="BT133" s="155"/>
      <c r="CA133" s="201"/>
      <c r="CB133" s="155"/>
      <c r="CC133" s="156"/>
      <c r="CD133" s="155"/>
      <c r="CG133" s="135"/>
      <c r="CH133" s="135"/>
      <c r="CI133" s="135"/>
      <c r="CJ133" s="135"/>
      <c r="CK133" s="201"/>
      <c r="CL133" s="155"/>
      <c r="CM133" s="156"/>
      <c r="CO133" s="155"/>
      <c r="CP133" s="135"/>
      <c r="CQ133" s="135"/>
      <c r="CR133" s="135"/>
      <c r="CS133" s="170"/>
      <c r="CT133" s="165"/>
      <c r="CU133" s="135"/>
      <c r="CV133" s="201"/>
    </row>
    <row r="134" spans="1:100" x14ac:dyDescent="0.25">
      <c r="A134" s="172"/>
      <c r="B134" s="156"/>
      <c r="F134" s="155"/>
      <c r="M134" s="201"/>
      <c r="O134" s="155"/>
      <c r="U134" s="201"/>
      <c r="V134" s="155"/>
      <c r="W134" s="156"/>
      <c r="X134" s="155"/>
      <c r="Y134" s="135"/>
      <c r="Z134" s="135"/>
      <c r="AA134" s="135"/>
      <c r="AB134" s="135"/>
      <c r="AC134" s="135"/>
      <c r="AD134" s="135"/>
      <c r="AE134" s="201"/>
      <c r="AF134" s="155"/>
      <c r="AG134" s="156"/>
      <c r="AI134" s="164"/>
      <c r="AJ134" s="165"/>
      <c r="AP134" s="201"/>
      <c r="AQ134" s="155"/>
      <c r="AX134" s="201"/>
      <c r="AY134" s="155"/>
      <c r="AZ134" s="156"/>
      <c r="BA134" s="155"/>
      <c r="BB134" s="135"/>
      <c r="BC134" s="135"/>
      <c r="BD134" s="135"/>
      <c r="BE134" s="135"/>
      <c r="BF134" s="135"/>
      <c r="BG134" s="135"/>
      <c r="BH134" s="156"/>
      <c r="BI134" s="155"/>
      <c r="BJ134" s="156"/>
      <c r="BL134" s="155"/>
      <c r="BM134" s="135"/>
      <c r="BN134" s="170"/>
      <c r="BO134" s="165"/>
      <c r="BS134" s="156"/>
      <c r="BT134" s="155"/>
      <c r="CA134" s="201"/>
      <c r="CB134" s="155"/>
      <c r="CC134" s="156"/>
      <c r="CD134" s="155"/>
      <c r="CG134" s="135"/>
      <c r="CH134" s="135"/>
      <c r="CI134" s="135"/>
      <c r="CJ134" s="135"/>
      <c r="CK134" s="201"/>
      <c r="CL134" s="155"/>
      <c r="CM134" s="156"/>
      <c r="CO134" s="155"/>
      <c r="CP134" s="135"/>
      <c r="CQ134" s="135"/>
      <c r="CR134" s="135"/>
      <c r="CS134" s="170"/>
      <c r="CT134" s="165"/>
      <c r="CU134" s="135"/>
      <c r="CV134" s="201"/>
    </row>
    <row r="135" spans="1:100" x14ac:dyDescent="0.25">
      <c r="A135" s="172"/>
      <c r="B135" s="156"/>
      <c r="F135" s="155"/>
      <c r="M135" s="201"/>
      <c r="O135" s="155"/>
      <c r="U135" s="201"/>
      <c r="V135" s="155"/>
      <c r="W135" s="156"/>
      <c r="X135" s="155"/>
      <c r="Y135" s="135"/>
      <c r="Z135" s="135"/>
      <c r="AA135" s="135"/>
      <c r="AB135" s="135"/>
      <c r="AC135" s="135"/>
      <c r="AD135" s="135"/>
      <c r="AE135" s="201"/>
      <c r="AF135" s="155"/>
      <c r="AG135" s="156"/>
      <c r="AI135" s="164"/>
      <c r="AJ135" s="165"/>
      <c r="AP135" s="201"/>
      <c r="AQ135" s="155"/>
      <c r="AX135" s="201"/>
      <c r="AY135" s="155"/>
      <c r="AZ135" s="156"/>
      <c r="BA135" s="155"/>
      <c r="BB135" s="135"/>
      <c r="BC135" s="135"/>
      <c r="BD135" s="135"/>
      <c r="BE135" s="135"/>
      <c r="BF135" s="135"/>
      <c r="BG135" s="135"/>
      <c r="BH135" s="156"/>
      <c r="BI135" s="155"/>
      <c r="BJ135" s="156"/>
      <c r="BL135" s="155"/>
      <c r="BM135" s="135"/>
      <c r="BN135" s="170"/>
      <c r="BO135" s="165"/>
      <c r="BS135" s="156"/>
      <c r="BT135" s="155"/>
      <c r="CA135" s="201"/>
      <c r="CB135" s="155"/>
      <c r="CC135" s="156"/>
      <c r="CD135" s="155"/>
      <c r="CG135" s="135"/>
      <c r="CH135" s="135"/>
      <c r="CI135" s="135"/>
      <c r="CJ135" s="135"/>
      <c r="CK135" s="201"/>
      <c r="CL135" s="155"/>
      <c r="CM135" s="156"/>
      <c r="CO135" s="155"/>
      <c r="CP135" s="135"/>
      <c r="CQ135" s="135"/>
      <c r="CR135" s="135"/>
      <c r="CS135" s="170"/>
      <c r="CT135" s="165"/>
      <c r="CU135" s="135"/>
      <c r="CV135" s="201"/>
    </row>
    <row r="136" spans="1:100" x14ac:dyDescent="0.25">
      <c r="A136" s="172"/>
      <c r="B136" s="156"/>
      <c r="F136" s="155"/>
      <c r="M136" s="201"/>
      <c r="O136" s="155"/>
      <c r="U136" s="201"/>
      <c r="V136" s="155"/>
      <c r="W136" s="156"/>
      <c r="X136" s="155"/>
      <c r="Y136" s="135"/>
      <c r="Z136" s="135"/>
      <c r="AA136" s="135"/>
      <c r="AB136" s="135"/>
      <c r="AC136" s="135"/>
      <c r="AD136" s="135"/>
      <c r="AE136" s="201"/>
      <c r="AF136" s="155"/>
      <c r="AG136" s="156"/>
      <c r="AI136" s="164"/>
      <c r="AJ136" s="165"/>
      <c r="AP136" s="201"/>
      <c r="AQ136" s="155"/>
      <c r="AX136" s="201"/>
      <c r="AY136" s="155"/>
      <c r="AZ136" s="156"/>
      <c r="BA136" s="155"/>
      <c r="BB136" s="135"/>
      <c r="BC136" s="135"/>
      <c r="BD136" s="135"/>
      <c r="BE136" s="135"/>
      <c r="BF136" s="135"/>
      <c r="BG136" s="135"/>
      <c r="BH136" s="156"/>
      <c r="BI136" s="155"/>
      <c r="BJ136" s="156"/>
      <c r="BL136" s="155"/>
      <c r="BM136" s="135"/>
      <c r="BN136" s="170"/>
      <c r="BO136" s="165"/>
      <c r="BS136" s="156"/>
      <c r="BT136" s="155"/>
      <c r="CA136" s="201"/>
      <c r="CB136" s="155"/>
      <c r="CC136" s="156"/>
      <c r="CD136" s="155"/>
      <c r="CG136" s="135"/>
      <c r="CH136" s="135"/>
      <c r="CI136" s="135"/>
      <c r="CJ136" s="135"/>
      <c r="CK136" s="201"/>
      <c r="CL136" s="155"/>
      <c r="CM136" s="156"/>
      <c r="CO136" s="155"/>
      <c r="CP136" s="135"/>
      <c r="CQ136" s="135"/>
      <c r="CR136" s="135"/>
      <c r="CS136" s="170"/>
      <c r="CT136" s="165"/>
      <c r="CU136" s="135"/>
      <c r="CV136" s="201"/>
    </row>
    <row r="137" spans="1:100" x14ac:dyDescent="0.25">
      <c r="A137" s="172"/>
      <c r="B137" s="156"/>
      <c r="F137" s="155"/>
      <c r="M137" s="201"/>
      <c r="O137" s="155"/>
      <c r="U137" s="201"/>
      <c r="V137" s="155"/>
      <c r="W137" s="156"/>
      <c r="X137" s="155"/>
      <c r="Y137" s="135"/>
      <c r="Z137" s="135"/>
      <c r="AA137" s="135"/>
      <c r="AB137" s="135"/>
      <c r="AC137" s="135"/>
      <c r="AD137" s="135"/>
      <c r="AE137" s="201"/>
      <c r="AF137" s="155"/>
      <c r="AG137" s="156"/>
      <c r="AI137" s="164"/>
      <c r="AJ137" s="165"/>
      <c r="AP137" s="201"/>
      <c r="AQ137" s="155"/>
      <c r="AX137" s="201"/>
      <c r="AY137" s="155"/>
      <c r="AZ137" s="156"/>
      <c r="BA137" s="155"/>
      <c r="BB137" s="135"/>
      <c r="BC137" s="135"/>
      <c r="BD137" s="135"/>
      <c r="BE137" s="135"/>
      <c r="BF137" s="135"/>
      <c r="BG137" s="135"/>
      <c r="BH137" s="156"/>
      <c r="BI137" s="155"/>
      <c r="BJ137" s="156"/>
      <c r="BL137" s="155"/>
      <c r="BM137" s="135"/>
      <c r="BN137" s="170"/>
      <c r="BO137" s="165"/>
      <c r="BS137" s="156"/>
      <c r="BT137" s="155"/>
      <c r="CA137" s="201"/>
      <c r="CB137" s="155"/>
      <c r="CC137" s="156"/>
      <c r="CD137" s="155"/>
      <c r="CG137" s="135"/>
      <c r="CH137" s="135"/>
      <c r="CI137" s="135"/>
      <c r="CJ137" s="135"/>
      <c r="CK137" s="201"/>
      <c r="CL137" s="155"/>
      <c r="CM137" s="156"/>
      <c r="CO137" s="155"/>
      <c r="CP137" s="135"/>
      <c r="CQ137" s="135"/>
      <c r="CR137" s="135"/>
      <c r="CS137" s="170"/>
      <c r="CT137" s="165"/>
      <c r="CU137" s="135"/>
      <c r="CV137" s="201"/>
    </row>
    <row r="138" spans="1:100" x14ac:dyDescent="0.25">
      <c r="A138" s="172"/>
      <c r="B138" s="156"/>
      <c r="F138" s="155"/>
      <c r="M138" s="201"/>
      <c r="O138" s="155"/>
      <c r="U138" s="201"/>
      <c r="V138" s="155"/>
      <c r="W138" s="156"/>
      <c r="X138" s="155"/>
      <c r="Y138" s="135"/>
      <c r="Z138" s="135"/>
      <c r="AA138" s="135"/>
      <c r="AB138" s="135"/>
      <c r="AC138" s="135"/>
      <c r="AD138" s="135"/>
      <c r="AE138" s="201"/>
      <c r="AF138" s="155"/>
      <c r="AG138" s="156"/>
      <c r="AI138" s="164"/>
      <c r="AJ138" s="165"/>
      <c r="AP138" s="201"/>
      <c r="AQ138" s="155"/>
      <c r="AX138" s="201"/>
      <c r="AY138" s="155"/>
      <c r="AZ138" s="156"/>
      <c r="BA138" s="155"/>
      <c r="BB138" s="135"/>
      <c r="BC138" s="135"/>
      <c r="BD138" s="135"/>
      <c r="BE138" s="135"/>
      <c r="BF138" s="135"/>
      <c r="BG138" s="135"/>
      <c r="BH138" s="156"/>
      <c r="BI138" s="155"/>
      <c r="BJ138" s="156"/>
      <c r="BL138" s="155"/>
      <c r="BM138" s="135"/>
      <c r="BN138" s="170"/>
      <c r="BO138" s="165"/>
      <c r="BS138" s="156"/>
      <c r="BT138" s="155"/>
      <c r="CA138" s="201"/>
      <c r="CB138" s="155"/>
      <c r="CC138" s="156"/>
      <c r="CD138" s="155"/>
      <c r="CG138" s="135"/>
      <c r="CH138" s="135"/>
      <c r="CI138" s="135"/>
      <c r="CJ138" s="135"/>
      <c r="CK138" s="201"/>
      <c r="CL138" s="155"/>
      <c r="CM138" s="156"/>
      <c r="CO138" s="155"/>
      <c r="CP138" s="135"/>
      <c r="CQ138" s="135"/>
      <c r="CR138" s="135"/>
      <c r="CS138" s="170"/>
      <c r="CT138" s="165"/>
      <c r="CU138" s="135"/>
      <c r="CV138" s="201"/>
    </row>
    <row r="139" spans="1:100" x14ac:dyDescent="0.25">
      <c r="A139" s="172"/>
      <c r="B139" s="156"/>
      <c r="F139" s="155"/>
      <c r="M139" s="201"/>
      <c r="O139" s="155"/>
      <c r="U139" s="201"/>
      <c r="V139" s="155"/>
      <c r="W139" s="156"/>
      <c r="X139" s="155"/>
      <c r="Y139" s="135"/>
      <c r="Z139" s="135"/>
      <c r="AA139" s="135"/>
      <c r="AB139" s="135"/>
      <c r="AC139" s="135"/>
      <c r="AD139" s="135"/>
      <c r="AE139" s="201"/>
      <c r="AF139" s="155"/>
      <c r="AG139" s="156"/>
      <c r="AI139" s="164"/>
      <c r="AJ139" s="165"/>
      <c r="AP139" s="201"/>
      <c r="AQ139" s="155"/>
      <c r="AX139" s="201"/>
      <c r="AY139" s="155"/>
      <c r="AZ139" s="156"/>
      <c r="BA139" s="155"/>
      <c r="BB139" s="135"/>
      <c r="BC139" s="135"/>
      <c r="BD139" s="135"/>
      <c r="BE139" s="135"/>
      <c r="BF139" s="135"/>
      <c r="BG139" s="135"/>
      <c r="BH139" s="156"/>
      <c r="BI139" s="155"/>
      <c r="BJ139" s="156"/>
      <c r="BL139" s="155"/>
      <c r="BM139" s="135"/>
      <c r="BN139" s="170"/>
      <c r="BO139" s="165"/>
      <c r="BS139" s="156"/>
      <c r="BT139" s="155"/>
      <c r="CA139" s="201"/>
      <c r="CB139" s="155"/>
      <c r="CC139" s="156"/>
      <c r="CD139" s="155"/>
      <c r="CG139" s="135"/>
      <c r="CH139" s="135"/>
      <c r="CI139" s="135"/>
      <c r="CJ139" s="135"/>
      <c r="CK139" s="201"/>
      <c r="CL139" s="155"/>
      <c r="CM139" s="156"/>
      <c r="CO139" s="155"/>
      <c r="CP139" s="135"/>
      <c r="CQ139" s="135"/>
      <c r="CR139" s="135"/>
      <c r="CS139" s="170"/>
      <c r="CT139" s="165"/>
      <c r="CU139" s="135"/>
      <c r="CV139" s="201"/>
    </row>
    <row r="140" spans="1:100" x14ac:dyDescent="0.25">
      <c r="A140" s="172"/>
      <c r="B140" s="156"/>
      <c r="F140" s="155"/>
      <c r="M140" s="201"/>
      <c r="O140" s="155"/>
      <c r="U140" s="201"/>
      <c r="V140" s="155"/>
      <c r="W140" s="156"/>
      <c r="X140" s="155"/>
      <c r="Y140" s="135"/>
      <c r="Z140" s="135"/>
      <c r="AA140" s="135"/>
      <c r="AB140" s="135"/>
      <c r="AC140" s="135"/>
      <c r="AD140" s="135"/>
      <c r="AE140" s="201"/>
      <c r="AF140" s="155"/>
      <c r="AG140" s="156"/>
      <c r="AI140" s="164"/>
      <c r="AJ140" s="165"/>
      <c r="AP140" s="201"/>
      <c r="AQ140" s="155"/>
      <c r="AX140" s="201"/>
      <c r="AY140" s="155"/>
      <c r="AZ140" s="156"/>
      <c r="BA140" s="155"/>
      <c r="BB140" s="135"/>
      <c r="BC140" s="135"/>
      <c r="BD140" s="135"/>
      <c r="BE140" s="135"/>
      <c r="BF140" s="135"/>
      <c r="BG140" s="135"/>
      <c r="BH140" s="156"/>
      <c r="BI140" s="155"/>
      <c r="BJ140" s="156"/>
      <c r="BL140" s="155"/>
      <c r="BM140" s="135"/>
      <c r="BN140" s="170"/>
      <c r="BO140" s="165"/>
      <c r="BS140" s="156"/>
      <c r="BT140" s="155"/>
      <c r="CA140" s="201"/>
      <c r="CB140" s="155"/>
      <c r="CC140" s="156"/>
      <c r="CD140" s="155"/>
      <c r="CG140" s="135"/>
      <c r="CH140" s="135"/>
      <c r="CI140" s="135"/>
      <c r="CJ140" s="135"/>
      <c r="CK140" s="201"/>
      <c r="CL140" s="155"/>
      <c r="CM140" s="156"/>
      <c r="CO140" s="155"/>
      <c r="CP140" s="135"/>
      <c r="CQ140" s="135"/>
      <c r="CR140" s="135"/>
      <c r="CS140" s="170"/>
      <c r="CT140" s="165"/>
      <c r="CU140" s="135"/>
      <c r="CV140" s="201"/>
    </row>
    <row r="141" spans="1:100" x14ac:dyDescent="0.25">
      <c r="A141" s="172"/>
      <c r="B141" s="156"/>
      <c r="F141" s="155"/>
      <c r="M141" s="201"/>
      <c r="O141" s="155"/>
      <c r="U141" s="201"/>
      <c r="V141" s="155"/>
      <c r="W141" s="156"/>
      <c r="X141" s="155"/>
      <c r="Y141" s="135"/>
      <c r="Z141" s="135"/>
      <c r="AA141" s="135"/>
      <c r="AB141" s="135"/>
      <c r="AC141" s="135"/>
      <c r="AD141" s="135"/>
      <c r="AE141" s="201"/>
      <c r="AF141" s="155"/>
      <c r="AG141" s="156"/>
      <c r="AI141" s="164"/>
      <c r="AJ141" s="165"/>
      <c r="AP141" s="201"/>
      <c r="AQ141" s="155"/>
      <c r="AX141" s="201"/>
      <c r="AY141" s="155"/>
      <c r="AZ141" s="156"/>
      <c r="BA141" s="155"/>
      <c r="BB141" s="135"/>
      <c r="BC141" s="135"/>
      <c r="BD141" s="135"/>
      <c r="BE141" s="135"/>
      <c r="BF141" s="135"/>
      <c r="BG141" s="135"/>
      <c r="BH141" s="156"/>
      <c r="BI141" s="155"/>
      <c r="BJ141" s="156"/>
      <c r="BL141" s="155"/>
      <c r="BM141" s="135"/>
      <c r="BN141" s="170"/>
      <c r="BO141" s="165"/>
      <c r="BS141" s="156"/>
      <c r="BT141" s="155"/>
      <c r="CA141" s="201"/>
      <c r="CB141" s="155"/>
      <c r="CC141" s="156"/>
      <c r="CD141" s="155"/>
      <c r="CG141" s="135"/>
      <c r="CH141" s="135"/>
      <c r="CI141" s="135"/>
      <c r="CJ141" s="135"/>
      <c r="CK141" s="201"/>
      <c r="CL141" s="155"/>
      <c r="CM141" s="156"/>
      <c r="CO141" s="155"/>
      <c r="CP141" s="135"/>
      <c r="CQ141" s="135"/>
      <c r="CR141" s="135"/>
      <c r="CS141" s="170"/>
      <c r="CT141" s="165"/>
      <c r="CU141" s="135"/>
      <c r="CV141" s="201"/>
    </row>
    <row r="142" spans="1:100" x14ac:dyDescent="0.25">
      <c r="A142" s="172"/>
      <c r="B142" s="156"/>
      <c r="F142" s="155"/>
      <c r="M142" s="201"/>
      <c r="O142" s="155"/>
      <c r="U142" s="201"/>
      <c r="V142" s="155"/>
      <c r="W142" s="156"/>
      <c r="X142" s="155"/>
      <c r="Y142" s="135"/>
      <c r="Z142" s="135"/>
      <c r="AA142" s="135"/>
      <c r="AB142" s="135"/>
      <c r="AC142" s="135"/>
      <c r="AD142" s="135"/>
      <c r="AE142" s="201"/>
      <c r="AF142" s="155"/>
      <c r="AG142" s="156"/>
      <c r="AI142" s="164"/>
      <c r="AJ142" s="165"/>
      <c r="AP142" s="201"/>
      <c r="AQ142" s="155"/>
      <c r="AX142" s="201"/>
      <c r="AY142" s="155"/>
      <c r="AZ142" s="156"/>
      <c r="BA142" s="155"/>
      <c r="BB142" s="135"/>
      <c r="BC142" s="135"/>
      <c r="BD142" s="135"/>
      <c r="BE142" s="135"/>
      <c r="BF142" s="135"/>
      <c r="BG142" s="135"/>
      <c r="BH142" s="156"/>
      <c r="BI142" s="155"/>
      <c r="BJ142" s="156"/>
      <c r="BL142" s="155"/>
      <c r="BM142" s="135"/>
      <c r="BN142" s="170"/>
      <c r="BO142" s="165"/>
      <c r="BS142" s="156"/>
      <c r="BT142" s="155"/>
      <c r="CA142" s="201"/>
      <c r="CB142" s="155"/>
      <c r="CC142" s="156"/>
      <c r="CD142" s="155"/>
      <c r="CG142" s="135"/>
      <c r="CH142" s="135"/>
      <c r="CI142" s="135"/>
      <c r="CJ142" s="135"/>
      <c r="CK142" s="201"/>
      <c r="CL142" s="155"/>
      <c r="CM142" s="156"/>
      <c r="CO142" s="155"/>
      <c r="CP142" s="135"/>
      <c r="CQ142" s="135"/>
      <c r="CR142" s="135"/>
      <c r="CS142" s="170"/>
      <c r="CT142" s="165"/>
      <c r="CU142" s="135"/>
      <c r="CV142" s="201"/>
    </row>
    <row r="143" spans="1:100" x14ac:dyDescent="0.25">
      <c r="A143" s="172"/>
      <c r="B143" s="156"/>
      <c r="F143" s="155"/>
      <c r="M143" s="201"/>
      <c r="O143" s="155"/>
      <c r="U143" s="201"/>
      <c r="V143" s="155"/>
      <c r="W143" s="156"/>
      <c r="X143" s="155"/>
      <c r="Y143" s="135"/>
      <c r="Z143" s="135"/>
      <c r="AA143" s="135"/>
      <c r="AB143" s="135"/>
      <c r="AC143" s="135"/>
      <c r="AD143" s="135"/>
      <c r="AE143" s="201"/>
      <c r="AF143" s="155"/>
      <c r="AG143" s="156"/>
      <c r="AI143" s="164"/>
      <c r="AJ143" s="165"/>
      <c r="AP143" s="201"/>
      <c r="AQ143" s="155"/>
      <c r="AX143" s="201"/>
      <c r="AY143" s="155"/>
      <c r="AZ143" s="156"/>
      <c r="BA143" s="155"/>
      <c r="BB143" s="135"/>
      <c r="BC143" s="135"/>
      <c r="BD143" s="135"/>
      <c r="BE143" s="135"/>
      <c r="BF143" s="135"/>
      <c r="BG143" s="135"/>
      <c r="BH143" s="156"/>
      <c r="BI143" s="155"/>
      <c r="BJ143" s="156"/>
      <c r="BL143" s="155"/>
      <c r="BM143" s="135"/>
      <c r="BN143" s="170"/>
      <c r="BO143" s="165"/>
      <c r="BS143" s="156"/>
      <c r="BT143" s="155"/>
      <c r="CA143" s="201"/>
      <c r="CB143" s="155"/>
      <c r="CC143" s="156"/>
      <c r="CD143" s="155"/>
      <c r="CG143" s="135"/>
      <c r="CH143" s="135"/>
      <c r="CI143" s="135"/>
      <c r="CJ143" s="135"/>
      <c r="CK143" s="201"/>
      <c r="CL143" s="155"/>
      <c r="CM143" s="156"/>
      <c r="CO143" s="155"/>
      <c r="CP143" s="135"/>
      <c r="CQ143" s="135"/>
      <c r="CR143" s="135"/>
      <c r="CS143" s="170"/>
      <c r="CT143" s="165"/>
      <c r="CU143" s="135"/>
      <c r="CV143" s="201"/>
    </row>
    <row r="144" spans="1:100" x14ac:dyDescent="0.25">
      <c r="A144" s="172"/>
      <c r="B144" s="156"/>
      <c r="F144" s="155"/>
      <c r="M144" s="201"/>
      <c r="O144" s="155"/>
      <c r="U144" s="201"/>
      <c r="V144" s="155"/>
      <c r="W144" s="156"/>
      <c r="X144" s="155"/>
      <c r="Y144" s="135"/>
      <c r="Z144" s="135"/>
      <c r="AA144" s="135"/>
      <c r="AB144" s="135"/>
      <c r="AC144" s="135"/>
      <c r="AD144" s="135"/>
      <c r="AE144" s="201"/>
      <c r="AF144" s="155"/>
      <c r="AG144" s="156"/>
      <c r="AI144" s="164"/>
      <c r="AJ144" s="165"/>
      <c r="AP144" s="201"/>
      <c r="AQ144" s="155"/>
      <c r="AX144" s="201"/>
      <c r="AY144" s="155"/>
      <c r="AZ144" s="156"/>
      <c r="BA144" s="155"/>
      <c r="BB144" s="135"/>
      <c r="BC144" s="135"/>
      <c r="BD144" s="135"/>
      <c r="BE144" s="135"/>
      <c r="BF144" s="135"/>
      <c r="BG144" s="135"/>
      <c r="BH144" s="156"/>
      <c r="BI144" s="155"/>
      <c r="BJ144" s="156"/>
      <c r="BL144" s="155"/>
      <c r="BM144" s="135"/>
      <c r="BN144" s="170"/>
      <c r="BO144" s="165"/>
      <c r="BS144" s="156"/>
      <c r="BT144" s="155"/>
      <c r="CA144" s="201"/>
      <c r="CB144" s="155"/>
      <c r="CC144" s="156"/>
      <c r="CD144" s="155"/>
      <c r="CG144" s="135"/>
      <c r="CH144" s="135"/>
      <c r="CI144" s="135"/>
      <c r="CJ144" s="135"/>
      <c r="CK144" s="201"/>
      <c r="CL144" s="155"/>
      <c r="CM144" s="156"/>
      <c r="CO144" s="155"/>
      <c r="CP144" s="135"/>
      <c r="CQ144" s="135"/>
      <c r="CR144" s="135"/>
      <c r="CS144" s="170"/>
      <c r="CT144" s="165"/>
      <c r="CU144" s="135"/>
      <c r="CV144" s="201"/>
    </row>
    <row r="145" spans="1:101" x14ac:dyDescent="0.25">
      <c r="A145" s="172"/>
      <c r="B145" s="156"/>
      <c r="F145" s="155"/>
      <c r="M145" s="201"/>
      <c r="O145" s="155"/>
      <c r="U145" s="201"/>
      <c r="V145" s="155"/>
      <c r="W145" s="156"/>
      <c r="X145" s="155"/>
      <c r="Y145" s="135"/>
      <c r="Z145" s="135"/>
      <c r="AA145" s="135"/>
      <c r="AB145" s="135"/>
      <c r="AC145" s="135"/>
      <c r="AD145" s="135"/>
      <c r="AE145" s="201"/>
      <c r="AF145" s="155"/>
      <c r="AG145" s="156"/>
      <c r="AI145" s="164"/>
      <c r="AJ145" s="165"/>
      <c r="AP145" s="201"/>
      <c r="AQ145" s="155"/>
      <c r="AX145" s="201"/>
      <c r="AY145" s="155"/>
      <c r="AZ145" s="156"/>
      <c r="BA145" s="155"/>
      <c r="BB145" s="135"/>
      <c r="BC145" s="135"/>
      <c r="BD145" s="135"/>
      <c r="BE145" s="135"/>
      <c r="BF145" s="135"/>
      <c r="BG145" s="135"/>
      <c r="BH145" s="156"/>
      <c r="BI145" s="155"/>
      <c r="BJ145" s="156"/>
      <c r="BL145" s="155"/>
      <c r="BM145" s="135"/>
      <c r="BN145" s="170"/>
      <c r="BO145" s="165"/>
      <c r="BS145" s="156"/>
      <c r="BT145" s="155"/>
      <c r="CA145" s="201"/>
      <c r="CB145" s="155"/>
      <c r="CC145" s="156"/>
      <c r="CD145" s="155"/>
      <c r="CG145" s="135"/>
      <c r="CH145" s="135"/>
      <c r="CI145" s="135"/>
      <c r="CJ145" s="135"/>
      <c r="CK145" s="201"/>
      <c r="CL145" s="155"/>
      <c r="CM145" s="156"/>
      <c r="CO145" s="155"/>
      <c r="CP145" s="135"/>
      <c r="CQ145" s="135"/>
      <c r="CR145" s="135"/>
      <c r="CS145" s="170"/>
      <c r="CT145" s="165"/>
      <c r="CU145" s="135"/>
      <c r="CV145" s="201"/>
    </row>
    <row r="146" spans="1:101" x14ac:dyDescent="0.25">
      <c r="A146" s="172"/>
      <c r="B146" s="156"/>
      <c r="F146" s="155"/>
      <c r="M146" s="201"/>
      <c r="O146" s="155"/>
      <c r="U146" s="201"/>
      <c r="V146" s="155"/>
      <c r="W146" s="156"/>
      <c r="X146" s="155"/>
      <c r="Y146" s="135"/>
      <c r="Z146" s="135"/>
      <c r="AA146" s="135"/>
      <c r="AB146" s="135"/>
      <c r="AC146" s="135"/>
      <c r="AD146" s="135"/>
      <c r="AE146" s="201"/>
      <c r="AF146" s="155"/>
      <c r="AG146" s="156"/>
      <c r="AI146" s="164"/>
      <c r="AJ146" s="165"/>
      <c r="AP146" s="201"/>
      <c r="AQ146" s="155"/>
      <c r="AX146" s="201"/>
      <c r="AY146" s="155"/>
      <c r="AZ146" s="156"/>
      <c r="BA146" s="155"/>
      <c r="BB146" s="135"/>
      <c r="BC146" s="135"/>
      <c r="BD146" s="135"/>
      <c r="BE146" s="135"/>
      <c r="BF146" s="135"/>
      <c r="BG146" s="135"/>
      <c r="BH146" s="156"/>
      <c r="BI146" s="155"/>
      <c r="BJ146" s="156"/>
      <c r="BL146" s="155"/>
      <c r="BM146" s="135"/>
      <c r="BN146" s="170"/>
      <c r="BO146" s="165"/>
      <c r="BS146" s="156"/>
      <c r="BT146" s="155"/>
      <c r="CA146" s="201"/>
      <c r="CB146" s="155"/>
      <c r="CC146" s="156"/>
      <c r="CD146" s="155"/>
      <c r="CG146" s="135"/>
      <c r="CH146" s="135"/>
      <c r="CI146" s="135"/>
      <c r="CJ146" s="135"/>
      <c r="CK146" s="201"/>
      <c r="CL146" s="155"/>
      <c r="CM146" s="156"/>
      <c r="CO146" s="155"/>
      <c r="CP146" s="135"/>
      <c r="CQ146" s="135"/>
      <c r="CR146" s="135"/>
      <c r="CS146" s="170"/>
      <c r="CT146" s="165"/>
      <c r="CU146" s="135"/>
      <c r="CV146" s="201"/>
    </row>
    <row r="147" spans="1:101" x14ac:dyDescent="0.25">
      <c r="A147" s="172"/>
      <c r="B147" s="156"/>
      <c r="F147" s="155"/>
      <c r="M147" s="201"/>
      <c r="O147" s="155"/>
      <c r="U147" s="201"/>
      <c r="V147" s="155"/>
      <c r="W147" s="156"/>
      <c r="X147" s="155"/>
      <c r="Y147" s="135"/>
      <c r="Z147" s="135"/>
      <c r="AA147" s="135"/>
      <c r="AB147" s="135"/>
      <c r="AC147" s="135"/>
      <c r="AD147" s="135"/>
      <c r="AE147" s="201"/>
      <c r="AF147" s="155"/>
      <c r="AG147" s="156"/>
      <c r="AI147" s="164"/>
      <c r="AJ147" s="165"/>
      <c r="AP147" s="201"/>
      <c r="AQ147" s="155"/>
      <c r="AX147" s="201"/>
      <c r="AY147" s="155"/>
      <c r="AZ147" s="156"/>
      <c r="BA147" s="155"/>
      <c r="BB147" s="135"/>
      <c r="BC147" s="135"/>
      <c r="BD147" s="135"/>
      <c r="BE147" s="135"/>
      <c r="BF147" s="135"/>
      <c r="BG147" s="135"/>
      <c r="BH147" s="156"/>
      <c r="BI147" s="155"/>
      <c r="BJ147" s="156"/>
      <c r="BL147" s="155"/>
      <c r="BM147" s="135"/>
      <c r="BN147" s="170"/>
      <c r="BO147" s="165"/>
      <c r="BS147" s="156"/>
      <c r="BT147" s="155"/>
      <c r="CA147" s="201"/>
      <c r="CB147" s="155"/>
      <c r="CC147" s="156"/>
      <c r="CD147" s="155"/>
      <c r="CG147" s="135"/>
      <c r="CH147" s="135"/>
      <c r="CI147" s="135"/>
      <c r="CJ147" s="135"/>
      <c r="CK147" s="201"/>
      <c r="CL147" s="155"/>
      <c r="CM147" s="156"/>
      <c r="CO147" s="155"/>
      <c r="CP147" s="135"/>
      <c r="CQ147" s="135"/>
      <c r="CR147" s="135"/>
      <c r="CS147" s="170"/>
      <c r="CT147" s="165"/>
      <c r="CU147" s="135"/>
      <c r="CV147" s="201"/>
    </row>
    <row r="148" spans="1:101" x14ac:dyDescent="0.25">
      <c r="A148" s="172"/>
      <c r="B148" s="156"/>
      <c r="F148" s="155"/>
      <c r="M148" s="201"/>
      <c r="O148" s="155"/>
      <c r="U148" s="201"/>
      <c r="V148" s="155"/>
      <c r="W148" s="156"/>
      <c r="X148" s="155"/>
      <c r="Y148" s="135"/>
      <c r="Z148" s="135"/>
      <c r="AA148" s="135"/>
      <c r="AB148" s="135"/>
      <c r="AC148" s="135"/>
      <c r="AD148" s="135"/>
      <c r="AE148" s="201"/>
      <c r="AF148" s="155"/>
      <c r="AG148" s="156"/>
      <c r="AI148" s="164"/>
      <c r="AJ148" s="165"/>
      <c r="AP148" s="201"/>
      <c r="AQ148" s="155"/>
      <c r="AX148" s="201"/>
      <c r="AY148" s="155"/>
      <c r="AZ148" s="156"/>
      <c r="BA148" s="155"/>
      <c r="BB148" s="135"/>
      <c r="BC148" s="135"/>
      <c r="BD148" s="135"/>
      <c r="BE148" s="135"/>
      <c r="BF148" s="135"/>
      <c r="BG148" s="135"/>
      <c r="BH148" s="156"/>
      <c r="BI148" s="155"/>
      <c r="BJ148" s="156"/>
      <c r="BL148" s="155"/>
      <c r="BM148" s="135"/>
      <c r="BN148" s="170"/>
      <c r="BO148" s="165"/>
      <c r="BS148" s="156"/>
      <c r="BT148" s="155"/>
      <c r="CA148" s="201"/>
      <c r="CB148" s="155"/>
      <c r="CC148" s="156"/>
      <c r="CD148" s="155"/>
      <c r="CG148" s="135"/>
      <c r="CH148" s="135"/>
      <c r="CI148" s="135"/>
      <c r="CJ148" s="135"/>
      <c r="CK148" s="201"/>
      <c r="CL148" s="155"/>
      <c r="CM148" s="156"/>
      <c r="CO148" s="155"/>
      <c r="CP148" s="135"/>
      <c r="CQ148" s="135"/>
      <c r="CR148" s="135"/>
      <c r="CS148" s="170"/>
      <c r="CT148" s="165"/>
      <c r="CU148" s="135"/>
      <c r="CV148" s="201"/>
    </row>
    <row r="149" spans="1:101" x14ac:dyDescent="0.25">
      <c r="A149" s="172"/>
      <c r="B149" s="156"/>
      <c r="F149" s="155"/>
      <c r="M149" s="201"/>
      <c r="O149" s="155"/>
      <c r="U149" s="201"/>
      <c r="V149" s="155"/>
      <c r="W149" s="156"/>
      <c r="X149" s="155"/>
      <c r="Y149" s="135"/>
      <c r="Z149" s="135"/>
      <c r="AA149" s="135"/>
      <c r="AB149" s="135"/>
      <c r="AC149" s="135"/>
      <c r="AD149" s="135"/>
      <c r="AE149" s="201"/>
      <c r="AF149" s="155"/>
      <c r="AG149" s="156"/>
      <c r="AI149" s="164"/>
      <c r="AJ149" s="165"/>
      <c r="AP149" s="201"/>
      <c r="AQ149" s="155"/>
      <c r="AX149" s="201"/>
      <c r="AY149" s="155"/>
      <c r="AZ149" s="156"/>
      <c r="BA149" s="155"/>
      <c r="BB149" s="135"/>
      <c r="BC149" s="135"/>
      <c r="BD149" s="135"/>
      <c r="BE149" s="135"/>
      <c r="BF149" s="135"/>
      <c r="BG149" s="135"/>
      <c r="BH149" s="156"/>
      <c r="BI149" s="155"/>
      <c r="BJ149" s="156"/>
      <c r="BL149" s="155"/>
      <c r="BM149" s="135"/>
      <c r="BN149" s="170"/>
      <c r="BO149" s="165"/>
      <c r="BS149" s="156"/>
      <c r="BT149" s="155"/>
      <c r="CA149" s="201"/>
      <c r="CB149" s="155"/>
      <c r="CC149" s="156"/>
      <c r="CD149" s="155"/>
      <c r="CG149" s="135"/>
      <c r="CH149" s="135"/>
      <c r="CI149" s="135"/>
      <c r="CJ149" s="135"/>
      <c r="CK149" s="201"/>
      <c r="CL149" s="155"/>
      <c r="CM149" s="156"/>
      <c r="CO149" s="155"/>
      <c r="CP149" s="135"/>
      <c r="CQ149" s="135"/>
      <c r="CR149" s="135"/>
      <c r="CS149" s="170"/>
      <c r="CT149" s="165"/>
      <c r="CU149" s="135"/>
      <c r="CV149" s="201"/>
    </row>
    <row r="150" spans="1:101" x14ac:dyDescent="0.25">
      <c r="A150" s="172"/>
      <c r="B150" s="156"/>
      <c r="F150" s="155"/>
      <c r="M150" s="201"/>
      <c r="O150" s="155"/>
      <c r="U150" s="201"/>
      <c r="V150" s="155"/>
      <c r="W150" s="156"/>
      <c r="X150" s="155"/>
      <c r="Y150" s="135"/>
      <c r="Z150" s="135"/>
      <c r="AA150" s="135"/>
      <c r="AB150" s="135"/>
      <c r="AC150" s="135"/>
      <c r="AD150" s="135"/>
      <c r="AE150" s="201"/>
      <c r="AF150" s="155"/>
      <c r="AG150" s="156"/>
      <c r="AI150" s="164"/>
      <c r="AJ150" s="165"/>
      <c r="AP150" s="201"/>
      <c r="AQ150" s="155"/>
      <c r="AX150" s="201"/>
      <c r="AY150" s="155"/>
      <c r="AZ150" s="156"/>
      <c r="BA150" s="155"/>
      <c r="BB150" s="135"/>
      <c r="BC150" s="135"/>
      <c r="BD150" s="135"/>
      <c r="BE150" s="135"/>
      <c r="BF150" s="135"/>
      <c r="BG150" s="135"/>
      <c r="BH150" s="156"/>
      <c r="BI150" s="155"/>
      <c r="BJ150" s="156"/>
      <c r="BL150" s="155"/>
      <c r="BM150" s="135"/>
      <c r="BN150" s="170"/>
      <c r="BO150" s="165"/>
      <c r="BS150" s="156"/>
      <c r="BT150" s="155"/>
      <c r="CA150" s="201"/>
      <c r="CB150" s="155"/>
      <c r="CC150" s="156"/>
      <c r="CD150" s="155"/>
      <c r="CG150" s="135"/>
      <c r="CH150" s="135"/>
      <c r="CI150" s="135"/>
      <c r="CJ150" s="135"/>
      <c r="CK150" s="201"/>
      <c r="CL150" s="155"/>
      <c r="CM150" s="156"/>
      <c r="CO150" s="155"/>
      <c r="CP150" s="135"/>
      <c r="CQ150" s="135"/>
      <c r="CR150" s="135"/>
      <c r="CS150" s="170"/>
      <c r="CT150" s="165"/>
      <c r="CU150" s="135"/>
      <c r="CV150" s="201"/>
    </row>
    <row r="151" spans="1:101" x14ac:dyDescent="0.25">
      <c r="A151" s="172"/>
      <c r="B151" s="156"/>
      <c r="F151" s="155"/>
      <c r="M151" s="201"/>
      <c r="O151" s="155"/>
      <c r="U151" s="201"/>
      <c r="V151" s="155"/>
      <c r="W151" s="156"/>
      <c r="X151" s="155"/>
      <c r="Y151" s="135"/>
      <c r="Z151" s="135"/>
      <c r="AA151" s="135"/>
      <c r="AB151" s="135"/>
      <c r="AC151" s="135"/>
      <c r="AD151" s="135"/>
      <c r="AE151" s="201"/>
      <c r="AF151" s="155"/>
      <c r="AG151" s="156"/>
      <c r="AI151" s="164"/>
      <c r="AJ151" s="165"/>
      <c r="AP151" s="201"/>
      <c r="AQ151" s="155"/>
      <c r="AX151" s="201"/>
      <c r="AY151" s="155"/>
      <c r="AZ151" s="156"/>
      <c r="BA151" s="155"/>
      <c r="BB151" s="135"/>
      <c r="BC151" s="135"/>
      <c r="BD151" s="135"/>
      <c r="BE151" s="135"/>
      <c r="BF151" s="135"/>
      <c r="BG151" s="135"/>
      <c r="BH151" s="156"/>
      <c r="BI151" s="155"/>
      <c r="BJ151" s="156"/>
      <c r="BL151" s="155"/>
      <c r="BM151" s="135"/>
      <c r="BN151" s="170"/>
      <c r="BO151" s="165"/>
      <c r="BS151" s="156"/>
      <c r="BT151" s="155"/>
      <c r="CA151" s="201"/>
      <c r="CB151" s="155"/>
      <c r="CC151" s="156"/>
      <c r="CD151" s="155"/>
      <c r="CG151" s="135"/>
      <c r="CH151" s="135"/>
      <c r="CI151" s="135"/>
      <c r="CJ151" s="135"/>
      <c r="CK151" s="201"/>
      <c r="CL151" s="155"/>
      <c r="CM151" s="156"/>
      <c r="CO151" s="155"/>
      <c r="CP151" s="135"/>
      <c r="CQ151" s="135"/>
      <c r="CR151" s="135"/>
      <c r="CS151" s="170"/>
      <c r="CT151" s="165"/>
      <c r="CU151" s="135"/>
      <c r="CV151" s="201"/>
    </row>
    <row r="152" spans="1:101" x14ac:dyDescent="0.25">
      <c r="A152" s="172"/>
      <c r="B152" s="156"/>
      <c r="F152" s="155"/>
      <c r="M152" s="201"/>
      <c r="O152" s="155"/>
      <c r="U152" s="201"/>
      <c r="V152" s="155"/>
      <c r="W152" s="156"/>
      <c r="X152" s="155"/>
      <c r="Y152" s="135"/>
      <c r="Z152" s="135"/>
      <c r="AA152" s="135"/>
      <c r="AB152" s="135"/>
      <c r="AC152" s="135"/>
      <c r="AD152" s="135"/>
      <c r="AE152" s="201"/>
      <c r="AF152" s="155"/>
      <c r="AG152" s="156"/>
      <c r="AI152" s="164"/>
      <c r="AJ152" s="165"/>
      <c r="AP152" s="201"/>
      <c r="AQ152" s="155"/>
      <c r="AX152" s="201"/>
      <c r="AY152" s="155"/>
      <c r="AZ152" s="156"/>
      <c r="BA152" s="155"/>
      <c r="BB152" s="135"/>
      <c r="BC152" s="135"/>
      <c r="BD152" s="135"/>
      <c r="BE152" s="135"/>
      <c r="BF152" s="135"/>
      <c r="BG152" s="135"/>
      <c r="BH152" s="156"/>
      <c r="BI152" s="155"/>
      <c r="BJ152" s="156"/>
      <c r="BL152" s="155"/>
      <c r="BM152" s="135"/>
      <c r="BN152" s="170"/>
      <c r="BO152" s="165"/>
      <c r="BS152" s="156"/>
      <c r="BT152" s="155"/>
      <c r="CA152" s="201"/>
      <c r="CB152" s="155"/>
      <c r="CC152" s="156"/>
      <c r="CD152" s="155"/>
      <c r="CG152" s="135"/>
      <c r="CH152" s="135"/>
      <c r="CI152" s="135"/>
      <c r="CJ152" s="135"/>
      <c r="CK152" s="201"/>
      <c r="CL152" s="155"/>
      <c r="CM152" s="156"/>
      <c r="CO152" s="155"/>
      <c r="CP152" s="135"/>
      <c r="CQ152" s="135"/>
      <c r="CR152" s="135"/>
      <c r="CS152" s="170"/>
      <c r="CT152" s="165"/>
      <c r="CU152" s="135"/>
      <c r="CV152" s="201"/>
    </row>
    <row r="153" spans="1:101" x14ac:dyDescent="0.25">
      <c r="A153" s="172"/>
      <c r="B153" s="156"/>
      <c r="F153" s="155"/>
      <c r="M153" s="201"/>
      <c r="O153" s="155"/>
      <c r="U153" s="201"/>
      <c r="V153" s="155"/>
      <c r="W153" s="156"/>
      <c r="X153" s="155"/>
      <c r="Y153" s="135"/>
      <c r="Z153" s="135"/>
      <c r="AA153" s="135"/>
      <c r="AB153" s="135"/>
      <c r="AC153" s="135"/>
      <c r="AD153" s="135"/>
      <c r="AE153" s="201"/>
      <c r="AF153" s="155"/>
      <c r="AG153" s="156"/>
      <c r="AI153" s="164"/>
      <c r="AJ153" s="165"/>
      <c r="AP153" s="201"/>
      <c r="AQ153" s="155"/>
      <c r="AX153" s="201"/>
      <c r="AY153" s="155"/>
      <c r="AZ153" s="156"/>
      <c r="BA153" s="155"/>
      <c r="BB153" s="135"/>
      <c r="BC153" s="135"/>
      <c r="BD153" s="135"/>
      <c r="BE153" s="135"/>
      <c r="BF153" s="135"/>
      <c r="BG153" s="135"/>
      <c r="BH153" s="156"/>
      <c r="BI153" s="155"/>
      <c r="BJ153" s="156"/>
      <c r="BL153" s="155"/>
      <c r="BM153" s="135"/>
      <c r="BN153" s="170"/>
      <c r="BO153" s="165"/>
      <c r="BS153" s="156"/>
      <c r="BT153" s="155"/>
      <c r="CA153" s="201"/>
      <c r="CB153" s="155"/>
      <c r="CC153" s="156"/>
      <c r="CD153" s="155"/>
      <c r="CG153" s="135"/>
      <c r="CH153" s="135"/>
      <c r="CI153" s="135"/>
      <c r="CJ153" s="135"/>
      <c r="CK153" s="201"/>
      <c r="CL153" s="155"/>
      <c r="CM153" s="156"/>
      <c r="CO153" s="155"/>
      <c r="CP153" s="135"/>
      <c r="CQ153" s="135"/>
      <c r="CR153" s="135"/>
      <c r="CS153" s="170"/>
      <c r="CT153" s="165"/>
      <c r="CU153" s="135"/>
      <c r="CV153" s="201"/>
    </row>
    <row r="154" spans="1:101" x14ac:dyDescent="0.25">
      <c r="A154" s="172"/>
      <c r="B154" s="156"/>
      <c r="F154" s="155"/>
      <c r="M154" s="201"/>
      <c r="O154" s="155"/>
      <c r="U154" s="201"/>
      <c r="V154" s="155"/>
      <c r="W154" s="156"/>
      <c r="X154" s="155"/>
      <c r="Y154" s="135"/>
      <c r="Z154" s="135"/>
      <c r="AA154" s="135"/>
      <c r="AB154" s="135"/>
      <c r="AC154" s="135"/>
      <c r="AD154" s="135"/>
      <c r="AE154" s="201"/>
      <c r="AF154" s="155"/>
      <c r="AG154" s="156"/>
      <c r="AI154" s="164"/>
      <c r="AJ154" s="165"/>
      <c r="AP154" s="201"/>
      <c r="AQ154" s="155"/>
      <c r="AX154" s="201"/>
      <c r="AY154" s="155"/>
      <c r="AZ154" s="156"/>
      <c r="BA154" s="155"/>
      <c r="BB154" s="135"/>
      <c r="BC154" s="135"/>
      <c r="BD154" s="135"/>
      <c r="BE154" s="135"/>
      <c r="BF154" s="135"/>
      <c r="BG154" s="135"/>
      <c r="BH154" s="156"/>
      <c r="BI154" s="155"/>
      <c r="BJ154" s="156"/>
      <c r="BL154" s="155"/>
      <c r="BM154" s="135"/>
      <c r="BN154" s="170"/>
      <c r="BO154" s="165"/>
      <c r="BS154" s="156"/>
      <c r="BT154" s="155"/>
      <c r="CA154" s="201"/>
      <c r="CB154" s="155"/>
      <c r="CC154" s="156"/>
      <c r="CD154" s="155"/>
      <c r="CG154" s="135"/>
      <c r="CH154" s="135"/>
      <c r="CI154" s="135"/>
      <c r="CJ154" s="135"/>
      <c r="CK154" s="201"/>
      <c r="CL154" s="155"/>
      <c r="CM154" s="156"/>
      <c r="CO154" s="155"/>
      <c r="CP154" s="135"/>
      <c r="CQ154" s="135"/>
      <c r="CR154" s="135"/>
      <c r="CS154" s="170"/>
      <c r="CT154" s="165"/>
      <c r="CU154" s="135"/>
      <c r="CV154" s="201"/>
    </row>
    <row r="155" spans="1:101" x14ac:dyDescent="0.25">
      <c r="A155" s="172"/>
      <c r="B155" s="156"/>
      <c r="F155" s="155"/>
      <c r="M155" s="201"/>
      <c r="O155" s="155"/>
      <c r="U155" s="201"/>
      <c r="V155" s="155"/>
      <c r="W155" s="156"/>
      <c r="X155" s="155"/>
      <c r="Y155" s="135"/>
      <c r="Z155" s="135"/>
      <c r="AA155" s="135"/>
      <c r="AB155" s="135"/>
      <c r="AC155" s="135"/>
      <c r="AD155" s="135"/>
      <c r="AE155" s="201"/>
      <c r="AF155" s="155"/>
      <c r="AG155" s="156"/>
      <c r="AI155" s="164"/>
      <c r="AJ155" s="165"/>
      <c r="AP155" s="201"/>
      <c r="AQ155" s="155"/>
      <c r="AX155" s="201"/>
      <c r="AY155" s="155"/>
      <c r="AZ155" s="156"/>
      <c r="BA155" s="155"/>
      <c r="BB155" s="135"/>
      <c r="BC155" s="135"/>
      <c r="BD155" s="135"/>
      <c r="BE155" s="135"/>
      <c r="BF155" s="135"/>
      <c r="BG155" s="135"/>
      <c r="BH155" s="156"/>
      <c r="BI155" s="155"/>
      <c r="BJ155" s="156"/>
      <c r="BL155" s="155"/>
      <c r="BM155" s="135"/>
      <c r="BN155" s="170"/>
      <c r="BO155" s="165"/>
      <c r="BS155" s="156"/>
      <c r="BT155" s="155"/>
      <c r="CA155" s="201"/>
      <c r="CB155" s="155"/>
      <c r="CC155" s="156"/>
      <c r="CD155" s="155"/>
      <c r="CG155" s="135"/>
      <c r="CH155" s="135"/>
      <c r="CI155" s="135"/>
      <c r="CJ155" s="135"/>
      <c r="CK155" s="201"/>
      <c r="CL155" s="155"/>
      <c r="CM155" s="156"/>
      <c r="CO155" s="155"/>
      <c r="CP155" s="135"/>
      <c r="CQ155" s="135"/>
      <c r="CR155" s="135"/>
      <c r="CS155" s="170"/>
      <c r="CT155" s="165"/>
      <c r="CU155" s="135"/>
      <c r="CV155" s="201"/>
    </row>
    <row r="156" spans="1:101" x14ac:dyDescent="0.25">
      <c r="A156" s="172"/>
      <c r="B156" s="156"/>
      <c r="F156" s="155"/>
      <c r="M156" s="201"/>
      <c r="O156" s="155"/>
      <c r="U156" s="201"/>
      <c r="V156" s="155"/>
      <c r="W156" s="156"/>
      <c r="X156" s="155"/>
      <c r="Y156" s="135"/>
      <c r="Z156" s="135"/>
      <c r="AA156" s="135"/>
      <c r="AB156" s="135"/>
      <c r="AC156" s="135"/>
      <c r="AD156" s="135"/>
      <c r="AE156" s="201"/>
      <c r="AF156" s="155"/>
      <c r="AG156" s="156"/>
      <c r="AI156" s="164"/>
      <c r="AJ156" s="165"/>
      <c r="AP156" s="201"/>
      <c r="AQ156" s="155"/>
      <c r="AX156" s="201"/>
      <c r="AY156" s="155"/>
      <c r="AZ156" s="156"/>
      <c r="BA156" s="155"/>
      <c r="BB156" s="135"/>
      <c r="BC156" s="135"/>
      <c r="BD156" s="135"/>
      <c r="BE156" s="135"/>
      <c r="BF156" s="135"/>
      <c r="BG156" s="135"/>
      <c r="BH156" s="156"/>
      <c r="BI156" s="155"/>
      <c r="BJ156" s="156"/>
      <c r="BL156" s="155"/>
      <c r="BM156" s="135"/>
      <c r="BN156" s="170"/>
      <c r="BO156" s="165"/>
      <c r="BS156" s="156"/>
      <c r="BT156" s="155"/>
      <c r="CA156" s="201"/>
      <c r="CB156" s="155"/>
      <c r="CC156" s="156"/>
      <c r="CD156" s="155"/>
      <c r="CG156" s="135"/>
      <c r="CH156" s="135"/>
      <c r="CI156" s="135"/>
      <c r="CJ156" s="135"/>
      <c r="CK156" s="201"/>
      <c r="CL156" s="155"/>
      <c r="CM156" s="156"/>
      <c r="CO156" s="155"/>
      <c r="CP156" s="135"/>
      <c r="CQ156" s="135"/>
      <c r="CR156" s="135"/>
      <c r="CS156" s="170"/>
      <c r="CT156" s="165"/>
      <c r="CU156" s="135"/>
      <c r="CV156" s="201"/>
    </row>
    <row r="157" spans="1:101" x14ac:dyDescent="0.25">
      <c r="A157" s="172"/>
      <c r="B157" s="156"/>
      <c r="F157" s="155"/>
      <c r="M157" s="201"/>
      <c r="O157" s="155"/>
      <c r="U157" s="201"/>
      <c r="V157" s="155"/>
      <c r="W157" s="156"/>
      <c r="X157" s="155"/>
      <c r="Y157" s="135"/>
      <c r="Z157" s="135"/>
      <c r="AA157" s="135"/>
      <c r="AB157" s="135"/>
      <c r="AC157" s="135"/>
      <c r="AD157" s="135"/>
      <c r="AE157" s="201"/>
      <c r="AF157" s="155"/>
      <c r="AG157" s="156"/>
      <c r="AI157" s="164"/>
      <c r="AJ157" s="165"/>
      <c r="AP157" s="201"/>
      <c r="AQ157" s="155"/>
      <c r="AX157" s="201"/>
      <c r="AY157" s="155"/>
      <c r="AZ157" s="156"/>
      <c r="BA157" s="155"/>
      <c r="BB157" s="135"/>
      <c r="BC157" s="135"/>
      <c r="BD157" s="135"/>
      <c r="BE157" s="135"/>
      <c r="BF157" s="135"/>
      <c r="BG157" s="135"/>
      <c r="BH157" s="156"/>
      <c r="BI157" s="155"/>
      <c r="BJ157" s="156"/>
      <c r="BL157" s="155"/>
      <c r="BM157" s="135"/>
      <c r="BN157" s="170"/>
      <c r="BO157" s="165"/>
      <c r="BS157" s="156"/>
      <c r="BT157" s="155"/>
      <c r="CA157" s="201"/>
      <c r="CB157" s="155"/>
      <c r="CC157" s="156"/>
      <c r="CD157" s="155"/>
      <c r="CG157" s="135"/>
      <c r="CH157" s="135"/>
      <c r="CI157" s="135"/>
      <c r="CJ157" s="135"/>
      <c r="CK157" s="201"/>
      <c r="CL157" s="155"/>
      <c r="CM157" s="156"/>
      <c r="CO157" s="155"/>
      <c r="CP157" s="135"/>
      <c r="CQ157" s="135"/>
      <c r="CR157" s="135"/>
      <c r="CS157" s="170"/>
      <c r="CT157" s="165"/>
      <c r="CU157" s="135"/>
      <c r="CV157" s="201"/>
    </row>
    <row r="158" spans="1:101" x14ac:dyDescent="0.25">
      <c r="A158" s="173"/>
      <c r="B158" s="159"/>
      <c r="C158" s="158"/>
      <c r="D158" s="158"/>
      <c r="E158" s="158"/>
      <c r="F158" s="157"/>
      <c r="G158" s="158"/>
      <c r="H158" s="158"/>
      <c r="I158" s="158"/>
      <c r="J158" s="158"/>
      <c r="K158" s="158"/>
      <c r="L158" s="158"/>
      <c r="M158" s="202"/>
      <c r="O158" s="157"/>
      <c r="P158" s="158"/>
      <c r="Q158" s="158"/>
      <c r="R158" s="158"/>
      <c r="S158" s="158"/>
      <c r="T158" s="158"/>
      <c r="U158" s="202"/>
      <c r="V158" s="157"/>
      <c r="W158" s="159"/>
      <c r="X158" s="157"/>
      <c r="Y158" s="158"/>
      <c r="Z158" s="158"/>
      <c r="AA158" s="158"/>
      <c r="AB158" s="158"/>
      <c r="AC158" s="158"/>
      <c r="AD158" s="158"/>
      <c r="AE158" s="202"/>
      <c r="AF158" s="157"/>
      <c r="AG158" s="159"/>
      <c r="AI158" s="166"/>
      <c r="AJ158" s="167"/>
      <c r="AK158" s="158"/>
      <c r="AL158" s="158"/>
      <c r="AM158" s="158"/>
      <c r="AN158" s="158"/>
      <c r="AO158" s="158"/>
      <c r="AP158" s="202"/>
      <c r="AQ158" s="157"/>
      <c r="AR158" s="158"/>
      <c r="AS158" s="158"/>
      <c r="AT158" s="158"/>
      <c r="AU158" s="158"/>
      <c r="AV158" s="158"/>
      <c r="AW158" s="158"/>
      <c r="AX158" s="202"/>
      <c r="AY158" s="157"/>
      <c r="AZ158" s="159"/>
      <c r="BA158" s="157"/>
      <c r="BB158" s="158"/>
      <c r="BC158" s="158"/>
      <c r="BD158" s="158"/>
      <c r="BE158" s="158"/>
      <c r="BF158" s="158"/>
      <c r="BG158" s="158"/>
      <c r="BH158" s="159"/>
      <c r="BI158" s="157"/>
      <c r="BJ158" s="159"/>
      <c r="BL158" s="157"/>
      <c r="BM158" s="158"/>
      <c r="BN158" s="171"/>
      <c r="BO158" s="167"/>
      <c r="BP158" s="158"/>
      <c r="BQ158" s="158"/>
      <c r="BR158" s="158"/>
      <c r="BS158" s="159"/>
      <c r="BT158" s="157"/>
      <c r="BU158" s="158"/>
      <c r="BV158" s="158"/>
      <c r="BW158" s="158"/>
      <c r="BX158" s="158"/>
      <c r="BY158" s="158"/>
      <c r="BZ158" s="158"/>
      <c r="CA158" s="202"/>
      <c r="CB158" s="157"/>
      <c r="CC158" s="159"/>
      <c r="CD158" s="157"/>
      <c r="CE158" s="158"/>
      <c r="CF158" s="158"/>
      <c r="CG158" s="158"/>
      <c r="CH158" s="158"/>
      <c r="CI158" s="158"/>
      <c r="CJ158" s="158"/>
      <c r="CK158" s="202"/>
      <c r="CL158" s="157"/>
      <c r="CM158" s="159"/>
      <c r="CO158" s="157"/>
      <c r="CP158" s="158"/>
      <c r="CQ158" s="158"/>
      <c r="CR158" s="158"/>
      <c r="CS158" s="171"/>
      <c r="CT158" s="167"/>
      <c r="CU158" s="158"/>
      <c r="CV158" s="202"/>
    </row>
    <row r="159" spans="1:101" x14ac:dyDescent="0.25">
      <c r="A159" s="165"/>
      <c r="B159" s="135"/>
      <c r="C159" s="135"/>
      <c r="D159" s="135"/>
      <c r="E159" s="135"/>
      <c r="W159" s="135"/>
      <c r="X159" s="135"/>
      <c r="Y159" s="135"/>
      <c r="Z159" s="135"/>
      <c r="AA159" s="135"/>
      <c r="AB159" s="135"/>
      <c r="AC159" s="135"/>
      <c r="AD159" s="135"/>
      <c r="AE159" s="135"/>
      <c r="AF159" s="135"/>
      <c r="AG159" s="135"/>
      <c r="AH159" s="135"/>
      <c r="AI159" s="170"/>
      <c r="AJ159" s="165"/>
      <c r="BB159" s="135"/>
      <c r="BC159" s="135"/>
      <c r="BD159" s="135"/>
      <c r="BE159" s="135"/>
      <c r="BF159" s="135"/>
      <c r="BG159" s="135"/>
      <c r="BH159" s="135"/>
      <c r="BI159" s="135"/>
      <c r="BJ159" s="135"/>
      <c r="BK159" s="135"/>
      <c r="BL159" s="135"/>
      <c r="BM159" s="135"/>
      <c r="BN159" s="170"/>
      <c r="BO159" s="165"/>
      <c r="CG159" s="135"/>
      <c r="CH159" s="135"/>
      <c r="CI159" s="135"/>
      <c r="CJ159" s="135"/>
      <c r="CK159" s="135"/>
      <c r="CL159" s="135"/>
      <c r="CM159" s="135"/>
      <c r="CN159" s="135"/>
      <c r="CO159" s="135"/>
      <c r="CP159" s="135"/>
      <c r="CQ159" s="135"/>
      <c r="CR159" s="135"/>
      <c r="CS159" s="170"/>
      <c r="CT159" s="165"/>
      <c r="CU159" s="135"/>
      <c r="CV159" s="135"/>
      <c r="CW159" s="135"/>
    </row>
    <row r="160" spans="1:101" x14ac:dyDescent="0.25">
      <c r="A160" s="165"/>
      <c r="B160" s="135"/>
      <c r="C160" s="135"/>
      <c r="D160" s="135"/>
      <c r="E160" s="135"/>
      <c r="W160" s="135"/>
      <c r="X160" s="135"/>
      <c r="Y160" s="135"/>
      <c r="Z160" s="135"/>
      <c r="AA160" s="135"/>
      <c r="AB160" s="135"/>
      <c r="AC160" s="135"/>
      <c r="AD160" s="135"/>
      <c r="AE160" s="135"/>
      <c r="AF160" s="135"/>
      <c r="AG160" s="135"/>
      <c r="AH160" s="135"/>
      <c r="AI160" s="170"/>
      <c r="AJ160" s="165"/>
      <c r="BB160" s="135"/>
      <c r="BC160" s="135"/>
      <c r="BD160" s="135"/>
      <c r="BE160" s="135"/>
      <c r="BF160" s="135"/>
      <c r="BG160" s="135"/>
      <c r="BH160" s="135"/>
      <c r="BI160" s="135"/>
      <c r="BJ160" s="135"/>
      <c r="BK160" s="135"/>
      <c r="BL160" s="135"/>
      <c r="BM160" s="135"/>
      <c r="BN160" s="170"/>
      <c r="BO160" s="165"/>
      <c r="CG160" s="135"/>
      <c r="CH160" s="135"/>
      <c r="CI160" s="135"/>
      <c r="CJ160" s="135"/>
      <c r="CK160" s="135"/>
      <c r="CL160" s="135"/>
      <c r="CM160" s="135"/>
      <c r="CN160" s="135"/>
      <c r="CO160" s="135"/>
      <c r="CP160" s="135"/>
      <c r="CQ160" s="135"/>
      <c r="CR160" s="135"/>
      <c r="CS160" s="170"/>
      <c r="CT160" s="165"/>
      <c r="CU160" s="135"/>
      <c r="CV160" s="135"/>
      <c r="CW160" s="135"/>
    </row>
    <row r="161" spans="1:101" x14ac:dyDescent="0.25">
      <c r="A161" s="165"/>
      <c r="B161" s="135"/>
      <c r="C161" s="135"/>
      <c r="D161" s="135"/>
      <c r="E161" s="135"/>
      <c r="W161" s="135"/>
      <c r="X161" s="135"/>
      <c r="Y161" s="135"/>
      <c r="Z161" s="135"/>
      <c r="AA161" s="135"/>
      <c r="AB161" s="135"/>
      <c r="AC161" s="135"/>
      <c r="AD161" s="135"/>
      <c r="AE161" s="135"/>
      <c r="AF161" s="135"/>
      <c r="AG161" s="135"/>
      <c r="AH161" s="135"/>
      <c r="AI161" s="170"/>
      <c r="AJ161" s="165"/>
      <c r="BB161" s="135"/>
      <c r="BC161" s="135"/>
      <c r="BD161" s="135"/>
      <c r="BE161" s="135"/>
      <c r="BF161" s="135"/>
      <c r="BG161" s="135"/>
      <c r="BH161" s="135"/>
      <c r="BI161" s="135"/>
      <c r="BJ161" s="135"/>
      <c r="BK161" s="135"/>
      <c r="BL161" s="135"/>
      <c r="BM161" s="135"/>
      <c r="BN161" s="170"/>
      <c r="BO161" s="165"/>
      <c r="CG161" s="135"/>
      <c r="CH161" s="135"/>
      <c r="CI161" s="135"/>
      <c r="CJ161" s="135"/>
      <c r="CK161" s="135"/>
      <c r="CL161" s="135"/>
      <c r="CM161" s="135"/>
      <c r="CN161" s="135"/>
      <c r="CO161" s="135"/>
      <c r="CP161" s="135"/>
      <c r="CQ161" s="135"/>
      <c r="CR161" s="135"/>
      <c r="CS161" s="170"/>
      <c r="CT161" s="165"/>
      <c r="CU161" s="135"/>
      <c r="CV161" s="135"/>
      <c r="CW161" s="135"/>
    </row>
    <row r="162" spans="1:101" x14ac:dyDescent="0.25">
      <c r="A162" s="165"/>
      <c r="B162" s="135"/>
      <c r="C162" s="135"/>
      <c r="D162" s="135"/>
      <c r="E162" s="135"/>
      <c r="W162" s="135"/>
      <c r="X162" s="135"/>
      <c r="Y162" s="135"/>
      <c r="Z162" s="135"/>
      <c r="AA162" s="135"/>
      <c r="AB162" s="135"/>
      <c r="AC162" s="135"/>
      <c r="AD162" s="135"/>
      <c r="AE162" s="135"/>
      <c r="AF162" s="135"/>
      <c r="AG162" s="135"/>
      <c r="AH162" s="135"/>
      <c r="AI162" s="170"/>
      <c r="AJ162" s="165"/>
      <c r="BB162" s="135"/>
      <c r="BC162" s="135"/>
      <c r="BD162" s="135"/>
      <c r="BE162" s="135"/>
      <c r="BF162" s="135"/>
      <c r="BG162" s="135"/>
      <c r="BH162" s="135"/>
      <c r="BI162" s="135"/>
      <c r="BJ162" s="135"/>
      <c r="BK162" s="135"/>
      <c r="BL162" s="135"/>
      <c r="BM162" s="135"/>
      <c r="BN162" s="170"/>
      <c r="BO162" s="165"/>
      <c r="CG162" s="135"/>
      <c r="CH162" s="135"/>
      <c r="CI162" s="135"/>
      <c r="CJ162" s="135"/>
      <c r="CK162" s="135"/>
      <c r="CL162" s="135"/>
      <c r="CM162" s="135"/>
      <c r="CN162" s="135"/>
      <c r="CO162" s="135"/>
      <c r="CP162" s="135"/>
      <c r="CQ162" s="135"/>
      <c r="CR162" s="135"/>
      <c r="CS162" s="170"/>
      <c r="CT162" s="165"/>
      <c r="CU162" s="135"/>
      <c r="CV162" s="135"/>
      <c r="CW162" s="135"/>
    </row>
    <row r="163" spans="1:101" x14ac:dyDescent="0.25">
      <c r="A163" s="165"/>
      <c r="B163" s="135"/>
      <c r="C163" s="135"/>
      <c r="D163" s="135"/>
      <c r="E163" s="135"/>
      <c r="W163" s="135"/>
      <c r="X163" s="135"/>
      <c r="Y163" s="135"/>
      <c r="Z163" s="135"/>
      <c r="AA163" s="135"/>
      <c r="AB163" s="135"/>
      <c r="AC163" s="135"/>
      <c r="AD163" s="135"/>
      <c r="AE163" s="135"/>
      <c r="AF163" s="135"/>
      <c r="AG163" s="135"/>
      <c r="AH163" s="135"/>
      <c r="AI163" s="170"/>
      <c r="AJ163" s="165"/>
      <c r="BB163" s="135"/>
      <c r="BC163" s="135"/>
      <c r="BD163" s="135"/>
      <c r="BE163" s="135"/>
      <c r="BF163" s="135"/>
      <c r="BG163" s="135"/>
      <c r="BH163" s="135"/>
      <c r="BI163" s="135"/>
      <c r="BJ163" s="135"/>
      <c r="BK163" s="135"/>
      <c r="BL163" s="135"/>
      <c r="BM163" s="135"/>
      <c r="BN163" s="170"/>
      <c r="BO163" s="165"/>
      <c r="CG163" s="135"/>
      <c r="CH163" s="135"/>
      <c r="CI163" s="135"/>
      <c r="CJ163" s="135"/>
      <c r="CK163" s="135"/>
      <c r="CL163" s="135"/>
      <c r="CM163" s="135"/>
      <c r="CN163" s="135"/>
      <c r="CO163" s="135"/>
      <c r="CP163" s="135"/>
      <c r="CQ163" s="135"/>
      <c r="CR163" s="135"/>
      <c r="CS163" s="170"/>
      <c r="CT163" s="165"/>
      <c r="CU163" s="135"/>
      <c r="CV163" s="135"/>
      <c r="CW163" s="135"/>
    </row>
    <row r="164" spans="1:101" x14ac:dyDescent="0.25">
      <c r="A164" s="165"/>
      <c r="B164" s="135"/>
      <c r="C164" s="135"/>
      <c r="D164" s="135"/>
      <c r="E164" s="135"/>
      <c r="W164" s="135"/>
      <c r="X164" s="135"/>
      <c r="Y164" s="135"/>
      <c r="Z164" s="135"/>
      <c r="AA164" s="135"/>
      <c r="AB164" s="135"/>
      <c r="AC164" s="135"/>
      <c r="AD164" s="135"/>
      <c r="AE164" s="135"/>
      <c r="AF164" s="135"/>
      <c r="AG164" s="135"/>
      <c r="AH164" s="135"/>
      <c r="AI164" s="170"/>
      <c r="AJ164" s="165"/>
      <c r="BB164" s="135"/>
      <c r="BC164" s="135"/>
      <c r="BD164" s="135"/>
      <c r="BE164" s="135"/>
      <c r="BF164" s="135"/>
      <c r="BG164" s="135"/>
      <c r="BH164" s="135"/>
      <c r="BI164" s="135"/>
      <c r="BJ164" s="135"/>
      <c r="BK164" s="135"/>
      <c r="BL164" s="135"/>
      <c r="BM164" s="135"/>
      <c r="BN164" s="170"/>
      <c r="BO164" s="165"/>
      <c r="CG164" s="135"/>
      <c r="CH164" s="135"/>
      <c r="CI164" s="135"/>
      <c r="CJ164" s="135"/>
      <c r="CK164" s="135"/>
      <c r="CL164" s="135"/>
      <c r="CM164" s="135"/>
      <c r="CN164" s="135"/>
      <c r="CO164" s="135"/>
      <c r="CP164" s="135"/>
      <c r="CQ164" s="135"/>
      <c r="CR164" s="135"/>
      <c r="CS164" s="170"/>
      <c r="CT164" s="165"/>
      <c r="CU164" s="135"/>
      <c r="CV164" s="135"/>
      <c r="CW164" s="135"/>
    </row>
    <row r="165" spans="1:101" x14ac:dyDescent="0.25">
      <c r="A165" s="165"/>
      <c r="B165" s="135"/>
      <c r="C165" s="135"/>
      <c r="D165" s="135"/>
      <c r="E165" s="135"/>
      <c r="W165" s="135"/>
      <c r="X165" s="135"/>
      <c r="Y165" s="135"/>
      <c r="Z165" s="135"/>
      <c r="AA165" s="135"/>
      <c r="AB165" s="135"/>
      <c r="AC165" s="135"/>
      <c r="AD165" s="135"/>
      <c r="AE165" s="135"/>
      <c r="AF165" s="135"/>
      <c r="AG165" s="135"/>
      <c r="AH165" s="135"/>
      <c r="AI165" s="170"/>
      <c r="AJ165" s="165"/>
      <c r="BB165" s="135"/>
      <c r="BC165" s="135"/>
      <c r="BD165" s="135"/>
      <c r="BE165" s="135"/>
      <c r="BF165" s="135"/>
      <c r="BG165" s="135"/>
      <c r="BH165" s="135"/>
      <c r="BI165" s="135"/>
      <c r="BJ165" s="135"/>
      <c r="BK165" s="135"/>
      <c r="BL165" s="135"/>
      <c r="BM165" s="135"/>
      <c r="BN165" s="170"/>
      <c r="BO165" s="165"/>
      <c r="CG165" s="135"/>
      <c r="CH165" s="135"/>
      <c r="CI165" s="135"/>
      <c r="CJ165" s="135"/>
      <c r="CK165" s="135"/>
      <c r="CL165" s="135"/>
      <c r="CM165" s="135"/>
      <c r="CN165" s="135"/>
      <c r="CO165" s="135"/>
      <c r="CP165" s="135"/>
      <c r="CQ165" s="135"/>
      <c r="CR165" s="135"/>
      <c r="CS165" s="170"/>
      <c r="CT165" s="165"/>
      <c r="CU165" s="135"/>
      <c r="CV165" s="135"/>
      <c r="CW165" s="135"/>
    </row>
    <row r="166" spans="1:101" x14ac:dyDescent="0.25">
      <c r="A166" s="165"/>
      <c r="B166" s="135"/>
      <c r="C166" s="135"/>
      <c r="D166" s="135"/>
      <c r="E166" s="135"/>
      <c r="W166" s="135"/>
      <c r="X166" s="135"/>
      <c r="Y166" s="135"/>
      <c r="Z166" s="135"/>
      <c r="AA166" s="135"/>
      <c r="AB166" s="135"/>
      <c r="AC166" s="135"/>
      <c r="AD166" s="135"/>
      <c r="AE166" s="135"/>
      <c r="AF166" s="135"/>
      <c r="AG166" s="135"/>
      <c r="AH166" s="135"/>
      <c r="AI166" s="170"/>
      <c r="AJ166" s="165"/>
      <c r="BB166" s="135"/>
      <c r="BC166" s="135"/>
      <c r="BD166" s="135"/>
      <c r="BE166" s="135"/>
      <c r="BF166" s="135"/>
      <c r="BG166" s="135"/>
      <c r="BH166" s="135"/>
      <c r="BI166" s="135"/>
      <c r="BJ166" s="135"/>
      <c r="BK166" s="135"/>
      <c r="BL166" s="135"/>
      <c r="BM166" s="135"/>
      <c r="BN166" s="170"/>
      <c r="BO166" s="165"/>
      <c r="CG166" s="135"/>
      <c r="CH166" s="135"/>
      <c r="CI166" s="135"/>
      <c r="CJ166" s="135"/>
      <c r="CK166" s="135"/>
      <c r="CL166" s="135"/>
      <c r="CM166" s="135"/>
      <c r="CN166" s="135"/>
      <c r="CO166" s="135"/>
      <c r="CP166" s="135"/>
      <c r="CQ166" s="135"/>
      <c r="CR166" s="135"/>
      <c r="CS166" s="170"/>
      <c r="CT166" s="165"/>
      <c r="CU166" s="135"/>
      <c r="CV166" s="135"/>
      <c r="CW166" s="135"/>
    </row>
    <row r="167" spans="1:101" x14ac:dyDescent="0.25">
      <c r="A167" s="165"/>
      <c r="B167" s="135"/>
      <c r="C167" s="135"/>
      <c r="D167" s="135"/>
      <c r="E167" s="135"/>
      <c r="W167" s="135"/>
      <c r="X167" s="135"/>
      <c r="Y167" s="135"/>
      <c r="Z167" s="135"/>
      <c r="AA167" s="135"/>
      <c r="AB167" s="135"/>
      <c r="AC167" s="135"/>
      <c r="AD167" s="135"/>
      <c r="AE167" s="135"/>
      <c r="AF167" s="135"/>
      <c r="AG167" s="135"/>
      <c r="AH167" s="135"/>
      <c r="AI167" s="170"/>
      <c r="AJ167" s="165"/>
      <c r="BB167" s="135"/>
      <c r="BC167" s="135"/>
      <c r="BD167" s="135"/>
      <c r="BE167" s="135"/>
      <c r="BF167" s="135"/>
      <c r="BG167" s="135"/>
      <c r="BH167" s="135"/>
      <c r="BI167" s="135"/>
      <c r="BJ167" s="135"/>
      <c r="BK167" s="135"/>
      <c r="BL167" s="135"/>
      <c r="BM167" s="135"/>
      <c r="BN167" s="170"/>
      <c r="BO167" s="165"/>
      <c r="CG167" s="135"/>
      <c r="CH167" s="135"/>
      <c r="CI167" s="135"/>
      <c r="CJ167" s="135"/>
      <c r="CK167" s="135"/>
      <c r="CL167" s="135"/>
      <c r="CM167" s="135"/>
      <c r="CN167" s="135"/>
      <c r="CO167" s="135"/>
      <c r="CP167" s="135"/>
      <c r="CQ167" s="135"/>
      <c r="CR167" s="135"/>
      <c r="CS167" s="170"/>
      <c r="CT167" s="165"/>
      <c r="CU167" s="135"/>
      <c r="CV167" s="135"/>
      <c r="CW167" s="135"/>
    </row>
    <row r="168" spans="1:101" x14ac:dyDescent="0.25">
      <c r="A168" s="165"/>
      <c r="B168" s="135"/>
      <c r="C168" s="135"/>
      <c r="D168" s="135"/>
      <c r="E168" s="135"/>
      <c r="W168" s="135"/>
      <c r="X168" s="135"/>
      <c r="Y168" s="135"/>
      <c r="Z168" s="135"/>
      <c r="AA168" s="135"/>
      <c r="AB168" s="135"/>
      <c r="AC168" s="135"/>
      <c r="AD168" s="135"/>
      <c r="AE168" s="135"/>
      <c r="AF168" s="135"/>
      <c r="AG168" s="135"/>
      <c r="AH168" s="135"/>
      <c r="AI168" s="170"/>
      <c r="AJ168" s="165"/>
      <c r="BB168" s="135"/>
      <c r="BC168" s="135"/>
      <c r="BD168" s="135"/>
      <c r="BE168" s="135"/>
      <c r="BF168" s="135"/>
      <c r="BG168" s="135"/>
      <c r="BH168" s="135"/>
      <c r="BI168" s="135"/>
      <c r="BJ168" s="135"/>
      <c r="BK168" s="135"/>
      <c r="BL168" s="135"/>
      <c r="BM168" s="135"/>
      <c r="BN168" s="170"/>
      <c r="BO168" s="165"/>
      <c r="CG168" s="135"/>
      <c r="CH168" s="135"/>
      <c r="CI168" s="135"/>
      <c r="CJ168" s="135"/>
      <c r="CK168" s="135"/>
      <c r="CL168" s="135"/>
      <c r="CM168" s="135"/>
      <c r="CN168" s="135"/>
      <c r="CO168" s="135"/>
      <c r="CP168" s="135"/>
      <c r="CQ168" s="135"/>
      <c r="CR168" s="135"/>
      <c r="CS168" s="170"/>
      <c r="CT168" s="165"/>
      <c r="CU168" s="135"/>
      <c r="CV168" s="135"/>
      <c r="CW168" s="135"/>
    </row>
    <row r="169" spans="1:101" x14ac:dyDescent="0.25">
      <c r="A169" s="165"/>
      <c r="B169" s="135"/>
      <c r="C169" s="135"/>
      <c r="D169" s="135"/>
      <c r="E169" s="135"/>
      <c r="W169" s="135"/>
      <c r="X169" s="135"/>
      <c r="Y169" s="135"/>
      <c r="Z169" s="135"/>
      <c r="AA169" s="135"/>
      <c r="AB169" s="135"/>
      <c r="AC169" s="135"/>
      <c r="AD169" s="135"/>
      <c r="AE169" s="135"/>
      <c r="AF169" s="135"/>
      <c r="AG169" s="135"/>
      <c r="AH169" s="135"/>
      <c r="AI169" s="170"/>
      <c r="AJ169" s="165"/>
      <c r="BB169" s="135"/>
      <c r="BC169" s="135"/>
      <c r="BD169" s="135"/>
      <c r="BE169" s="135"/>
      <c r="BF169" s="135"/>
      <c r="BG169" s="135"/>
      <c r="BH169" s="135"/>
      <c r="BI169" s="135"/>
      <c r="BJ169" s="135"/>
      <c r="BK169" s="135"/>
      <c r="BL169" s="135"/>
      <c r="BM169" s="135"/>
      <c r="BN169" s="170"/>
      <c r="BO169" s="165"/>
      <c r="CG169" s="135"/>
      <c r="CH169" s="135"/>
      <c r="CI169" s="135"/>
      <c r="CJ169" s="135"/>
      <c r="CK169" s="135"/>
      <c r="CL169" s="135"/>
      <c r="CM169" s="135"/>
      <c r="CN169" s="135"/>
      <c r="CO169" s="135"/>
      <c r="CP169" s="135"/>
      <c r="CQ169" s="135"/>
      <c r="CR169" s="135"/>
      <c r="CS169" s="170"/>
      <c r="CT169" s="165"/>
      <c r="CU169" s="135"/>
      <c r="CV169" s="135"/>
      <c r="CW169" s="135"/>
    </row>
    <row r="170" spans="1:101" x14ac:dyDescent="0.25">
      <c r="A170" s="165"/>
      <c r="B170" s="135"/>
      <c r="C170" s="135"/>
      <c r="D170" s="135"/>
      <c r="E170" s="135"/>
      <c r="W170" s="135"/>
      <c r="X170" s="135"/>
      <c r="Y170" s="135"/>
      <c r="Z170" s="135"/>
      <c r="AA170" s="135"/>
      <c r="AB170" s="135"/>
      <c r="AC170" s="135"/>
      <c r="AD170" s="135"/>
      <c r="AE170" s="135"/>
      <c r="AF170" s="135"/>
      <c r="AG170" s="135"/>
      <c r="AH170" s="135"/>
      <c r="AI170" s="170"/>
      <c r="AJ170" s="165"/>
      <c r="BB170" s="135"/>
      <c r="BC170" s="135"/>
      <c r="BD170" s="135"/>
      <c r="BE170" s="135"/>
      <c r="BF170" s="135"/>
      <c r="BG170" s="135"/>
      <c r="BH170" s="135"/>
      <c r="BI170" s="135"/>
      <c r="BJ170" s="135"/>
      <c r="BK170" s="135"/>
      <c r="BL170" s="135"/>
      <c r="BM170" s="135"/>
      <c r="BN170" s="170"/>
      <c r="BO170" s="165"/>
      <c r="CG170" s="135"/>
      <c r="CH170" s="135"/>
      <c r="CI170" s="135"/>
      <c r="CJ170" s="135"/>
      <c r="CK170" s="135"/>
      <c r="CL170" s="135"/>
      <c r="CM170" s="135"/>
      <c r="CN170" s="135"/>
      <c r="CO170" s="135"/>
      <c r="CP170" s="135"/>
      <c r="CQ170" s="135"/>
      <c r="CR170" s="135"/>
      <c r="CS170" s="170"/>
      <c r="CT170" s="165"/>
      <c r="CU170" s="135"/>
      <c r="CV170" s="135"/>
      <c r="CW170" s="135"/>
    </row>
    <row r="171" spans="1:101" x14ac:dyDescent="0.25">
      <c r="A171" s="165"/>
      <c r="B171" s="135"/>
      <c r="C171" s="135"/>
      <c r="D171" s="135"/>
      <c r="E171" s="135"/>
      <c r="W171" s="135"/>
      <c r="X171" s="135"/>
      <c r="Y171" s="135"/>
      <c r="Z171" s="135"/>
      <c r="AA171" s="135"/>
      <c r="AB171" s="135"/>
      <c r="AC171" s="135"/>
      <c r="AD171" s="135"/>
      <c r="AE171" s="135"/>
      <c r="AF171" s="135"/>
      <c r="AG171" s="135"/>
      <c r="AH171" s="135"/>
      <c r="AI171" s="170"/>
      <c r="AJ171" s="165"/>
      <c r="BB171" s="135"/>
      <c r="BC171" s="135"/>
      <c r="BD171" s="135"/>
      <c r="BE171" s="135"/>
      <c r="BF171" s="135"/>
      <c r="BG171" s="135"/>
      <c r="BH171" s="135"/>
      <c r="BI171" s="135"/>
      <c r="BJ171" s="135"/>
      <c r="BK171" s="135"/>
      <c r="BL171" s="135"/>
      <c r="BM171" s="135"/>
      <c r="BN171" s="170"/>
      <c r="BO171" s="165"/>
      <c r="CG171" s="135"/>
      <c r="CH171" s="135"/>
      <c r="CI171" s="135"/>
      <c r="CJ171" s="135"/>
      <c r="CK171" s="135"/>
      <c r="CL171" s="135"/>
      <c r="CM171" s="135"/>
      <c r="CN171" s="135"/>
      <c r="CO171" s="135"/>
      <c r="CP171" s="135"/>
      <c r="CQ171" s="135"/>
      <c r="CR171" s="135"/>
      <c r="CS171" s="170"/>
      <c r="CT171" s="165"/>
      <c r="CU171" s="135"/>
      <c r="CV171" s="135"/>
      <c r="CW171" s="135"/>
    </row>
    <row r="172" spans="1:101" x14ac:dyDescent="0.25">
      <c r="A172" s="165"/>
      <c r="B172" s="135"/>
      <c r="C172" s="135"/>
      <c r="D172" s="135"/>
      <c r="E172" s="135"/>
      <c r="W172" s="135"/>
      <c r="X172" s="135"/>
      <c r="Y172" s="135"/>
      <c r="Z172" s="135"/>
      <c r="AA172" s="135"/>
      <c r="AB172" s="135"/>
      <c r="AC172" s="135"/>
      <c r="AD172" s="135"/>
      <c r="AE172" s="135"/>
      <c r="AF172" s="135"/>
      <c r="AG172" s="135"/>
      <c r="AH172" s="135"/>
      <c r="AI172" s="170"/>
      <c r="AJ172" s="165"/>
      <c r="BB172" s="135"/>
      <c r="BC172" s="135"/>
      <c r="BD172" s="135"/>
      <c r="BE172" s="135"/>
      <c r="BF172" s="135"/>
      <c r="BG172" s="135"/>
      <c r="BH172" s="135"/>
      <c r="BI172" s="135"/>
      <c r="BJ172" s="135"/>
      <c r="BK172" s="135"/>
      <c r="BL172" s="135"/>
      <c r="BM172" s="135"/>
      <c r="BN172" s="170"/>
      <c r="BO172" s="165"/>
      <c r="CG172" s="135"/>
      <c r="CH172" s="135"/>
      <c r="CI172" s="135"/>
      <c r="CJ172" s="135"/>
      <c r="CK172" s="135"/>
      <c r="CL172" s="135"/>
      <c r="CM172" s="135"/>
      <c r="CN172" s="135"/>
      <c r="CO172" s="135"/>
      <c r="CP172" s="135"/>
      <c r="CQ172" s="135"/>
      <c r="CR172" s="135"/>
      <c r="CS172" s="170"/>
      <c r="CT172" s="165"/>
      <c r="CU172" s="135"/>
      <c r="CV172" s="135"/>
      <c r="CW172" s="135"/>
    </row>
    <row r="173" spans="1:101" x14ac:dyDescent="0.25">
      <c r="A173" s="165"/>
      <c r="B173" s="135"/>
      <c r="C173" s="135"/>
      <c r="D173" s="135"/>
      <c r="E173" s="135"/>
      <c r="W173" s="135"/>
      <c r="X173" s="135"/>
      <c r="Y173" s="135"/>
      <c r="Z173" s="135"/>
      <c r="AA173" s="135"/>
      <c r="AB173" s="135"/>
      <c r="AC173" s="135"/>
      <c r="AD173" s="135"/>
      <c r="AE173" s="135"/>
      <c r="AF173" s="135"/>
      <c r="AG173" s="135"/>
      <c r="AH173" s="135"/>
      <c r="AI173" s="170"/>
      <c r="AJ173" s="165"/>
      <c r="BB173" s="135"/>
      <c r="BC173" s="135"/>
      <c r="BD173" s="135"/>
      <c r="BE173" s="135"/>
      <c r="BF173" s="135"/>
      <c r="BG173" s="135"/>
      <c r="BH173" s="135"/>
      <c r="BI173" s="135"/>
      <c r="BJ173" s="135"/>
      <c r="BK173" s="135"/>
      <c r="BL173" s="135"/>
      <c r="BM173" s="135"/>
      <c r="BN173" s="170"/>
      <c r="BO173" s="165"/>
      <c r="CG173" s="135"/>
      <c r="CH173" s="135"/>
      <c r="CI173" s="135"/>
      <c r="CJ173" s="135"/>
      <c r="CK173" s="135"/>
      <c r="CL173" s="135"/>
      <c r="CM173" s="135"/>
      <c r="CN173" s="135"/>
      <c r="CO173" s="135"/>
      <c r="CP173" s="135"/>
      <c r="CQ173" s="135"/>
      <c r="CR173" s="135"/>
      <c r="CS173" s="170"/>
      <c r="CT173" s="165"/>
      <c r="CU173" s="135"/>
      <c r="CV173" s="135"/>
      <c r="CW173" s="135"/>
    </row>
    <row r="174" spans="1:101" x14ac:dyDescent="0.25">
      <c r="A174" s="165"/>
      <c r="B174" s="135"/>
      <c r="C174" s="135"/>
      <c r="D174" s="135"/>
      <c r="E174" s="135"/>
      <c r="W174" s="135"/>
      <c r="X174" s="135"/>
      <c r="Y174" s="135"/>
      <c r="Z174" s="135"/>
      <c r="AA174" s="135"/>
      <c r="AB174" s="135"/>
      <c r="AC174" s="135"/>
      <c r="AD174" s="135"/>
      <c r="AE174" s="135"/>
      <c r="AF174" s="135"/>
      <c r="AG174" s="135"/>
      <c r="AH174" s="135"/>
      <c r="AI174" s="170"/>
      <c r="AJ174" s="165"/>
      <c r="BB174" s="135"/>
      <c r="BC174" s="135"/>
      <c r="BD174" s="135"/>
      <c r="BE174" s="135"/>
      <c r="BF174" s="135"/>
      <c r="BG174" s="135"/>
      <c r="BH174" s="135"/>
      <c r="BI174" s="135"/>
      <c r="BJ174" s="135"/>
      <c r="BK174" s="135"/>
      <c r="BL174" s="135"/>
      <c r="BM174" s="135"/>
      <c r="BN174" s="170"/>
      <c r="BO174" s="165"/>
      <c r="CG174" s="135"/>
      <c r="CH174" s="135"/>
      <c r="CI174" s="135"/>
      <c r="CJ174" s="135"/>
      <c r="CK174" s="135"/>
      <c r="CL174" s="135"/>
      <c r="CM174" s="135"/>
      <c r="CN174" s="135"/>
      <c r="CO174" s="135"/>
      <c r="CP174" s="135"/>
      <c r="CQ174" s="135"/>
      <c r="CR174" s="135"/>
      <c r="CS174" s="170"/>
      <c r="CT174" s="165"/>
      <c r="CU174" s="135"/>
      <c r="CV174" s="135"/>
      <c r="CW174" s="135"/>
    </row>
    <row r="175" spans="1:101" x14ac:dyDescent="0.25">
      <c r="A175" s="165"/>
      <c r="B175" s="135"/>
      <c r="C175" s="135"/>
      <c r="D175" s="135"/>
      <c r="E175" s="135"/>
      <c r="W175" s="135"/>
      <c r="X175" s="135"/>
      <c r="Y175" s="135"/>
      <c r="Z175" s="135"/>
      <c r="AA175" s="135"/>
      <c r="AB175" s="135"/>
      <c r="AC175" s="135"/>
      <c r="AD175" s="135"/>
      <c r="AE175" s="135"/>
      <c r="AF175" s="135"/>
      <c r="AG175" s="135"/>
      <c r="AH175" s="135"/>
      <c r="AI175" s="170"/>
      <c r="AJ175" s="165"/>
      <c r="BB175" s="135"/>
      <c r="BC175" s="135"/>
      <c r="BD175" s="135"/>
      <c r="BE175" s="135"/>
      <c r="BF175" s="135"/>
      <c r="BG175" s="135"/>
      <c r="BH175" s="135"/>
      <c r="BI175" s="135"/>
      <c r="BJ175" s="135"/>
      <c r="BK175" s="135"/>
      <c r="BL175" s="135"/>
      <c r="BM175" s="135"/>
      <c r="BN175" s="170"/>
      <c r="BO175" s="165"/>
      <c r="CG175" s="135"/>
      <c r="CH175" s="135"/>
      <c r="CI175" s="135"/>
      <c r="CJ175" s="135"/>
      <c r="CK175" s="135"/>
      <c r="CL175" s="135"/>
      <c r="CM175" s="135"/>
      <c r="CN175" s="135"/>
      <c r="CO175" s="135"/>
      <c r="CP175" s="135"/>
      <c r="CQ175" s="135"/>
      <c r="CR175" s="135"/>
      <c r="CS175" s="170"/>
      <c r="CT175" s="165"/>
      <c r="CU175" s="135"/>
      <c r="CV175" s="135"/>
      <c r="CW175" s="135"/>
    </row>
    <row r="176" spans="1:101" x14ac:dyDescent="0.25">
      <c r="A176" s="165"/>
      <c r="B176" s="135"/>
      <c r="C176" s="135"/>
      <c r="D176" s="135"/>
      <c r="E176" s="135"/>
      <c r="W176" s="135"/>
      <c r="X176" s="135"/>
      <c r="Y176" s="135"/>
      <c r="Z176" s="135"/>
      <c r="AA176" s="135"/>
      <c r="AB176" s="135"/>
      <c r="AC176" s="135"/>
      <c r="AD176" s="135"/>
      <c r="AE176" s="135"/>
      <c r="AF176" s="135"/>
      <c r="AG176" s="135"/>
      <c r="AH176" s="135"/>
      <c r="AI176" s="170"/>
      <c r="AJ176" s="165"/>
      <c r="BB176" s="135"/>
      <c r="BC176" s="135"/>
      <c r="BD176" s="135"/>
      <c r="BE176" s="135"/>
      <c r="BF176" s="135"/>
      <c r="BG176" s="135"/>
      <c r="BH176" s="135"/>
      <c r="BI176" s="135"/>
      <c r="BJ176" s="135"/>
      <c r="BK176" s="135"/>
      <c r="BL176" s="135"/>
      <c r="BM176" s="135"/>
      <c r="BN176" s="170"/>
      <c r="BO176" s="165"/>
      <c r="CG176" s="135"/>
      <c r="CH176" s="135"/>
      <c r="CI176" s="135"/>
      <c r="CJ176" s="135"/>
      <c r="CK176" s="135"/>
      <c r="CL176" s="135"/>
      <c r="CM176" s="135"/>
      <c r="CN176" s="135"/>
      <c r="CO176" s="135"/>
      <c r="CP176" s="135"/>
      <c r="CQ176" s="135"/>
      <c r="CR176" s="135"/>
      <c r="CS176" s="170"/>
      <c r="CT176" s="165"/>
      <c r="CU176" s="135"/>
      <c r="CV176" s="135"/>
      <c r="CW176" s="135"/>
    </row>
  </sheetData>
  <mergeCells count="17">
    <mergeCell ref="F5:AG5"/>
    <mergeCell ref="AI5:BJ5"/>
    <mergeCell ref="BL5:CM5"/>
    <mergeCell ref="CO5:CU5"/>
    <mergeCell ref="A3:AD3"/>
    <mergeCell ref="AE3:BM3"/>
    <mergeCell ref="BN3:CV3"/>
    <mergeCell ref="A4:AD4"/>
    <mergeCell ref="AE4:BM4"/>
    <mergeCell ref="BN4:CV4"/>
    <mergeCell ref="A5:E5"/>
    <mergeCell ref="A1:AD1"/>
    <mergeCell ref="AE1:BM1"/>
    <mergeCell ref="BN1:CV1"/>
    <mergeCell ref="A2:AD2"/>
    <mergeCell ref="AE2:BM2"/>
    <mergeCell ref="BN2:CV2"/>
  </mergeCells>
  <pageMargins left="0.2" right="0.2" top="0.25" bottom="0.25" header="0.3" footer="0.3"/>
  <pageSetup scale="68" orientation="landscape" r:id="rId1"/>
  <headerFooter>
    <oddFooter>&amp;C&amp;P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C12"/>
  <sheetViews>
    <sheetView workbookViewId="0">
      <selection activeCell="A16" sqref="A16"/>
    </sheetView>
  </sheetViews>
  <sheetFormatPr defaultRowHeight="15" x14ac:dyDescent="0.25"/>
  <cols>
    <col min="1" max="1" width="19.140625" bestFit="1" customWidth="1"/>
    <col min="2" max="2" width="13.42578125" bestFit="1" customWidth="1"/>
    <col min="3" max="3" width="11.85546875" bestFit="1" customWidth="1"/>
  </cols>
  <sheetData>
    <row r="1" spans="1:3" x14ac:dyDescent="0.25">
      <c r="A1" t="s">
        <v>110</v>
      </c>
      <c r="B1" t="s">
        <v>111</v>
      </c>
      <c r="C1" t="s">
        <v>112</v>
      </c>
    </row>
    <row r="2" spans="1:3" x14ac:dyDescent="0.25">
      <c r="A2" t="s">
        <v>64</v>
      </c>
      <c r="B2" t="s">
        <v>64</v>
      </c>
      <c r="C2" t="s">
        <v>113</v>
      </c>
    </row>
    <row r="3" spans="1:3" x14ac:dyDescent="0.25">
      <c r="A3" t="s">
        <v>114</v>
      </c>
      <c r="B3" t="s">
        <v>114</v>
      </c>
      <c r="C3" t="s">
        <v>113</v>
      </c>
    </row>
    <row r="4" spans="1:3" x14ac:dyDescent="0.25">
      <c r="A4" t="s">
        <v>115</v>
      </c>
      <c r="B4" t="s">
        <v>115</v>
      </c>
      <c r="C4" t="s">
        <v>113</v>
      </c>
    </row>
    <row r="5" spans="1:3" x14ac:dyDescent="0.25">
      <c r="A5" t="s">
        <v>106</v>
      </c>
      <c r="B5" t="s">
        <v>106</v>
      </c>
      <c r="C5" t="s">
        <v>113</v>
      </c>
    </row>
    <row r="6" spans="1:3" x14ac:dyDescent="0.25">
      <c r="A6" t="s">
        <v>116</v>
      </c>
      <c r="B6" t="s">
        <v>116</v>
      </c>
      <c r="C6" t="s">
        <v>113</v>
      </c>
    </row>
    <row r="7" spans="1:3" x14ac:dyDescent="0.25">
      <c r="A7" t="s">
        <v>107</v>
      </c>
      <c r="B7" t="s">
        <v>107</v>
      </c>
      <c r="C7" t="s">
        <v>113</v>
      </c>
    </row>
    <row r="8" spans="1:3" x14ac:dyDescent="0.25">
      <c r="A8" t="s">
        <v>108</v>
      </c>
      <c r="B8" t="s">
        <v>108</v>
      </c>
      <c r="C8" t="s">
        <v>113</v>
      </c>
    </row>
    <row r="9" spans="1:3" x14ac:dyDescent="0.25">
      <c r="A9" t="s">
        <v>62</v>
      </c>
      <c r="B9" t="s">
        <v>62</v>
      </c>
      <c r="C9" t="s">
        <v>113</v>
      </c>
    </row>
    <row r="10" spans="1:3" x14ac:dyDescent="0.25">
      <c r="A10" t="s">
        <v>70</v>
      </c>
      <c r="B10" t="s">
        <v>70</v>
      </c>
      <c r="C10" t="s">
        <v>113</v>
      </c>
    </row>
    <row r="11" spans="1:3" x14ac:dyDescent="0.25">
      <c r="A11" t="s">
        <v>109</v>
      </c>
      <c r="B11" t="s">
        <v>109</v>
      </c>
      <c r="C11" t="s">
        <v>113</v>
      </c>
    </row>
    <row r="12" spans="1:3" x14ac:dyDescent="0.25">
      <c r="A12" t="s">
        <v>117</v>
      </c>
      <c r="B12" t="s">
        <v>117</v>
      </c>
      <c r="C12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Table7 ProgFee_2014</vt:lpstr>
      <vt:lpstr>Table17 GAAP GA Line</vt:lpstr>
      <vt:lpstr>XCEL</vt:lpstr>
      <vt:lpstr>Metadata</vt:lpstr>
      <vt:lpstr>'Table7 ProgFee_2014'!Print_Area</vt:lpstr>
      <vt:lpstr>'Table7 ProgFee_2014'!Print_Titles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Subramonia Siva</dc:creator>
  <cp:lastModifiedBy>Subramonia Siva</cp:lastModifiedBy>
  <dcterms:created xsi:type="dcterms:W3CDTF">2020-07-13T04:37:59Z</dcterms:created>
  <dcterms:modified xsi:type="dcterms:W3CDTF">2020-08-27T10:15:03Z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iginatingReportID">
    <vt:lpwstr>ce53b173-07ab-4959-9fa6-5fe642d3f59e</vt:lpwstr>
  </property>
</Properties>
</file>